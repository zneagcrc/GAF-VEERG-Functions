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3A9BF97-9108-4DFB-B855-8F060C4258DE}" xr6:coauthVersionLast="47" xr6:coauthVersionMax="47" xr10:uidLastSave="{00000000-0000-0000-0000-000000000000}"/>
  <bookViews>
    <workbookView xWindow="975" yWindow="930" windowWidth="34845" windowHeight="17985" firstSheet="18" activeTab="20" xr2:uid="{D37248E2-1193-4B5E-BE4F-D7532AB14CA0}"/>
  </bookViews>
  <sheets>
    <sheet name="Overview" sheetId="40" r:id="rId1"/>
    <sheet name="Results" sheetId="41" r:id="rId2"/>
    <sheet name="Input - Site" sheetId="10" r:id="rId3"/>
    <sheet name="Input - Fuel" sheetId="30" r:id="rId4"/>
    <sheet name="Input - Fert Prod System" sheetId="62" r:id="rId5"/>
    <sheet name="Input - Fertiliser" sheetId="7" r:id="rId6"/>
    <sheet name="Input - Common farm inputs" sheetId="13" r:id="rId7"/>
    <sheet name="Input - Processing inputs" sheetId="59" r:id="rId8"/>
    <sheet name="Input - Crop pasture farm input" sheetId="58" r:id="rId9"/>
    <sheet name="Input - Hort farm Inputs" sheetId="57" r:id="rId10"/>
    <sheet name="Input - Livestock farm Inputs" sheetId="55" r:id="rId11"/>
    <sheet name="Input - Aquaculture inputs" sheetId="56" r:id="rId12"/>
    <sheet name="Input - Beef cattle purchases" sheetId="48" r:id="rId13"/>
    <sheet name="Input - Dairy cattle purchases" sheetId="52" r:id="rId14"/>
    <sheet name="Input - Pig purchases" sheetId="53" r:id="rId15"/>
    <sheet name="Input - Poultry purchases" sheetId="54" r:id="rId16"/>
    <sheet name="Input - Freight" sheetId="39" r:id="rId17"/>
    <sheet name="Input - Solid waste" sheetId="33" r:id="rId18"/>
    <sheet name="Input - Manure sent off-site" sheetId="50" r:id="rId19"/>
    <sheet name="Input - Electricity" sheetId="9" r:id="rId20"/>
    <sheet name="15 Scope 3" sheetId="19" r:id="rId21"/>
    <sheet name="10.1.1-2 Solid waste treatment" sheetId="38" r:id="rId22"/>
    <sheet name="Calcs - Manure sent off-site" sheetId="34" r:id="rId23"/>
    <sheet name="8.1.1.1-2 Transport fuel" sheetId="31" r:id="rId24"/>
    <sheet name="8.2.1.1-2 Stationary fuel" sheetId="32" r:id="rId25"/>
    <sheet name="Constants - Scope 3" sheetId="20" r:id="rId26"/>
    <sheet name="Constants - Solid Waste" sheetId="36" r:id="rId27"/>
    <sheet name="Constants - Fuel" sheetId="29" r:id="rId28"/>
    <sheet name="Constants - Poultry" sheetId="26" r:id="rId29"/>
    <sheet name="Constants - Swine" sheetId="25" r:id="rId30"/>
    <sheet name="Constants - Dairy" sheetId="23" r:id="rId31"/>
    <sheet name="Constants - Pasture Beef" sheetId="22" r:id="rId32"/>
    <sheet name="Constants - Common Livestock" sheetId="18" r:id="rId33"/>
    <sheet name="Constants - Fertiliser" sheetId="6" r:id="rId34"/>
    <sheet name="Constants - Electricity" sheetId="8" r:id="rId35"/>
    <sheet name="Constants - Common" sheetId="61" r:id="rId36"/>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Input_AquacultureInput_CustomBait">'Input - Aquaculture inputs'!$E$12</definedName>
    <definedName name="X_Cell_Input_AquacultureInput_LowAnimalProteinFormulatedFeed">'Input - Aquaculture inputs'!$E$9</definedName>
    <definedName name="X_Cell_Input_AquacultureInput_SardinesAustralia">'Input - Aquaculture inputs'!$E$8</definedName>
    <definedName name="X_Cell_Input_AquacultureInput_SardinesSouthAustralia">'Input - Aquaculture inputs'!$E$7</definedName>
    <definedName name="X_Cell_Input_AquacultureInput_Squid">'Input - Aquaculture inputs'!$E$10</definedName>
    <definedName name="X_Cell_Input_AquacultureInput_WholeFish">'Input - Aquaculture inputs'!$E$11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586" i="19" l="1"/>
  <c r="R585" i="19"/>
  <c r="R584" i="19"/>
  <c r="J586" i="19"/>
  <c r="J585" i="19"/>
  <c r="J584" i="19"/>
  <c r="I72" i="34"/>
  <c r="I52" i="34"/>
  <c r="I71" i="34"/>
  <c r="I51" i="34"/>
  <c r="I53" i="34"/>
  <c r="H320" i="19" a="1"/>
  <c r="H320" i="19" s="1"/>
  <c r="G320" i="19" a="1"/>
  <c r="G320" i="19" s="1"/>
  <c r="F320" i="19" a="1"/>
  <c r="F320" i="19" s="1"/>
  <c r="E320" i="19" a="1"/>
  <c r="E320" i="19" s="1"/>
  <c r="D320" i="19" a="1"/>
  <c r="D320" i="19" s="1"/>
  <c r="E153" i="19"/>
  <c r="E152" i="19"/>
  <c r="E151" i="19"/>
  <c r="E150" i="19"/>
  <c r="E149" i="19"/>
  <c r="E148" i="19"/>
  <c r="E137" i="19"/>
  <c r="F12" i="7"/>
  <c r="P34" i="7"/>
  <c r="P33" i="7"/>
  <c r="P32" i="7"/>
  <c r="P31" i="7"/>
  <c r="P30" i="7"/>
  <c r="P29" i="7"/>
  <c r="P28" i="7"/>
  <c r="P27" i="7"/>
  <c r="P26" i="7"/>
  <c r="P25" i="7"/>
  <c r="Z21" i="7"/>
  <c r="Y21" i="7"/>
  <c r="W21" i="7" a="1"/>
  <c r="W21" i="7" s="1"/>
  <c r="U21" i="7" a="1"/>
  <c r="U21" i="7" s="1"/>
  <c r="T21" i="7" a="1"/>
  <c r="T21" i="7" s="1"/>
  <c r="S21" i="7" a="1"/>
  <c r="S21" i="7" s="1"/>
  <c r="R21" i="7" a="1"/>
  <c r="R21" i="7" s="1"/>
  <c r="Q21" i="7" a="1"/>
  <c r="Q21" i="7" s="1"/>
  <c r="P21" i="7" a="1"/>
  <c r="P21" i="7" s="1"/>
  <c r="O21" i="7"/>
  <c r="O21" i="7" a="1"/>
  <c r="N21" i="7" a="1"/>
  <c r="N21" i="7" s="1"/>
  <c r="M21" i="7" a="1"/>
  <c r="M21" i="7" s="1"/>
  <c r="L21" i="7" a="1"/>
  <c r="L21" i="7" s="1"/>
  <c r="K21" i="7" a="1"/>
  <c r="K21" i="7" s="1"/>
  <c r="J21" i="7" a="1"/>
  <c r="J21" i="7" s="1"/>
  <c r="H21" i="7"/>
  <c r="F21" i="7"/>
  <c r="Z20" i="7"/>
  <c r="Y20" i="7"/>
  <c r="W20" i="7" a="1"/>
  <c r="W20" i="7" s="1"/>
  <c r="U20" i="7"/>
  <c r="U20" i="7" a="1"/>
  <c r="T20" i="7" a="1"/>
  <c r="T20" i="7" s="1"/>
  <c r="S20" i="7"/>
  <c r="S20" i="7" a="1"/>
  <c r="R20" i="7"/>
  <c r="R20" i="7" a="1"/>
  <c r="Q20" i="7" a="1"/>
  <c r="Q20" i="7" s="1"/>
  <c r="P20" i="7" a="1"/>
  <c r="P20" i="7" s="1"/>
  <c r="O20" i="7"/>
  <c r="O20" i="7" a="1"/>
  <c r="N20" i="7"/>
  <c r="N20" i="7" a="1"/>
  <c r="M20" i="7" a="1"/>
  <c r="M20" i="7" s="1"/>
  <c r="L20" i="7"/>
  <c r="L20" i="7" a="1"/>
  <c r="K20" i="7" a="1"/>
  <c r="K20" i="7" s="1"/>
  <c r="J20" i="7" a="1"/>
  <c r="J20" i="7" s="1"/>
  <c r="H20" i="7"/>
  <c r="F20" i="7"/>
  <c r="Z19" i="7"/>
  <c r="Y19" i="7"/>
  <c r="W19" i="7"/>
  <c r="W19" i="7" a="1"/>
  <c r="U19" i="7" a="1"/>
  <c r="U19" i="7" s="1"/>
  <c r="T19" i="7"/>
  <c r="T19" i="7" a="1"/>
  <c r="S19" i="7"/>
  <c r="S19" i="7" a="1"/>
  <c r="R19" i="7"/>
  <c r="R19" i="7" a="1"/>
  <c r="Q19" i="7" a="1"/>
  <c r="Q19" i="7" s="1"/>
  <c r="P19" i="7" a="1"/>
  <c r="P19" i="7" s="1"/>
  <c r="O19" i="7" a="1"/>
  <c r="O19" i="7" s="1"/>
  <c r="N19" i="7" a="1"/>
  <c r="N19" i="7" s="1"/>
  <c r="M19" i="7"/>
  <c r="M19" i="7" a="1"/>
  <c r="L19" i="7" a="1"/>
  <c r="L19" i="7" s="1"/>
  <c r="K19" i="7"/>
  <c r="K19" i="7" a="1"/>
  <c r="J19" i="7" a="1"/>
  <c r="J19" i="7" s="1"/>
  <c r="H19" i="7"/>
  <c r="F19" i="7"/>
  <c r="Z18" i="7"/>
  <c r="Y18" i="7"/>
  <c r="W18" i="7" a="1"/>
  <c r="W18" i="7" s="1"/>
  <c r="U18" i="7" a="1"/>
  <c r="U18" i="7" s="1"/>
  <c r="T18" i="7" a="1"/>
  <c r="T18" i="7" s="1"/>
  <c r="S18" i="7" a="1"/>
  <c r="S18" i="7" s="1"/>
  <c r="R18" i="7"/>
  <c r="R18" i="7" a="1"/>
  <c r="Q18" i="7"/>
  <c r="Q18" i="7" a="1"/>
  <c r="P18" i="7" a="1"/>
  <c r="P18" i="7" s="1"/>
  <c r="O18" i="7"/>
  <c r="O18" i="7" a="1"/>
  <c r="N18" i="7" a="1"/>
  <c r="N18" i="7" s="1"/>
  <c r="M18" i="7" a="1"/>
  <c r="M18" i="7" s="1"/>
  <c r="L18" i="7" a="1"/>
  <c r="L18" i="7" s="1"/>
  <c r="K18" i="7"/>
  <c r="K18" i="7" a="1"/>
  <c r="J18" i="7"/>
  <c r="J18" i="7" a="1"/>
  <c r="H18" i="7"/>
  <c r="F18" i="7"/>
  <c r="Z17" i="7"/>
  <c r="P236" i="19" s="1" a="1"/>
  <c r="P236" i="19" s="1"/>
  <c r="Y17" i="7"/>
  <c r="W17" i="7" a="1"/>
  <c r="W17" i="7" s="1"/>
  <c r="U17" i="7"/>
  <c r="U17" i="7" a="1"/>
  <c r="T17" i="7" a="1"/>
  <c r="T17" i="7" s="1"/>
  <c r="S17" i="7" a="1"/>
  <c r="S17" i="7" s="1"/>
  <c r="R17" i="7" a="1"/>
  <c r="R17" i="7" s="1"/>
  <c r="Q17" i="7" a="1"/>
  <c r="Q17" i="7" s="1"/>
  <c r="P17" i="7"/>
  <c r="P17" i="7" a="1"/>
  <c r="O17" i="7"/>
  <c r="O17" i="7" a="1"/>
  <c r="N17" i="7"/>
  <c r="N17" i="7" a="1"/>
  <c r="M17" i="7" a="1"/>
  <c r="M17" i="7" s="1"/>
  <c r="L17" i="7" a="1"/>
  <c r="L17" i="7" s="1"/>
  <c r="K17" i="7" a="1"/>
  <c r="K17" i="7" s="1"/>
  <c r="J17" i="7" a="1"/>
  <c r="J17" i="7" s="1"/>
  <c r="H17" i="7"/>
  <c r="F17" i="7"/>
  <c r="Z16" i="7"/>
  <c r="Y16" i="7"/>
  <c r="W16" i="7"/>
  <c r="W16" i="7" a="1"/>
  <c r="U16" i="7"/>
  <c r="U16" i="7" a="1"/>
  <c r="T16" i="7"/>
  <c r="T16" i="7" a="1"/>
  <c r="S16" i="7" a="1"/>
  <c r="S16" i="7" s="1"/>
  <c r="R16" i="7"/>
  <c r="R16" i="7" a="1"/>
  <c r="Q16" i="7" a="1"/>
  <c r="Q16" i="7" s="1"/>
  <c r="P16" i="7" a="1"/>
  <c r="P16" i="7" s="1"/>
  <c r="O16" i="7" a="1"/>
  <c r="O16" i="7" s="1"/>
  <c r="N16" i="7"/>
  <c r="N16" i="7" a="1"/>
  <c r="M16" i="7"/>
  <c r="M16" i="7" a="1"/>
  <c r="L16" i="7" a="1"/>
  <c r="L16" i="7" s="1"/>
  <c r="K16" i="7"/>
  <c r="K16" i="7" a="1"/>
  <c r="J16" i="7" a="1"/>
  <c r="J16" i="7" s="1"/>
  <c r="H16" i="7"/>
  <c r="F16" i="7"/>
  <c r="Z15" i="7"/>
  <c r="Y15" i="7"/>
  <c r="W15" i="7"/>
  <c r="W15" i="7" a="1"/>
  <c r="U15" i="7" a="1"/>
  <c r="U15" i="7" s="1"/>
  <c r="T15" i="7" a="1"/>
  <c r="T15" i="7" s="1"/>
  <c r="S15" i="7"/>
  <c r="S15" i="7" a="1"/>
  <c r="R15" i="7"/>
  <c r="R15" i="7" a="1"/>
  <c r="Q15" i="7"/>
  <c r="Q15" i="7" a="1"/>
  <c r="P15" i="7" a="1"/>
  <c r="P15" i="7" s="1"/>
  <c r="O15" i="7" a="1"/>
  <c r="O15" i="7" s="1"/>
  <c r="N15" i="7" a="1"/>
  <c r="N15" i="7" s="1"/>
  <c r="M15" i="7" a="1"/>
  <c r="M15" i="7" s="1"/>
  <c r="L15" i="7"/>
  <c r="L15" i="7" a="1"/>
  <c r="K15" i="7"/>
  <c r="K15" i="7" a="1"/>
  <c r="J15" i="7"/>
  <c r="J15" i="7" a="1"/>
  <c r="H15" i="7"/>
  <c r="F15" i="7"/>
  <c r="Z14" i="7"/>
  <c r="Y14" i="7"/>
  <c r="W14" i="7" a="1"/>
  <c r="W14" i="7" s="1"/>
  <c r="U14" i="7"/>
  <c r="U14" i="7" a="1"/>
  <c r="T14" i="7" a="1"/>
  <c r="T14" i="7" s="1"/>
  <c r="S14" i="7" a="1"/>
  <c r="S14" i="7" s="1"/>
  <c r="R14" i="7" a="1"/>
  <c r="R14" i="7" s="1"/>
  <c r="Q14" i="7"/>
  <c r="Q14" i="7" a="1"/>
  <c r="P14" i="7"/>
  <c r="P14" i="7" a="1"/>
  <c r="O14" i="7" a="1"/>
  <c r="O14" i="7" s="1"/>
  <c r="N14" i="7"/>
  <c r="N14" i="7" a="1"/>
  <c r="M14" i="7" a="1"/>
  <c r="M14" i="7" s="1"/>
  <c r="L14" i="7" a="1"/>
  <c r="L14" i="7" s="1"/>
  <c r="K14" i="7" a="1"/>
  <c r="K14" i="7" s="1"/>
  <c r="J14" i="7"/>
  <c r="J14" i="7" a="1"/>
  <c r="H14" i="7"/>
  <c r="F14" i="7"/>
  <c r="Z13" i="7"/>
  <c r="Y13" i="7"/>
  <c r="O236" i="19" s="1" a="1"/>
  <c r="O236" i="19" s="1"/>
  <c r="W13" i="7"/>
  <c r="W13" i="7" a="1"/>
  <c r="U13" i="7"/>
  <c r="U13" i="7" a="1"/>
  <c r="T13" i="7"/>
  <c r="T13" i="7" a="1"/>
  <c r="S13" i="7" a="1"/>
  <c r="S13" i="7" s="1"/>
  <c r="R13" i="7"/>
  <c r="R13" i="7" a="1"/>
  <c r="Q13" i="7" a="1"/>
  <c r="Q13" i="7" s="1"/>
  <c r="P13" i="7" a="1"/>
  <c r="P13" i="7" s="1"/>
  <c r="O13" i="7"/>
  <c r="O13" i="7" a="1"/>
  <c r="N13" i="7"/>
  <c r="N13" i="7" a="1"/>
  <c r="M13" i="7"/>
  <c r="M13" i="7" a="1"/>
  <c r="L13" i="7" a="1"/>
  <c r="L13" i="7" s="1"/>
  <c r="K13" i="7"/>
  <c r="K13" i="7" a="1"/>
  <c r="J13" i="7" a="1"/>
  <c r="J13" i="7" s="1"/>
  <c r="H13" i="7"/>
  <c r="F13" i="7"/>
  <c r="Z12" i="7"/>
  <c r="Y12" i="7"/>
  <c r="W12" i="7"/>
  <c r="W12" i="7" a="1"/>
  <c r="U12" i="7" a="1"/>
  <c r="U12" i="7" s="1"/>
  <c r="T12" i="7"/>
  <c r="T12" i="7" a="1"/>
  <c r="S12" i="7"/>
  <c r="S12" i="7" a="1"/>
  <c r="R12" i="7" a="1"/>
  <c r="R12" i="7" s="1"/>
  <c r="AG236" i="19" s="1" a="1"/>
  <c r="AG236" i="19" s="1"/>
  <c r="Q12" i="7"/>
  <c r="Q12" i="7" a="1"/>
  <c r="P12" i="7" a="1"/>
  <c r="P12" i="7" s="1"/>
  <c r="O12" i="7" a="1"/>
  <c r="O12" i="7" s="1"/>
  <c r="N12" i="7" a="1"/>
  <c r="N12" i="7" s="1"/>
  <c r="M12" i="7"/>
  <c r="M12" i="7" a="1"/>
  <c r="L12" i="7"/>
  <c r="L12" i="7" a="1"/>
  <c r="K12" i="7" a="1"/>
  <c r="K12" i="7" s="1"/>
  <c r="J12" i="7"/>
  <c r="Q236" i="19" s="1" a="1"/>
  <c r="Q236" i="19" s="1"/>
  <c r="J12" i="7" a="1"/>
  <c r="H12" i="7"/>
  <c r="E90" i="6" a="1"/>
  <c r="E90" i="6" s="1"/>
  <c r="AH223" i="6" a="1"/>
  <c r="AH223" i="6" s="1"/>
  <c r="AG223" i="6" a="1"/>
  <c r="AG223" i="6" s="1"/>
  <c r="AF223" i="6" a="1"/>
  <c r="AF223" i="6" s="1"/>
  <c r="AE223" i="6" a="1"/>
  <c r="AE223" i="6" s="1"/>
  <c r="AD223" i="6" a="1"/>
  <c r="AD223" i="6" s="1"/>
  <c r="AC223" i="6" a="1"/>
  <c r="AC223" i="6" s="1"/>
  <c r="AB223" i="6" a="1"/>
  <c r="AB223" i="6" s="1"/>
  <c r="AA223" i="6" a="1"/>
  <c r="AA223" i="6" s="1"/>
  <c r="Z223" i="6" a="1"/>
  <c r="Z223" i="6" s="1"/>
  <c r="Y223" i="6" a="1"/>
  <c r="Y223" i="6" s="1"/>
  <c r="X223" i="6" a="1"/>
  <c r="X223" i="6" s="1"/>
  <c r="W223" i="6" a="1"/>
  <c r="W223" i="6" s="1"/>
  <c r="V223" i="6" a="1"/>
  <c r="V223" i="6" s="1"/>
  <c r="U223" i="6" a="1"/>
  <c r="U223" i="6" s="1"/>
  <c r="T223" i="6" a="1"/>
  <c r="T223" i="6" s="1"/>
  <c r="S223" i="6" a="1"/>
  <c r="S223" i="6" s="1"/>
  <c r="R223" i="6" a="1"/>
  <c r="R223" i="6" s="1"/>
  <c r="Q223" i="6" a="1"/>
  <c r="Q223" i="6" s="1"/>
  <c r="P223" i="6" a="1"/>
  <c r="P223" i="6" s="1"/>
  <c r="O223" i="6" a="1"/>
  <c r="O223" i="6" s="1"/>
  <c r="N223" i="6" a="1"/>
  <c r="N223" i="6" s="1"/>
  <c r="M223" i="6"/>
  <c r="M223" i="6" a="1"/>
  <c r="L223" i="6" a="1"/>
  <c r="L223" i="6" s="1"/>
  <c r="K223" i="6" a="1"/>
  <c r="K223" i="6" s="1"/>
  <c r="J223" i="6" a="1"/>
  <c r="J223" i="6" s="1"/>
  <c r="I223" i="6" a="1"/>
  <c r="I223" i="6" s="1"/>
  <c r="H223" i="6" a="1"/>
  <c r="H223" i="6" s="1"/>
  <c r="G223" i="6" a="1"/>
  <c r="G223" i="6" s="1"/>
  <c r="F223" i="6" a="1"/>
  <c r="F223" i="6" s="1"/>
  <c r="E223" i="6" a="1"/>
  <c r="E223" i="6" s="1"/>
  <c r="D223" i="6" a="1"/>
  <c r="D223" i="6" s="1"/>
  <c r="AH222" i="6"/>
  <c r="AH222" i="6" a="1"/>
  <c r="AG222" i="6" a="1"/>
  <c r="AG222" i="6" s="1"/>
  <c r="AF222" i="6"/>
  <c r="AF222" i="6" a="1"/>
  <c r="AE222" i="6" a="1"/>
  <c r="AE222" i="6" s="1"/>
  <c r="AD222" i="6"/>
  <c r="AD222" i="6" a="1"/>
  <c r="AC222" i="6" a="1"/>
  <c r="AC222" i="6" s="1"/>
  <c r="AB222" i="6" a="1"/>
  <c r="AB222" i="6" s="1"/>
  <c r="AA222" i="6" a="1"/>
  <c r="AA222" i="6" s="1"/>
  <c r="Z222" i="6" a="1"/>
  <c r="Z222" i="6" s="1"/>
  <c r="Y222" i="6"/>
  <c r="Y222" i="6" a="1"/>
  <c r="X222" i="6" a="1"/>
  <c r="X222" i="6" s="1"/>
  <c r="W222" i="6" a="1"/>
  <c r="W222" i="6" s="1"/>
  <c r="V222" i="6" a="1"/>
  <c r="V222" i="6" s="1"/>
  <c r="U222" i="6" a="1"/>
  <c r="U222" i="6" s="1"/>
  <c r="T222" i="6"/>
  <c r="T222" i="6" a="1"/>
  <c r="S222" i="6" a="1"/>
  <c r="S222" i="6" s="1"/>
  <c r="R222" i="6"/>
  <c r="R222" i="6" a="1"/>
  <c r="Q222" i="6" a="1"/>
  <c r="Q222" i="6" s="1"/>
  <c r="P222" i="6" a="1"/>
  <c r="P222" i="6" s="1"/>
  <c r="O222" i="6" a="1"/>
  <c r="O222" i="6" s="1"/>
  <c r="N222" i="6" a="1"/>
  <c r="N222" i="6" s="1"/>
  <c r="M222" i="6" a="1"/>
  <c r="M222" i="6" s="1"/>
  <c r="L222" i="6" a="1"/>
  <c r="L222" i="6" s="1"/>
  <c r="K222" i="6"/>
  <c r="K222" i="6" a="1"/>
  <c r="J222" i="6" a="1"/>
  <c r="J222" i="6" s="1"/>
  <c r="I222" i="6"/>
  <c r="I222" i="6" a="1"/>
  <c r="H222" i="6" a="1"/>
  <c r="H222" i="6" s="1"/>
  <c r="G222" i="6" a="1"/>
  <c r="G222" i="6" s="1"/>
  <c r="F222" i="6" a="1"/>
  <c r="F222" i="6" s="1"/>
  <c r="E222" i="6" a="1"/>
  <c r="E222" i="6" s="1"/>
  <c r="D222" i="6"/>
  <c r="D222" i="6" a="1"/>
  <c r="AH221" i="6" a="1"/>
  <c r="AH221" i="6" s="1"/>
  <c r="AG221" i="6" a="1"/>
  <c r="AG221" i="6" s="1"/>
  <c r="AF221" i="6" a="1"/>
  <c r="AF221" i="6" s="1"/>
  <c r="AE221" i="6" a="1"/>
  <c r="AE221" i="6" s="1"/>
  <c r="AD221" i="6" a="1"/>
  <c r="AD221" i="6" s="1"/>
  <c r="AC221" i="6" a="1"/>
  <c r="AC221" i="6" s="1"/>
  <c r="AB221" i="6"/>
  <c r="AB221" i="6" a="1"/>
  <c r="AA221" i="6" a="1"/>
  <c r="AA221" i="6" s="1"/>
  <c r="Z221" i="6" a="1"/>
  <c r="Z221" i="6" s="1"/>
  <c r="Y221" i="6" a="1"/>
  <c r="Y221" i="6" s="1"/>
  <c r="X221" i="6" a="1"/>
  <c r="X221" i="6" s="1"/>
  <c r="W221" i="6" a="1"/>
  <c r="W221" i="6" s="1"/>
  <c r="V221" i="6" a="1"/>
  <c r="V221" i="6" s="1"/>
  <c r="U221" i="6" a="1"/>
  <c r="U221" i="6" s="1"/>
  <c r="T221" i="6" a="1"/>
  <c r="T221" i="6" s="1"/>
  <c r="S221" i="6" a="1"/>
  <c r="S221" i="6" s="1"/>
  <c r="R221" i="6" a="1"/>
  <c r="R221" i="6" s="1"/>
  <c r="Q221" i="6" a="1"/>
  <c r="Q221" i="6" s="1"/>
  <c r="P221" i="6" a="1"/>
  <c r="P221" i="6" s="1"/>
  <c r="O221" i="6" a="1"/>
  <c r="O221" i="6" s="1"/>
  <c r="N221" i="6"/>
  <c r="N221" i="6" a="1"/>
  <c r="M221" i="6" a="1"/>
  <c r="M221" i="6" s="1"/>
  <c r="L221" i="6"/>
  <c r="L221" i="6" a="1"/>
  <c r="K221" i="6" a="1"/>
  <c r="K221" i="6" s="1"/>
  <c r="J221" i="6" a="1"/>
  <c r="J221" i="6" s="1"/>
  <c r="I221" i="6" a="1"/>
  <c r="I221" i="6" s="1"/>
  <c r="H221" i="6" a="1"/>
  <c r="H221" i="6" s="1"/>
  <c r="G221" i="6"/>
  <c r="G221" i="6" a="1"/>
  <c r="F221" i="6" a="1"/>
  <c r="F221" i="6" s="1"/>
  <c r="E221" i="6" a="1"/>
  <c r="E221" i="6" s="1"/>
  <c r="D221" i="6" a="1"/>
  <c r="D221" i="6" s="1"/>
  <c r="AH220" i="6" a="1"/>
  <c r="AH220" i="6" s="1"/>
  <c r="AG220" i="6"/>
  <c r="AG220" i="6" a="1"/>
  <c r="AF220" i="6" a="1"/>
  <c r="AF220" i="6" s="1"/>
  <c r="AE220" i="6"/>
  <c r="AE220" i="6" a="1"/>
  <c r="AD220" i="6" a="1"/>
  <c r="AD220" i="6" s="1"/>
  <c r="AC220" i="6" a="1"/>
  <c r="AC220" i="6" s="1"/>
  <c r="AB220" i="6" a="1"/>
  <c r="AB220" i="6" s="1"/>
  <c r="AA220" i="6" a="1"/>
  <c r="AA220" i="6" s="1"/>
  <c r="Z220" i="6" a="1"/>
  <c r="Z220" i="6" s="1"/>
  <c r="Y220" i="6" a="1"/>
  <c r="Y220" i="6" s="1"/>
  <c r="X220" i="6" a="1"/>
  <c r="X220" i="6" s="1"/>
  <c r="W220" i="6" a="1"/>
  <c r="W220" i="6" s="1"/>
  <c r="V220" i="6"/>
  <c r="V220" i="6" a="1"/>
  <c r="U220" i="6" a="1"/>
  <c r="U220" i="6" s="1"/>
  <c r="T220" i="6" a="1"/>
  <c r="T220" i="6" s="1"/>
  <c r="S220" i="6" a="1"/>
  <c r="S220" i="6" s="1"/>
  <c r="R220" i="6" a="1"/>
  <c r="R220" i="6" s="1"/>
  <c r="Q220" i="6"/>
  <c r="Q220" i="6" a="1"/>
  <c r="P220" i="6" a="1"/>
  <c r="P220" i="6" s="1"/>
  <c r="O220" i="6" a="1"/>
  <c r="O220" i="6" s="1"/>
  <c r="N220" i="6" a="1"/>
  <c r="N220" i="6" s="1"/>
  <c r="M220" i="6" a="1"/>
  <c r="M220" i="6" s="1"/>
  <c r="L220" i="6" a="1"/>
  <c r="L220" i="6" s="1"/>
  <c r="K220" i="6" a="1"/>
  <c r="K220" i="6" s="1"/>
  <c r="J220" i="6"/>
  <c r="J220" i="6" a="1"/>
  <c r="I220" i="6" a="1"/>
  <c r="I220" i="6" s="1"/>
  <c r="H220" i="6"/>
  <c r="H220" i="6" a="1"/>
  <c r="G220" i="6" a="1"/>
  <c r="G220" i="6" s="1"/>
  <c r="F220" i="6" a="1"/>
  <c r="F220" i="6" s="1"/>
  <c r="E220" i="6" a="1"/>
  <c r="E220" i="6" s="1"/>
  <c r="D220" i="6" a="1"/>
  <c r="D220" i="6" s="1"/>
  <c r="AH219" i="6" a="1"/>
  <c r="AH219" i="6" s="1"/>
  <c r="AG219" i="6" a="1"/>
  <c r="AG219" i="6" s="1"/>
  <c r="AF219" i="6" a="1"/>
  <c r="AF219" i="6" s="1"/>
  <c r="AE219" i="6" a="1"/>
  <c r="AE219" i="6" s="1"/>
  <c r="AD219" i="6" a="1"/>
  <c r="AD219" i="6" s="1"/>
  <c r="AC219" i="6"/>
  <c r="AC219" i="6" a="1"/>
  <c r="AB219" i="6" a="1"/>
  <c r="AB219" i="6" s="1"/>
  <c r="AA219" i="6"/>
  <c r="AA219" i="6" a="1"/>
  <c r="Z219" i="6" a="1"/>
  <c r="Z219" i="6" s="1"/>
  <c r="Y219" i="6"/>
  <c r="Y219" i="6" a="1"/>
  <c r="X219" i="6" a="1"/>
  <c r="X219" i="6" s="1"/>
  <c r="W219" i="6" a="1"/>
  <c r="W219" i="6" s="1"/>
  <c r="V219" i="6" a="1"/>
  <c r="V219" i="6" s="1"/>
  <c r="U219" i="6" a="1"/>
  <c r="U219" i="6" s="1"/>
  <c r="T219" i="6" a="1"/>
  <c r="T219" i="6" s="1"/>
  <c r="S219" i="6" a="1"/>
  <c r="S219" i="6" s="1"/>
  <c r="R219" i="6" a="1"/>
  <c r="R219" i="6" s="1"/>
  <c r="Q219" i="6" a="1"/>
  <c r="Q219" i="6" s="1"/>
  <c r="P219" i="6" a="1"/>
  <c r="P219" i="6" s="1"/>
  <c r="O219" i="6"/>
  <c r="O219" i="6" a="1"/>
  <c r="N219" i="6" a="1"/>
  <c r="N219" i="6" s="1"/>
  <c r="M219" i="6"/>
  <c r="M219" i="6" a="1"/>
  <c r="L219" i="6" a="1"/>
  <c r="L219" i="6" s="1"/>
  <c r="K219" i="6" a="1"/>
  <c r="K219" i="6" s="1"/>
  <c r="J219" i="6" a="1"/>
  <c r="J219" i="6" s="1"/>
  <c r="I219" i="6" a="1"/>
  <c r="I219" i="6" s="1"/>
  <c r="H219" i="6" a="1"/>
  <c r="H219" i="6" s="1"/>
  <c r="G219" i="6" a="1"/>
  <c r="G219" i="6" s="1"/>
  <c r="F219" i="6" a="1"/>
  <c r="F219" i="6" s="1"/>
  <c r="E219" i="6" a="1"/>
  <c r="E219" i="6" s="1"/>
  <c r="D219" i="6" a="1"/>
  <c r="D219" i="6" s="1"/>
  <c r="AH218" i="6" a="1"/>
  <c r="AH218" i="6" s="1"/>
  <c r="AG218" i="6" a="1"/>
  <c r="AG218" i="6" s="1"/>
  <c r="AF218" i="6" a="1"/>
  <c r="AF218" i="6" s="1"/>
  <c r="AE218" i="6" a="1"/>
  <c r="AE218" i="6" s="1"/>
  <c r="AD218" i="6"/>
  <c r="AD218" i="6" a="1"/>
  <c r="AC218" i="6" a="1"/>
  <c r="AC218" i="6" s="1"/>
  <c r="AB218" i="6" a="1"/>
  <c r="AB218" i="6" s="1"/>
  <c r="AA218" i="6" a="1"/>
  <c r="AA218" i="6" s="1"/>
  <c r="Z218" i="6" a="1"/>
  <c r="Z218" i="6" s="1"/>
  <c r="Y218" i="6" a="1"/>
  <c r="Y218" i="6" s="1"/>
  <c r="X218" i="6" a="1"/>
  <c r="X218" i="6" s="1"/>
  <c r="W218" i="6"/>
  <c r="W218" i="6" a="1"/>
  <c r="V218" i="6" a="1"/>
  <c r="V218" i="6" s="1"/>
  <c r="U218" i="6"/>
  <c r="U218" i="6" a="1"/>
  <c r="T218" i="6" a="1"/>
  <c r="T218" i="6" s="1"/>
  <c r="S218" i="6" a="1"/>
  <c r="S218" i="6" s="1"/>
  <c r="R218" i="6" a="1"/>
  <c r="R218" i="6" s="1"/>
  <c r="Q218" i="6" a="1"/>
  <c r="Q218" i="6" s="1"/>
  <c r="P218" i="6" a="1"/>
  <c r="P218" i="6" s="1"/>
  <c r="O218" i="6" a="1"/>
  <c r="O218" i="6" s="1"/>
  <c r="N218" i="6" a="1"/>
  <c r="N218" i="6" s="1"/>
  <c r="M218" i="6" a="1"/>
  <c r="M218" i="6" s="1"/>
  <c r="L218" i="6" a="1"/>
  <c r="L218" i="6" s="1"/>
  <c r="K218" i="6"/>
  <c r="K218" i="6" a="1"/>
  <c r="J218" i="6" a="1"/>
  <c r="J218" i="6" s="1"/>
  <c r="I218" i="6"/>
  <c r="I218" i="6" a="1"/>
  <c r="H218" i="6" a="1"/>
  <c r="H218" i="6" s="1"/>
  <c r="G218" i="6"/>
  <c r="G218" i="6" a="1"/>
  <c r="F218" i="6" a="1"/>
  <c r="F218" i="6" s="1"/>
  <c r="E218" i="6" a="1"/>
  <c r="E218" i="6" s="1"/>
  <c r="D218" i="6" a="1"/>
  <c r="D218" i="6" s="1"/>
  <c r="AH217" i="6" a="1"/>
  <c r="AH217" i="6" s="1"/>
  <c r="AG217" i="6"/>
  <c r="AG217" i="6" a="1"/>
  <c r="AF217" i="6" a="1"/>
  <c r="AF217" i="6" s="1"/>
  <c r="AE217" i="6" a="1"/>
  <c r="AE217" i="6" s="1"/>
  <c r="AD217" i="6" a="1"/>
  <c r="AD217" i="6" s="1"/>
  <c r="AC217" i="6" a="1"/>
  <c r="AC217" i="6" s="1"/>
  <c r="AB217" i="6"/>
  <c r="AB217" i="6" a="1"/>
  <c r="AA217" i="6" a="1"/>
  <c r="AA217" i="6" s="1"/>
  <c r="Z217" i="6"/>
  <c r="Z217" i="6" a="1"/>
  <c r="Y217" i="6" a="1"/>
  <c r="Y217" i="6" s="1"/>
  <c r="X217" i="6" a="1"/>
  <c r="X217" i="6" s="1"/>
  <c r="W217" i="6" a="1"/>
  <c r="W217" i="6" s="1"/>
  <c r="V217" i="6" a="1"/>
  <c r="V217" i="6" s="1"/>
  <c r="U217" i="6" a="1"/>
  <c r="U217" i="6" s="1"/>
  <c r="T217" i="6" a="1"/>
  <c r="T217" i="6" s="1"/>
  <c r="S217" i="6" a="1"/>
  <c r="S217" i="6" s="1"/>
  <c r="R217" i="6" a="1"/>
  <c r="R217" i="6" s="1"/>
  <c r="Q217" i="6" a="1"/>
  <c r="Q217" i="6" s="1"/>
  <c r="P217" i="6" a="1"/>
  <c r="P217" i="6" s="1"/>
  <c r="O217" i="6" a="1"/>
  <c r="O217" i="6" s="1"/>
  <c r="N217" i="6" a="1"/>
  <c r="N217" i="6" s="1"/>
  <c r="M217" i="6" a="1"/>
  <c r="M217" i="6" s="1"/>
  <c r="L217" i="6"/>
  <c r="L217" i="6" a="1"/>
  <c r="K217" i="6" a="1"/>
  <c r="K217" i="6" s="1"/>
  <c r="J217" i="6" a="1"/>
  <c r="J217" i="6" s="1"/>
  <c r="I217" i="6" a="1"/>
  <c r="I217" i="6" s="1"/>
  <c r="H217" i="6" a="1"/>
  <c r="H217" i="6" s="1"/>
  <c r="G217" i="6" a="1"/>
  <c r="G217" i="6" s="1"/>
  <c r="F217" i="6" a="1"/>
  <c r="F217" i="6" s="1"/>
  <c r="E217" i="6"/>
  <c r="E217" i="6" a="1"/>
  <c r="D217" i="6" a="1"/>
  <c r="D217" i="6" s="1"/>
  <c r="AH216" i="6"/>
  <c r="AH216" i="6" a="1"/>
  <c r="AG216" i="6" a="1"/>
  <c r="AG216" i="6" s="1"/>
  <c r="AF216" i="6" a="1"/>
  <c r="AF216" i="6" s="1"/>
  <c r="AE216" i="6" a="1"/>
  <c r="AE216" i="6" s="1"/>
  <c r="AD216" i="6" a="1"/>
  <c r="AD216" i="6" s="1"/>
  <c r="AC216" i="6" a="1"/>
  <c r="AC216" i="6" s="1"/>
  <c r="AB216" i="6" a="1"/>
  <c r="AB216" i="6" s="1"/>
  <c r="AA216" i="6" a="1"/>
  <c r="AA216" i="6" s="1"/>
  <c r="Z216" i="6" a="1"/>
  <c r="Z216" i="6" s="1"/>
  <c r="Y216" i="6" a="1"/>
  <c r="Y216" i="6" s="1"/>
  <c r="X216" i="6"/>
  <c r="X216" i="6" a="1"/>
  <c r="W216" i="6" a="1"/>
  <c r="W216" i="6" s="1"/>
  <c r="V216" i="6"/>
  <c r="V216" i="6" a="1"/>
  <c r="U216" i="6" a="1"/>
  <c r="U216" i="6" s="1"/>
  <c r="T216" i="6"/>
  <c r="T216" i="6" a="1"/>
  <c r="S216" i="6" a="1"/>
  <c r="S216" i="6" s="1"/>
  <c r="R216" i="6" a="1"/>
  <c r="R216" i="6" s="1"/>
  <c r="Q216" i="6" a="1"/>
  <c r="Q216" i="6" s="1"/>
  <c r="P216" i="6" a="1"/>
  <c r="P216" i="6" s="1"/>
  <c r="O216" i="6"/>
  <c r="O216" i="6" a="1"/>
  <c r="N216" i="6" a="1"/>
  <c r="N216" i="6" s="1"/>
  <c r="M216" i="6" a="1"/>
  <c r="M216" i="6" s="1"/>
  <c r="L216" i="6" a="1"/>
  <c r="L216" i="6" s="1"/>
  <c r="K216" i="6" a="1"/>
  <c r="K216" i="6" s="1"/>
  <c r="J216" i="6"/>
  <c r="J216" i="6" a="1"/>
  <c r="I216" i="6" a="1"/>
  <c r="I216" i="6" s="1"/>
  <c r="H216" i="6"/>
  <c r="H216" i="6" a="1"/>
  <c r="G216" i="6" a="1"/>
  <c r="G216" i="6" s="1"/>
  <c r="F216" i="6" a="1"/>
  <c r="F216" i="6" s="1"/>
  <c r="E216" i="6" a="1"/>
  <c r="E216" i="6" s="1"/>
  <c r="D216" i="6" a="1"/>
  <c r="D216" i="6" s="1"/>
  <c r="AH215" i="6" a="1"/>
  <c r="AH215" i="6" s="1"/>
  <c r="AG215" i="6" a="1"/>
  <c r="AG215" i="6" s="1"/>
  <c r="AF215" i="6" a="1"/>
  <c r="AF215" i="6" s="1"/>
  <c r="AE215" i="6" a="1"/>
  <c r="AE215" i="6" s="1"/>
  <c r="AD215" i="6"/>
  <c r="AD215" i="6" a="1"/>
  <c r="AC215" i="6" a="1"/>
  <c r="AC215" i="6" s="1"/>
  <c r="AB215" i="6" a="1"/>
  <c r="AB215" i="6" s="1"/>
  <c r="AA215" i="6" a="1"/>
  <c r="AA215" i="6" s="1"/>
  <c r="Z215" i="6" a="1"/>
  <c r="Z215" i="6" s="1"/>
  <c r="Y215" i="6"/>
  <c r="Y215" i="6" a="1"/>
  <c r="X215" i="6" a="1"/>
  <c r="X215" i="6" s="1"/>
  <c r="W215" i="6" a="1"/>
  <c r="W215" i="6" s="1"/>
  <c r="V215" i="6" a="1"/>
  <c r="V215" i="6" s="1"/>
  <c r="U215" i="6" a="1"/>
  <c r="U215" i="6" s="1"/>
  <c r="T215" i="6"/>
  <c r="T215" i="6" a="1"/>
  <c r="S215" i="6" a="1"/>
  <c r="S215" i="6" s="1"/>
  <c r="R215" i="6"/>
  <c r="R215" i="6" a="1"/>
  <c r="Q215" i="6" a="1"/>
  <c r="Q215" i="6" s="1"/>
  <c r="P215" i="6"/>
  <c r="P215" i="6" a="1"/>
  <c r="O215" i="6" a="1"/>
  <c r="O215" i="6" s="1"/>
  <c r="N215" i="6" a="1"/>
  <c r="N215" i="6" s="1"/>
  <c r="M215" i="6" a="1"/>
  <c r="M215" i="6" s="1"/>
  <c r="L215" i="6" a="1"/>
  <c r="L215" i="6" s="1"/>
  <c r="K215" i="6" a="1"/>
  <c r="K215" i="6" s="1"/>
  <c r="J215" i="6" a="1"/>
  <c r="J215" i="6" s="1"/>
  <c r="I215" i="6" a="1"/>
  <c r="I215" i="6" s="1"/>
  <c r="H215" i="6" a="1"/>
  <c r="H215" i="6" s="1"/>
  <c r="G215" i="6" a="1"/>
  <c r="G215" i="6" s="1"/>
  <c r="F215" i="6"/>
  <c r="F215" i="6" a="1"/>
  <c r="E215" i="6" a="1"/>
  <c r="E215" i="6" s="1"/>
  <c r="D215" i="6"/>
  <c r="D215" i="6" a="1"/>
  <c r="AH214" i="6" a="1"/>
  <c r="AH214" i="6" s="1"/>
  <c r="AG214" i="6"/>
  <c r="AG214" i="6" a="1"/>
  <c r="AF214" i="6" a="1"/>
  <c r="AF214" i="6" s="1"/>
  <c r="AE214" i="6" a="1"/>
  <c r="AE214" i="6" s="1"/>
  <c r="AD214" i="6" a="1"/>
  <c r="AD214" i="6" s="1"/>
  <c r="AC214" i="6" a="1"/>
  <c r="AC214" i="6" s="1"/>
  <c r="AB214" i="6"/>
  <c r="AB214" i="6" a="1"/>
  <c r="AA214" i="6" a="1"/>
  <c r="AA214" i="6" s="1"/>
  <c r="Z214" i="6" a="1"/>
  <c r="Z214" i="6" s="1"/>
  <c r="Y214" i="6" a="1"/>
  <c r="Y214" i="6" s="1"/>
  <c r="X214" i="6" a="1"/>
  <c r="X214" i="6" s="1"/>
  <c r="W214" i="6"/>
  <c r="W214" i="6" a="1"/>
  <c r="V214" i="6" a="1"/>
  <c r="V214" i="6" s="1"/>
  <c r="U214" i="6"/>
  <c r="U214" i="6" a="1"/>
  <c r="T214" i="6" a="1"/>
  <c r="T214" i="6" s="1"/>
  <c r="S214" i="6" a="1"/>
  <c r="S214" i="6" s="1"/>
  <c r="R214" i="6" a="1"/>
  <c r="R214" i="6" s="1"/>
  <c r="Q214" i="6" a="1"/>
  <c r="Q214" i="6" s="1"/>
  <c r="P214" i="6" a="1"/>
  <c r="P214" i="6" s="1"/>
  <c r="O214" i="6" a="1"/>
  <c r="O214" i="6" s="1"/>
  <c r="N214" i="6" a="1"/>
  <c r="N214" i="6" s="1"/>
  <c r="M214" i="6" a="1"/>
  <c r="M214" i="6" s="1"/>
  <c r="L214" i="6"/>
  <c r="L214" i="6" a="1"/>
  <c r="K214" i="6" a="1"/>
  <c r="K214" i="6" s="1"/>
  <c r="J214" i="6" a="1"/>
  <c r="J214" i="6" s="1"/>
  <c r="I214" i="6" a="1"/>
  <c r="I214" i="6" s="1"/>
  <c r="H214" i="6" a="1"/>
  <c r="H214" i="6" s="1"/>
  <c r="G214" i="6"/>
  <c r="G214" i="6" a="1"/>
  <c r="F214" i="6" a="1"/>
  <c r="F214" i="6" s="1"/>
  <c r="E214" i="6" a="1"/>
  <c r="E214" i="6" s="1"/>
  <c r="D214" i="6" a="1"/>
  <c r="D214" i="6" s="1"/>
  <c r="AH213" i="6" a="1"/>
  <c r="AH213" i="6" s="1"/>
  <c r="AG213" i="6"/>
  <c r="AG213" i="6" a="1"/>
  <c r="AF213" i="6" a="1"/>
  <c r="AF213" i="6" s="1"/>
  <c r="AE213" i="6"/>
  <c r="AE213" i="6" a="1"/>
  <c r="AD213" i="6" a="1"/>
  <c r="AD213" i="6" s="1"/>
  <c r="AC213" i="6"/>
  <c r="AC213" i="6" a="1"/>
  <c r="AB213" i="6" a="1"/>
  <c r="AB213" i="6" s="1"/>
  <c r="AA213" i="6" a="1"/>
  <c r="AA213" i="6" s="1"/>
  <c r="Z213" i="6" a="1"/>
  <c r="Z213" i="6" s="1"/>
  <c r="Y213" i="6" a="1"/>
  <c r="Y213" i="6" s="1"/>
  <c r="X213" i="6" a="1"/>
  <c r="X213" i="6" s="1"/>
  <c r="W213" i="6" a="1"/>
  <c r="W213" i="6" s="1"/>
  <c r="V213" i="6" a="1"/>
  <c r="V213" i="6" s="1"/>
  <c r="U213" i="6" a="1"/>
  <c r="U213" i="6" s="1"/>
  <c r="T213" i="6" a="1"/>
  <c r="T213" i="6" s="1"/>
  <c r="S213" i="6"/>
  <c r="S213" i="6" a="1"/>
  <c r="R213" i="6" a="1"/>
  <c r="R213" i="6" s="1"/>
  <c r="Q213" i="6"/>
  <c r="Q213" i="6" a="1"/>
  <c r="P213" i="6" a="1"/>
  <c r="P213" i="6" s="1"/>
  <c r="O213" i="6"/>
  <c r="O213" i="6" a="1"/>
  <c r="N213" i="6" a="1"/>
  <c r="N213" i="6" s="1"/>
  <c r="M213" i="6" a="1"/>
  <c r="M213" i="6" s="1"/>
  <c r="L213" i="6" a="1"/>
  <c r="L213" i="6" s="1"/>
  <c r="K213" i="6" a="1"/>
  <c r="K213" i="6" s="1"/>
  <c r="J213" i="6"/>
  <c r="J213" i="6" a="1"/>
  <c r="I213" i="6" a="1"/>
  <c r="I213" i="6" s="1"/>
  <c r="H213" i="6" a="1"/>
  <c r="H213" i="6" s="1"/>
  <c r="G213" i="6" a="1"/>
  <c r="G213" i="6" s="1"/>
  <c r="F213" i="6" a="1"/>
  <c r="F213" i="6" s="1"/>
  <c r="E213" i="6"/>
  <c r="E213" i="6" a="1"/>
  <c r="D213" i="6" a="1"/>
  <c r="D213" i="6" s="1"/>
  <c r="AH212" i="6"/>
  <c r="AH212" i="6" a="1"/>
  <c r="AG212" i="6" a="1"/>
  <c r="AG212" i="6" s="1"/>
  <c r="AF212" i="6" a="1"/>
  <c r="AF212" i="6" s="1"/>
  <c r="AE212" i="6" a="1"/>
  <c r="AE212" i="6" s="1"/>
  <c r="AD212" i="6" a="1"/>
  <c r="AD212" i="6" s="1"/>
  <c r="AC212" i="6" a="1"/>
  <c r="AC212" i="6" s="1"/>
  <c r="AB212" i="6" a="1"/>
  <c r="AB212" i="6" s="1"/>
  <c r="AA212" i="6" a="1"/>
  <c r="AA212" i="6" s="1"/>
  <c r="Z212" i="6" a="1"/>
  <c r="Z212" i="6" s="1"/>
  <c r="Y212" i="6"/>
  <c r="Y212" i="6" a="1"/>
  <c r="X212" i="6" a="1"/>
  <c r="X212" i="6" s="1"/>
  <c r="W212" i="6" a="1"/>
  <c r="W212" i="6" s="1"/>
  <c r="V212" i="6" a="1"/>
  <c r="V212" i="6" s="1"/>
  <c r="U212" i="6" a="1"/>
  <c r="U212" i="6" s="1"/>
  <c r="T212" i="6"/>
  <c r="T212" i="6" a="1"/>
  <c r="S212" i="6" a="1"/>
  <c r="S212" i="6" s="1"/>
  <c r="R212" i="6" a="1"/>
  <c r="R212" i="6" s="1"/>
  <c r="Q212" i="6" a="1"/>
  <c r="Q212" i="6" s="1"/>
  <c r="P212" i="6" a="1"/>
  <c r="P212" i="6" s="1"/>
  <c r="O212" i="6"/>
  <c r="O212" i="6" a="1"/>
  <c r="N212" i="6" a="1"/>
  <c r="N212" i="6" s="1"/>
  <c r="M212" i="6"/>
  <c r="M212" i="6" a="1"/>
  <c r="L212" i="6" a="1"/>
  <c r="L212" i="6" s="1"/>
  <c r="K212" i="6"/>
  <c r="K212" i="6" a="1"/>
  <c r="J212" i="6" a="1"/>
  <c r="J212" i="6" s="1"/>
  <c r="I212" i="6" a="1"/>
  <c r="I212" i="6" s="1"/>
  <c r="H212" i="6" a="1"/>
  <c r="H212" i="6" s="1"/>
  <c r="G212" i="6" a="1"/>
  <c r="G212" i="6" s="1"/>
  <c r="F212" i="6" a="1"/>
  <c r="F212" i="6" s="1"/>
  <c r="E212" i="6" a="1"/>
  <c r="E212" i="6" s="1"/>
  <c r="D212" i="6" a="1"/>
  <c r="D212" i="6" s="1"/>
  <c r="AH211" i="6" a="1"/>
  <c r="AH211" i="6" s="1"/>
  <c r="AG211" i="6" a="1"/>
  <c r="AG211" i="6" s="1"/>
  <c r="AF211" i="6"/>
  <c r="AF211" i="6" a="1"/>
  <c r="AE211" i="6" a="1"/>
  <c r="AE211" i="6" s="1"/>
  <c r="AD211" i="6"/>
  <c r="AD211" i="6" a="1"/>
  <c r="AC211" i="6" a="1"/>
  <c r="AC211" i="6" s="1"/>
  <c r="AB211" i="6"/>
  <c r="AB211" i="6" a="1"/>
  <c r="AA211" i="6" a="1"/>
  <c r="AA211" i="6" s="1"/>
  <c r="Z211" i="6" a="1"/>
  <c r="Z211" i="6" s="1"/>
  <c r="Y211" i="6" a="1"/>
  <c r="Y211" i="6" s="1"/>
  <c r="X211" i="6" a="1"/>
  <c r="X211" i="6" s="1"/>
  <c r="W211" i="6"/>
  <c r="W211" i="6" a="1"/>
  <c r="V211" i="6" a="1"/>
  <c r="V211" i="6" s="1"/>
  <c r="U211" i="6" a="1"/>
  <c r="U211" i="6" s="1"/>
  <c r="T211" i="6" a="1"/>
  <c r="T211" i="6" s="1"/>
  <c r="S211" i="6" a="1"/>
  <c r="S211" i="6" s="1"/>
  <c r="R211" i="6"/>
  <c r="R211" i="6" a="1"/>
  <c r="Q211" i="6" a="1"/>
  <c r="Q211" i="6" s="1"/>
  <c r="P211" i="6"/>
  <c r="P211" i="6" a="1"/>
  <c r="O211" i="6" a="1"/>
  <c r="O211" i="6" s="1"/>
  <c r="N211" i="6" a="1"/>
  <c r="N211" i="6" s="1"/>
  <c r="M211" i="6" a="1"/>
  <c r="M211" i="6" s="1"/>
  <c r="L211" i="6" a="1"/>
  <c r="L211" i="6" s="1"/>
  <c r="K211" i="6" a="1"/>
  <c r="K211" i="6" s="1"/>
  <c r="J211" i="6" a="1"/>
  <c r="J211" i="6" s="1"/>
  <c r="I211" i="6" a="1"/>
  <c r="I211" i="6" s="1"/>
  <c r="H211" i="6" a="1"/>
  <c r="H211" i="6" s="1"/>
  <c r="G211" i="6"/>
  <c r="G211" i="6" a="1"/>
  <c r="F211" i="6" a="1"/>
  <c r="F211" i="6" s="1"/>
  <c r="E211" i="6" a="1"/>
  <c r="E211" i="6" s="1"/>
  <c r="D211" i="6" a="1"/>
  <c r="D211" i="6" s="1"/>
  <c r="AH210" i="6" a="1"/>
  <c r="AH210" i="6" s="1"/>
  <c r="AG210" i="6"/>
  <c r="AG210" i="6" a="1"/>
  <c r="AF210" i="6" a="1"/>
  <c r="AF210" i="6" s="1"/>
  <c r="AE210" i="6" a="1"/>
  <c r="AE210" i="6" s="1"/>
  <c r="AD210" i="6" a="1"/>
  <c r="AD210" i="6" s="1"/>
  <c r="AC210" i="6" a="1"/>
  <c r="AC210" i="6" s="1"/>
  <c r="AB210" i="6"/>
  <c r="AB210" i="6" a="1"/>
  <c r="AA210" i="6" a="1"/>
  <c r="AA210" i="6" s="1"/>
  <c r="Z210" i="6"/>
  <c r="Z210" i="6" a="1"/>
  <c r="Y210" i="6" a="1"/>
  <c r="Y210" i="6" s="1"/>
  <c r="X210" i="6"/>
  <c r="X210" i="6" a="1"/>
  <c r="W210" i="6" a="1"/>
  <c r="W210" i="6" s="1"/>
  <c r="V210" i="6" a="1"/>
  <c r="V210" i="6" s="1"/>
  <c r="U210" i="6" a="1"/>
  <c r="U210" i="6" s="1"/>
  <c r="T210" i="6" a="1"/>
  <c r="T210" i="6" s="1"/>
  <c r="S210" i="6" a="1"/>
  <c r="S210" i="6" s="1"/>
  <c r="R210" i="6" a="1"/>
  <c r="R210" i="6" s="1"/>
  <c r="Q210" i="6" a="1"/>
  <c r="Q210" i="6" s="1"/>
  <c r="P210" i="6" a="1"/>
  <c r="P210" i="6" s="1"/>
  <c r="O210" i="6" a="1"/>
  <c r="O210" i="6" s="1"/>
  <c r="N210" i="6"/>
  <c r="N210" i="6" a="1"/>
  <c r="M210" i="6" a="1"/>
  <c r="M210" i="6" s="1"/>
  <c r="L210" i="6"/>
  <c r="L210" i="6" a="1"/>
  <c r="K210" i="6" a="1"/>
  <c r="K210" i="6" s="1"/>
  <c r="J210" i="6"/>
  <c r="J210" i="6" a="1"/>
  <c r="I210" i="6" a="1"/>
  <c r="I210" i="6" s="1"/>
  <c r="H210" i="6" a="1"/>
  <c r="H210" i="6" s="1"/>
  <c r="G210" i="6" a="1"/>
  <c r="G210" i="6" s="1"/>
  <c r="F210" i="6" a="1"/>
  <c r="F210" i="6" s="1"/>
  <c r="E210" i="6"/>
  <c r="E210" i="6" a="1"/>
  <c r="D210" i="6" a="1"/>
  <c r="D210" i="6" s="1"/>
  <c r="AH209" i="6" a="1"/>
  <c r="AH209" i="6" s="1"/>
  <c r="AG209" i="6" a="1"/>
  <c r="AG209" i="6" s="1"/>
  <c r="AF209" i="6" a="1"/>
  <c r="AF209" i="6" s="1"/>
  <c r="AE209" i="6"/>
  <c r="AE209" i="6" a="1"/>
  <c r="AD209" i="6" a="1"/>
  <c r="AD209" i="6" s="1"/>
  <c r="AC209" i="6"/>
  <c r="AC209" i="6" a="1"/>
  <c r="AB209" i="6" a="1"/>
  <c r="AB209" i="6" s="1"/>
  <c r="AA209" i="6" a="1"/>
  <c r="AA209" i="6" s="1"/>
  <c r="Z209" i="6" a="1"/>
  <c r="Z209" i="6" s="1"/>
  <c r="Y209" i="6" a="1"/>
  <c r="Y209" i="6" s="1"/>
  <c r="X209" i="6" a="1"/>
  <c r="X209" i="6" s="1"/>
  <c r="W209" i="6" a="1"/>
  <c r="W209" i="6" s="1"/>
  <c r="V209" i="6" a="1"/>
  <c r="V209" i="6" s="1"/>
  <c r="U209" i="6" a="1"/>
  <c r="U209" i="6" s="1"/>
  <c r="T209" i="6"/>
  <c r="T209" i="6" a="1"/>
  <c r="S209" i="6" a="1"/>
  <c r="S209" i="6" s="1"/>
  <c r="R209" i="6" a="1"/>
  <c r="R209" i="6" s="1"/>
  <c r="Q209" i="6" a="1"/>
  <c r="Q209" i="6" s="1"/>
  <c r="P209" i="6" a="1"/>
  <c r="P209" i="6" s="1"/>
  <c r="O209" i="6"/>
  <c r="O209" i="6" a="1"/>
  <c r="N209" i="6" a="1"/>
  <c r="N209" i="6" s="1"/>
  <c r="M209" i="6" a="1"/>
  <c r="M209" i="6" s="1"/>
  <c r="L209" i="6" a="1"/>
  <c r="L209" i="6" s="1"/>
  <c r="K209" i="6" a="1"/>
  <c r="K209" i="6" s="1"/>
  <c r="J209" i="6"/>
  <c r="J209" i="6" a="1"/>
  <c r="I209" i="6" a="1"/>
  <c r="I209" i="6" s="1"/>
  <c r="H209" i="6"/>
  <c r="H209" i="6" a="1"/>
  <c r="G209" i="6" a="1"/>
  <c r="G209" i="6" s="1"/>
  <c r="F209" i="6"/>
  <c r="F209" i="6" a="1"/>
  <c r="E209" i="6" a="1"/>
  <c r="E209" i="6" s="1"/>
  <c r="D209" i="6" a="1"/>
  <c r="D209" i="6" s="1"/>
  <c r="AH208" i="6" a="1"/>
  <c r="AH208" i="6" s="1"/>
  <c r="AG208" i="6" a="1"/>
  <c r="AG208" i="6" s="1"/>
  <c r="AF208" i="6" a="1"/>
  <c r="AF208" i="6" s="1"/>
  <c r="AE208" i="6" a="1"/>
  <c r="AE208" i="6" s="1"/>
  <c r="AD208" i="6" a="1"/>
  <c r="AD208" i="6" s="1"/>
  <c r="AC208" i="6" a="1"/>
  <c r="AC208" i="6" s="1"/>
  <c r="AB208" i="6" a="1"/>
  <c r="AB208" i="6" s="1"/>
  <c r="AA208" i="6"/>
  <c r="AA208" i="6" a="1"/>
  <c r="Z208" i="6" a="1"/>
  <c r="Z208" i="6" s="1"/>
  <c r="Y208" i="6"/>
  <c r="Y208" i="6" a="1"/>
  <c r="X208" i="6" a="1"/>
  <c r="X208" i="6" s="1"/>
  <c r="W208" i="6"/>
  <c r="W208" i="6" a="1"/>
  <c r="V208" i="6" a="1"/>
  <c r="V208" i="6" s="1"/>
  <c r="U208" i="6" a="1"/>
  <c r="U208" i="6" s="1"/>
  <c r="T208" i="6" a="1"/>
  <c r="T208" i="6" s="1"/>
  <c r="S208" i="6" a="1"/>
  <c r="S208" i="6" s="1"/>
  <c r="R208" i="6" a="1"/>
  <c r="R208" i="6" s="1"/>
  <c r="Q208" i="6" a="1"/>
  <c r="Q208" i="6" s="1"/>
  <c r="P208" i="6" a="1"/>
  <c r="P208" i="6" s="1"/>
  <c r="O208" i="6" a="1"/>
  <c r="O208" i="6" s="1"/>
  <c r="N208" i="6" a="1"/>
  <c r="N208" i="6" s="1"/>
  <c r="M208" i="6"/>
  <c r="M208" i="6" a="1"/>
  <c r="L208" i="6" a="1"/>
  <c r="L208" i="6" s="1"/>
  <c r="K208" i="6"/>
  <c r="K208" i="6" a="1"/>
  <c r="J208" i="6" a="1"/>
  <c r="J208" i="6" s="1"/>
  <c r="I208" i="6" a="1"/>
  <c r="I208" i="6" s="1"/>
  <c r="H208" i="6" a="1"/>
  <c r="H208" i="6" s="1"/>
  <c r="G208" i="6" a="1"/>
  <c r="G208" i="6" s="1"/>
  <c r="F208" i="6" a="1"/>
  <c r="F208" i="6" s="1"/>
  <c r="E208" i="6" a="1"/>
  <c r="E208" i="6" s="1"/>
  <c r="D208" i="6" a="1"/>
  <c r="D208" i="6" s="1"/>
  <c r="AH207" i="6" a="1"/>
  <c r="AH207" i="6" s="1"/>
  <c r="AG207" i="6"/>
  <c r="AG207" i="6" a="1"/>
  <c r="AF207" i="6" a="1"/>
  <c r="AF207" i="6" s="1"/>
  <c r="AE207" i="6" a="1"/>
  <c r="AE207" i="6" s="1"/>
  <c r="AD207" i="6"/>
  <c r="AD207" i="6" a="1"/>
  <c r="AC207" i="6" a="1"/>
  <c r="AC207" i="6" s="1"/>
  <c r="AB207" i="6"/>
  <c r="AB207" i="6" a="1"/>
  <c r="AA207" i="6" a="1"/>
  <c r="AA207" i="6" s="1"/>
  <c r="Z207" i="6"/>
  <c r="Z207" i="6" a="1"/>
  <c r="Y207" i="6" a="1"/>
  <c r="Y207" i="6" s="1"/>
  <c r="X207" i="6" a="1"/>
  <c r="X207" i="6" s="1"/>
  <c r="W207" i="6" a="1"/>
  <c r="W207" i="6" s="1"/>
  <c r="V207" i="6" a="1"/>
  <c r="V207" i="6" s="1"/>
  <c r="U207" i="6" a="1"/>
  <c r="U207" i="6" s="1"/>
  <c r="T207" i="6" a="1"/>
  <c r="T207" i="6" s="1"/>
  <c r="S207" i="6"/>
  <c r="S207" i="6" a="1"/>
  <c r="R207" i="6" a="1"/>
  <c r="R207" i="6" s="1"/>
  <c r="Q207" i="6" a="1"/>
  <c r="Q207" i="6" s="1"/>
  <c r="P207" i="6"/>
  <c r="P207" i="6" a="1"/>
  <c r="O207" i="6" a="1"/>
  <c r="O207" i="6" s="1"/>
  <c r="N207" i="6" a="1"/>
  <c r="N207" i="6" s="1"/>
  <c r="M207" i="6" a="1"/>
  <c r="M207" i="6" s="1"/>
  <c r="L207" i="6" a="1"/>
  <c r="L207" i="6" s="1"/>
  <c r="K207" i="6" a="1"/>
  <c r="K207" i="6" s="1"/>
  <c r="J207" i="6" a="1"/>
  <c r="J207" i="6" s="1"/>
  <c r="I207" i="6"/>
  <c r="I207" i="6" a="1"/>
  <c r="H207" i="6" a="1"/>
  <c r="H207" i="6" s="1"/>
  <c r="G207" i="6" a="1"/>
  <c r="G207" i="6" s="1"/>
  <c r="F207" i="6" a="1"/>
  <c r="F207" i="6" s="1"/>
  <c r="E207" i="6"/>
  <c r="E207" i="6" a="1"/>
  <c r="D207" i="6" a="1"/>
  <c r="D207" i="6" s="1"/>
  <c r="AH206" i="6" a="1"/>
  <c r="AH206" i="6" s="1"/>
  <c r="AG206" i="6" a="1"/>
  <c r="AG206" i="6" s="1"/>
  <c r="AF206" i="6" a="1"/>
  <c r="AF206" i="6" s="1"/>
  <c r="AE206" i="6" a="1"/>
  <c r="AE206" i="6" s="1"/>
  <c r="AD206" i="6" a="1"/>
  <c r="AD206" i="6" s="1"/>
  <c r="AC206" i="6" a="1"/>
  <c r="AC206" i="6" s="1"/>
  <c r="AB206" i="6" a="1"/>
  <c r="AB206" i="6" s="1"/>
  <c r="AA206" i="6" a="1"/>
  <c r="AA206" i="6" s="1"/>
  <c r="Z206" i="6" a="1"/>
  <c r="Z206" i="6" s="1"/>
  <c r="Y206" i="6" a="1"/>
  <c r="Y206" i="6" s="1"/>
  <c r="X206" i="6"/>
  <c r="X206" i="6" a="1"/>
  <c r="W206" i="6" a="1"/>
  <c r="W206" i="6" s="1"/>
  <c r="V206" i="6" a="1"/>
  <c r="V206" i="6" s="1"/>
  <c r="U206" i="6" a="1"/>
  <c r="U206" i="6" s="1"/>
  <c r="T206" i="6" a="1"/>
  <c r="T206" i="6" s="1"/>
  <c r="S206" i="6" a="1"/>
  <c r="S206" i="6" s="1"/>
  <c r="R206" i="6" a="1"/>
  <c r="R206" i="6" s="1"/>
  <c r="Q206" i="6"/>
  <c r="Q206" i="6" a="1"/>
  <c r="P206" i="6" a="1"/>
  <c r="P206" i="6" s="1"/>
  <c r="O206" i="6" a="1"/>
  <c r="O206" i="6" s="1"/>
  <c r="N206" i="6" a="1"/>
  <c r="N206" i="6" s="1"/>
  <c r="M206" i="6" a="1"/>
  <c r="M206" i="6" s="1"/>
  <c r="L206" i="6" a="1"/>
  <c r="L206" i="6" s="1"/>
  <c r="K206" i="6" a="1"/>
  <c r="K206" i="6" s="1"/>
  <c r="J206" i="6"/>
  <c r="J206" i="6" a="1"/>
  <c r="I206" i="6" a="1"/>
  <c r="I206" i="6" s="1"/>
  <c r="H206" i="6"/>
  <c r="H206" i="6" a="1"/>
  <c r="G206" i="6" a="1"/>
  <c r="G206" i="6" s="1"/>
  <c r="F206" i="6" a="1"/>
  <c r="F206" i="6" s="1"/>
  <c r="E206" i="6" a="1"/>
  <c r="E206" i="6" s="1"/>
  <c r="D206" i="6" a="1"/>
  <c r="D206" i="6" s="1"/>
  <c r="AH205" i="6"/>
  <c r="AH205" i="6" a="1"/>
  <c r="AG205" i="6" a="1"/>
  <c r="AG205" i="6" s="1"/>
  <c r="AF205" i="6"/>
  <c r="AF205" i="6" a="1"/>
  <c r="AE205" i="6" a="1"/>
  <c r="AE205" i="6" s="1"/>
  <c r="AD205" i="6" a="1"/>
  <c r="AD205" i="6" s="1"/>
  <c r="AC205" i="6"/>
  <c r="AC205" i="6" a="1"/>
  <c r="AB205" i="6" a="1"/>
  <c r="AB205" i="6" s="1"/>
  <c r="AA205" i="6"/>
  <c r="AA205" i="6" a="1"/>
  <c r="Z205" i="6" a="1"/>
  <c r="Z205" i="6" s="1"/>
  <c r="Y205" i="6" a="1"/>
  <c r="Y205" i="6" s="1"/>
  <c r="X205" i="6" a="1"/>
  <c r="X205" i="6" s="1"/>
  <c r="W205" i="6" a="1"/>
  <c r="W205" i="6" s="1"/>
  <c r="V205" i="6"/>
  <c r="V205" i="6" a="1"/>
  <c r="U205" i="6" a="1"/>
  <c r="U205" i="6" s="1"/>
  <c r="T205" i="6"/>
  <c r="T205" i="6" a="1"/>
  <c r="S205" i="6" a="1"/>
  <c r="S205" i="6" s="1"/>
  <c r="R205" i="6" a="1"/>
  <c r="R205" i="6" s="1"/>
  <c r="Q205" i="6" a="1"/>
  <c r="Q205" i="6" s="1"/>
  <c r="P205" i="6" a="1"/>
  <c r="P205" i="6" s="1"/>
  <c r="O205" i="6" a="1"/>
  <c r="O205" i="6" s="1"/>
  <c r="N205" i="6" a="1"/>
  <c r="N205" i="6" s="1"/>
  <c r="M205" i="6" a="1"/>
  <c r="M205" i="6" s="1"/>
  <c r="L205" i="6" a="1"/>
  <c r="L205" i="6" s="1"/>
  <c r="K205" i="6" a="1"/>
  <c r="K205" i="6" s="1"/>
  <c r="J205" i="6" a="1"/>
  <c r="J205" i="6" s="1"/>
  <c r="I205" i="6" a="1"/>
  <c r="I205" i="6" s="1"/>
  <c r="H205" i="6"/>
  <c r="H205" i="6" a="1"/>
  <c r="G205" i="6" a="1"/>
  <c r="G205" i="6" s="1"/>
  <c r="F205" i="6" a="1"/>
  <c r="F205" i="6" s="1"/>
  <c r="E205" i="6" a="1"/>
  <c r="E205" i="6" s="1"/>
  <c r="D205" i="6"/>
  <c r="D205" i="6" a="1"/>
  <c r="AH204" i="6" a="1"/>
  <c r="AH204" i="6" s="1"/>
  <c r="AG204" i="6" a="1"/>
  <c r="AG204" i="6" s="1"/>
  <c r="AF204" i="6" a="1"/>
  <c r="AF204" i="6" s="1"/>
  <c r="AE204" i="6" a="1"/>
  <c r="AE204" i="6" s="1"/>
  <c r="AD204" i="6"/>
  <c r="AD204" i="6" a="1"/>
  <c r="AC204" i="6" a="1"/>
  <c r="AC204" i="6" s="1"/>
  <c r="AB204" i="6" a="1"/>
  <c r="AB204" i="6" s="1"/>
  <c r="AA204" i="6" a="1"/>
  <c r="AA204" i="6" s="1"/>
  <c r="Z204" i="6" a="1"/>
  <c r="Z204" i="6" s="1"/>
  <c r="Y204" i="6" a="1"/>
  <c r="Y204" i="6" s="1"/>
  <c r="X204" i="6" a="1"/>
  <c r="X204" i="6" s="1"/>
  <c r="W204" i="6" a="1"/>
  <c r="W204" i="6" s="1"/>
  <c r="V204" i="6"/>
  <c r="V204" i="6" a="1"/>
  <c r="U204" i="6"/>
  <c r="U204" i="6" a="1"/>
  <c r="T204" i="6"/>
  <c r="T204" i="6" a="1"/>
  <c r="S204" i="6"/>
  <c r="S204" i="6" a="1"/>
  <c r="R204" i="6"/>
  <c r="R204" i="6" a="1"/>
  <c r="Q204" i="6" a="1"/>
  <c r="Q204" i="6" s="1"/>
  <c r="P204" i="6" a="1"/>
  <c r="P204" i="6" s="1"/>
  <c r="O204" i="6" a="1"/>
  <c r="O204" i="6" s="1"/>
  <c r="N204" i="6"/>
  <c r="N204" i="6" a="1"/>
  <c r="M204" i="6" a="1"/>
  <c r="M204" i="6" s="1"/>
  <c r="L204" i="6" a="1"/>
  <c r="L204" i="6" s="1"/>
  <c r="K204" i="6" a="1"/>
  <c r="K204" i="6" s="1"/>
  <c r="J204" i="6" a="1"/>
  <c r="J204" i="6" s="1"/>
  <c r="I204" i="6" a="1"/>
  <c r="I204" i="6" s="1"/>
  <c r="H204" i="6" a="1"/>
  <c r="H204" i="6" s="1"/>
  <c r="G204" i="6"/>
  <c r="G204" i="6" a="1"/>
  <c r="F204" i="6"/>
  <c r="F204" i="6" a="1"/>
  <c r="E204" i="6"/>
  <c r="E204" i="6" a="1"/>
  <c r="D204" i="6"/>
  <c r="D204" i="6" a="1"/>
  <c r="AH203" i="6" a="1"/>
  <c r="AH203" i="6" s="1"/>
  <c r="AG203" i="6" a="1"/>
  <c r="AG203" i="6" s="1"/>
  <c r="AF203" i="6"/>
  <c r="AF203" i="6" a="1"/>
  <c r="AE203" i="6" a="1"/>
  <c r="AE203" i="6" s="1"/>
  <c r="AD203" i="6"/>
  <c r="AD203" i="6" a="1"/>
  <c r="AC203" i="6" a="1"/>
  <c r="AC203" i="6" s="1"/>
  <c r="AB203" i="6" a="1"/>
  <c r="AB203" i="6" s="1"/>
  <c r="AA203" i="6" a="1"/>
  <c r="AA203" i="6" s="1"/>
  <c r="Z203" i="6"/>
  <c r="Z203" i="6" a="1"/>
  <c r="Y203" i="6" a="1"/>
  <c r="Y203" i="6" s="1"/>
  <c r="X203" i="6" a="1"/>
  <c r="X203" i="6" s="1"/>
  <c r="W203" i="6"/>
  <c r="W203" i="6" a="1"/>
  <c r="V203" i="6"/>
  <c r="V203" i="6" a="1"/>
  <c r="U203" i="6"/>
  <c r="U203" i="6" a="1"/>
  <c r="T203" i="6" a="1"/>
  <c r="T203" i="6" s="1"/>
  <c r="S203" i="6" a="1"/>
  <c r="S203" i="6" s="1"/>
  <c r="R203" i="6" a="1"/>
  <c r="R203" i="6" s="1"/>
  <c r="Q203" i="6"/>
  <c r="Q203" i="6" a="1"/>
  <c r="P203" i="6" a="1"/>
  <c r="P203" i="6" s="1"/>
  <c r="O203" i="6"/>
  <c r="O203" i="6" a="1"/>
  <c r="N203" i="6" a="1"/>
  <c r="N203" i="6" s="1"/>
  <c r="M203" i="6" a="1"/>
  <c r="M203" i="6" s="1"/>
  <c r="L203" i="6"/>
  <c r="L203" i="6" a="1"/>
  <c r="K203" i="6"/>
  <c r="K203" i="6" a="1"/>
  <c r="J203" i="6" a="1"/>
  <c r="J203" i="6" s="1"/>
  <c r="I203" i="6" a="1"/>
  <c r="I203" i="6" s="1"/>
  <c r="H203" i="6"/>
  <c r="H203" i="6" a="1"/>
  <c r="G203" i="6"/>
  <c r="G203" i="6" a="1"/>
  <c r="F203" i="6" a="1"/>
  <c r="F203" i="6" s="1"/>
  <c r="E203" i="6" a="1"/>
  <c r="E203" i="6" s="1"/>
  <c r="D203" i="6" a="1"/>
  <c r="D203" i="6" s="1"/>
  <c r="AH202" i="6" a="1"/>
  <c r="AH202" i="6" s="1"/>
  <c r="AG202" i="6"/>
  <c r="AG202" i="6" a="1"/>
  <c r="AF202" i="6" a="1"/>
  <c r="AF202" i="6" s="1"/>
  <c r="AE202" i="6"/>
  <c r="AE202" i="6" a="1"/>
  <c r="AD202" i="6" a="1"/>
  <c r="AD202" i="6" s="1"/>
  <c r="AC202" i="6"/>
  <c r="AC202" i="6" a="1"/>
  <c r="AB202" i="6"/>
  <c r="AB202" i="6" a="1"/>
  <c r="AA202" i="6"/>
  <c r="AA202" i="6" a="1"/>
  <c r="Z202" i="6" a="1"/>
  <c r="Z202" i="6" s="1"/>
  <c r="Y202" i="6" a="1"/>
  <c r="Y202" i="6" s="1"/>
  <c r="X202" i="6"/>
  <c r="X202" i="6" a="1"/>
  <c r="W202" i="6" a="1"/>
  <c r="W202" i="6" s="1"/>
  <c r="V202" i="6" a="1"/>
  <c r="V202" i="6" s="1"/>
  <c r="U202" i="6" a="1"/>
  <c r="U202" i="6" s="1"/>
  <c r="T202" i="6" a="1"/>
  <c r="T202" i="6" s="1"/>
  <c r="S202" i="6" a="1"/>
  <c r="S202" i="6" s="1"/>
  <c r="R202" i="6"/>
  <c r="R202" i="6" a="1"/>
  <c r="Q202" i="6" a="1"/>
  <c r="Q202" i="6" s="1"/>
  <c r="P202" i="6" a="1"/>
  <c r="P202" i="6" s="1"/>
  <c r="O202" i="6" a="1"/>
  <c r="O202" i="6" s="1"/>
  <c r="N202" i="6"/>
  <c r="N202" i="6" a="1"/>
  <c r="M202" i="6"/>
  <c r="M202" i="6" a="1"/>
  <c r="L202" i="6"/>
  <c r="L202" i="6" a="1"/>
  <c r="K202" i="6" a="1"/>
  <c r="K202" i="6" s="1"/>
  <c r="J202" i="6" a="1"/>
  <c r="J202" i="6" s="1"/>
  <c r="I202" i="6" a="1"/>
  <c r="I202" i="6" s="1"/>
  <c r="H202" i="6" a="1"/>
  <c r="H202" i="6" s="1"/>
  <c r="G202" i="6" a="1"/>
  <c r="G202" i="6" s="1"/>
  <c r="F202" i="6" a="1"/>
  <c r="F202" i="6" s="1"/>
  <c r="E202" i="6" a="1"/>
  <c r="E202" i="6" s="1"/>
  <c r="D202" i="6" a="1"/>
  <c r="D202" i="6" s="1"/>
  <c r="AH201" i="6"/>
  <c r="AH201" i="6" a="1"/>
  <c r="AG201" i="6" a="1"/>
  <c r="AG201" i="6" s="1"/>
  <c r="AF201" i="6"/>
  <c r="AF201" i="6" a="1"/>
  <c r="AE201" i="6"/>
  <c r="AE201" i="6" a="1"/>
  <c r="AD201" i="6"/>
  <c r="AD201" i="6" a="1"/>
  <c r="AC201" i="6"/>
  <c r="AC201" i="6" a="1"/>
  <c r="AB201" i="6"/>
  <c r="AB201" i="6" a="1"/>
  <c r="AA201" i="6"/>
  <c r="AA201" i="6" a="1"/>
  <c r="Z201" i="6" a="1"/>
  <c r="Z201" i="6" s="1"/>
  <c r="Y201" i="6" a="1"/>
  <c r="Y201" i="6" s="1"/>
  <c r="X201" i="6" a="1"/>
  <c r="X201" i="6" s="1"/>
  <c r="W201" i="6" a="1"/>
  <c r="W201" i="6" s="1"/>
  <c r="V201" i="6" a="1"/>
  <c r="V201" i="6" s="1"/>
  <c r="U201" i="6" a="1"/>
  <c r="U201" i="6" s="1"/>
  <c r="T201" i="6" a="1"/>
  <c r="T201" i="6" s="1"/>
  <c r="S201" i="6" a="1"/>
  <c r="S201" i="6" s="1"/>
  <c r="R201" i="6" a="1"/>
  <c r="R201" i="6" s="1"/>
  <c r="Q201" i="6"/>
  <c r="Q201" i="6" a="1"/>
  <c r="P201" i="6"/>
  <c r="P201" i="6" a="1"/>
  <c r="O201" i="6"/>
  <c r="O201" i="6" a="1"/>
  <c r="N201" i="6"/>
  <c r="N201" i="6" a="1"/>
  <c r="M201" i="6"/>
  <c r="M201" i="6" a="1"/>
  <c r="L201" i="6" a="1"/>
  <c r="L201" i="6" s="1"/>
  <c r="K201" i="6"/>
  <c r="K201" i="6" a="1"/>
  <c r="J201" i="6" a="1"/>
  <c r="J201" i="6" s="1"/>
  <c r="I201" i="6" a="1"/>
  <c r="I201" i="6" s="1"/>
  <c r="H201" i="6" a="1"/>
  <c r="H201" i="6" s="1"/>
  <c r="G201" i="6" a="1"/>
  <c r="G201" i="6" s="1"/>
  <c r="F201" i="6" a="1"/>
  <c r="F201" i="6" s="1"/>
  <c r="E201" i="6" a="1"/>
  <c r="E201" i="6" s="1"/>
  <c r="D201" i="6" a="1"/>
  <c r="D201" i="6" s="1"/>
  <c r="AH200" i="6" a="1"/>
  <c r="AH200" i="6" s="1"/>
  <c r="AG200" i="6"/>
  <c r="AG200" i="6" a="1"/>
  <c r="AF200" i="6"/>
  <c r="AF200" i="6" a="1"/>
  <c r="AE200" i="6"/>
  <c r="AE200" i="6" a="1"/>
  <c r="AD200" i="6"/>
  <c r="AD200" i="6" a="1"/>
  <c r="AC200" i="6" a="1"/>
  <c r="AC200" i="6" s="1"/>
  <c r="AB200" i="6" a="1"/>
  <c r="AB200" i="6" s="1"/>
  <c r="AA200" i="6"/>
  <c r="AA200" i="6" a="1"/>
  <c r="Z200" i="6" a="1"/>
  <c r="Z200" i="6" s="1"/>
  <c r="Y200" i="6" a="1"/>
  <c r="Y200" i="6" s="1"/>
  <c r="X200" i="6" a="1"/>
  <c r="X200" i="6" s="1"/>
  <c r="W200" i="6" a="1"/>
  <c r="W200" i="6" s="1"/>
  <c r="V200" i="6" a="1"/>
  <c r="V200" i="6" s="1"/>
  <c r="U200" i="6"/>
  <c r="U200" i="6" a="1"/>
  <c r="T200" i="6" a="1"/>
  <c r="T200" i="6" s="1"/>
  <c r="S200" i="6" a="1"/>
  <c r="S200" i="6" s="1"/>
  <c r="R200" i="6"/>
  <c r="R200" i="6" a="1"/>
  <c r="Q200" i="6"/>
  <c r="Q200" i="6" a="1"/>
  <c r="P200" i="6"/>
  <c r="P200" i="6" a="1"/>
  <c r="O200" i="6" a="1"/>
  <c r="O200" i="6" s="1"/>
  <c r="N200" i="6" a="1"/>
  <c r="N200" i="6" s="1"/>
  <c r="M200" i="6" a="1"/>
  <c r="M200" i="6" s="1"/>
  <c r="L200" i="6"/>
  <c r="L200" i="6" a="1"/>
  <c r="K200" i="6" a="1"/>
  <c r="K200" i="6" s="1"/>
  <c r="J200" i="6" a="1"/>
  <c r="J200" i="6" s="1"/>
  <c r="I200" i="6" a="1"/>
  <c r="I200" i="6" s="1"/>
  <c r="H200" i="6" a="1"/>
  <c r="H200" i="6" s="1"/>
  <c r="G200" i="6"/>
  <c r="G200" i="6" a="1"/>
  <c r="F200" i="6"/>
  <c r="F200" i="6" a="1"/>
  <c r="E200" i="6" a="1"/>
  <c r="E200" i="6" s="1"/>
  <c r="D200" i="6" a="1"/>
  <c r="D200" i="6" s="1"/>
  <c r="AH199" i="6"/>
  <c r="AH199" i="6" a="1"/>
  <c r="AG199" i="6"/>
  <c r="AG199" i="6" a="1"/>
  <c r="AF199" i="6" a="1"/>
  <c r="AF199" i="6" s="1"/>
  <c r="AE199" i="6" a="1"/>
  <c r="AE199" i="6" s="1"/>
  <c r="AD199" i="6" a="1"/>
  <c r="AD199" i="6" s="1"/>
  <c r="AC199" i="6" a="1"/>
  <c r="AC199" i="6" s="1"/>
  <c r="AB199" i="6"/>
  <c r="AB199" i="6" a="1"/>
  <c r="AA199" i="6" a="1"/>
  <c r="AA199" i="6" s="1"/>
  <c r="Z199" i="6" a="1"/>
  <c r="Z199" i="6" s="1"/>
  <c r="Y199" i="6" a="1"/>
  <c r="Y199" i="6" s="1"/>
  <c r="X199" i="6"/>
  <c r="X199" i="6" a="1"/>
  <c r="W199" i="6"/>
  <c r="W199" i="6" a="1"/>
  <c r="V199" i="6"/>
  <c r="V199" i="6" a="1"/>
  <c r="U199" i="6" a="1"/>
  <c r="U199" i="6" s="1"/>
  <c r="T199" i="6" a="1"/>
  <c r="T199" i="6" s="1"/>
  <c r="S199" i="6"/>
  <c r="S199" i="6" a="1"/>
  <c r="R199" i="6" a="1"/>
  <c r="R199" i="6" s="1"/>
  <c r="Q199" i="6" a="1"/>
  <c r="Q199" i="6" s="1"/>
  <c r="P199" i="6" a="1"/>
  <c r="P199" i="6" s="1"/>
  <c r="O199" i="6" a="1"/>
  <c r="O199" i="6" s="1"/>
  <c r="N199" i="6" a="1"/>
  <c r="N199" i="6" s="1"/>
  <c r="M199" i="6"/>
  <c r="M199" i="6" a="1"/>
  <c r="L199" i="6" a="1"/>
  <c r="L199" i="6" s="1"/>
  <c r="K199" i="6" a="1"/>
  <c r="K199" i="6" s="1"/>
  <c r="J199" i="6"/>
  <c r="J199" i="6" a="1"/>
  <c r="I199" i="6"/>
  <c r="I199" i="6" a="1"/>
  <c r="H199" i="6"/>
  <c r="H199" i="6" a="1"/>
  <c r="G199" i="6"/>
  <c r="G199" i="6" a="1"/>
  <c r="F199" i="6"/>
  <c r="F199" i="6" a="1"/>
  <c r="E199" i="6" a="1"/>
  <c r="E199" i="6" s="1"/>
  <c r="D199" i="6" a="1"/>
  <c r="D199" i="6" s="1"/>
  <c r="AH198" i="6" a="1"/>
  <c r="AH198" i="6" s="1"/>
  <c r="AG198" i="6" a="1"/>
  <c r="AG198" i="6" s="1"/>
  <c r="AF198" i="6" a="1"/>
  <c r="AF198" i="6" s="1"/>
  <c r="AE198" i="6" a="1"/>
  <c r="AE198" i="6" s="1"/>
  <c r="AD198" i="6" a="1"/>
  <c r="AD198" i="6" s="1"/>
  <c r="AC198" i="6"/>
  <c r="AC198" i="6" a="1"/>
  <c r="AB198" i="6" a="1"/>
  <c r="AB198" i="6" s="1"/>
  <c r="AA198" i="6"/>
  <c r="AA198" i="6" a="1"/>
  <c r="Z198" i="6"/>
  <c r="Z198" i="6" a="1"/>
  <c r="Y198" i="6"/>
  <c r="Y198" i="6" a="1"/>
  <c r="X198" i="6"/>
  <c r="X198" i="6" a="1"/>
  <c r="W198" i="6"/>
  <c r="W198" i="6" a="1"/>
  <c r="V198" i="6"/>
  <c r="V198" i="6" a="1"/>
  <c r="U198" i="6" a="1"/>
  <c r="U198" i="6" s="1"/>
  <c r="T198" i="6" a="1"/>
  <c r="T198" i="6" s="1"/>
  <c r="S198" i="6" a="1"/>
  <c r="S198" i="6" s="1"/>
  <c r="R198" i="6" a="1"/>
  <c r="R198" i="6" s="1"/>
  <c r="Q198" i="6" a="1"/>
  <c r="Q198" i="6" s="1"/>
  <c r="P198" i="6" a="1"/>
  <c r="P198" i="6" s="1"/>
  <c r="O198" i="6" a="1"/>
  <c r="O198" i="6" s="1"/>
  <c r="N198" i="6" a="1"/>
  <c r="N198" i="6" s="1"/>
  <c r="M198" i="6" a="1"/>
  <c r="M198" i="6" s="1"/>
  <c r="L198" i="6"/>
  <c r="L198" i="6" a="1"/>
  <c r="K198" i="6"/>
  <c r="K198" i="6" a="1"/>
  <c r="J198" i="6"/>
  <c r="J198" i="6" a="1"/>
  <c r="I198" i="6"/>
  <c r="I198" i="6" a="1"/>
  <c r="H198" i="6"/>
  <c r="H198" i="6" a="1"/>
  <c r="G198" i="6" a="1"/>
  <c r="G198" i="6" s="1"/>
  <c r="F198" i="6"/>
  <c r="F198" i="6" a="1"/>
  <c r="E198" i="6" a="1"/>
  <c r="E198" i="6" s="1"/>
  <c r="D198" i="6" a="1"/>
  <c r="D198" i="6" s="1"/>
  <c r="AH197" i="6" a="1"/>
  <c r="AH197" i="6" s="1"/>
  <c r="AG197" i="6" a="1"/>
  <c r="AG197" i="6" s="1"/>
  <c r="AF197" i="6" a="1"/>
  <c r="AF197" i="6" s="1"/>
  <c r="AE197" i="6" a="1"/>
  <c r="AE197" i="6" s="1"/>
  <c r="AD197" i="6"/>
  <c r="AD197" i="6" a="1"/>
  <c r="AC197" i="6" a="1"/>
  <c r="AC197" i="6" s="1"/>
  <c r="AB197" i="6"/>
  <c r="AB197" i="6" a="1"/>
  <c r="AA197" i="6"/>
  <c r="AA197" i="6" a="1"/>
  <c r="Z197" i="6"/>
  <c r="Z197" i="6" a="1"/>
  <c r="Y197" i="6"/>
  <c r="Y197" i="6" a="1"/>
  <c r="X197" i="6" a="1"/>
  <c r="X197" i="6" s="1"/>
  <c r="W197" i="6" a="1"/>
  <c r="W197" i="6" s="1"/>
  <c r="V197" i="6"/>
  <c r="V197" i="6" a="1"/>
  <c r="U197" i="6" a="1"/>
  <c r="U197" i="6" s="1"/>
  <c r="T197" i="6" a="1"/>
  <c r="T197" i="6" s="1"/>
  <c r="S197" i="6" a="1"/>
  <c r="S197" i="6" s="1"/>
  <c r="R197" i="6" a="1"/>
  <c r="R197" i="6" s="1"/>
  <c r="Q197" i="6" a="1"/>
  <c r="Q197" i="6" s="1"/>
  <c r="P197" i="6"/>
  <c r="P197" i="6" a="1"/>
  <c r="O197" i="6"/>
  <c r="O197" i="6" a="1"/>
  <c r="N197" i="6" a="1"/>
  <c r="N197" i="6" s="1"/>
  <c r="M197" i="6"/>
  <c r="M197" i="6" a="1"/>
  <c r="L197" i="6"/>
  <c r="L197" i="6" a="1"/>
  <c r="K197" i="6"/>
  <c r="K197" i="6" a="1"/>
  <c r="J197" i="6" a="1"/>
  <c r="J197" i="6" s="1"/>
  <c r="I197" i="6" a="1"/>
  <c r="I197" i="6" s="1"/>
  <c r="H197" i="6" a="1"/>
  <c r="H197" i="6" s="1"/>
  <c r="G197" i="6"/>
  <c r="G197" i="6" a="1"/>
  <c r="F197" i="6" a="1"/>
  <c r="F197" i="6" s="1"/>
  <c r="E197" i="6" a="1"/>
  <c r="E197" i="6" s="1"/>
  <c r="D197" i="6" a="1"/>
  <c r="D197" i="6" s="1"/>
  <c r="AH196" i="6" a="1"/>
  <c r="AH196" i="6" s="1"/>
  <c r="AG196" i="6"/>
  <c r="AG196" i="6" a="1"/>
  <c r="AF196" i="6"/>
  <c r="AF196" i="6" a="1"/>
  <c r="AE196" i="6"/>
  <c r="AE196" i="6" a="1"/>
  <c r="AD196" i="6" a="1"/>
  <c r="AD196" i="6" s="1"/>
  <c r="AC196" i="6"/>
  <c r="AC196" i="6" a="1"/>
  <c r="AB196" i="6"/>
  <c r="AB196" i="6" a="1"/>
  <c r="AA196" i="6" a="1"/>
  <c r="AA196" i="6" s="1"/>
  <c r="Z196" i="6" a="1"/>
  <c r="Z196" i="6" s="1"/>
  <c r="Y196" i="6" a="1"/>
  <c r="Y196" i="6" s="1"/>
  <c r="X196" i="6" a="1"/>
  <c r="X196" i="6" s="1"/>
  <c r="W196" i="6"/>
  <c r="W196" i="6" a="1"/>
  <c r="V196" i="6" a="1"/>
  <c r="V196" i="6" s="1"/>
  <c r="U196" i="6" a="1"/>
  <c r="U196" i="6" s="1"/>
  <c r="T196" i="6" a="1"/>
  <c r="T196" i="6" s="1"/>
  <c r="S196" i="6"/>
  <c r="S196" i="6" a="1"/>
  <c r="R196" i="6"/>
  <c r="R196" i="6" a="1"/>
  <c r="Q196" i="6"/>
  <c r="Q196" i="6" a="1"/>
  <c r="P196" i="6"/>
  <c r="P196" i="6" a="1"/>
  <c r="O196" i="6" a="1"/>
  <c r="O196" i="6" s="1"/>
  <c r="N196" i="6"/>
  <c r="N196" i="6" a="1"/>
  <c r="M196" i="6" a="1"/>
  <c r="M196" i="6" s="1"/>
  <c r="L196" i="6" a="1"/>
  <c r="L196" i="6" s="1"/>
  <c r="K196" i="6" a="1"/>
  <c r="K196" i="6" s="1"/>
  <c r="J196" i="6" a="1"/>
  <c r="J196" i="6" s="1"/>
  <c r="I196" i="6" a="1"/>
  <c r="I196" i="6" s="1"/>
  <c r="H196" i="6"/>
  <c r="H196" i="6" a="1"/>
  <c r="G196" i="6" a="1"/>
  <c r="G196" i="6" s="1"/>
  <c r="F196" i="6" a="1"/>
  <c r="F196" i="6" s="1"/>
  <c r="E196" i="6"/>
  <c r="E196" i="6" a="1"/>
  <c r="D196" i="6"/>
  <c r="D196" i="6" a="1"/>
  <c r="AH195" i="6"/>
  <c r="AH195" i="6" a="1"/>
  <c r="AG195" i="6"/>
  <c r="AG195" i="6" a="1"/>
  <c r="AF195" i="6"/>
  <c r="AF195" i="6" a="1"/>
  <c r="AE195" i="6" a="1"/>
  <c r="AE195" i="6" s="1"/>
  <c r="AD195" i="6" a="1"/>
  <c r="AD195" i="6" s="1"/>
  <c r="AC195" i="6" a="1"/>
  <c r="AC195" i="6" s="1"/>
  <c r="AB195" i="6" a="1"/>
  <c r="AB195" i="6" s="1"/>
  <c r="AA195" i="6" a="1"/>
  <c r="AA195" i="6" s="1"/>
  <c r="Z195" i="6" a="1"/>
  <c r="Z195" i="6" s="1"/>
  <c r="Y195" i="6" a="1"/>
  <c r="Y195" i="6" s="1"/>
  <c r="X195" i="6"/>
  <c r="X195" i="6" a="1"/>
  <c r="W195" i="6" a="1"/>
  <c r="W195" i="6" s="1"/>
  <c r="V195" i="6"/>
  <c r="V195" i="6" a="1"/>
  <c r="U195" i="6"/>
  <c r="U195" i="6" a="1"/>
  <c r="T195" i="6"/>
  <c r="T195" i="6" a="1"/>
  <c r="S195" i="6"/>
  <c r="S195" i="6" a="1"/>
  <c r="R195" i="6"/>
  <c r="R195" i="6" a="1"/>
  <c r="Q195" i="6"/>
  <c r="Q195" i="6" a="1"/>
  <c r="P195" i="6" a="1"/>
  <c r="P195" i="6" s="1"/>
  <c r="O195" i="6" a="1"/>
  <c r="O195" i="6" s="1"/>
  <c r="N195" i="6" a="1"/>
  <c r="N195" i="6" s="1"/>
  <c r="M195" i="6" a="1"/>
  <c r="M195" i="6" s="1"/>
  <c r="L195" i="6" a="1"/>
  <c r="L195" i="6" s="1"/>
  <c r="K195" i="6" a="1"/>
  <c r="K195" i="6" s="1"/>
  <c r="J195" i="6" a="1"/>
  <c r="J195" i="6" s="1"/>
  <c r="I195" i="6" a="1"/>
  <c r="I195" i="6" s="1"/>
  <c r="H195" i="6" a="1"/>
  <c r="H195" i="6" s="1"/>
  <c r="G195" i="6"/>
  <c r="G195" i="6" a="1"/>
  <c r="F195" i="6"/>
  <c r="F195" i="6" a="1"/>
  <c r="E195" i="6"/>
  <c r="E195" i="6" a="1"/>
  <c r="D195" i="6"/>
  <c r="D195" i="6" a="1"/>
  <c r="AH194" i="6"/>
  <c r="AH194" i="6" a="1"/>
  <c r="AG194" i="6" a="1"/>
  <c r="AG194" i="6" s="1"/>
  <c r="AF194" i="6"/>
  <c r="AF194" i="6" a="1"/>
  <c r="AE194" i="6" a="1"/>
  <c r="AE194" i="6" s="1"/>
  <c r="AD194" i="6" a="1"/>
  <c r="AD194" i="6" s="1"/>
  <c r="AC194" i="6" a="1"/>
  <c r="AC194" i="6" s="1"/>
  <c r="AB194" i="6" a="1"/>
  <c r="AB194" i="6" s="1"/>
  <c r="AA194" i="6" a="1"/>
  <c r="AA194" i="6" s="1"/>
  <c r="Z194" i="6" a="1"/>
  <c r="Z194" i="6" s="1"/>
  <c r="Y194" i="6"/>
  <c r="Y194" i="6" a="1"/>
  <c r="X194" i="6" a="1"/>
  <c r="X194" i="6" s="1"/>
  <c r="W194" i="6"/>
  <c r="W194" i="6" a="1"/>
  <c r="V194" i="6"/>
  <c r="V194" i="6" a="1"/>
  <c r="U194" i="6"/>
  <c r="U194" i="6" a="1"/>
  <c r="T194" i="6"/>
  <c r="T194" i="6" a="1"/>
  <c r="S194" i="6" a="1"/>
  <c r="S194" i="6" s="1"/>
  <c r="R194" i="6" a="1"/>
  <c r="R194" i="6" s="1"/>
  <c r="Q194" i="6"/>
  <c r="Q194" i="6" a="1"/>
  <c r="P194" i="6" a="1"/>
  <c r="P194" i="6" s="1"/>
  <c r="O194" i="6" a="1"/>
  <c r="O194" i="6" s="1"/>
  <c r="N194" i="6" a="1"/>
  <c r="N194" i="6" s="1"/>
  <c r="M194" i="6" a="1"/>
  <c r="M194" i="6" s="1"/>
  <c r="L194" i="6" a="1"/>
  <c r="L194" i="6" s="1"/>
  <c r="K194" i="6"/>
  <c r="K194" i="6" a="1"/>
  <c r="J194" i="6"/>
  <c r="J194" i="6" a="1"/>
  <c r="I194" i="6" a="1"/>
  <c r="I194" i="6" s="1"/>
  <c r="H194" i="6"/>
  <c r="H194" i="6" a="1"/>
  <c r="G194" i="6"/>
  <c r="G194" i="6" a="1"/>
  <c r="F194" i="6"/>
  <c r="F194" i="6" a="1"/>
  <c r="E194" i="6" a="1"/>
  <c r="E194" i="6" s="1"/>
  <c r="D194" i="6" a="1"/>
  <c r="D194" i="6" s="1"/>
  <c r="AH193" i="6" a="1"/>
  <c r="AH193" i="6" s="1"/>
  <c r="AG193" i="6"/>
  <c r="AG193" i="6" a="1"/>
  <c r="AF193" i="6" a="1"/>
  <c r="AF193" i="6" s="1"/>
  <c r="AE193" i="6" a="1"/>
  <c r="AE193" i="6" s="1"/>
  <c r="AD193" i="6" a="1"/>
  <c r="AD193" i="6" s="1"/>
  <c r="AC193" i="6" a="1"/>
  <c r="AC193" i="6" s="1"/>
  <c r="AB193" i="6"/>
  <c r="AB193" i="6" a="1"/>
  <c r="AA193" i="6"/>
  <c r="AA193" i="6" a="1"/>
  <c r="Z193" i="6"/>
  <c r="Z193" i="6" a="1"/>
  <c r="Y193" i="6" a="1"/>
  <c r="Y193" i="6" s="1"/>
  <c r="X193" i="6"/>
  <c r="X193" i="6" a="1"/>
  <c r="W193" i="6"/>
  <c r="W193" i="6" a="1"/>
  <c r="V193" i="6" a="1"/>
  <c r="V193" i="6" s="1"/>
  <c r="U193" i="6" a="1"/>
  <c r="U193" i="6" s="1"/>
  <c r="T193" i="6" a="1"/>
  <c r="T193" i="6" s="1"/>
  <c r="S193" i="6" a="1"/>
  <c r="S193" i="6" s="1"/>
  <c r="R193" i="6"/>
  <c r="R193" i="6" a="1"/>
  <c r="Q193" i="6" a="1"/>
  <c r="Q193" i="6" s="1"/>
  <c r="P193" i="6" a="1"/>
  <c r="P193" i="6" s="1"/>
  <c r="O193" i="6" a="1"/>
  <c r="O193" i="6" s="1"/>
  <c r="N193" i="6"/>
  <c r="N193" i="6" a="1"/>
  <c r="M193" i="6"/>
  <c r="M193" i="6" a="1"/>
  <c r="L193" i="6"/>
  <c r="L193" i="6" a="1"/>
  <c r="K193" i="6"/>
  <c r="K193" i="6" a="1"/>
  <c r="J193" i="6" a="1"/>
  <c r="J193" i="6" s="1"/>
  <c r="I193" i="6"/>
  <c r="I193" i="6" a="1"/>
  <c r="H193" i="6" a="1"/>
  <c r="H193" i="6" s="1"/>
  <c r="G193" i="6" a="1"/>
  <c r="G193" i="6" s="1"/>
  <c r="F193" i="6" a="1"/>
  <c r="F193" i="6" s="1"/>
  <c r="E193" i="6" a="1"/>
  <c r="E193" i="6" s="1"/>
  <c r="D193" i="6" a="1"/>
  <c r="D193" i="6" s="1"/>
  <c r="AH192" i="6"/>
  <c r="AH192" i="6" a="1"/>
  <c r="AG192" i="6" a="1"/>
  <c r="AG192" i="6" s="1"/>
  <c r="AF192" i="6" a="1"/>
  <c r="AF192" i="6" s="1"/>
  <c r="AE192" i="6"/>
  <c r="AE192" i="6" a="1"/>
  <c r="AD192" i="6"/>
  <c r="AD192" i="6" a="1"/>
  <c r="AC192" i="6"/>
  <c r="AC192" i="6" a="1"/>
  <c r="AB192" i="6"/>
  <c r="AB192" i="6" a="1"/>
  <c r="AA192" i="6"/>
  <c r="AA192" i="6" a="1"/>
  <c r="Z192" i="6" a="1"/>
  <c r="Z192" i="6" s="1"/>
  <c r="Y192" i="6" a="1"/>
  <c r="Y192" i="6" s="1"/>
  <c r="X192" i="6"/>
  <c r="X192" i="6" a="1"/>
  <c r="W192" i="6"/>
  <c r="W192" i="6" a="1"/>
  <c r="V192" i="6" a="1"/>
  <c r="V192" i="6" s="1"/>
  <c r="U192" i="6" a="1"/>
  <c r="U192" i="6" s="1"/>
  <c r="T192" i="6" a="1"/>
  <c r="T192" i="6" s="1"/>
  <c r="S192" i="6"/>
  <c r="S192" i="6" a="1"/>
  <c r="R192" i="6" a="1"/>
  <c r="R192" i="6" s="1"/>
  <c r="Q192" i="6" a="1"/>
  <c r="Q192" i="6" s="1"/>
  <c r="P192" i="6" a="1"/>
  <c r="P192" i="6" s="1"/>
  <c r="O192" i="6" a="1"/>
  <c r="O192" i="6" s="1"/>
  <c r="N192" i="6"/>
  <c r="N192" i="6" a="1"/>
  <c r="M192" i="6"/>
  <c r="M192" i="6" a="1"/>
  <c r="L192" i="6"/>
  <c r="L192" i="6" a="1"/>
  <c r="K192" i="6" a="1"/>
  <c r="K192" i="6" s="1"/>
  <c r="J192" i="6" a="1"/>
  <c r="J192" i="6" s="1"/>
  <c r="I192" i="6" a="1"/>
  <c r="I192" i="6" s="1"/>
  <c r="H192" i="6"/>
  <c r="H192" i="6" a="1"/>
  <c r="G192" i="6"/>
  <c r="G192" i="6" a="1"/>
  <c r="F192" i="6" a="1"/>
  <c r="F192" i="6" s="1"/>
  <c r="E192" i="6" a="1"/>
  <c r="E192" i="6" s="1"/>
  <c r="D192" i="6" a="1"/>
  <c r="D192" i="6" s="1"/>
  <c r="AH191" i="6" a="1"/>
  <c r="AH191" i="6" s="1"/>
  <c r="AG191" i="6" a="1"/>
  <c r="AG191" i="6" s="1"/>
  <c r="AF191" i="6" a="1"/>
  <c r="AF191" i="6" s="1"/>
  <c r="AE191" i="6" a="1"/>
  <c r="AE191" i="6" s="1"/>
  <c r="AD191" i="6"/>
  <c r="AD191" i="6" a="1"/>
  <c r="AC191" i="6"/>
  <c r="AC191" i="6" a="1"/>
  <c r="AB191" i="6" a="1"/>
  <c r="AB191" i="6" s="1"/>
  <c r="AA191" i="6"/>
  <c r="AA191" i="6" a="1"/>
  <c r="Z191" i="6"/>
  <c r="Z191" i="6" a="1"/>
  <c r="Y191" i="6"/>
  <c r="Y191" i="6" a="1"/>
  <c r="X191" i="6" a="1"/>
  <c r="X191" i="6" s="1"/>
  <c r="W191" i="6" a="1"/>
  <c r="W191" i="6" s="1"/>
  <c r="V191" i="6" a="1"/>
  <c r="V191" i="6" s="1"/>
  <c r="U191" i="6" a="1"/>
  <c r="U191" i="6" s="1"/>
  <c r="T191" i="6"/>
  <c r="T191" i="6" a="1"/>
  <c r="S191" i="6" a="1"/>
  <c r="S191" i="6" s="1"/>
  <c r="R191" i="6" a="1"/>
  <c r="R191" i="6" s="1"/>
  <c r="Q191" i="6" a="1"/>
  <c r="Q191" i="6" s="1"/>
  <c r="P191" i="6" a="1"/>
  <c r="P191" i="6" s="1"/>
  <c r="O191" i="6"/>
  <c r="O191" i="6" a="1"/>
  <c r="N191" i="6" a="1"/>
  <c r="N191" i="6" s="1"/>
  <c r="M191" i="6" a="1"/>
  <c r="M191" i="6" s="1"/>
  <c r="L191" i="6"/>
  <c r="L191" i="6" a="1"/>
  <c r="K191" i="6" a="1"/>
  <c r="K191" i="6" s="1"/>
  <c r="J191" i="6" a="1"/>
  <c r="J191" i="6" s="1"/>
  <c r="I191" i="6" a="1"/>
  <c r="I191" i="6" s="1"/>
  <c r="H191" i="6" a="1"/>
  <c r="H191" i="6" s="1"/>
  <c r="G191" i="6" a="1"/>
  <c r="G191" i="6" s="1"/>
  <c r="F191" i="6"/>
  <c r="F191" i="6" a="1"/>
  <c r="E191" i="6"/>
  <c r="E191" i="6" a="1"/>
  <c r="D191" i="6" a="1"/>
  <c r="D191" i="6" s="1"/>
  <c r="AH190" i="6" a="1"/>
  <c r="AH190" i="6" s="1"/>
  <c r="AG190" i="6" a="1"/>
  <c r="AG190" i="6" s="1"/>
  <c r="AF190" i="6" a="1"/>
  <c r="AF190" i="6" s="1"/>
  <c r="AE190" i="6"/>
  <c r="AE190" i="6" a="1"/>
  <c r="AD190" i="6"/>
  <c r="AD190" i="6" a="1"/>
  <c r="AC190" i="6"/>
  <c r="AC190" i="6" a="1"/>
  <c r="AB190" i="6" a="1"/>
  <c r="AB190" i="6" s="1"/>
  <c r="AA190" i="6"/>
  <c r="AA190" i="6" a="1"/>
  <c r="Z190" i="6"/>
  <c r="Z190" i="6" a="1"/>
  <c r="Y190" i="6"/>
  <c r="Y190" i="6" a="1"/>
  <c r="X190" i="6"/>
  <c r="X190" i="6" a="1"/>
  <c r="W190" i="6"/>
  <c r="W190" i="6" a="1"/>
  <c r="V190" i="6" a="1"/>
  <c r="V190" i="6" s="1"/>
  <c r="U190" i="6" a="1"/>
  <c r="U190" i="6" s="1"/>
  <c r="T190" i="6"/>
  <c r="T190" i="6" a="1"/>
  <c r="S190" i="6" a="1"/>
  <c r="S190" i="6" s="1"/>
  <c r="R190" i="6" a="1"/>
  <c r="R190" i="6" s="1"/>
  <c r="Q190" i="6" a="1"/>
  <c r="Q190" i="6" s="1"/>
  <c r="P190" i="6" a="1"/>
  <c r="P190" i="6" s="1"/>
  <c r="O190" i="6" a="1"/>
  <c r="O190" i="6" s="1"/>
  <c r="N190" i="6" a="1"/>
  <c r="N190" i="6" s="1"/>
  <c r="M190" i="6" a="1"/>
  <c r="M190" i="6" s="1"/>
  <c r="L190" i="6"/>
  <c r="L190" i="6" a="1"/>
  <c r="K190" i="6"/>
  <c r="K190" i="6" a="1"/>
  <c r="J190" i="6"/>
  <c r="J190" i="6" a="1"/>
  <c r="I190" i="6"/>
  <c r="I190" i="6" a="1"/>
  <c r="H190" i="6" a="1"/>
  <c r="H190" i="6" s="1"/>
  <c r="G190" i="6" a="1"/>
  <c r="G190" i="6" s="1"/>
  <c r="F190" i="6"/>
  <c r="F190" i="6" a="1"/>
  <c r="E190" i="6"/>
  <c r="E190" i="6" a="1"/>
  <c r="D190" i="6" a="1"/>
  <c r="D190" i="6" s="1"/>
  <c r="AH189" i="6" a="1"/>
  <c r="AH189" i="6" s="1"/>
  <c r="AG189" i="6" a="1"/>
  <c r="AG189" i="6" s="1"/>
  <c r="AF189" i="6" a="1"/>
  <c r="AF189" i="6" s="1"/>
  <c r="AE189" i="6" a="1"/>
  <c r="AE189" i="6" s="1"/>
  <c r="AD189" i="6" a="1"/>
  <c r="AD189" i="6" s="1"/>
  <c r="AC189" i="6" a="1"/>
  <c r="AC189" i="6" s="1"/>
  <c r="AB189" i="6"/>
  <c r="AB189" i="6" a="1"/>
  <c r="AA189" i="6"/>
  <c r="AA189" i="6" a="1"/>
  <c r="Z189" i="6"/>
  <c r="Z189" i="6" a="1"/>
  <c r="Y189" i="6"/>
  <c r="Y189" i="6" a="1"/>
  <c r="X189" i="6" a="1"/>
  <c r="X189" i="6" s="1"/>
  <c r="W189" i="6" a="1"/>
  <c r="W189" i="6" s="1"/>
  <c r="V189" i="6"/>
  <c r="V189" i="6" a="1"/>
  <c r="U189" i="6"/>
  <c r="U189" i="6" a="1"/>
  <c r="T189" i="6" a="1"/>
  <c r="T189" i="6" s="1"/>
  <c r="S189" i="6" a="1"/>
  <c r="S189" i="6" s="1"/>
  <c r="R189" i="6" a="1"/>
  <c r="R189" i="6" s="1"/>
  <c r="Q189" i="6" a="1"/>
  <c r="Q189" i="6" s="1"/>
  <c r="P189" i="6" a="1"/>
  <c r="P189" i="6" s="1"/>
  <c r="O189" i="6" a="1"/>
  <c r="O189" i="6" s="1"/>
  <c r="N189" i="6" a="1"/>
  <c r="N189" i="6" s="1"/>
  <c r="M189" i="6"/>
  <c r="M189" i="6" a="1"/>
  <c r="L189" i="6"/>
  <c r="L189" i="6" a="1"/>
  <c r="K189" i="6"/>
  <c r="K189" i="6" a="1"/>
  <c r="J189" i="6" a="1"/>
  <c r="J189" i="6" s="1"/>
  <c r="I189" i="6" a="1"/>
  <c r="I189" i="6" s="1"/>
  <c r="H189" i="6" a="1"/>
  <c r="H189" i="6" s="1"/>
  <c r="G189" i="6"/>
  <c r="G189" i="6" a="1"/>
  <c r="F189" i="6"/>
  <c r="F189" i="6" a="1"/>
  <c r="E189" i="6" a="1"/>
  <c r="E189" i="6" s="1"/>
  <c r="D189" i="6" a="1"/>
  <c r="D189" i="6" s="1"/>
  <c r="AH188" i="6" a="1"/>
  <c r="AH188" i="6" s="1"/>
  <c r="AG188" i="6"/>
  <c r="AG188" i="6" a="1"/>
  <c r="AF188" i="6" a="1"/>
  <c r="AF188" i="6" s="1"/>
  <c r="AE188" i="6" a="1"/>
  <c r="AE188" i="6" s="1"/>
  <c r="AD188" i="6" a="1"/>
  <c r="AD188" i="6" s="1"/>
  <c r="AC188" i="6"/>
  <c r="AC188" i="6" a="1"/>
  <c r="AB188" i="6"/>
  <c r="AB188" i="6" a="1"/>
  <c r="AA188" i="6" a="1"/>
  <c r="AA188" i="6" s="1"/>
  <c r="Z188" i="6" a="1"/>
  <c r="Z188" i="6" s="1"/>
  <c r="Y188" i="6" a="1"/>
  <c r="Y188" i="6" s="1"/>
  <c r="X188" i="6" a="1"/>
  <c r="X188" i="6" s="1"/>
  <c r="W188" i="6"/>
  <c r="W188" i="6" a="1"/>
  <c r="V188" i="6"/>
  <c r="V188" i="6" a="1"/>
  <c r="U188" i="6" a="1"/>
  <c r="U188" i="6" s="1"/>
  <c r="T188" i="6" a="1"/>
  <c r="T188" i="6" s="1"/>
  <c r="S188" i="6"/>
  <c r="S188" i="6" a="1"/>
  <c r="R188" i="6"/>
  <c r="R188" i="6" a="1"/>
  <c r="Q188" i="6" a="1"/>
  <c r="Q188" i="6" s="1"/>
  <c r="P188" i="6" a="1"/>
  <c r="P188" i="6" s="1"/>
  <c r="O188" i="6" a="1"/>
  <c r="O188" i="6" s="1"/>
  <c r="N188" i="6"/>
  <c r="N188" i="6" a="1"/>
  <c r="M188" i="6" a="1"/>
  <c r="M188" i="6" s="1"/>
  <c r="L188" i="6" a="1"/>
  <c r="L188" i="6" s="1"/>
  <c r="K188" i="6" a="1"/>
  <c r="K188" i="6" s="1"/>
  <c r="J188" i="6" a="1"/>
  <c r="J188" i="6" s="1"/>
  <c r="I188" i="6" a="1"/>
  <c r="I188" i="6" s="1"/>
  <c r="H188" i="6"/>
  <c r="H188" i="6" a="1"/>
  <c r="G188" i="6"/>
  <c r="G188" i="6" a="1"/>
  <c r="F188" i="6" a="1"/>
  <c r="F188" i="6" s="1"/>
  <c r="E188" i="6"/>
  <c r="E188" i="6" a="1"/>
  <c r="D188" i="6"/>
  <c r="D188" i="6" a="1"/>
  <c r="AH187" i="6"/>
  <c r="AH187" i="6" a="1"/>
  <c r="AG187" i="6" a="1"/>
  <c r="AG187" i="6" s="1"/>
  <c r="AF187" i="6" a="1"/>
  <c r="AF187" i="6" s="1"/>
  <c r="AE187" i="6" a="1"/>
  <c r="AE187" i="6" s="1"/>
  <c r="AD187" i="6" a="1"/>
  <c r="AD187" i="6" s="1"/>
  <c r="AC187" i="6" a="1"/>
  <c r="AC187" i="6" s="1"/>
  <c r="AB187" i="6" a="1"/>
  <c r="AB187" i="6" s="1"/>
  <c r="AA187" i="6" a="1"/>
  <c r="AA187" i="6" s="1"/>
  <c r="Z187" i="6" a="1"/>
  <c r="Z187" i="6" s="1"/>
  <c r="Y187" i="6" a="1"/>
  <c r="Y187" i="6" s="1"/>
  <c r="X187" i="6"/>
  <c r="X187" i="6" a="1"/>
  <c r="W187" i="6" a="1"/>
  <c r="W187" i="6" s="1"/>
  <c r="V187" i="6"/>
  <c r="V187" i="6" a="1"/>
  <c r="U187" i="6"/>
  <c r="U187" i="6" a="1"/>
  <c r="T187" i="6"/>
  <c r="T187" i="6" a="1"/>
  <c r="S187" i="6"/>
  <c r="S187" i="6" a="1"/>
  <c r="R187" i="6" a="1"/>
  <c r="R187" i="6" s="1"/>
  <c r="Q187" i="6" a="1"/>
  <c r="Q187" i="6" s="1"/>
  <c r="P187" i="6" a="1"/>
  <c r="P187" i="6" s="1"/>
  <c r="O187" i="6"/>
  <c r="O187" i="6" a="1"/>
  <c r="N187" i="6" a="1"/>
  <c r="N187" i="6" s="1"/>
  <c r="M187" i="6" a="1"/>
  <c r="M187" i="6" s="1"/>
  <c r="L187" i="6" a="1"/>
  <c r="L187" i="6" s="1"/>
  <c r="K187" i="6" a="1"/>
  <c r="K187" i="6" s="1"/>
  <c r="J187" i="6" a="1"/>
  <c r="J187" i="6" s="1"/>
  <c r="I187" i="6" a="1"/>
  <c r="I187" i="6" s="1"/>
  <c r="H187" i="6" a="1"/>
  <c r="H187" i="6" s="1"/>
  <c r="G187" i="6"/>
  <c r="G187" i="6" a="1"/>
  <c r="F187" i="6"/>
  <c r="F187" i="6" a="1"/>
  <c r="E187" i="6"/>
  <c r="E187" i="6" a="1"/>
  <c r="D187" i="6"/>
  <c r="D187" i="6" a="1"/>
  <c r="AH186" i="6" a="1"/>
  <c r="AH186" i="6" s="1"/>
  <c r="AG186" i="6" a="1"/>
  <c r="AG186" i="6" s="1"/>
  <c r="AF186" i="6"/>
  <c r="AF186" i="6" a="1"/>
  <c r="AE186" i="6"/>
  <c r="AE186" i="6" a="1"/>
  <c r="AD186" i="6" a="1"/>
  <c r="AD186" i="6" s="1"/>
  <c r="AC186" i="6" a="1"/>
  <c r="AC186" i="6" s="1"/>
  <c r="AB186" i="6" a="1"/>
  <c r="AB186" i="6" s="1"/>
  <c r="AA186" i="6" a="1"/>
  <c r="AA186" i="6" s="1"/>
  <c r="Z186" i="6" a="1"/>
  <c r="Z186" i="6" s="1"/>
  <c r="Y186" i="6" a="1"/>
  <c r="Y186" i="6" s="1"/>
  <c r="X186" i="6" a="1"/>
  <c r="X186" i="6" s="1"/>
  <c r="W186" i="6"/>
  <c r="W186" i="6" a="1"/>
  <c r="V186" i="6"/>
  <c r="V186" i="6" a="1"/>
  <c r="U186" i="6"/>
  <c r="U186" i="6" a="1"/>
  <c r="T186" i="6"/>
  <c r="T186" i="6" a="1"/>
  <c r="S186" i="6" a="1"/>
  <c r="S186" i="6" s="1"/>
  <c r="R186" i="6" a="1"/>
  <c r="R186" i="6" s="1"/>
  <c r="Q186" i="6"/>
  <c r="Q186" i="6" a="1"/>
  <c r="P186" i="6"/>
  <c r="P186" i="6" a="1"/>
  <c r="O186" i="6" a="1"/>
  <c r="O186" i="6" s="1"/>
  <c r="N186" i="6" a="1"/>
  <c r="N186" i="6" s="1"/>
  <c r="M186" i="6" a="1"/>
  <c r="M186" i="6" s="1"/>
  <c r="L186" i="6" a="1"/>
  <c r="L186" i="6" s="1"/>
  <c r="K186" i="6" a="1"/>
  <c r="K186" i="6" s="1"/>
  <c r="J186" i="6" a="1"/>
  <c r="J186" i="6" s="1"/>
  <c r="I186" i="6" a="1"/>
  <c r="I186" i="6" s="1"/>
  <c r="H186" i="6"/>
  <c r="H186" i="6" a="1"/>
  <c r="G186" i="6"/>
  <c r="G186" i="6" a="1"/>
  <c r="F186" i="6"/>
  <c r="F186" i="6" a="1"/>
  <c r="E186" i="6" a="1"/>
  <c r="E186" i="6" s="1"/>
  <c r="D186" i="6" a="1"/>
  <c r="D186" i="6" s="1"/>
  <c r="AH185" i="6" a="1"/>
  <c r="AH185" i="6" s="1"/>
  <c r="AG185" i="6"/>
  <c r="AG185" i="6" a="1"/>
  <c r="AF185" i="6"/>
  <c r="AF185" i="6" a="1"/>
  <c r="AE185" i="6" a="1"/>
  <c r="AE185" i="6" s="1"/>
  <c r="AD185" i="6" a="1"/>
  <c r="AD185" i="6" s="1"/>
  <c r="AC185" i="6" a="1"/>
  <c r="AC185" i="6" s="1"/>
  <c r="AB185" i="6"/>
  <c r="AB185" i="6" a="1"/>
  <c r="AA185" i="6" a="1"/>
  <c r="AA185" i="6" s="1"/>
  <c r="Z185" i="6" a="1"/>
  <c r="Z185" i="6" s="1"/>
  <c r="Y185" i="6" a="1"/>
  <c r="Y185" i="6" s="1"/>
  <c r="X185" i="6"/>
  <c r="X185" i="6" a="1"/>
  <c r="W185" i="6"/>
  <c r="W185" i="6" a="1"/>
  <c r="V185" i="6" a="1"/>
  <c r="V185" i="6" s="1"/>
  <c r="U185" i="6" a="1"/>
  <c r="U185" i="6" s="1"/>
  <c r="T185" i="6" a="1"/>
  <c r="T185" i="6" s="1"/>
  <c r="S185" i="6" a="1"/>
  <c r="S185" i="6" s="1"/>
  <c r="R185" i="6"/>
  <c r="R185" i="6" a="1"/>
  <c r="Q185" i="6"/>
  <c r="Q185" i="6" a="1"/>
  <c r="P185" i="6" a="1"/>
  <c r="P185" i="6" s="1"/>
  <c r="O185" i="6" a="1"/>
  <c r="O185" i="6" s="1"/>
  <c r="N185" i="6"/>
  <c r="N185" i="6" a="1"/>
  <c r="M185" i="6"/>
  <c r="M185" i="6" a="1"/>
  <c r="L185" i="6" a="1"/>
  <c r="L185" i="6" s="1"/>
  <c r="K185" i="6" a="1"/>
  <c r="K185" i="6" s="1"/>
  <c r="J185" i="6" a="1"/>
  <c r="J185" i="6" s="1"/>
  <c r="I185" i="6"/>
  <c r="I185" i="6" a="1"/>
  <c r="H185" i="6" a="1"/>
  <c r="H185" i="6" s="1"/>
  <c r="G185" i="6" a="1"/>
  <c r="G185" i="6" s="1"/>
  <c r="F185" i="6" a="1"/>
  <c r="F185" i="6" s="1"/>
  <c r="E185" i="6" a="1"/>
  <c r="E185" i="6" s="1"/>
  <c r="D185" i="6" a="1"/>
  <c r="D185" i="6" s="1"/>
  <c r="AH184" i="6"/>
  <c r="AH184" i="6" a="1"/>
  <c r="AG184" i="6"/>
  <c r="AG184" i="6" a="1"/>
  <c r="AF184" i="6" a="1"/>
  <c r="AF184" i="6" s="1"/>
  <c r="AE184" i="6"/>
  <c r="AE184" i="6" a="1"/>
  <c r="AD184" i="6"/>
  <c r="AD184" i="6" a="1"/>
  <c r="AC184" i="6"/>
  <c r="AC184" i="6" a="1"/>
  <c r="AB184" i="6" a="1"/>
  <c r="AB184" i="6" s="1"/>
  <c r="AA184" i="6" a="1"/>
  <c r="AA184" i="6" s="1"/>
  <c r="Z184" i="6" a="1"/>
  <c r="Z184" i="6" s="1"/>
  <c r="Y184" i="6" a="1"/>
  <c r="Y184" i="6" s="1"/>
  <c r="X184" i="6" a="1"/>
  <c r="X184" i="6" s="1"/>
  <c r="W184" i="6" a="1"/>
  <c r="W184" i="6" s="1"/>
  <c r="V184" i="6" a="1"/>
  <c r="V184" i="6" s="1"/>
  <c r="U184" i="6" a="1"/>
  <c r="U184" i="6" s="1"/>
  <c r="T184" i="6" a="1"/>
  <c r="T184" i="6" s="1"/>
  <c r="S184" i="6"/>
  <c r="S184" i="6" a="1"/>
  <c r="R184" i="6" a="1"/>
  <c r="R184" i="6" s="1"/>
  <c r="Q184" i="6"/>
  <c r="Q184" i="6" a="1"/>
  <c r="P184" i="6"/>
  <c r="P184" i="6" a="1"/>
  <c r="O184" i="6"/>
  <c r="O184" i="6" a="1"/>
  <c r="N184" i="6"/>
  <c r="N184" i="6" a="1"/>
  <c r="M184" i="6" a="1"/>
  <c r="M184" i="6" s="1"/>
  <c r="L184" i="6" a="1"/>
  <c r="L184" i="6" s="1"/>
  <c r="K184" i="6" a="1"/>
  <c r="K184" i="6" s="1"/>
  <c r="J184" i="6"/>
  <c r="J184" i="6" a="1"/>
  <c r="I184" i="6" a="1"/>
  <c r="I184" i="6" s="1"/>
  <c r="H184" i="6" a="1"/>
  <c r="H184" i="6" s="1"/>
  <c r="G184" i="6" a="1"/>
  <c r="G184" i="6" s="1"/>
  <c r="F184" i="6" a="1"/>
  <c r="F184" i="6" s="1"/>
  <c r="E184" i="6" a="1"/>
  <c r="E184" i="6" s="1"/>
  <c r="D184" i="6" a="1"/>
  <c r="D184" i="6" s="1"/>
  <c r="AH183" i="6" a="1"/>
  <c r="AH183" i="6" s="1"/>
  <c r="AG183" i="6"/>
  <c r="AG183" i="6" a="1"/>
  <c r="AF183" i="6"/>
  <c r="AF183" i="6" a="1"/>
  <c r="AE183" i="6"/>
  <c r="AE183" i="6" a="1"/>
  <c r="AD183" i="6"/>
  <c r="AD183" i="6" a="1"/>
  <c r="AC183" i="6" a="1"/>
  <c r="AC183" i="6" s="1"/>
  <c r="AB183" i="6" a="1"/>
  <c r="AB183" i="6" s="1"/>
  <c r="AA183" i="6"/>
  <c r="AA183" i="6" a="1"/>
  <c r="Z183" i="6"/>
  <c r="Z183" i="6" a="1"/>
  <c r="Y183" i="6" a="1"/>
  <c r="Y183" i="6" s="1"/>
  <c r="X183" i="6" a="1"/>
  <c r="X183" i="6" s="1"/>
  <c r="W183" i="6" a="1"/>
  <c r="W183" i="6" s="1"/>
  <c r="V183" i="6" a="1"/>
  <c r="V183" i="6" s="1"/>
  <c r="U183" i="6" a="1"/>
  <c r="U183" i="6" s="1"/>
  <c r="T183" i="6" a="1"/>
  <c r="T183" i="6" s="1"/>
  <c r="S183" i="6" a="1"/>
  <c r="S183" i="6" s="1"/>
  <c r="R183" i="6"/>
  <c r="R183" i="6" a="1"/>
  <c r="Q183" i="6"/>
  <c r="Q183" i="6" a="1"/>
  <c r="P183" i="6"/>
  <c r="P183" i="6" a="1"/>
  <c r="O183" i="6"/>
  <c r="O183" i="6" a="1"/>
  <c r="N183" i="6" a="1"/>
  <c r="N183" i="6" s="1"/>
  <c r="M183" i="6" a="1"/>
  <c r="M183" i="6" s="1"/>
  <c r="L183" i="6"/>
  <c r="L183" i="6" a="1"/>
  <c r="K183" i="6"/>
  <c r="K183" i="6" a="1"/>
  <c r="J183" i="6" a="1"/>
  <c r="J183" i="6" s="1"/>
  <c r="I183" i="6" a="1"/>
  <c r="I183" i="6" s="1"/>
  <c r="H183" i="6" a="1"/>
  <c r="H183" i="6" s="1"/>
  <c r="G183" i="6" a="1"/>
  <c r="G183" i="6" s="1"/>
  <c r="F183" i="6" a="1"/>
  <c r="F183" i="6" s="1"/>
  <c r="E183" i="6" a="1"/>
  <c r="E183" i="6" s="1"/>
  <c r="D183" i="6" a="1"/>
  <c r="D183" i="6" s="1"/>
  <c r="AH182" i="6"/>
  <c r="AH182" i="6" a="1"/>
  <c r="AG182" i="6"/>
  <c r="AG182" i="6" a="1"/>
  <c r="AF182" i="6"/>
  <c r="AF182" i="6" a="1"/>
  <c r="AE182" i="6" a="1"/>
  <c r="AE182" i="6" s="1"/>
  <c r="AD182" i="6" a="1"/>
  <c r="AD182" i="6" s="1"/>
  <c r="AC182" i="6" a="1"/>
  <c r="AC182" i="6" s="1"/>
  <c r="AB182" i="6"/>
  <c r="AB182" i="6" a="1"/>
  <c r="AA182" i="6"/>
  <c r="AA182" i="6" a="1"/>
  <c r="Z182" i="6" a="1"/>
  <c r="Z182" i="6" s="1"/>
  <c r="Y182" i="6" a="1"/>
  <c r="Y182" i="6" s="1"/>
  <c r="X182" i="6" a="1"/>
  <c r="X182" i="6" s="1"/>
  <c r="W182" i="6"/>
  <c r="W182" i="6" a="1"/>
  <c r="V182" i="6" a="1"/>
  <c r="V182" i="6" s="1"/>
  <c r="U182" i="6" a="1"/>
  <c r="U182" i="6" s="1"/>
  <c r="T182" i="6" a="1"/>
  <c r="T182" i="6" s="1"/>
  <c r="S182" i="6"/>
  <c r="S182" i="6" a="1"/>
  <c r="R182" i="6"/>
  <c r="R182" i="6" a="1"/>
  <c r="Q182" i="6" a="1"/>
  <c r="Q182" i="6" s="1"/>
  <c r="P182" i="6" a="1"/>
  <c r="P182" i="6" s="1"/>
  <c r="O182" i="6" a="1"/>
  <c r="O182" i="6" s="1"/>
  <c r="N182" i="6" a="1"/>
  <c r="N182" i="6" s="1"/>
  <c r="M182" i="6"/>
  <c r="M182" i="6" a="1"/>
  <c r="L182" i="6"/>
  <c r="L182" i="6" a="1"/>
  <c r="K182" i="6" a="1"/>
  <c r="K182" i="6" s="1"/>
  <c r="J182" i="6" a="1"/>
  <c r="J182" i="6" s="1"/>
  <c r="I182" i="6"/>
  <c r="I182" i="6" a="1"/>
  <c r="H182" i="6"/>
  <c r="H182" i="6" a="1"/>
  <c r="G182" i="6" a="1"/>
  <c r="G182" i="6" s="1"/>
  <c r="F182" i="6"/>
  <c r="F182" i="6" a="1"/>
  <c r="E182" i="6" a="1"/>
  <c r="E182" i="6" s="1"/>
  <c r="D182" i="6"/>
  <c r="D182" i="6" a="1"/>
  <c r="AH181" i="6" a="1"/>
  <c r="AH181" i="6" s="1"/>
  <c r="AG181" i="6" a="1"/>
  <c r="AG181" i="6" s="1"/>
  <c r="AF181" i="6"/>
  <c r="AF181" i="6" a="1"/>
  <c r="AE181" i="6" a="1"/>
  <c r="AE181" i="6" s="1"/>
  <c r="AD181" i="6" a="1"/>
  <c r="AD181" i="6" s="1"/>
  <c r="AC181" i="6"/>
  <c r="AC181" i="6" a="1"/>
  <c r="AB181" i="6"/>
  <c r="AB181" i="6" a="1"/>
  <c r="AA181" i="6" a="1"/>
  <c r="AA181" i="6" s="1"/>
  <c r="Z181" i="6"/>
  <c r="Z181" i="6" a="1"/>
  <c r="Y181" i="6" a="1"/>
  <c r="Y181" i="6" s="1"/>
  <c r="X181" i="6"/>
  <c r="X181" i="6" a="1"/>
  <c r="W181" i="6" a="1"/>
  <c r="W181" i="6" s="1"/>
  <c r="V181" i="6" a="1"/>
  <c r="V181" i="6" s="1"/>
  <c r="U181" i="6" a="1"/>
  <c r="U181" i="6" s="1"/>
  <c r="T181" i="6" a="1"/>
  <c r="T181" i="6" s="1"/>
  <c r="S181" i="6" a="1"/>
  <c r="S181" i="6" s="1"/>
  <c r="R181" i="6" a="1"/>
  <c r="R181" i="6" s="1"/>
  <c r="Q181" i="6" a="1"/>
  <c r="Q181" i="6" s="1"/>
  <c r="P181" i="6" a="1"/>
  <c r="P181" i="6" s="1"/>
  <c r="O181" i="6" a="1"/>
  <c r="O181" i="6" s="1"/>
  <c r="N181" i="6"/>
  <c r="N181" i="6" a="1"/>
  <c r="M181" i="6" a="1"/>
  <c r="M181" i="6" s="1"/>
  <c r="L181" i="6"/>
  <c r="L181" i="6" a="1"/>
  <c r="K181" i="6"/>
  <c r="K181" i="6" a="1"/>
  <c r="J181" i="6" a="1"/>
  <c r="J181" i="6" s="1"/>
  <c r="I181" i="6"/>
  <c r="I181" i="6" a="1"/>
  <c r="H181" i="6" a="1"/>
  <c r="H181" i="6" s="1"/>
  <c r="G181" i="6" a="1"/>
  <c r="G181" i="6" s="1"/>
  <c r="F181" i="6" a="1"/>
  <c r="F181" i="6" s="1"/>
  <c r="E181" i="6"/>
  <c r="E181" i="6" a="1"/>
  <c r="D181" i="6" a="1"/>
  <c r="D181" i="6" s="1"/>
  <c r="AH180" i="6" a="1"/>
  <c r="AH180" i="6" s="1"/>
  <c r="AG180" i="6" a="1"/>
  <c r="AG180" i="6" s="1"/>
  <c r="AF180" i="6" a="1"/>
  <c r="AF180" i="6" s="1"/>
  <c r="AE180" i="6"/>
  <c r="AE180" i="6" a="1"/>
  <c r="AD180" i="6" a="1"/>
  <c r="AD180" i="6" s="1"/>
  <c r="AC180" i="6" a="1"/>
  <c r="AC180" i="6" s="1"/>
  <c r="AB180" i="6"/>
  <c r="AB180" i="6" a="1"/>
  <c r="AA180" i="6"/>
  <c r="AA180" i="6" a="1"/>
  <c r="Z180" i="6"/>
  <c r="Z180" i="6" a="1"/>
  <c r="Y180" i="6"/>
  <c r="Y180" i="6" a="1"/>
  <c r="X180" i="6" a="1"/>
  <c r="X180" i="6" s="1"/>
  <c r="W180" i="6" a="1"/>
  <c r="W180" i="6" s="1"/>
  <c r="V180" i="6"/>
  <c r="V180" i="6" a="1"/>
  <c r="U180" i="6"/>
  <c r="U180" i="6" a="1"/>
  <c r="T180" i="6" a="1"/>
  <c r="T180" i="6" s="1"/>
  <c r="S180" i="6" a="1"/>
  <c r="S180" i="6" s="1"/>
  <c r="R180" i="6" a="1"/>
  <c r="R180" i="6" s="1"/>
  <c r="Q180" i="6" a="1"/>
  <c r="Q180" i="6" s="1"/>
  <c r="P180" i="6" a="1"/>
  <c r="P180" i="6" s="1"/>
  <c r="O180" i="6"/>
  <c r="O180" i="6" a="1"/>
  <c r="N180" i="6" a="1"/>
  <c r="N180" i="6" s="1"/>
  <c r="M180" i="6"/>
  <c r="M180" i="6" a="1"/>
  <c r="L180" i="6"/>
  <c r="L180" i="6" a="1"/>
  <c r="K180" i="6" a="1"/>
  <c r="K180" i="6" s="1"/>
  <c r="J180" i="6"/>
  <c r="J180" i="6" a="1"/>
  <c r="I180" i="6" a="1"/>
  <c r="I180" i="6" s="1"/>
  <c r="H180" i="6" a="1"/>
  <c r="H180" i="6" s="1"/>
  <c r="G180" i="6"/>
  <c r="G180" i="6" a="1"/>
  <c r="F180" i="6"/>
  <c r="F180" i="6" a="1"/>
  <c r="E180" i="6" a="1"/>
  <c r="E180" i="6" s="1"/>
  <c r="D180" i="6" a="1"/>
  <c r="D180" i="6" s="1"/>
  <c r="AH179" i="6"/>
  <c r="AH179" i="6" a="1"/>
  <c r="AG179" i="6" a="1"/>
  <c r="AG179" i="6" s="1"/>
  <c r="AF179" i="6" a="1"/>
  <c r="AF179" i="6" s="1"/>
  <c r="AE179" i="6" a="1"/>
  <c r="AE179" i="6" s="1"/>
  <c r="AD179" i="6" a="1"/>
  <c r="AD179" i="6" s="1"/>
  <c r="AC179" i="6"/>
  <c r="AC179" i="6" a="1"/>
  <c r="AB179" i="6"/>
  <c r="AB179" i="6" a="1"/>
  <c r="AA179" i="6" a="1"/>
  <c r="AA179" i="6" s="1"/>
  <c r="Z179" i="6" a="1"/>
  <c r="Z179" i="6" s="1"/>
  <c r="Y179" i="6" a="1"/>
  <c r="Y179" i="6" s="1"/>
  <c r="X179" i="6" a="1"/>
  <c r="X179" i="6" s="1"/>
  <c r="W179" i="6"/>
  <c r="W179" i="6" a="1"/>
  <c r="V179" i="6"/>
  <c r="V179" i="6" a="1"/>
  <c r="U179" i="6" a="1"/>
  <c r="U179" i="6" s="1"/>
  <c r="T179" i="6" a="1"/>
  <c r="T179" i="6" s="1"/>
  <c r="S179" i="6" a="1"/>
  <c r="S179" i="6" s="1"/>
  <c r="R179" i="6"/>
  <c r="R179" i="6" a="1"/>
  <c r="Q179" i="6" a="1"/>
  <c r="Q179" i="6" s="1"/>
  <c r="P179" i="6" a="1"/>
  <c r="P179" i="6" s="1"/>
  <c r="O179" i="6" a="1"/>
  <c r="O179" i="6" s="1"/>
  <c r="N179" i="6" a="1"/>
  <c r="N179" i="6" s="1"/>
  <c r="M179" i="6"/>
  <c r="M179" i="6" a="1"/>
  <c r="L179" i="6" a="1"/>
  <c r="L179" i="6" s="1"/>
  <c r="K179" i="6" a="1"/>
  <c r="K179" i="6" s="1"/>
  <c r="J179" i="6" a="1"/>
  <c r="J179" i="6" s="1"/>
  <c r="I179" i="6" a="1"/>
  <c r="I179" i="6" s="1"/>
  <c r="H179" i="6"/>
  <c r="H179" i="6" a="1"/>
  <c r="G179" i="6"/>
  <c r="G179" i="6" a="1"/>
  <c r="F179" i="6" a="1"/>
  <c r="F179" i="6" s="1"/>
  <c r="E179" i="6" a="1"/>
  <c r="E179" i="6" s="1"/>
  <c r="D179" i="6"/>
  <c r="D179" i="6" a="1"/>
  <c r="AH178" i="6"/>
  <c r="AH178" i="6" a="1"/>
  <c r="AG178" i="6" a="1"/>
  <c r="AG178" i="6" s="1"/>
  <c r="AF178" i="6"/>
  <c r="AF178" i="6" a="1"/>
  <c r="AE178" i="6" a="1"/>
  <c r="AE178" i="6" s="1"/>
  <c r="AD178" i="6" a="1"/>
  <c r="AD178" i="6" s="1"/>
  <c r="AC178" i="6" a="1"/>
  <c r="AC178" i="6" s="1"/>
  <c r="AB178" i="6" a="1"/>
  <c r="AB178" i="6" s="1"/>
  <c r="AA178" i="6"/>
  <c r="AA178" i="6" a="1"/>
  <c r="Z178" i="6" a="1"/>
  <c r="Z178" i="6" s="1"/>
  <c r="Y178" i="6"/>
  <c r="Y178" i="6" a="1"/>
  <c r="X178" i="6"/>
  <c r="X178" i="6" a="1"/>
  <c r="W178" i="6"/>
  <c r="W178" i="6" a="1"/>
  <c r="V178" i="6" a="1"/>
  <c r="V178" i="6" s="1"/>
  <c r="U178" i="6"/>
  <c r="U178" i="6" a="1"/>
  <c r="T178" i="6"/>
  <c r="T178" i="6" a="1"/>
  <c r="S178" i="6"/>
  <c r="S178" i="6" a="1"/>
  <c r="R178" i="6" a="1"/>
  <c r="R178" i="6" s="1"/>
  <c r="Q178" i="6"/>
  <c r="Q178" i="6" a="1"/>
  <c r="P178" i="6" a="1"/>
  <c r="P178" i="6" s="1"/>
  <c r="O178" i="6" a="1"/>
  <c r="O178" i="6" s="1"/>
  <c r="N178" i="6" a="1"/>
  <c r="N178" i="6" s="1"/>
  <c r="M178" i="6" a="1"/>
  <c r="M178" i="6" s="1"/>
  <c r="L178" i="6"/>
  <c r="L178" i="6" a="1"/>
  <c r="K178" i="6" a="1"/>
  <c r="K178" i="6" s="1"/>
  <c r="J178" i="6" a="1"/>
  <c r="J178" i="6" s="1"/>
  <c r="I178" i="6" a="1"/>
  <c r="I178" i="6" s="1"/>
  <c r="H178" i="6" a="1"/>
  <c r="H178" i="6" s="1"/>
  <c r="G178" i="6" a="1"/>
  <c r="G178" i="6" s="1"/>
  <c r="F178" i="6"/>
  <c r="F178" i="6" a="1"/>
  <c r="E178" i="6" a="1"/>
  <c r="E178" i="6" s="1"/>
  <c r="D178" i="6"/>
  <c r="D178" i="6" a="1"/>
  <c r="AH177" i="6" a="1"/>
  <c r="AH177" i="6" s="1"/>
  <c r="AG177" i="6" a="1"/>
  <c r="AG177" i="6" s="1"/>
  <c r="AF177" i="6" a="1"/>
  <c r="AF177" i="6" s="1"/>
  <c r="AE177" i="6" a="1"/>
  <c r="AE177" i="6" s="1"/>
  <c r="AD177" i="6"/>
  <c r="AD177" i="6" a="1"/>
  <c r="AC177" i="6" a="1"/>
  <c r="AC177" i="6" s="1"/>
  <c r="AB177" i="6"/>
  <c r="AB177" i="6" a="1"/>
  <c r="AA177" i="6"/>
  <c r="AA177" i="6" a="1"/>
  <c r="Z177" i="6"/>
  <c r="Z177" i="6" a="1"/>
  <c r="Y177" i="6"/>
  <c r="Y177" i="6" a="1"/>
  <c r="X177" i="6" a="1"/>
  <c r="X177" i="6" s="1"/>
  <c r="W177" i="6"/>
  <c r="W177" i="6" a="1"/>
  <c r="V177" i="6" a="1"/>
  <c r="V177" i="6" s="1"/>
  <c r="U177" i="6"/>
  <c r="U177" i="6" a="1"/>
  <c r="T177" i="6" a="1"/>
  <c r="T177" i="6" s="1"/>
  <c r="S177" i="6" a="1"/>
  <c r="S177" i="6" s="1"/>
  <c r="R177" i="6" a="1"/>
  <c r="R177" i="6" s="1"/>
  <c r="Q177" i="6" a="1"/>
  <c r="Q177" i="6" s="1"/>
  <c r="P177" i="6"/>
  <c r="P177" i="6" a="1"/>
  <c r="O177" i="6" a="1"/>
  <c r="O177" i="6" s="1"/>
  <c r="N177" i="6" a="1"/>
  <c r="N177" i="6" s="1"/>
  <c r="M177" i="6"/>
  <c r="M177" i="6" a="1"/>
  <c r="L177" i="6"/>
  <c r="L177" i="6" a="1"/>
  <c r="K177" i="6"/>
  <c r="K177" i="6" a="1"/>
  <c r="J177" i="6" a="1"/>
  <c r="J177" i="6" s="1"/>
  <c r="I177" i="6"/>
  <c r="I177" i="6" a="1"/>
  <c r="H177" i="6"/>
  <c r="H177" i="6" a="1"/>
  <c r="G177" i="6" a="1"/>
  <c r="G177" i="6" s="1"/>
  <c r="F177" i="6" a="1"/>
  <c r="F177" i="6" s="1"/>
  <c r="E177" i="6" a="1"/>
  <c r="E177" i="6" s="1"/>
  <c r="D177" i="6" a="1"/>
  <c r="D177" i="6" s="1"/>
  <c r="AH176" i="6" a="1"/>
  <c r="AH176" i="6" s="1"/>
  <c r="AG176" i="6"/>
  <c r="AG176" i="6" a="1"/>
  <c r="AF176" i="6" a="1"/>
  <c r="AF176" i="6" s="1"/>
  <c r="AE176" i="6" a="1"/>
  <c r="AE176" i="6" s="1"/>
  <c r="AD176" i="6" a="1"/>
  <c r="AD176" i="6" s="1"/>
  <c r="AC176" i="6"/>
  <c r="AC176" i="6" a="1"/>
  <c r="AB176" i="6"/>
  <c r="AB176" i="6" a="1"/>
  <c r="AA176" i="6" a="1"/>
  <c r="AA176" i="6" s="1"/>
  <c r="Z176" i="6" a="1"/>
  <c r="Z176" i="6" s="1"/>
  <c r="Y176" i="6" a="1"/>
  <c r="Y176" i="6" s="1"/>
  <c r="X176" i="6"/>
  <c r="X176" i="6" a="1"/>
  <c r="W176" i="6" a="1"/>
  <c r="W176" i="6" s="1"/>
  <c r="V176" i="6" a="1"/>
  <c r="V176" i="6" s="1"/>
  <c r="U176" i="6" a="1"/>
  <c r="U176" i="6" s="1"/>
  <c r="T176" i="6" a="1"/>
  <c r="T176" i="6" s="1"/>
  <c r="S176" i="6"/>
  <c r="S176" i="6" a="1"/>
  <c r="R176" i="6"/>
  <c r="R176" i="6" a="1"/>
  <c r="Q176" i="6" a="1"/>
  <c r="Q176" i="6" s="1"/>
  <c r="P176" i="6" a="1"/>
  <c r="P176" i="6" s="1"/>
  <c r="O176" i="6"/>
  <c r="O176" i="6" a="1"/>
  <c r="N176" i="6"/>
  <c r="N176" i="6" a="1"/>
  <c r="M176" i="6" a="1"/>
  <c r="M176" i="6" s="1"/>
  <c r="L176" i="6" a="1"/>
  <c r="L176" i="6" s="1"/>
  <c r="K176" i="6" a="1"/>
  <c r="K176" i="6" s="1"/>
  <c r="J176" i="6" a="1"/>
  <c r="J176" i="6" s="1"/>
  <c r="I176" i="6"/>
  <c r="I176" i="6" a="1"/>
  <c r="H176" i="6" a="1"/>
  <c r="H176" i="6" s="1"/>
  <c r="G176" i="6" a="1"/>
  <c r="G176" i="6" s="1"/>
  <c r="F176" i="6" a="1"/>
  <c r="F176" i="6" s="1"/>
  <c r="E176" i="6"/>
  <c r="E176" i="6" a="1"/>
  <c r="D176" i="6"/>
  <c r="D176" i="6" a="1"/>
  <c r="AH175" i="6"/>
  <c r="AH175" i="6" a="1"/>
  <c r="AG175" i="6" a="1"/>
  <c r="AG175" i="6" s="1"/>
  <c r="AF175" i="6" a="1"/>
  <c r="AF175" i="6" s="1"/>
  <c r="AE175" i="6"/>
  <c r="AE175" i="6" a="1"/>
  <c r="AD175" i="6" a="1"/>
  <c r="AD175" i="6" s="1"/>
  <c r="AC175" i="6" a="1"/>
  <c r="AC175" i="6" s="1"/>
  <c r="AB175" i="6" a="1"/>
  <c r="AB175" i="6" s="1"/>
  <c r="AA175" i="6" a="1"/>
  <c r="AA175" i="6" s="1"/>
  <c r="Z175" i="6" a="1"/>
  <c r="Z175" i="6" s="1"/>
  <c r="Y175" i="6"/>
  <c r="Y175" i="6" a="1"/>
  <c r="X175" i="6" a="1"/>
  <c r="X175" i="6" s="1"/>
  <c r="W175" i="6" a="1"/>
  <c r="W175" i="6" s="1"/>
  <c r="V175" i="6"/>
  <c r="V175" i="6" a="1"/>
  <c r="U175" i="6"/>
  <c r="U175" i="6" a="1"/>
  <c r="T175" i="6"/>
  <c r="T175" i="6" a="1"/>
  <c r="S175" i="6"/>
  <c r="S175" i="6" a="1"/>
  <c r="R175" i="6" a="1"/>
  <c r="R175" i="6" s="1"/>
  <c r="Q175" i="6" a="1"/>
  <c r="Q175" i="6" s="1"/>
  <c r="P175" i="6" a="1"/>
  <c r="P175" i="6" s="1"/>
  <c r="O175" i="6" a="1"/>
  <c r="O175" i="6" s="1"/>
  <c r="N175" i="6" a="1"/>
  <c r="N175" i="6" s="1"/>
  <c r="M175" i="6" a="1"/>
  <c r="M175" i="6" s="1"/>
  <c r="L175" i="6" a="1"/>
  <c r="L175" i="6" s="1"/>
  <c r="K175" i="6" a="1"/>
  <c r="K175" i="6" s="1"/>
  <c r="J175" i="6"/>
  <c r="J175" i="6" a="1"/>
  <c r="I175" i="6" a="1"/>
  <c r="I175" i="6" s="1"/>
  <c r="H175" i="6"/>
  <c r="H175" i="6" a="1"/>
  <c r="G175" i="6"/>
  <c r="G175" i="6" a="1"/>
  <c r="F175" i="6"/>
  <c r="F175" i="6" a="1"/>
  <c r="E175" i="6"/>
  <c r="E175" i="6" a="1"/>
  <c r="D175" i="6"/>
  <c r="D175" i="6" a="1"/>
  <c r="AH174" i="6" a="1"/>
  <c r="AH174" i="6" s="1"/>
  <c r="AG174" i="6" a="1"/>
  <c r="AG174" i="6" s="1"/>
  <c r="AF174" i="6" a="1"/>
  <c r="AF174" i="6" s="1"/>
  <c r="AE174" i="6" a="1"/>
  <c r="AE174" i="6" s="1"/>
  <c r="AD174" i="6" a="1"/>
  <c r="AD174" i="6" s="1"/>
  <c r="AC174" i="6" a="1"/>
  <c r="AC174" i="6" s="1"/>
  <c r="AB174" i="6" a="1"/>
  <c r="AB174" i="6" s="1"/>
  <c r="AA174" i="6" a="1"/>
  <c r="AA174" i="6" s="1"/>
  <c r="Z174" i="6" a="1"/>
  <c r="Z174" i="6" s="1"/>
  <c r="Y174" i="6" a="1"/>
  <c r="Y174" i="6" s="1"/>
  <c r="X174" i="6"/>
  <c r="X174" i="6" a="1"/>
  <c r="W174" i="6"/>
  <c r="W174" i="6" a="1"/>
  <c r="V174" i="6"/>
  <c r="V174" i="6" a="1"/>
  <c r="U174" i="6"/>
  <c r="U174" i="6" a="1"/>
  <c r="T174" i="6"/>
  <c r="T174" i="6" a="1"/>
  <c r="S174" i="6" a="1"/>
  <c r="S174" i="6" s="1"/>
  <c r="R174" i="6"/>
  <c r="R174" i="6" a="1"/>
  <c r="Q174" i="6" a="1"/>
  <c r="Q174" i="6" s="1"/>
  <c r="P174" i="6" a="1"/>
  <c r="P174" i="6" s="1"/>
  <c r="O174" i="6" a="1"/>
  <c r="O174" i="6" s="1"/>
  <c r="N174" i="6" a="1"/>
  <c r="N174" i="6" s="1"/>
  <c r="M174" i="6" a="1"/>
  <c r="M174" i="6" s="1"/>
  <c r="L174" i="6" a="1"/>
  <c r="L174" i="6" s="1"/>
  <c r="K174" i="6" a="1"/>
  <c r="K174" i="6" s="1"/>
  <c r="J174" i="6" a="1"/>
  <c r="J174" i="6" s="1"/>
  <c r="I174" i="6"/>
  <c r="I174" i="6" a="1"/>
  <c r="H174" i="6"/>
  <c r="H174" i="6" a="1"/>
  <c r="G174" i="6"/>
  <c r="G174" i="6" a="1"/>
  <c r="F174" i="6"/>
  <c r="F174" i="6" a="1"/>
  <c r="E174" i="6" a="1"/>
  <c r="E174" i="6" s="1"/>
  <c r="D174" i="6" a="1"/>
  <c r="D174" i="6" s="1"/>
  <c r="AH173" i="6"/>
  <c r="AH173" i="6" a="1"/>
  <c r="AG173" i="6" a="1"/>
  <c r="AG173" i="6" s="1"/>
  <c r="AF173" i="6" a="1"/>
  <c r="AF173" i="6" s="1"/>
  <c r="AE173" i="6" a="1"/>
  <c r="AE173" i="6" s="1"/>
  <c r="AD173" i="6" a="1"/>
  <c r="AD173" i="6" s="1"/>
  <c r="AC173" i="6" a="1"/>
  <c r="AC173" i="6" s="1"/>
  <c r="AB173" i="6"/>
  <c r="AB173" i="6" a="1"/>
  <c r="AA173" i="6" a="1"/>
  <c r="AA173" i="6" s="1"/>
  <c r="Z173" i="6" a="1"/>
  <c r="Z173" i="6" s="1"/>
  <c r="Y173" i="6"/>
  <c r="Y173" i="6" a="1"/>
  <c r="X173" i="6"/>
  <c r="X173" i="6" a="1"/>
  <c r="W173" i="6"/>
  <c r="W173" i="6" a="1"/>
  <c r="V173" i="6" a="1"/>
  <c r="V173" i="6" s="1"/>
  <c r="U173" i="6" a="1"/>
  <c r="U173" i="6" s="1"/>
  <c r="T173" i="6" a="1"/>
  <c r="T173" i="6" s="1"/>
  <c r="S173" i="6"/>
  <c r="S173" i="6" a="1"/>
  <c r="R173" i="6" a="1"/>
  <c r="R173" i="6" s="1"/>
  <c r="Q173" i="6" a="1"/>
  <c r="Q173" i="6" s="1"/>
  <c r="P173" i="6" a="1"/>
  <c r="P173" i="6" s="1"/>
  <c r="O173" i="6" a="1"/>
  <c r="O173" i="6" s="1"/>
  <c r="N173" i="6"/>
  <c r="N173" i="6" a="1"/>
  <c r="M173" i="6"/>
  <c r="M173" i="6" a="1"/>
  <c r="L173" i="6" a="1"/>
  <c r="L173" i="6" s="1"/>
  <c r="K173" i="6" a="1"/>
  <c r="K173" i="6" s="1"/>
  <c r="J173" i="6"/>
  <c r="J173" i="6" a="1"/>
  <c r="I173" i="6"/>
  <c r="I173" i="6" a="1"/>
  <c r="H173" i="6" a="1"/>
  <c r="H173" i="6" s="1"/>
  <c r="G173" i="6" a="1"/>
  <c r="G173" i="6" s="1"/>
  <c r="F173" i="6" a="1"/>
  <c r="F173" i="6" s="1"/>
  <c r="E173" i="6" a="1"/>
  <c r="E173" i="6" s="1"/>
  <c r="D173" i="6"/>
  <c r="D173" i="6" a="1"/>
  <c r="AH172" i="6" a="1"/>
  <c r="AH172" i="6" s="1"/>
  <c r="AG172" i="6" a="1"/>
  <c r="AG172" i="6" s="1"/>
  <c r="AF172" i="6" a="1"/>
  <c r="AF172" i="6" s="1"/>
  <c r="AE172" i="6"/>
  <c r="AE172" i="6" a="1"/>
  <c r="AD172" i="6"/>
  <c r="AD172" i="6" a="1"/>
  <c r="AC172" i="6"/>
  <c r="AC172" i="6" a="1"/>
  <c r="AB172" i="6" a="1"/>
  <c r="AB172" i="6" s="1"/>
  <c r="AA172" i="6" a="1"/>
  <c r="AA172" i="6" s="1"/>
  <c r="Z172" i="6"/>
  <c r="Z172" i="6" a="1"/>
  <c r="Y172" i="6" a="1"/>
  <c r="Y172" i="6" s="1"/>
  <c r="X172" i="6" a="1"/>
  <c r="X172" i="6" s="1"/>
  <c r="W172" i="6" a="1"/>
  <c r="W172" i="6" s="1"/>
  <c r="V172" i="6" a="1"/>
  <c r="V172" i="6" s="1"/>
  <c r="U172" i="6" a="1"/>
  <c r="U172" i="6" s="1"/>
  <c r="T172" i="6"/>
  <c r="T172" i="6" a="1"/>
  <c r="S172" i="6" a="1"/>
  <c r="S172" i="6" s="1"/>
  <c r="R172" i="6" a="1"/>
  <c r="R172" i="6" s="1"/>
  <c r="Q172" i="6"/>
  <c r="Q172" i="6" a="1"/>
  <c r="P172" i="6"/>
  <c r="P172" i="6" a="1"/>
  <c r="O172" i="6"/>
  <c r="O172" i="6" a="1"/>
  <c r="N172" i="6"/>
  <c r="N172" i="6" a="1"/>
  <c r="M172" i="6" a="1"/>
  <c r="M172" i="6" s="1"/>
  <c r="L172" i="6" a="1"/>
  <c r="L172" i="6" s="1"/>
  <c r="K172" i="6" a="1"/>
  <c r="K172" i="6" s="1"/>
  <c r="J172" i="6" a="1"/>
  <c r="J172" i="6" s="1"/>
  <c r="I172" i="6" a="1"/>
  <c r="I172" i="6" s="1"/>
  <c r="H172" i="6" a="1"/>
  <c r="H172" i="6" s="1"/>
  <c r="G172" i="6" a="1"/>
  <c r="G172" i="6" s="1"/>
  <c r="F172" i="6" a="1"/>
  <c r="F172" i="6" s="1"/>
  <c r="E172" i="6"/>
  <c r="E172" i="6" a="1"/>
  <c r="D172" i="6" a="1"/>
  <c r="D172" i="6" s="1"/>
  <c r="AH171" i="6"/>
  <c r="AH171" i="6" a="1"/>
  <c r="AG171" i="6"/>
  <c r="AG171" i="6" a="1"/>
  <c r="AF171" i="6"/>
  <c r="AF171" i="6" a="1"/>
  <c r="AE171" i="6"/>
  <c r="AE171" i="6" a="1"/>
  <c r="AD171" i="6"/>
  <c r="AD171" i="6" a="1"/>
  <c r="AC171" i="6" a="1"/>
  <c r="AC171" i="6" s="1"/>
  <c r="AB171" i="6" a="1"/>
  <c r="AB171" i="6" s="1"/>
  <c r="AA171" i="6" a="1"/>
  <c r="AA171" i="6" s="1"/>
  <c r="Z171" i="6" a="1"/>
  <c r="Z171" i="6" s="1"/>
  <c r="Y171" i="6" a="1"/>
  <c r="Y171" i="6" s="1"/>
  <c r="X171" i="6" a="1"/>
  <c r="X171" i="6" s="1"/>
  <c r="W171" i="6" a="1"/>
  <c r="W171" i="6" s="1"/>
  <c r="V171" i="6" a="1"/>
  <c r="V171" i="6" s="1"/>
  <c r="U171" i="6" a="1"/>
  <c r="U171" i="6" s="1"/>
  <c r="T171" i="6" a="1"/>
  <c r="T171" i="6" s="1"/>
  <c r="S171" i="6"/>
  <c r="S171" i="6" a="1"/>
  <c r="R171" i="6"/>
  <c r="R171" i="6" a="1"/>
  <c r="Q171" i="6"/>
  <c r="Q171" i="6" a="1"/>
  <c r="P171" i="6"/>
  <c r="P171" i="6" a="1"/>
  <c r="O171" i="6"/>
  <c r="O171" i="6" a="1"/>
  <c r="N171" i="6" a="1"/>
  <c r="N171" i="6" s="1"/>
  <c r="M171" i="6"/>
  <c r="M171" i="6" a="1"/>
  <c r="L171" i="6" a="1"/>
  <c r="L171" i="6" s="1"/>
  <c r="K171" i="6" a="1"/>
  <c r="K171" i="6" s="1"/>
  <c r="J171" i="6" a="1"/>
  <c r="J171" i="6" s="1"/>
  <c r="I171" i="6" a="1"/>
  <c r="I171" i="6" s="1"/>
  <c r="H171" i="6" a="1"/>
  <c r="H171" i="6" s="1"/>
  <c r="G171" i="6" a="1"/>
  <c r="G171" i="6" s="1"/>
  <c r="F171" i="6" a="1"/>
  <c r="F171" i="6" s="1"/>
  <c r="E171" i="6"/>
  <c r="E171" i="6" a="1"/>
  <c r="D171" i="6"/>
  <c r="D171" i="6" a="1"/>
  <c r="AH170" i="6"/>
  <c r="AH170" i="6" a="1"/>
  <c r="AG170" i="6"/>
  <c r="AG170" i="6" a="1"/>
  <c r="AF170" i="6"/>
  <c r="AF170" i="6" a="1"/>
  <c r="AE170" i="6" a="1"/>
  <c r="AE170" i="6" s="1"/>
  <c r="AD170" i="6" a="1"/>
  <c r="AD170" i="6" s="1"/>
  <c r="AC170" i="6"/>
  <c r="AC170" i="6" a="1"/>
  <c r="AB170" i="6" a="1"/>
  <c r="AB170" i="6" s="1"/>
  <c r="AA170" i="6" a="1"/>
  <c r="AA170" i="6" s="1"/>
  <c r="Z170" i="6" a="1"/>
  <c r="Z170" i="6" s="1"/>
  <c r="Y170" i="6" a="1"/>
  <c r="Y170" i="6" s="1"/>
  <c r="X170" i="6" a="1"/>
  <c r="X170" i="6" s="1"/>
  <c r="W170" i="6"/>
  <c r="W170" i="6" a="1"/>
  <c r="V170" i="6" a="1"/>
  <c r="V170" i="6" s="1"/>
  <c r="U170" i="6" a="1"/>
  <c r="U170" i="6" s="1"/>
  <c r="T170" i="6"/>
  <c r="T170" i="6" a="1"/>
  <c r="S170" i="6"/>
  <c r="S170" i="6" a="1"/>
  <c r="R170" i="6"/>
  <c r="R170" i="6" a="1"/>
  <c r="Q170" i="6" a="1"/>
  <c r="Q170" i="6" s="1"/>
  <c r="P170" i="6" a="1"/>
  <c r="P170" i="6" s="1"/>
  <c r="O170" i="6"/>
  <c r="O170" i="6" a="1"/>
  <c r="N170" i="6"/>
  <c r="N170" i="6" a="1"/>
  <c r="M170" i="6" a="1"/>
  <c r="M170" i="6" s="1"/>
  <c r="L170" i="6" a="1"/>
  <c r="L170" i="6" s="1"/>
  <c r="K170" i="6" a="1"/>
  <c r="K170" i="6" s="1"/>
  <c r="J170" i="6" a="1"/>
  <c r="J170" i="6" s="1"/>
  <c r="I170" i="6"/>
  <c r="I170" i="6" a="1"/>
  <c r="H170" i="6"/>
  <c r="H170" i="6" a="1"/>
  <c r="G170" i="6" a="1"/>
  <c r="G170" i="6" s="1"/>
  <c r="F170" i="6" a="1"/>
  <c r="F170" i="6" s="1"/>
  <c r="E170" i="6"/>
  <c r="E170" i="6" a="1"/>
  <c r="D170" i="6"/>
  <c r="D170" i="6" a="1"/>
  <c r="AH169" i="6" a="1"/>
  <c r="AH169" i="6" s="1"/>
  <c r="AG169" i="6" a="1"/>
  <c r="AG169" i="6" s="1"/>
  <c r="AF169" i="6" a="1"/>
  <c r="AF169" i="6" s="1"/>
  <c r="AE169" i="6"/>
  <c r="AE169" i="6" a="1"/>
  <c r="AD169" i="6"/>
  <c r="AD169" i="6" a="1"/>
  <c r="AC169" i="6" a="1"/>
  <c r="AC169" i="6" s="1"/>
  <c r="AB169" i="6" a="1"/>
  <c r="AB169" i="6" s="1"/>
  <c r="AA169" i="6" a="1"/>
  <c r="AA169" i="6" s="1"/>
  <c r="Z169" i="6"/>
  <c r="Z169" i="6" a="1"/>
  <c r="Y169" i="6"/>
  <c r="Y169" i="6" a="1"/>
  <c r="X169" i="6"/>
  <c r="X169" i="6" a="1"/>
  <c r="W169" i="6" a="1"/>
  <c r="W169" i="6" s="1"/>
  <c r="V169" i="6" a="1"/>
  <c r="V169" i="6" s="1"/>
  <c r="U169" i="6"/>
  <c r="U169" i="6" a="1"/>
  <c r="T169" i="6" a="1"/>
  <c r="T169" i="6" s="1"/>
  <c r="S169" i="6" a="1"/>
  <c r="S169" i="6" s="1"/>
  <c r="R169" i="6" a="1"/>
  <c r="R169" i="6" s="1"/>
  <c r="Q169" i="6" a="1"/>
  <c r="Q169" i="6" s="1"/>
  <c r="P169" i="6"/>
  <c r="P169" i="6" a="1"/>
  <c r="O169" i="6"/>
  <c r="O169" i="6" a="1"/>
  <c r="N169" i="6" a="1"/>
  <c r="N169" i="6" s="1"/>
  <c r="M169" i="6" a="1"/>
  <c r="M169" i="6" s="1"/>
  <c r="L169" i="6"/>
  <c r="L169" i="6" a="1"/>
  <c r="K169" i="6"/>
  <c r="K169" i="6" a="1"/>
  <c r="J169" i="6"/>
  <c r="J169" i="6" a="1"/>
  <c r="I169" i="6"/>
  <c r="I169" i="6" a="1"/>
  <c r="H169" i="6" a="1"/>
  <c r="H169" i="6" s="1"/>
  <c r="G169" i="6" a="1"/>
  <c r="G169" i="6" s="1"/>
  <c r="F169" i="6" a="1"/>
  <c r="F169" i="6" s="1"/>
  <c r="E169" i="6" a="1"/>
  <c r="E169" i="6" s="1"/>
  <c r="D169" i="6" a="1"/>
  <c r="D169" i="6" s="1"/>
  <c r="AH168" i="6" a="1"/>
  <c r="AH168" i="6" s="1"/>
  <c r="AG168" i="6" a="1"/>
  <c r="AG168" i="6" s="1"/>
  <c r="AF168" i="6"/>
  <c r="AF168" i="6" a="1"/>
  <c r="AE168" i="6"/>
  <c r="AE168" i="6" a="1"/>
  <c r="AD168" i="6" a="1"/>
  <c r="AD168" i="6" s="1"/>
  <c r="AC168" i="6"/>
  <c r="AC168" i="6" a="1"/>
  <c r="AB168" i="6"/>
  <c r="AB168" i="6" a="1"/>
  <c r="AA168" i="6"/>
  <c r="AA168" i="6" a="1"/>
  <c r="Z168" i="6"/>
  <c r="Z168" i="6" a="1"/>
  <c r="Y168" i="6"/>
  <c r="Y168" i="6" a="1"/>
  <c r="X168" i="6" a="1"/>
  <c r="X168" i="6" s="1"/>
  <c r="W168" i="6" a="1"/>
  <c r="W168" i="6" s="1"/>
  <c r="V168" i="6" a="1"/>
  <c r="V168" i="6" s="1"/>
  <c r="U168" i="6" a="1"/>
  <c r="U168" i="6" s="1"/>
  <c r="T168" i="6" a="1"/>
  <c r="T168" i="6" s="1"/>
  <c r="S168" i="6" a="1"/>
  <c r="S168" i="6" s="1"/>
  <c r="R168" i="6" a="1"/>
  <c r="R168" i="6" s="1"/>
  <c r="Q168" i="6"/>
  <c r="Q168" i="6" a="1"/>
  <c r="P168" i="6" a="1"/>
  <c r="P168" i="6" s="1"/>
  <c r="O168" i="6" a="1"/>
  <c r="O168" i="6" s="1"/>
  <c r="N168" i="6"/>
  <c r="N168" i="6" a="1"/>
  <c r="M168" i="6"/>
  <c r="M168" i="6" a="1"/>
  <c r="L168" i="6"/>
  <c r="L168" i="6" a="1"/>
  <c r="K168" i="6"/>
  <c r="K168" i="6" a="1"/>
  <c r="J168" i="6"/>
  <c r="J168" i="6" a="1"/>
  <c r="I168" i="6" a="1"/>
  <c r="I168" i="6" s="1"/>
  <c r="H168" i="6"/>
  <c r="H168" i="6" a="1"/>
  <c r="G168" i="6" a="1"/>
  <c r="G168" i="6" s="1"/>
  <c r="F168" i="6" a="1"/>
  <c r="F168" i="6" s="1"/>
  <c r="E168" i="6" a="1"/>
  <c r="E168" i="6" s="1"/>
  <c r="D168" i="6" a="1"/>
  <c r="D168" i="6" s="1"/>
  <c r="AH167" i="6" a="1"/>
  <c r="AH167" i="6" s="1"/>
  <c r="AG167" i="6" a="1"/>
  <c r="AG167" i="6" s="1"/>
  <c r="AF167" i="6" a="1"/>
  <c r="AF167" i="6" s="1"/>
  <c r="AE167" i="6" a="1"/>
  <c r="AE167" i="6" s="1"/>
  <c r="AD167" i="6"/>
  <c r="AD167" i="6" a="1"/>
  <c r="AC167" i="6"/>
  <c r="AC167" i="6" a="1"/>
  <c r="AB167" i="6"/>
  <c r="AB167" i="6" a="1"/>
  <c r="AA167" i="6"/>
  <c r="AA167" i="6" a="1"/>
  <c r="Z167" i="6" a="1"/>
  <c r="Z167" i="6" s="1"/>
  <c r="Y167" i="6"/>
  <c r="Y167" i="6" a="1"/>
  <c r="X167" i="6"/>
  <c r="X167" i="6" a="1"/>
  <c r="W167" i="6" a="1"/>
  <c r="W167" i="6" s="1"/>
  <c r="V167" i="6" a="1"/>
  <c r="V167" i="6" s="1"/>
  <c r="U167" i="6" a="1"/>
  <c r="U167" i="6" s="1"/>
  <c r="T167" i="6" a="1"/>
  <c r="T167" i="6" s="1"/>
  <c r="S167" i="6" a="1"/>
  <c r="S167" i="6" s="1"/>
  <c r="R167" i="6"/>
  <c r="R167" i="6" a="1"/>
  <c r="Q167" i="6" a="1"/>
  <c r="Q167" i="6" s="1"/>
  <c r="P167" i="6"/>
  <c r="P167" i="6" a="1"/>
  <c r="O167" i="6"/>
  <c r="O167" i="6" a="1"/>
  <c r="N167" i="6"/>
  <c r="N167" i="6" a="1"/>
  <c r="M167" i="6"/>
  <c r="M167" i="6" a="1"/>
  <c r="L167" i="6" a="1"/>
  <c r="L167" i="6" s="1"/>
  <c r="K167" i="6" a="1"/>
  <c r="K167" i="6" s="1"/>
  <c r="J167" i="6"/>
  <c r="J167" i="6" a="1"/>
  <c r="I167" i="6"/>
  <c r="I167" i="6" a="1"/>
  <c r="H167" i="6" a="1"/>
  <c r="H167" i="6" s="1"/>
  <c r="G167" i="6" a="1"/>
  <c r="G167" i="6" s="1"/>
  <c r="F167" i="6" a="1"/>
  <c r="F167" i="6" s="1"/>
  <c r="E167" i="6" a="1"/>
  <c r="E167" i="6" s="1"/>
  <c r="D167" i="6"/>
  <c r="D167" i="6" a="1"/>
  <c r="AH166" i="6"/>
  <c r="AH166" i="6" a="1"/>
  <c r="AG166" i="6" a="1"/>
  <c r="AG166" i="6" s="1"/>
  <c r="AF166" i="6"/>
  <c r="AF166" i="6" a="1"/>
  <c r="AE166" i="6"/>
  <c r="AE166" i="6" a="1"/>
  <c r="AD166" i="6"/>
  <c r="AD166" i="6" a="1"/>
  <c r="AC166" i="6" a="1"/>
  <c r="AC166" i="6" s="1"/>
  <c r="AB166" i="6" a="1"/>
  <c r="AB166" i="6" s="1"/>
  <c r="AA166" i="6" a="1"/>
  <c r="AA166" i="6" s="1"/>
  <c r="Z166" i="6"/>
  <c r="Z166" i="6" a="1"/>
  <c r="Y166" i="6"/>
  <c r="Y166" i="6" a="1"/>
  <c r="X166" i="6" a="1"/>
  <c r="X166" i="6" s="1"/>
  <c r="W166" i="6" a="1"/>
  <c r="W166" i="6" s="1"/>
  <c r="V166" i="6" a="1"/>
  <c r="V166" i="6" s="1"/>
  <c r="U166" i="6"/>
  <c r="U166" i="6" a="1"/>
  <c r="T166" i="6"/>
  <c r="T166" i="6" a="1"/>
  <c r="S166" i="6" a="1"/>
  <c r="S166" i="6" s="1"/>
  <c r="R166" i="6" a="1"/>
  <c r="R166" i="6" s="1"/>
  <c r="Q166" i="6"/>
  <c r="Q166" i="6" a="1"/>
  <c r="P166" i="6"/>
  <c r="P166" i="6" a="1"/>
  <c r="O166" i="6" a="1"/>
  <c r="O166" i="6" s="1"/>
  <c r="N166" i="6" a="1"/>
  <c r="N166" i="6" s="1"/>
  <c r="M166" i="6" a="1"/>
  <c r="M166" i="6" s="1"/>
  <c r="L166" i="6" a="1"/>
  <c r="L166" i="6" s="1"/>
  <c r="K166" i="6"/>
  <c r="K166" i="6" a="1"/>
  <c r="J166" i="6"/>
  <c r="J166" i="6" a="1"/>
  <c r="I166" i="6" a="1"/>
  <c r="I166" i="6" s="1"/>
  <c r="H166" i="6" a="1"/>
  <c r="H166" i="6" s="1"/>
  <c r="G166" i="6"/>
  <c r="G166" i="6" a="1"/>
  <c r="F166" i="6"/>
  <c r="F166" i="6" a="1"/>
  <c r="E166" i="6"/>
  <c r="E166" i="6" a="1"/>
  <c r="D166" i="6" a="1"/>
  <c r="D166" i="6" s="1"/>
  <c r="AH165" i="6" a="1"/>
  <c r="AH165" i="6" s="1"/>
  <c r="AG165" i="6"/>
  <c r="AG165" i="6" a="1"/>
  <c r="AF165" i="6" a="1"/>
  <c r="AF165" i="6" s="1"/>
  <c r="AE165" i="6" a="1"/>
  <c r="AE165" i="6" s="1"/>
  <c r="AD165" i="6" a="1"/>
  <c r="AD165" i="6" s="1"/>
  <c r="AC165" i="6" a="1"/>
  <c r="AC165" i="6" s="1"/>
  <c r="AB165" i="6" a="1"/>
  <c r="AB165" i="6" s="1"/>
  <c r="AA165" i="6"/>
  <c r="AA165" i="6" a="1"/>
  <c r="Z165" i="6"/>
  <c r="Z165" i="6" a="1"/>
  <c r="Y165" i="6" a="1"/>
  <c r="Y165" i="6" s="1"/>
  <c r="X165" i="6"/>
  <c r="X165" i="6" a="1"/>
  <c r="W165" i="6"/>
  <c r="W165" i="6" a="1"/>
  <c r="V165" i="6"/>
  <c r="V165" i="6" a="1"/>
  <c r="U165" i="6"/>
  <c r="U165" i="6" a="1"/>
  <c r="T165" i="6"/>
  <c r="T165" i="6" a="1"/>
  <c r="S165" i="6" a="1"/>
  <c r="S165" i="6" s="1"/>
  <c r="R165" i="6" a="1"/>
  <c r="R165" i="6" s="1"/>
  <c r="Q165" i="6" a="1"/>
  <c r="Q165" i="6" s="1"/>
  <c r="P165" i="6" a="1"/>
  <c r="P165" i="6" s="1"/>
  <c r="O165" i="6" a="1"/>
  <c r="O165" i="6" s="1"/>
  <c r="N165" i="6" a="1"/>
  <c r="N165" i="6" s="1"/>
  <c r="M165" i="6" a="1"/>
  <c r="M165" i="6" s="1"/>
  <c r="L165" i="6" a="1"/>
  <c r="L165" i="6" s="1"/>
  <c r="K165" i="6" a="1"/>
  <c r="K165" i="6" s="1"/>
  <c r="J165" i="6"/>
  <c r="J165" i="6" a="1"/>
  <c r="I165" i="6"/>
  <c r="I165" i="6" a="1"/>
  <c r="H165" i="6"/>
  <c r="H165" i="6" a="1"/>
  <c r="G165" i="6"/>
  <c r="G165" i="6" a="1"/>
  <c r="F165" i="6"/>
  <c r="F165" i="6" a="1"/>
  <c r="E165" i="6" a="1"/>
  <c r="E165" i="6" s="1"/>
  <c r="D165" i="6" a="1"/>
  <c r="D165" i="6" s="1"/>
  <c r="AH164" i="6"/>
  <c r="AH164" i="6" a="1"/>
  <c r="AG164" i="6" a="1"/>
  <c r="AG164" i="6" s="1"/>
  <c r="AF164" i="6" a="1"/>
  <c r="AF164" i="6" s="1"/>
  <c r="AE164" i="6" a="1"/>
  <c r="AE164" i="6" s="1"/>
  <c r="AD164" i="6" a="1"/>
  <c r="AD164" i="6" s="1"/>
  <c r="AC164" i="6" a="1"/>
  <c r="AC164" i="6" s="1"/>
  <c r="AB164" i="6" a="1"/>
  <c r="AB164" i="6" s="1"/>
  <c r="AA164" i="6" a="1"/>
  <c r="AA164" i="6" s="1"/>
  <c r="Z164" i="6"/>
  <c r="Z164" i="6" a="1"/>
  <c r="Y164" i="6"/>
  <c r="Y164" i="6" a="1"/>
  <c r="X164" i="6"/>
  <c r="X164" i="6" a="1"/>
  <c r="W164" i="6"/>
  <c r="W164" i="6" a="1"/>
  <c r="V164" i="6"/>
  <c r="V164" i="6" a="1"/>
  <c r="U164" i="6" a="1"/>
  <c r="U164" i="6" s="1"/>
  <c r="T164" i="6" a="1"/>
  <c r="T164" i="6" s="1"/>
  <c r="S164" i="6"/>
  <c r="S164" i="6" a="1"/>
  <c r="R164" i="6" a="1"/>
  <c r="R164" i="6" s="1"/>
  <c r="Q164" i="6" a="1"/>
  <c r="Q164" i="6" s="1"/>
  <c r="P164" i="6" a="1"/>
  <c r="P164" i="6" s="1"/>
  <c r="O164" i="6" a="1"/>
  <c r="O164" i="6" s="1"/>
  <c r="N164" i="6" a="1"/>
  <c r="N164" i="6" s="1"/>
  <c r="M164" i="6"/>
  <c r="M164" i="6" a="1"/>
  <c r="L164" i="6" a="1"/>
  <c r="L164" i="6" s="1"/>
  <c r="K164" i="6"/>
  <c r="K164" i="6" a="1"/>
  <c r="J164" i="6"/>
  <c r="J164" i="6" a="1"/>
  <c r="I164" i="6"/>
  <c r="I164" i="6" a="1"/>
  <c r="H164" i="6"/>
  <c r="H164" i="6" a="1"/>
  <c r="G164" i="6" a="1"/>
  <c r="G164" i="6" s="1"/>
  <c r="F164" i="6" a="1"/>
  <c r="F164" i="6" s="1"/>
  <c r="E164" i="6" a="1"/>
  <c r="E164" i="6" s="1"/>
  <c r="D164" i="6"/>
  <c r="D164" i="6" a="1"/>
  <c r="AH163" i="6" a="1"/>
  <c r="AH163" i="6" s="1"/>
  <c r="AG163" i="6" a="1"/>
  <c r="AG163" i="6" s="1"/>
  <c r="AF163" i="6" a="1"/>
  <c r="AF163" i="6" s="1"/>
  <c r="AE163" i="6" a="1"/>
  <c r="AE163" i="6" s="1"/>
  <c r="AD163" i="6"/>
  <c r="AD163" i="6" a="1"/>
  <c r="AC163" i="6" a="1"/>
  <c r="AC163" i="6" s="1"/>
  <c r="AB163" i="6"/>
  <c r="AB163" i="6" a="1"/>
  <c r="AA163" i="6"/>
  <c r="AA163" i="6" a="1"/>
  <c r="Z163" i="6"/>
  <c r="Z163" i="6" a="1"/>
  <c r="Y163" i="6"/>
  <c r="Y163" i="6" a="1"/>
  <c r="X163" i="6" a="1"/>
  <c r="X163" i="6" s="1"/>
  <c r="W163" i="6" a="1"/>
  <c r="W163" i="6" s="1"/>
  <c r="V163" i="6" a="1"/>
  <c r="V163" i="6" s="1"/>
  <c r="U163" i="6" a="1"/>
  <c r="U163" i="6" s="1"/>
  <c r="T163" i="6"/>
  <c r="T163" i="6" a="1"/>
  <c r="S163" i="6" a="1"/>
  <c r="S163" i="6" s="1"/>
  <c r="R163" i="6" a="1"/>
  <c r="R163" i="6" s="1"/>
  <c r="Q163" i="6" a="1"/>
  <c r="Q163" i="6" s="1"/>
  <c r="P163" i="6"/>
  <c r="P163" i="6" a="1"/>
  <c r="O163" i="6"/>
  <c r="O163" i="6" a="1"/>
  <c r="N163" i="6" a="1"/>
  <c r="N163" i="6" s="1"/>
  <c r="M163" i="6" a="1"/>
  <c r="M163" i="6" s="1"/>
  <c r="L163" i="6"/>
  <c r="L163" i="6" a="1"/>
  <c r="K163" i="6"/>
  <c r="K163" i="6" a="1"/>
  <c r="J163" i="6" a="1"/>
  <c r="J163" i="6" s="1"/>
  <c r="I163" i="6" a="1"/>
  <c r="I163" i="6" s="1"/>
  <c r="H163" i="6" a="1"/>
  <c r="H163" i="6" s="1"/>
  <c r="G163" i="6" a="1"/>
  <c r="G163" i="6" s="1"/>
  <c r="F163" i="6" a="1"/>
  <c r="F163" i="6" s="1"/>
  <c r="E163" i="6"/>
  <c r="E163" i="6" a="1"/>
  <c r="D163" i="6" a="1"/>
  <c r="D163" i="6" s="1"/>
  <c r="AH162" i="6" a="1"/>
  <c r="AH162" i="6" s="1"/>
  <c r="AG162" i="6"/>
  <c r="AG162" i="6" a="1"/>
  <c r="AF162" i="6"/>
  <c r="AF162" i="6" a="1"/>
  <c r="AE162" i="6"/>
  <c r="AE162" i="6" a="1"/>
  <c r="AD162" i="6" a="1"/>
  <c r="AD162" i="6" s="1"/>
  <c r="AC162" i="6" a="1"/>
  <c r="AC162" i="6" s="1"/>
  <c r="AB162" i="6"/>
  <c r="AB162" i="6" a="1"/>
  <c r="AA162" i="6" a="1"/>
  <c r="AA162" i="6" s="1"/>
  <c r="Z162" i="6" a="1"/>
  <c r="Z162" i="6" s="1"/>
  <c r="Y162" i="6" a="1"/>
  <c r="Y162" i="6" s="1"/>
  <c r="X162" i="6" a="1"/>
  <c r="X162" i="6" s="1"/>
  <c r="W162" i="6" a="1"/>
  <c r="W162" i="6" s="1"/>
  <c r="V162" i="6" a="1"/>
  <c r="V162" i="6" s="1"/>
  <c r="U162" i="6"/>
  <c r="U162" i="6" a="1"/>
  <c r="T162" i="6" a="1"/>
  <c r="T162" i="6" s="1"/>
  <c r="S162" i="6"/>
  <c r="S162" i="6" a="1"/>
  <c r="R162" i="6"/>
  <c r="R162" i="6" a="1"/>
  <c r="Q162" i="6"/>
  <c r="Q162" i="6" a="1"/>
  <c r="P162" i="6"/>
  <c r="P162" i="6" a="1"/>
  <c r="O162" i="6"/>
  <c r="O162" i="6" a="1"/>
  <c r="N162" i="6"/>
  <c r="N162" i="6" a="1"/>
  <c r="M162" i="6" a="1"/>
  <c r="M162" i="6" s="1"/>
  <c r="L162" i="6" a="1"/>
  <c r="L162" i="6" s="1"/>
  <c r="K162" i="6" a="1"/>
  <c r="K162" i="6" s="1"/>
  <c r="J162" i="6"/>
  <c r="J162" i="6" a="1"/>
  <c r="I162" i="6" a="1"/>
  <c r="I162" i="6" s="1"/>
  <c r="H162" i="6" a="1"/>
  <c r="H162" i="6" s="1"/>
  <c r="G162" i="6" a="1"/>
  <c r="G162" i="6" s="1"/>
  <c r="F162" i="6" a="1"/>
  <c r="F162" i="6" s="1"/>
  <c r="E162" i="6"/>
  <c r="E162" i="6" a="1"/>
  <c r="D162" i="6"/>
  <c r="D162" i="6" a="1"/>
  <c r="AH161" i="6" a="1"/>
  <c r="AH161" i="6" s="1"/>
  <c r="AG161" i="6"/>
  <c r="AG161" i="6" a="1"/>
  <c r="AF161" i="6"/>
  <c r="AF161" i="6" a="1"/>
  <c r="AE161" i="6" a="1"/>
  <c r="AE161" i="6" s="1"/>
  <c r="AD161" i="6" a="1"/>
  <c r="AD161" i="6" s="1"/>
  <c r="AC161" i="6"/>
  <c r="AC161" i="6" a="1"/>
  <c r="AB161" i="6" a="1"/>
  <c r="AB161" i="6" s="1"/>
  <c r="AA161" i="6" a="1"/>
  <c r="AA161" i="6" s="1"/>
  <c r="Z161" i="6"/>
  <c r="Z161" i="6" a="1"/>
  <c r="Y161" i="6" a="1"/>
  <c r="Y161" i="6" s="1"/>
  <c r="X161" i="6" a="1"/>
  <c r="X161" i="6" s="1"/>
  <c r="W161" i="6" a="1"/>
  <c r="W161" i="6" s="1"/>
  <c r="V161" i="6" a="1"/>
  <c r="V161" i="6" s="1"/>
  <c r="U161" i="6"/>
  <c r="U161" i="6" a="1"/>
  <c r="T161" i="6"/>
  <c r="T161" i="6" a="1"/>
  <c r="S161" i="6"/>
  <c r="S161" i="6" a="1"/>
  <c r="R161" i="6"/>
  <c r="R161" i="6" a="1"/>
  <c r="Q161" i="6"/>
  <c r="Q161" i="6" a="1"/>
  <c r="P161" i="6" a="1"/>
  <c r="P161" i="6" s="1"/>
  <c r="O161" i="6"/>
  <c r="O161" i="6" a="1"/>
  <c r="N161" i="6"/>
  <c r="N161" i="6" a="1"/>
  <c r="M161" i="6" a="1"/>
  <c r="M161" i="6" s="1"/>
  <c r="L161" i="6" a="1"/>
  <c r="L161" i="6" s="1"/>
  <c r="K161" i="6"/>
  <c r="K161" i="6" a="1"/>
  <c r="J161" i="6" a="1"/>
  <c r="J161" i="6" s="1"/>
  <c r="I161" i="6" a="1"/>
  <c r="I161" i="6" s="1"/>
  <c r="H161" i="6"/>
  <c r="H161" i="6" a="1"/>
  <c r="G161" i="6"/>
  <c r="G161" i="6" a="1"/>
  <c r="F161" i="6"/>
  <c r="F161" i="6" a="1"/>
  <c r="E161" i="6"/>
  <c r="E161" i="6" a="1"/>
  <c r="D161" i="6" a="1"/>
  <c r="D161" i="6" s="1"/>
  <c r="AH160" i="6"/>
  <c r="AH160" i="6" a="1"/>
  <c r="AG160" i="6" a="1"/>
  <c r="AG160" i="6" s="1"/>
  <c r="AF160" i="6"/>
  <c r="AF160" i="6" a="1"/>
  <c r="AE160" i="6" a="1"/>
  <c r="AE160" i="6" s="1"/>
  <c r="AD160" i="6"/>
  <c r="AD160" i="6" a="1"/>
  <c r="AC160" i="6" a="1"/>
  <c r="AC160" i="6" s="1"/>
  <c r="AB160" i="6" a="1"/>
  <c r="AB160" i="6" s="1"/>
  <c r="AA160" i="6" a="1"/>
  <c r="AA160" i="6" s="1"/>
  <c r="Z160" i="6" a="1"/>
  <c r="Z160" i="6" s="1"/>
  <c r="Y160" i="6" a="1"/>
  <c r="Y160" i="6" s="1"/>
  <c r="X160" i="6"/>
  <c r="X160" i="6" a="1"/>
  <c r="W160" i="6"/>
  <c r="W160" i="6" a="1"/>
  <c r="V160" i="6"/>
  <c r="V160" i="6" a="1"/>
  <c r="U160" i="6"/>
  <c r="U160" i="6" a="1"/>
  <c r="T160" i="6"/>
  <c r="T160" i="6" a="1"/>
  <c r="S160" i="6" a="1"/>
  <c r="S160" i="6" s="1"/>
  <c r="R160" i="6" a="1"/>
  <c r="R160" i="6" s="1"/>
  <c r="Q160" i="6" a="1"/>
  <c r="Q160" i="6" s="1"/>
  <c r="P160" i="6"/>
  <c r="P160" i="6" a="1"/>
  <c r="O160" i="6"/>
  <c r="O160" i="6" a="1"/>
  <c r="N160" i="6" a="1"/>
  <c r="N160" i="6" s="1"/>
  <c r="M160" i="6" a="1"/>
  <c r="M160" i="6" s="1"/>
  <c r="L160" i="6" a="1"/>
  <c r="L160" i="6" s="1"/>
  <c r="K160" i="6"/>
  <c r="K160" i="6" a="1"/>
  <c r="J160" i="6"/>
  <c r="J160" i="6" a="1"/>
  <c r="I160" i="6" a="1"/>
  <c r="I160" i="6" s="1"/>
  <c r="H160" i="6"/>
  <c r="H160" i="6" a="1"/>
  <c r="G160" i="6"/>
  <c r="G160" i="6" a="1"/>
  <c r="F160" i="6"/>
  <c r="F160" i="6" a="1"/>
  <c r="E160" i="6" a="1"/>
  <c r="E160" i="6" s="1"/>
  <c r="D160" i="6" a="1"/>
  <c r="D160" i="6" s="1"/>
  <c r="AH159" i="6" a="1"/>
  <c r="AH159" i="6" s="1"/>
  <c r="AG159" i="6" a="1"/>
  <c r="AG159" i="6" s="1"/>
  <c r="AF159" i="6" a="1"/>
  <c r="AF159" i="6" s="1"/>
  <c r="AE159" i="6"/>
  <c r="AE159" i="6" a="1"/>
  <c r="AD159" i="6" a="1"/>
  <c r="AD159" i="6" s="1"/>
  <c r="AC159" i="6" a="1"/>
  <c r="AC159" i="6" s="1"/>
  <c r="AB159" i="6" a="1"/>
  <c r="AB159" i="6" s="1"/>
  <c r="AA159" i="6" a="1"/>
  <c r="AA159" i="6" s="1"/>
  <c r="Z159" i="6" a="1"/>
  <c r="Z159" i="6" s="1"/>
  <c r="Y159" i="6" a="1"/>
  <c r="Y159" i="6" s="1"/>
  <c r="X159" i="6" a="1"/>
  <c r="X159" i="6" s="1"/>
  <c r="W159" i="6"/>
  <c r="W159" i="6" a="1"/>
  <c r="V159" i="6" a="1"/>
  <c r="V159" i="6" s="1"/>
  <c r="U159" i="6"/>
  <c r="U159" i="6" a="1"/>
  <c r="T159" i="6"/>
  <c r="T159" i="6" a="1"/>
  <c r="S159" i="6"/>
  <c r="S159" i="6" a="1"/>
  <c r="R159" i="6"/>
  <c r="R159" i="6" a="1"/>
  <c r="Q159" i="6"/>
  <c r="Q159" i="6" a="1"/>
  <c r="P159" i="6"/>
  <c r="P159" i="6" a="1"/>
  <c r="O159" i="6" a="1"/>
  <c r="O159" i="6" s="1"/>
  <c r="N159" i="6" a="1"/>
  <c r="N159" i="6" s="1"/>
  <c r="M159" i="6" a="1"/>
  <c r="M159" i="6" s="1"/>
  <c r="L159" i="6" a="1"/>
  <c r="L159" i="6" s="1"/>
  <c r="K159" i="6" a="1"/>
  <c r="K159" i="6" s="1"/>
  <c r="J159" i="6" a="1"/>
  <c r="J159" i="6" s="1"/>
  <c r="I159" i="6" a="1"/>
  <c r="I159" i="6" s="1"/>
  <c r="H159" i="6" a="1"/>
  <c r="H159" i="6" s="1"/>
  <c r="G159" i="6"/>
  <c r="G159" i="6" a="1"/>
  <c r="F159" i="6"/>
  <c r="F159" i="6" a="1"/>
  <c r="E159" i="6"/>
  <c r="E159" i="6" a="1"/>
  <c r="D159" i="6"/>
  <c r="D159" i="6" a="1"/>
  <c r="AH158" i="6"/>
  <c r="AH158" i="6" a="1"/>
  <c r="AG158" i="6"/>
  <c r="AG158" i="6" a="1"/>
  <c r="AF158" i="6" a="1"/>
  <c r="AF158" i="6" s="1"/>
  <c r="AE158" i="6"/>
  <c r="AE158" i="6" a="1"/>
  <c r="AD158" i="6" a="1"/>
  <c r="AD158" i="6" s="1"/>
  <c r="AC158" i="6" a="1"/>
  <c r="AC158" i="6" s="1"/>
  <c r="AB158" i="6" a="1"/>
  <c r="AB158" i="6" s="1"/>
  <c r="AA158" i="6" a="1"/>
  <c r="AA158" i="6" s="1"/>
  <c r="Z158" i="6" a="1"/>
  <c r="Z158" i="6" s="1"/>
  <c r="Y158" i="6" a="1"/>
  <c r="Y158" i="6" s="1"/>
  <c r="X158" i="6"/>
  <c r="X158" i="6" a="1"/>
  <c r="W158" i="6"/>
  <c r="W158" i="6" a="1"/>
  <c r="V158" i="6"/>
  <c r="V158" i="6" a="1"/>
  <c r="U158" i="6"/>
  <c r="U158" i="6" a="1"/>
  <c r="T158" i="6"/>
  <c r="T158" i="6" a="1"/>
  <c r="S158" i="6"/>
  <c r="S158" i="6" a="1"/>
  <c r="R158" i="6" a="1"/>
  <c r="R158" i="6" s="1"/>
  <c r="Q158" i="6" a="1"/>
  <c r="Q158" i="6" s="1"/>
  <c r="P158" i="6"/>
  <c r="P158" i="6" a="1"/>
  <c r="O158" i="6" a="1"/>
  <c r="O158" i="6" s="1"/>
  <c r="N158" i="6" a="1"/>
  <c r="N158" i="6" s="1"/>
  <c r="M158" i="6" a="1"/>
  <c r="M158" i="6" s="1"/>
  <c r="L158" i="6" a="1"/>
  <c r="L158" i="6" s="1"/>
  <c r="K158" i="6" a="1"/>
  <c r="K158" i="6" s="1"/>
  <c r="J158" i="6"/>
  <c r="J158" i="6" a="1"/>
  <c r="I158" i="6"/>
  <c r="I158" i="6" a="1"/>
  <c r="H158" i="6"/>
  <c r="H158" i="6" a="1"/>
  <c r="G158" i="6"/>
  <c r="G158" i="6" a="1"/>
  <c r="F158" i="6"/>
  <c r="F158" i="6" a="1"/>
  <c r="E158" i="6"/>
  <c r="E158" i="6" a="1"/>
  <c r="D158" i="6" a="1"/>
  <c r="D158" i="6" s="1"/>
  <c r="AH157" i="6" a="1"/>
  <c r="AH157" i="6" s="1"/>
  <c r="AG157" i="6" a="1"/>
  <c r="AG157" i="6" s="1"/>
  <c r="AF157" i="6"/>
  <c r="AF157" i="6" a="1"/>
  <c r="AE157" i="6" a="1"/>
  <c r="AE157" i="6" s="1"/>
  <c r="AD157" i="6" a="1"/>
  <c r="AD157" i="6" s="1"/>
  <c r="AC157" i="6" a="1"/>
  <c r="AC157" i="6" s="1"/>
  <c r="AB157" i="6" a="1"/>
  <c r="AB157" i="6" s="1"/>
  <c r="AA157" i="6"/>
  <c r="AA157" i="6" a="1"/>
  <c r="Z157" i="6"/>
  <c r="Z157" i="6" a="1"/>
  <c r="Y157" i="6"/>
  <c r="Y157" i="6" a="1"/>
  <c r="X157" i="6"/>
  <c r="X157" i="6" a="1"/>
  <c r="W157" i="6"/>
  <c r="W157" i="6" a="1"/>
  <c r="V157" i="6"/>
  <c r="V157" i="6" a="1"/>
  <c r="U157" i="6" a="1"/>
  <c r="U157" i="6" s="1"/>
  <c r="T157" i="6" a="1"/>
  <c r="T157" i="6" s="1"/>
  <c r="S157" i="6" a="1"/>
  <c r="S157" i="6" s="1"/>
  <c r="R157" i="6" a="1"/>
  <c r="R157" i="6" s="1"/>
  <c r="Q157" i="6"/>
  <c r="Q157" i="6" a="1"/>
  <c r="P157" i="6" a="1"/>
  <c r="P157" i="6" s="1"/>
  <c r="O157" i="6" a="1"/>
  <c r="O157" i="6" s="1"/>
  <c r="N157" i="6" a="1"/>
  <c r="N157" i="6" s="1"/>
  <c r="M157" i="6"/>
  <c r="M157" i="6" a="1"/>
  <c r="L157" i="6"/>
  <c r="L157" i="6" a="1"/>
  <c r="K157" i="6"/>
  <c r="K157" i="6" a="1"/>
  <c r="J157" i="6"/>
  <c r="J157" i="6" a="1"/>
  <c r="I157" i="6"/>
  <c r="I157" i="6" a="1"/>
  <c r="H157" i="6"/>
  <c r="H157" i="6" a="1"/>
  <c r="G157" i="6" a="1"/>
  <c r="G157" i="6" s="1"/>
  <c r="F157" i="6" a="1"/>
  <c r="F157" i="6" s="1"/>
  <c r="E157" i="6" a="1"/>
  <c r="E157" i="6" s="1"/>
  <c r="D157" i="6" a="1"/>
  <c r="D157" i="6" s="1"/>
  <c r="AH156" i="6" a="1"/>
  <c r="AH156" i="6" s="1"/>
  <c r="AG156" i="6"/>
  <c r="AG156" i="6" a="1"/>
  <c r="AF156" i="6" a="1"/>
  <c r="AF156" i="6" s="1"/>
  <c r="AE156" i="6" a="1"/>
  <c r="AE156" i="6" s="1"/>
  <c r="AD156" i="6"/>
  <c r="AD156" i="6" a="1"/>
  <c r="AC156" i="6"/>
  <c r="AC156" i="6" a="1"/>
  <c r="AB156" i="6"/>
  <c r="AB156" i="6" a="1"/>
  <c r="AA156" i="6"/>
  <c r="AA156" i="6" a="1"/>
  <c r="Z156" i="6"/>
  <c r="Z156" i="6" a="1"/>
  <c r="Y156" i="6"/>
  <c r="Y156" i="6" a="1"/>
  <c r="X156" i="6" a="1"/>
  <c r="X156" i="6" s="1"/>
  <c r="W156" i="6" a="1"/>
  <c r="W156" i="6" s="1"/>
  <c r="V156" i="6" a="1"/>
  <c r="V156" i="6" s="1"/>
  <c r="U156" i="6" a="1"/>
  <c r="U156" i="6" s="1"/>
  <c r="T156" i="6" a="1"/>
  <c r="T156" i="6" s="1"/>
  <c r="S156" i="6" a="1"/>
  <c r="S156" i="6" s="1"/>
  <c r="R156" i="6"/>
  <c r="R156" i="6" a="1"/>
  <c r="Q156" i="6" a="1"/>
  <c r="Q156" i="6" s="1"/>
  <c r="P156" i="6"/>
  <c r="P156" i="6" a="1"/>
  <c r="O156" i="6"/>
  <c r="O156" i="6" a="1"/>
  <c r="N156" i="6"/>
  <c r="N156" i="6" a="1"/>
  <c r="M156" i="6"/>
  <c r="M156" i="6" a="1"/>
  <c r="L156" i="6"/>
  <c r="L156" i="6" a="1"/>
  <c r="K156" i="6"/>
  <c r="K156" i="6" a="1"/>
  <c r="J156" i="6" a="1"/>
  <c r="J156" i="6" s="1"/>
  <c r="I156" i="6" a="1"/>
  <c r="I156" i="6" s="1"/>
  <c r="H156" i="6" a="1"/>
  <c r="H156" i="6" s="1"/>
  <c r="G156" i="6" a="1"/>
  <c r="G156" i="6" s="1"/>
  <c r="F156" i="6" a="1"/>
  <c r="F156" i="6" s="1"/>
  <c r="E156" i="6" a="1"/>
  <c r="E156" i="6" s="1"/>
  <c r="D156" i="6" a="1"/>
  <c r="D156" i="6" s="1"/>
  <c r="AH155" i="6" a="1"/>
  <c r="AH155" i="6" s="1"/>
  <c r="AG155" i="6"/>
  <c r="AG155" i="6" a="1"/>
  <c r="AF155" i="6"/>
  <c r="AF155" i="6" a="1"/>
  <c r="AE155" i="6"/>
  <c r="AE155" i="6" a="1"/>
  <c r="AD155" i="6"/>
  <c r="AD155" i="6" a="1"/>
  <c r="AC155" i="6"/>
  <c r="AC155" i="6" a="1"/>
  <c r="AB155" i="6"/>
  <c r="AB155" i="6" a="1"/>
  <c r="AA155" i="6" a="1"/>
  <c r="AA155" i="6" s="1"/>
  <c r="Z155" i="6"/>
  <c r="Z155" i="6" a="1"/>
  <c r="Y155" i="6" a="1"/>
  <c r="Y155" i="6" s="1"/>
  <c r="X155" i="6" a="1"/>
  <c r="X155" i="6" s="1"/>
  <c r="W155" i="6" a="1"/>
  <c r="W155" i="6" s="1"/>
  <c r="V155" i="6" a="1"/>
  <c r="V155" i="6" s="1"/>
  <c r="U155" i="6" a="1"/>
  <c r="U155" i="6" s="1"/>
  <c r="T155" i="6" a="1"/>
  <c r="T155" i="6" s="1"/>
  <c r="S155" i="6"/>
  <c r="S155" i="6" a="1"/>
  <c r="R155" i="6"/>
  <c r="R155" i="6" a="1"/>
  <c r="Q155" i="6"/>
  <c r="Q155" i="6" a="1"/>
  <c r="P155" i="6"/>
  <c r="P155" i="6" a="1"/>
  <c r="O155" i="6"/>
  <c r="O155" i="6" a="1"/>
  <c r="N155" i="6"/>
  <c r="N155" i="6" a="1"/>
  <c r="M155" i="6" a="1"/>
  <c r="M155" i="6" s="1"/>
  <c r="L155" i="6" a="1"/>
  <c r="L155" i="6" s="1"/>
  <c r="K155" i="6"/>
  <c r="K155" i="6" a="1"/>
  <c r="J155" i="6" a="1"/>
  <c r="J155" i="6" s="1"/>
  <c r="I155" i="6" a="1"/>
  <c r="I155" i="6" s="1"/>
  <c r="H155" i="6" a="1"/>
  <c r="H155" i="6" s="1"/>
  <c r="G155" i="6" a="1"/>
  <c r="G155" i="6" s="1"/>
  <c r="F155" i="6" a="1"/>
  <c r="F155" i="6" s="1"/>
  <c r="E155" i="6"/>
  <c r="E155" i="6" a="1"/>
  <c r="D155" i="6"/>
  <c r="D155" i="6" a="1"/>
  <c r="AH154" i="6"/>
  <c r="AH154" i="6" a="1"/>
  <c r="AG154" i="6"/>
  <c r="AG154" i="6" a="1"/>
  <c r="AF154" i="6"/>
  <c r="AF154" i="6" a="1"/>
  <c r="AE154" i="6"/>
  <c r="AE154" i="6" a="1"/>
  <c r="AD154" i="6" a="1"/>
  <c r="AD154" i="6" s="1"/>
  <c r="AC154" i="6" a="1"/>
  <c r="AC154" i="6" s="1"/>
  <c r="AB154" i="6" a="1"/>
  <c r="AB154" i="6" s="1"/>
  <c r="AA154" i="6"/>
  <c r="AA154" i="6" a="1"/>
  <c r="Z154" i="6" a="1"/>
  <c r="Z154" i="6" s="1"/>
  <c r="Y154" i="6" a="1"/>
  <c r="Y154" i="6" s="1"/>
  <c r="X154" i="6" a="1"/>
  <c r="X154" i="6" s="1"/>
  <c r="W154" i="6" a="1"/>
  <c r="W154" i="6" s="1"/>
  <c r="V154" i="6"/>
  <c r="V154" i="6" a="1"/>
  <c r="U154" i="6"/>
  <c r="U154" i="6" a="1"/>
  <c r="T154" i="6"/>
  <c r="T154" i="6" a="1"/>
  <c r="S154" i="6"/>
  <c r="S154" i="6" a="1"/>
  <c r="R154" i="6"/>
  <c r="R154" i="6" a="1"/>
  <c r="Q154" i="6"/>
  <c r="Q154" i="6" a="1"/>
  <c r="P154" i="6" a="1"/>
  <c r="P154" i="6" s="1"/>
  <c r="O154" i="6" a="1"/>
  <c r="O154" i="6" s="1"/>
  <c r="N154" i="6" a="1"/>
  <c r="N154" i="6" s="1"/>
  <c r="M154" i="6" a="1"/>
  <c r="M154" i="6" s="1"/>
  <c r="L154" i="6"/>
  <c r="L154" i="6" a="1"/>
  <c r="K154" i="6" a="1"/>
  <c r="K154" i="6" s="1"/>
  <c r="J154" i="6" a="1"/>
  <c r="J154" i="6" s="1"/>
  <c r="I154" i="6" a="1"/>
  <c r="I154" i="6" s="1"/>
  <c r="H154" i="6"/>
  <c r="H154" i="6" a="1"/>
  <c r="G154" i="6"/>
  <c r="G154" i="6" a="1"/>
  <c r="F154" i="6"/>
  <c r="F154" i="6" a="1"/>
  <c r="E154" i="6"/>
  <c r="E154" i="6" a="1"/>
  <c r="D154" i="6"/>
  <c r="D154" i="6" a="1"/>
  <c r="AH153" i="6"/>
  <c r="AH153" i="6" a="1"/>
  <c r="AG153" i="6" a="1"/>
  <c r="AG153" i="6" s="1"/>
  <c r="AF153" i="6" a="1"/>
  <c r="AF153" i="6" s="1"/>
  <c r="AE153" i="6" a="1"/>
  <c r="AE153" i="6" s="1"/>
  <c r="AD153" i="6" a="1"/>
  <c r="AD153" i="6" s="1"/>
  <c r="AC153" i="6" a="1"/>
  <c r="AC153" i="6" s="1"/>
  <c r="AB153" i="6"/>
  <c r="AB153" i="6" a="1"/>
  <c r="AA153" i="6" a="1"/>
  <c r="AA153" i="6" s="1"/>
  <c r="Z153" i="6" a="1"/>
  <c r="Z153" i="6" s="1"/>
  <c r="Y153" i="6"/>
  <c r="Y153" i="6" a="1"/>
  <c r="X153" i="6"/>
  <c r="X153" i="6" a="1"/>
  <c r="W153" i="6"/>
  <c r="W153" i="6" a="1"/>
  <c r="V153" i="6"/>
  <c r="V153" i="6" a="1"/>
  <c r="U153" i="6"/>
  <c r="U153" i="6" a="1"/>
  <c r="T153" i="6"/>
  <c r="T153" i="6" a="1"/>
  <c r="S153" i="6" a="1"/>
  <c r="S153" i="6" s="1"/>
  <c r="R153" i="6" a="1"/>
  <c r="R153" i="6" s="1"/>
  <c r="Q153" i="6" a="1"/>
  <c r="Q153" i="6" s="1"/>
  <c r="P153" i="6" a="1"/>
  <c r="P153" i="6" s="1"/>
  <c r="O153" i="6" a="1"/>
  <c r="O153" i="6" s="1"/>
  <c r="N153" i="6" a="1"/>
  <c r="N153" i="6" s="1"/>
  <c r="M153" i="6"/>
  <c r="M153" i="6" a="1"/>
  <c r="L153" i="6" a="1"/>
  <c r="L153" i="6" s="1"/>
  <c r="K153" i="6"/>
  <c r="K153" i="6" a="1"/>
  <c r="J153" i="6"/>
  <c r="J153" i="6" a="1"/>
  <c r="I153" i="6"/>
  <c r="I153" i="6" a="1"/>
  <c r="H153" i="6"/>
  <c r="H153" i="6" a="1"/>
  <c r="G153" i="6"/>
  <c r="G153" i="6" a="1"/>
  <c r="F153" i="6"/>
  <c r="F153" i="6" a="1"/>
  <c r="E153" i="6" a="1"/>
  <c r="E153" i="6" s="1"/>
  <c r="D153" i="6" a="1"/>
  <c r="D153" i="6" s="1"/>
  <c r="AH152" i="6" a="1"/>
  <c r="AH152" i="6" s="1"/>
  <c r="AG152" i="6" a="1"/>
  <c r="AG152" i="6" s="1"/>
  <c r="AF152" i="6" a="1"/>
  <c r="AF152" i="6" s="1"/>
  <c r="AE152" i="6" a="1"/>
  <c r="AE152" i="6" s="1"/>
  <c r="AD152" i="6" a="1"/>
  <c r="AD152" i="6" s="1"/>
  <c r="AC152" i="6" a="1"/>
  <c r="AC152" i="6" s="1"/>
  <c r="AB152" i="6"/>
  <c r="AB152" i="6" a="1"/>
  <c r="AA152" i="6"/>
  <c r="AA152" i="6" a="1"/>
  <c r="Z152" i="6"/>
  <c r="Z152" i="6" a="1"/>
  <c r="Y152" i="6"/>
  <c r="Y152" i="6" a="1"/>
  <c r="X152" i="6"/>
  <c r="X152" i="6" a="1"/>
  <c r="W152" i="6"/>
  <c r="W152" i="6" a="1"/>
  <c r="V152" i="6" a="1"/>
  <c r="V152" i="6" s="1"/>
  <c r="U152" i="6"/>
  <c r="U152" i="6" a="1"/>
  <c r="T152" i="6" a="1"/>
  <c r="T152" i="6" s="1"/>
  <c r="S152" i="6" a="1"/>
  <c r="S152" i="6" s="1"/>
  <c r="R152" i="6" a="1"/>
  <c r="R152" i="6" s="1"/>
  <c r="Q152" i="6" a="1"/>
  <c r="Q152" i="6" s="1"/>
  <c r="P152" i="6" a="1"/>
  <c r="P152" i="6" s="1"/>
  <c r="O152" i="6" a="1"/>
  <c r="O152" i="6" s="1"/>
  <c r="N152" i="6"/>
  <c r="N152" i="6" a="1"/>
  <c r="M152" i="6"/>
  <c r="M152" i="6" a="1"/>
  <c r="L152" i="6"/>
  <c r="L152" i="6" a="1"/>
  <c r="K152" i="6"/>
  <c r="K152" i="6" a="1"/>
  <c r="J152" i="6"/>
  <c r="J152" i="6" a="1"/>
  <c r="I152" i="6"/>
  <c r="I152" i="6" a="1"/>
  <c r="H152" i="6" a="1"/>
  <c r="H152" i="6" s="1"/>
  <c r="G152" i="6" a="1"/>
  <c r="G152" i="6" s="1"/>
  <c r="F152" i="6"/>
  <c r="F152" i="6" a="1"/>
  <c r="E152" i="6" a="1"/>
  <c r="E152" i="6" s="1"/>
  <c r="D152" i="6" a="1"/>
  <c r="D152" i="6" s="1"/>
  <c r="AH151" i="6" a="1"/>
  <c r="AH151" i="6" s="1"/>
  <c r="AG151" i="6" a="1"/>
  <c r="AG151" i="6" s="1"/>
  <c r="AF151" i="6" a="1"/>
  <c r="AF151" i="6" s="1"/>
  <c r="AE151" i="6" a="1"/>
  <c r="AE151" i="6" s="1"/>
  <c r="AD151" i="6"/>
  <c r="AD151" i="6" a="1"/>
  <c r="AC151" i="6"/>
  <c r="AC151" i="6" a="1"/>
  <c r="AB151" i="6"/>
  <c r="AB151" i="6" a="1"/>
  <c r="AA151" i="6"/>
  <c r="AA151" i="6" a="1"/>
  <c r="Z151" i="6"/>
  <c r="Z151" i="6" a="1"/>
  <c r="Y151" i="6" a="1"/>
  <c r="Y151" i="6" s="1"/>
  <c r="X151" i="6" a="1"/>
  <c r="X151" i="6" s="1"/>
  <c r="W151" i="6" a="1"/>
  <c r="W151" i="6" s="1"/>
  <c r="V151" i="6"/>
  <c r="V151" i="6" a="1"/>
  <c r="U151" i="6" a="1"/>
  <c r="U151" i="6" s="1"/>
  <c r="T151" i="6" a="1"/>
  <c r="T151" i="6" s="1"/>
  <c r="S151" i="6" a="1"/>
  <c r="S151" i="6" s="1"/>
  <c r="R151" i="6" a="1"/>
  <c r="R151" i="6" s="1"/>
  <c r="Q151" i="6"/>
  <c r="Q151" i="6" a="1"/>
  <c r="P151" i="6" a="1"/>
  <c r="P151" i="6" s="1"/>
  <c r="O151" i="6"/>
  <c r="O151" i="6" a="1"/>
  <c r="N151" i="6"/>
  <c r="N151" i="6" a="1"/>
  <c r="M151" i="6"/>
  <c r="M151" i="6" a="1"/>
  <c r="L151" i="6"/>
  <c r="L151" i="6" a="1"/>
  <c r="K151" i="6" a="1"/>
  <c r="K151" i="6" s="1"/>
  <c r="J151" i="6" a="1"/>
  <c r="J151" i="6" s="1"/>
  <c r="I151" i="6" a="1"/>
  <c r="I151" i="6" s="1"/>
  <c r="H151" i="6" a="1"/>
  <c r="H151" i="6" s="1"/>
  <c r="G151" i="6"/>
  <c r="G151" i="6" a="1"/>
  <c r="F151" i="6" a="1"/>
  <c r="F151" i="6" s="1"/>
  <c r="E151" i="6" a="1"/>
  <c r="E151" i="6" s="1"/>
  <c r="D151" i="6" a="1"/>
  <c r="D151" i="6" s="1"/>
  <c r="AH150" i="6" a="1"/>
  <c r="AH150" i="6" s="1"/>
  <c r="AG150" i="6"/>
  <c r="AG150" i="6" a="1"/>
  <c r="AF150" i="6" a="1"/>
  <c r="AF150" i="6" s="1"/>
  <c r="AE150" i="6"/>
  <c r="AE150" i="6" a="1"/>
  <c r="AD150" i="6"/>
  <c r="AD150" i="6" a="1"/>
  <c r="AC150" i="6"/>
  <c r="AC150" i="6" a="1"/>
  <c r="AB150" i="6" a="1"/>
  <c r="AB150" i="6" s="1"/>
  <c r="AA150" i="6" a="1"/>
  <c r="AA150" i="6" s="1"/>
  <c r="Z150" i="6" a="1"/>
  <c r="Z150" i="6" s="1"/>
  <c r="Y150" i="6" a="1"/>
  <c r="Y150" i="6" s="1"/>
  <c r="X150" i="6" a="1"/>
  <c r="X150" i="6" s="1"/>
  <c r="W150" i="6"/>
  <c r="W150" i="6" a="1"/>
  <c r="V150" i="6" a="1"/>
  <c r="V150" i="6" s="1"/>
  <c r="U150" i="6" a="1"/>
  <c r="U150" i="6" s="1"/>
  <c r="T150" i="6" a="1"/>
  <c r="T150" i="6" s="1"/>
  <c r="S150" i="6"/>
  <c r="S150" i="6" a="1"/>
  <c r="R150" i="6"/>
  <c r="R150" i="6" a="1"/>
  <c r="Q150" i="6" a="1"/>
  <c r="Q150" i="6" s="1"/>
  <c r="P150" i="6" a="1"/>
  <c r="P150" i="6" s="1"/>
  <c r="O150" i="6"/>
  <c r="O150" i="6" a="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H149" i="6"/>
  <c r="AH149" i="6" a="1"/>
  <c r="AG149" i="6" a="1"/>
  <c r="AG149" i="6" s="1"/>
  <c r="AF149" i="6"/>
  <c r="AF149" i="6" a="1"/>
  <c r="AE149" i="6" a="1"/>
  <c r="AE149" i="6" s="1"/>
  <c r="AD149" i="6" a="1"/>
  <c r="AD149" i="6" s="1"/>
  <c r="AC149" i="6" a="1"/>
  <c r="AC149" i="6" s="1"/>
  <c r="AB149" i="6" a="1"/>
  <c r="AB149" i="6" s="1"/>
  <c r="AA149" i="6" a="1"/>
  <c r="AA149" i="6" s="1"/>
  <c r="Z149" i="6" a="1"/>
  <c r="Z149" i="6" s="1"/>
  <c r="Y149" i="6" a="1"/>
  <c r="Y149" i="6" s="1"/>
  <c r="X149" i="6" a="1"/>
  <c r="X149" i="6" s="1"/>
  <c r="W149" i="6"/>
  <c r="W149" i="6" a="1"/>
  <c r="V149" i="6"/>
  <c r="V149" i="6" a="1"/>
  <c r="U149" i="6"/>
  <c r="U149" i="6" a="1"/>
  <c r="T149" i="6"/>
  <c r="T149" i="6" a="1"/>
  <c r="S149" i="6"/>
  <c r="S149" i="6" a="1"/>
  <c r="R149" i="6" a="1"/>
  <c r="R149" i="6" s="1"/>
  <c r="Q149" i="6" a="1"/>
  <c r="Q149" i="6" s="1"/>
  <c r="P149" i="6"/>
  <c r="P149" i="6" a="1"/>
  <c r="O149" i="6" a="1"/>
  <c r="O149" i="6" s="1"/>
  <c r="N149" i="6" a="1"/>
  <c r="N149" i="6" s="1"/>
  <c r="M149" i="6"/>
  <c r="M149" i="6" a="1"/>
  <c r="L149" i="6"/>
  <c r="L149" i="6" a="1"/>
  <c r="K149" i="6"/>
  <c r="K149" i="6" a="1"/>
  <c r="J149" i="6" a="1"/>
  <c r="J149" i="6" s="1"/>
  <c r="I149" i="6" a="1"/>
  <c r="I149" i="6" s="1"/>
  <c r="H149" i="6"/>
  <c r="H149" i="6" a="1"/>
  <c r="G149" i="6"/>
  <c r="G149" i="6" a="1"/>
  <c r="F149" i="6" a="1"/>
  <c r="F149" i="6" s="1"/>
  <c r="E149" i="6" a="1"/>
  <c r="E149" i="6" s="1"/>
  <c r="D149" i="6" a="1"/>
  <c r="D149" i="6" s="1"/>
  <c r="AH148" i="6" a="1"/>
  <c r="AH148" i="6" s="1"/>
  <c r="AG148" i="6"/>
  <c r="AG148" i="6" a="1"/>
  <c r="AF148" i="6" a="1"/>
  <c r="AF148" i="6" s="1"/>
  <c r="AE148" i="6" a="1"/>
  <c r="AE148" i="6" s="1"/>
  <c r="AD148" i="6"/>
  <c r="AD148" i="6" a="1"/>
  <c r="AC148" i="6" a="1"/>
  <c r="AC148" i="6" s="1"/>
  <c r="AB148" i="6" a="1"/>
  <c r="AB148" i="6" s="1"/>
  <c r="AA148" i="6" a="1"/>
  <c r="AA148" i="6" s="1"/>
  <c r="Z148" i="6"/>
  <c r="Z148" i="6" a="1"/>
  <c r="Y148" i="6" a="1"/>
  <c r="Y148" i="6" s="1"/>
  <c r="X148" i="6"/>
  <c r="X148" i="6" a="1"/>
  <c r="W148" i="6" a="1"/>
  <c r="W148" i="6" s="1"/>
  <c r="V148" i="6"/>
  <c r="V148" i="6" a="1"/>
  <c r="U148" i="6"/>
  <c r="U148" i="6" a="1"/>
  <c r="T148" i="6" a="1"/>
  <c r="T148" i="6" s="1"/>
  <c r="S148" i="6" a="1"/>
  <c r="S148" i="6" s="1"/>
  <c r="R148" i="6" a="1"/>
  <c r="R148" i="6" s="1"/>
  <c r="Q148" i="6" a="1"/>
  <c r="Q148" i="6" s="1"/>
  <c r="P148" i="6" a="1"/>
  <c r="P148" i="6" s="1"/>
  <c r="O148" i="6" a="1"/>
  <c r="O148" i="6" s="1"/>
  <c r="N148" i="6"/>
  <c r="N148" i="6" a="1"/>
  <c r="M148" i="6"/>
  <c r="M148" i="6" a="1"/>
  <c r="L148" i="6"/>
  <c r="L148" i="6" a="1"/>
  <c r="K148" i="6"/>
  <c r="K148" i="6" a="1"/>
  <c r="J148" i="6" a="1"/>
  <c r="J148" i="6" s="1"/>
  <c r="I148" i="6" a="1"/>
  <c r="I148" i="6" s="1"/>
  <c r="H148" i="6"/>
  <c r="H148" i="6" a="1"/>
  <c r="G148" i="6"/>
  <c r="G148" i="6" a="1"/>
  <c r="F148" i="6" a="1"/>
  <c r="F148" i="6" s="1"/>
  <c r="E148" i="6" a="1"/>
  <c r="E148" i="6" s="1"/>
  <c r="D148" i="6" a="1"/>
  <c r="D148" i="6" s="1"/>
  <c r="AH147" i="6" a="1"/>
  <c r="AH147" i="6" s="1"/>
  <c r="AG147" i="6" a="1"/>
  <c r="AG147" i="6" s="1"/>
  <c r="AF147" i="6" a="1"/>
  <c r="AF147" i="6" s="1"/>
  <c r="AE147" i="6" a="1"/>
  <c r="AE147" i="6" s="1"/>
  <c r="AD147" i="6"/>
  <c r="AD147" i="6" a="1"/>
  <c r="AC147" i="6"/>
  <c r="AC147" i="6" a="1"/>
  <c r="AB147" i="6"/>
  <c r="AB147" i="6" a="1"/>
  <c r="AA147" i="6"/>
  <c r="AA147" i="6" a="1"/>
  <c r="Z147" i="6" a="1"/>
  <c r="Z147" i="6" s="1"/>
  <c r="Y147" i="6" a="1"/>
  <c r="Y147" i="6" s="1"/>
  <c r="X147" i="6"/>
  <c r="X147" i="6" a="1"/>
  <c r="W147" i="6"/>
  <c r="W147" i="6" a="1"/>
  <c r="V147" i="6" a="1"/>
  <c r="V147" i="6" s="1"/>
  <c r="U147" i="6" a="1"/>
  <c r="U147" i="6" s="1"/>
  <c r="T147" i="6" a="1"/>
  <c r="T147" i="6" s="1"/>
  <c r="S147" i="6" a="1"/>
  <c r="S147" i="6" s="1"/>
  <c r="R147" i="6" a="1"/>
  <c r="R147" i="6" s="1"/>
  <c r="Q147" i="6" a="1"/>
  <c r="Q147" i="6" s="1"/>
  <c r="P147" i="6" a="1"/>
  <c r="P147" i="6" s="1"/>
  <c r="O147" i="6"/>
  <c r="O147" i="6" a="1"/>
  <c r="N147" i="6"/>
  <c r="N147" i="6" a="1"/>
  <c r="M147" i="6"/>
  <c r="M147" i="6" a="1"/>
  <c r="L147" i="6" a="1"/>
  <c r="L147" i="6" s="1"/>
  <c r="K147" i="6"/>
  <c r="K147" i="6" a="1"/>
  <c r="J147" i="6" a="1"/>
  <c r="J147" i="6" s="1"/>
  <c r="I147" i="6"/>
  <c r="I147" i="6" a="1"/>
  <c r="H147" i="6"/>
  <c r="H147" i="6" a="1"/>
  <c r="G147" i="6" a="1"/>
  <c r="G147" i="6" s="1"/>
  <c r="F147" i="6" a="1"/>
  <c r="F147" i="6" s="1"/>
  <c r="E147" i="6" a="1"/>
  <c r="E147" i="6" s="1"/>
  <c r="D147" i="6"/>
  <c r="D147" i="6" a="1"/>
  <c r="AH146" i="6" a="1"/>
  <c r="AH146" i="6" s="1"/>
  <c r="AG146" i="6" a="1"/>
  <c r="AG146" i="6" s="1"/>
  <c r="AF146" i="6" a="1"/>
  <c r="AF146" i="6" s="1"/>
  <c r="AE146" i="6"/>
  <c r="AE146" i="6" a="1"/>
  <c r="AD146" i="6"/>
  <c r="AD146" i="6" a="1"/>
  <c r="AC146" i="6" a="1"/>
  <c r="AC146" i="6" s="1"/>
  <c r="AB146" i="6" a="1"/>
  <c r="AB146" i="6" s="1"/>
  <c r="AA146" i="6" a="1"/>
  <c r="AA146" i="6" s="1"/>
  <c r="Z146" i="6" a="1"/>
  <c r="Z146" i="6" s="1"/>
  <c r="Y146" i="6"/>
  <c r="Y146" i="6" a="1"/>
  <c r="X146" i="6"/>
  <c r="X146" i="6" a="1"/>
  <c r="W146" i="6" a="1"/>
  <c r="W146" i="6" s="1"/>
  <c r="V146" i="6" a="1"/>
  <c r="V146" i="6" s="1"/>
  <c r="U146" i="6" a="1"/>
  <c r="U146" i="6" s="1"/>
  <c r="T146" i="6"/>
  <c r="T146" i="6" a="1"/>
  <c r="S146" i="6"/>
  <c r="S146" i="6" a="1"/>
  <c r="R146" i="6" a="1"/>
  <c r="R146" i="6" s="1"/>
  <c r="Q146" i="6" a="1"/>
  <c r="Q146" i="6" s="1"/>
  <c r="P146" i="6"/>
  <c r="P146" i="6" a="1"/>
  <c r="O146" i="6" a="1"/>
  <c r="O146" i="6" s="1"/>
  <c r="N146" i="6" a="1"/>
  <c r="N146" i="6" s="1"/>
  <c r="M146" i="6" a="1"/>
  <c r="M146" i="6" s="1"/>
  <c r="L146" i="6"/>
  <c r="L146" i="6" a="1"/>
  <c r="K146" i="6" a="1"/>
  <c r="K146" i="6" s="1"/>
  <c r="J146" i="6"/>
  <c r="J146" i="6" a="1"/>
  <c r="I146" i="6"/>
  <c r="I146" i="6" a="1"/>
  <c r="H146" i="6" a="1"/>
  <c r="H146" i="6" s="1"/>
  <c r="G146" i="6"/>
  <c r="G146" i="6" a="1"/>
  <c r="F146" i="6" a="1"/>
  <c r="F146" i="6" s="1"/>
  <c r="E146" i="6"/>
  <c r="E146" i="6" a="1"/>
  <c r="D146" i="6"/>
  <c r="D146" i="6" a="1"/>
  <c r="AH145" i="6" a="1"/>
  <c r="AH145" i="6" s="1"/>
  <c r="AG145" i="6" a="1"/>
  <c r="AG145" i="6" s="1"/>
  <c r="AF145" i="6" a="1"/>
  <c r="AF145" i="6" s="1"/>
  <c r="AE145" i="6" a="1"/>
  <c r="AE145" i="6" s="1"/>
  <c r="AD145" i="6" a="1"/>
  <c r="AD145" i="6" s="1"/>
  <c r="AC145" i="6" a="1"/>
  <c r="AC145" i="6" s="1"/>
  <c r="AB145" i="6"/>
  <c r="AB145" i="6" a="1"/>
  <c r="AA145" i="6" a="1"/>
  <c r="AA145" i="6" s="1"/>
  <c r="Z145" i="6"/>
  <c r="Z145" i="6" a="1"/>
  <c r="Y145" i="6" a="1"/>
  <c r="Y145" i="6" s="1"/>
  <c r="X145" i="6"/>
  <c r="X145" i="6" a="1"/>
  <c r="W145" i="6"/>
  <c r="W145" i="6" a="1"/>
  <c r="V145" i="6" a="1"/>
  <c r="V145" i="6" s="1"/>
  <c r="U145" i="6"/>
  <c r="U145" i="6" a="1"/>
  <c r="T145" i="6"/>
  <c r="T145" i="6" a="1"/>
  <c r="S145" i="6" a="1"/>
  <c r="S145" i="6" s="1"/>
  <c r="R145" i="6" a="1"/>
  <c r="R145" i="6" s="1"/>
  <c r="Q145" i="6" a="1"/>
  <c r="Q145" i="6" s="1"/>
  <c r="P145" i="6" a="1"/>
  <c r="P145" i="6" s="1"/>
  <c r="O145" i="6" a="1"/>
  <c r="O145" i="6" s="1"/>
  <c r="N145" i="6" a="1"/>
  <c r="N145" i="6" s="1"/>
  <c r="M145" i="6"/>
  <c r="M145" i="6" a="1"/>
  <c r="L145" i="6" a="1"/>
  <c r="L145" i="6" s="1"/>
  <c r="K145" i="6" a="1"/>
  <c r="K145" i="6" s="1"/>
  <c r="J145" i="6" a="1"/>
  <c r="J145" i="6" s="1"/>
  <c r="I145" i="6"/>
  <c r="I145" i="6" a="1"/>
  <c r="H145" i="6"/>
  <c r="H145" i="6" a="1"/>
  <c r="G145" i="6" a="1"/>
  <c r="G145" i="6" s="1"/>
  <c r="F145" i="6"/>
  <c r="F145" i="6" a="1"/>
  <c r="E145" i="6"/>
  <c r="E145" i="6" a="1"/>
  <c r="D145" i="6" a="1"/>
  <c r="D145" i="6" s="1"/>
  <c r="AH144" i="6"/>
  <c r="AH144" i="6" a="1"/>
  <c r="AG144" i="6" a="1"/>
  <c r="AG144" i="6" s="1"/>
  <c r="AF144" i="6" a="1"/>
  <c r="AF144" i="6" s="1"/>
  <c r="AE144" i="6" a="1"/>
  <c r="AE144" i="6" s="1"/>
  <c r="AD144" i="6" a="1"/>
  <c r="AD144" i="6" s="1"/>
  <c r="AC144" i="6"/>
  <c r="AC144" i="6" a="1"/>
  <c r="AB144" i="6" a="1"/>
  <c r="AB144" i="6" s="1"/>
  <c r="AA144" i="6" a="1"/>
  <c r="AA144" i="6" s="1"/>
  <c r="Z144" i="6" a="1"/>
  <c r="Z144" i="6" s="1"/>
  <c r="Y144" i="6"/>
  <c r="Y144" i="6" a="1"/>
  <c r="X144" i="6"/>
  <c r="X144" i="6" a="1"/>
  <c r="W144" i="6" a="1"/>
  <c r="W144" i="6" s="1"/>
  <c r="V144" i="6"/>
  <c r="V144" i="6" a="1"/>
  <c r="U144" i="6" a="1"/>
  <c r="U144" i="6" s="1"/>
  <c r="T144" i="6" a="1"/>
  <c r="T144" i="6" s="1"/>
  <c r="S144" i="6"/>
  <c r="S144" i="6" a="1"/>
  <c r="R144" i="6" a="1"/>
  <c r="R144" i="6" s="1"/>
  <c r="Q144" i="6" a="1"/>
  <c r="Q144" i="6" s="1"/>
  <c r="P144" i="6" a="1"/>
  <c r="P144" i="6" s="1"/>
  <c r="O144" i="6" a="1"/>
  <c r="O144" i="6" s="1"/>
  <c r="N144" i="6" a="1"/>
  <c r="N144" i="6" s="1"/>
  <c r="M144" i="6"/>
  <c r="M144" i="6" a="1"/>
  <c r="L144" i="6" a="1"/>
  <c r="L144" i="6" s="1"/>
  <c r="K144" i="6" a="1"/>
  <c r="K144" i="6" s="1"/>
  <c r="J144" i="6"/>
  <c r="J144" i="6" a="1"/>
  <c r="I144" i="6"/>
  <c r="I144" i="6" a="1"/>
  <c r="H144" i="6" a="1"/>
  <c r="H144" i="6" s="1"/>
  <c r="G144" i="6" a="1"/>
  <c r="G144" i="6" s="1"/>
  <c r="F144" i="6"/>
  <c r="F144" i="6" a="1"/>
  <c r="E144" i="6" a="1"/>
  <c r="E144" i="6" s="1"/>
  <c r="D144" i="6"/>
  <c r="D144" i="6" a="1"/>
  <c r="AH143" i="6" a="1"/>
  <c r="AH143" i="6" s="1"/>
  <c r="AG143" i="6" a="1"/>
  <c r="AG143" i="6" s="1"/>
  <c r="AF143" i="6" a="1"/>
  <c r="AF143" i="6" s="1"/>
  <c r="AE143" i="6" a="1"/>
  <c r="AE143" i="6" s="1"/>
  <c r="AD143" i="6"/>
  <c r="AD143" i="6" a="1"/>
  <c r="AC143" i="6"/>
  <c r="AC143" i="6" a="1"/>
  <c r="AB143" i="6" a="1"/>
  <c r="AB143" i="6" s="1"/>
  <c r="AA143" i="6" a="1"/>
  <c r="AA143" i="6" s="1"/>
  <c r="Z143" i="6"/>
  <c r="Z143" i="6" a="1"/>
  <c r="Y143" i="6"/>
  <c r="Y143" i="6" a="1"/>
  <c r="X143" i="6" a="1"/>
  <c r="X143" i="6" s="1"/>
  <c r="W143" i="6" a="1"/>
  <c r="W143" i="6" s="1"/>
  <c r="V143" i="6"/>
  <c r="V143" i="6" a="1"/>
  <c r="U143" i="6" a="1"/>
  <c r="U143" i="6" s="1"/>
  <c r="T143" i="6"/>
  <c r="T143" i="6" a="1"/>
  <c r="S143" i="6" a="1"/>
  <c r="S143" i="6" s="1"/>
  <c r="R143" i="6" a="1"/>
  <c r="R143" i="6" s="1"/>
  <c r="Q143" i="6" a="1"/>
  <c r="Q143" i="6" s="1"/>
  <c r="P143" i="6" a="1"/>
  <c r="P143" i="6" s="1"/>
  <c r="O143" i="6"/>
  <c r="O143" i="6" a="1"/>
  <c r="N143" i="6"/>
  <c r="N143" i="6" a="1"/>
  <c r="M143" i="6" a="1"/>
  <c r="M143" i="6" s="1"/>
  <c r="L143" i="6" a="1"/>
  <c r="L143" i="6" s="1"/>
  <c r="K143" i="6"/>
  <c r="K143" i="6" a="1"/>
  <c r="J143" i="6" a="1"/>
  <c r="J143" i="6" s="1"/>
  <c r="I143" i="6" a="1"/>
  <c r="I143" i="6" s="1"/>
  <c r="H143" i="6" a="1"/>
  <c r="H143" i="6" s="1"/>
  <c r="G143" i="6"/>
  <c r="G143" i="6" a="1"/>
  <c r="F143" i="6" a="1"/>
  <c r="F143" i="6" s="1"/>
  <c r="E143" i="6"/>
  <c r="E143" i="6" a="1"/>
  <c r="D143" i="6" a="1"/>
  <c r="D143" i="6" s="1"/>
  <c r="AH142" i="6" a="1"/>
  <c r="AH142" i="6" s="1"/>
  <c r="AG142" i="6"/>
  <c r="AG142" i="6" a="1"/>
  <c r="AF142" i="6" a="1"/>
  <c r="AF142" i="6" s="1"/>
  <c r="AE142" i="6"/>
  <c r="AE142" i="6" a="1"/>
  <c r="AD142" i="6"/>
  <c r="AD142" i="6" a="1"/>
  <c r="AC142" i="6" a="1"/>
  <c r="AC142" i="6" s="1"/>
  <c r="AB142" i="6" a="1"/>
  <c r="AB142" i="6" s="1"/>
  <c r="AA142" i="6" a="1"/>
  <c r="AA142" i="6" s="1"/>
  <c r="Z142" i="6" a="1"/>
  <c r="Z142" i="6" s="1"/>
  <c r="Y142" i="6" a="1"/>
  <c r="Y142" i="6" s="1"/>
  <c r="X142" i="6" a="1"/>
  <c r="X142" i="6" s="1"/>
  <c r="W142" i="6"/>
  <c r="W142" i="6" a="1"/>
  <c r="V142" i="6" a="1"/>
  <c r="V142" i="6" s="1"/>
  <c r="U142" i="6"/>
  <c r="U142" i="6" a="1"/>
  <c r="T142" i="6" a="1"/>
  <c r="T142" i="6" s="1"/>
  <c r="S142" i="6"/>
  <c r="S142" i="6" a="1"/>
  <c r="R142" i="6"/>
  <c r="R142" i="6" a="1"/>
  <c r="Q142" i="6" a="1"/>
  <c r="Q142" i="6" s="1"/>
  <c r="P142" i="6"/>
  <c r="P142" i="6" a="1"/>
  <c r="O142" i="6"/>
  <c r="O142" i="6" a="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c r="D142" i="6" a="1"/>
  <c r="AH141" i="6"/>
  <c r="AH141" i="6" a="1"/>
  <c r="AG141" i="6" a="1"/>
  <c r="AG141" i="6" s="1"/>
  <c r="AF141" i="6"/>
  <c r="AF141" i="6" a="1"/>
  <c r="AE141" i="6"/>
  <c r="AE141" i="6" a="1"/>
  <c r="AD141" i="6" a="1"/>
  <c r="AD141" i="6" s="1"/>
  <c r="AC141" i="6"/>
  <c r="AC141" i="6" a="1"/>
  <c r="AB141" i="6" a="1"/>
  <c r="AB141" i="6" s="1"/>
  <c r="AA141" i="6" a="1"/>
  <c r="AA141" i="6" s="1"/>
  <c r="Z141" i="6" a="1"/>
  <c r="Z141" i="6" s="1"/>
  <c r="Y141" i="6" a="1"/>
  <c r="Y141" i="6" s="1"/>
  <c r="X141" i="6" a="1"/>
  <c r="X141" i="6" s="1"/>
  <c r="W141" i="6" a="1"/>
  <c r="W141" i="6" s="1"/>
  <c r="V141" i="6" a="1"/>
  <c r="V141" i="6" s="1"/>
  <c r="U141" i="6" a="1"/>
  <c r="U141" i="6" s="1"/>
  <c r="T141" i="6"/>
  <c r="T141" i="6" a="1"/>
  <c r="S141" i="6"/>
  <c r="S141" i="6" a="1"/>
  <c r="R141" i="6" a="1"/>
  <c r="R141" i="6" s="1"/>
  <c r="Q141" i="6"/>
  <c r="Q141" i="6" a="1"/>
  <c r="P141" i="6" a="1"/>
  <c r="P141" i="6" s="1"/>
  <c r="O141" i="6" a="1"/>
  <c r="O141" i="6" s="1"/>
  <c r="N141" i="6"/>
  <c r="N141" i="6" a="1"/>
  <c r="M141" i="6" a="1"/>
  <c r="M141" i="6" s="1"/>
  <c r="L141" i="6" a="1"/>
  <c r="L141" i="6" s="1"/>
  <c r="K141" i="6" a="1"/>
  <c r="K141" i="6" s="1"/>
  <c r="J141" i="6" a="1"/>
  <c r="J141" i="6" s="1"/>
  <c r="I141" i="6" a="1"/>
  <c r="I141" i="6" s="1"/>
  <c r="H141" i="6"/>
  <c r="H141" i="6" a="1"/>
  <c r="G141" i="6" a="1"/>
  <c r="G141" i="6" s="1"/>
  <c r="F141" i="6" a="1"/>
  <c r="F141" i="6" s="1"/>
  <c r="E141" i="6"/>
  <c r="E141" i="6" a="1"/>
  <c r="D141" i="6"/>
  <c r="D141" i="6" a="1"/>
  <c r="AH140" i="6" a="1"/>
  <c r="AH140" i="6" s="1"/>
  <c r="AG140" i="6" a="1"/>
  <c r="AG140" i="6" s="1"/>
  <c r="AF140" i="6" a="1"/>
  <c r="AF140" i="6" s="1"/>
  <c r="AE140" i="6" a="1"/>
  <c r="AE140" i="6" s="1"/>
  <c r="AD140" i="6"/>
  <c r="AD140" i="6" a="1"/>
  <c r="AC140" i="6" a="1"/>
  <c r="AC140" i="6" s="1"/>
  <c r="AB140" i="6" a="1"/>
  <c r="AB140" i="6" s="1"/>
  <c r="AA140" i="6" a="1"/>
  <c r="AA140" i="6" s="1"/>
  <c r="Z140" i="6" a="1"/>
  <c r="Z140" i="6" s="1"/>
  <c r="Y140" i="6"/>
  <c r="Y140" i="6" a="1"/>
  <c r="X140" i="6"/>
  <c r="X140" i="6" a="1"/>
  <c r="W140" i="6" a="1"/>
  <c r="W140" i="6" s="1"/>
  <c r="V140" i="6" a="1"/>
  <c r="V140" i="6" s="1"/>
  <c r="U140" i="6"/>
  <c r="U140" i="6" a="1"/>
  <c r="T140" i="6"/>
  <c r="T140" i="6" a="1"/>
  <c r="S140" i="6" a="1"/>
  <c r="S140" i="6" s="1"/>
  <c r="R140" i="6" a="1"/>
  <c r="R140" i="6" s="1"/>
  <c r="Q140" i="6"/>
  <c r="Q140" i="6" a="1"/>
  <c r="P140" i="6" a="1"/>
  <c r="P140" i="6" s="1"/>
  <c r="O140" i="6"/>
  <c r="O140" i="6" a="1"/>
  <c r="N140" i="6" a="1"/>
  <c r="N140" i="6" s="1"/>
  <c r="M140" i="6" a="1"/>
  <c r="M140" i="6" s="1"/>
  <c r="L140" i="6" a="1"/>
  <c r="L140" i="6" s="1"/>
  <c r="K140" i="6" a="1"/>
  <c r="K140" i="6" s="1"/>
  <c r="J140" i="6"/>
  <c r="J140" i="6" a="1"/>
  <c r="I140" i="6"/>
  <c r="I140" i="6" a="1"/>
  <c r="H140" i="6"/>
  <c r="H140" i="6" a="1"/>
  <c r="G140" i="6" a="1"/>
  <c r="G140" i="6" s="1"/>
  <c r="F140" i="6"/>
  <c r="F140" i="6" a="1"/>
  <c r="E140" i="6" a="1"/>
  <c r="E140" i="6" s="1"/>
  <c r="D140" i="6" a="1"/>
  <c r="D140" i="6" s="1"/>
  <c r="AH139" i="6" a="1"/>
  <c r="AH139" i="6" s="1"/>
  <c r="AG139" i="6"/>
  <c r="AG139" i="6" a="1"/>
  <c r="AF139" i="6" a="1"/>
  <c r="AF139" i="6" s="1"/>
  <c r="AE139" i="6"/>
  <c r="AE139" i="6" a="1"/>
  <c r="AD139" i="6" a="1"/>
  <c r="AD139" i="6" s="1"/>
  <c r="AC139" i="6" a="1"/>
  <c r="AC139" i="6" s="1"/>
  <c r="AB139" i="6"/>
  <c r="AB139" i="6" a="1"/>
  <c r="AA139" i="6" a="1"/>
  <c r="AA139" i="6" s="1"/>
  <c r="Z139" i="6" a="1"/>
  <c r="Z139" i="6" s="1"/>
  <c r="Y139" i="6"/>
  <c r="Y139" i="6" a="1"/>
  <c r="X139" i="6" a="1"/>
  <c r="X139" i="6" s="1"/>
  <c r="W139" i="6" a="1"/>
  <c r="W139" i="6" s="1"/>
  <c r="V139" i="6" a="1"/>
  <c r="V139" i="6" s="1"/>
  <c r="U139" i="6" a="1"/>
  <c r="U139" i="6" s="1"/>
  <c r="T139" i="6" a="1"/>
  <c r="T139" i="6" s="1"/>
  <c r="S139" i="6" a="1"/>
  <c r="S139" i="6" s="1"/>
  <c r="R139" i="6"/>
  <c r="R139" i="6" a="1"/>
  <c r="Q139" i="6" a="1"/>
  <c r="Q139" i="6" s="1"/>
  <c r="P139" i="6"/>
  <c r="P139" i="6" a="1"/>
  <c r="O139" i="6" a="1"/>
  <c r="O139" i="6" s="1"/>
  <c r="N139" i="6"/>
  <c r="N139" i="6" a="1"/>
  <c r="M139" i="6"/>
  <c r="M139" i="6" a="1"/>
  <c r="L139" i="6" a="1"/>
  <c r="L139" i="6" s="1"/>
  <c r="K139" i="6" a="1"/>
  <c r="K139" i="6" s="1"/>
  <c r="J139" i="6"/>
  <c r="J139" i="6" a="1"/>
  <c r="I139" i="6" a="1"/>
  <c r="I139" i="6" s="1"/>
  <c r="H139" i="6" a="1"/>
  <c r="H139" i="6" s="1"/>
  <c r="G139" i="6" a="1"/>
  <c r="G139" i="6" s="1"/>
  <c r="F139" i="6" a="1"/>
  <c r="F139" i="6" s="1"/>
  <c r="E139" i="6" a="1"/>
  <c r="E139" i="6" s="1"/>
  <c r="D139" i="6" a="1"/>
  <c r="D139" i="6" s="1"/>
  <c r="AH138" i="6" a="1"/>
  <c r="AH138" i="6" s="1"/>
  <c r="AG138" i="6" a="1"/>
  <c r="AG138" i="6" s="1"/>
  <c r="AF138" i="6" a="1"/>
  <c r="AF138" i="6" s="1"/>
  <c r="AE138" i="6" a="1"/>
  <c r="AE138" i="6" s="1"/>
  <c r="AD138" i="6"/>
  <c r="AD138" i="6" a="1"/>
  <c r="AC138" i="6"/>
  <c r="AC138" i="6" a="1"/>
  <c r="AB138" i="6" a="1"/>
  <c r="AB138" i="6" s="1"/>
  <c r="AA138" i="6"/>
  <c r="AA138" i="6" a="1"/>
  <c r="Z138" i="6"/>
  <c r="Z138" i="6" a="1"/>
  <c r="Y138" i="6" a="1"/>
  <c r="Y138" i="6" s="1"/>
  <c r="X138" i="6"/>
  <c r="X138" i="6" a="1"/>
  <c r="W138" i="6" a="1"/>
  <c r="W138" i="6" s="1"/>
  <c r="V138" i="6" a="1"/>
  <c r="V138" i="6" s="1"/>
  <c r="U138" i="6" a="1"/>
  <c r="U138" i="6" s="1"/>
  <c r="T138" i="6" a="1"/>
  <c r="T138" i="6" s="1"/>
  <c r="S138" i="6" a="1"/>
  <c r="S138" i="6" s="1"/>
  <c r="R138" i="6" a="1"/>
  <c r="R138" i="6" s="1"/>
  <c r="Q138" i="6"/>
  <c r="Q138" i="6" a="1"/>
  <c r="P138" i="6" a="1"/>
  <c r="P138" i="6" s="1"/>
  <c r="O138" i="6"/>
  <c r="O138" i="6" a="1"/>
  <c r="N138" i="6"/>
  <c r="N138" i="6" a="1"/>
  <c r="M138" i="6" a="1"/>
  <c r="M138" i="6" s="1"/>
  <c r="L138" i="6" a="1"/>
  <c r="L138" i="6" s="1"/>
  <c r="K138" i="6" a="1"/>
  <c r="K138" i="6" s="1"/>
  <c r="J138" i="6" a="1"/>
  <c r="J138" i="6" s="1"/>
  <c r="I138" i="6"/>
  <c r="I138" i="6" a="1"/>
  <c r="H138" i="6" a="1"/>
  <c r="H138" i="6" s="1"/>
  <c r="G138" i="6" a="1"/>
  <c r="G138" i="6" s="1"/>
  <c r="F138" i="6" a="1"/>
  <c r="F138" i="6" s="1"/>
  <c r="E138" i="6" a="1"/>
  <c r="E138" i="6" s="1"/>
  <c r="D138" i="6" a="1"/>
  <c r="D138" i="6" s="1"/>
  <c r="AH137" i="6"/>
  <c r="AH137" i="6" a="1"/>
  <c r="AG137" i="6" a="1"/>
  <c r="AG137" i="6" s="1"/>
  <c r="AF137" i="6" a="1"/>
  <c r="AF137" i="6" s="1"/>
  <c r="AE137" i="6"/>
  <c r="AE137" i="6" a="1"/>
  <c r="AD137" i="6"/>
  <c r="AD137" i="6" a="1"/>
  <c r="AC137" i="6" a="1"/>
  <c r="AC137" i="6" s="1"/>
  <c r="AB137" i="6" a="1"/>
  <c r="AB137" i="6" s="1"/>
  <c r="AA137" i="6" a="1"/>
  <c r="AA137" i="6" s="1"/>
  <c r="Z137" i="6" a="1"/>
  <c r="Z137" i="6" s="1"/>
  <c r="Y137" i="6"/>
  <c r="Y137" i="6" a="1"/>
  <c r="X137" i="6" a="1"/>
  <c r="X137" i="6" s="1"/>
  <c r="W137" i="6" a="1"/>
  <c r="W137" i="6" s="1"/>
  <c r="V137" i="6" a="1"/>
  <c r="V137" i="6" s="1"/>
  <c r="U137" i="6" a="1"/>
  <c r="U137" i="6" s="1"/>
  <c r="T137" i="6" a="1"/>
  <c r="T137" i="6" s="1"/>
  <c r="S137" i="6"/>
  <c r="S137" i="6" a="1"/>
  <c r="R137" i="6" a="1"/>
  <c r="R137" i="6" s="1"/>
  <c r="Q137" i="6" a="1"/>
  <c r="Q137" i="6" s="1"/>
  <c r="P137" i="6"/>
  <c r="P137" i="6" a="1"/>
  <c r="O137" i="6"/>
  <c r="O137" i="6" a="1"/>
  <c r="N137" i="6" a="1"/>
  <c r="N137" i="6" s="1"/>
  <c r="M137" i="6" a="1"/>
  <c r="M137" i="6" s="1"/>
  <c r="L137" i="6"/>
  <c r="L137" i="6" a="1"/>
  <c r="K137" i="6" a="1"/>
  <c r="K137" i="6" s="1"/>
  <c r="J137" i="6"/>
  <c r="J137" i="6" a="1"/>
  <c r="I137" i="6" a="1"/>
  <c r="I137" i="6" s="1"/>
  <c r="H137" i="6" a="1"/>
  <c r="H137" i="6" s="1"/>
  <c r="G137" i="6" a="1"/>
  <c r="G137" i="6" s="1"/>
  <c r="F137" i="6" a="1"/>
  <c r="F137" i="6" s="1"/>
  <c r="E137" i="6" a="1"/>
  <c r="E137" i="6" s="1"/>
  <c r="D137" i="6"/>
  <c r="D137" i="6" a="1"/>
  <c r="AH136" i="6" a="1"/>
  <c r="AH136" i="6" s="1"/>
  <c r="AG136" i="6" a="1"/>
  <c r="AG136" i="6" s="1"/>
  <c r="AF136" i="6"/>
  <c r="AF136" i="6" a="1"/>
  <c r="AE136" i="6" a="1"/>
  <c r="AE136" i="6" s="1"/>
  <c r="AD136" i="6" a="1"/>
  <c r="AD136" i="6" s="1"/>
  <c r="AC136" i="6" a="1"/>
  <c r="AC136" i="6" s="1"/>
  <c r="AB136" i="6"/>
  <c r="AB136" i="6" a="1"/>
  <c r="AA136" i="6" a="1"/>
  <c r="AA136" i="6" s="1"/>
  <c r="Z136" i="6"/>
  <c r="Z136" i="6" a="1"/>
  <c r="Y136" i="6" a="1"/>
  <c r="Y136" i="6" s="1"/>
  <c r="X136" i="6" a="1"/>
  <c r="X136" i="6" s="1"/>
  <c r="W136" i="6"/>
  <c r="W136" i="6" a="1"/>
  <c r="V136" i="6" a="1"/>
  <c r="V136" i="6" s="1"/>
  <c r="U136" i="6" a="1"/>
  <c r="U136" i="6" s="1"/>
  <c r="T136" i="6"/>
  <c r="T136" i="6" a="1"/>
  <c r="S136" i="6" a="1"/>
  <c r="S136" i="6" s="1"/>
  <c r="R136" i="6" a="1"/>
  <c r="R136" i="6" s="1"/>
  <c r="Q136" i="6" a="1"/>
  <c r="Q136" i="6" s="1"/>
  <c r="P136" i="6" a="1"/>
  <c r="P136" i="6" s="1"/>
  <c r="O136" i="6" a="1"/>
  <c r="O136" i="6" s="1"/>
  <c r="N136" i="6"/>
  <c r="N136" i="6" a="1"/>
  <c r="M136" i="6" a="1"/>
  <c r="M136" i="6" s="1"/>
  <c r="L136" i="6" a="1"/>
  <c r="L136" i="6" s="1"/>
  <c r="K136" i="6"/>
  <c r="K136" i="6" a="1"/>
  <c r="J136" i="6" a="1"/>
  <c r="J136" i="6" s="1"/>
  <c r="I136" i="6"/>
  <c r="I136" i="6" a="1"/>
  <c r="H136" i="6"/>
  <c r="H136" i="6" a="1"/>
  <c r="G136" i="6" a="1"/>
  <c r="G136" i="6" s="1"/>
  <c r="F136" i="6" a="1"/>
  <c r="F136" i="6" s="1"/>
  <c r="E136" i="6" a="1"/>
  <c r="E136" i="6" s="1"/>
  <c r="D136" i="6" a="1"/>
  <c r="D136" i="6" s="1"/>
  <c r="AH135" i="6" a="1"/>
  <c r="AH135" i="6" s="1"/>
  <c r="AG135" i="6" a="1"/>
  <c r="AG135" i="6" s="1"/>
  <c r="AF135" i="6" a="1"/>
  <c r="AF135" i="6" s="1"/>
  <c r="AE135" i="6" a="1"/>
  <c r="AE135" i="6" s="1"/>
  <c r="AD135" i="6"/>
  <c r="AD135" i="6" a="1"/>
  <c r="AC135" i="6" a="1"/>
  <c r="AC135" i="6" s="1"/>
  <c r="AB135" i="6" a="1"/>
  <c r="AB135" i="6" s="1"/>
  <c r="AA135" i="6" a="1"/>
  <c r="AA135" i="6" s="1"/>
  <c r="Z135" i="6" a="1"/>
  <c r="Z135" i="6" s="1"/>
  <c r="Y135" i="6" a="1"/>
  <c r="Y135" i="6" s="1"/>
  <c r="X135" i="6" a="1"/>
  <c r="X135" i="6" s="1"/>
  <c r="W135" i="6" a="1"/>
  <c r="W135" i="6" s="1"/>
  <c r="V135" i="6"/>
  <c r="V135" i="6" a="1"/>
  <c r="U135" i="6" a="1"/>
  <c r="U135" i="6" s="1"/>
  <c r="T135" i="6" a="1"/>
  <c r="T135" i="6" s="1"/>
  <c r="S135" i="6"/>
  <c r="S135" i="6" a="1"/>
  <c r="R135" i="6"/>
  <c r="R135" i="6" a="1"/>
  <c r="Q135" i="6"/>
  <c r="Q135" i="6" a="1"/>
  <c r="P135" i="6"/>
  <c r="P135" i="6" a="1"/>
  <c r="O135" i="6" a="1"/>
  <c r="O135" i="6" s="1"/>
  <c r="N135" i="6" a="1"/>
  <c r="N135" i="6" s="1"/>
  <c r="M135" i="6" a="1"/>
  <c r="M135" i="6" s="1"/>
  <c r="L135" i="6" a="1"/>
  <c r="L135" i="6" s="1"/>
  <c r="K135" i="6" a="1"/>
  <c r="K135" i="6" s="1"/>
  <c r="J135" i="6"/>
  <c r="J135" i="6" a="1"/>
  <c r="I135" i="6"/>
  <c r="I135" i="6" a="1"/>
  <c r="H135" i="6"/>
  <c r="H135" i="6" a="1"/>
  <c r="G135" i="6" a="1"/>
  <c r="G135" i="6" s="1"/>
  <c r="F135" i="6" a="1"/>
  <c r="F135" i="6" s="1"/>
  <c r="E135" i="6" a="1"/>
  <c r="E135" i="6" s="1"/>
  <c r="D135" i="6" a="1"/>
  <c r="D135" i="6" s="1"/>
  <c r="AH134" i="6"/>
  <c r="AH134" i="6" a="1"/>
  <c r="AG134" i="6" a="1"/>
  <c r="AG134" i="6" s="1"/>
  <c r="AF134" i="6" a="1"/>
  <c r="AF134" i="6" s="1"/>
  <c r="AE134" i="6" a="1"/>
  <c r="AE134" i="6" s="1"/>
  <c r="AD134" i="6"/>
  <c r="AD134" i="6" a="1"/>
  <c r="AC134" i="6" a="1"/>
  <c r="AC134" i="6" s="1"/>
  <c r="AB134" i="6" a="1"/>
  <c r="AB134" i="6" s="1"/>
  <c r="AA134" i="6"/>
  <c r="AA134" i="6" a="1"/>
  <c r="Z134" i="6"/>
  <c r="Z134" i="6" a="1"/>
  <c r="Y134" i="6"/>
  <c r="Y134" i="6" a="1"/>
  <c r="X134" i="6"/>
  <c r="X134" i="6" a="1"/>
  <c r="W134" i="6" a="1"/>
  <c r="W134" i="6" s="1"/>
  <c r="V134" i="6" a="1"/>
  <c r="V134" i="6" s="1"/>
  <c r="U134" i="6" a="1"/>
  <c r="U134" i="6" s="1"/>
  <c r="T134" i="6" a="1"/>
  <c r="T134" i="6" s="1"/>
  <c r="S134" i="6"/>
  <c r="S134" i="6" a="1"/>
  <c r="R134" i="6" a="1"/>
  <c r="R134" i="6" s="1"/>
  <c r="Q134" i="6" a="1"/>
  <c r="Q134" i="6" s="1"/>
  <c r="P134" i="6" a="1"/>
  <c r="P134" i="6" s="1"/>
  <c r="O134" i="6"/>
  <c r="O134" i="6" a="1"/>
  <c r="N134" i="6" a="1"/>
  <c r="N134" i="6" s="1"/>
  <c r="M134" i="6" a="1"/>
  <c r="M134" i="6" s="1"/>
  <c r="L134" i="6"/>
  <c r="L134" i="6" a="1"/>
  <c r="K134" i="6"/>
  <c r="K134" i="6" a="1"/>
  <c r="J134" i="6"/>
  <c r="J134" i="6" a="1"/>
  <c r="I134" i="6"/>
  <c r="I134" i="6" a="1"/>
  <c r="H134" i="6" a="1"/>
  <c r="H134" i="6" s="1"/>
  <c r="G134" i="6" a="1"/>
  <c r="G134" i="6" s="1"/>
  <c r="F134" i="6" a="1"/>
  <c r="F134" i="6" s="1"/>
  <c r="E134" i="6" a="1"/>
  <c r="E134" i="6" s="1"/>
  <c r="D134" i="6"/>
  <c r="D134" i="6" a="1"/>
  <c r="AH133" i="6" a="1"/>
  <c r="AH133" i="6" s="1"/>
  <c r="AG133" i="6" a="1"/>
  <c r="AG133" i="6" s="1"/>
  <c r="AF133" i="6" a="1"/>
  <c r="AF133" i="6" s="1"/>
  <c r="AE133" i="6" a="1"/>
  <c r="AE133" i="6" s="1"/>
  <c r="AD133" i="6" a="1"/>
  <c r="AD133" i="6" s="1"/>
  <c r="AC133" i="6" a="1"/>
  <c r="AC133" i="6" s="1"/>
  <c r="AB133" i="6" a="1"/>
  <c r="AB133" i="6" s="1"/>
  <c r="AA133" i="6"/>
  <c r="AA133" i="6" a="1"/>
  <c r="Z133" i="6"/>
  <c r="Z133" i="6" a="1"/>
  <c r="Y133" i="6"/>
  <c r="Y133" i="6" a="1"/>
  <c r="X133" i="6" a="1"/>
  <c r="X133" i="6" s="1"/>
  <c r="W133" i="6"/>
  <c r="W133" i="6" a="1"/>
  <c r="V133" i="6" a="1"/>
  <c r="V133" i="6" s="1"/>
  <c r="U133" i="6" a="1"/>
  <c r="U133" i="6" s="1"/>
  <c r="T133" i="6"/>
  <c r="T133" i="6" a="1"/>
  <c r="S133" i="6" a="1"/>
  <c r="S133" i="6" s="1"/>
  <c r="R133" i="6" a="1"/>
  <c r="R133" i="6" s="1"/>
  <c r="Q133" i="6" a="1"/>
  <c r="Q133" i="6" s="1"/>
  <c r="P133" i="6" a="1"/>
  <c r="P133" i="6" s="1"/>
  <c r="O133" i="6" a="1"/>
  <c r="O133" i="6" s="1"/>
  <c r="N133" i="6"/>
  <c r="N133" i="6" a="1"/>
  <c r="M133" i="6"/>
  <c r="M133" i="6" a="1"/>
  <c r="L133" i="6"/>
  <c r="L133" i="6" a="1"/>
  <c r="K133" i="6"/>
  <c r="K133" i="6" a="1"/>
  <c r="J133" i="6" a="1"/>
  <c r="J133" i="6" s="1"/>
  <c r="I133" i="6" a="1"/>
  <c r="I133" i="6" s="1"/>
  <c r="H133" i="6"/>
  <c r="H133" i="6" a="1"/>
  <c r="G133" i="6" a="1"/>
  <c r="G133" i="6" s="1"/>
  <c r="F133" i="6" a="1"/>
  <c r="F133" i="6" s="1"/>
  <c r="E133" i="6"/>
  <c r="E133" i="6" a="1"/>
  <c r="D133" i="6" a="1"/>
  <c r="D133" i="6" s="1"/>
  <c r="AH132" i="6" a="1"/>
  <c r="AH132" i="6" s="1"/>
  <c r="AG132" i="6"/>
  <c r="AG132" i="6" a="1"/>
  <c r="AF132" i="6" a="1"/>
  <c r="AF132" i="6" s="1"/>
  <c r="AE132" i="6" a="1"/>
  <c r="AE132" i="6" s="1"/>
  <c r="AD132" i="6"/>
  <c r="AD132" i="6" a="1"/>
  <c r="AC132" i="6"/>
  <c r="AC132" i="6" a="1"/>
  <c r="AB132" i="6"/>
  <c r="AB132" i="6" a="1"/>
  <c r="AA132" i="6" a="1"/>
  <c r="AA132" i="6" s="1"/>
  <c r="Z132" i="6" a="1"/>
  <c r="Z132" i="6" s="1"/>
  <c r="Y132" i="6" a="1"/>
  <c r="Y132" i="6" s="1"/>
  <c r="X132" i="6"/>
  <c r="X132" i="6" a="1"/>
  <c r="W132" i="6" a="1"/>
  <c r="W132" i="6" s="1"/>
  <c r="V132" i="6" a="1"/>
  <c r="V132" i="6" s="1"/>
  <c r="U132" i="6"/>
  <c r="U132" i="6" a="1"/>
  <c r="T132" i="6" a="1"/>
  <c r="T132" i="6" s="1"/>
  <c r="S132" i="6"/>
  <c r="S132" i="6" a="1"/>
  <c r="R132" i="6"/>
  <c r="R132" i="6" a="1"/>
  <c r="Q132" i="6" a="1"/>
  <c r="Q132" i="6" s="1"/>
  <c r="P132" i="6" a="1"/>
  <c r="P132" i="6" s="1"/>
  <c r="O132" i="6"/>
  <c r="O132" i="6" a="1"/>
  <c r="N132" i="6"/>
  <c r="N132" i="6" a="1"/>
  <c r="M132" i="6" a="1"/>
  <c r="M132" i="6" s="1"/>
  <c r="L132" i="6"/>
  <c r="L132" i="6" a="1"/>
  <c r="K132" i="6" a="1"/>
  <c r="K132" i="6" s="1"/>
  <c r="J132" i="6" a="1"/>
  <c r="J132" i="6" s="1"/>
  <c r="I132" i="6"/>
  <c r="I132" i="6" a="1"/>
  <c r="H132" i="6" a="1"/>
  <c r="H132" i="6" s="1"/>
  <c r="G132" i="6" a="1"/>
  <c r="G132" i="6" s="1"/>
  <c r="F132" i="6" a="1"/>
  <c r="F132" i="6" s="1"/>
  <c r="E132" i="6"/>
  <c r="E132" i="6" a="1"/>
  <c r="D132" i="6"/>
  <c r="D132" i="6" a="1"/>
  <c r="AH131" i="6"/>
  <c r="AH131" i="6" a="1"/>
  <c r="AG131" i="6" a="1"/>
  <c r="AG131" i="6" s="1"/>
  <c r="AF131" i="6" a="1"/>
  <c r="AF131" i="6" s="1"/>
  <c r="AE131" i="6"/>
  <c r="AE131" i="6" a="1"/>
  <c r="AD131" i="6" a="1"/>
  <c r="AD131" i="6" s="1"/>
  <c r="AC131" i="6"/>
  <c r="AC131" i="6" a="1"/>
  <c r="AB131" i="6"/>
  <c r="AB131" i="6" a="1"/>
  <c r="AA131" i="6" a="1"/>
  <c r="AA131" i="6" s="1"/>
  <c r="Z131" i="6" a="1"/>
  <c r="Z131" i="6" s="1"/>
  <c r="Y131" i="6"/>
  <c r="Y131" i="6" a="1"/>
  <c r="X131" i="6" a="1"/>
  <c r="X131" i="6" s="1"/>
  <c r="W131" i="6" a="1"/>
  <c r="W131" i="6" s="1"/>
  <c r="V131" i="6"/>
  <c r="V131" i="6" a="1"/>
  <c r="U131" i="6"/>
  <c r="U131" i="6" a="1"/>
  <c r="T131" i="6"/>
  <c r="T131" i="6" a="1"/>
  <c r="S131" i="6"/>
  <c r="S131" i="6" a="1"/>
  <c r="R131" i="6" a="1"/>
  <c r="R131" i="6" s="1"/>
  <c r="Q131" i="6" a="1"/>
  <c r="Q131" i="6" s="1"/>
  <c r="P131" i="6" a="1"/>
  <c r="P131" i="6" s="1"/>
  <c r="O131" i="6" a="1"/>
  <c r="O131" i="6" s="1"/>
  <c r="N131" i="6"/>
  <c r="N131" i="6" a="1"/>
  <c r="M131" i="6"/>
  <c r="M131" i="6" a="1"/>
  <c r="L131" i="6" a="1"/>
  <c r="L131" i="6" s="1"/>
  <c r="K131" i="6" a="1"/>
  <c r="K131" i="6" s="1"/>
  <c r="J131" i="6"/>
  <c r="J131" i="6" a="1"/>
  <c r="I131" i="6" a="1"/>
  <c r="I131" i="6" s="1"/>
  <c r="H131" i="6"/>
  <c r="H131" i="6" a="1"/>
  <c r="G131" i="6"/>
  <c r="G131" i="6" a="1"/>
  <c r="F131" i="6"/>
  <c r="F131" i="6" a="1"/>
  <c r="E131" i="6"/>
  <c r="E131" i="6" a="1"/>
  <c r="D131" i="6"/>
  <c r="D131" i="6" a="1"/>
  <c r="AH130" i="6" a="1"/>
  <c r="AH130" i="6" s="1"/>
  <c r="AG130" i="6" a="1"/>
  <c r="AG130" i="6" s="1"/>
  <c r="AF130" i="6" a="1"/>
  <c r="AF130" i="6" s="1"/>
  <c r="AE130" i="6" a="1"/>
  <c r="AE130" i="6" s="1"/>
  <c r="AD130" i="6"/>
  <c r="AD130" i="6" a="1"/>
  <c r="AC130" i="6"/>
  <c r="AC130" i="6" a="1"/>
  <c r="AB130" i="6" a="1"/>
  <c r="AB130" i="6" s="1"/>
  <c r="AA130" i="6" a="1"/>
  <c r="AA130" i="6" s="1"/>
  <c r="Z130" i="6" a="1"/>
  <c r="Z130" i="6" s="1"/>
  <c r="Y130" i="6" a="1"/>
  <c r="Y130" i="6" s="1"/>
  <c r="X130" i="6"/>
  <c r="X130" i="6" a="1"/>
  <c r="W130" i="6"/>
  <c r="W130" i="6" a="1"/>
  <c r="V130" i="6"/>
  <c r="V130" i="6" a="1"/>
  <c r="U130" i="6"/>
  <c r="U130" i="6" a="1"/>
  <c r="T130" i="6"/>
  <c r="T130" i="6" a="1"/>
  <c r="S130" i="6" a="1"/>
  <c r="S130" i="6" s="1"/>
  <c r="R130" i="6"/>
  <c r="R130" i="6" a="1"/>
  <c r="Q130" i="6" a="1"/>
  <c r="Q130" i="6" s="1"/>
  <c r="P130" i="6" a="1"/>
  <c r="P130" i="6" s="1"/>
  <c r="O130" i="6"/>
  <c r="O130" i="6" a="1"/>
  <c r="N130" i="6"/>
  <c r="N130" i="6" a="1"/>
  <c r="M130" i="6" a="1"/>
  <c r="M130" i="6" s="1"/>
  <c r="L130" i="6" a="1"/>
  <c r="L130" i="6" s="1"/>
  <c r="K130" i="6" a="1"/>
  <c r="K130" i="6" s="1"/>
  <c r="J130" i="6" a="1"/>
  <c r="J130" i="6" s="1"/>
  <c r="I130" i="6"/>
  <c r="I130" i="6" a="1"/>
  <c r="H130" i="6" a="1"/>
  <c r="H130" i="6" s="1"/>
  <c r="G130" i="6"/>
  <c r="G130" i="6" a="1"/>
  <c r="F130" i="6"/>
  <c r="F130" i="6" a="1"/>
  <c r="E130" i="6" a="1"/>
  <c r="E130" i="6" s="1"/>
  <c r="D130" i="6" a="1"/>
  <c r="D130" i="6" s="1"/>
  <c r="AH129" i="6"/>
  <c r="AH129" i="6" a="1"/>
  <c r="AG129" i="6" a="1"/>
  <c r="AG129" i="6" s="1"/>
  <c r="AF129" i="6" a="1"/>
  <c r="AF129" i="6" s="1"/>
  <c r="AE129" i="6"/>
  <c r="AE129" i="6" a="1"/>
  <c r="AD129" i="6"/>
  <c r="AD129" i="6" a="1"/>
  <c r="AC129" i="6" a="1"/>
  <c r="AC129" i="6" s="1"/>
  <c r="AB129" i="6"/>
  <c r="AB129" i="6" a="1"/>
  <c r="AA129" i="6" a="1"/>
  <c r="AA129" i="6" s="1"/>
  <c r="Z129" i="6" a="1"/>
  <c r="Z129" i="6" s="1"/>
  <c r="Y129" i="6"/>
  <c r="Y129" i="6" a="1"/>
  <c r="X129" i="6"/>
  <c r="X129" i="6" a="1"/>
  <c r="W129" i="6"/>
  <c r="W129" i="6" a="1"/>
  <c r="V129" i="6" a="1"/>
  <c r="V129" i="6" s="1"/>
  <c r="U129" i="6" a="1"/>
  <c r="U129" i="6" s="1"/>
  <c r="T129" i="6" a="1"/>
  <c r="T129" i="6" s="1"/>
  <c r="S129" i="6"/>
  <c r="S129" i="6" a="1"/>
  <c r="R129" i="6" a="1"/>
  <c r="R129" i="6" s="1"/>
  <c r="Q129" i="6" a="1"/>
  <c r="Q129" i="6" s="1"/>
  <c r="P129" i="6"/>
  <c r="P129" i="6" a="1"/>
  <c r="O129" i="6" a="1"/>
  <c r="O129" i="6" s="1"/>
  <c r="N129" i="6"/>
  <c r="N129" i="6" a="1"/>
  <c r="M129" i="6"/>
  <c r="M129" i="6" a="1"/>
  <c r="L129" i="6" a="1"/>
  <c r="L129" i="6" s="1"/>
  <c r="K129" i="6" a="1"/>
  <c r="K129" i="6" s="1"/>
  <c r="J129" i="6"/>
  <c r="J129" i="6" a="1"/>
  <c r="I129" i="6"/>
  <c r="I129" i="6" a="1"/>
  <c r="H129" i="6" a="1"/>
  <c r="H129" i="6" s="1"/>
  <c r="G129" i="6"/>
  <c r="G129" i="6" a="1"/>
  <c r="F129" i="6" a="1"/>
  <c r="F129" i="6" s="1"/>
  <c r="E129" i="6" a="1"/>
  <c r="E129" i="6" s="1"/>
  <c r="D129" i="6"/>
  <c r="D129" i="6" a="1"/>
  <c r="AH128" i="6" a="1"/>
  <c r="AH128" i="6" s="1"/>
  <c r="AG128" i="6" a="1"/>
  <c r="AG128" i="6" s="1"/>
  <c r="AF128" i="6" a="1"/>
  <c r="AF128" i="6" s="1"/>
  <c r="AE128" i="6"/>
  <c r="AE128" i="6" a="1"/>
  <c r="AD128" i="6"/>
  <c r="AD128" i="6" a="1"/>
  <c r="AC128" i="6"/>
  <c r="AC128" i="6" a="1"/>
  <c r="AB128" i="6" a="1"/>
  <c r="AB128" i="6" s="1"/>
  <c r="AA128" i="6" a="1"/>
  <c r="AA128" i="6" s="1"/>
  <c r="Z128" i="6"/>
  <c r="Z128" i="6" a="1"/>
  <c r="Y128" i="6" a="1"/>
  <c r="Y128" i="6" s="1"/>
  <c r="X128" i="6"/>
  <c r="X128" i="6" a="1"/>
  <c r="W128" i="6"/>
  <c r="W128" i="6" a="1"/>
  <c r="V128" i="6" a="1"/>
  <c r="V128" i="6" s="1"/>
  <c r="U128" i="6" a="1"/>
  <c r="U128" i="6" s="1"/>
  <c r="T128" i="6"/>
  <c r="T128" i="6" a="1"/>
  <c r="S128" i="6" a="1"/>
  <c r="S128" i="6" s="1"/>
  <c r="R128" i="6" a="1"/>
  <c r="R128" i="6" s="1"/>
  <c r="Q128" i="6" a="1"/>
  <c r="Q128" i="6" s="1"/>
  <c r="P128" i="6"/>
  <c r="P128" i="6" a="1"/>
  <c r="O128" i="6"/>
  <c r="O128" i="6" a="1"/>
  <c r="N128" i="6"/>
  <c r="N128" i="6" a="1"/>
  <c r="M128" i="6" a="1"/>
  <c r="M128" i="6" s="1"/>
  <c r="L128" i="6" a="1"/>
  <c r="L128" i="6" s="1"/>
  <c r="K128" i="6" a="1"/>
  <c r="K128" i="6" s="1"/>
  <c r="J128" i="6" a="1"/>
  <c r="J128" i="6" s="1"/>
  <c r="I128" i="6"/>
  <c r="I128" i="6" a="1"/>
  <c r="H128" i="6"/>
  <c r="H128" i="6" a="1"/>
  <c r="G128" i="6" a="1"/>
  <c r="G128" i="6" s="1"/>
  <c r="F128" i="6" a="1"/>
  <c r="F128" i="6" s="1"/>
  <c r="E128" i="6"/>
  <c r="E128" i="6" a="1"/>
  <c r="D128" i="6" a="1"/>
  <c r="D128" i="6" s="1"/>
  <c r="AH127" i="6"/>
  <c r="AH127" i="6" a="1"/>
  <c r="AG127" i="6" a="1"/>
  <c r="AG127" i="6" s="1"/>
  <c r="AF127" i="6"/>
  <c r="AF127" i="6" a="1"/>
  <c r="AE127" i="6"/>
  <c r="AE127" i="6" a="1"/>
  <c r="AD127" i="6"/>
  <c r="AD127" i="6" a="1"/>
  <c r="AC127" i="6" a="1"/>
  <c r="AC127" i="6" s="1"/>
  <c r="AB127" i="6" a="1"/>
  <c r="AB127" i="6" s="1"/>
  <c r="AA127" i="6" a="1"/>
  <c r="AA127" i="6" s="1"/>
  <c r="Z127" i="6" a="1"/>
  <c r="Z127" i="6" s="1"/>
  <c r="Y127" i="6"/>
  <c r="Y127" i="6" a="1"/>
  <c r="X127" i="6"/>
  <c r="X127" i="6" a="1"/>
  <c r="W127" i="6" a="1"/>
  <c r="W127" i="6" s="1"/>
  <c r="V127" i="6" a="1"/>
  <c r="V127" i="6" s="1"/>
  <c r="U127" i="6" a="1"/>
  <c r="U127" i="6" s="1"/>
  <c r="T127" i="6" a="1"/>
  <c r="T127" i="6" s="1"/>
  <c r="S127" i="6" a="1"/>
  <c r="S127" i="6" s="1"/>
  <c r="R127" i="6" a="1"/>
  <c r="R127" i="6" s="1"/>
  <c r="Q127" i="6"/>
  <c r="Q127" i="6" a="1"/>
  <c r="P127" i="6"/>
  <c r="P127" i="6" a="1"/>
  <c r="O127" i="6"/>
  <c r="O127" i="6" a="1"/>
  <c r="N127" i="6" a="1"/>
  <c r="N127" i="6" s="1"/>
  <c r="M127" i="6"/>
  <c r="M127" i="6" a="1"/>
  <c r="L127" i="6" a="1"/>
  <c r="L127" i="6" s="1"/>
  <c r="K127" i="6" a="1"/>
  <c r="K127" i="6" s="1"/>
  <c r="J127" i="6" a="1"/>
  <c r="J127" i="6" s="1"/>
  <c r="I127" i="6"/>
  <c r="I127" i="6" a="1"/>
  <c r="H127" i="6" a="1"/>
  <c r="H127" i="6" s="1"/>
  <c r="G127" i="6" a="1"/>
  <c r="G127" i="6" s="1"/>
  <c r="F127" i="6" a="1"/>
  <c r="F127" i="6" s="1"/>
  <c r="E127" i="6" a="1"/>
  <c r="E127" i="6" s="1"/>
  <c r="D127" i="6" a="1"/>
  <c r="D127" i="6" s="1"/>
  <c r="AH126" i="6" a="1"/>
  <c r="AH126" i="6" s="1"/>
  <c r="AG126" i="6" a="1"/>
  <c r="AG126" i="6" s="1"/>
  <c r="AF126" i="6"/>
  <c r="AF126" i="6" a="1"/>
  <c r="AE126" i="6" a="1"/>
  <c r="AE126" i="6" s="1"/>
  <c r="AD126" i="6" a="1"/>
  <c r="AD126" i="6" s="1"/>
  <c r="AC126" i="6"/>
  <c r="AC126" i="6" a="1"/>
  <c r="AB126" i="6" a="1"/>
  <c r="AB126" i="6" s="1"/>
  <c r="AA126" i="6"/>
  <c r="AA126" i="6" a="1"/>
  <c r="Z126" i="6" a="1"/>
  <c r="Z126" i="6" s="1"/>
  <c r="Y126" i="6"/>
  <c r="Y126" i="6" a="1"/>
  <c r="X126" i="6" a="1"/>
  <c r="X126" i="6" s="1"/>
  <c r="W126" i="6"/>
  <c r="W126" i="6" a="1"/>
  <c r="V126" i="6" a="1"/>
  <c r="V126" i="6" s="1"/>
  <c r="U126" i="6" a="1"/>
  <c r="U126" i="6" s="1"/>
  <c r="T126" i="6" a="1"/>
  <c r="T126" i="6" s="1"/>
  <c r="S126" i="6" a="1"/>
  <c r="S126" i="6" s="1"/>
  <c r="R126" i="6" a="1"/>
  <c r="R126" i="6" s="1"/>
  <c r="Q126" i="6" a="1"/>
  <c r="Q126" i="6" s="1"/>
  <c r="P126" i="6" a="1"/>
  <c r="P126" i="6" s="1"/>
  <c r="O126" i="6" a="1"/>
  <c r="O126" i="6" s="1"/>
  <c r="N126" i="6"/>
  <c r="N126" i="6" a="1"/>
  <c r="M126" i="6" a="1"/>
  <c r="M126" i="6" s="1"/>
  <c r="L126" i="6" a="1"/>
  <c r="L126" i="6" s="1"/>
  <c r="K126" i="6" a="1"/>
  <c r="K126" i="6" s="1"/>
  <c r="J126" i="6" a="1"/>
  <c r="J126" i="6" s="1"/>
  <c r="I126" i="6"/>
  <c r="I126" i="6" a="1"/>
  <c r="H126" i="6"/>
  <c r="H126" i="6" a="1"/>
  <c r="G126" i="6" a="1"/>
  <c r="G126" i="6" s="1"/>
  <c r="F126" i="6" a="1"/>
  <c r="F126" i="6" s="1"/>
  <c r="E126" i="6"/>
  <c r="E126" i="6" a="1"/>
  <c r="D126" i="6"/>
  <c r="D126" i="6" a="1"/>
  <c r="AH125" i="6" a="1"/>
  <c r="AH125" i="6" s="1"/>
  <c r="AG125" i="6"/>
  <c r="AG125" i="6" a="1"/>
  <c r="AF125" i="6" a="1"/>
  <c r="AF125" i="6" s="1"/>
  <c r="AE125" i="6" a="1"/>
  <c r="AE125" i="6" s="1"/>
  <c r="AD125" i="6"/>
  <c r="AD125" i="6" a="1"/>
  <c r="AC125" i="6" a="1"/>
  <c r="AC125" i="6" s="1"/>
  <c r="AB125" i="6"/>
  <c r="AB125" i="6" a="1"/>
  <c r="AA125" i="6" a="1"/>
  <c r="AA125" i="6" s="1"/>
  <c r="Z125" i="6" a="1"/>
  <c r="Z125" i="6" s="1"/>
  <c r="Y125" i="6"/>
  <c r="Y125" i="6" a="1"/>
  <c r="X125" i="6"/>
  <c r="X125" i="6" a="1"/>
  <c r="W125" i="6" a="1"/>
  <c r="W125" i="6" s="1"/>
  <c r="V125" i="6" a="1"/>
  <c r="V125" i="6" s="1"/>
  <c r="U125" i="6" a="1"/>
  <c r="U125" i="6" s="1"/>
  <c r="T125" i="6" a="1"/>
  <c r="T125" i="6" s="1"/>
  <c r="S125" i="6"/>
  <c r="S125" i="6" a="1"/>
  <c r="R125" i="6"/>
  <c r="R125" i="6" a="1"/>
  <c r="Q125" i="6" a="1"/>
  <c r="Q125" i="6" s="1"/>
  <c r="P125" i="6" a="1"/>
  <c r="P125" i="6" s="1"/>
  <c r="O125" i="6"/>
  <c r="O125" i="6" a="1"/>
  <c r="N125" i="6" a="1"/>
  <c r="N125" i="6" s="1"/>
  <c r="M125" i="6" a="1"/>
  <c r="M125" i="6" s="1"/>
  <c r="L125" i="6"/>
  <c r="L125" i="6" a="1"/>
  <c r="K125" i="6"/>
  <c r="K125" i="6" a="1"/>
  <c r="J125" i="6"/>
  <c r="J125" i="6" a="1"/>
  <c r="I125" i="6"/>
  <c r="I125" i="6" a="1"/>
  <c r="H125" i="6" a="1"/>
  <c r="H125" i="6" s="1"/>
  <c r="G125" i="6" a="1"/>
  <c r="G125" i="6" s="1"/>
  <c r="F125" i="6" a="1"/>
  <c r="F125" i="6" s="1"/>
  <c r="E125" i="6" a="1"/>
  <c r="E125" i="6" s="1"/>
  <c r="D125" i="6"/>
  <c r="D125" i="6" a="1"/>
  <c r="AH124" i="6"/>
  <c r="AH124" i="6" a="1"/>
  <c r="AG124" i="6" a="1"/>
  <c r="AG124" i="6" s="1"/>
  <c r="AF124" i="6" a="1"/>
  <c r="AF124" i="6" s="1"/>
  <c r="AE124" i="6"/>
  <c r="AE124" i="6" a="1"/>
  <c r="AD124" i="6" a="1"/>
  <c r="AD124" i="6" s="1"/>
  <c r="AC124" i="6"/>
  <c r="AC124" i="6" a="1"/>
  <c r="AB124" i="6"/>
  <c r="AB124" i="6" a="1"/>
  <c r="AA124" i="6" a="1"/>
  <c r="AA124" i="6" s="1"/>
  <c r="Z124" i="6"/>
  <c r="Z124" i="6" a="1"/>
  <c r="Y124" i="6"/>
  <c r="Y124" i="6" a="1"/>
  <c r="X124" i="6" a="1"/>
  <c r="X124" i="6" s="1"/>
  <c r="W124" i="6" a="1"/>
  <c r="W124" i="6" s="1"/>
  <c r="V124" i="6" a="1"/>
  <c r="V124" i="6" s="1"/>
  <c r="U124" i="6" a="1"/>
  <c r="U124" i="6" s="1"/>
  <c r="T124" i="6" a="1"/>
  <c r="T124" i="6" s="1"/>
  <c r="S124" i="6"/>
  <c r="S124" i="6" a="1"/>
  <c r="R124" i="6" a="1"/>
  <c r="R124" i="6" s="1"/>
  <c r="Q124" i="6" a="1"/>
  <c r="Q124" i="6" s="1"/>
  <c r="P124" i="6" a="1"/>
  <c r="P124" i="6" s="1"/>
  <c r="O124" i="6" a="1"/>
  <c r="O124" i="6" s="1"/>
  <c r="N124" i="6" a="1"/>
  <c r="N124" i="6" s="1"/>
  <c r="M124" i="6" a="1"/>
  <c r="M124" i="6" s="1"/>
  <c r="L124" i="6" a="1"/>
  <c r="L124" i="6" s="1"/>
  <c r="K124" i="6"/>
  <c r="K124" i="6" a="1"/>
  <c r="J124" i="6"/>
  <c r="J124" i="6" a="1"/>
  <c r="I124" i="6" a="1"/>
  <c r="I124" i="6" s="1"/>
  <c r="H124" i="6"/>
  <c r="H124" i="6" a="1"/>
  <c r="G124" i="6" a="1"/>
  <c r="G124" i="6" s="1"/>
  <c r="F124" i="6"/>
  <c r="F124" i="6" a="1"/>
  <c r="E124" i="6"/>
  <c r="E124" i="6" a="1"/>
  <c r="D124" i="6"/>
  <c r="D124" i="6" a="1"/>
  <c r="AH123" i="6" a="1"/>
  <c r="AH123" i="6" s="1"/>
  <c r="AG123" i="6" a="1"/>
  <c r="AG123" i="6" s="1"/>
  <c r="AF123" i="6" a="1"/>
  <c r="AF123" i="6" s="1"/>
  <c r="AE123" i="6" a="1"/>
  <c r="AE123" i="6" s="1"/>
  <c r="AD123" i="6" a="1"/>
  <c r="AD123" i="6" s="1"/>
  <c r="AC123" i="6" a="1"/>
  <c r="AC123" i="6" s="1"/>
  <c r="AB123" i="6" a="1"/>
  <c r="AB123" i="6" s="1"/>
  <c r="AA123" i="6"/>
  <c r="AA123" i="6" a="1"/>
  <c r="Z123" i="6" a="1"/>
  <c r="Z123" i="6" s="1"/>
  <c r="Y123" i="6"/>
  <c r="Y123" i="6" a="1"/>
  <c r="X123" i="6"/>
  <c r="X123" i="6" a="1"/>
  <c r="W123" i="6"/>
  <c r="W123" i="6" a="1"/>
  <c r="V123" i="6" a="1"/>
  <c r="V123" i="6" s="1"/>
  <c r="U123" i="6"/>
  <c r="U123" i="6" a="1"/>
  <c r="T123" i="6"/>
  <c r="T123" i="6" a="1"/>
  <c r="S123" i="6" a="1"/>
  <c r="S123" i="6" s="1"/>
  <c r="R123" i="6" a="1"/>
  <c r="R123" i="6" s="1"/>
  <c r="Q123" i="6" a="1"/>
  <c r="Q123" i="6" s="1"/>
  <c r="P123" i="6" a="1"/>
  <c r="P123" i="6" s="1"/>
  <c r="O123" i="6" a="1"/>
  <c r="O123" i="6" s="1"/>
  <c r="N123" i="6" a="1"/>
  <c r="N123" i="6" s="1"/>
  <c r="M123" i="6" a="1"/>
  <c r="M123" i="6" s="1"/>
  <c r="L123" i="6" a="1"/>
  <c r="L123" i="6" s="1"/>
  <c r="K123" i="6" a="1"/>
  <c r="K123" i="6" s="1"/>
  <c r="J123" i="6"/>
  <c r="J123" i="6" a="1"/>
  <c r="I123" i="6"/>
  <c r="I123" i="6" a="1"/>
  <c r="H123" i="6" a="1"/>
  <c r="H123" i="6" s="1"/>
  <c r="G123" i="6" a="1"/>
  <c r="G123" i="6" s="1"/>
  <c r="F123" i="6" a="1"/>
  <c r="F123" i="6" s="1"/>
  <c r="E123" i="6" a="1"/>
  <c r="E123" i="6" s="1"/>
  <c r="D123" i="6" a="1"/>
  <c r="D123" i="6" s="1"/>
  <c r="AH122" i="6" a="1"/>
  <c r="AH122" i="6" s="1"/>
  <c r="AG122" i="6"/>
  <c r="AG122" i="6" a="1"/>
  <c r="AF122" i="6" a="1"/>
  <c r="AF122" i="6" s="1"/>
  <c r="AE122" i="6"/>
  <c r="AE122" i="6" a="1"/>
  <c r="AD122" i="6"/>
  <c r="AD122" i="6" a="1"/>
  <c r="AC122" i="6"/>
  <c r="AC122" i="6" a="1"/>
  <c r="AB122" i="6" a="1"/>
  <c r="AB122" i="6" s="1"/>
  <c r="AA122" i="6"/>
  <c r="AA122" i="6" a="1"/>
  <c r="Z122" i="6"/>
  <c r="Z122" i="6" a="1"/>
  <c r="Y122" i="6"/>
  <c r="Y122" i="6" a="1"/>
  <c r="X122" i="6" a="1"/>
  <c r="X122" i="6" s="1"/>
  <c r="W122" i="6" a="1"/>
  <c r="W122" i="6" s="1"/>
  <c r="V122" i="6" a="1"/>
  <c r="V122" i="6" s="1"/>
  <c r="U122" i="6" a="1"/>
  <c r="U122" i="6" s="1"/>
  <c r="T122" i="6" a="1"/>
  <c r="T122" i="6" s="1"/>
  <c r="S122" i="6" a="1"/>
  <c r="S122" i="6" s="1"/>
  <c r="R122" i="6" a="1"/>
  <c r="R122" i="6" s="1"/>
  <c r="Q122" i="6" a="1"/>
  <c r="Q122" i="6" s="1"/>
  <c r="P122" i="6"/>
  <c r="P122" i="6" a="1"/>
  <c r="O122" i="6"/>
  <c r="O122" i="6" a="1"/>
  <c r="N122" i="6" a="1"/>
  <c r="N122" i="6" s="1"/>
  <c r="M122" i="6" a="1"/>
  <c r="M122" i="6" s="1"/>
  <c r="L122" i="6"/>
  <c r="L122" i="6" a="1"/>
  <c r="K122" i="6"/>
  <c r="K122" i="6" a="1"/>
  <c r="J122" i="6"/>
  <c r="J122" i="6" a="1"/>
  <c r="I122" i="6" a="1"/>
  <c r="I122" i="6" s="1"/>
  <c r="H122" i="6" a="1"/>
  <c r="H122" i="6" s="1"/>
  <c r="G122" i="6" a="1"/>
  <c r="G122" i="6" s="1"/>
  <c r="F122" i="6"/>
  <c r="F122" i="6" a="1"/>
  <c r="E122" i="6" a="1"/>
  <c r="E122" i="6" s="1"/>
  <c r="D122" i="6" a="1"/>
  <c r="D122" i="6" s="1"/>
  <c r="AH121" i="6" a="1"/>
  <c r="AH121" i="6" s="1"/>
  <c r="AG121" i="6" a="1"/>
  <c r="AG121" i="6" s="1"/>
  <c r="AF121" i="6"/>
  <c r="AF121" i="6" a="1"/>
  <c r="AE121" i="6" a="1"/>
  <c r="AE121" i="6" s="1"/>
  <c r="AD121" i="6" a="1"/>
  <c r="AD121" i="6" s="1"/>
  <c r="AC121" i="6" a="1"/>
  <c r="AC121" i="6" s="1"/>
  <c r="AB121" i="6"/>
  <c r="AB121" i="6" a="1"/>
  <c r="AA121" i="6"/>
  <c r="AA121" i="6" a="1"/>
  <c r="Z121" i="6"/>
  <c r="Z121" i="6" a="1"/>
  <c r="Y121" i="6" a="1"/>
  <c r="Y121" i="6" s="1"/>
  <c r="X121" i="6" a="1"/>
  <c r="X121" i="6" s="1"/>
  <c r="W121" i="6"/>
  <c r="W121" i="6" a="1"/>
  <c r="V121" i="6"/>
  <c r="V121" i="6" a="1"/>
  <c r="U121" i="6" a="1"/>
  <c r="U121" i="6" s="1"/>
  <c r="T121" i="6" a="1"/>
  <c r="T121" i="6" s="1"/>
  <c r="S121" i="6" a="1"/>
  <c r="S121" i="6" s="1"/>
  <c r="R121" i="6" a="1"/>
  <c r="R121" i="6" s="1"/>
  <c r="Q121" i="6" a="1"/>
  <c r="Q121" i="6" s="1"/>
  <c r="P121" i="6" a="1"/>
  <c r="P121" i="6" s="1"/>
  <c r="O121" i="6" a="1"/>
  <c r="O121" i="6" s="1"/>
  <c r="N121" i="6" a="1"/>
  <c r="N121" i="6" s="1"/>
  <c r="M121" i="6"/>
  <c r="M121" i="6" a="1"/>
  <c r="L121" i="6"/>
  <c r="L121" i="6" a="1"/>
  <c r="K121" i="6"/>
  <c r="K121" i="6" a="1"/>
  <c r="J121" i="6" a="1"/>
  <c r="J121" i="6" s="1"/>
  <c r="I121" i="6"/>
  <c r="I121" i="6" a="1"/>
  <c r="H121" i="6"/>
  <c r="H121" i="6" a="1"/>
  <c r="G121" i="6"/>
  <c r="G121" i="6" a="1"/>
  <c r="F121" i="6" a="1"/>
  <c r="F121" i="6" s="1"/>
  <c r="E121" i="6" a="1"/>
  <c r="E121" i="6" s="1"/>
  <c r="D121" i="6" a="1"/>
  <c r="D121" i="6" s="1"/>
  <c r="AH120" i="6" a="1"/>
  <c r="AH120" i="6" s="1"/>
  <c r="AG120" i="6" a="1"/>
  <c r="AG120" i="6" s="1"/>
  <c r="AF120" i="6" a="1"/>
  <c r="AF120" i="6" s="1"/>
  <c r="AE120" i="6" a="1"/>
  <c r="AE120" i="6" s="1"/>
  <c r="AD120" i="6" a="1"/>
  <c r="AD120" i="6" s="1"/>
  <c r="AC120" i="6"/>
  <c r="AC120" i="6" a="1"/>
  <c r="AB120" i="6"/>
  <c r="AB120" i="6" a="1"/>
  <c r="AA120" i="6" a="1"/>
  <c r="AA120" i="6" s="1"/>
  <c r="Z120" i="6" a="1"/>
  <c r="Z120" i="6" s="1"/>
  <c r="Y120" i="6"/>
  <c r="Y120" i="6" a="1"/>
  <c r="X120" i="6"/>
  <c r="X120" i="6" a="1"/>
  <c r="W120" i="6"/>
  <c r="W120" i="6" a="1"/>
  <c r="V120" i="6" a="1"/>
  <c r="V120" i="6" s="1"/>
  <c r="U120" i="6" a="1"/>
  <c r="U120" i="6" s="1"/>
  <c r="T120" i="6" a="1"/>
  <c r="T120" i="6" s="1"/>
  <c r="S120" i="6"/>
  <c r="S120" i="6" a="1"/>
  <c r="R120" i="6" a="1"/>
  <c r="R120" i="6" s="1"/>
  <c r="Q120" i="6" a="1"/>
  <c r="Q120" i="6" s="1"/>
  <c r="P120" i="6" a="1"/>
  <c r="P120" i="6" s="1"/>
  <c r="O120" i="6" a="1"/>
  <c r="O120" i="6" s="1"/>
  <c r="N120" i="6"/>
  <c r="N120" i="6" a="1"/>
  <c r="M120" i="6" a="1"/>
  <c r="M120" i="6" s="1"/>
  <c r="L120" i="6"/>
  <c r="L120" i="6" a="1"/>
  <c r="K120" i="6" a="1"/>
  <c r="K120" i="6" s="1"/>
  <c r="J120" i="6"/>
  <c r="J120" i="6" a="1"/>
  <c r="I120" i="6"/>
  <c r="I120" i="6" a="1"/>
  <c r="H120" i="6"/>
  <c r="H120" i="6" a="1"/>
  <c r="G120" i="6" a="1"/>
  <c r="G120" i="6" s="1"/>
  <c r="F120" i="6" a="1"/>
  <c r="F120" i="6" s="1"/>
  <c r="E120" i="6"/>
  <c r="E120" i="6" a="1"/>
  <c r="D120" i="6"/>
  <c r="D120" i="6" a="1"/>
  <c r="AH119" i="6" a="1"/>
  <c r="AH119" i="6" s="1"/>
  <c r="AG119" i="6" a="1"/>
  <c r="AG119" i="6" s="1"/>
  <c r="AF119" i="6" a="1"/>
  <c r="AF119" i="6" s="1"/>
  <c r="AE119" i="6" a="1"/>
  <c r="AE119" i="6" s="1"/>
  <c r="AD119" i="6" a="1"/>
  <c r="AD119" i="6" s="1"/>
  <c r="AC119" i="6" a="1"/>
  <c r="AC119" i="6" s="1"/>
  <c r="AB119" i="6" a="1"/>
  <c r="AB119" i="6" s="1"/>
  <c r="AA119" i="6" a="1"/>
  <c r="AA119" i="6" s="1"/>
  <c r="Z119" i="6"/>
  <c r="Z119" i="6" a="1"/>
  <c r="Y119" i="6"/>
  <c r="Y119" i="6" a="1"/>
  <c r="X119" i="6"/>
  <c r="X119" i="6" a="1"/>
  <c r="W119" i="6" a="1"/>
  <c r="W119" i="6" s="1"/>
  <c r="V119" i="6"/>
  <c r="V119" i="6" a="1"/>
  <c r="U119" i="6"/>
  <c r="U119" i="6" a="1"/>
  <c r="T119" i="6"/>
  <c r="T119" i="6" a="1"/>
  <c r="S119" i="6" a="1"/>
  <c r="S119" i="6" s="1"/>
  <c r="R119" i="6" a="1"/>
  <c r="R119" i="6" s="1"/>
  <c r="Q119" i="6"/>
  <c r="Q119" i="6" a="1"/>
  <c r="P119" i="6" a="1"/>
  <c r="P119" i="6" s="1"/>
  <c r="O119" i="6"/>
  <c r="O119" i="6" a="1"/>
  <c r="N119" i="6" a="1"/>
  <c r="N119" i="6" s="1"/>
  <c r="M119" i="6"/>
  <c r="M119" i="6" a="1"/>
  <c r="L119" i="6" a="1"/>
  <c r="L119" i="6" s="1"/>
  <c r="K119" i="6"/>
  <c r="K119" i="6" a="1"/>
  <c r="J119" i="6"/>
  <c r="J119" i="6" a="1"/>
  <c r="I119" i="6" a="1"/>
  <c r="I119" i="6" s="1"/>
  <c r="H119" i="6" a="1"/>
  <c r="H119" i="6" s="1"/>
  <c r="G119" i="6"/>
  <c r="G119" i="6" a="1"/>
  <c r="F119" i="6"/>
  <c r="F119" i="6" a="1"/>
  <c r="E119" i="6"/>
  <c r="E119" i="6" a="1"/>
  <c r="D119" i="6" a="1"/>
  <c r="D119" i="6" s="1"/>
  <c r="AH118" i="6" a="1"/>
  <c r="AH118" i="6" s="1"/>
  <c r="AG118" i="6" a="1"/>
  <c r="AG118" i="6" s="1"/>
  <c r="AF118" i="6"/>
  <c r="AF118" i="6" a="1"/>
  <c r="AE118" i="6"/>
  <c r="AE118" i="6" a="1"/>
  <c r="AD118" i="6" a="1"/>
  <c r="AD118" i="6" s="1"/>
  <c r="AC118" i="6"/>
  <c r="AC118" i="6" a="1"/>
  <c r="AB118" i="6" a="1"/>
  <c r="AB118" i="6" s="1"/>
  <c r="AA118" i="6" a="1"/>
  <c r="AA118" i="6" s="1"/>
  <c r="Z118" i="6" a="1"/>
  <c r="Z118" i="6" s="1"/>
  <c r="Y118" i="6" a="1"/>
  <c r="Y118" i="6" s="1"/>
  <c r="X118" i="6" a="1"/>
  <c r="X118" i="6" s="1"/>
  <c r="W118" i="6"/>
  <c r="W118" i="6" a="1"/>
  <c r="V118" i="6"/>
  <c r="V118" i="6" a="1"/>
  <c r="U118" i="6"/>
  <c r="U118" i="6" a="1"/>
  <c r="T118" i="6" a="1"/>
  <c r="T118" i="6" s="1"/>
  <c r="S118" i="6" a="1"/>
  <c r="S118" i="6" s="1"/>
  <c r="R118" i="6"/>
  <c r="R118" i="6" a="1"/>
  <c r="Q118" i="6"/>
  <c r="Q118" i="6" a="1"/>
  <c r="P118" i="6"/>
  <c r="P118" i="6" a="1"/>
  <c r="O118" i="6" a="1"/>
  <c r="O118" i="6" s="1"/>
  <c r="N118" i="6"/>
  <c r="N118" i="6" a="1"/>
  <c r="M118" i="6" a="1"/>
  <c r="M118" i="6" s="1"/>
  <c r="L118" i="6" a="1"/>
  <c r="L118" i="6" s="1"/>
  <c r="K118" i="6" a="1"/>
  <c r="K118" i="6" s="1"/>
  <c r="J118" i="6"/>
  <c r="J118" i="6" a="1"/>
  <c r="I118" i="6" a="1"/>
  <c r="I118" i="6" s="1"/>
  <c r="H118" i="6"/>
  <c r="H118" i="6" a="1"/>
  <c r="G118" i="6"/>
  <c r="G118" i="6" a="1"/>
  <c r="F118" i="6"/>
  <c r="F118" i="6" a="1"/>
  <c r="E118" i="6" a="1"/>
  <c r="E118" i="6" s="1"/>
  <c r="D118" i="6" a="1"/>
  <c r="D118" i="6" s="1"/>
  <c r="AH117" i="6"/>
  <c r="AH117" i="6" a="1"/>
  <c r="AG117" i="6"/>
  <c r="AG117" i="6" a="1"/>
  <c r="AF117" i="6"/>
  <c r="AF117" i="6" a="1"/>
  <c r="AE117" i="6" a="1"/>
  <c r="AE117" i="6" s="1"/>
  <c r="AD117" i="6"/>
  <c r="AD117" i="6" a="1"/>
  <c r="AC117" i="6" a="1"/>
  <c r="AC117" i="6" s="1"/>
  <c r="AB117" i="6" a="1"/>
  <c r="AB117" i="6" s="1"/>
  <c r="AA117" i="6" a="1"/>
  <c r="AA117" i="6" s="1"/>
  <c r="Z117" i="6"/>
  <c r="Z117" i="6" a="1"/>
  <c r="Y117" i="6" a="1"/>
  <c r="Y117" i="6" s="1"/>
  <c r="X117" i="6"/>
  <c r="X117" i="6" a="1"/>
  <c r="W117" i="6"/>
  <c r="W117" i="6" a="1"/>
  <c r="V117" i="6" a="1"/>
  <c r="V117" i="6" s="1"/>
  <c r="U117" i="6" a="1"/>
  <c r="U117" i="6" s="1"/>
  <c r="T117" i="6" a="1"/>
  <c r="T117" i="6" s="1"/>
  <c r="S117" i="6"/>
  <c r="S117" i="6" a="1"/>
  <c r="R117" i="6"/>
  <c r="R117" i="6" a="1"/>
  <c r="Q117" i="6"/>
  <c r="Q117" i="6" a="1"/>
  <c r="P117" i="6" a="1"/>
  <c r="P117" i="6" s="1"/>
  <c r="O117" i="6" a="1"/>
  <c r="O117" i="6" s="1"/>
  <c r="N117" i="6"/>
  <c r="N117" i="6" a="1"/>
  <c r="M117" i="6" a="1"/>
  <c r="M117" i="6" s="1"/>
  <c r="L117" i="6" a="1"/>
  <c r="L117" i="6" s="1"/>
  <c r="K117" i="6"/>
  <c r="K117" i="6" a="1"/>
  <c r="J117" i="6" a="1"/>
  <c r="J117" i="6" s="1"/>
  <c r="I117" i="6"/>
  <c r="I117" i="6" a="1"/>
  <c r="H117" i="6" a="1"/>
  <c r="H117" i="6" s="1"/>
  <c r="G117" i="6"/>
  <c r="G117" i="6" a="1"/>
  <c r="F117" i="6" a="1"/>
  <c r="F117" i="6" s="1"/>
  <c r="E117" i="6" a="1"/>
  <c r="E117" i="6" s="1"/>
  <c r="D117" i="6"/>
  <c r="D117" i="6" a="1"/>
  <c r="AH116" i="6"/>
  <c r="AH116" i="6" a="1"/>
  <c r="AG116" i="6"/>
  <c r="AG116" i="6" a="1"/>
  <c r="AF116" i="6" a="1"/>
  <c r="AF116" i="6" s="1"/>
  <c r="AE116" i="6"/>
  <c r="AE116" i="6" a="1"/>
  <c r="AD116" i="6"/>
  <c r="AD116" i="6" a="1"/>
  <c r="AC116" i="6" a="1"/>
  <c r="AC116" i="6" s="1"/>
  <c r="AB116" i="6" a="1"/>
  <c r="AB116" i="6" s="1"/>
  <c r="AA116" i="6"/>
  <c r="AA116" i="6" a="1"/>
  <c r="Z116" i="6" a="1"/>
  <c r="Z116" i="6" s="1"/>
  <c r="Y116" i="6" a="1"/>
  <c r="Y116" i="6" s="1"/>
  <c r="X116" i="6" a="1"/>
  <c r="X116" i="6" s="1"/>
  <c r="W116" i="6"/>
  <c r="W116" i="6" a="1"/>
  <c r="V116" i="6" a="1"/>
  <c r="V116" i="6" s="1"/>
  <c r="U116" i="6" a="1"/>
  <c r="U116" i="6" s="1"/>
  <c r="T116" i="6"/>
  <c r="T116" i="6" a="1"/>
  <c r="S116" i="6"/>
  <c r="S116" i="6" a="1"/>
  <c r="R116" i="6" a="1"/>
  <c r="R116" i="6" s="1"/>
  <c r="Q116" i="6"/>
  <c r="Q116" i="6" a="1"/>
  <c r="P116" i="6"/>
  <c r="P116" i="6" a="1"/>
  <c r="O116" i="6"/>
  <c r="O116" i="6" a="1"/>
  <c r="N116" i="6" a="1"/>
  <c r="N116" i="6" s="1"/>
  <c r="M116" i="6" a="1"/>
  <c r="M116" i="6" s="1"/>
  <c r="L116" i="6"/>
  <c r="L116" i="6" a="1"/>
  <c r="K116" i="6" a="1"/>
  <c r="K116" i="6" s="1"/>
  <c r="J116" i="6"/>
  <c r="J116" i="6" a="1"/>
  <c r="I116" i="6" a="1"/>
  <c r="I116" i="6" s="1"/>
  <c r="H116" i="6"/>
  <c r="H116" i="6" a="1"/>
  <c r="G116" i="6" a="1"/>
  <c r="G116" i="6" s="1"/>
  <c r="F116" i="6" a="1"/>
  <c r="F116" i="6" s="1"/>
  <c r="E116" i="6"/>
  <c r="E116" i="6" a="1"/>
  <c r="D116" i="6" a="1"/>
  <c r="D116" i="6" s="1"/>
  <c r="AH115" i="6" a="1"/>
  <c r="AH115" i="6" s="1"/>
  <c r="AG115" i="6"/>
  <c r="AG115" i="6" a="1"/>
  <c r="AF115" i="6"/>
  <c r="AF115" i="6" a="1"/>
  <c r="AE115" i="6"/>
  <c r="AE115" i="6" a="1"/>
  <c r="AD115" i="6" a="1"/>
  <c r="AD115" i="6" s="1"/>
  <c r="AC115" i="6" a="1"/>
  <c r="AC115" i="6" s="1"/>
  <c r="AB115" i="6" a="1"/>
  <c r="AB115" i="6" s="1"/>
  <c r="AA115" i="6"/>
  <c r="AA115" i="6" a="1"/>
  <c r="Z115" i="6"/>
  <c r="Z115" i="6" a="1"/>
  <c r="Y115" i="6" a="1"/>
  <c r="Y115" i="6" s="1"/>
  <c r="X115" i="6"/>
  <c r="X115" i="6" a="1"/>
  <c r="W115" i="6" a="1"/>
  <c r="W115" i="6" s="1"/>
  <c r="V115" i="6" a="1"/>
  <c r="V115" i="6" s="1"/>
  <c r="U115" i="6" a="1"/>
  <c r="U115" i="6" s="1"/>
  <c r="T115" i="6"/>
  <c r="T115" i="6" a="1"/>
  <c r="S115" i="6" a="1"/>
  <c r="S115" i="6" s="1"/>
  <c r="R115" i="6"/>
  <c r="R115" i="6" a="1"/>
  <c r="Q115" i="6"/>
  <c r="Q115" i="6" a="1"/>
  <c r="P115" i="6"/>
  <c r="P115" i="6" a="1"/>
  <c r="O115" i="6" a="1"/>
  <c r="O115" i="6" s="1"/>
  <c r="N115" i="6" a="1"/>
  <c r="N115" i="6" s="1"/>
  <c r="M115" i="6" a="1"/>
  <c r="M115" i="6" s="1"/>
  <c r="L115" i="6"/>
  <c r="L115" i="6" a="1"/>
  <c r="K115" i="6"/>
  <c r="K115" i="6" a="1"/>
  <c r="J115" i="6" a="1"/>
  <c r="J115" i="6" s="1"/>
  <c r="I115" i="6"/>
  <c r="I115" i="6" a="1"/>
  <c r="H115" i="6" a="1"/>
  <c r="H115" i="6" s="1"/>
  <c r="G115" i="6" a="1"/>
  <c r="G115" i="6" s="1"/>
  <c r="F115" i="6" a="1"/>
  <c r="F115" i="6" s="1"/>
  <c r="E115" i="6"/>
  <c r="E115" i="6" a="1"/>
  <c r="D115" i="6" a="1"/>
  <c r="D115" i="6" s="1"/>
  <c r="AH114" i="6"/>
  <c r="AH114" i="6" a="1"/>
  <c r="AG114" i="6"/>
  <c r="AG114" i="6" a="1"/>
  <c r="AF114" i="6"/>
  <c r="AF114" i="6" a="1"/>
  <c r="AE114" i="6" a="1"/>
  <c r="AE114" i="6" s="1"/>
  <c r="AD114" i="6" a="1"/>
  <c r="AD114" i="6" s="1"/>
  <c r="AC114" i="6"/>
  <c r="AC114" i="6" a="1"/>
  <c r="AB114" i="6"/>
  <c r="AB114" i="6" a="1"/>
  <c r="AA114" i="6"/>
  <c r="AA114" i="6" a="1"/>
  <c r="Z114" i="6" a="1"/>
  <c r="Z114" i="6" s="1"/>
  <c r="Y114" i="6"/>
  <c r="Y114" i="6" a="1"/>
  <c r="X114" i="6" a="1"/>
  <c r="X114" i="6" s="1"/>
  <c r="W114" i="6" a="1"/>
  <c r="W114" i="6" s="1"/>
  <c r="V114" i="6" a="1"/>
  <c r="V114" i="6" s="1"/>
  <c r="U114" i="6"/>
  <c r="U114" i="6" a="1"/>
  <c r="T114" i="6" a="1"/>
  <c r="T114" i="6" s="1"/>
  <c r="S114" i="6"/>
  <c r="S114" i="6" a="1"/>
  <c r="R114" i="6"/>
  <c r="R114" i="6" a="1"/>
  <c r="Q114" i="6" a="1"/>
  <c r="Q114" i="6" s="1"/>
  <c r="P114" i="6" a="1"/>
  <c r="P114" i="6" s="1"/>
  <c r="O114" i="6" a="1"/>
  <c r="O114" i="6" s="1"/>
  <c r="N114" i="6"/>
  <c r="N114" i="6" a="1"/>
  <c r="M114" i="6"/>
  <c r="M114" i="6" a="1"/>
  <c r="L114" i="6"/>
  <c r="L114" i="6" a="1"/>
  <c r="K114" i="6" a="1"/>
  <c r="K114" i="6" s="1"/>
  <c r="J114" i="6" a="1"/>
  <c r="J114" i="6" s="1"/>
  <c r="I114" i="6"/>
  <c r="I114" i="6" a="1"/>
  <c r="H114" i="6" a="1"/>
  <c r="H114" i="6" s="1"/>
  <c r="G114" i="6" a="1"/>
  <c r="G114" i="6" s="1"/>
  <c r="F114" i="6"/>
  <c r="F114" i="6" a="1"/>
  <c r="E114" i="6" a="1"/>
  <c r="E114" i="6" s="1"/>
  <c r="D114" i="6"/>
  <c r="D114" i="6" a="1"/>
  <c r="AH113" i="6" a="1"/>
  <c r="AH113" i="6" s="1"/>
  <c r="AG113" i="6"/>
  <c r="AG113" i="6" a="1"/>
  <c r="AF113" i="6" a="1"/>
  <c r="AF113" i="6" s="1"/>
  <c r="AE113" i="6" a="1"/>
  <c r="AE113" i="6" s="1"/>
  <c r="AD113" i="6"/>
  <c r="AD113" i="6" a="1"/>
  <c r="AC113" i="6"/>
  <c r="AC113" i="6" a="1"/>
  <c r="AB113" i="6"/>
  <c r="AB113" i="6" a="1"/>
  <c r="AA113" i="6" a="1"/>
  <c r="AA113" i="6" s="1"/>
  <c r="Z113" i="6"/>
  <c r="Z113" i="6" a="1"/>
  <c r="Y113" i="6"/>
  <c r="Y113" i="6" a="1"/>
  <c r="X113" i="6" a="1"/>
  <c r="X113" i="6" s="1"/>
  <c r="W113" i="6" a="1"/>
  <c r="W113" i="6" s="1"/>
  <c r="V113" i="6"/>
  <c r="V113" i="6" a="1"/>
  <c r="U113" i="6" a="1"/>
  <c r="U113" i="6" s="1"/>
  <c r="T113" i="6" a="1"/>
  <c r="T113" i="6" s="1"/>
  <c r="S113" i="6" a="1"/>
  <c r="S113" i="6" s="1"/>
  <c r="R113" i="6"/>
  <c r="R113" i="6" a="1"/>
  <c r="Q113" i="6" a="1"/>
  <c r="Q113" i="6" s="1"/>
  <c r="P113" i="6" a="1"/>
  <c r="P113" i="6" s="1"/>
  <c r="O113" i="6"/>
  <c r="O113" i="6" a="1"/>
  <c r="N113" i="6"/>
  <c r="N113" i="6" a="1"/>
  <c r="M113" i="6" a="1"/>
  <c r="M113" i="6" s="1"/>
  <c r="L113" i="6"/>
  <c r="L113" i="6" a="1"/>
  <c r="K113" i="6"/>
  <c r="K113" i="6" a="1"/>
  <c r="J113" i="6"/>
  <c r="J113" i="6" a="1"/>
  <c r="I113" i="6" a="1"/>
  <c r="I113" i="6" s="1"/>
  <c r="H113" i="6" a="1"/>
  <c r="H113" i="6" s="1"/>
  <c r="G113" i="6"/>
  <c r="G113" i="6" a="1"/>
  <c r="F113" i="6" a="1"/>
  <c r="F113" i="6" s="1"/>
  <c r="E113" i="6"/>
  <c r="E113" i="6" a="1"/>
  <c r="D113" i="6" a="1"/>
  <c r="D113" i="6" s="1"/>
  <c r="AH112" i="6"/>
  <c r="AH112" i="6" a="1"/>
  <c r="AG112" i="6" a="1"/>
  <c r="AG112" i="6" s="1"/>
  <c r="AF112" i="6" a="1"/>
  <c r="AF112" i="6" s="1"/>
  <c r="AE112" i="6"/>
  <c r="AE112" i="6" a="1"/>
  <c r="AD112" i="6" a="1"/>
  <c r="AD112" i="6" s="1"/>
  <c r="AC112" i="6" a="1"/>
  <c r="AC112" i="6" s="1"/>
  <c r="AB112" i="6"/>
  <c r="AB112" i="6" a="1"/>
  <c r="AA112" i="6"/>
  <c r="AA112" i="6" a="1"/>
  <c r="Z112" i="6"/>
  <c r="Z112" i="6" a="1"/>
  <c r="Y112" i="6" a="1"/>
  <c r="Y112" i="6" s="1"/>
  <c r="X112" i="6" a="1"/>
  <c r="X112" i="6" s="1"/>
  <c r="W112" i="6" a="1"/>
  <c r="W112" i="6" s="1"/>
  <c r="V112" i="6"/>
  <c r="V112" i="6" a="1"/>
  <c r="U112" i="6"/>
  <c r="U112" i="6" a="1"/>
  <c r="T112" i="6" a="1"/>
  <c r="T112" i="6" s="1"/>
  <c r="S112" i="6"/>
  <c r="S112" i="6" a="1"/>
  <c r="R112" i="6" a="1"/>
  <c r="R112" i="6" s="1"/>
  <c r="Q112" i="6" a="1"/>
  <c r="Q112" i="6" s="1"/>
  <c r="P112" i="6" a="1"/>
  <c r="P112" i="6" s="1"/>
  <c r="O112" i="6"/>
  <c r="O112" i="6" a="1"/>
  <c r="N112" i="6" a="1"/>
  <c r="N112" i="6" s="1"/>
  <c r="M112" i="6"/>
  <c r="M112" i="6" a="1"/>
  <c r="L112" i="6"/>
  <c r="L112" i="6" a="1"/>
  <c r="K112" i="6"/>
  <c r="K112" i="6" a="1"/>
  <c r="J112" i="6" a="1"/>
  <c r="J112" i="6" s="1"/>
  <c r="I112" i="6" a="1"/>
  <c r="I112" i="6" s="1"/>
  <c r="H112" i="6"/>
  <c r="H112" i="6" a="1"/>
  <c r="G112" i="6"/>
  <c r="G112" i="6" a="1"/>
  <c r="F112" i="6"/>
  <c r="F112" i="6" a="1"/>
  <c r="E112" i="6" a="1"/>
  <c r="E112" i="6" s="1"/>
  <c r="D112" i="6"/>
  <c r="D112" i="6" a="1"/>
  <c r="AH111" i="6" a="1"/>
  <c r="AH111" i="6" s="1"/>
  <c r="AG111" i="6" a="1"/>
  <c r="AG111" i="6" s="1"/>
  <c r="AF111" i="6" a="1"/>
  <c r="AF111" i="6" s="1"/>
  <c r="AE111" i="6"/>
  <c r="AE111" i="6" a="1"/>
  <c r="AD111" i="6" a="1"/>
  <c r="AD111" i="6" s="1"/>
  <c r="AC111" i="6"/>
  <c r="AC111" i="6" a="1"/>
  <c r="AB111" i="6"/>
  <c r="AB111" i="6" a="1"/>
  <c r="AA111" i="6"/>
  <c r="AA111" i="6" a="1"/>
  <c r="Z111" i="6" a="1"/>
  <c r="Z111" i="6" s="1"/>
  <c r="Y111" i="6" a="1"/>
  <c r="Y111" i="6" s="1"/>
  <c r="X111" i="6"/>
  <c r="X111" i="6" a="1"/>
  <c r="W111" i="6"/>
  <c r="W111" i="6" a="1"/>
  <c r="V111" i="6"/>
  <c r="V111" i="6" a="1"/>
  <c r="U111" i="6" a="1"/>
  <c r="U111" i="6" s="1"/>
  <c r="T111" i="6"/>
  <c r="T111" i="6" a="1"/>
  <c r="S111" i="6" a="1"/>
  <c r="S111" i="6" s="1"/>
  <c r="R111" i="6" a="1"/>
  <c r="R111" i="6" s="1"/>
  <c r="Q111" i="6" a="1"/>
  <c r="Q111" i="6" s="1"/>
  <c r="P111" i="6"/>
  <c r="P111" i="6" a="1"/>
  <c r="O111" i="6" a="1"/>
  <c r="O111" i="6" s="1"/>
  <c r="N111" i="6"/>
  <c r="N111" i="6" a="1"/>
  <c r="M111" i="6"/>
  <c r="M111" i="6" a="1"/>
  <c r="L111" i="6" a="1"/>
  <c r="L111" i="6" s="1"/>
  <c r="K111" i="6" a="1"/>
  <c r="K111" i="6" s="1"/>
  <c r="J111" i="6" a="1"/>
  <c r="J111" i="6" s="1"/>
  <c r="I111" i="6"/>
  <c r="I111" i="6" a="1"/>
  <c r="H111" i="6"/>
  <c r="H111" i="6" a="1"/>
  <c r="G111" i="6"/>
  <c r="G111" i="6" a="1"/>
  <c r="F111" i="6" a="1"/>
  <c r="F111" i="6" s="1"/>
  <c r="E111" i="6" a="1"/>
  <c r="E111" i="6" s="1"/>
  <c r="D111" i="6"/>
  <c r="D111" i="6" a="1"/>
  <c r="AH110" i="6" a="1"/>
  <c r="AH110" i="6" s="1"/>
  <c r="AG110" i="6" a="1"/>
  <c r="AG110" i="6" s="1"/>
  <c r="AF110" i="6"/>
  <c r="AF110" i="6" a="1"/>
  <c r="AE110" i="6" a="1"/>
  <c r="AE110" i="6" s="1"/>
  <c r="AD110" i="6"/>
  <c r="AD110" i="6" a="1"/>
  <c r="AC110" i="6" a="1"/>
  <c r="AC110" i="6" s="1"/>
  <c r="AB110" i="6"/>
  <c r="AB110" i="6" a="1"/>
  <c r="AA110" i="6" a="1"/>
  <c r="AA110" i="6" s="1"/>
  <c r="Z110" i="6" a="1"/>
  <c r="Z110" i="6" s="1"/>
  <c r="Y110" i="6"/>
  <c r="Y110" i="6" a="1"/>
  <c r="X110" i="6"/>
  <c r="X110" i="6" a="1"/>
  <c r="W110" i="6"/>
  <c r="W110" i="6" a="1"/>
  <c r="V110" i="6" a="1"/>
  <c r="V110" i="6" s="1"/>
  <c r="U110" i="6"/>
  <c r="U110" i="6" a="1"/>
  <c r="T110" i="6"/>
  <c r="T110" i="6" a="1"/>
  <c r="S110" i="6" a="1"/>
  <c r="S110" i="6" s="1"/>
  <c r="R110" i="6" a="1"/>
  <c r="R110" i="6" s="1"/>
  <c r="Q110" i="6"/>
  <c r="Q110" i="6" a="1"/>
  <c r="P110" i="6" a="1"/>
  <c r="P110" i="6" s="1"/>
  <c r="O110" i="6" a="1"/>
  <c r="O110" i="6" s="1"/>
  <c r="N110" i="6" a="1"/>
  <c r="N110" i="6" s="1"/>
  <c r="M110" i="6"/>
  <c r="M110" i="6" a="1"/>
  <c r="L110" i="6" a="1"/>
  <c r="L110" i="6" s="1"/>
  <c r="K110" i="6" a="1"/>
  <c r="K110" i="6" s="1"/>
  <c r="J110" i="6"/>
  <c r="J110" i="6" a="1"/>
  <c r="I110" i="6"/>
  <c r="I110" i="6" a="1"/>
  <c r="H110" i="6" a="1"/>
  <c r="H110" i="6" s="1"/>
  <c r="G110" i="6"/>
  <c r="G110" i="6" a="1"/>
  <c r="F110" i="6"/>
  <c r="F110" i="6" a="1"/>
  <c r="E110" i="6"/>
  <c r="E110" i="6" a="1"/>
  <c r="D110" i="6" a="1"/>
  <c r="D110" i="6" s="1"/>
  <c r="AH109" i="6" a="1"/>
  <c r="AH109" i="6" s="1"/>
  <c r="AG109" i="6"/>
  <c r="AG109" i="6" a="1"/>
  <c r="AF109" i="6" a="1"/>
  <c r="AF109" i="6" s="1"/>
  <c r="AE109" i="6"/>
  <c r="AE109" i="6" a="1"/>
  <c r="AD109" i="6" a="1"/>
  <c r="AD109" i="6" s="1"/>
  <c r="AC109" i="6"/>
  <c r="AC109" i="6" a="1"/>
  <c r="AB109" i="6" a="1"/>
  <c r="AB109" i="6" s="1"/>
  <c r="AA109" i="6" a="1"/>
  <c r="AA109" i="6" s="1"/>
  <c r="Z109" i="6"/>
  <c r="Z109" i="6" a="1"/>
  <c r="Y109" i="6" a="1"/>
  <c r="Y109" i="6" s="1"/>
  <c r="X109" i="6" a="1"/>
  <c r="X109" i="6" s="1"/>
  <c r="W109" i="6"/>
  <c r="W109" i="6" a="1"/>
  <c r="V109" i="6"/>
  <c r="V109" i="6" a="1"/>
  <c r="U109" i="6"/>
  <c r="U109" i="6" a="1"/>
  <c r="T109" i="6" a="1"/>
  <c r="T109" i="6" s="1"/>
  <c r="S109" i="6" a="1"/>
  <c r="S109" i="6" s="1"/>
  <c r="R109" i="6" a="1"/>
  <c r="R109" i="6" s="1"/>
  <c r="Q109" i="6"/>
  <c r="Q109" i="6" a="1"/>
  <c r="P109" i="6"/>
  <c r="P109" i="6" a="1"/>
  <c r="O109" i="6" a="1"/>
  <c r="O109" i="6" s="1"/>
  <c r="N109" i="6"/>
  <c r="N109" i="6" a="1"/>
  <c r="M109" i="6" a="1"/>
  <c r="M109" i="6" s="1"/>
  <c r="L109" i="6" a="1"/>
  <c r="L109" i="6" s="1"/>
  <c r="K109" i="6" a="1"/>
  <c r="K109" i="6" s="1"/>
  <c r="J109" i="6"/>
  <c r="J109" i="6" a="1"/>
  <c r="I109" i="6" a="1"/>
  <c r="I109" i="6" s="1"/>
  <c r="H109" i="6"/>
  <c r="H109" i="6" a="1"/>
  <c r="G109" i="6"/>
  <c r="G109" i="6" a="1"/>
  <c r="F109" i="6"/>
  <c r="F109" i="6" a="1"/>
  <c r="E109" i="6" a="1"/>
  <c r="E109" i="6" s="1"/>
  <c r="D109" i="6" a="1"/>
  <c r="D109" i="6" s="1"/>
  <c r="AH108" i="6"/>
  <c r="AH108" i="6" a="1"/>
  <c r="AG108" i="6"/>
  <c r="AG108" i="6" a="1"/>
  <c r="AF108" i="6"/>
  <c r="AF108" i="6" a="1"/>
  <c r="AE108" i="6" a="1"/>
  <c r="AE108" i="6" s="1"/>
  <c r="AD108" i="6"/>
  <c r="AD108" i="6" a="1"/>
  <c r="AC108" i="6" a="1"/>
  <c r="AC108" i="6" s="1"/>
  <c r="AB108" i="6" a="1"/>
  <c r="AB108" i="6" s="1"/>
  <c r="AA108" i="6" a="1"/>
  <c r="AA108" i="6" s="1"/>
  <c r="Z108" i="6"/>
  <c r="Z108" i="6" a="1"/>
  <c r="Y108" i="6" a="1"/>
  <c r="Y108" i="6" s="1"/>
  <c r="X108" i="6"/>
  <c r="X108" i="6" a="1"/>
  <c r="W108" i="6"/>
  <c r="W108" i="6" a="1"/>
  <c r="V108" i="6"/>
  <c r="V108" i="6" a="1"/>
  <c r="U108" i="6" a="1"/>
  <c r="U108" i="6" s="1"/>
  <c r="T108" i="6" a="1"/>
  <c r="T108" i="6" s="1"/>
  <c r="S108" i="6"/>
  <c r="S108" i="6" a="1"/>
  <c r="R108" i="6"/>
  <c r="R108" i="6" a="1"/>
  <c r="Q108" i="6"/>
  <c r="Q108" i="6" a="1"/>
  <c r="P108" i="6" a="1"/>
  <c r="P108" i="6" s="1"/>
  <c r="O108" i="6"/>
  <c r="O108" i="6" a="1"/>
  <c r="N108" i="6" a="1"/>
  <c r="N108" i="6" s="1"/>
  <c r="M108" i="6" a="1"/>
  <c r="M108" i="6" s="1"/>
  <c r="L108" i="6" a="1"/>
  <c r="L108" i="6" s="1"/>
  <c r="K108" i="6"/>
  <c r="K108" i="6" a="1"/>
  <c r="J108" i="6" a="1"/>
  <c r="J108" i="6" s="1"/>
  <c r="I108" i="6"/>
  <c r="I108" i="6" a="1"/>
  <c r="H108" i="6"/>
  <c r="H108" i="6" a="1"/>
  <c r="G108" i="6" a="1"/>
  <c r="G108" i="6" s="1"/>
  <c r="F108" i="6" a="1"/>
  <c r="F108" i="6" s="1"/>
  <c r="E108" i="6" a="1"/>
  <c r="E108" i="6" s="1"/>
  <c r="D108" i="6"/>
  <c r="D108" i="6" a="1"/>
  <c r="AH107" i="6"/>
  <c r="AH107" i="6" a="1"/>
  <c r="AG107" i="6"/>
  <c r="AG107" i="6" a="1"/>
  <c r="AF107" i="6" a="1"/>
  <c r="AF107" i="6" s="1"/>
  <c r="AE107" i="6" a="1"/>
  <c r="AE107" i="6" s="1"/>
  <c r="AD107" i="6"/>
  <c r="AD107" i="6" a="1"/>
  <c r="AC107" i="6" a="1"/>
  <c r="AC107" i="6" s="1"/>
  <c r="AB107" i="6" a="1"/>
  <c r="AB107" i="6" s="1"/>
  <c r="AA107" i="6"/>
  <c r="AA107" i="6" a="1"/>
  <c r="Z107" i="6" a="1"/>
  <c r="Z107" i="6" s="1"/>
  <c r="Y107" i="6"/>
  <c r="Y107" i="6" a="1"/>
  <c r="X107" i="6" a="1"/>
  <c r="X107" i="6" s="1"/>
  <c r="W107" i="6"/>
  <c r="W107" i="6" a="1"/>
  <c r="V107" i="6" a="1"/>
  <c r="V107" i="6" s="1"/>
  <c r="U107" i="6" a="1"/>
  <c r="U107" i="6" s="1"/>
  <c r="T107" i="6"/>
  <c r="T107" i="6" a="1"/>
  <c r="S107" i="6"/>
  <c r="S107" i="6" a="1"/>
  <c r="R107" i="6"/>
  <c r="R107" i="6" a="1"/>
  <c r="Q107" i="6" a="1"/>
  <c r="Q107" i="6" s="1"/>
  <c r="P107" i="6"/>
  <c r="P107" i="6" a="1"/>
  <c r="O107" i="6"/>
  <c r="O107" i="6" a="1"/>
  <c r="N107" i="6" a="1"/>
  <c r="N107" i="6" s="1"/>
  <c r="M107" i="6" a="1"/>
  <c r="M107" i="6" s="1"/>
  <c r="L107" i="6"/>
  <c r="L107" i="6" a="1"/>
  <c r="K107" i="6" a="1"/>
  <c r="K107" i="6" s="1"/>
  <c r="J107" i="6" a="1"/>
  <c r="J107" i="6" s="1"/>
  <c r="I107" i="6" a="1"/>
  <c r="I107" i="6" s="1"/>
  <c r="H107" i="6"/>
  <c r="H107" i="6" a="1"/>
  <c r="G107" i="6" a="1"/>
  <c r="G107" i="6" s="1"/>
  <c r="F107" i="6" a="1"/>
  <c r="F107" i="6" s="1"/>
  <c r="E107" i="6"/>
  <c r="E107" i="6" a="1"/>
  <c r="D107" i="6"/>
  <c r="D107" i="6" a="1"/>
  <c r="AH106" i="6" a="1"/>
  <c r="AH106" i="6" s="1"/>
  <c r="AG106" i="6"/>
  <c r="AG106" i="6" a="1"/>
  <c r="AF106" i="6"/>
  <c r="AF106" i="6" a="1"/>
  <c r="AE106" i="6"/>
  <c r="AE106" i="6" a="1"/>
  <c r="AD106" i="6" a="1"/>
  <c r="AD106" i="6" s="1"/>
  <c r="AC106" i="6" a="1"/>
  <c r="AC106" i="6" s="1"/>
  <c r="AB106" i="6"/>
  <c r="AB106" i="6" a="1"/>
  <c r="AA106" i="6" a="1"/>
  <c r="AA106" i="6" s="1"/>
  <c r="Z106" i="6"/>
  <c r="Z106" i="6" a="1"/>
  <c r="Y106" i="6" a="1"/>
  <c r="Y106" i="6" s="1"/>
  <c r="X106" i="6"/>
  <c r="X106" i="6" a="1"/>
  <c r="W106" i="6" a="1"/>
  <c r="W106" i="6" s="1"/>
  <c r="V106" i="6" a="1"/>
  <c r="V106" i="6" s="1"/>
  <c r="U106" i="6"/>
  <c r="U106" i="6" a="1"/>
  <c r="T106" i="6" a="1"/>
  <c r="T106" i="6" s="1"/>
  <c r="S106" i="6" a="1"/>
  <c r="S106" i="6" s="1"/>
  <c r="R106" i="6"/>
  <c r="R106" i="6" a="1"/>
  <c r="Q106" i="6"/>
  <c r="Q106" i="6" a="1"/>
  <c r="P106" i="6"/>
  <c r="P106" i="6" a="1"/>
  <c r="O106" i="6" a="1"/>
  <c r="O106" i="6" s="1"/>
  <c r="N106" i="6" a="1"/>
  <c r="N106" i="6" s="1"/>
  <c r="M106" i="6" a="1"/>
  <c r="M106" i="6" s="1"/>
  <c r="L106" i="6"/>
  <c r="L106" i="6" a="1"/>
  <c r="K106" i="6"/>
  <c r="K106" i="6" a="1"/>
  <c r="J106" i="6" a="1"/>
  <c r="J106" i="6" s="1"/>
  <c r="I106" i="6"/>
  <c r="I106" i="6" a="1"/>
  <c r="H106" i="6" a="1"/>
  <c r="H106" i="6" s="1"/>
  <c r="G106" i="6" a="1"/>
  <c r="G106" i="6" s="1"/>
  <c r="F106" i="6" a="1"/>
  <c r="F106" i="6" s="1"/>
  <c r="E106" i="6"/>
  <c r="E106" i="6" a="1"/>
  <c r="D106" i="6" a="1"/>
  <c r="D106" i="6" s="1"/>
  <c r="AH105" i="6"/>
  <c r="AH105" i="6" a="1"/>
  <c r="AG105" i="6"/>
  <c r="AG105" i="6" a="1"/>
  <c r="AF105" i="6"/>
  <c r="AF105" i="6" a="1"/>
  <c r="AE105" i="6" a="1"/>
  <c r="AE105" i="6" s="1"/>
  <c r="AD105" i="6" a="1"/>
  <c r="AD105" i="6" s="1"/>
  <c r="AC105" i="6"/>
  <c r="AC105" i="6" a="1"/>
  <c r="AB105" i="6"/>
  <c r="AB105" i="6" a="1"/>
  <c r="AA105" i="6"/>
  <c r="AA105" i="6" a="1"/>
  <c r="Z105" i="6" a="1"/>
  <c r="Z105" i="6" s="1"/>
  <c r="Y105" i="6"/>
  <c r="Y105" i="6" a="1"/>
  <c r="X105" i="6" a="1"/>
  <c r="X105" i="6" s="1"/>
  <c r="W105" i="6" a="1"/>
  <c r="W105" i="6" s="1"/>
  <c r="V105" i="6" a="1"/>
  <c r="V105" i="6" s="1"/>
  <c r="U105" i="6"/>
  <c r="U105" i="6" a="1"/>
  <c r="T105" i="6" a="1"/>
  <c r="T105" i="6" s="1"/>
  <c r="S105" i="6"/>
  <c r="S105" i="6" a="1"/>
  <c r="R105" i="6"/>
  <c r="R105" i="6" a="1"/>
  <c r="Q105" i="6"/>
  <c r="Q105" i="6" a="1"/>
  <c r="P105" i="6" a="1"/>
  <c r="P105" i="6" s="1"/>
  <c r="O105" i="6" a="1"/>
  <c r="O105" i="6" s="1"/>
  <c r="N105" i="6"/>
  <c r="N105" i="6" a="1"/>
  <c r="M105" i="6"/>
  <c r="M105" i="6" a="1"/>
  <c r="L105" i="6"/>
  <c r="L105" i="6" a="1"/>
  <c r="K105" i="6" a="1"/>
  <c r="K105" i="6" s="1"/>
  <c r="J105" i="6"/>
  <c r="J105" i="6" a="1"/>
  <c r="I105" i="6" a="1"/>
  <c r="I105" i="6" s="1"/>
  <c r="H105" i="6" a="1"/>
  <c r="H105" i="6" s="1"/>
  <c r="G105" i="6" a="1"/>
  <c r="G105" i="6" s="1"/>
  <c r="F105" i="6"/>
  <c r="F105" i="6" a="1"/>
  <c r="E105" i="6" a="1"/>
  <c r="E105" i="6" s="1"/>
  <c r="D105" i="6"/>
  <c r="D105" i="6" a="1"/>
  <c r="AH104" i="6"/>
  <c r="AH104" i="6" a="1"/>
  <c r="AG104" i="6" a="1"/>
  <c r="AG104" i="6" s="1"/>
  <c r="AF104" i="6" a="1"/>
  <c r="AF104" i="6" s="1"/>
  <c r="AE104" i="6" a="1"/>
  <c r="AE104" i="6" s="1"/>
  <c r="AD104" i="6"/>
  <c r="AD104" i="6" a="1"/>
  <c r="AC104" i="6"/>
  <c r="AC104" i="6" a="1"/>
  <c r="AB104" i="6"/>
  <c r="AB104" i="6" a="1"/>
  <c r="AA104" i="6" a="1"/>
  <c r="AA104" i="6" s="1"/>
  <c r="Z104" i="6" a="1"/>
  <c r="Z104" i="6" s="1"/>
  <c r="Y104" i="6"/>
  <c r="Y104" i="6" a="1"/>
  <c r="X104" i="6" a="1"/>
  <c r="X104" i="6" s="1"/>
  <c r="W104" i="6" a="1"/>
  <c r="W104" i="6" s="1"/>
  <c r="V104" i="6"/>
  <c r="V104" i="6" a="1"/>
  <c r="U104" i="6" a="1"/>
  <c r="U104" i="6" s="1"/>
  <c r="T104" i="6"/>
  <c r="T104" i="6" a="1"/>
  <c r="S104" i="6" a="1"/>
  <c r="S104" i="6" s="1"/>
  <c r="R104" i="6"/>
  <c r="R104" i="6" a="1"/>
  <c r="Q104" i="6" a="1"/>
  <c r="Q104" i="6" s="1"/>
  <c r="P104" i="6" a="1"/>
  <c r="P104" i="6" s="1"/>
  <c r="O104" i="6"/>
  <c r="O104" i="6" a="1"/>
  <c r="N104" i="6"/>
  <c r="N104" i="6" a="1"/>
  <c r="M104" i="6"/>
  <c r="M104" i="6" a="1"/>
  <c r="L104" i="6" a="1"/>
  <c r="L104" i="6" s="1"/>
  <c r="K104" i="6"/>
  <c r="K104" i="6" a="1"/>
  <c r="J104" i="6"/>
  <c r="J104" i="6" a="1"/>
  <c r="I104" i="6" a="1"/>
  <c r="I104" i="6" s="1"/>
  <c r="H104" i="6" a="1"/>
  <c r="H104" i="6" s="1"/>
  <c r="G104" i="6"/>
  <c r="G104" i="6" a="1"/>
  <c r="F104" i="6" a="1"/>
  <c r="F104" i="6" s="1"/>
  <c r="E104" i="6" a="1"/>
  <c r="E104" i="6" s="1"/>
  <c r="D104" i="6" a="1"/>
  <c r="D104" i="6" s="1"/>
  <c r="AH103" i="6"/>
  <c r="AH103" i="6" a="1"/>
  <c r="AG103" i="6" a="1"/>
  <c r="AG103" i="6" s="1"/>
  <c r="AF103" i="6" a="1"/>
  <c r="AF103" i="6" s="1"/>
  <c r="AE103" i="6"/>
  <c r="AE103" i="6" a="1"/>
  <c r="AD103" i="6"/>
  <c r="AD103" i="6" a="1"/>
  <c r="AC103" i="6" a="1"/>
  <c r="AC103" i="6" s="1"/>
  <c r="AB103" i="6"/>
  <c r="AB103" i="6" a="1"/>
  <c r="AA103" i="6"/>
  <c r="AA103" i="6" a="1"/>
  <c r="Z103" i="6"/>
  <c r="Z103" i="6" a="1"/>
  <c r="Y103" i="6" a="1"/>
  <c r="Y103" i="6" s="1"/>
  <c r="X103" i="6" a="1"/>
  <c r="X103" i="6" s="1"/>
  <c r="W103" i="6"/>
  <c r="W103" i="6" a="1"/>
  <c r="V103" i="6" a="1"/>
  <c r="V103" i="6" s="1"/>
  <c r="U103" i="6"/>
  <c r="U103" i="6" a="1"/>
  <c r="T103" i="6" a="1"/>
  <c r="T103" i="6" s="1"/>
  <c r="S103" i="6"/>
  <c r="S103" i="6" a="1"/>
  <c r="R103" i="6" a="1"/>
  <c r="R103" i="6" s="1"/>
  <c r="Q103" i="6" a="1"/>
  <c r="Q103" i="6" s="1"/>
  <c r="P103" i="6"/>
  <c r="P103" i="6" a="1"/>
  <c r="O103" i="6" a="1"/>
  <c r="O103" i="6" s="1"/>
  <c r="N103" i="6" a="1"/>
  <c r="N103" i="6" s="1"/>
  <c r="M103" i="6"/>
  <c r="M103" i="6" a="1"/>
  <c r="L103" i="6"/>
  <c r="L103" i="6" a="1"/>
  <c r="K103" i="6"/>
  <c r="K103" i="6" a="1"/>
  <c r="J103" i="6" a="1"/>
  <c r="J103" i="6" s="1"/>
  <c r="I103" i="6" a="1"/>
  <c r="I103" i="6" s="1"/>
  <c r="H103" i="6" a="1"/>
  <c r="H103" i="6" s="1"/>
  <c r="G103" i="6"/>
  <c r="G103" i="6" a="1"/>
  <c r="F103" i="6"/>
  <c r="F103" i="6" a="1"/>
  <c r="E103" i="6" a="1"/>
  <c r="E103" i="6" s="1"/>
  <c r="D103" i="6"/>
  <c r="D103" i="6" a="1"/>
  <c r="AH102" i="6" a="1"/>
  <c r="AH102" i="6" s="1"/>
  <c r="AG102" i="6" a="1"/>
  <c r="AG102" i="6" s="1"/>
  <c r="AF102" i="6" a="1"/>
  <c r="AF102" i="6" s="1"/>
  <c r="AE102" i="6"/>
  <c r="AE102" i="6" a="1"/>
  <c r="AD102" i="6" a="1"/>
  <c r="AD102" i="6" s="1"/>
  <c r="AC102" i="6"/>
  <c r="AC102" i="6" a="1"/>
  <c r="AB102" i="6"/>
  <c r="AB102" i="6" a="1"/>
  <c r="AA102" i="6"/>
  <c r="AA102" i="6" a="1"/>
  <c r="Z102" i="6" a="1"/>
  <c r="Z102" i="6" s="1"/>
  <c r="Y102" i="6" a="1"/>
  <c r="Y102" i="6" s="1"/>
  <c r="X102" i="6"/>
  <c r="X102" i="6" a="1"/>
  <c r="W102" i="6"/>
  <c r="W102" i="6" a="1"/>
  <c r="V102" i="6"/>
  <c r="V102" i="6" a="1"/>
  <c r="U102" i="6" a="1"/>
  <c r="U102" i="6" s="1"/>
  <c r="T102" i="6"/>
  <c r="T102" i="6" a="1"/>
  <c r="S102" i="6" a="1"/>
  <c r="S102" i="6" s="1"/>
  <c r="R102" i="6" a="1"/>
  <c r="R102" i="6" s="1"/>
  <c r="Q102" i="6" a="1"/>
  <c r="Q102" i="6" s="1"/>
  <c r="P102" i="6"/>
  <c r="P102" i="6" a="1"/>
  <c r="O102" i="6" a="1"/>
  <c r="O102" i="6" s="1"/>
  <c r="N102" i="6"/>
  <c r="N102" i="6" a="1"/>
  <c r="M102" i="6"/>
  <c r="M102" i="6" a="1"/>
  <c r="L102" i="6"/>
  <c r="L102" i="6" a="1"/>
  <c r="K102" i="6" a="1"/>
  <c r="K102" i="6" s="1"/>
  <c r="J102" i="6" a="1"/>
  <c r="J102" i="6" s="1"/>
  <c r="I102" i="6"/>
  <c r="I102" i="6" a="1"/>
  <c r="H102" i="6"/>
  <c r="H102" i="6" a="1"/>
  <c r="G102" i="6"/>
  <c r="G102" i="6" a="1"/>
  <c r="F102" i="6" a="1"/>
  <c r="F102" i="6" s="1"/>
  <c r="E102" i="6"/>
  <c r="E102" i="6" a="1"/>
  <c r="D102" i="6" a="1"/>
  <c r="D102" i="6" s="1"/>
  <c r="AH101" i="6" a="1"/>
  <c r="AH101" i="6" s="1"/>
  <c r="AG101" i="6" a="1"/>
  <c r="AG101" i="6" s="1"/>
  <c r="AF101" i="6"/>
  <c r="AF101" i="6" a="1"/>
  <c r="AE101" i="6" a="1"/>
  <c r="AE101" i="6" s="1"/>
  <c r="AD101" i="6"/>
  <c r="AD101" i="6" a="1"/>
  <c r="AC101" i="6"/>
  <c r="AC101" i="6" a="1"/>
  <c r="AB101" i="6" a="1"/>
  <c r="AB101" i="6" s="1"/>
  <c r="AA101" i="6" a="1"/>
  <c r="AA101" i="6" s="1"/>
  <c r="Z101" i="6" a="1"/>
  <c r="Z101" i="6" s="1"/>
  <c r="Y101" i="6"/>
  <c r="Y101" i="6" a="1"/>
  <c r="X101" i="6"/>
  <c r="X101" i="6" a="1"/>
  <c r="W101" i="6"/>
  <c r="W101" i="6" a="1"/>
  <c r="V101" i="6" a="1"/>
  <c r="V101" i="6" s="1"/>
  <c r="U101" i="6" a="1"/>
  <c r="U101" i="6" s="1"/>
  <c r="T101" i="6"/>
  <c r="T101" i="6" a="1"/>
  <c r="S101" i="6" a="1"/>
  <c r="S101" i="6" s="1"/>
  <c r="R101" i="6" a="1"/>
  <c r="R101" i="6" s="1"/>
  <c r="Q101" i="6"/>
  <c r="Q101" i="6" a="1"/>
  <c r="P101" i="6" a="1"/>
  <c r="P101" i="6" s="1"/>
  <c r="O101" i="6"/>
  <c r="O101" i="6" a="1"/>
  <c r="N101" i="6" a="1"/>
  <c r="N101" i="6" s="1"/>
  <c r="M101" i="6"/>
  <c r="M101" i="6" a="1"/>
  <c r="L101" i="6" a="1"/>
  <c r="L101" i="6" s="1"/>
  <c r="K101" i="6" a="1"/>
  <c r="K101" i="6" s="1"/>
  <c r="J101" i="6"/>
  <c r="J101" i="6" a="1"/>
  <c r="I101" i="6"/>
  <c r="I101" i="6" a="1"/>
  <c r="H101" i="6"/>
  <c r="H101" i="6" a="1"/>
  <c r="G101" i="6" a="1"/>
  <c r="G101" i="6" s="1"/>
  <c r="F101" i="6"/>
  <c r="F101" i="6" a="1"/>
  <c r="E101" i="6"/>
  <c r="E101" i="6" a="1"/>
  <c r="D101" i="6" a="1"/>
  <c r="D101" i="6" s="1"/>
  <c r="AH100" i="6" a="1"/>
  <c r="AH100" i="6" s="1"/>
  <c r="AG100" i="6"/>
  <c r="AG100" i="6" a="1"/>
  <c r="AF100" i="6" a="1"/>
  <c r="AF100" i="6" s="1"/>
  <c r="AE100" i="6" a="1"/>
  <c r="AE100" i="6" s="1"/>
  <c r="AD100" i="6" a="1"/>
  <c r="AD100" i="6" s="1"/>
  <c r="AC100" i="6"/>
  <c r="AC100" i="6" a="1"/>
  <c r="AB100" i="6" a="1"/>
  <c r="AB100" i="6" s="1"/>
  <c r="AA100" i="6" a="1"/>
  <c r="AA100" i="6" s="1"/>
  <c r="Z100" i="6"/>
  <c r="Z100" i="6" a="1"/>
  <c r="Y100" i="6"/>
  <c r="Y100" i="6" a="1"/>
  <c r="X100" i="6" a="1"/>
  <c r="X100" i="6" s="1"/>
  <c r="W100" i="6"/>
  <c r="W100" i="6" a="1"/>
  <c r="V100" i="6"/>
  <c r="V100" i="6" a="1"/>
  <c r="U100" i="6"/>
  <c r="U100" i="6" a="1"/>
  <c r="T100" i="6" a="1"/>
  <c r="T100" i="6" s="1"/>
  <c r="S100" i="6" a="1"/>
  <c r="S100" i="6" s="1"/>
  <c r="R100" i="6"/>
  <c r="R100" i="6" a="1"/>
  <c r="Q100" i="6" a="1"/>
  <c r="Q100" i="6" s="1"/>
  <c r="P100" i="6"/>
  <c r="P100" i="6" a="1"/>
  <c r="O100" i="6" a="1"/>
  <c r="O100" i="6" s="1"/>
  <c r="N100" i="6"/>
  <c r="N100" i="6" a="1"/>
  <c r="M100" i="6"/>
  <c r="M100" i="6" a="1"/>
  <c r="L100" i="6" a="1"/>
  <c r="L100" i="6" s="1"/>
  <c r="K100" i="6"/>
  <c r="K100" i="6" a="1"/>
  <c r="J100" i="6" a="1"/>
  <c r="J100" i="6" s="1"/>
  <c r="I100" i="6" a="1"/>
  <c r="I100" i="6" s="1"/>
  <c r="H100" i="6"/>
  <c r="H100" i="6" a="1"/>
  <c r="G100" i="6"/>
  <c r="G100" i="6" a="1"/>
  <c r="F100" i="6"/>
  <c r="F100" i="6" a="1"/>
  <c r="E100" i="6" a="1"/>
  <c r="E100" i="6" s="1"/>
  <c r="D100" i="6" a="1"/>
  <c r="D100" i="6" s="1"/>
  <c r="AH99" i="6" a="1"/>
  <c r="AH99" i="6" s="1"/>
  <c r="AG99" i="6"/>
  <c r="AG99" i="6" a="1"/>
  <c r="AF99" i="6"/>
  <c r="AF99" i="6" a="1"/>
  <c r="AE99" i="6" a="1"/>
  <c r="AE99" i="6" s="1"/>
  <c r="AD99" i="6"/>
  <c r="AD99" i="6" a="1"/>
  <c r="AC99" i="6"/>
  <c r="AC99" i="6" a="1"/>
  <c r="AB99" i="6" a="1"/>
  <c r="AB99" i="6" s="1"/>
  <c r="AA99" i="6" a="1"/>
  <c r="AA99" i="6" s="1"/>
  <c r="Z99" i="6"/>
  <c r="Z99" i="6" a="1"/>
  <c r="Y99" i="6" a="1"/>
  <c r="Y99" i="6" s="1"/>
  <c r="X99" i="6"/>
  <c r="X99" i="6" a="1"/>
  <c r="W99" i="6"/>
  <c r="W99" i="6" a="1"/>
  <c r="V99" i="6"/>
  <c r="V99" i="6" a="1"/>
  <c r="U99" i="6" a="1"/>
  <c r="U99" i="6" s="1"/>
  <c r="T99" i="6" a="1"/>
  <c r="T99" i="6" s="1"/>
  <c r="S99" i="6"/>
  <c r="S99" i="6" a="1"/>
  <c r="R99" i="6"/>
  <c r="R99" i="6" a="1"/>
  <c r="Q99" i="6"/>
  <c r="Q99" i="6" a="1"/>
  <c r="P99" i="6" a="1"/>
  <c r="P99" i="6" s="1"/>
  <c r="O99" i="6"/>
  <c r="O99" i="6" a="1"/>
  <c r="N99" i="6"/>
  <c r="N99" i="6" a="1"/>
  <c r="M99" i="6" a="1"/>
  <c r="M99" i="6" s="1"/>
  <c r="L99" i="6" a="1"/>
  <c r="L99" i="6" s="1"/>
  <c r="K99" i="6"/>
  <c r="K99" i="6" a="1"/>
  <c r="J99" i="6" a="1"/>
  <c r="J99" i="6" s="1"/>
  <c r="I99" i="6"/>
  <c r="I99" i="6" a="1"/>
  <c r="H99" i="6"/>
  <c r="H99" i="6" a="1"/>
  <c r="G99" i="6"/>
  <c r="G99" i="6" a="1"/>
  <c r="F99" i="6" a="1"/>
  <c r="F99" i="6" s="1"/>
  <c r="E99" i="6" a="1"/>
  <c r="E99" i="6" s="1"/>
  <c r="D99" i="6"/>
  <c r="D99" i="6" a="1"/>
  <c r="AH98" i="6"/>
  <c r="AH98" i="6" a="1"/>
  <c r="AG98" i="6"/>
  <c r="AG98" i="6" a="1"/>
  <c r="AF98" i="6" a="1"/>
  <c r="AF98" i="6" s="1"/>
  <c r="AE98" i="6"/>
  <c r="AE98" i="6" a="1"/>
  <c r="AD98" i="6" a="1"/>
  <c r="AD98" i="6" s="1"/>
  <c r="AC98" i="6" a="1"/>
  <c r="AC98" i="6" s="1"/>
  <c r="AB98" i="6" a="1"/>
  <c r="AB98" i="6" s="1"/>
  <c r="AA98" i="6"/>
  <c r="AA98" i="6" a="1"/>
  <c r="Z98" i="6" a="1"/>
  <c r="Z98" i="6" s="1"/>
  <c r="Y98" i="6"/>
  <c r="Y98" i="6" a="1"/>
  <c r="X98" i="6"/>
  <c r="X98" i="6" a="1"/>
  <c r="W98" i="6" a="1"/>
  <c r="W98" i="6" s="1"/>
  <c r="V98" i="6"/>
  <c r="V98" i="6" a="1"/>
  <c r="U98" i="6" a="1"/>
  <c r="U98" i="6" s="1"/>
  <c r="T98" i="6"/>
  <c r="T98" i="6" a="1"/>
  <c r="S98" i="6"/>
  <c r="S98" i="6" a="1"/>
  <c r="R98" i="6"/>
  <c r="R98" i="6" a="1"/>
  <c r="Q98" i="6" a="1"/>
  <c r="Q98" i="6" s="1"/>
  <c r="P98" i="6" a="1"/>
  <c r="P98" i="6" s="1"/>
  <c r="O98" i="6"/>
  <c r="O98" i="6" a="1"/>
  <c r="N98" i="6" a="1"/>
  <c r="N98" i="6" s="1"/>
  <c r="M98" i="6" a="1"/>
  <c r="M98" i="6" s="1"/>
  <c r="L98" i="6"/>
  <c r="L98" i="6" a="1"/>
  <c r="K98" i="6" a="1"/>
  <c r="K98" i="6" s="1"/>
  <c r="J98" i="6"/>
  <c r="J98" i="6" a="1"/>
  <c r="I98" i="6" a="1"/>
  <c r="I98" i="6" s="1"/>
  <c r="H98" i="6"/>
  <c r="H98" i="6" a="1"/>
  <c r="G98" i="6"/>
  <c r="G98" i="6" a="1"/>
  <c r="F98" i="6" a="1"/>
  <c r="F98" i="6" s="1"/>
  <c r="E98" i="6"/>
  <c r="E98" i="6" a="1"/>
  <c r="D98" i="6"/>
  <c r="D98" i="6" a="1"/>
  <c r="AH97" i="6"/>
  <c r="AH97" i="6" a="1"/>
  <c r="AG97" i="6" a="1"/>
  <c r="AG97" i="6" s="1"/>
  <c r="AF97" i="6"/>
  <c r="AF97" i="6" a="1"/>
  <c r="AE97" i="6"/>
  <c r="AE97" i="6" a="1"/>
  <c r="AD97" i="6" a="1"/>
  <c r="AD97" i="6" s="1"/>
  <c r="AC97" i="6" a="1"/>
  <c r="AC97" i="6" s="1"/>
  <c r="AB97" i="6"/>
  <c r="AB97" i="6" a="1"/>
  <c r="AA97" i="6" a="1"/>
  <c r="AA97" i="6" s="1"/>
  <c r="Z97" i="6" a="1"/>
  <c r="Z97" i="6" s="1"/>
  <c r="Y97" i="6" a="1"/>
  <c r="Y97" i="6" s="1"/>
  <c r="X97" i="6"/>
  <c r="X97" i="6" a="1"/>
  <c r="W97" i="6"/>
  <c r="W97" i="6" a="1"/>
  <c r="V97" i="6" a="1"/>
  <c r="V97" i="6" s="1"/>
  <c r="U97" i="6"/>
  <c r="U97" i="6" a="1"/>
  <c r="T97" i="6"/>
  <c r="T97" i="6" a="1"/>
  <c r="S97" i="6" a="1"/>
  <c r="S97" i="6" s="1"/>
  <c r="R97" i="6"/>
  <c r="R97" i="6" a="1"/>
  <c r="Q97" i="6"/>
  <c r="Q97" i="6" a="1"/>
  <c r="P97" i="6"/>
  <c r="P97" i="6" a="1"/>
  <c r="O97" i="6" a="1"/>
  <c r="O97" i="6" s="1"/>
  <c r="N97" i="6" a="1"/>
  <c r="N97" i="6" s="1"/>
  <c r="M97" i="6"/>
  <c r="M97" i="6" a="1"/>
  <c r="L97" i="6" a="1"/>
  <c r="L97" i="6" s="1"/>
  <c r="K97" i="6"/>
  <c r="K97" i="6" a="1"/>
  <c r="J97" i="6" a="1"/>
  <c r="J97" i="6" s="1"/>
  <c r="I97" i="6"/>
  <c r="I97" i="6" a="1"/>
  <c r="H97" i="6"/>
  <c r="H97" i="6" a="1"/>
  <c r="G97" i="6" a="1"/>
  <c r="G97" i="6" s="1"/>
  <c r="F97" i="6"/>
  <c r="F97" i="6" a="1"/>
  <c r="E97" i="6" a="1"/>
  <c r="E97" i="6" s="1"/>
  <c r="D97" i="6" a="1"/>
  <c r="D97" i="6" s="1"/>
  <c r="AH96" i="6"/>
  <c r="AH96" i="6" a="1"/>
  <c r="AG96" i="6"/>
  <c r="AG96" i="6" a="1"/>
  <c r="AF96" i="6"/>
  <c r="AF96" i="6" a="1"/>
  <c r="AE96" i="6" a="1"/>
  <c r="AE96" i="6" s="1"/>
  <c r="AD96" i="6" a="1"/>
  <c r="AD96" i="6" s="1"/>
  <c r="AC96" i="6" a="1"/>
  <c r="AC96" i="6" s="1"/>
  <c r="AB96" i="6"/>
  <c r="AB96" i="6" a="1"/>
  <c r="AA96" i="6"/>
  <c r="AA96" i="6" a="1"/>
  <c r="Z96" i="6" a="1"/>
  <c r="Z96" i="6" s="1"/>
  <c r="Y96" i="6"/>
  <c r="Y96" i="6" a="1"/>
  <c r="X96" i="6"/>
  <c r="X96" i="6" a="1"/>
  <c r="W96" i="6" a="1"/>
  <c r="W96" i="6" s="1"/>
  <c r="V96" i="6" a="1"/>
  <c r="V96" i="6" s="1"/>
  <c r="U96" i="6"/>
  <c r="U96" i="6" a="1"/>
  <c r="T96" i="6" a="1"/>
  <c r="T96" i="6" s="1"/>
  <c r="S96" i="6"/>
  <c r="S96" i="6" a="1"/>
  <c r="R96" i="6"/>
  <c r="R96" i="6" a="1"/>
  <c r="Q96" i="6"/>
  <c r="Q96" i="6" a="1"/>
  <c r="P96" i="6" a="1"/>
  <c r="P96" i="6" s="1"/>
  <c r="O96" i="6" a="1"/>
  <c r="O96" i="6" s="1"/>
  <c r="N96" i="6"/>
  <c r="N96" i="6" a="1"/>
  <c r="M96" i="6"/>
  <c r="M96" i="6" a="1"/>
  <c r="L96" i="6"/>
  <c r="L96" i="6" a="1"/>
  <c r="K96" i="6" a="1"/>
  <c r="K96" i="6" s="1"/>
  <c r="J96" i="6"/>
  <c r="J96" i="6" a="1"/>
  <c r="I96" i="6"/>
  <c r="I96" i="6" a="1"/>
  <c r="H96" i="6" a="1"/>
  <c r="H96" i="6" s="1"/>
  <c r="G96" i="6" a="1"/>
  <c r="G96" i="6" s="1"/>
  <c r="F96" i="6"/>
  <c r="F96" i="6" a="1"/>
  <c r="E96" i="6" a="1"/>
  <c r="E96" i="6" s="1"/>
  <c r="D96" i="6"/>
  <c r="D96" i="6" a="1"/>
  <c r="AH95" i="6"/>
  <c r="AH95" i="6" a="1"/>
  <c r="AG95" i="6"/>
  <c r="AG95" i="6" a="1"/>
  <c r="AF95" i="6" a="1"/>
  <c r="AF95" i="6" s="1"/>
  <c r="AE95" i="6" a="1"/>
  <c r="AE95" i="6" s="1"/>
  <c r="AD95" i="6"/>
  <c r="AD95" i="6" a="1"/>
  <c r="AC95" i="6"/>
  <c r="AC95" i="6" a="1"/>
  <c r="AB95" i="6"/>
  <c r="AB95" i="6" a="1"/>
  <c r="AA95" i="6" a="1"/>
  <c r="AA95" i="6" s="1"/>
  <c r="Z95" i="6"/>
  <c r="Z95" i="6" a="1"/>
  <c r="Y95" i="6" a="1"/>
  <c r="Y95" i="6" s="1"/>
  <c r="X95" i="6" a="1"/>
  <c r="X95" i="6" s="1"/>
  <c r="W95" i="6" a="1"/>
  <c r="W95" i="6" s="1"/>
  <c r="V95" i="6"/>
  <c r="V95" i="6" a="1"/>
  <c r="U95" i="6" a="1"/>
  <c r="U95" i="6" s="1"/>
  <c r="T95" i="6"/>
  <c r="T95" i="6" a="1"/>
  <c r="S95" i="6" a="1"/>
  <c r="S95" i="6" s="1"/>
  <c r="R95" i="6" a="1"/>
  <c r="R95" i="6" s="1"/>
  <c r="Q95" i="6"/>
  <c r="Q95" i="6" a="1"/>
  <c r="P95" i="6" a="1"/>
  <c r="P95" i="6" s="1"/>
  <c r="O95" i="6"/>
  <c r="O95" i="6" a="1"/>
  <c r="N95" i="6"/>
  <c r="N95" i="6" a="1"/>
  <c r="M95" i="6"/>
  <c r="M95" i="6" a="1"/>
  <c r="L95" i="6" a="1"/>
  <c r="L95" i="6" s="1"/>
  <c r="K95" i="6" a="1"/>
  <c r="K95" i="6" s="1"/>
  <c r="J95" i="6"/>
  <c r="J95" i="6" a="1"/>
  <c r="I95" i="6" a="1"/>
  <c r="I95" i="6" s="1"/>
  <c r="H95" i="6" a="1"/>
  <c r="H95" i="6" s="1"/>
  <c r="G95" i="6"/>
  <c r="G95" i="6" a="1"/>
  <c r="F95" i="6" a="1"/>
  <c r="F95" i="6" s="1"/>
  <c r="E95" i="6"/>
  <c r="E95" i="6" a="1"/>
  <c r="D95" i="6" a="1"/>
  <c r="D95" i="6" s="1"/>
  <c r="AH94" i="6"/>
  <c r="AH94" i="6" a="1"/>
  <c r="AG94" i="6"/>
  <c r="AG94" i="6" a="1"/>
  <c r="AF94" i="6" a="1"/>
  <c r="AF94" i="6" s="1"/>
  <c r="AE94" i="6"/>
  <c r="AE94" i="6" a="1"/>
  <c r="AD94" i="6"/>
  <c r="AD94" i="6" a="1"/>
  <c r="AC94" i="6"/>
  <c r="AC94" i="6" a="1"/>
  <c r="AB94" i="6" a="1"/>
  <c r="AB94" i="6" s="1"/>
  <c r="AA94" i="6" a="1"/>
  <c r="AA94" i="6" s="1"/>
  <c r="Z94" i="6"/>
  <c r="Z94" i="6" a="1"/>
  <c r="Y94" i="6" a="1"/>
  <c r="Y94" i="6" s="1"/>
  <c r="X94" i="6" a="1"/>
  <c r="X94" i="6" s="1"/>
  <c r="W94" i="6"/>
  <c r="W94" i="6" a="1"/>
  <c r="V94" i="6" a="1"/>
  <c r="V94" i="6" s="1"/>
  <c r="U94" i="6" a="1"/>
  <c r="U94" i="6" s="1"/>
  <c r="T94" i="6" a="1"/>
  <c r="T94" i="6" s="1"/>
  <c r="S94" i="6"/>
  <c r="S94" i="6" a="1"/>
  <c r="R94" i="6"/>
  <c r="R94" i="6" a="1"/>
  <c r="Q94" i="6" a="1"/>
  <c r="Q94" i="6" s="1"/>
  <c r="P94" i="6"/>
  <c r="P94" i="6" a="1"/>
  <c r="O94" i="6"/>
  <c r="O94" i="6" a="1"/>
  <c r="N94" i="6" a="1"/>
  <c r="N94" i="6" s="1"/>
  <c r="M94" i="6"/>
  <c r="M94" i="6" a="1"/>
  <c r="L94" i="6" a="1"/>
  <c r="L94" i="6" s="1"/>
  <c r="K94" i="6"/>
  <c r="K94" i="6" a="1"/>
  <c r="J94" i="6" a="1"/>
  <c r="J94" i="6" s="1"/>
  <c r="I94" i="6" a="1"/>
  <c r="I94" i="6" s="1"/>
  <c r="H94" i="6"/>
  <c r="H94" i="6" a="1"/>
  <c r="G94" i="6" a="1"/>
  <c r="G94" i="6" s="1"/>
  <c r="F94" i="6"/>
  <c r="F94" i="6" a="1"/>
  <c r="E94" i="6" a="1"/>
  <c r="E94" i="6" s="1"/>
  <c r="D94" i="6"/>
  <c r="D94" i="6" a="1"/>
  <c r="AH93" i="6"/>
  <c r="AH93" i="6" a="1"/>
  <c r="AG93" i="6" a="1"/>
  <c r="AG93" i="6" s="1"/>
  <c r="AF93" i="6"/>
  <c r="AF93" i="6" a="1"/>
  <c r="AE93" i="6" a="1"/>
  <c r="AE93" i="6" s="1"/>
  <c r="AD93" i="6" a="1"/>
  <c r="AD93" i="6" s="1"/>
  <c r="AC93" i="6"/>
  <c r="AC93" i="6" a="1"/>
  <c r="AB93" i="6" a="1"/>
  <c r="AB93" i="6" s="1"/>
  <c r="AA93" i="6"/>
  <c r="AA93" i="6" a="1"/>
  <c r="Z93" i="6" a="1"/>
  <c r="Z93" i="6" s="1"/>
  <c r="Y93" i="6" a="1"/>
  <c r="Y93" i="6" s="1"/>
  <c r="X93" i="6" a="1"/>
  <c r="X93" i="6" s="1"/>
  <c r="W93" i="6"/>
  <c r="W93" i="6" a="1"/>
  <c r="V93" i="6"/>
  <c r="V93" i="6" a="1"/>
  <c r="U93" i="6" a="1"/>
  <c r="U93" i="6" s="1"/>
  <c r="T93" i="6"/>
  <c r="T93" i="6" a="1"/>
  <c r="S93" i="6"/>
  <c r="S93" i="6" a="1"/>
  <c r="R93" i="6" a="1"/>
  <c r="R93" i="6" s="1"/>
  <c r="Q93" i="6" a="1"/>
  <c r="Q93" i="6" s="1"/>
  <c r="P93" i="6"/>
  <c r="P93" i="6" a="1"/>
  <c r="O93" i="6" a="1"/>
  <c r="O93" i="6" s="1"/>
  <c r="N93" i="6"/>
  <c r="N93" i="6" a="1"/>
  <c r="M93" i="6" a="1"/>
  <c r="M93" i="6" s="1"/>
  <c r="L93" i="6"/>
  <c r="L93" i="6" a="1"/>
  <c r="K93" i="6" a="1"/>
  <c r="K93" i="6" s="1"/>
  <c r="J93" i="6" a="1"/>
  <c r="J93" i="6" s="1"/>
  <c r="I93" i="6"/>
  <c r="I93" i="6" a="1"/>
  <c r="H93" i="6"/>
  <c r="H93" i="6" a="1"/>
  <c r="G93" i="6"/>
  <c r="G93" i="6" a="1"/>
  <c r="F93" i="6" a="1"/>
  <c r="F93" i="6" s="1"/>
  <c r="E93" i="6"/>
  <c r="E93" i="6" a="1"/>
  <c r="D93" i="6"/>
  <c r="D93" i="6" a="1"/>
  <c r="AH92" i="6" a="1"/>
  <c r="AH92" i="6" s="1"/>
  <c r="AG92" i="6" a="1"/>
  <c r="AG92" i="6" s="1"/>
  <c r="AF92" i="6"/>
  <c r="AF92" i="6" a="1"/>
  <c r="AE92" i="6" a="1"/>
  <c r="AE92" i="6" s="1"/>
  <c r="AD92" i="6"/>
  <c r="AD92" i="6" a="1"/>
  <c r="AC92" i="6" a="1"/>
  <c r="AC92" i="6" s="1"/>
  <c r="AB92" i="6"/>
  <c r="AB92" i="6" a="1"/>
  <c r="AA92" i="6" a="1"/>
  <c r="AA92" i="6" s="1"/>
  <c r="Z92" i="6" a="1"/>
  <c r="Z92" i="6" s="1"/>
  <c r="Y92" i="6" a="1"/>
  <c r="Y92" i="6" s="1"/>
  <c r="X92" i="6"/>
  <c r="X92" i="6" a="1"/>
  <c r="W92" i="6"/>
  <c r="W92" i="6" a="1"/>
  <c r="V92" i="6" a="1"/>
  <c r="V92" i="6" s="1"/>
  <c r="U92" i="6"/>
  <c r="U92" i="6" a="1"/>
  <c r="T92" i="6" a="1"/>
  <c r="T92" i="6" s="1"/>
  <c r="S92" i="6" a="1"/>
  <c r="S92" i="6" s="1"/>
  <c r="R92" i="6" a="1"/>
  <c r="R92" i="6" s="1"/>
  <c r="Q92" i="6"/>
  <c r="Q92" i="6" a="1"/>
  <c r="P92" i="6" a="1"/>
  <c r="P92" i="6" s="1"/>
  <c r="O92" i="6"/>
  <c r="O92" i="6" a="1"/>
  <c r="N92" i="6" a="1"/>
  <c r="N92" i="6" s="1"/>
  <c r="M92" i="6" a="1"/>
  <c r="M92" i="6" s="1"/>
  <c r="L92" i="6"/>
  <c r="L92" i="6" a="1"/>
  <c r="K92" i="6" a="1"/>
  <c r="K92" i="6" s="1"/>
  <c r="J92" i="6" a="1"/>
  <c r="J92" i="6" s="1"/>
  <c r="I92" i="6"/>
  <c r="I92" i="6" a="1"/>
  <c r="H92" i="6"/>
  <c r="H92" i="6" a="1"/>
  <c r="G92" i="6" a="1"/>
  <c r="G92" i="6" s="1"/>
  <c r="F92" i="6" a="1"/>
  <c r="F92" i="6" s="1"/>
  <c r="E92" i="6"/>
  <c r="E92" i="6" a="1"/>
  <c r="D92" i="6" a="1"/>
  <c r="D92" i="6" s="1"/>
  <c r="AH91" i="6" a="1"/>
  <c r="AH91" i="6" s="1"/>
  <c r="AG91" i="6"/>
  <c r="AG91" i="6" a="1"/>
  <c r="AF91" i="6" a="1"/>
  <c r="AF91" i="6" s="1"/>
  <c r="AE91" i="6"/>
  <c r="AE91" i="6" a="1"/>
  <c r="AD91" i="6" a="1"/>
  <c r="AD91" i="6" s="1"/>
  <c r="AC91" i="6" a="1"/>
  <c r="AC91" i="6" s="1"/>
  <c r="AB91" i="6"/>
  <c r="AB91" i="6" a="1"/>
  <c r="AA91" i="6" a="1"/>
  <c r="AA91" i="6" s="1"/>
  <c r="Z91" i="6" a="1"/>
  <c r="Z91" i="6" s="1"/>
  <c r="Y91" i="6"/>
  <c r="Y91" i="6" a="1"/>
  <c r="X91" i="6"/>
  <c r="X91" i="6" a="1"/>
  <c r="W91" i="6" a="1"/>
  <c r="W91" i="6" s="1"/>
  <c r="V91" i="6" a="1"/>
  <c r="V91" i="6" s="1"/>
  <c r="U91" i="6"/>
  <c r="U91" i="6" a="1"/>
  <c r="T91" i="6" a="1"/>
  <c r="T91" i="6" s="1"/>
  <c r="S91" i="6" a="1"/>
  <c r="S91" i="6" s="1"/>
  <c r="R91" i="6"/>
  <c r="R91" i="6" a="1"/>
  <c r="Q91" i="6" a="1"/>
  <c r="Q91" i="6" s="1"/>
  <c r="P91" i="6" a="1"/>
  <c r="P91" i="6" s="1"/>
  <c r="O91" i="6" a="1"/>
  <c r="O91" i="6" s="1"/>
  <c r="N91" i="6" a="1"/>
  <c r="N91" i="6" s="1"/>
  <c r="M91" i="6"/>
  <c r="M91" i="6" a="1"/>
  <c r="L91" i="6" a="1"/>
  <c r="L91" i="6" s="1"/>
  <c r="K91" i="6" a="1"/>
  <c r="K91" i="6" s="1"/>
  <c r="J91" i="6"/>
  <c r="J91" i="6" a="1"/>
  <c r="I91" i="6" a="1"/>
  <c r="I91" i="6" s="1"/>
  <c r="H91" i="6"/>
  <c r="H91" i="6" a="1"/>
  <c r="G91" i="6" a="1"/>
  <c r="G91" i="6" s="1"/>
  <c r="F91" i="6"/>
  <c r="F91" i="6" a="1"/>
  <c r="E91" i="6" a="1"/>
  <c r="E91" i="6" s="1"/>
  <c r="D91" i="6" a="1"/>
  <c r="D91" i="6" s="1"/>
  <c r="AH90" i="6"/>
  <c r="AH90" i="6" a="1"/>
  <c r="AG90" i="6" a="1"/>
  <c r="AG90" i="6" s="1"/>
  <c r="AF90" i="6"/>
  <c r="AF90" i="6" a="1"/>
  <c r="AE90" i="6" a="1"/>
  <c r="AE90" i="6" s="1"/>
  <c r="AD90" i="6" a="1"/>
  <c r="AD90" i="6" s="1"/>
  <c r="AC90" i="6"/>
  <c r="AC90" i="6" a="1"/>
  <c r="AB90" i="6" a="1"/>
  <c r="AB90" i="6" s="1"/>
  <c r="AA90" i="6" a="1"/>
  <c r="AA90" i="6" s="1"/>
  <c r="Z90" i="6" a="1"/>
  <c r="Z90" i="6" s="1"/>
  <c r="Y90" i="6"/>
  <c r="Y90" i="6" a="1"/>
  <c r="X90" i="6" a="1"/>
  <c r="X90" i="6" s="1"/>
  <c r="W90" i="6" a="1"/>
  <c r="W90" i="6" s="1"/>
  <c r="V90" i="6"/>
  <c r="V90" i="6" a="1"/>
  <c r="U90" i="6" a="1"/>
  <c r="U90" i="6" s="1"/>
  <c r="T90" i="6" a="1"/>
  <c r="T90" i="6" s="1"/>
  <c r="S90" i="6" a="1"/>
  <c r="S90" i="6" s="1"/>
  <c r="R90" i="6" a="1"/>
  <c r="R90" i="6" s="1"/>
  <c r="Q90" i="6" a="1"/>
  <c r="Q90" i="6" s="1"/>
  <c r="P90" i="6" a="1"/>
  <c r="P90" i="6" s="1"/>
  <c r="O90" i="6"/>
  <c r="O90" i="6" a="1"/>
  <c r="N90" i="6" a="1"/>
  <c r="N90" i="6" s="1"/>
  <c r="M90" i="6" a="1"/>
  <c r="M90" i="6" s="1"/>
  <c r="L90" i="6" a="1"/>
  <c r="L90" i="6" s="1"/>
  <c r="K90" i="6" a="1"/>
  <c r="K90" i="6" s="1"/>
  <c r="J90" i="6" a="1"/>
  <c r="J90" i="6" s="1"/>
  <c r="I90" i="6" a="1"/>
  <c r="I90" i="6" s="1"/>
  <c r="H90" i="6"/>
  <c r="H90" i="6" a="1"/>
  <c r="G90" i="6" a="1"/>
  <c r="G90" i="6" s="1"/>
  <c r="F90" i="6" a="1"/>
  <c r="F90" i="6" s="1"/>
  <c r="D90" i="6" a="1"/>
  <c r="D90" i="6" s="1"/>
  <c r="P252" i="19" a="1"/>
  <c r="P252" i="19" s="1"/>
  <c r="O252" i="19" a="1"/>
  <c r="O252" i="19" s="1"/>
  <c r="AD252" i="19" a="1"/>
  <c r="AD252" i="19" s="1"/>
  <c r="AC252" i="19" a="1"/>
  <c r="AC252" i="19" s="1"/>
  <c r="Z252" i="19" a="1"/>
  <c r="Z252" i="19" s="1"/>
  <c r="Y252" i="19" a="1"/>
  <c r="Y252" i="19" s="1"/>
  <c r="V252" i="19" a="1"/>
  <c r="V252" i="19" s="1"/>
  <c r="U252" i="19" a="1"/>
  <c r="U252" i="19" s="1"/>
  <c r="R252" i="19" a="1"/>
  <c r="R252" i="19" s="1"/>
  <c r="Q252" i="19" a="1"/>
  <c r="Q252" i="19" s="1"/>
  <c r="E252" i="19" a="1"/>
  <c r="E252" i="19" s="1"/>
  <c r="D252" i="19" a="1"/>
  <c r="D252" i="19" s="1"/>
  <c r="D236" i="19" a="1"/>
  <c r="D236" i="19" s="1"/>
  <c r="G12" i="7"/>
  <c r="G14" i="7"/>
  <c r="H56" i="7"/>
  <c r="I56" i="7" s="1"/>
  <c r="G56" i="7"/>
  <c r="J56" i="7" s="1"/>
  <c r="H55" i="7"/>
  <c r="I55" i="7" s="1"/>
  <c r="G55" i="7"/>
  <c r="J55" i="7" s="1"/>
  <c r="H54" i="7"/>
  <c r="I54" i="7" s="1"/>
  <c r="G54" i="7"/>
  <c r="K44" i="7"/>
  <c r="F44" i="7"/>
  <c r="G44" i="7" s="1"/>
  <c r="K43" i="7"/>
  <c r="F43" i="7"/>
  <c r="G43" i="7" s="1"/>
  <c r="K42" i="7"/>
  <c r="D40" i="7" s="1"/>
  <c r="F42" i="7"/>
  <c r="G42" i="7" s="1"/>
  <c r="F34" i="7"/>
  <c r="G34" i="7" s="1"/>
  <c r="F33" i="7"/>
  <c r="G33" i="7" s="1"/>
  <c r="F32" i="7"/>
  <c r="G32" i="7" s="1"/>
  <c r="F31" i="7"/>
  <c r="G31" i="7" s="1"/>
  <c r="F30" i="7"/>
  <c r="G30" i="7" s="1"/>
  <c r="F29" i="7"/>
  <c r="G29" i="7" s="1"/>
  <c r="F28" i="7"/>
  <c r="G28" i="7" s="1"/>
  <c r="F27" i="7"/>
  <c r="G27" i="7" s="1"/>
  <c r="F26" i="7"/>
  <c r="G26" i="7" s="1"/>
  <c r="F25" i="7"/>
  <c r="G25" i="7" s="1"/>
  <c r="G21" i="7"/>
  <c r="G20" i="7"/>
  <c r="G19" i="7"/>
  <c r="G18" i="7"/>
  <c r="G17" i="7"/>
  <c r="G16" i="7"/>
  <c r="G15" i="7"/>
  <c r="G13" i="7"/>
  <c r="V13" i="7" l="1"/>
  <c r="AH236" i="19" a="1"/>
  <c r="AH236" i="19" s="1"/>
  <c r="AD236" i="19" a="1"/>
  <c r="AD236" i="19" s="1"/>
  <c r="V16" i="7"/>
  <c r="V21" i="7"/>
  <c r="U236" i="19" a="1"/>
  <c r="U236" i="19" s="1"/>
  <c r="V18" i="7"/>
  <c r="X18" i="7" s="1"/>
  <c r="R236" i="19" a="1"/>
  <c r="R236" i="19" s="1"/>
  <c r="AK236" i="19" a="1"/>
  <c r="AK236" i="19" s="1"/>
  <c r="V15" i="7"/>
  <c r="AL236" i="19" a="1"/>
  <c r="AL236" i="19" s="1"/>
  <c r="V20" i="7"/>
  <c r="V236" i="19" a="1"/>
  <c r="V236" i="19" s="1"/>
  <c r="Y236" i="19" a="1"/>
  <c r="Y236" i="19" s="1"/>
  <c r="V17" i="7"/>
  <c r="X17" i="7" s="1"/>
  <c r="Z236" i="19" a="1"/>
  <c r="Z236" i="19" s="1"/>
  <c r="V14" i="7"/>
  <c r="V19" i="7"/>
  <c r="AC236" i="19" a="1"/>
  <c r="AC236" i="19" s="1"/>
  <c r="V12" i="7"/>
  <c r="I13" i="7"/>
  <c r="X21" i="7"/>
  <c r="X13" i="7"/>
  <c r="X15" i="7"/>
  <c r="X16" i="7"/>
  <c r="J54" i="7"/>
  <c r="X19" i="7"/>
  <c r="X12" i="7"/>
  <c r="X20" i="7"/>
  <c r="X14" i="7"/>
  <c r="I14" i="7"/>
  <c r="I21" i="7"/>
  <c r="I19" i="7"/>
  <c r="I12" i="7"/>
  <c r="I17" i="7"/>
  <c r="I15" i="7"/>
  <c r="I20" i="7"/>
  <c r="I18" i="7"/>
  <c r="I16" i="7"/>
  <c r="E236" i="19" l="1" a="1"/>
  <c r="E236" i="19" s="1"/>
  <c r="D172" i="19" a="1"/>
  <c r="D172" i="19" s="1"/>
  <c r="G172" i="19" a="1"/>
  <c r="G172" i="19" s="1"/>
  <c r="F168" i="19" a="1"/>
  <c r="F168" i="19"/>
  <c r="G107" i="19" a="1"/>
  <c r="G107" i="19" s="1"/>
  <c r="D107" i="19" a="1"/>
  <c r="D107" i="19" s="1"/>
  <c r="D100" i="19" a="1"/>
  <c r="D100" i="19" s="1"/>
  <c r="D153" i="19"/>
  <c r="D152" i="19"/>
  <c r="D151" i="19"/>
  <c r="D150" i="19"/>
  <c r="D149" i="19"/>
  <c r="D148" i="19"/>
  <c r="I158" i="20" a="1"/>
  <c r="I158" i="20" s="1"/>
  <c r="H158" i="20" a="1"/>
  <c r="H158" i="20" s="1"/>
  <c r="G158" i="20" a="1"/>
  <c r="G158" i="20" s="1"/>
  <c r="F158" i="20" a="1"/>
  <c r="F158" i="20" s="1"/>
  <c r="P158" i="20" s="1"/>
  <c r="D158" i="20" a="1"/>
  <c r="D158" i="20" s="1"/>
  <c r="E158" i="20" a="1"/>
  <c r="E158" i="20" s="1"/>
  <c r="O158" i="20" s="1"/>
  <c r="Q157" i="20" s="1"/>
  <c r="I157" i="20" a="1"/>
  <c r="I157" i="20" s="1"/>
  <c r="H157" i="20" a="1"/>
  <c r="H157" i="20" s="1"/>
  <c r="G157" i="20" a="1"/>
  <c r="G157" i="20" s="1"/>
  <c r="F157" i="20" a="1"/>
  <c r="F157" i="20" s="1"/>
  <c r="E157" i="20" a="1"/>
  <c r="E157" i="20" s="1"/>
  <c r="D157" i="20" a="1"/>
  <c r="D157" i="20" s="1"/>
  <c r="I156" i="20" a="1"/>
  <c r="I156" i="20" s="1"/>
  <c r="H156" i="20" a="1"/>
  <c r="H156" i="20" s="1"/>
  <c r="G156" i="20" a="1"/>
  <c r="G156" i="20" s="1"/>
  <c r="F156" i="20" a="1"/>
  <c r="F156" i="20" s="1"/>
  <c r="E156" i="20" a="1"/>
  <c r="E156" i="20" s="1"/>
  <c r="D156" i="20" a="1"/>
  <c r="D156" i="20" s="1"/>
  <c r="I155" i="20" a="1"/>
  <c r="I155" i="20" s="1"/>
  <c r="H155" i="20" a="1"/>
  <c r="H155" i="20" s="1"/>
  <c r="G155" i="20" a="1"/>
  <c r="G155" i="20" s="1"/>
  <c r="F155" i="20" a="1"/>
  <c r="F155" i="20" s="1"/>
  <c r="E155" i="20" a="1"/>
  <c r="E155" i="20" s="1"/>
  <c r="D155" i="20" a="1"/>
  <c r="D155" i="20" s="1"/>
  <c r="I154" i="20" a="1"/>
  <c r="I154" i="20" s="1"/>
  <c r="H154" i="20" a="1"/>
  <c r="H154" i="20" s="1"/>
  <c r="G154" i="20" a="1"/>
  <c r="G154" i="20" s="1"/>
  <c r="F154" i="20" a="1"/>
  <c r="F154" i="20" s="1"/>
  <c r="E154" i="20" a="1"/>
  <c r="E154" i="20" s="1"/>
  <c r="I153" i="20" a="1"/>
  <c r="I153" i="20" s="1"/>
  <c r="H153" i="20" a="1"/>
  <c r="H153" i="20" s="1"/>
  <c r="G153" i="20" a="1"/>
  <c r="G153" i="20" s="1"/>
  <c r="F153" i="20" a="1"/>
  <c r="F153" i="20" s="1"/>
  <c r="E153" i="20" a="1"/>
  <c r="E153" i="20" s="1"/>
  <c r="I152" i="20" a="1"/>
  <c r="I152" i="20" s="1"/>
  <c r="H152" i="20" a="1"/>
  <c r="H152" i="20" s="1"/>
  <c r="G152" i="20" a="1"/>
  <c r="G152" i="20" s="1"/>
  <c r="F152" i="20" a="1"/>
  <c r="F152" i="20" s="1"/>
  <c r="E152" i="20" a="1"/>
  <c r="E152" i="20" s="1"/>
  <c r="I151" i="20" a="1"/>
  <c r="I151" i="20" s="1"/>
  <c r="H151" i="20" a="1"/>
  <c r="H151" i="20" s="1"/>
  <c r="G151" i="20" a="1"/>
  <c r="G151" i="20" s="1"/>
  <c r="F151" i="20" a="1"/>
  <c r="F151" i="20" s="1"/>
  <c r="E151" i="20" a="1"/>
  <c r="E151" i="20" s="1"/>
  <c r="I150" i="20" a="1"/>
  <c r="I150" i="20" s="1"/>
  <c r="H150" i="20" a="1"/>
  <c r="H150" i="20" s="1"/>
  <c r="G150" i="20" a="1"/>
  <c r="G150" i="20" s="1"/>
  <c r="F150" i="20" a="1"/>
  <c r="F150" i="20" s="1"/>
  <c r="E150" i="20" a="1"/>
  <c r="E150" i="20" s="1"/>
  <c r="I149" i="20" a="1"/>
  <c r="I149" i="20" s="1"/>
  <c r="H149" i="20" a="1"/>
  <c r="H149" i="20" s="1"/>
  <c r="G149" i="20" a="1"/>
  <c r="G149" i="20" s="1"/>
  <c r="F149" i="20" a="1"/>
  <c r="F149" i="20" s="1"/>
  <c r="E149" i="20" a="1"/>
  <c r="E149" i="20" s="1"/>
  <c r="I148" i="20" a="1"/>
  <c r="I148" i="20" s="1"/>
  <c r="H148" i="20" a="1"/>
  <c r="H148" i="20" s="1"/>
  <c r="G148" i="20" a="1"/>
  <c r="G148" i="20" s="1"/>
  <c r="F148" i="20" a="1"/>
  <c r="F148" i="20" s="1"/>
  <c r="E148" i="20" a="1"/>
  <c r="E148" i="20" s="1"/>
  <c r="I147" i="20" a="1"/>
  <c r="I147" i="20" s="1"/>
  <c r="H147" i="20" a="1"/>
  <c r="H147" i="20" s="1"/>
  <c r="G147" i="20" a="1"/>
  <c r="G147" i="20" s="1"/>
  <c r="F147" i="20" a="1"/>
  <c r="F147" i="20" s="1"/>
  <c r="E147" i="20" a="1"/>
  <c r="E147" i="20" s="1"/>
  <c r="I146" i="20" a="1"/>
  <c r="I146" i="20" s="1"/>
  <c r="H146" i="20" a="1"/>
  <c r="H146" i="20" s="1"/>
  <c r="G146" i="20" a="1"/>
  <c r="G146" i="20" s="1"/>
  <c r="F146" i="20" a="1"/>
  <c r="F146" i="20" s="1"/>
  <c r="E146" i="20" a="1"/>
  <c r="E146" i="20" s="1"/>
  <c r="I145" i="20" a="1"/>
  <c r="I145" i="20" s="1"/>
  <c r="H145" i="20" a="1"/>
  <c r="H145" i="20" s="1"/>
  <c r="G145" i="20" a="1"/>
  <c r="G145" i="20" s="1"/>
  <c r="F145" i="20" a="1"/>
  <c r="F145" i="20" s="1"/>
  <c r="E145" i="20" a="1"/>
  <c r="E145" i="20" s="1"/>
  <c r="I144" i="20" a="1"/>
  <c r="I144" i="20" s="1"/>
  <c r="H144" i="20" a="1"/>
  <c r="H144" i="20" s="1"/>
  <c r="G144" i="20" a="1"/>
  <c r="G144" i="20" s="1"/>
  <c r="F144" i="20" a="1"/>
  <c r="F144" i="20" s="1"/>
  <c r="E144" i="20" a="1"/>
  <c r="E144" i="20" s="1"/>
  <c r="I143" i="20" a="1"/>
  <c r="I143" i="20" s="1"/>
  <c r="H143" i="20" a="1"/>
  <c r="H143" i="20" s="1"/>
  <c r="G143" i="20" a="1"/>
  <c r="G143" i="20" s="1"/>
  <c r="F143" i="20" a="1"/>
  <c r="F143" i="20" s="1"/>
  <c r="E143" i="20" a="1"/>
  <c r="E143" i="20" s="1"/>
  <c r="I142" i="20" a="1"/>
  <c r="I142" i="20" s="1"/>
  <c r="H142" i="20" a="1"/>
  <c r="H142" i="20" s="1"/>
  <c r="G142" i="20" a="1"/>
  <c r="G142" i="20" s="1"/>
  <c r="F142" i="20" a="1"/>
  <c r="F142" i="20" s="1"/>
  <c r="E142" i="20" a="1"/>
  <c r="E142" i="20" s="1"/>
  <c r="I141" i="20" a="1"/>
  <c r="I141" i="20" s="1"/>
  <c r="H141" i="20" a="1"/>
  <c r="H141" i="20" s="1"/>
  <c r="G141" i="20" a="1"/>
  <c r="G141" i="20" s="1"/>
  <c r="F141" i="20" a="1"/>
  <c r="F141" i="20" s="1"/>
  <c r="E141" i="20" a="1"/>
  <c r="E141" i="20" s="1"/>
  <c r="I140" i="20" a="1"/>
  <c r="I140" i="20" s="1"/>
  <c r="H140" i="20" a="1"/>
  <c r="H140" i="20" s="1"/>
  <c r="G140" i="20" a="1"/>
  <c r="G140" i="20" s="1"/>
  <c r="F140" i="20" a="1"/>
  <c r="F140" i="20" s="1"/>
  <c r="E140" i="20" a="1"/>
  <c r="E140" i="20" s="1"/>
  <c r="I139" i="20" a="1"/>
  <c r="I139" i="20" s="1"/>
  <c r="H139" i="20" a="1"/>
  <c r="H139" i="20" s="1"/>
  <c r="G139" i="20" a="1"/>
  <c r="G139" i="20" s="1"/>
  <c r="F139" i="20" a="1"/>
  <c r="F139" i="20" s="1"/>
  <c r="E139" i="20" a="1"/>
  <c r="E139" i="20" s="1"/>
  <c r="I138" i="20" a="1"/>
  <c r="I138" i="20" s="1"/>
  <c r="H138" i="20" a="1"/>
  <c r="H138" i="20" s="1"/>
  <c r="G138" i="20" a="1"/>
  <c r="G138" i="20" s="1"/>
  <c r="F138" i="20" a="1"/>
  <c r="F138" i="20" s="1"/>
  <c r="E138" i="20" a="1"/>
  <c r="E138" i="20" s="1"/>
  <c r="I137" i="20" a="1"/>
  <c r="I137" i="20" s="1"/>
  <c r="H137" i="20" a="1"/>
  <c r="H137" i="20" s="1"/>
  <c r="G137" i="20" a="1"/>
  <c r="G137" i="20" s="1"/>
  <c r="F137" i="20" a="1"/>
  <c r="F137" i="20" s="1"/>
  <c r="E137" i="20" a="1"/>
  <c r="E137" i="20" s="1"/>
  <c r="I136" i="20" a="1"/>
  <c r="I136" i="20" s="1"/>
  <c r="H136" i="20" a="1"/>
  <c r="H136" i="20" s="1"/>
  <c r="G136" i="20" a="1"/>
  <c r="G136" i="20" s="1"/>
  <c r="F136" i="20" a="1"/>
  <c r="F136" i="20" s="1"/>
  <c r="E136" i="20" a="1"/>
  <c r="E136" i="20" s="1"/>
  <c r="I135" i="20" a="1"/>
  <c r="I135" i="20" s="1"/>
  <c r="H135" i="20" a="1"/>
  <c r="H135" i="20" s="1"/>
  <c r="G135" i="20" a="1"/>
  <c r="G135" i="20" s="1"/>
  <c r="F135" i="20" a="1"/>
  <c r="F135" i="20" s="1"/>
  <c r="E135" i="20" a="1"/>
  <c r="E135" i="20" s="1"/>
  <c r="I134" i="20" a="1"/>
  <c r="I134" i="20" s="1"/>
  <c r="H134" i="20" a="1"/>
  <c r="H134" i="20" s="1"/>
  <c r="G134" i="20" a="1"/>
  <c r="G134" i="20" s="1"/>
  <c r="F134" i="20" a="1"/>
  <c r="F134" i="20" s="1"/>
  <c r="E134" i="20" a="1"/>
  <c r="E134" i="20" s="1"/>
  <c r="I133" i="20" a="1"/>
  <c r="I133" i="20" s="1"/>
  <c r="H133" i="20" a="1"/>
  <c r="H133" i="20" s="1"/>
  <c r="G133" i="20" a="1"/>
  <c r="G133" i="20" s="1"/>
  <c r="F133" i="20" a="1"/>
  <c r="F133" i="20" s="1"/>
  <c r="E133" i="20" a="1"/>
  <c r="E133" i="20" s="1"/>
  <c r="I132" i="20" a="1"/>
  <c r="I132" i="20" s="1"/>
  <c r="H132" i="20" a="1"/>
  <c r="H132" i="20" s="1"/>
  <c r="G132" i="20" a="1"/>
  <c r="G132" i="20" s="1"/>
  <c r="F132" i="20" a="1"/>
  <c r="F132" i="20" s="1"/>
  <c r="E132" i="20" a="1"/>
  <c r="E132" i="20" s="1"/>
  <c r="I131" i="20" a="1"/>
  <c r="I131" i="20" s="1"/>
  <c r="H131" i="20" a="1"/>
  <c r="H131" i="20" s="1"/>
  <c r="G131" i="20" a="1"/>
  <c r="G131" i="20" s="1"/>
  <c r="F131" i="20" a="1"/>
  <c r="F131" i="20" s="1"/>
  <c r="E131" i="20" a="1"/>
  <c r="E131" i="20" s="1"/>
  <c r="I130" i="20" a="1"/>
  <c r="I130" i="20" s="1"/>
  <c r="H130" i="20" a="1"/>
  <c r="H130" i="20" s="1"/>
  <c r="G130" i="20" a="1"/>
  <c r="G130" i="20" s="1"/>
  <c r="F130" i="20" a="1"/>
  <c r="F130" i="20" s="1"/>
  <c r="E130" i="20" a="1"/>
  <c r="E130" i="20" s="1"/>
  <c r="I129" i="20" a="1"/>
  <c r="I129" i="20" s="1"/>
  <c r="H129" i="20" a="1"/>
  <c r="H129" i="20" s="1"/>
  <c r="G129" i="20" a="1"/>
  <c r="G129" i="20" s="1"/>
  <c r="F129" i="20" a="1"/>
  <c r="F129" i="20" s="1"/>
  <c r="E129" i="20" a="1"/>
  <c r="E129" i="20" s="1"/>
  <c r="I128" i="20" a="1"/>
  <c r="I128" i="20" s="1"/>
  <c r="H128" i="20" a="1"/>
  <c r="H128" i="20" s="1"/>
  <c r="G128" i="20" a="1"/>
  <c r="G128" i="20" s="1"/>
  <c r="F128" i="20" a="1"/>
  <c r="F128" i="20" s="1"/>
  <c r="E128" i="20" a="1"/>
  <c r="E128" i="20" s="1"/>
  <c r="I127" i="20" a="1"/>
  <c r="I127" i="20" s="1"/>
  <c r="H127" i="20" a="1"/>
  <c r="H127" i="20" s="1"/>
  <c r="G127" i="20" a="1"/>
  <c r="G127" i="20" s="1"/>
  <c r="F127" i="20" a="1"/>
  <c r="F127" i="20" s="1"/>
  <c r="E127" i="20" a="1"/>
  <c r="E127" i="20" s="1"/>
  <c r="I126" i="20" a="1"/>
  <c r="I126" i="20" s="1"/>
  <c r="H126" i="20" a="1"/>
  <c r="H126" i="20" s="1"/>
  <c r="G126" i="20" a="1"/>
  <c r="G126" i="20" s="1"/>
  <c r="F126" i="20" a="1"/>
  <c r="F126" i="20" s="1"/>
  <c r="E126" i="20" a="1"/>
  <c r="E126" i="20" s="1"/>
  <c r="I125" i="20" a="1"/>
  <c r="I125" i="20" s="1"/>
  <c r="H125" i="20" a="1"/>
  <c r="H125" i="20" s="1"/>
  <c r="G125" i="20" a="1"/>
  <c r="G125" i="20" s="1"/>
  <c r="F125" i="20" a="1"/>
  <c r="F125" i="20" s="1"/>
  <c r="E125" i="20" a="1"/>
  <c r="E125" i="20" s="1"/>
  <c r="I124" i="20" a="1"/>
  <c r="I124" i="20" s="1"/>
  <c r="H124" i="20" a="1"/>
  <c r="H124" i="20" s="1"/>
  <c r="G124" i="20" a="1"/>
  <c r="G124" i="20" s="1"/>
  <c r="F124" i="20" a="1"/>
  <c r="F124" i="20" s="1"/>
  <c r="E124" i="20" a="1"/>
  <c r="E124" i="20" s="1"/>
  <c r="I123" i="20" a="1"/>
  <c r="I123" i="20" s="1"/>
  <c r="H123" i="20" a="1"/>
  <c r="H123" i="20" s="1"/>
  <c r="G123" i="20" a="1"/>
  <c r="G123" i="20" s="1"/>
  <c r="F123" i="20" a="1"/>
  <c r="F123" i="20" s="1"/>
  <c r="E123" i="20" a="1"/>
  <c r="E123" i="20" s="1"/>
  <c r="I122" i="20" a="1"/>
  <c r="I122" i="20" s="1"/>
  <c r="H122" i="20" a="1"/>
  <c r="H122" i="20" s="1"/>
  <c r="G122" i="20" a="1"/>
  <c r="G122" i="20" s="1"/>
  <c r="F122" i="20" a="1"/>
  <c r="F122" i="20" s="1"/>
  <c r="E122" i="20" a="1"/>
  <c r="E122" i="20" s="1"/>
  <c r="I121" i="20" a="1"/>
  <c r="I121" i="20" s="1"/>
  <c r="H121" i="20" a="1"/>
  <c r="H121" i="20" s="1"/>
  <c r="G121" i="20" a="1"/>
  <c r="G121" i="20" s="1"/>
  <c r="F121" i="20" a="1"/>
  <c r="F121" i="20" s="1"/>
  <c r="E121" i="20" a="1"/>
  <c r="E121" i="20" s="1"/>
  <c r="I120" i="20" a="1"/>
  <c r="I120" i="20" s="1"/>
  <c r="H120" i="20" a="1"/>
  <c r="H120" i="20" s="1"/>
  <c r="G120" i="20" a="1"/>
  <c r="G120" i="20" s="1"/>
  <c r="F120" i="20" a="1"/>
  <c r="F120" i="20" s="1"/>
  <c r="E120" i="20" a="1"/>
  <c r="E120" i="20" s="1"/>
  <c r="I119" i="20" a="1"/>
  <c r="I119" i="20" s="1"/>
  <c r="H119" i="20" a="1"/>
  <c r="H119" i="20" s="1"/>
  <c r="G119" i="20" a="1"/>
  <c r="G119" i="20" s="1"/>
  <c r="F119" i="20" a="1"/>
  <c r="F119" i="20" s="1"/>
  <c r="E119" i="20" a="1"/>
  <c r="E119" i="20" s="1"/>
  <c r="I118" i="20" a="1"/>
  <c r="I118" i="20" s="1"/>
  <c r="H118" i="20" a="1"/>
  <c r="H118" i="20" s="1"/>
  <c r="G118" i="20" a="1"/>
  <c r="G118" i="20" s="1"/>
  <c r="F118" i="20" a="1"/>
  <c r="F118" i="20" s="1"/>
  <c r="E118" i="20" a="1"/>
  <c r="E118" i="20" s="1"/>
  <c r="I117" i="20" a="1"/>
  <c r="I117" i="20" s="1"/>
  <c r="H117" i="20" a="1"/>
  <c r="H117" i="20" s="1"/>
  <c r="G117" i="20" a="1"/>
  <c r="G117" i="20" s="1"/>
  <c r="F117" i="20" a="1"/>
  <c r="F117" i="20" s="1"/>
  <c r="E117" i="20" a="1"/>
  <c r="E117" i="20" s="1"/>
  <c r="I116" i="20" a="1"/>
  <c r="I116" i="20" s="1"/>
  <c r="H116" i="20" a="1"/>
  <c r="H116" i="20" s="1"/>
  <c r="G116" i="20" a="1"/>
  <c r="G116" i="20" s="1"/>
  <c r="F116" i="20" a="1"/>
  <c r="F116" i="20" s="1"/>
  <c r="E116" i="20" a="1"/>
  <c r="E116" i="20" s="1"/>
  <c r="I115" i="20" a="1"/>
  <c r="I115" i="20" s="1"/>
  <c r="H115" i="20" a="1"/>
  <c r="H115" i="20" s="1"/>
  <c r="G115" i="20" a="1"/>
  <c r="G115" i="20" s="1"/>
  <c r="F115" i="20" a="1"/>
  <c r="F115" i="20" s="1"/>
  <c r="E115" i="20" a="1"/>
  <c r="E115" i="20" s="1"/>
  <c r="I114" i="20" a="1"/>
  <c r="I114" i="20" s="1"/>
  <c r="H114" i="20" a="1"/>
  <c r="H114" i="20" s="1"/>
  <c r="G114" i="20" a="1"/>
  <c r="G114" i="20" s="1"/>
  <c r="F114" i="20" a="1"/>
  <c r="F114" i="20" s="1"/>
  <c r="E114" i="20" a="1"/>
  <c r="E114" i="20" s="1"/>
  <c r="I113" i="20" a="1"/>
  <c r="I113" i="20" s="1"/>
  <c r="H113" i="20" a="1"/>
  <c r="H113" i="20" s="1"/>
  <c r="G113" i="20" a="1"/>
  <c r="G113" i="20" s="1"/>
  <c r="F113" i="20" a="1"/>
  <c r="F113" i="20" s="1"/>
  <c r="E113" i="20" a="1"/>
  <c r="E113" i="20" s="1"/>
  <c r="I112" i="20" a="1"/>
  <c r="I112" i="20" s="1"/>
  <c r="H112" i="20" a="1"/>
  <c r="H112" i="20" s="1"/>
  <c r="G112" i="20" a="1"/>
  <c r="G112" i="20" s="1"/>
  <c r="F112" i="20" a="1"/>
  <c r="F112" i="20" s="1"/>
  <c r="E112" i="20" a="1"/>
  <c r="E112" i="20" s="1"/>
  <c r="I111" i="20" a="1"/>
  <c r="I111" i="20" s="1"/>
  <c r="H111" i="20" a="1"/>
  <c r="H111" i="20" s="1"/>
  <c r="G111" i="20" a="1"/>
  <c r="G111" i="20" s="1"/>
  <c r="F111" i="20" a="1"/>
  <c r="F111" i="20" s="1"/>
  <c r="E111" i="20" a="1"/>
  <c r="E111" i="20" s="1"/>
  <c r="I110" i="20" a="1"/>
  <c r="I110" i="20" s="1"/>
  <c r="H110" i="20" a="1"/>
  <c r="H110" i="20" s="1"/>
  <c r="G110" i="20" a="1"/>
  <c r="G110" i="20" s="1"/>
  <c r="F110" i="20" a="1"/>
  <c r="F110" i="20" s="1"/>
  <c r="E110" i="20" a="1"/>
  <c r="E110" i="20" s="1"/>
  <c r="I109" i="20" a="1"/>
  <c r="I109" i="20" s="1"/>
  <c r="H109" i="20" a="1"/>
  <c r="H109" i="20" s="1"/>
  <c r="G109" i="20" a="1"/>
  <c r="G109" i="20" s="1"/>
  <c r="F109" i="20" a="1"/>
  <c r="F109" i="20" s="1"/>
  <c r="E109" i="20" a="1"/>
  <c r="E109" i="20" s="1"/>
  <c r="I108" i="20" a="1"/>
  <c r="I108" i="20" s="1"/>
  <c r="H108" i="20" a="1"/>
  <c r="H108" i="20" s="1"/>
  <c r="G108" i="20" a="1"/>
  <c r="G108" i="20" s="1"/>
  <c r="F108" i="20" a="1"/>
  <c r="F108" i="20" s="1"/>
  <c r="E108" i="20" a="1"/>
  <c r="E108" i="20" s="1"/>
  <c r="I107" i="20" a="1"/>
  <c r="I107" i="20" s="1"/>
  <c r="H107" i="20" a="1"/>
  <c r="H107" i="20" s="1"/>
  <c r="G107" i="20" a="1"/>
  <c r="G107" i="20" s="1"/>
  <c r="F107" i="20" a="1"/>
  <c r="F107" i="20" s="1"/>
  <c r="E107" i="20" a="1"/>
  <c r="E107" i="20" s="1"/>
  <c r="I106" i="20" a="1"/>
  <c r="I106" i="20" s="1"/>
  <c r="H106" i="20" a="1"/>
  <c r="H106" i="20" s="1"/>
  <c r="G106" i="20" a="1"/>
  <c r="G106" i="20" s="1"/>
  <c r="F106" i="20" a="1"/>
  <c r="F106" i="20" s="1"/>
  <c r="E106" i="20" a="1"/>
  <c r="E106" i="20" s="1"/>
  <c r="I105" i="20" a="1"/>
  <c r="I105" i="20" s="1"/>
  <c r="H105" i="20" a="1"/>
  <c r="H105" i="20" s="1"/>
  <c r="G105" i="20" a="1"/>
  <c r="G105" i="20" s="1"/>
  <c r="F105" i="20" a="1"/>
  <c r="F105" i="20" s="1"/>
  <c r="E105" i="20" a="1"/>
  <c r="E105" i="20" s="1"/>
  <c r="I104" i="20" a="1"/>
  <c r="I104" i="20" s="1"/>
  <c r="H104" i="20" a="1"/>
  <c r="H104" i="20" s="1"/>
  <c r="G104" i="20" a="1"/>
  <c r="G104" i="20" s="1"/>
  <c r="F104" i="20" a="1"/>
  <c r="F104" i="20" s="1"/>
  <c r="E104" i="20" a="1"/>
  <c r="E104" i="20" s="1"/>
  <c r="I103" i="20" a="1"/>
  <c r="I103" i="20" s="1"/>
  <c r="H103" i="20" a="1"/>
  <c r="H103" i="20" s="1"/>
  <c r="G103" i="20" a="1"/>
  <c r="G103" i="20" s="1"/>
  <c r="F103" i="20" a="1"/>
  <c r="F103" i="20" s="1"/>
  <c r="E103" i="20" a="1"/>
  <c r="E103" i="20" s="1"/>
  <c r="I102" i="20" a="1"/>
  <c r="I102" i="20" s="1"/>
  <c r="H102" i="20" a="1"/>
  <c r="H102" i="20" s="1"/>
  <c r="G102" i="20" a="1"/>
  <c r="G102" i="20" s="1"/>
  <c r="F102" i="20" a="1"/>
  <c r="F102" i="20" s="1"/>
  <c r="E102" i="20" a="1"/>
  <c r="E102" i="20" s="1"/>
  <c r="I101" i="20" a="1"/>
  <c r="I101" i="20" s="1"/>
  <c r="H101" i="20" a="1"/>
  <c r="H101" i="20" s="1"/>
  <c r="G101" i="20" a="1"/>
  <c r="G101" i="20" s="1"/>
  <c r="F101" i="20" a="1"/>
  <c r="F101" i="20" s="1"/>
  <c r="E101" i="20" a="1"/>
  <c r="E101" i="20" s="1"/>
  <c r="I100" i="20" a="1"/>
  <c r="I100" i="20" s="1"/>
  <c r="H100" i="20" a="1"/>
  <c r="H100" i="20" s="1"/>
  <c r="G100" i="20" a="1"/>
  <c r="G100" i="20" s="1"/>
  <c r="F100" i="20" a="1"/>
  <c r="F100" i="20" s="1"/>
  <c r="E100" i="20" a="1"/>
  <c r="E100" i="20" s="1"/>
  <c r="I99" i="20" a="1"/>
  <c r="I99" i="20" s="1"/>
  <c r="H99" i="20" a="1"/>
  <c r="H99" i="20" s="1"/>
  <c r="G99" i="20" a="1"/>
  <c r="G99" i="20" s="1"/>
  <c r="F99" i="20" a="1"/>
  <c r="F99" i="20" s="1"/>
  <c r="E99" i="20" a="1"/>
  <c r="E99" i="20" s="1"/>
  <c r="I98" i="20" a="1"/>
  <c r="I98" i="20" s="1"/>
  <c r="H98" i="20" a="1"/>
  <c r="H98" i="20" s="1"/>
  <c r="G98" i="20" a="1"/>
  <c r="G98" i="20" s="1"/>
  <c r="F98" i="20" a="1"/>
  <c r="F98" i="20" s="1"/>
  <c r="E98" i="20" a="1"/>
  <c r="E98" i="20" s="1"/>
  <c r="I97" i="20" a="1"/>
  <c r="I97" i="20" s="1"/>
  <c r="H97" i="20" a="1"/>
  <c r="H97" i="20" s="1"/>
  <c r="G97" i="20" a="1"/>
  <c r="G97" i="20" s="1"/>
  <c r="F97" i="20" a="1"/>
  <c r="F97" i="20" s="1"/>
  <c r="E97" i="20" a="1"/>
  <c r="E97" i="20" s="1"/>
  <c r="I96" i="20" a="1"/>
  <c r="I96" i="20" s="1"/>
  <c r="H96" i="20" a="1"/>
  <c r="H96" i="20" s="1"/>
  <c r="G96" i="20" a="1"/>
  <c r="G96" i="20" s="1"/>
  <c r="F96" i="20" a="1"/>
  <c r="F96" i="20" s="1"/>
  <c r="E96" i="20" a="1"/>
  <c r="E96" i="20" s="1"/>
  <c r="I95" i="20" a="1"/>
  <c r="I95" i="20" s="1"/>
  <c r="H95" i="20" a="1"/>
  <c r="H95" i="20" s="1"/>
  <c r="G95" i="20" a="1"/>
  <c r="G95" i="20" s="1"/>
  <c r="F95" i="20" a="1"/>
  <c r="F95" i="20" s="1"/>
  <c r="E95" i="20" a="1"/>
  <c r="E95" i="20" s="1"/>
  <c r="I94" i="20" a="1"/>
  <c r="I94" i="20" s="1"/>
  <c r="H94" i="20" a="1"/>
  <c r="H94" i="20" s="1"/>
  <c r="G94" i="20" a="1"/>
  <c r="G94" i="20" s="1"/>
  <c r="F94" i="20" a="1"/>
  <c r="F94" i="20" s="1"/>
  <c r="E94" i="20" a="1"/>
  <c r="E94" i="20" s="1"/>
  <c r="I93" i="20" a="1"/>
  <c r="I93" i="20" s="1"/>
  <c r="H93" i="20" a="1"/>
  <c r="H93" i="20" s="1"/>
  <c r="G93" i="20" a="1"/>
  <c r="G93" i="20" s="1"/>
  <c r="F93" i="20" a="1"/>
  <c r="F93" i="20" s="1"/>
  <c r="E93" i="20" a="1"/>
  <c r="E93" i="20" s="1"/>
  <c r="I92" i="20" a="1"/>
  <c r="I92" i="20" s="1"/>
  <c r="H92" i="20" a="1"/>
  <c r="H92" i="20" s="1"/>
  <c r="G92" i="20" a="1"/>
  <c r="G92" i="20" s="1"/>
  <c r="F92" i="20" a="1"/>
  <c r="F92" i="20" s="1"/>
  <c r="E92" i="20" a="1"/>
  <c r="E92" i="20" s="1"/>
  <c r="I91" i="20" a="1"/>
  <c r="I91" i="20" s="1"/>
  <c r="H91" i="20" a="1"/>
  <c r="H91" i="20" s="1"/>
  <c r="G91" i="20" a="1"/>
  <c r="G91" i="20" s="1"/>
  <c r="F91" i="20" a="1"/>
  <c r="F91" i="20" s="1"/>
  <c r="E91" i="20" a="1"/>
  <c r="E91" i="20" s="1"/>
  <c r="I90" i="20" a="1"/>
  <c r="I90" i="20" s="1"/>
  <c r="H90" i="20" a="1"/>
  <c r="H90" i="20" s="1"/>
  <c r="G90" i="20" a="1"/>
  <c r="G90" i="20" s="1"/>
  <c r="F90" i="20" a="1"/>
  <c r="F90" i="20" s="1"/>
  <c r="E90" i="20" a="1"/>
  <c r="E90" i="20" s="1"/>
  <c r="D154" i="20" a="1"/>
  <c r="D154" i="20" s="1"/>
  <c r="D153" i="20" a="1"/>
  <c r="D153" i="20" s="1"/>
  <c r="D152" i="20" a="1"/>
  <c r="D152" i="20" s="1"/>
  <c r="D151" i="20" a="1"/>
  <c r="D151" i="20" s="1"/>
  <c r="D150" i="20" a="1"/>
  <c r="D150" i="20" s="1"/>
  <c r="D149" i="20" a="1"/>
  <c r="D149" i="20" s="1"/>
  <c r="D148" i="20" a="1"/>
  <c r="D148" i="20" s="1"/>
  <c r="D147" i="20" a="1"/>
  <c r="D147" i="20" s="1"/>
  <c r="D146" i="20" a="1"/>
  <c r="D146" i="20" s="1"/>
  <c r="D145" i="20" a="1"/>
  <c r="D145" i="20" s="1"/>
  <c r="D144" i="20" a="1"/>
  <c r="D144" i="20" s="1"/>
  <c r="D143" i="20" a="1"/>
  <c r="D143" i="20" s="1"/>
  <c r="D142" i="20" a="1"/>
  <c r="D142" i="20" s="1"/>
  <c r="D141" i="20" a="1"/>
  <c r="D141" i="20" s="1"/>
  <c r="D140" i="20" a="1"/>
  <c r="D140" i="20" s="1"/>
  <c r="D139" i="20" a="1"/>
  <c r="D139" i="20" s="1"/>
  <c r="D138" i="20" a="1"/>
  <c r="D138" i="20" s="1"/>
  <c r="D137" i="20" a="1"/>
  <c r="D137" i="20" s="1"/>
  <c r="D136" i="20" a="1"/>
  <c r="D136" i="20" s="1"/>
  <c r="D135" i="20" a="1"/>
  <c r="D135" i="20" s="1"/>
  <c r="D134" i="20" a="1"/>
  <c r="D134" i="20" s="1"/>
  <c r="D133" i="20" a="1"/>
  <c r="D133" i="20" s="1"/>
  <c r="D132" i="20" a="1"/>
  <c r="D132" i="20" s="1"/>
  <c r="D131" i="20" a="1"/>
  <c r="D131" i="20" s="1"/>
  <c r="D130" i="20" a="1"/>
  <c r="D130" i="20" s="1"/>
  <c r="D129" i="20" a="1"/>
  <c r="D129" i="20" s="1"/>
  <c r="D128" i="20" a="1"/>
  <c r="D128" i="20" s="1"/>
  <c r="D127" i="20" a="1"/>
  <c r="D127" i="20" s="1"/>
  <c r="D126" i="20" a="1"/>
  <c r="D126" i="20" s="1"/>
  <c r="D125" i="20" a="1"/>
  <c r="D125" i="20" s="1"/>
  <c r="D124" i="20" a="1"/>
  <c r="D124" i="20" s="1"/>
  <c r="D123" i="20" a="1"/>
  <c r="D123" i="20" s="1"/>
  <c r="D122" i="20" a="1"/>
  <c r="D122" i="20" s="1"/>
  <c r="D121" i="20" a="1"/>
  <c r="D121" i="20" s="1"/>
  <c r="D120" i="20" a="1"/>
  <c r="D120" i="20" s="1"/>
  <c r="D119" i="20" a="1"/>
  <c r="D119" i="20" s="1"/>
  <c r="D118" i="20" a="1"/>
  <c r="D118" i="20" s="1"/>
  <c r="D117" i="20" a="1"/>
  <c r="D117" i="20" s="1"/>
  <c r="D116" i="20" a="1"/>
  <c r="D116" i="20" s="1"/>
  <c r="D115" i="20" a="1"/>
  <c r="D115" i="20" s="1"/>
  <c r="D114" i="20" a="1"/>
  <c r="D114" i="20" s="1"/>
  <c r="D113" i="20" a="1"/>
  <c r="D113" i="20" s="1"/>
  <c r="D112" i="20" a="1"/>
  <c r="D112" i="20" s="1"/>
  <c r="D111" i="20" a="1"/>
  <c r="D111" i="20" s="1"/>
  <c r="D110" i="20" a="1"/>
  <c r="D110" i="20" s="1"/>
  <c r="D109" i="20" a="1"/>
  <c r="D109" i="20" s="1"/>
  <c r="D108" i="20" a="1"/>
  <c r="D108" i="20" s="1"/>
  <c r="D107" i="20" a="1"/>
  <c r="D107" i="20" s="1"/>
  <c r="D106" i="20" a="1"/>
  <c r="D106" i="20" s="1"/>
  <c r="D105" i="20" a="1"/>
  <c r="D105" i="20" s="1"/>
  <c r="D104" i="20" a="1"/>
  <c r="D104" i="20" s="1"/>
  <c r="D103" i="20" a="1"/>
  <c r="D103" i="20" s="1"/>
  <c r="D102" i="20" a="1"/>
  <c r="D102" i="20" s="1"/>
  <c r="D101" i="20" a="1"/>
  <c r="D101" i="20" s="1"/>
  <c r="D100" i="20" a="1"/>
  <c r="D100" i="20" s="1"/>
  <c r="D99" i="20" a="1"/>
  <c r="D99" i="20" s="1"/>
  <c r="D98" i="20" a="1"/>
  <c r="D98" i="20" s="1"/>
  <c r="D97" i="20" a="1"/>
  <c r="D97" i="20" s="1"/>
  <c r="D96" i="20" a="1"/>
  <c r="D96" i="20" s="1"/>
  <c r="D95" i="20" a="1"/>
  <c r="D95" i="20" s="1"/>
  <c r="D94" i="20" a="1"/>
  <c r="D94" i="20" s="1"/>
  <c r="D93" i="20" a="1"/>
  <c r="D93" i="20" s="1"/>
  <c r="D92" i="20" a="1"/>
  <c r="D92" i="20" s="1"/>
  <c r="D91" i="20" a="1"/>
  <c r="D91" i="20" s="1"/>
  <c r="D90" i="20" a="1"/>
  <c r="D90" i="20" s="1"/>
  <c r="I247" i="20" a="1"/>
  <c r="I247" i="20" s="1"/>
  <c r="H247" i="20" a="1"/>
  <c r="H247" i="20" s="1"/>
  <c r="G247" i="20" a="1"/>
  <c r="G247" i="20" s="1"/>
  <c r="F247" i="20" a="1"/>
  <c r="F247" i="20" s="1"/>
  <c r="E247" i="20" a="1"/>
  <c r="E247" i="20" s="1"/>
  <c r="D247" i="20" a="1"/>
  <c r="D247" i="20" s="1"/>
  <c r="I246" i="20" a="1"/>
  <c r="I246" i="20" s="1"/>
  <c r="H246" i="20" a="1"/>
  <c r="H246" i="20" s="1"/>
  <c r="G246" i="20" a="1"/>
  <c r="G246" i="20" s="1"/>
  <c r="F246" i="20" a="1"/>
  <c r="F246" i="20" s="1"/>
  <c r="E246" i="20" a="1"/>
  <c r="E246" i="20" s="1"/>
  <c r="D246" i="20" a="1"/>
  <c r="D246" i="20" s="1"/>
  <c r="I245" i="20" a="1"/>
  <c r="I245" i="20" s="1"/>
  <c r="H245" i="20" a="1"/>
  <c r="H245" i="20" s="1"/>
  <c r="G245" i="20" a="1"/>
  <c r="G245" i="20" s="1"/>
  <c r="F245" i="20" a="1"/>
  <c r="F245" i="20" s="1"/>
  <c r="E245" i="20" a="1"/>
  <c r="E245" i="20" s="1"/>
  <c r="D245" i="20" a="1"/>
  <c r="D245" i="20" s="1"/>
  <c r="I244" i="20" a="1"/>
  <c r="I244" i="20" s="1"/>
  <c r="H244" i="20" a="1"/>
  <c r="H244" i="20" s="1"/>
  <c r="G244" i="20" a="1"/>
  <c r="G244" i="20" s="1"/>
  <c r="F244" i="20" a="1"/>
  <c r="F244" i="20" s="1"/>
  <c r="E244" i="20" a="1"/>
  <c r="E244" i="20" s="1"/>
  <c r="D244" i="20" a="1"/>
  <c r="D244" i="20" s="1"/>
  <c r="I243" i="20" a="1"/>
  <c r="I243" i="20" s="1"/>
  <c r="H243" i="20" a="1"/>
  <c r="H243" i="20" s="1"/>
  <c r="G243" i="20" a="1"/>
  <c r="G243" i="20" s="1"/>
  <c r="F243" i="20" a="1"/>
  <c r="F243" i="20" s="1"/>
  <c r="M243" i="20" s="1"/>
  <c r="E243" i="20" a="1"/>
  <c r="E243" i="20" s="1"/>
  <c r="L243" i="20" s="1"/>
  <c r="D243" i="20" a="1"/>
  <c r="D243" i="20" s="1"/>
  <c r="I242" i="20" a="1"/>
  <c r="I242" i="20" s="1"/>
  <c r="H242" i="20" a="1"/>
  <c r="H242" i="20" s="1"/>
  <c r="G242" i="20" a="1"/>
  <c r="G242" i="20" s="1"/>
  <c r="F242" i="20" a="1"/>
  <c r="F242" i="20" s="1"/>
  <c r="M242" i="20" s="1"/>
  <c r="E242" i="20" a="1"/>
  <c r="E242" i="20" s="1"/>
  <c r="F148" i="19" s="1" a="1"/>
  <c r="F148" i="19" s="1"/>
  <c r="D242" i="20" a="1"/>
  <c r="D242" i="20" s="1"/>
  <c r="E179" i="19"/>
  <c r="I179" i="19" s="1" a="1"/>
  <c r="I179" i="19" s="1"/>
  <c r="E178" i="19"/>
  <c r="I178" i="19" s="1" a="1"/>
  <c r="I178" i="19" s="1"/>
  <c r="E177" i="19"/>
  <c r="I177" i="19" s="1" a="1"/>
  <c r="I177" i="19" s="1"/>
  <c r="E140" i="19"/>
  <c r="E139" i="19"/>
  <c r="E138" i="19"/>
  <c r="I138" i="19" s="1" a="1"/>
  <c r="I138" i="19" s="1"/>
  <c r="I137" i="19" a="1"/>
  <c r="I137" i="19" s="1"/>
  <c r="E496" i="19"/>
  <c r="E495" i="19"/>
  <c r="E494" i="19"/>
  <c r="E485" i="19"/>
  <c r="E484" i="19"/>
  <c r="E483" i="19"/>
  <c r="E482" i="19"/>
  <c r="E481" i="19"/>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D9" i="22" s="1"/>
  <c r="E188" i="61" a="1"/>
  <c r="E188" i="61" s="1"/>
  <c r="D188" i="61" a="1"/>
  <c r="D188" i="61" s="1"/>
  <c r="H187" i="61" a="1"/>
  <c r="H187" i="61" s="1"/>
  <c r="G187" i="61" a="1"/>
  <c r="G187" i="61" s="1"/>
  <c r="F187" i="61" a="1"/>
  <c r="F187" i="61" s="1"/>
  <c r="D8" i="22"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30" i="10"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G591" i="19"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A8" i="61"/>
  <c r="F7" i="61" a="1"/>
  <c r="F7" i="61" s="1"/>
  <c r="E7" i="61" a="1"/>
  <c r="E7" i="61" s="1"/>
  <c r="D7" i="61" a="1"/>
  <c r="D7" i="61" s="1"/>
  <c r="A7" i="61"/>
  <c r="D5" i="61" a="1"/>
  <c r="D5" i="61" s="1"/>
  <c r="A3" i="6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P18" i="32"/>
  <c r="P17" i="32"/>
  <c r="E29" i="10"/>
  <c r="E13" i="10"/>
  <c r="A15" i="48"/>
  <c r="A14" i="48"/>
  <c r="A13" i="48"/>
  <c r="A12" i="48"/>
  <c r="H16" i="52" a="1"/>
  <c r="H16" i="52" s="1"/>
  <c r="H15" i="52" a="1"/>
  <c r="H15" i="52" s="1"/>
  <c r="H14" i="52" a="1"/>
  <c r="H14" i="52" s="1"/>
  <c r="H13" i="52" a="1"/>
  <c r="H13" i="52" s="1"/>
  <c r="H12" i="52" a="1"/>
  <c r="H12" i="52" s="1"/>
  <c r="H11" i="52" a="1"/>
  <c r="H11" i="52" s="1"/>
  <c r="H10" i="52" a="1"/>
  <c r="H10" i="52" s="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E20" i="41"/>
  <c r="E22" i="41"/>
  <c r="E28" i="41"/>
  <c r="E36" i="41"/>
  <c r="E35" i="41"/>
  <c r="N593" i="19" a="1"/>
  <c r="N593" i="19" s="1"/>
  <c r="L590" i="19" a="1"/>
  <c r="L590" i="19" s="1"/>
  <c r="P584" i="19" a="1"/>
  <c r="P584" i="19" s="1"/>
  <c r="L584" i="19" a="1"/>
  <c r="L584" i="19" s="1"/>
  <c r="E523" i="19"/>
  <c r="O42" i="34"/>
  <c r="E7" i="34"/>
  <c r="O7" i="34"/>
  <c r="E42" i="34"/>
  <c r="E79" i="34"/>
  <c r="E538" i="19"/>
  <c r="E555" i="19"/>
  <c r="O79" i="34"/>
  <c r="E33" i="10" l="1"/>
  <c r="G9" i="23"/>
  <c r="O591" i="19"/>
  <c r="E31" i="10"/>
  <c r="E32" i="10" s="1"/>
  <c r="F151" i="19" a="1"/>
  <c r="F151" i="19" s="1"/>
  <c r="I151" i="19" s="1" a="1"/>
  <c r="I151" i="19" s="1"/>
  <c r="G8" i="23"/>
  <c r="F150" i="19" a="1"/>
  <c r="F150" i="19" s="1"/>
  <c r="G150" i="19" s="1" a="1"/>
  <c r="G150" i="19" s="1"/>
  <c r="F152" i="19" a="1"/>
  <c r="F152" i="19" s="1"/>
  <c r="I152" i="19" s="1" a="1"/>
  <c r="I152" i="19" s="1"/>
  <c r="F153" i="19" a="1"/>
  <c r="F153" i="19" s="1"/>
  <c r="G153" i="19" s="1" a="1"/>
  <c r="G153" i="19" s="1"/>
  <c r="L242" i="20"/>
  <c r="F149" i="19" a="1"/>
  <c r="F149" i="19" s="1"/>
  <c r="I149" i="19" s="1" a="1"/>
  <c r="I149" i="19" s="1"/>
  <c r="G148" i="19" a="1"/>
  <c r="G148" i="19" s="1"/>
  <c r="I148" i="19" a="1"/>
  <c r="I148" i="19" s="1"/>
  <c r="H51" i="61"/>
  <c r="H53" i="61"/>
  <c r="H48" i="61"/>
  <c r="H49" i="61"/>
  <c r="H50" i="61"/>
  <c r="J15" i="34" s="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H185" i="38"/>
  <c r="H179" i="38"/>
  <c r="H168" i="38"/>
  <c r="H144" i="38"/>
  <c r="H138" i="38"/>
  <c r="H127" i="38"/>
  <c r="H105" i="38" a="1"/>
  <c r="H105" i="38" s="1"/>
  <c r="D105" i="38" a="1"/>
  <c r="D105" i="38" s="1"/>
  <c r="E103" i="38" a="1"/>
  <c r="E103" i="38" s="1"/>
  <c r="E102" i="38" a="1"/>
  <c r="E102" i="38" s="1"/>
  <c r="D98" i="38" a="1"/>
  <c r="D98" i="38" s="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O61" i="34" a="1"/>
  <c r="E7" i="38" a="1"/>
  <c r="O26" i="34" a="1"/>
  <c r="E99" i="38" a="1"/>
  <c r="I153" i="19" l="1" a="1"/>
  <c r="I153" i="19" s="1"/>
  <c r="G151" i="19" a="1"/>
  <c r="G151" i="19" s="1"/>
  <c r="I150" i="19" a="1"/>
  <c r="I150" i="19" s="1"/>
  <c r="J88" i="34"/>
  <c r="G152" i="19" a="1"/>
  <c r="G152" i="19" s="1"/>
  <c r="G149" i="19" a="1"/>
  <c r="G149" i="19" s="1"/>
  <c r="I50" i="34"/>
  <c r="O61" i="34"/>
  <c r="O26" i="34"/>
  <c r="E99" i="38"/>
  <c r="E7" i="38"/>
  <c r="F192" i="38"/>
  <c r="F151" i="38"/>
  <c r="E155" i="19" l="1"/>
  <c r="E156" i="19"/>
  <c r="E68" i="36"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a="1"/>
  <c r="D15" i="36" s="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0" i="34"/>
  <c r="I68" i="34" s="1"/>
  <c r="I49" i="34"/>
  <c r="J16" i="34"/>
  <c r="I568" i="19"/>
  <c r="I564" i="19"/>
  <c r="I563" i="19"/>
  <c r="I562" i="19"/>
  <c r="I546" i="19"/>
  <c r="I544"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G66" i="38" a="1"/>
  <c r="G66" i="38" s="1"/>
  <c r="I66" i="38" s="1" a="1"/>
  <c r="I66" i="38" s="1"/>
  <c r="H164" i="38" s="1"/>
  <c r="G64" i="38" a="1"/>
  <c r="G64"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G62" i="38" a="1"/>
  <c r="G62" i="38" s="1"/>
  <c r="G92" i="38" a="1"/>
  <c r="G92" i="38" s="1"/>
  <c r="G91" i="38" a="1"/>
  <c r="G91"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D36" i="41"/>
  <c r="D35" i="41"/>
  <c r="D28" i="41"/>
  <c r="D27" i="41"/>
  <c r="D26" i="41"/>
  <c r="D25" i="41"/>
  <c r="D24" i="41"/>
  <c r="D14" i="41"/>
  <c r="D13" i="41"/>
  <c r="D12" i="41"/>
  <c r="D11" i="41"/>
  <c r="I91" i="38" l="1" a="1"/>
  <c r="I91" i="38" s="1"/>
  <c r="H189" i="38" s="1"/>
  <c r="I75" i="38" a="1"/>
  <c r="I75" i="38" s="1"/>
  <c r="H173" i="38" s="1"/>
  <c r="I68" i="38" a="1"/>
  <c r="I68" i="38" s="1"/>
  <c r="H166" i="38" s="1"/>
  <c r="I166" i="38" s="1"/>
  <c r="K166" i="38" s="1" a="1"/>
  <c r="K166" i="38" s="1"/>
  <c r="I64" i="38" a="1"/>
  <c r="I64" i="38" s="1"/>
  <c r="H162" i="38" s="1"/>
  <c r="I162" i="38" s="1"/>
  <c r="K162" i="38" s="1" a="1"/>
  <c r="K162" i="38" s="1"/>
  <c r="I78" i="38" a="1"/>
  <c r="I78" i="38" s="1"/>
  <c r="H176" i="38" s="1"/>
  <c r="I176" i="38" s="1"/>
  <c r="K176" i="38" s="1" a="1"/>
  <c r="K176" i="38" s="1"/>
  <c r="I79" i="38" a="1"/>
  <c r="I79" i="38" s="1"/>
  <c r="H177" i="38" s="1"/>
  <c r="I177" i="38" s="1"/>
  <c r="K177" i="38" s="1" a="1"/>
  <c r="K177" i="38" s="1"/>
  <c r="I89" i="38" a="1"/>
  <c r="I89" i="38" s="1"/>
  <c r="H187" i="38" s="1"/>
  <c r="I76" i="38" a="1"/>
  <c r="I76" i="38" s="1"/>
  <c r="H174" i="38" s="1"/>
  <c r="I174" i="38" s="1"/>
  <c r="K174" i="38" s="1" a="1"/>
  <c r="K174" i="38" s="1"/>
  <c r="I83" i="38" a="1"/>
  <c r="I83" i="38" s="1"/>
  <c r="H181" i="38" s="1"/>
  <c r="I41" i="38" a="1"/>
  <c r="I41" i="38" s="1"/>
  <c r="H136" i="38" s="1"/>
  <c r="I136" i="38" s="1"/>
  <c r="K136" i="38" s="1" a="1"/>
  <c r="K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J628" i="19" a="1"/>
  <c r="J628" i="19" s="1"/>
  <c r="F642" i="19" a="1"/>
  <c r="F642" i="19" s="1"/>
  <c r="E642" i="19" a="1"/>
  <c r="E642" i="19" s="1"/>
  <c r="D642" i="19" a="1"/>
  <c r="D642" i="19" s="1"/>
  <c r="F624" i="19" a="1"/>
  <c r="F624" i="19" s="1"/>
  <c r="E624" i="19" a="1"/>
  <c r="E624" i="19" s="1"/>
  <c r="D624" i="19" a="1"/>
  <c r="D624" i="19" s="1"/>
  <c r="G616" i="19" a="1"/>
  <c r="G616" i="19" s="1"/>
  <c r="D616" i="19" a="1"/>
  <c r="D616" i="19" s="1"/>
  <c r="E614" i="19" a="1"/>
  <c r="E614" i="19" s="1"/>
  <c r="E613" i="19" a="1"/>
  <c r="E613" i="19" s="1"/>
  <c r="D608" i="19" a="1"/>
  <c r="D608" i="19" s="1"/>
  <c r="D607" i="19" a="1"/>
  <c r="D607" i="19" s="1"/>
  <c r="E609" i="19" a="1"/>
  <c r="J642" i="19" l="1" a="1"/>
  <c r="J642" i="19" s="1"/>
  <c r="J624" i="19" a="1"/>
  <c r="J624" i="19" s="1"/>
  <c r="J650" i="19" a="1"/>
  <c r="J650" i="19" s="1"/>
  <c r="I138" i="38"/>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51" i="19" a="1"/>
  <c r="J651" i="19" s="1"/>
  <c r="J630" i="19" a="1"/>
  <c r="J630" i="19" s="1"/>
  <c r="J632" i="19" a="1"/>
  <c r="J632" i="19" s="1"/>
  <c r="J633" i="19" a="1"/>
  <c r="J633" i="19" s="1"/>
  <c r="J643" i="19" a="1"/>
  <c r="J643" i="19" s="1"/>
  <c r="J644" i="19" a="1"/>
  <c r="J644" i="19" s="1"/>
  <c r="J645" i="19" a="1"/>
  <c r="J645" i="19" s="1"/>
  <c r="J646" i="19" a="1"/>
  <c r="J646" i="19" s="1"/>
  <c r="J629" i="19" a="1"/>
  <c r="J629" i="19" s="1"/>
  <c r="J631" i="19" a="1"/>
  <c r="J631" i="19" s="1"/>
  <c r="J625" i="19" a="1"/>
  <c r="J625" i="19" s="1"/>
  <c r="J647" i="19" a="1"/>
  <c r="J647" i="19" s="1"/>
  <c r="J626" i="19" a="1"/>
  <c r="J626" i="19" s="1"/>
  <c r="J648" i="19" a="1"/>
  <c r="J648" i="19" s="1"/>
  <c r="J627" i="19" a="1"/>
  <c r="J627" i="19" s="1"/>
  <c r="J649" i="19" a="1"/>
  <c r="J649" i="19" s="1"/>
  <c r="D34" i="41" a="1"/>
  <c r="D34" i="41" s="1"/>
  <c r="E609" i="19"/>
  <c r="E601" i="19" a="1"/>
  <c r="E601" i="19" s="1"/>
  <c r="F603" i="19" s="1"/>
  <c r="E600" i="19" a="1"/>
  <c r="E600" i="19" s="1"/>
  <c r="D598" i="19" a="1"/>
  <c r="D598" i="19" s="1"/>
  <c r="D597" i="19" a="1"/>
  <c r="D597" i="19" s="1"/>
  <c r="E192" i="38" l="1"/>
  <c r="E33" i="41" s="1"/>
  <c r="E151" i="38"/>
  <c r="E654" i="19"/>
  <c r="F36" i="41" s="1"/>
  <c r="E636" i="19"/>
  <c r="D33" i="41" a="1"/>
  <c r="D33" i="41" s="1"/>
  <c r="E603" i="19" l="1"/>
  <c r="F35" i="41"/>
  <c r="E657" i="19"/>
  <c r="F33" i="41"/>
  <c r="H584" i="19" a="1"/>
  <c r="H584" i="19" s="1"/>
  <c r="D584" i="19" a="1"/>
  <c r="D584" i="19" s="1"/>
  <c r="E580" i="19" a="1"/>
  <c r="E580" i="19" s="1"/>
  <c r="E579" i="19" a="1"/>
  <c r="E579" i="19" s="1"/>
  <c r="D575" i="19" a="1"/>
  <c r="D575" i="19" s="1"/>
  <c r="D574" i="19" a="1"/>
  <c r="D574"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90" i="19" a="1"/>
  <c r="D590" i="19" s="1"/>
  <c r="F593" i="19" a="1"/>
  <c r="F593" i="19" s="1"/>
  <c r="H13" i="34" a="1"/>
  <c r="H13" i="34" s="1"/>
  <c r="D13" i="34" a="1"/>
  <c r="D13" i="34" s="1"/>
  <c r="E11" i="34" a="1"/>
  <c r="E11" i="34" s="1"/>
  <c r="E10" i="34" a="1"/>
  <c r="E10" i="34" s="1"/>
  <c r="D6" i="34" a="1"/>
  <c r="D6" i="34" s="1"/>
  <c r="D5" i="34" a="1"/>
  <c r="D5" i="34" s="1"/>
  <c r="E576" i="19" a="1"/>
  <c r="E26" i="34" a="1"/>
  <c r="E61" i="34" a="1"/>
  <c r="O19" i="34" l="1" a="1"/>
  <c r="O19" i="34" s="1"/>
  <c r="F19" i="34"/>
  <c r="P19" i="34"/>
  <c r="F55" i="34"/>
  <c r="P55" i="34"/>
  <c r="F588" i="19"/>
  <c r="N588" i="19"/>
  <c r="F74" i="34"/>
  <c r="P74" i="34"/>
  <c r="F90" i="34"/>
  <c r="P90" i="34"/>
  <c r="D32" i="41" a="1"/>
  <c r="D32" i="41" s="1"/>
  <c r="E576" i="19"/>
  <c r="D85" i="34"/>
  <c r="E61" i="34"/>
  <c r="E26" i="34"/>
  <c r="G562" i="19" l="1" a="1"/>
  <c r="G562" i="19" s="1"/>
  <c r="D562" i="19" a="1"/>
  <c r="D562" i="19" s="1"/>
  <c r="E560" i="19" a="1"/>
  <c r="E560" i="19" s="1"/>
  <c r="E559" i="19" a="1"/>
  <c r="E559" i="19" s="1"/>
  <c r="D554" i="19" a="1"/>
  <c r="D554" i="19" s="1"/>
  <c r="D553" i="19" a="1"/>
  <c r="D553" i="19" s="1"/>
  <c r="D552" i="19" a="1"/>
  <c r="D552" i="19" s="1"/>
  <c r="G544" i="19" a="1"/>
  <c r="G544" i="19" s="1"/>
  <c r="D544" i="19" a="1"/>
  <c r="D544" i="19" s="1"/>
  <c r="E542" i="19" a="1"/>
  <c r="E542" i="19" s="1"/>
  <c r="E541" i="19" a="1"/>
  <c r="E541" i="19" s="1"/>
  <c r="D537" i="19" a="1"/>
  <c r="D537" i="19" s="1"/>
  <c r="D536" i="19" a="1"/>
  <c r="D536" i="19" s="1"/>
  <c r="D31" i="41" l="1" a="1"/>
  <c r="D31" i="41" s="1"/>
  <c r="D30" i="41" a="1"/>
  <c r="D30" i="41" s="1"/>
  <c r="G530" i="19" l="1" a="1"/>
  <c r="G530" i="19" s="1"/>
  <c r="D530" i="19" a="1"/>
  <c r="D530" i="19" s="1"/>
  <c r="E528" i="19" a="1"/>
  <c r="E528" i="19" s="1"/>
  <c r="E527" i="19" a="1"/>
  <c r="E527" i="19" s="1"/>
  <c r="D522" i="19" a="1"/>
  <c r="D522" i="19" s="1"/>
  <c r="D521" i="19" a="1"/>
  <c r="D521"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L7" i="31" a="1"/>
  <c r="E7" i="31" a="1"/>
  <c r="E7" i="32" a="1"/>
  <c r="L8" i="32"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68" i="31" s="1"/>
  <c r="E45" i="31"/>
  <c r="E43" i="31"/>
  <c r="E51" i="32"/>
  <c r="E44" i="32"/>
  <c r="E61" i="31"/>
  <c r="E45" i="32"/>
  <c r="E46" i="31"/>
  <c r="E52" i="32"/>
  <c r="E58" i="32" s="1"/>
  <c r="I531" i="19" s="1"/>
  <c r="E63" i="31"/>
  <c r="E50" i="32"/>
  <c r="E49" i="32"/>
  <c r="E55" i="32" s="1"/>
  <c r="E64" i="31"/>
  <c r="E67" i="31" l="1"/>
  <c r="E69" i="31"/>
  <c r="E57" i="32"/>
  <c r="E56" i="32"/>
  <c r="E70" i="31"/>
  <c r="I530" i="19" l="1"/>
  <c r="E533" i="19" s="1" a="1"/>
  <c r="E533" i="19" s="1"/>
  <c r="I496" i="19" a="1"/>
  <c r="I496" i="19" s="1"/>
  <c r="I494" i="19" a="1"/>
  <c r="I494" i="19" s="1"/>
  <c r="I485" i="19" a="1"/>
  <c r="I485" i="19" s="1"/>
  <c r="I483" i="19" a="1"/>
  <c r="I483" i="19" s="1"/>
  <c r="I481" i="19" a="1"/>
  <c r="I481" i="19" s="1"/>
  <c r="G439" i="19" a="1"/>
  <c r="G439" i="19" s="1"/>
  <c r="D439" i="19" a="1"/>
  <c r="D439" i="19" s="1"/>
  <c r="E437" i="19" a="1"/>
  <c r="E437" i="19" s="1"/>
  <c r="E436" i="19" a="1"/>
  <c r="E436" i="19" s="1"/>
  <c r="D431" i="19" a="1"/>
  <c r="D431" i="19" s="1"/>
  <c r="D430" i="19" a="1"/>
  <c r="D430" i="19" s="1"/>
  <c r="F414" i="19" a="1"/>
  <c r="F414" i="19" s="1"/>
  <c r="E414" i="19" a="1"/>
  <c r="E414" i="19" s="1"/>
  <c r="J414" i="19" s="1" a="1"/>
  <c r="J414" i="19" s="1"/>
  <c r="D414" i="19" a="1"/>
  <c r="D414" i="19" s="1"/>
  <c r="F407" i="19" a="1"/>
  <c r="F407" i="19" s="1"/>
  <c r="D407" i="19" a="1"/>
  <c r="D407" i="19" s="1"/>
  <c r="E405" i="19" a="1"/>
  <c r="E405" i="19" s="1"/>
  <c r="E404" i="19" a="1"/>
  <c r="E404" i="19" s="1"/>
  <c r="D399" i="19" a="1"/>
  <c r="D399" i="19" s="1"/>
  <c r="D398" i="19" a="1"/>
  <c r="D398" i="19" s="1"/>
  <c r="D369" i="19" a="1"/>
  <c r="D369" i="19" s="1"/>
  <c r="F377" i="19" a="1"/>
  <c r="F377" i="19" s="1"/>
  <c r="D377" i="19" a="1"/>
  <c r="D377" i="19" s="1"/>
  <c r="E375" i="19" a="1"/>
  <c r="E375" i="19" s="1"/>
  <c r="E374" i="19" a="1"/>
  <c r="E374" i="19" s="1"/>
  <c r="D368" i="19" a="1"/>
  <c r="D368" i="19" s="1"/>
  <c r="D367" i="19" a="1"/>
  <c r="D367" i="19" s="1"/>
  <c r="G344" i="19" a="1"/>
  <c r="G344" i="19" s="1"/>
  <c r="D344" i="19" a="1"/>
  <c r="D344" i="19" s="1"/>
  <c r="E342" i="19" a="1"/>
  <c r="E342" i="19" s="1"/>
  <c r="E341" i="19" a="1"/>
  <c r="E341" i="19" s="1"/>
  <c r="D337" i="19" a="1"/>
  <c r="D337" i="19" s="1"/>
  <c r="D336" i="19" a="1"/>
  <c r="D336" i="19" s="1"/>
  <c r="F311" i="19" a="1"/>
  <c r="F311" i="19" s="1"/>
  <c r="D311" i="19" a="1"/>
  <c r="D311" i="19" s="1"/>
  <c r="E309" i="19" a="1"/>
  <c r="E309" i="19" s="1"/>
  <c r="E308" i="19" a="1"/>
  <c r="E308" i="19" s="1"/>
  <c r="D304" i="19" a="1"/>
  <c r="D304" i="19" s="1"/>
  <c r="D303" i="19" a="1"/>
  <c r="D303" i="19" s="1"/>
  <c r="G280" i="19" a="1"/>
  <c r="G280" i="19" s="1"/>
  <c r="D280" i="19" a="1"/>
  <c r="D280" i="19" s="1"/>
  <c r="E278" i="19" a="1"/>
  <c r="E278" i="19" s="1"/>
  <c r="E277" i="19" a="1"/>
  <c r="E277" i="19" s="1"/>
  <c r="D272" i="19" a="1"/>
  <c r="D272" i="19" s="1"/>
  <c r="D271" i="19" a="1"/>
  <c r="D271" i="19" s="1"/>
  <c r="G195" i="19" a="1"/>
  <c r="G195" i="19" s="1"/>
  <c r="D195" i="19" a="1"/>
  <c r="D195" i="19" s="1"/>
  <c r="G209" i="19" a="1"/>
  <c r="G209" i="19" s="1"/>
  <c r="D209" i="19" a="1"/>
  <c r="D209" i="19" s="1"/>
  <c r="G224" i="19" a="1"/>
  <c r="G224" i="19" s="1"/>
  <c r="D224" i="19" a="1"/>
  <c r="D224" i="19" s="1"/>
  <c r="E193" i="19" a="1"/>
  <c r="E193" i="19" s="1"/>
  <c r="E192" i="19" a="1"/>
  <c r="E192" i="19" s="1"/>
  <c r="D188" i="19" a="1"/>
  <c r="D188" i="19" s="1"/>
  <c r="D187" i="19" a="1"/>
  <c r="D187" i="19" s="1"/>
  <c r="D186" i="19" a="1"/>
  <c r="D186" i="19" s="1"/>
  <c r="D217" i="19" a="1"/>
  <c r="D217" i="19" s="1"/>
  <c r="E222" i="19" a="1"/>
  <c r="E222" i="19" s="1"/>
  <c r="E221" i="19" a="1"/>
  <c r="E221" i="19" s="1"/>
  <c r="D216" i="19" a="1"/>
  <c r="D216" i="19" s="1"/>
  <c r="D215" i="19" a="1"/>
  <c r="D215" i="19" s="1"/>
  <c r="D445" i="19" a="1"/>
  <c r="D445" i="19" s="1"/>
  <c r="E445" i="19" a="1"/>
  <c r="F445" i="19" a="1"/>
  <c r="J450" i="19" s="1" a="1"/>
  <c r="J450" i="19" s="1"/>
  <c r="E218" i="19" a="1"/>
  <c r="E189" i="19" a="1"/>
  <c r="E400" i="19" a="1"/>
  <c r="E338" i="19" a="1"/>
  <c r="E101" i="19" a="1"/>
  <c r="E203" i="19" a="1"/>
  <c r="E370" i="19" a="1"/>
  <c r="E433" i="19" a="1"/>
  <c r="E305" i="19" a="1"/>
  <c r="E273" i="19" a="1"/>
  <c r="E29" i="41" l="1"/>
  <c r="F29" i="41" s="1"/>
  <c r="D23" i="41" a="1"/>
  <c r="D23" i="41" s="1"/>
  <c r="D18" i="41" a="1"/>
  <c r="D18" i="41" s="1"/>
  <c r="D21" i="41" a="1"/>
  <c r="D21" i="41" s="1"/>
  <c r="D22" i="41" a="1"/>
  <c r="D22" i="41" s="1"/>
  <c r="D20" i="41" a="1"/>
  <c r="D20" i="41" s="1"/>
  <c r="D19" i="41" a="1"/>
  <c r="D19" i="41" s="1"/>
  <c r="E433" i="19"/>
  <c r="J423" i="19" a="1"/>
  <c r="J423" i="19" s="1"/>
  <c r="J446" i="19" a="1"/>
  <c r="J446" i="19" s="1"/>
  <c r="G315" i="19"/>
  <c r="J447" i="19" a="1"/>
  <c r="J447" i="19" s="1"/>
  <c r="J448" i="19" a="1"/>
  <c r="J448" i="19" s="1"/>
  <c r="J449" i="19" a="1"/>
  <c r="J449" i="19" s="1"/>
  <c r="K420" i="19"/>
  <c r="K421" i="19"/>
  <c r="J415" i="19" a="1"/>
  <c r="J415" i="19" s="1"/>
  <c r="J417" i="19" a="1"/>
  <c r="J417" i="19" s="1"/>
  <c r="K423" i="19"/>
  <c r="J419" i="19" a="1"/>
  <c r="J419" i="19" s="1"/>
  <c r="K415" i="19"/>
  <c r="J420" i="19" a="1"/>
  <c r="J420" i="19" s="1"/>
  <c r="J418" i="19" a="1"/>
  <c r="J418" i="19" s="1"/>
  <c r="K416" i="19"/>
  <c r="J421" i="19" a="1"/>
  <c r="J421" i="19" s="1"/>
  <c r="J416" i="19" a="1"/>
  <c r="J416" i="19" s="1"/>
  <c r="K419" i="19"/>
  <c r="J422" i="19" a="1"/>
  <c r="J422" i="19" s="1"/>
  <c r="E400" i="19"/>
  <c r="K417" i="19"/>
  <c r="K418" i="19"/>
  <c r="K422" i="19"/>
  <c r="K414" i="19"/>
  <c r="E370" i="19"/>
  <c r="E338" i="19"/>
  <c r="E305" i="19"/>
  <c r="E273" i="19"/>
  <c r="E189" i="19"/>
  <c r="E203" i="19"/>
  <c r="E218" i="19"/>
  <c r="F445" i="19"/>
  <c r="J445" i="19" s="1" a="1"/>
  <c r="J445" i="19" s="1"/>
  <c r="E445" i="19"/>
  <c r="E101" i="19"/>
  <c r="E104" i="19" a="1"/>
  <c r="E104" i="19" s="1"/>
  <c r="E105" i="19" a="1"/>
  <c r="E105" i="19" s="1"/>
  <c r="E120" i="19" a="1"/>
  <c r="M120" i="19" a="1"/>
  <c r="N120" i="19" a="1"/>
  <c r="N120" i="19" s="1"/>
  <c r="O120" i="19" a="1"/>
  <c r="Q120" i="19" a="1"/>
  <c r="R120" i="19" a="1"/>
  <c r="R120" i="19" s="1"/>
  <c r="S120" i="19" a="1"/>
  <c r="S120" i="19" s="1"/>
  <c r="U120" i="19" a="1"/>
  <c r="V120" i="19" a="1"/>
  <c r="V120" i="19" s="1"/>
  <c r="W120" i="19" a="1"/>
  <c r="W120" i="19" s="1"/>
  <c r="Y120" i="19" a="1"/>
  <c r="Z120" i="19" a="1"/>
  <c r="Z120" i="19" s="1"/>
  <c r="AA120" i="19" a="1"/>
  <c r="AA120" i="19" s="1"/>
  <c r="E166" i="19" a="1"/>
  <c r="F155" i="19" l="1"/>
  <c r="F156" i="19"/>
  <c r="I122" i="19" a="1"/>
  <c r="I122" i="19" s="1"/>
  <c r="I121" i="19" a="1"/>
  <c r="I121" i="19" s="1"/>
  <c r="Y120" i="19"/>
  <c r="F636" i="19"/>
  <c r="F635" i="19"/>
  <c r="F657" i="19"/>
  <c r="F653" i="19"/>
  <c r="F656" i="19"/>
  <c r="F654" i="19"/>
  <c r="E426" i="19"/>
  <c r="F22" i="41" s="1"/>
  <c r="U120" i="19"/>
  <c r="F142" i="19"/>
  <c r="F131" i="19"/>
  <c r="F143" i="19"/>
  <c r="F159" i="19"/>
  <c r="F160" i="19"/>
  <c r="F132" i="19"/>
  <c r="M120" i="19"/>
  <c r="E120" i="19"/>
  <c r="Q120" i="19"/>
  <c r="O120" i="19"/>
  <c r="E166" i="19"/>
  <c r="E169" i="19" a="1"/>
  <c r="E169" i="19" s="1"/>
  <c r="E170" i="19" a="1"/>
  <c r="E170" i="19" s="1"/>
  <c r="E207" i="19" a="1"/>
  <c r="E207" i="19" s="1"/>
  <c r="E206" i="19" a="1"/>
  <c r="E206" i="19" s="1"/>
  <c r="D202" i="19" a="1"/>
  <c r="D202" i="19" s="1"/>
  <c r="D201" i="19" a="1"/>
  <c r="D201" i="19" s="1"/>
  <c r="D165" i="19" a="1"/>
  <c r="D165" i="19" s="1"/>
  <c r="D164" i="19" a="1"/>
  <c r="D164"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I120" i="19" l="1" a="1"/>
  <c r="I120" i="19" s="1"/>
  <c r="D16" i="41" a="1"/>
  <c r="D16" i="41" s="1"/>
  <c r="D15" i="41" a="1"/>
  <c r="D15" i="41" s="1"/>
  <c r="D10" i="41" a="1"/>
  <c r="D10" i="41" s="1"/>
  <c r="D17" i="41" a="1"/>
  <c r="D17" i="41" s="1"/>
  <c r="F570" i="19"/>
  <c r="F548" i="19"/>
  <c r="F533" i="19"/>
  <c r="F181" i="19"/>
  <c r="F474" i="19"/>
  <c r="F488" i="19"/>
  <c r="F517" i="19"/>
  <c r="F263" i="19"/>
  <c r="F487" i="19"/>
  <c r="F516" i="19"/>
  <c r="F363" i="19"/>
  <c r="F362" i="19"/>
  <c r="F299" i="19"/>
  <c r="F298" i="19"/>
  <c r="F426" i="19"/>
  <c r="F425" i="19"/>
  <c r="F499" i="19"/>
  <c r="F394" i="19"/>
  <c r="F264" i="19"/>
  <c r="F498" i="19"/>
  <c r="F393" i="19"/>
  <c r="F457" i="19"/>
  <c r="F332" i="19"/>
  <c r="F456" i="19"/>
  <c r="F331" i="19"/>
  <c r="F267" i="19"/>
  <c r="F266" i="19"/>
  <c r="F475" i="19"/>
  <c r="E182" i="19"/>
  <c r="F16" i="41" s="1"/>
  <c r="F182" i="19"/>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51" i="19" a="1"/>
  <c r="G351" i="19" s="1"/>
  <c r="L351" i="19" s="1"/>
  <c r="F351" i="19" a="1"/>
  <c r="E351" i="19" a="1"/>
  <c r="E351" i="19" s="1"/>
  <c r="D351" i="19" a="1"/>
  <c r="D351" i="19" s="1"/>
  <c r="F505" i="19" a="1"/>
  <c r="F505" i="19" s="1"/>
  <c r="E505" i="19" a="1"/>
  <c r="D505" i="19" a="1"/>
  <c r="D505" i="19" s="1"/>
  <c r="K514" i="19" l="1" a="1"/>
  <c r="K514" i="19" s="1"/>
  <c r="K513" i="19" a="1"/>
  <c r="K513" i="19" s="1"/>
  <c r="K512" i="19" a="1"/>
  <c r="K512" i="19" s="1"/>
  <c r="K511" i="19" a="1"/>
  <c r="K511" i="19" s="1"/>
  <c r="K510" i="19" a="1"/>
  <c r="K510" i="19" s="1"/>
  <c r="K509" i="19" a="1"/>
  <c r="K509" i="19" s="1"/>
  <c r="K508" i="19" a="1"/>
  <c r="K508" i="19" s="1"/>
  <c r="K507" i="19" a="1"/>
  <c r="K507" i="19" s="1"/>
  <c r="K506" i="19" a="1"/>
  <c r="K506" i="19" s="1"/>
  <c r="F351" i="19"/>
  <c r="K351" i="19" s="1" a="1"/>
  <c r="K351" i="19" s="1"/>
  <c r="K355" i="19" a="1"/>
  <c r="K355" i="19" s="1"/>
  <c r="K360" i="19" a="1"/>
  <c r="K360" i="19" s="1"/>
  <c r="K359" i="19" a="1"/>
  <c r="K359" i="19" s="1"/>
  <c r="K356" i="19" a="1"/>
  <c r="K356" i="19" s="1"/>
  <c r="K354" i="19" a="1"/>
  <c r="K354" i="19" s="1"/>
  <c r="K357" i="19" a="1"/>
  <c r="K357" i="19" s="1"/>
  <c r="K353" i="19" a="1"/>
  <c r="K353" i="19" s="1"/>
  <c r="K352" i="19" a="1"/>
  <c r="K352" i="19" s="1"/>
  <c r="K358" i="19" a="1"/>
  <c r="K358" i="19" s="1"/>
  <c r="E79" i="19"/>
  <c r="G23" i="19"/>
  <c r="M23" i="19" s="1" a="1"/>
  <c r="M23" i="19" s="1"/>
  <c r="M24" i="19" a="1"/>
  <c r="M24" i="19" s="1"/>
  <c r="L356" i="19"/>
  <c r="L352" i="19"/>
  <c r="L354" i="19"/>
  <c r="L353" i="19"/>
  <c r="L355" i="19"/>
  <c r="L357" i="19"/>
  <c r="L358" i="19"/>
  <c r="L359" i="19"/>
  <c r="L360" i="19"/>
  <c r="E505" i="19"/>
  <c r="K505" i="19" s="1" a="1"/>
  <c r="K505" i="19" s="1"/>
  <c r="E517" i="19" l="1"/>
  <c r="F28" i="41" s="1"/>
  <c r="E363"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G8" i="54" l="1" a="1"/>
  <c r="G8" i="54" s="1"/>
  <c r="G7" i="54" a="1"/>
  <c r="G7" i="54" s="1"/>
  <c r="G16" i="54" a="1"/>
  <c r="G16" i="54" s="1"/>
  <c r="G15" i="54" a="1"/>
  <c r="G15" i="54" s="1"/>
  <c r="G14" i="54" a="1"/>
  <c r="G14" i="54" s="1"/>
  <c r="G13" i="54" a="1"/>
  <c r="G13" i="54" s="1"/>
  <c r="G12" i="54" a="1"/>
  <c r="G12" i="54" s="1"/>
  <c r="G11" i="54" a="1"/>
  <c r="G11" i="54" s="1"/>
  <c r="G10" i="54" a="1"/>
  <c r="G10" i="54" s="1"/>
  <c r="G9" i="54" a="1"/>
  <c r="G9" i="54"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G16" i="53" l="1" a="1"/>
  <c r="G16" i="53" s="1"/>
  <c r="G15" i="53" a="1"/>
  <c r="G15" i="53" s="1"/>
  <c r="G14" i="53" a="1"/>
  <c r="G14" i="53" s="1"/>
  <c r="G13" i="53" a="1"/>
  <c r="G13" i="53" s="1"/>
  <c r="G12" i="53" a="1"/>
  <c r="G12" i="53" s="1"/>
  <c r="G11" i="53" a="1"/>
  <c r="G11" i="53" s="1"/>
  <c r="G10" i="53" a="1"/>
  <c r="G10" i="53" s="1"/>
  <c r="G9" i="53" a="1"/>
  <c r="G9" i="53" s="1"/>
  <c r="G8" i="53" a="1"/>
  <c r="G8" i="53" s="1"/>
  <c r="G7" i="53" a="1"/>
  <c r="G7" i="5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H9" i="52" l="1" a="1"/>
  <c r="H9" i="52" s="1"/>
  <c r="H8" i="52" a="1"/>
  <c r="H8" i="52" s="1"/>
  <c r="H7" i="52" a="1"/>
  <c r="H7" i="52" s="1"/>
  <c r="F79" i="19"/>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E382" i="19" l="1" a="1"/>
  <c r="E382" i="19" s="1"/>
  <c r="D382" i="19" a="1"/>
  <c r="D382" i="19" s="1"/>
  <c r="D120" i="19" a="1"/>
  <c r="D120"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M157" i="20"/>
  <c r="P156" i="20"/>
  <c r="M155" i="20"/>
  <c r="L157" i="20"/>
  <c r="N156" i="20" s="1"/>
  <c r="L155" i="20"/>
  <c r="N154" i="20" s="1"/>
  <c r="O156" i="20"/>
  <c r="Q155"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l="1" a="1"/>
  <c r="D12" i="55" s="1"/>
  <c r="D7" i="55" a="1"/>
  <c r="D7" i="55" s="1"/>
  <c r="D177" i="19" s="1"/>
  <c r="F177" i="19" s="1" a="1"/>
  <c r="F177" i="19" s="1"/>
  <c r="G177" i="19" s="1" a="1"/>
  <c r="G177" i="19" s="1"/>
  <c r="F382" i="19" a="1"/>
  <c r="J329" i="19" l="1" a="1"/>
  <c r="J329" i="19" s="1"/>
  <c r="F382" i="19"/>
  <c r="J382" i="19" s="1" a="1"/>
  <c r="J382" i="19" s="1"/>
  <c r="D178" i="19"/>
  <c r="F178" i="19" s="1" a="1"/>
  <c r="F178" i="19" s="1"/>
  <c r="G178" i="19" s="1" a="1"/>
  <c r="G178" i="19" s="1"/>
  <c r="D179" i="19"/>
  <c r="F179" i="19" s="1" a="1"/>
  <c r="F179" i="19" s="1"/>
  <c r="G179" i="19" s="1" a="1"/>
  <c r="G179" i="19" s="1"/>
  <c r="D137" i="19"/>
  <c r="F137" i="19" s="1" a="1"/>
  <c r="F137" i="19" s="1"/>
  <c r="G137" i="19" s="1" a="1"/>
  <c r="G137" i="19" s="1"/>
  <c r="D140" i="19"/>
  <c r="F140" i="19" s="1" a="1"/>
  <c r="F140" i="19" s="1"/>
  <c r="D139" i="19"/>
  <c r="F139" i="19" s="1" a="1"/>
  <c r="F139" i="19" s="1"/>
  <c r="D138" i="19"/>
  <c r="F138" i="19" s="1" a="1"/>
  <c r="F138" i="19" s="1"/>
  <c r="G138" i="19" s="1" a="1"/>
  <c r="G138" i="19" s="1"/>
  <c r="J322" i="19" l="1" a="1"/>
  <c r="J322" i="19" s="1"/>
  <c r="J327" i="19" a="1"/>
  <c r="J327" i="19" s="1"/>
  <c r="J321" i="19" a="1"/>
  <c r="J321" i="19" s="1"/>
  <c r="J326" i="19" a="1"/>
  <c r="J326" i="19" s="1"/>
  <c r="J323" i="19" a="1"/>
  <c r="J323" i="19" s="1"/>
  <c r="I140" i="19" a="1"/>
  <c r="I140" i="19" s="1"/>
  <c r="G140" i="19" a="1"/>
  <c r="G140" i="19" s="1"/>
  <c r="I139" i="19" a="1"/>
  <c r="I139" i="19" s="1"/>
  <c r="G139" i="19" a="1"/>
  <c r="G139" i="19" s="1"/>
  <c r="J320" i="19" a="1"/>
  <c r="J320" i="19" s="1"/>
  <c r="J325" i="19" a="1"/>
  <c r="J325" i="19" s="1"/>
  <c r="J328" i="19" a="1"/>
  <c r="J328" i="19" s="1"/>
  <c r="J324" i="19" a="1"/>
  <c r="J324" i="19" s="1"/>
  <c r="E181" i="19"/>
  <c r="E16" i="41" s="1"/>
  <c r="E463" i="19" a="1"/>
  <c r="E463" i="19" s="1"/>
  <c r="D463" i="19" a="1"/>
  <c r="D463" i="19" s="1"/>
  <c r="F463"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O154" i="20"/>
  <c r="Q153" i="20" s="1"/>
  <c r="P154" i="20"/>
  <c r="L153" i="20"/>
  <c r="N152" i="20" s="1"/>
  <c r="M153" i="20"/>
  <c r="O152" i="20"/>
  <c r="Q151" i="20" s="1"/>
  <c r="P152" i="20"/>
  <c r="L151" i="20"/>
  <c r="N150" i="20" s="1"/>
  <c r="M151" i="20"/>
  <c r="O150" i="20"/>
  <c r="P150" i="20"/>
  <c r="O149" i="20"/>
  <c r="P149" i="20"/>
  <c r="O148" i="20"/>
  <c r="P148" i="20"/>
  <c r="O147" i="20"/>
  <c r="P147" i="20"/>
  <c r="O146" i="20"/>
  <c r="P146" i="20"/>
  <c r="O145" i="20"/>
  <c r="P145" i="20"/>
  <c r="O144" i="20"/>
  <c r="Q143" i="20" s="1"/>
  <c r="P144" i="20"/>
  <c r="L143" i="20"/>
  <c r="M143" i="20"/>
  <c r="L142" i="20"/>
  <c r="M142" i="20"/>
  <c r="L141" i="20"/>
  <c r="M141" i="20"/>
  <c r="L140" i="20"/>
  <c r="M140" i="20"/>
  <c r="L139" i="20"/>
  <c r="M139" i="20"/>
  <c r="L138" i="20"/>
  <c r="N137" i="20" s="1"/>
  <c r="M138" i="20"/>
  <c r="O137" i="20"/>
  <c r="P137" i="20"/>
  <c r="O136" i="20"/>
  <c r="P136" i="20"/>
  <c r="O135" i="20"/>
  <c r="P135" i="20"/>
  <c r="O134" i="20"/>
  <c r="P134" i="20"/>
  <c r="O133" i="20"/>
  <c r="P133" i="20"/>
  <c r="O132" i="20"/>
  <c r="P132" i="20"/>
  <c r="O131" i="20"/>
  <c r="Q130" i="20" s="1"/>
  <c r="P131" i="20"/>
  <c r="L130" i="20"/>
  <c r="M130" i="20"/>
  <c r="L129" i="20"/>
  <c r="M129" i="20"/>
  <c r="L128" i="20"/>
  <c r="M128" i="20"/>
  <c r="L127" i="20"/>
  <c r="M127" i="20"/>
  <c r="L126" i="20"/>
  <c r="M126" i="20"/>
  <c r="L125" i="20"/>
  <c r="N124" i="20" s="1"/>
  <c r="M125" i="20"/>
  <c r="O124" i="20"/>
  <c r="P124" i="20"/>
  <c r="O123" i="20"/>
  <c r="P123" i="20"/>
  <c r="O122" i="20"/>
  <c r="P122" i="20"/>
  <c r="O121" i="20"/>
  <c r="P121" i="20"/>
  <c r="O120" i="20"/>
  <c r="P120" i="20"/>
  <c r="O119" i="20"/>
  <c r="P119" i="20"/>
  <c r="O118" i="20"/>
  <c r="Q117" i="20" s="1"/>
  <c r="P118" i="20"/>
  <c r="L117" i="20"/>
  <c r="M117" i="20"/>
  <c r="L116" i="20"/>
  <c r="M116" i="20"/>
  <c r="L115" i="20"/>
  <c r="M115" i="20"/>
  <c r="L114" i="20"/>
  <c r="M114" i="20"/>
  <c r="L113" i="20"/>
  <c r="M113" i="20"/>
  <c r="L112" i="20"/>
  <c r="M112" i="20"/>
  <c r="L111" i="20"/>
  <c r="M111" i="20"/>
  <c r="L110" i="20"/>
  <c r="N109" i="20" s="1"/>
  <c r="M110" i="20"/>
  <c r="O109" i="20"/>
  <c r="P109" i="20"/>
  <c r="O108" i="20"/>
  <c r="P108" i="20"/>
  <c r="O107" i="20"/>
  <c r="P107" i="20"/>
  <c r="O106" i="20"/>
  <c r="P106" i="20"/>
  <c r="O105" i="20"/>
  <c r="Q104" i="20" s="1"/>
  <c r="P105" i="20"/>
  <c r="L104" i="20"/>
  <c r="M104" i="20"/>
  <c r="L103" i="20"/>
  <c r="M103" i="20"/>
  <c r="L102" i="20"/>
  <c r="M102" i="20"/>
  <c r="L101" i="20"/>
  <c r="M101" i="20"/>
  <c r="L100" i="20"/>
  <c r="M100" i="20"/>
  <c r="L99" i="20"/>
  <c r="M99" i="20"/>
  <c r="L98" i="20"/>
  <c r="N97" i="20" s="1"/>
  <c r="M98" i="20"/>
  <c r="O97" i="20"/>
  <c r="P97" i="20"/>
  <c r="O96" i="20"/>
  <c r="P96" i="20"/>
  <c r="P95" i="20"/>
  <c r="O95" i="20"/>
  <c r="P94" i="20"/>
  <c r="O94" i="20"/>
  <c r="P93" i="20"/>
  <c r="O93" i="20"/>
  <c r="P92" i="20"/>
  <c r="O92" i="20"/>
  <c r="P91" i="20"/>
  <c r="O91" i="20"/>
  <c r="P90" i="20"/>
  <c r="O90" i="20"/>
  <c r="Q89"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E332" i="19" l="1"/>
  <c r="F19" i="41" s="1"/>
  <c r="D5" i="57"/>
  <c r="D496" i="19" s="1"/>
  <c r="F496" i="19" s="1" a="1"/>
  <c r="F496" i="19" s="1"/>
  <c r="G496" i="19" s="1" a="1"/>
  <c r="G496" i="19" s="1"/>
  <c r="D26" i="58"/>
  <c r="D484" i="19" s="1"/>
  <c r="F484" i="19" s="1" a="1"/>
  <c r="F484" i="19" s="1"/>
  <c r="D48" i="55"/>
  <c r="D495" i="19" s="1"/>
  <c r="F495" i="19" s="1" a="1"/>
  <c r="F495" i="19" s="1"/>
  <c r="T129" i="19" a="1"/>
  <c r="T129" i="19" s="1"/>
  <c r="X124" i="19" a="1"/>
  <c r="X124" i="19" s="1"/>
  <c r="T128" i="19" a="1"/>
  <c r="T128" i="19" s="1"/>
  <c r="X123" i="19" a="1"/>
  <c r="X123" i="19" s="1"/>
  <c r="X128" i="19" a="1"/>
  <c r="X128" i="19" s="1"/>
  <c r="T127" i="19" a="1"/>
  <c r="T127" i="19" s="1"/>
  <c r="X122" i="19" a="1"/>
  <c r="X122" i="19" s="1"/>
  <c r="T121" i="19" a="1"/>
  <c r="T121" i="19" s="1"/>
  <c r="T126" i="19" a="1"/>
  <c r="T126" i="19" s="1"/>
  <c r="X121" i="19" a="1"/>
  <c r="X121" i="19" s="1"/>
  <c r="AB129" i="19" a="1"/>
  <c r="AB129" i="19" s="1"/>
  <c r="X125" i="19" a="1"/>
  <c r="X125" i="19" s="1"/>
  <c r="T125" i="19" a="1"/>
  <c r="T125" i="19" s="1"/>
  <c r="AB121" i="19" a="1"/>
  <c r="AB121" i="19" s="1"/>
  <c r="AB127" i="19" a="1"/>
  <c r="AB127" i="19" s="1"/>
  <c r="T124" i="19" a="1"/>
  <c r="T124" i="19" s="1"/>
  <c r="AB123" i="19" a="1"/>
  <c r="AB123" i="19" s="1"/>
  <c r="T122" i="19" a="1"/>
  <c r="T122" i="19" s="1"/>
  <c r="AB128" i="19" a="1"/>
  <c r="AB128" i="19" s="1"/>
  <c r="T123" i="19" a="1"/>
  <c r="T123" i="19" s="1"/>
  <c r="AB122" i="19" a="1"/>
  <c r="AB122" i="19" s="1"/>
  <c r="X129" i="19" a="1"/>
  <c r="X129" i="19" s="1"/>
  <c r="X127" i="19" a="1"/>
  <c r="X127" i="19" s="1"/>
  <c r="AB126" i="19" a="1"/>
  <c r="AB126" i="19" s="1"/>
  <c r="X126" i="19" a="1"/>
  <c r="X126" i="19" s="1"/>
  <c r="AB125" i="19" a="1"/>
  <c r="AB125" i="19" s="1"/>
  <c r="AB124" i="19" a="1"/>
  <c r="AB124" i="19" s="1"/>
  <c r="X120" i="19" a="1"/>
  <c r="X120" i="19" s="1"/>
  <c r="AB120" i="19" a="1"/>
  <c r="AB120" i="19" s="1"/>
  <c r="T120" i="19" a="1"/>
  <c r="T120" i="19" s="1"/>
  <c r="D24" i="58"/>
  <c r="D482" i="19" s="1"/>
  <c r="F482" i="19" s="1" a="1"/>
  <c r="F482" i="19" s="1"/>
  <c r="D25" i="58"/>
  <c r="D483" i="19" s="1"/>
  <c r="F483" i="19" s="1" a="1"/>
  <c r="F483" i="19" s="1"/>
  <c r="G483" i="19" s="1" a="1"/>
  <c r="G483" i="19" s="1"/>
  <c r="D27" i="58"/>
  <c r="D485" i="19" s="1"/>
  <c r="F485" i="19" s="1" a="1"/>
  <c r="F485" i="19" s="1"/>
  <c r="G485" i="19" s="1" a="1"/>
  <c r="G485" i="19" s="1"/>
  <c r="D47" i="55"/>
  <c r="D494" i="19" s="1"/>
  <c r="F494" i="19" s="1" a="1"/>
  <c r="F494" i="19" s="1"/>
  <c r="G494" i="19" s="1" a="1"/>
  <c r="G494" i="19" s="1"/>
  <c r="D23" i="58"/>
  <c r="D481" i="19" s="1"/>
  <c r="F481" i="19" s="1" a="1"/>
  <c r="F481" i="19" s="1"/>
  <c r="G481" i="19" s="1" a="1"/>
  <c r="G481" i="19" s="1"/>
  <c r="J467" i="19" a="1"/>
  <c r="J467" i="19" s="1"/>
  <c r="J466" i="19" a="1"/>
  <c r="J466" i="19" s="1"/>
  <c r="J465" i="19" a="1"/>
  <c r="J465" i="19" s="1"/>
  <c r="J464" i="19" a="1"/>
  <c r="J464" i="19" s="1"/>
  <c r="J468" i="19" a="1"/>
  <c r="J468" i="19" s="1"/>
  <c r="E143" i="19"/>
  <c r="G448" i="19" a="1"/>
  <c r="G448" i="19" s="1"/>
  <c r="H448" i="19" s="1" a="1"/>
  <c r="H448" i="19" s="1"/>
  <c r="G447" i="19" a="1"/>
  <c r="G447" i="19" s="1"/>
  <c r="H447" i="19" s="1" a="1"/>
  <c r="H447" i="19" s="1"/>
  <c r="G446" i="19" a="1"/>
  <c r="G446" i="19" s="1"/>
  <c r="H446" i="19" s="1" a="1"/>
  <c r="H446" i="19" s="1"/>
  <c r="G445" i="19" a="1"/>
  <c r="G445" i="19" s="1"/>
  <c r="H445" i="19" s="1" a="1"/>
  <c r="H445" i="19" s="1"/>
  <c r="P129" i="19" a="1"/>
  <c r="P129" i="19" s="1"/>
  <c r="P125" i="19" a="1"/>
  <c r="P125" i="19" s="1"/>
  <c r="P126" i="19" a="1"/>
  <c r="P126" i="19" s="1"/>
  <c r="P124" i="19" a="1"/>
  <c r="P124" i="19" s="1"/>
  <c r="P127" i="19" a="1"/>
  <c r="P127" i="19" s="1"/>
  <c r="P122" i="19" a="1"/>
  <c r="P122" i="19" s="1"/>
  <c r="P123" i="19" a="1"/>
  <c r="P123" i="19" s="1"/>
  <c r="P128" i="19" a="1"/>
  <c r="P128" i="19" s="1"/>
  <c r="P121" i="19" a="1"/>
  <c r="P121" i="19" s="1"/>
  <c r="P120" i="19" a="1"/>
  <c r="P120" i="19" s="1"/>
  <c r="E315" i="19" a="1"/>
  <c r="E315" i="19" s="1"/>
  <c r="E317" i="19" a="1"/>
  <c r="E317" i="19" s="1"/>
  <c r="E316" i="19" a="1"/>
  <c r="E316" i="19" s="1"/>
  <c r="D285" i="19" a="1"/>
  <c r="E142"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G390" i="19" a="1"/>
  <c r="G390" i="19" s="1"/>
  <c r="G391" i="19" a="1"/>
  <c r="G391" i="19" s="1"/>
  <c r="G383" i="19" a="1"/>
  <c r="G383" i="19" s="1"/>
  <c r="G389" i="19" a="1"/>
  <c r="G389" i="19" s="1"/>
  <c r="G385" i="19" a="1"/>
  <c r="G385" i="19" s="1"/>
  <c r="G384" i="19" a="1"/>
  <c r="G384" i="19" s="1"/>
  <c r="G386" i="19" a="1"/>
  <c r="G386" i="19" s="1"/>
  <c r="G382" i="19" a="1"/>
  <c r="G382" i="19" s="1"/>
  <c r="H382" i="19" s="1" a="1"/>
  <c r="H382" i="19" s="1"/>
  <c r="G387" i="19" a="1"/>
  <c r="G387" i="19" s="1"/>
  <c r="G388" i="19" a="1"/>
  <c r="G388" i="19" s="1"/>
  <c r="G464" i="19" a="1"/>
  <c r="G464" i="19" s="1"/>
  <c r="H464" i="19" s="1" a="1"/>
  <c r="H464" i="19" s="1"/>
  <c r="G449" i="19" a="1"/>
  <c r="G449" i="19" s="1"/>
  <c r="H449" i="19" s="1" a="1"/>
  <c r="H449" i="19" s="1"/>
  <c r="G465" i="19" a="1"/>
  <c r="G465" i="19" s="1"/>
  <c r="H465" i="19" s="1" a="1"/>
  <c r="H465" i="19" s="1"/>
  <c r="G450" i="19" a="1"/>
  <c r="G450" i="19" s="1"/>
  <c r="H450" i="19" s="1" a="1"/>
  <c r="H450" i="19" s="1"/>
  <c r="G466" i="19" a="1"/>
  <c r="G466" i="19" s="1"/>
  <c r="H466" i="19" s="1" a="1"/>
  <c r="H466" i="19" s="1"/>
  <c r="G451" i="19" a="1"/>
  <c r="G451" i="19" s="1"/>
  <c r="G467" i="19" a="1"/>
  <c r="G467" i="19" s="1"/>
  <c r="H467" i="19" s="1" a="1"/>
  <c r="H467" i="19" s="1"/>
  <c r="G452" i="19" a="1"/>
  <c r="G452" i="19" s="1"/>
  <c r="G468" i="19" a="1"/>
  <c r="G468" i="19" s="1"/>
  <c r="H468" i="19" s="1" a="1"/>
  <c r="H468" i="19" s="1"/>
  <c r="G469" i="19" a="1"/>
  <c r="G469" i="19" s="1"/>
  <c r="G453" i="19" a="1"/>
  <c r="G453" i="19" s="1"/>
  <c r="G470" i="19" a="1"/>
  <c r="G470" i="19" s="1"/>
  <c r="G471" i="19" a="1"/>
  <c r="G471" i="19" s="1"/>
  <c r="G454" i="19" a="1"/>
  <c r="G454" i="19" s="1"/>
  <c r="G472" i="19" a="1"/>
  <c r="G472" i="19" s="1"/>
  <c r="G463" i="19" a="1"/>
  <c r="G463" i="19" s="1"/>
  <c r="F463" i="19"/>
  <c r="J463" i="19" s="1" a="1"/>
  <c r="J463" i="19" s="1"/>
  <c r="N241" i="20" l="1"/>
  <c r="I482" i="19" a="1"/>
  <c r="I482" i="19" s="1"/>
  <c r="G482" i="19" a="1"/>
  <c r="G482" i="19" s="1"/>
  <c r="I495" i="19" a="1"/>
  <c r="I495" i="19" s="1"/>
  <c r="E499" i="19" s="1"/>
  <c r="F27" i="41" s="1"/>
  <c r="G495" i="19" a="1"/>
  <c r="G495" i="19" s="1"/>
  <c r="E498" i="19" s="1"/>
  <c r="E27" i="41" s="1"/>
  <c r="G484" i="19" a="1"/>
  <c r="G484" i="19" s="1"/>
  <c r="I484" i="19" a="1"/>
  <c r="I484" i="19" s="1"/>
  <c r="H463" i="19" a="1"/>
  <c r="H463" i="19" s="1"/>
  <c r="H451" i="19" a="1"/>
  <c r="H451" i="19" s="1"/>
  <c r="J451" i="19" a="1"/>
  <c r="J451" i="19" s="1"/>
  <c r="J452" i="19" a="1"/>
  <c r="J452" i="19" s="1"/>
  <c r="H452" i="19" a="1"/>
  <c r="H452" i="19" s="1"/>
  <c r="H472" i="19" a="1"/>
  <c r="H472" i="19" s="1"/>
  <c r="J472" i="19" a="1"/>
  <c r="J472" i="19" s="1"/>
  <c r="J454" i="19" a="1"/>
  <c r="J454" i="19" s="1"/>
  <c r="H454" i="19" a="1"/>
  <c r="H454" i="19" s="1"/>
  <c r="J470" i="19" a="1"/>
  <c r="J470" i="19" s="1"/>
  <c r="H470" i="19" a="1"/>
  <c r="H470" i="19" s="1"/>
  <c r="H453" i="19" a="1"/>
  <c r="H453" i="19" s="1"/>
  <c r="J453" i="19" a="1"/>
  <c r="J453" i="19" s="1"/>
  <c r="H471" i="19" a="1"/>
  <c r="H471" i="19" s="1"/>
  <c r="J471" i="19" a="1"/>
  <c r="J471" i="19" s="1"/>
  <c r="H469" i="19" a="1"/>
  <c r="H469" i="19" s="1"/>
  <c r="J469" i="19" a="1"/>
  <c r="J469" i="19" s="1"/>
  <c r="J391" i="19" a="1"/>
  <c r="J391" i="19" s="1"/>
  <c r="H391" i="19" a="1"/>
  <c r="H391" i="19" s="1"/>
  <c r="H383" i="19" a="1"/>
  <c r="H383" i="19" s="1"/>
  <c r="J383" i="19" a="1"/>
  <c r="J383" i="19" s="1"/>
  <c r="J388" i="19" a="1"/>
  <c r="J388" i="19" s="1"/>
  <c r="H388" i="19" a="1"/>
  <c r="H388" i="19" s="1"/>
  <c r="H387" i="19" a="1"/>
  <c r="H387" i="19" s="1"/>
  <c r="J387" i="19" a="1"/>
  <c r="J387" i="19" s="1"/>
  <c r="H389" i="19" a="1"/>
  <c r="H389" i="19" s="1"/>
  <c r="J389" i="19" a="1"/>
  <c r="J389" i="19" s="1"/>
  <c r="H386" i="19" a="1"/>
  <c r="H386" i="19" s="1"/>
  <c r="J386" i="19" a="1"/>
  <c r="J386" i="19" s="1"/>
  <c r="J385" i="19" a="1"/>
  <c r="J385" i="19" s="1"/>
  <c r="H385" i="19" a="1"/>
  <c r="H385" i="19" s="1"/>
  <c r="H390" i="19" a="1"/>
  <c r="H390" i="19" s="1"/>
  <c r="J390" i="19" a="1"/>
  <c r="J390" i="19" s="1"/>
  <c r="H384" i="19" a="1"/>
  <c r="H384" i="19" s="1"/>
  <c r="J384" i="19" a="1"/>
  <c r="J384" i="19" s="1"/>
  <c r="D285" i="19"/>
  <c r="F296" i="19" a="1"/>
  <c r="F296" i="19" s="1"/>
  <c r="F294" i="19" a="1"/>
  <c r="F294" i="19" s="1"/>
  <c r="F293" i="19" a="1"/>
  <c r="F293" i="19" s="1"/>
  <c r="F287" i="19" a="1"/>
  <c r="F287" i="19" s="1"/>
  <c r="F286" i="19" a="1"/>
  <c r="F286" i="19" s="1"/>
  <c r="E294" i="19"/>
  <c r="F295" i="19" a="1"/>
  <c r="F295" i="19" s="1"/>
  <c r="F288" i="19" a="1"/>
  <c r="F288" i="19" s="1"/>
  <c r="E290" i="19"/>
  <c r="F292" i="19" a="1"/>
  <c r="F292" i="19" s="1"/>
  <c r="E292" i="19"/>
  <c r="E286" i="19"/>
  <c r="E287" i="19"/>
  <c r="E289" i="19"/>
  <c r="F289" i="19" a="1"/>
  <c r="F289" i="19" s="1"/>
  <c r="F290" i="19" a="1"/>
  <c r="F290" i="19" s="1"/>
  <c r="F291" i="19" a="1"/>
  <c r="F291" i="19" s="1"/>
  <c r="E288" i="19"/>
  <c r="E291" i="19"/>
  <c r="E296" i="19"/>
  <c r="E293" i="19"/>
  <c r="E295" i="19"/>
  <c r="I322" i="19" a="1"/>
  <c r="I322" i="19" s="1"/>
  <c r="I329" i="19" a="1"/>
  <c r="I329" i="19" s="1"/>
  <c r="I321" i="19" a="1"/>
  <c r="I321" i="19" s="1"/>
  <c r="I320" i="19" a="1"/>
  <c r="I320" i="19" s="1"/>
  <c r="I328" i="19" a="1"/>
  <c r="I328" i="19" s="1"/>
  <c r="I326" i="19" a="1"/>
  <c r="I326" i="19" s="1"/>
  <c r="I327" i="19" a="1"/>
  <c r="I327" i="19" s="1"/>
  <c r="I325" i="19" a="1"/>
  <c r="I325" i="19" s="1"/>
  <c r="I323" i="19" a="1"/>
  <c r="I323" i="19" s="1"/>
  <c r="I324" i="19" a="1"/>
  <c r="I324"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93" i="19" l="1"/>
  <c r="E21" i="41" s="1"/>
  <c r="E487" i="19"/>
  <c r="E26" i="41" s="1"/>
  <c r="E456" i="19"/>
  <c r="E24" i="41" s="1"/>
  <c r="E488" i="19"/>
  <c r="F26" i="41" s="1"/>
  <c r="I289" i="19" a="1"/>
  <c r="I289" i="19" s="1"/>
  <c r="I292" i="19" a="1"/>
  <c r="I292" i="19" s="1"/>
  <c r="G290" i="19" a="1"/>
  <c r="G290" i="19" s="1"/>
  <c r="E474" i="19"/>
  <c r="E25" i="41" s="1"/>
  <c r="E475" i="19"/>
  <c r="F25" i="41" s="1"/>
  <c r="E457" i="19"/>
  <c r="F24" i="41" s="1"/>
  <c r="E394" i="19"/>
  <c r="F21" i="41" s="1"/>
  <c r="I287" i="19" a="1"/>
  <c r="I287" i="19" s="1"/>
  <c r="G287" i="19" a="1"/>
  <c r="G287" i="19" s="1"/>
  <c r="I286" i="19" a="1"/>
  <c r="I286" i="19" s="1"/>
  <c r="G286" i="19" a="1"/>
  <c r="G286" i="19" s="1"/>
  <c r="E331" i="19"/>
  <c r="E19" i="41" s="1"/>
  <c r="G292" i="19" a="1"/>
  <c r="G292" i="19" s="1"/>
  <c r="G293" i="19" a="1"/>
  <c r="G293" i="19" s="1"/>
  <c r="I293" i="19" a="1"/>
  <c r="I293" i="19" s="1"/>
  <c r="G294" i="19" a="1"/>
  <c r="G294" i="19" s="1"/>
  <c r="I294" i="19" a="1"/>
  <c r="I294" i="19" s="1"/>
  <c r="G291" i="19" a="1"/>
  <c r="G291" i="19" s="1"/>
  <c r="I291" i="19" a="1"/>
  <c r="I291" i="19" s="1"/>
  <c r="G288" i="19" a="1"/>
  <c r="G288" i="19" s="1"/>
  <c r="I288" i="19" a="1"/>
  <c r="I288" i="19" s="1"/>
  <c r="G295" i="19" a="1"/>
  <c r="G295" i="19" s="1"/>
  <c r="I295" i="19" a="1"/>
  <c r="I295" i="19" s="1"/>
  <c r="I290" i="19" a="1"/>
  <c r="I290" i="19" s="1"/>
  <c r="I296" i="19" a="1"/>
  <c r="I296" i="19" s="1"/>
  <c r="G296" i="19" a="1"/>
  <c r="G296" i="19" s="1"/>
  <c r="G289" i="19" a="1"/>
  <c r="G289" i="19" s="1"/>
  <c r="F285" i="19" a="1"/>
  <c r="F285" i="19" s="1"/>
  <c r="E285"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F13" i="41" l="1"/>
  <c r="E94" i="19"/>
  <c r="E13" i="41"/>
  <c r="E93" i="19"/>
  <c r="G285" i="19" a="1"/>
  <c r="G285" i="19" s="1"/>
  <c r="E298" i="19" s="1"/>
  <c r="E18" i="41" s="1"/>
  <c r="I285" i="19" a="1"/>
  <c r="I285" i="19" s="1"/>
  <c r="E299"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67" i="19" s="1" a="1"/>
  <c r="I567"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45" i="19" a="1"/>
  <c r="I545" i="19" s="1"/>
  <c r="E548" i="19" s="1" a="1"/>
  <c r="E548" i="19" s="1"/>
  <c r="I46" i="9"/>
  <c r="I38" i="9"/>
  <c r="I39" i="9"/>
  <c r="I47" i="9"/>
  <c r="E30" i="41" l="1"/>
  <c r="F30" i="41" s="1"/>
  <c r="E41" i="9"/>
  <c r="I565" i="19" s="1"/>
  <c r="E50" i="9"/>
  <c r="I566" i="19" s="1"/>
  <c r="F83" i="6" a="1"/>
  <c r="F83" i="6" s="1"/>
  <c r="E83" i="6" a="1"/>
  <c r="E83" i="6" s="1"/>
  <c r="J87" i="34" s="1"/>
  <c r="D83" i="6" a="1"/>
  <c r="D83" i="6" s="1"/>
  <c r="D82" i="6" a="1"/>
  <c r="D82" i="6" s="1"/>
  <c r="D81" i="6" a="1"/>
  <c r="D81" i="6" s="1"/>
  <c r="F78" i="6" a="1"/>
  <c r="F78" i="6" s="1"/>
  <c r="E78" i="6" a="1"/>
  <c r="E78" i="6" s="1"/>
  <c r="D78" i="6" a="1"/>
  <c r="D78" i="6" s="1"/>
  <c r="D77" i="6" a="1"/>
  <c r="D77" i="6" s="1"/>
  <c r="D76" i="6" a="1"/>
  <c r="D76" i="6" s="1"/>
  <c r="F73" i="6" a="1"/>
  <c r="F73" i="6" s="1"/>
  <c r="E73" i="6" a="1"/>
  <c r="E73" i="6" s="1"/>
  <c r="I33"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E570" i="19" l="1" a="1"/>
  <c r="E570" i="19" s="1"/>
  <c r="O74" i="34" a="1"/>
  <c r="O74" i="34" s="1"/>
  <c r="T86" i="34" s="1"/>
  <c r="O90" i="34" s="1" a="1"/>
  <c r="O90" i="34" s="1"/>
  <c r="I69" i="34"/>
  <c r="E35" i="34" a="1"/>
  <c r="E35" i="34" s="1"/>
  <c r="I48" i="34" s="1"/>
  <c r="O35" i="34" a="1"/>
  <c r="O35" i="34" s="1"/>
  <c r="S48" i="34" s="1"/>
  <c r="O55" i="34" s="1" a="1"/>
  <c r="O55" i="34" s="1"/>
  <c r="E31" i="41"/>
  <c r="F31" i="41" s="1"/>
  <c r="J252" i="19" a="1"/>
  <c r="J252" i="19" s="1"/>
  <c r="J260" i="19" a="1"/>
  <c r="J260" i="19" s="1"/>
  <c r="J253" i="19" a="1"/>
  <c r="J253" i="19" s="1"/>
  <c r="J255" i="19" a="1"/>
  <c r="J255" i="19" s="1"/>
  <c r="J257" i="19" a="1"/>
  <c r="J257" i="19" s="1"/>
  <c r="J259" i="19" a="1"/>
  <c r="J259" i="19" s="1"/>
  <c r="J261" i="19" a="1"/>
  <c r="J261" i="19" s="1"/>
  <c r="J256" i="19" a="1"/>
  <c r="J256" i="19" s="1"/>
  <c r="J254" i="19" a="1"/>
  <c r="J254" i="19" s="1"/>
  <c r="J258" i="19" a="1"/>
  <c r="J258" i="19"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M588" i="19" l="1" a="1"/>
  <c r="M588" i="19" s="1"/>
  <c r="O590" i="19" s="1"/>
  <c r="M593" i="19" s="1" a="1"/>
  <c r="M593" i="19" s="1"/>
  <c r="F32" i="41" s="1"/>
  <c r="AE257" i="19" a="1"/>
  <c r="AE257" i="19" s="1"/>
  <c r="AE258" i="19" a="1"/>
  <c r="AE258" i="19" s="1"/>
  <c r="S259" i="19" a="1"/>
  <c r="S259" i="19" s="1"/>
  <c r="W257" i="19" a="1"/>
  <c r="W257" i="19" s="1"/>
  <c r="AE260" i="19" a="1"/>
  <c r="AE260" i="19" s="1"/>
  <c r="S261" i="19" a="1"/>
  <c r="S261" i="19" s="1"/>
  <c r="S252" i="19" a="1"/>
  <c r="S252" i="19" s="1"/>
  <c r="S256" i="19" a="1"/>
  <c r="S256" i="19" s="1"/>
  <c r="AA257" i="19" a="1"/>
  <c r="AA257" i="19" s="1"/>
  <c r="AE254" i="19" a="1"/>
  <c r="AE254" i="19" s="1"/>
  <c r="AA256" i="19" a="1"/>
  <c r="AA256" i="19" s="1"/>
  <c r="W258" i="19" a="1"/>
  <c r="W258" i="19" s="1"/>
  <c r="AE256" i="19" a="1"/>
  <c r="AE256" i="19" s="1"/>
  <c r="AA258" i="19" a="1"/>
  <c r="AA258" i="19" s="1"/>
  <c r="AA259" i="19" a="1"/>
  <c r="AA259" i="19" s="1"/>
  <c r="AE261" i="19" a="1"/>
  <c r="AE261" i="19" s="1"/>
  <c r="S260" i="19" a="1"/>
  <c r="S260" i="19" s="1"/>
  <c r="W260" i="19" a="1"/>
  <c r="W260" i="19" s="1"/>
  <c r="W253" i="19" a="1"/>
  <c r="W253" i="19" s="1"/>
  <c r="S254" i="19" a="1"/>
  <c r="S254" i="19" s="1"/>
  <c r="AA260" i="19" a="1"/>
  <c r="AA260" i="19" s="1"/>
  <c r="AA261" i="19" a="1"/>
  <c r="AA261" i="19" s="1"/>
  <c r="W256" i="19" a="1"/>
  <c r="W256" i="19" s="1"/>
  <c r="AA254" i="19" a="1"/>
  <c r="AA254" i="19" s="1"/>
  <c r="S253" i="19" a="1"/>
  <c r="S253" i="19" s="1"/>
  <c r="W261" i="19" a="1"/>
  <c r="W261" i="19" s="1"/>
  <c r="S257" i="19" a="1"/>
  <c r="S257" i="19" s="1"/>
  <c r="S258" i="19" a="1"/>
  <c r="S258" i="19" s="1"/>
  <c r="S255" i="19" a="1"/>
  <c r="S255" i="19" s="1"/>
  <c r="AE252" i="19" a="1"/>
  <c r="AE252" i="19" s="1"/>
  <c r="K252" i="19" s="1" a="1"/>
  <c r="K252" i="19" s="1"/>
  <c r="W252" i="19" a="1"/>
  <c r="W252" i="19" s="1"/>
  <c r="AE255" i="19" a="1"/>
  <c r="AE255" i="19" s="1"/>
  <c r="W259" i="19" a="1"/>
  <c r="W259" i="19" s="1"/>
  <c r="AA252" i="19" a="1"/>
  <c r="AA252" i="19" s="1"/>
  <c r="AA253" i="19" a="1"/>
  <c r="AA253" i="19" s="1"/>
  <c r="AE253" i="19" a="1"/>
  <c r="AE253" i="19" s="1"/>
  <c r="W254" i="19" a="1"/>
  <c r="W254" i="19" s="1"/>
  <c r="AA255" i="19" a="1"/>
  <c r="AA255" i="19" s="1"/>
  <c r="W255" i="19" a="1"/>
  <c r="W255" i="19" s="1"/>
  <c r="AE259" i="19" a="1"/>
  <c r="AE259" i="19" s="1"/>
  <c r="F120" i="19" l="1"/>
  <c r="G120" i="19" s="1" a="1"/>
  <c r="G120" i="19" s="1"/>
  <c r="F256" i="19" a="1"/>
  <c r="F256" i="19" s="1"/>
  <c r="G256" i="19" s="1" a="1"/>
  <c r="G256" i="19" s="1"/>
  <c r="H256" i="19" a="1"/>
  <c r="H256" i="19" s="1"/>
  <c r="K256" i="19" a="1"/>
  <c r="K256" i="19" s="1"/>
  <c r="K260" i="19" a="1"/>
  <c r="K260" i="19" s="1"/>
  <c r="H260" i="19" a="1"/>
  <c r="H260" i="19" s="1"/>
  <c r="F260" i="19" a="1"/>
  <c r="F260" i="19" s="1"/>
  <c r="G260" i="19" s="1" a="1"/>
  <c r="G260" i="19" s="1"/>
  <c r="F261" i="19" a="1"/>
  <c r="F261" i="19" s="1"/>
  <c r="G261" i="19" s="1" a="1"/>
  <c r="G261" i="19" s="1"/>
  <c r="K261" i="19" a="1"/>
  <c r="K261" i="19" s="1"/>
  <c r="H261" i="19" a="1"/>
  <c r="H261" i="19" s="1"/>
  <c r="F127" i="19"/>
  <c r="F122" i="19"/>
  <c r="G122" i="19" s="1" a="1"/>
  <c r="G122" i="19" s="1"/>
  <c r="H253" i="19" a="1"/>
  <c r="H253" i="19" s="1"/>
  <c r="F253" i="19" a="1"/>
  <c r="F253" i="19" s="1"/>
  <c r="G253" i="19" s="1" a="1"/>
  <c r="G253" i="19" s="1"/>
  <c r="K253" i="19" a="1"/>
  <c r="K253" i="19" s="1"/>
  <c r="F255" i="19" a="1"/>
  <c r="F255" i="19" s="1"/>
  <c r="G255" i="19" s="1" a="1"/>
  <c r="G255" i="19" s="1"/>
  <c r="K255" i="19" a="1"/>
  <c r="K255" i="19" s="1"/>
  <c r="H255" i="19" a="1"/>
  <c r="H255" i="19" s="1"/>
  <c r="F252" i="19" a="1"/>
  <c r="F252" i="19" s="1"/>
  <c r="G252" i="19" s="1" a="1"/>
  <c r="G252" i="19" s="1"/>
  <c r="H252" i="19" a="1"/>
  <c r="H252" i="19" s="1"/>
  <c r="K258" i="19" a="1"/>
  <c r="K258" i="19" s="1"/>
  <c r="H258" i="19" a="1"/>
  <c r="H258" i="19" s="1"/>
  <c r="F258" i="19" a="1"/>
  <c r="F258" i="19" s="1"/>
  <c r="G258" i="19" s="1" a="1"/>
  <c r="G258" i="19" s="1"/>
  <c r="F254" i="19" a="1"/>
  <c r="F254" i="19" s="1"/>
  <c r="G254" i="19" s="1" a="1"/>
  <c r="G254" i="19" s="1"/>
  <c r="H254" i="19" a="1"/>
  <c r="H254" i="19" s="1"/>
  <c r="K254" i="19" a="1"/>
  <c r="K254" i="19" s="1"/>
  <c r="F123" i="19"/>
  <c r="F124" i="19"/>
  <c r="F121" i="19"/>
  <c r="G121" i="19" s="1" a="1"/>
  <c r="G121" i="19" s="1"/>
  <c r="F259" i="19" a="1"/>
  <c r="F259" i="19" s="1"/>
  <c r="G259" i="19" s="1" a="1"/>
  <c r="G259" i="19" s="1"/>
  <c r="K259" i="19" a="1"/>
  <c r="K259" i="19" s="1"/>
  <c r="H259" i="19" a="1"/>
  <c r="H259" i="19" s="1"/>
  <c r="F125" i="19"/>
  <c r="F126" i="19"/>
  <c r="F128" i="19"/>
  <c r="F129" i="19"/>
  <c r="K257" i="19" a="1"/>
  <c r="K257" i="19" s="1"/>
  <c r="H257" i="19" a="1"/>
  <c r="H257" i="19" s="1"/>
  <c r="F257" i="19" a="1"/>
  <c r="F257" i="19" s="1"/>
  <c r="G257" i="19" s="1" a="1"/>
  <c r="G257" i="19" s="1"/>
  <c r="AI242" i="19" a="1"/>
  <c r="AI242" i="19" s="1"/>
  <c r="AI243" i="19" a="1"/>
  <c r="AI243" i="19" s="1"/>
  <c r="AI241" i="19" a="1"/>
  <c r="AI241" i="19" s="1"/>
  <c r="AI237" i="19" a="1"/>
  <c r="AI237" i="19" s="1"/>
  <c r="AI244" i="19" a="1"/>
  <c r="AI244" i="19" s="1"/>
  <c r="AI245" i="19" a="1"/>
  <c r="AI245" i="19" s="1"/>
  <c r="AI236" i="19" a="1"/>
  <c r="AI236" i="19" s="1"/>
  <c r="AI238" i="19" a="1"/>
  <c r="AI238" i="19" s="1"/>
  <c r="AI239" i="19" a="1"/>
  <c r="AI239" i="19" s="1"/>
  <c r="AI240" i="19" a="1"/>
  <c r="AI240" i="19" s="1"/>
  <c r="AA241" i="19" a="1"/>
  <c r="AA241" i="19" s="1"/>
  <c r="AA236" i="19" a="1"/>
  <c r="AA236" i="19" s="1"/>
  <c r="AA245" i="19" a="1"/>
  <c r="AA245" i="19" s="1"/>
  <c r="AA238" i="19" a="1"/>
  <c r="AA238" i="19" s="1"/>
  <c r="AA240" i="19" a="1"/>
  <c r="AA240" i="19" s="1"/>
  <c r="AA242" i="19" a="1"/>
  <c r="AA242" i="19" s="1"/>
  <c r="AA243" i="19" a="1"/>
  <c r="AA243" i="19" s="1"/>
  <c r="AA244" i="19" a="1"/>
  <c r="AA244" i="19" s="1"/>
  <c r="W243" i="19" a="1"/>
  <c r="W243" i="19" s="1"/>
  <c r="W245" i="19" a="1"/>
  <c r="W245" i="19" s="1"/>
  <c r="W240" i="19" a="1"/>
  <c r="W240" i="19" s="1"/>
  <c r="W238" i="19" a="1"/>
  <c r="W238" i="19" s="1"/>
  <c r="W241" i="19" a="1"/>
  <c r="W241" i="19" s="1"/>
  <c r="W239" i="19" a="1"/>
  <c r="W239" i="19" s="1"/>
  <c r="W242" i="19" a="1"/>
  <c r="W242" i="19" s="1"/>
  <c r="W244" i="19" a="1"/>
  <c r="W244" i="19" s="1"/>
  <c r="AA237" i="19" a="1"/>
  <c r="AA237" i="19" s="1"/>
  <c r="AA239" i="19" a="1"/>
  <c r="AA239" i="19" s="1"/>
  <c r="W236" i="19" a="1"/>
  <c r="W236" i="19" s="1"/>
  <c r="W237" i="19" a="1"/>
  <c r="W237" i="19" s="1"/>
  <c r="AM236" i="19" a="1"/>
  <c r="AM236" i="19" s="1"/>
  <c r="AM240" i="19" a="1"/>
  <c r="AM240" i="19" s="1"/>
  <c r="AM239" i="19" a="1"/>
  <c r="AM239" i="19" s="1"/>
  <c r="AM244" i="19" a="1"/>
  <c r="AM244" i="19" s="1"/>
  <c r="AM241" i="19" a="1"/>
  <c r="AM241" i="19" s="1"/>
  <c r="AM238" i="19" a="1"/>
  <c r="AM238" i="19" s="1"/>
  <c r="AM245" i="19" a="1"/>
  <c r="AM245" i="19" s="1"/>
  <c r="AM242" i="19" a="1"/>
  <c r="AM242" i="19" s="1"/>
  <c r="AM243" i="19" a="1"/>
  <c r="AM243" i="19" s="1"/>
  <c r="S236" i="19" a="1"/>
  <c r="S236" i="19" s="1"/>
  <c r="S243" i="19" a="1"/>
  <c r="S243" i="19" s="1"/>
  <c r="S242" i="19" a="1"/>
  <c r="S242" i="19" s="1"/>
  <c r="S241" i="19" a="1"/>
  <c r="S241" i="19" s="1"/>
  <c r="S240" i="19" a="1"/>
  <c r="S240" i="19" s="1"/>
  <c r="S239" i="19" a="1"/>
  <c r="S239" i="19" s="1"/>
  <c r="S238" i="19" a="1"/>
  <c r="S238" i="19" s="1"/>
  <c r="S244" i="19" a="1"/>
  <c r="S244" i="19" s="1"/>
  <c r="S245" i="19" a="1"/>
  <c r="S245" i="19" s="1"/>
  <c r="AE236" i="19" a="1"/>
  <c r="AE236" i="19" s="1"/>
  <c r="AE239" i="19" a="1"/>
  <c r="AE239" i="19" s="1"/>
  <c r="AE238" i="19" a="1"/>
  <c r="AE238" i="19" s="1"/>
  <c r="AE241" i="19" a="1"/>
  <c r="AE241" i="19" s="1"/>
  <c r="AE240" i="19" a="1"/>
  <c r="AE240" i="19" s="1"/>
  <c r="AE245" i="19" a="1"/>
  <c r="AE245" i="19" s="1"/>
  <c r="AE244" i="19" a="1"/>
  <c r="AE244" i="19" s="1"/>
  <c r="AE243" i="19" a="1"/>
  <c r="AE243" i="19" s="1"/>
  <c r="AE242" i="19" a="1"/>
  <c r="AE242" i="19" s="1"/>
  <c r="S237" i="19" a="1"/>
  <c r="S237" i="19" s="1"/>
  <c r="AM237" i="19" a="1"/>
  <c r="AM237" i="19" s="1"/>
  <c r="AE237" i="19" a="1"/>
  <c r="AE237" i="19" s="1"/>
  <c r="G127" i="19" l="1" a="1"/>
  <c r="G127" i="19" s="1"/>
  <c r="I127" i="19" a="1"/>
  <c r="I127" i="19" s="1"/>
  <c r="I123" i="19" a="1"/>
  <c r="I123" i="19" s="1"/>
  <c r="G123" i="19" a="1"/>
  <c r="G123" i="19" s="1"/>
  <c r="G129" i="19" a="1"/>
  <c r="G129" i="19" s="1"/>
  <c r="I129" i="19" a="1"/>
  <c r="I129" i="19" s="1"/>
  <c r="I128" i="19" a="1"/>
  <c r="I128" i="19" s="1"/>
  <c r="G128" i="19" a="1"/>
  <c r="G128" i="19" s="1"/>
  <c r="G125" i="19" a="1"/>
  <c r="G125" i="19" s="1"/>
  <c r="I125" i="19" a="1"/>
  <c r="I125" i="19" s="1"/>
  <c r="G126" i="19" a="1"/>
  <c r="G126" i="19" s="1"/>
  <c r="I126" i="19" a="1"/>
  <c r="I126" i="19" s="1"/>
  <c r="I124" i="19" a="1"/>
  <c r="I124" i="19" s="1"/>
  <c r="G124" i="19" a="1"/>
  <c r="G124" i="19" s="1"/>
  <c r="J244" i="19" a="1"/>
  <c r="J244" i="19" s="1"/>
  <c r="K236" i="19" a="1"/>
  <c r="K236" i="19" s="1"/>
  <c r="J238" i="19" a="1"/>
  <c r="J238" i="19" s="1"/>
  <c r="J245" i="19" a="1"/>
  <c r="J245" i="19" s="1"/>
  <c r="J241" i="19" a="1"/>
  <c r="J241" i="19" s="1"/>
  <c r="J236" i="19" a="1"/>
  <c r="J236" i="19" s="1"/>
  <c r="J239" i="19" a="1"/>
  <c r="J239" i="19" s="1"/>
  <c r="J242" i="19" a="1"/>
  <c r="J242" i="19" s="1"/>
  <c r="J240" i="19" a="1"/>
  <c r="J240" i="19" s="1"/>
  <c r="J237" i="19" a="1"/>
  <c r="J237" i="19" s="1"/>
  <c r="J243" i="19" a="1"/>
  <c r="J243" i="19" s="1"/>
  <c r="F241" i="19" a="1"/>
  <c r="F241" i="19" s="1"/>
  <c r="G241" i="19" s="1" a="1"/>
  <c r="G241" i="19" s="1"/>
  <c r="F244" i="19" a="1"/>
  <c r="F244" i="19" s="1"/>
  <c r="G244" i="19" s="1" a="1"/>
  <c r="G244" i="19" s="1"/>
  <c r="F236" i="19" a="1"/>
  <c r="F236" i="19" s="1"/>
  <c r="F237" i="19" a="1"/>
  <c r="F237" i="19" s="1"/>
  <c r="G237" i="19" s="1" a="1"/>
  <c r="G237" i="19" s="1"/>
  <c r="F239" i="19" a="1"/>
  <c r="F239" i="19" s="1"/>
  <c r="G239" i="19" s="1" a="1"/>
  <c r="G239" i="19" s="1"/>
  <c r="F240" i="19" a="1"/>
  <c r="F240" i="19" s="1"/>
  <c r="G240" i="19" s="1" a="1"/>
  <c r="G240" i="19" s="1"/>
  <c r="F245" i="19" a="1"/>
  <c r="F245" i="19" s="1"/>
  <c r="G245" i="19" s="1" a="1"/>
  <c r="G245" i="19" s="1"/>
  <c r="F242" i="19" a="1"/>
  <c r="F242" i="19" s="1"/>
  <c r="G242" i="19" s="1" a="1"/>
  <c r="G242" i="19" s="1"/>
  <c r="F243" i="19" a="1"/>
  <c r="F243" i="19" s="1"/>
  <c r="G243" i="19" s="1" a="1"/>
  <c r="G243" i="19" s="1"/>
  <c r="F238" i="19" a="1"/>
  <c r="F238" i="19" s="1"/>
  <c r="G238" i="19" s="1" a="1"/>
  <c r="G238" i="19" s="1"/>
  <c r="K242" i="19" a="1"/>
  <c r="K242" i="19" s="1"/>
  <c r="H242" i="19" a="1"/>
  <c r="H242" i="19" s="1"/>
  <c r="K240" i="19" a="1"/>
  <c r="K240" i="19" s="1"/>
  <c r="H240" i="19" a="1"/>
  <c r="H240" i="19" s="1"/>
  <c r="H236" i="19" a="1"/>
  <c r="H236" i="19" s="1"/>
  <c r="H237" i="19" a="1"/>
  <c r="H237" i="19" s="1"/>
  <c r="K237" i="19" a="1"/>
  <c r="K237" i="19" s="1"/>
  <c r="K238" i="19" a="1"/>
  <c r="K238" i="19" s="1"/>
  <c r="H238" i="19" a="1"/>
  <c r="H238" i="19" s="1"/>
  <c r="K241" i="19" a="1"/>
  <c r="K241" i="19" s="1"/>
  <c r="H241" i="19" a="1"/>
  <c r="H241" i="19" s="1"/>
  <c r="H243" i="19" a="1"/>
  <c r="H243" i="19" s="1"/>
  <c r="K243" i="19" a="1"/>
  <c r="K243" i="19" s="1"/>
  <c r="H244" i="19" a="1"/>
  <c r="H244" i="19" s="1"/>
  <c r="K244" i="19" a="1"/>
  <c r="K244" i="19" s="1"/>
  <c r="H245" i="19" a="1"/>
  <c r="H245" i="19" s="1"/>
  <c r="K245" i="19" a="1"/>
  <c r="K245" i="19" s="1"/>
  <c r="K239" i="19" a="1"/>
  <c r="K239" i="19" s="1"/>
  <c r="H239" i="19" a="1"/>
  <c r="H239" i="19" s="1"/>
  <c r="G236" i="19" l="1" a="1"/>
  <c r="G236" i="19" s="1"/>
  <c r="E263" i="19" s="1"/>
  <c r="E267" i="19"/>
  <c r="F17" i="41" s="1"/>
  <c r="E264" i="19"/>
  <c r="E74" i="34" a="1"/>
  <c r="E74" i="34" s="1"/>
  <c r="J86" i="34" s="1"/>
  <c r="E131" i="19"/>
  <c r="E132" i="19"/>
  <c r="E266" i="19"/>
  <c r="E17" i="41" s="1"/>
  <c r="E160" i="19" l="1"/>
  <c r="F15" i="41" s="1"/>
  <c r="E159" i="19"/>
  <c r="E15" i="41" s="1"/>
  <c r="E19" i="34" a="1"/>
  <c r="E19" i="34" s="1"/>
  <c r="E90" i="34" a="1"/>
  <c r="E90" i="34" s="1"/>
  <c r="E55" i="34" a="1"/>
  <c r="E55" i="34" s="1"/>
  <c r="E588" i="19" l="1" a="1"/>
  <c r="E588" i="19" s="1"/>
  <c r="G590" i="19" s="1"/>
  <c r="E593" i="19" s="1" a="1"/>
  <c r="E593"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<sst xmlns="http://schemas.openxmlformats.org/spreadsheetml/2006/main" count="2691" uniqueCount="950">
  <si>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</si>
  <si>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</si>
  <si>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</si>
  <si>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</si>
  <si>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</si>
  <si>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</si>
  <si>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</si>
  <si>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</si>
  <si>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</si>
  <si>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</si>
  <si>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</si>
  <si>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</si>
  <si>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</si>
  <si>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</si>
  <si>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</si>
  <si>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</si>
  <si>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</si>
  <si>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</si>
  <si>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</si>
  <si>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</si>
  <si>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</si>
  <si>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</si>
  <si>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</si>
  <si>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</si>
  <si>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</si>
  <si>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</si>
  <si>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</si>
  <si>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</si>
  <si>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</si>
  <si>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</si>
  <si>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</si>
  <si>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</si>
  <si>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</si>
  <si>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</si>
  <si>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</si>
  <si>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</si>
  <si>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</si>
  <si>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</si>
  <si>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</si>
  <si>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</si>
  <si>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</si>
  <si>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</si>
  <si>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</si>
  <si>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</si>
  <si>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</si>
  <si>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</si>
  <si>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</si>
  <si>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</si>
  <si>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</si>
  <si>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</si>
  <si>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</si>
  <si>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</si>
  <si>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</si>
  <si>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</si>
  <si>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</si>
  <si>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</si>
  <si>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</si>
  <si>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</si>
  <si>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</si>
  <si>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</si>
  <si>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</si>
  <si>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</si>
  <si>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</si>
  <si>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</si>
  <si>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</si>
  <si>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</si>
  <si>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</si>
  <si>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</si>
  <si>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</si>
  <si>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</si>
  <si>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</si>
  <si>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</si>
  <si>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</si>
  <si>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</si>
  <si>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</si>
  <si>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</si>
  <si>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</si>
  <si>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</si>
  <si>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</si>
  <si>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</si>
  <si>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</si>
  <si>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</si>
  <si>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</si>
  <si>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</si>
  <si>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</si>
  <si>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</si>
  <si>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</si>
  <si>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</si>
  <si>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</si>
  <si>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</si>
  <si>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</si>
  <si>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</si>
  <si>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</si>
  <si>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</si>
  <si>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</si>
  <si>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</si>
  <si>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</si>
  <si>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</si>
  <si>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</si>
  <si>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</si>
  <si>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</si>
  <si>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</si>
  <si>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</si>
  <si>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</si>
  <si>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</si>
  <si>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</si>
  <si>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</si>
  <si>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</si>
  <si>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</si>
  <si>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</si>
  <si>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</si>
  <si>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</si>
  <si>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</si>
  <si>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</si>
  <si>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</si>
  <si>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</si>
  <si>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</si>
  <si>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</si>
  <si>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</si>
  <si>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</si>
  <si>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</si>
  <si>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</si>
  <si>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</si>
  <si>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</si>
  <si>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</si>
  <si>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</si>
  <si>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</si>
  <si>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</si>
  <si>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</si>
  <si>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</si>
  <si>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</si>
  <si>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</si>
  <si>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</si>
  <si>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</si>
  <si>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</si>
  <si>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</si>
  <si>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</si>
  <si>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</si>
  <si>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</si>
  <si>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</si>
  <si>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</si>
  <si>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</si>
  <si>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</si>
  <si>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</si>
  <si>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</si>
  <si>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</si>
  <si>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</si>
  <si>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</si>
  <si>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</si>
  <si>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</si>
  <si>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</si>
  <si>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</si>
  <si>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</si>
  <si>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</si>
  <si>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</si>
  <si>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</si>
  <si>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</si>
  <si>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</si>
  <si>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</si>
  <si>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</si>
  <si>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</si>
  <si>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</si>
  <si>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</si>
  <si>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</si>
  <si>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</si>
  <si>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</si>
  <si>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</si>
  <si>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</si>
  <si>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</si>
  <si>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</si>
  <si>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</si>
  <si>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</si>
  <si>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</si>
  <si>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</si>
  <si>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</si>
  <si>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</si>
  <si>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</si>
  <si>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</si>
  <si>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</si>
  <si>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</si>
  <si>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</si>
  <si>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</si>
  <si>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</si>
  <si>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</si>
  <si>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</si>
  <si>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</si>
  <si>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</si>
  <si>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</si>
  <si>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</si>
  <si>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</si>
  <si>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</si>
  <si>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</si>
  <si>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</si>
  <si>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</si>
  <si>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</si>
  <si>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</si>
  <si>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</si>
  <si>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</si>
  <si>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</si>
  <si>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</si>
  <si>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</si>
  <si>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</si>
  <si>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</si>
  <si>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</si>
  <si>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</si>
  <si>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</si>
  <si>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</si>
  <si>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</si>
  <si>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</si>
  <si>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</si>
  <si>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</si>
  <si>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</si>
  <si>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</si>
  <si>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</si>
  <si>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</si>
  <si>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</si>
  <si>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</si>
  <si>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</si>
  <si>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</si>
  <si>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</si>
  <si>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</si>
  <si>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</si>
  <si>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</si>
  <si>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</si>
  <si>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</si>
  <si>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</si>
  <si>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</si>
  <si>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</si>
  <si>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</si>
  <si>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</si>
  <si>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</si>
  <si>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</si>
  <si>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</si>
  <si>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</si>
  <si>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</si>
  <si>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</si>
  <si>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</si>
  <si>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</si>
  <si>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</si>
  <si>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</si>
  <si>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</si>
  <si>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</si>
  <si>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</si>
  <si>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</si>
  <si>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</si>
  <si>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</si>
  <si>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</si>
  <si>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</si>
  <si>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</si>
  <si>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</si>
  <si>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</si>
  <si>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</si>
  <si>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</si>
  <si>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</si>
  <si>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</si>
  <si>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</si>
  <si>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</si>
  <si>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</si>
  <si>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</si>
  <si>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</si>
  <si>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</si>
  <si>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</si>
  <si>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</si>
  <si>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</si>
  <si>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</si>
  <si>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</si>
  <si>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</si>
  <si>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</si>
  <si>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</si>
  <si>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</si>
  <si>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</si>
  <si>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</si>
  <si>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</si>
  <si>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</si>
  <si>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</si>
  <si>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</si>
  <si>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</si>
  <si>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</si>
  <si>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</si>
  <si>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</si>
  <si>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</si>
  <si>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</si>
  <si>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</si>
  <si>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</si>
  <si>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</si>
  <si>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</si>
  <si>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</si>
  <si>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</si>
  <si>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</si>
  <si>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</si>
  <si>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</si>
  <si>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</si>
  <si>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</si>
  <si>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</si>
  <si>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</si>
  <si>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</si>
  <si>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</si>
  <si>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</si>
  <si>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</si>
  <si>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</si>
  <si>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</si>
  <si>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</si>
  <si>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</si>
  <si>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</si>
  <si>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</si>
  <si>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</si>
  <si>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</si>
  <si>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</si>
  <si>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</si>
  <si>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</si>
  <si>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</si>
  <si>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</si>
  <si>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</si>
  <si>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</si>
  <si>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</si>
  <si>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</si>
  <si>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</si>
  <si>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</si>
  <si>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</si>
  <si>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</si>
  <si>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</si>
  <si>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</si>
  <si>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</si>
  <si>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</si>
  <si>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</si>
  <si>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</si>
  <si>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</si>
  <si>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</si>
  <si>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</si>
  <si>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</si>
  <si>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</si>
  <si>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</si>
  <si>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</si>
  <si>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</si>
  <si>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</si>
  <si>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</si>
  <si>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</si>
  <si>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</si>
  <si>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</si>
  <si>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</si>
  <si>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</si>
  <si>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</si>
  <si>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</si>
  <si>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</si>
  <si>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</si>
  <si>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</si>
  <si>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</si>
  <si>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</si>
  <si>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</si>
  <si>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</si>
  <si>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</si>
  <si>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</si>
  <si>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</si>
  <si>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</si>
  <si>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</si>
  <si>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</si>
  <si>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</si>
  <si>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</si>
  <si>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</si>
  <si>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</si>
  <si>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</si>
  <si>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</si>
  <si>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</si>
  <si>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</si>
  <si>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</si>
  <si>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</si>
  <si>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</si>
  <si>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</si>
  <si>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</si>
  <si>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</si>
  <si>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</si>
  <si>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</si>
  <si>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</si>
  <si>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</si>
  <si>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</si>
  <si>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</si>
  <si>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</si>
  <si>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</si>
  <si>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</si>
  <si>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</si>
  <si>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</si>
  <si>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</si>
  <si>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</si>
  <si>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</si>
  <si>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</si>
  <si>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</si>
  <si>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</si>
  <si>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</si>
  <si>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</si>
  <si>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</si>
  <si>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</si>
  <si>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</si>
  <si>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</si>
  <si>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</si>
  <si>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</si>
  <si>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</si>
  <si>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</si>
  <si>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</si>
  <si>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</si>
  <si>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</si>
  <si>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</si>
  <si>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</si>
  <si>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</si>
  <si>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</si>
  <si>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</si>
  <si>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</si>
  <si>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</si>
  <si>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</si>
  <si>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</si>
  <si>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</si>
  <si>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</si>
  <si>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</si>
  <si>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</si>
  <si>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</si>
  <si>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</si>
  <si>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</si>
  <si>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</si>
  <si>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</si>
  <si>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</si>
  <si>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</si>
  <si>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</si>
  <si>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</si>
  <si>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</si>
  <si>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</si>
  <si>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</si>
  <si>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</si>
  <si>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</si>
  <si>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</si>
  <si>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</si>
  <si>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</si>
  <si>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</si>
  <si>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</si>
  <si>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</si>
  <si>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</si>
  <si>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</si>
  <si>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</si>
  <si>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</si>
  <si>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</si>
  <si>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</si>
  <si>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</si>
  <si>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</si>
  <si>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</si>
  <si>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</si>
  <si>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</si>
  <si>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</si>
  <si>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</si>
  <si>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</si>
  <si>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</si>
  <si>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</si>
  <si>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</si>
  <si>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</si>
  <si>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</si>
  <si>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</si>
  <si>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</si>
  <si>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</si>
  <si>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</si>
  <si>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</si>
  <si>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</si>
  <si>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</si>
  <si>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</si>
  <si>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</si>
  <si>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</si>
  <si>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</si>
  <si>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</si>
  <si>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</si>
  <si>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</si>
  <si>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</si>
  <si>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</si>
  <si>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</si>
  <si>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</si>
  <si>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</si>
  <si>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</si>
  <si>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</si>
  <si>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</si>
  <si>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</si>
  <si>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</si>
  <si>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</si>
  <si>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</si>
  <si>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</si>
  <si>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</si>
  <si>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</si>
  <si>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</si>
  <si>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</si>
  <si>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</si>
  <si>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</si>
  <si>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</si>
  <si>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</si>
  <si>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</si>
  <si>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</si>
  <si>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</si>
  <si>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</si>
  <si>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</si>
  <si>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</si>
  <si>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</si>
  <si>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</si>
  <si>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</si>
  <si>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</si>
  <si>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</si>
  <si>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</si>
  <si>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</si>
  <si>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</si>
  <si>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</si>
  <si>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</si>
  <si>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</si>
  <si>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</si>
  <si>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</si>
  <si>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</si>
  <si>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</si>
  <si>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</si>
  <si>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</si>
  <si>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</si>
  <si>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</si>
  <si>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</si>
  <si>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</si>
  <si>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</si>
  <si>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</si>
  <si>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</si>
  <si>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</si>
  <si>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</si>
  <si>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</si>
  <si>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</si>
  <si>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</si>
  <si>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</si>
  <si>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</si>
  <si>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</si>
  <si>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</si>
  <si>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</si>
  <si>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</si>
  <si>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</si>
  <si>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</si>
  <si>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</si>
  <si>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</si>
  <si>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</si>
  <si>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</si>
  <si>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</si>
  <si>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</si>
  <si>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</si>
  <si>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</si>
  <si>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</si>
  <si>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</si>
  <si>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</si>
  <si>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</si>
  <si>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</si>
  <si>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</si>
  <si>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</si>
  <si>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</si>
  <si>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</si>
  <si>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</si>
  <si>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</si>
  <si>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</si>
  <si>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</si>
  <si>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</si>
  <si>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</si>
  <si>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</si>
  <si>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</si>
  <si>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</si>
  <si>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</si>
  <si>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</si>
  <si>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</si>
  <si>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</si>
  <si>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</si>
  <si>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</si>
  <si>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</si>
  <si>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</si>
  <si>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</si>
  <si>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</si>
  <si>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</si>
  <si>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</si>
  <si>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</si>
  <si>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</si>
  <si>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</si>
  <si>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</si>
  <si>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</si>
  <si>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</si>
  <si>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</si>
  <si>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</si>
  <si>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</si>
  <si>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</si>
  <si>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</si>
  <si>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</si>
  <si>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</si>
  <si>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</si>
  <si>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</si>
  <si>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</si>
  <si>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</si>
  <si>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</si>
  <si>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</si>
  <si>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</si>
  <si>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</si>
  <si>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</si>
  <si>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</si>
  <si>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</si>
  <si>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</si>
  <si>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</si>
  <si>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</si>
  <si>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</si>
  <si>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</si>
  <si>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</si>
  <si>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</si>
  <si>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</si>
  <si>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</si>
  <si>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</si>
  <si>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</si>
  <si>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</si>
  <si>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</si>
  <si>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</si>
  <si>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</si>
  <si>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</si>
  <si>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</si>
  <si>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</si>
  <si>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</si>
  <si>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</si>
  <si>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</si>
  <si>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</si>
  <si>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</si>
  <si>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</si>
  <si>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</si>
  <si>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</si>
  <si>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</si>
  <si>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</si>
  <si>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</si>
  <si>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</si>
  <si>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</si>
  <si>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</si>
  <si>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</si>
  <si>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</si>
  <si>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</si>
  <si>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</si>
  <si>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</si>
  <si>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</si>
  <si>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</si>
  <si>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</si>
  <si>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</si>
  <si>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</si>
  <si>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</si>
  <si>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</si>
  <si>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</si>
  <si>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</si>
  <si>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</si>
  <si>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</si>
  <si>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</si>
  <si>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</si>
  <si>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</si>
  <si>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</si>
  <si>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</si>
  <si>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</si>
  <si>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</si>
  <si>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</si>
  <si>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</si>
  <si>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</si>
  <si>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</si>
  <si>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</si>
  <si>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</si>
  <si>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</si>
  <si>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</si>
  <si>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</si>
  <si>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</si>
  <si>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</si>
  <si>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</si>
  <si>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</si>
  <si>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</si>
  <si>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</si>
  <si>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</si>
  <si>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</si>
  <si>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</si>
  <si>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</si>
  <si>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</si>
  <si>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</si>
  <si>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</si>
  <si>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</si>
  <si>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</si>
  <si>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</si>
  <si>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</si>
  <si>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</si>
  <si>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</si>
  <si>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</si>
  <si>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</si>
  <si>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</si>
  <si>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</si>
  <si>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</si>
  <si>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</si>
  <si>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</si>
  <si>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</si>
  <si>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</si>
  <si>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</si>
  <si>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</si>
  <si>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</si>
  <si>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</si>
  <si>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</si>
  <si>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</si>
  <si>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</si>
  <si>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</si>
  <si>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</si>
  <si>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</si>
  <si>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</si>
  <si>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</si>
  <si>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</si>
  <si>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</si>
  <si>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</si>
  <si>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</si>
  <si>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</si>
  <si>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</si>
  <si>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</si>
  <si>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</si>
  <si>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</si>
  <si>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</si>
  <si>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</si>
  <si>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</si>
  <si>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</si>
  <si>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</si>
  <si>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</si>
  <si>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</si>
  <si>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</si>
  <si>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</si>
  <si>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</si>
  <si>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</si>
  <si>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</si>
  <si>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</si>
  <si>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</si>
  <si>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</si>
  <si>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</si>
  <si>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</si>
  <si>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</si>
  <si>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</si>
  <si>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</si>
  <si>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</si>
  <si>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</si>
  <si>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</si>
  <si>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</si>
  <si>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</si>
  <si>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</si>
  <si>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</si>
  <si>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</si>
  <si>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</si>
  <si>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</si>
  <si>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</si>
  <si>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</si>
  <si>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</si>
  <si>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</si>
  <si>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</si>
  <si>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</si>
  <si>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</si>
  <si>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</si>
  <si>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</si>
  <si>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</si>
  <si>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</si>
  <si>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</si>
  <si>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</si>
  <si>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</si>
  <si>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</si>
  <si>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</si>
  <si>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</si>
  <si>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</si>
  <si>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</si>
  <si>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</si>
  <si>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</si>
  <si>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</si>
  <si>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</si>
  <si>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</si>
  <si>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</si>
  <si>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</si>
  <si>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</si>
  <si>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</si>
  <si>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</si>
  <si>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</si>
  <si>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</si>
  <si>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</si>
  <si>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</si>
  <si>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</si>
  <si>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</si>
  <si>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</si>
  <si>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</si>
  <si>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</si>
  <si>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</si>
  <si>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</si>
  <si>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</si>
  <si>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</si>
  <si>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</si>
  <si>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</si>
  <si>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</si>
  <si>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</si>
  <si>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</si>
  <si>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</si>
  <si>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</si>
  <si>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</si>
  <si>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</si>
  <si>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</si>
  <si>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</si>
  <si>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</si>
  <si>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</si>
  <si>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</si>
  <si>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</si>
  <si>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</si>
  <si>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</si>
  <si>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</si>
  <si>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</si>
  <si>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</si>
  <si>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</si>
  <si>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</si>
  <si>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</si>
  <si>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</si>
  <si>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</si>
  <si>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</si>
  <si>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</si>
  <si>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</si>
  <si>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</si>
  <si>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</si>
  <si>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</si>
  <si>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</si>
  <si>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</si>
  <si>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</si>
  <si>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</si>
  <si>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</si>
  <si>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</si>
  <si>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</si>
  <si>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</si>
  <si>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</si>
  <si>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</si>
  <si>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</si>
  <si>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</si>
  <si>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</si>
  <si>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</si>
  <si>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</si>
  <si>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</si>
  <si>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</si>
  <si>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</si>
  <si>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</si>
  <si>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</si>
  <si>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</si>
  <si>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</si>
  <si>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</si>
  <si>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</si>
  <si>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</si>
  <si>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</si>
  <si>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</si>
  <si>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</si>
  <si>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</si>
  <si>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</si>
  <si>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</si>
  <si>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</si>
  <si>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</si>
  <si>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</si>
  <si>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</si>
  <si>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</si>
  <si>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</si>
  <si>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</si>
  <si>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</si>
  <si>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</si>
  <si>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</si>
  <si>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</si>
  <si>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</si>
  <si>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</si>
  <si>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</si>
  <si>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</si>
  <si>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</si>
  <si>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</si>
  <si>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</si>
  <si>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</si>
  <si>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</si>
  <si>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</si>
  <si>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</si>
  <si>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</si>
  <si>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</si>
  <si>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</si>
  <si>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</si>
  <si>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</si>
  <si>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</si>
  <si>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</si>
  <si>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</si>
  <si>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</si>
  <si>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</si>
  <si>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</si>
  <si>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</si>
  <si>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</si>
  <si>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</si>
  <si>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</si>
  <si>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</si>
  <si>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</si>
  <si>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</si>
  <si>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</si>
  <si>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</si>
  <si>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</si>
  <si>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</si>
  <si>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</si>
  <si>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</si>
  <si>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</si>
  <si>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</si>
  <si>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</si>
  <si>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</si>
  <si>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</si>
  <si>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</si>
  <si>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</si>
  <si>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</si>
  <si>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</si>
  <si>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</si>
  <si>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</si>
  <si>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</si>
  <si>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</si>
  <si>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</si>
  <si>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</si>
  <si>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</si>
  <si>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</si>
  <si>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</si>
  <si>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</si>
  <si>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</si>
  <si>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</si>
  <si>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</si>
  <si>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</si>
  <si>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</si>
  <si>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</si>
  <si>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</si>
  <si>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Fish feed and bait</t>
  </si>
  <si>
    <t>GHGEI-MIAFF</t>
  </si>
  <si>
    <t>Emissions intensity</t>
  </si>
  <si>
    <t>VEERG</t>
  </si>
  <si>
    <t>Wheat grain</t>
  </si>
  <si>
    <t>Input - Aquaculture and wild catch fishery inputs</t>
  </si>
  <si>
    <t>Feed and bait</t>
  </si>
  <si>
    <t>Low Animal Protein Formulated Feed</t>
  </si>
  <si>
    <t>Squid</t>
  </si>
  <si>
    <t>Whole fish</t>
  </si>
  <si>
    <t>Custom Bait</t>
  </si>
  <si>
    <t>Sardines (whole) from South Australia</t>
  </si>
  <si>
    <t>Sardines (whole) from the rest of Australia</t>
  </si>
  <si>
    <t>kg purchased</t>
  </si>
  <si>
    <t>Aquaculture and wild catch fieshery feed and bait</t>
  </si>
  <si>
    <t>Contains inhibitor</t>
  </si>
  <si>
    <t>N declared</t>
  </si>
  <si>
    <t>P declared</t>
  </si>
  <si>
    <t>K declared</t>
  </si>
  <si>
    <t>S declared</t>
  </si>
  <si>
    <t>Ingredient 10</t>
  </si>
  <si>
    <t>Input - Fertiliser Production System</t>
  </si>
  <si>
    <t>% N (Ingredients)</t>
  </si>
  <si>
    <t>% N (declared)</t>
  </si>
  <si>
    <t>Boost-It</t>
  </si>
  <si>
    <t>Cal-Gran 50/50</t>
  </si>
  <si>
    <r>
      <t xml:space="preserve">Amount applied </t>
    </r>
    <r>
      <rPr>
        <sz val="11"/>
        <color theme="1"/>
        <rFont val="Times New Roman"/>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</si>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</sst>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2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19">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6">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5" fillId="2" borderId="0" xfId="31" applyAlignment="1">
      <alignment horizontal="left" vertical="center"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1" xfId="36" applyFont="1" applyFill="1" applyBorder="1" applyAlignment="1">
      <alignment horizontal="center" vertical="center" wrapText="1"/>
    </xf>
    <xf numFmtId="0" fontId="22" fillId="8" borderId="12" xfId="16" applyBorder="1">
      <alignment horizontal="left" vertical="center"/>
    </xf>
    <xf numFmtId="0" fontId="22" fillId="8" borderId="0" xfId="16" applyBorder="1">
      <alignment horizontal="left" vertical="center"/>
    </xf>
    <xf numFmtId="0" fontId="22" fillId="8" borderId="13"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0" fontId="22" fillId="8" borderId="14" xfId="16" applyBorder="1">
      <alignment horizontal="left" vertical="center"/>
    </xf>
    <xf numFmtId="0" fontId="22" fillId="8" borderId="15"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6"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7" xfId="16" applyBorder="1">
      <alignment horizontal="left" vertical="center"/>
    </xf>
    <xf numFmtId="0" fontId="22" fillId="8" borderId="18"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0" xfId="19" applyBorder="1">
      <alignment horizontal="center" vertical="center"/>
    </xf>
    <xf numFmtId="0" fontId="11" fillId="0" borderId="20"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0" xfId="20" applyBorder="1">
      <alignment horizontal="center" vertical="center"/>
    </xf>
    <xf numFmtId="0" fontId="0" fillId="0" borderId="0" xfId="6" applyFont="1" applyFill="1" applyAlignment="1">
      <alignment horizontal="left" vertical="center" wrapText="1"/>
    </xf>
    <xf numFmtId="0" fontId="4" fillId="11" borderId="20"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1"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2" xfId="48" applyBorder="1">
      <alignment horizontal="left" vertical="center"/>
    </xf>
    <xf numFmtId="0" fontId="61" fillId="2" borderId="0" xfId="52">
      <alignment horizontal="left" vertical="center"/>
    </xf>
    <xf numFmtId="0" fontId="22" fillId="8" borderId="23"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0" xfId="54" applyBorder="1">
      <alignment horizontal="center" vertical="center"/>
    </xf>
    <xf numFmtId="169" fontId="54" fillId="2" borderId="20" xfId="20" applyNumberFormat="1" applyFont="1" applyBorder="1">
      <alignment horizontal="center" vertical="center"/>
    </xf>
    <xf numFmtId="0" fontId="24" fillId="2" borderId="24" xfId="20" applyBorder="1">
      <alignment horizontal="center" vertical="center"/>
    </xf>
    <xf numFmtId="0" fontId="24" fillId="2" borderId="25" xfId="20" applyBorder="1">
      <alignment horizontal="center" vertical="center"/>
    </xf>
    <xf numFmtId="4" fontId="24" fillId="2" borderId="24" xfId="54" applyBorder="1">
      <alignment horizontal="center" vertical="center"/>
    </xf>
    <xf numFmtId="4" fontId="24" fillId="2" borderId="26" xfId="54" applyBorder="1">
      <alignment horizontal="center" vertical="center"/>
    </xf>
    <xf numFmtId="169" fontId="54" fillId="2" borderId="26" xfId="20" applyNumberFormat="1" applyFont="1" applyBorder="1">
      <alignment horizontal="center" vertical="center"/>
    </xf>
    <xf numFmtId="169" fontId="54" fillId="2" borderId="24" xfId="20" applyNumberFormat="1" applyFont="1" applyBorder="1">
      <alignment horizontal="center" vertical="center"/>
    </xf>
    <xf numFmtId="0" fontId="24" fillId="2" borderId="26" xfId="20" applyBorder="1">
      <alignment horizontal="center" vertical="center"/>
    </xf>
    <xf numFmtId="0" fontId="54" fillId="2" borderId="26" xfId="20" applyFont="1" applyBorder="1">
      <alignment horizontal="center" vertical="center"/>
    </xf>
    <xf numFmtId="0" fontId="4" fillId="2" borderId="27" xfId="4" applyBorder="1">
      <alignment horizontal="left" vertical="center"/>
    </xf>
    <xf numFmtId="170" fontId="12" fillId="2" borderId="27" xfId="3" applyNumberFormat="1" applyFont="1" applyFill="1" applyBorder="1"/>
    <xf numFmtId="0" fontId="10" fillId="2" borderId="27" xfId="29" applyBorder="1">
      <alignment horizontal="left" vertical="center" indent="1"/>
    </xf>
    <xf numFmtId="171" fontId="12" fillId="2" borderId="0" xfId="3" applyNumberFormat="1" applyFont="1" applyFill="1" applyAlignment="1">
      <alignment vertical="center"/>
    </xf>
    <xf numFmtId="170" fontId="12" fillId="2" borderId="27" xfId="3" applyNumberFormat="1" applyFont="1" applyFill="1" applyBorder="1" applyAlignment="1">
      <alignment vertical="center"/>
    </xf>
    <xf numFmtId="0" fontId="12" fillId="2" borderId="0" xfId="3" applyFont="1" applyFill="1" applyAlignment="1">
      <alignment vertical="center"/>
    </xf>
    <xf numFmtId="170" fontId="71" fillId="2" borderId="27" xfId="3" applyNumberFormat="1" applyFont="1" applyFill="1" applyBorder="1" applyAlignment="1">
      <alignment vertical="center"/>
    </xf>
    <xf numFmtId="171" fontId="54" fillId="2" borderId="1" xfId="54" applyNumberFormat="1" applyFont="1">
      <alignment horizontal="center" vertical="center"/>
    </xf>
    <xf numFmtId="171" fontId="54" fillId="2" borderId="20" xfId="54" applyNumberFormat="1" applyFont="1" applyBorder="1">
      <alignment horizontal="center" vertical="center"/>
    </xf>
    <xf numFmtId="171" fontId="54" fillId="2" borderId="26"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8" xfId="48" applyBorder="1">
      <alignment horizontal="left" vertical="center"/>
    </xf>
    <xf numFmtId="0" fontId="24" fillId="2" borderId="1" xfId="20" applyAlignment="1">
      <alignment horizontal="left" vertical="center"/>
    </xf>
    <xf numFmtId="0" fontId="24" fillId="2" borderId="22" xfId="20" applyBorder="1" applyAlignment="1">
      <alignment horizontal="left" vertical="center"/>
    </xf>
    <xf numFmtId="0" fontId="24" fillId="2" borderId="28" xfId="20" applyBorder="1">
      <alignment horizontal="center" vertical="center"/>
    </xf>
    <xf numFmtId="0" fontId="24" fillId="2" borderId="21"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0" fillId="0" borderId="0" xfId="0" applyAlignment="1">
      <alignment vertical="center" wrapText="1"/>
    </xf>
    <xf numFmtId="0" fontId="0" fillId="0" borderId="0" xfId="0" applyAlignment="1">
      <alignment vertical="center"/>
    </xf>
    <xf numFmtId="0" fontId="33" fillId="2" borderId="0" xfId="0" applyFont="1" applyFill="1" applyAlignment="1">
      <alignment horizontal="center" vertical="center"/>
    </xf>
    <xf numFmtId="0" fontId="33" fillId="2" borderId="0" xfId="0" applyFont="1" applyFill="1"/>
    <xf numFmtId="0" fontId="34" fillId="2" borderId="0" xfId="0" applyFont="1" applyFill="1"/>
    <xf numFmtId="0" fontId="0" fillId="2" borderId="1" xfId="20" applyFont="1" applyAlignment="1">
      <alignment horizontal="center" vertical="center" wrapText="1"/>
    </xf>
    <xf numFmtId="0" fontId="33" fillId="2" borderId="0" xfId="0" applyFont="1" applyFill="1" applyAlignment="1">
      <alignment horizontal="left" wrapText="1"/>
    </xf>
    <xf numFmtId="0" fontId="34" fillId="2" borderId="0" xfId="0" applyFont="1" applyFill="1" applyAlignment="1">
      <alignment wrapText="1"/>
    </xf>
    <xf numFmtId="0" fontId="0" fillId="2" borderId="0" xfId="0" applyFill="1" applyAlignment="1">
      <alignment wrapText="1"/>
    </xf>
    <xf numFmtId="9" fontId="0" fillId="0" borderId="0" xfId="21" applyFont="1" applyBorder="1" applyAlignment="1">
      <alignment horizontal="center" vertical="center" wrapText="1"/>
    </xf>
    <xf numFmtId="9" fontId="0" fillId="2" borderId="0" xfId="0" applyNumberFormat="1" applyFill="1"/>
    <xf numFmtId="49" fontId="24" fillId="2" borderId="1" xfId="20" applyNumberFormat="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1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14"/>
      <tableStyleElement type="headerRow" dxfId="613"/>
      <tableStyleElement type="totalRow" dxfId="612"/>
      <tableStyleElement type="firstColumn" dxfId="611"/>
      <tableStyleElement type="firstRowStripe" dxfId="610"/>
      <tableStyleElement type="secondRowStripe" dxfId="609"/>
    </tableStyle>
    <tableStyle name="Equation table" pivot="0" count="6" xr9:uid="{0B4491E8-4F2C-4EE8-9336-DC99561B4B77}">
      <tableStyleElement type="wholeTable" dxfId="608"/>
      <tableStyleElement type="headerRow" dxfId="607"/>
      <tableStyleElement type="totalRow" dxfId="606"/>
      <tableStyleElement type="firstColumn" dxfId="605"/>
      <tableStyleElement type="firstRowStripe" dxfId="604"/>
      <tableStyleElement type="secondRowStripe" dxfId="603"/>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 Target="richData/rdrichvalue.xml"/><Relationship Id="rId47" Type="http://schemas.microsoft.com/office/2023/09/relationships/Python" Target="pyth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Structure" Target="richData/rdrichvaluestructur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1.xml"/><Relationship Id="rId20" Type="http://schemas.openxmlformats.org/officeDocument/2006/relationships/worksheet" Target="worksheets/sheet20.xml"/><Relationship Id="rId41"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602"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601" dataCellStyle="Input select" totalsRowCellStyle="Input select"/>
    <tableColumn id="3" xr3:uid="{E03C244F-B016-4373-8F29-F863250A309B}" name="Fuel type (select)" totalsRowDxfId="600" dataCellStyle="Input select" totalsRowCellStyle="Input select"/>
    <tableColumn id="4" xr3:uid="{70536E5B-E617-4814-BA37-CAE5E35162C6}" name="Amount purchased" totalsRowDxfId="599" totalsRowCellStyle="Content bold"/>
    <tableColumn id="6" xr3:uid="{9F12A1DD-B701-47BF-A99D-DAA4D26B1EB3}" name="Amount unit" totalsRowDxfId="598"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97" totalsRowCellStyle="Input percent">
      <calculatedColumnFormula>1</calculatedColumnFormula>
    </tableColumn>
    <tableColumn id="1" xr3:uid="{54C850E9-3FE0-4B86-92C1-58D2275B9FA5}" name="Amount consumed" totalsRowFunction="custom" totalsRowDxfId="596"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4224761-CD44-4496-9B3F-B7F1DC7A67BA}" name="Table_Input_InorganicFertiliser_Brands" displayName="Table_Input_InorganicFertiliser_Brands" ref="D11:Z21" dataDxfId="595" totalsRowDxfId="594" headerRowCellStyle="Input table column header">
  <autoFilter ref="D11:Z21" xr:uid="{E4224761-CD44-4496-9B3F-B7F1DC7A67BA}"/>
  <tableColumns count="23">
    <tableColumn id="2" xr3:uid="{67BDC85B-C33D-46F6-9AAA-BF8DF7124D54}" name="Product (select)" dataDxfId="593" totalsRowDxfId="592" dataCellStyle="Input select"/>
    <tableColumn id="23" xr3:uid="{AA78F546-FD7B-4394-A011-C1FB83481CCE}" name="Amount applied per hectare" totalsRowFunction="custom" dataDxfId="591" totalsRowDxfId="590">
      <totalsRowFormula>SUM(Table_Input_InorganicFertiliser_Brands[[#Headers],[#Data],[Amount applied per hectare]])</totalsRowFormula>
    </tableColumn>
    <tableColumn id="12" xr3:uid="{E7D3693C-1F5F-4FB0-ACFC-952D70FC57E7}" name="Application unit" dataDxfId="589" totalsRowDxfId="588" dataCellStyle="Input number 2 decimal places">
      <calculatedColumnFormula>IFERROR(_xlfn.XLOOKUP(Table_Input_InorganicFertiliser_Brands[[#This Row],[Product (select)]],FertiliserProducts[Product],FertiliserProducts[Unit]), "kg")</calculatedColumnFormula>
    </tableColumn>
    <tableColumn id="6" xr3:uid="{AE1963AC-9A91-43BC-90F1-A6266D28A112}" name="Application area (ha)" dataDxfId="587" totalsRowDxfId="586">
      <calculatedColumnFormula>X_Cell_Fertiliser_AreaUnderCropping</calculatedColumnFormula>
    </tableColumn>
    <tableColumn id="9" xr3:uid="{EBFBE590-AE1B-4B9D-8DD1-BEE3124B8A3F}" name="Density" dataDxfId="585" totalsRowDxfId="584" dataCellStyle="Input number general calculated">
      <calculatedColumnFormula>IFERROR(_xlfn.XLOOKUP(Table_Input_InorganicFertiliser_Brands[[#This Row],[Product (select)]],FertiliserProducts[Product],FertiliserProducts[Density]), 1)</calculatedColumnFormula>
    </tableColumn>
    <tableColumn id="1" xr3:uid="{44A67DA6-AFC3-476F-82E0-A10E3BE04DCD}" name="Total applied (kg)" dataDxfId="583" totalsRowDxfId="582"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8CE8393-1EEB-48E3-8643-CAA4E62928F5}" name="Ingredient 1" dataDxfId="581" totalsRowDxfId="580"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AD1D9687-66D7-426D-B019-BEF7E1AD1188}" name="Ingredient 1 percent" dataDxfId="579"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C7C63726-5A89-421D-A5EA-783B57B65A4F}" name="Ingredient 2" dataDxfId="578"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B30D5985-5F33-4B77-A904-D32C740C2902}" name="Ingredient 2 percent" dataDxfId="577" totalsRowDxfId="576"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10" xr3:uid="{D39BB024-DA75-476D-A4A2-071C661422FA}" name="Ingredient 3" dataDxfId="575" totalsRowDxfId="574"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CAA2A1CF-9041-4167-8B0C-50BBA2DF7703}" name="Ingredient 3 percent" dataDxfId="573" totalsRowDxfId="572"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3" xr3:uid="{535BE7C1-AA97-44D4-9BD5-B6F7B9E0A72C}" name="Ingredient 4" dataDxfId="571" totalsRowDxfId="570"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6C219744-2EDB-44EE-98B8-F37B054EA61E}" name="Ingredient 4 percent" dataDxfId="569"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6" xr3:uid="{44D9B6A1-4446-43AE-B3A1-8B01CD80E827}" name="Ingredient 5" dataDxfId="568"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9B3DC70E-5967-4EE0-A43F-1316A3EE47F1}" name="Ingredient 5 percent" dataDxfId="567"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9" xr3:uid="{C3110BD5-E3EA-4468-A30F-B3DC7A882B56}" name="Ingredient 6" dataDxfId="566"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0F51F0F2-881D-48E9-BD1E-0D636AC6411B}" name="Ingredient 6 percent" dataDxfId="565"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46390481-F368-4CDA-8AFE-DBFCBDD04F42}" name="% N (Ingredients)" dataDxfId="564" dataCellStyle="Input number general calculated">
      <calculatedColumnFormul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22" xr3:uid="{7B880EE3-8DB2-478D-AC69-12E5604A07C5}" name="% N (declared)" dataDxfId="563" dataCellStyle="Content normal">
      <calculatedColumnFormula array="1">IFERROR(Fertiliser_InputFunctions.Fertiliser_FertiliserProductLookup(Table_Input_InorganicFertiliser_Brands[[#This Row],[Product (select)]], "N declared", FertiliserProducts[#Data], FertiliserProducts[Product], FertiliserProducts[#Headers])*0.01, 0)</calculatedColumnFormula>
    </tableColumn>
    <tableColumn id="5" xr3:uid="{93403908-D92D-4734-BD5D-9540F75A30D6}" name="N application rate (kg/ha)" dataDxfId="562" totalsRowDxfId="561"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A762BCAF-B588-4FD3-AFCC-C100AD2F9974}" name="Urea source" dataDxfId="560" totalsRowDxfId="559" dataCellStyle="Input number general calculated">
      <calculatedColumnFormula>IFERROR(_xlfn.XLOOKUP(Table_Input_InorganicFertiliser_Brands[[#This Row],[Product (select)]],FertiliserProducts[Product],FertiliserProducts[Urea source]), "")</calculatedColumnFormula>
    </tableColumn>
    <tableColumn id="18" xr3:uid="{E8AAADA5-E957-4E2C-8A2A-834655B53133}" name="Ammonia source" dataDxfId="558" totalsRowDxfId="557" dataCellStyle="Input number general calculated">
      <calculatedColumnFormula>IFERROR(_xlfn.XLOOKUP(Table_Input_InorganicFertiliser_Brands[[#This Row],[Product (select)]],FertiliserProducts[Product],FertiliserProducts[Ammonia source]), "")</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5BDADA-61CB-4632-B8B1-661138F27720}" name="Table_Input_InorganicFertiliser_Custom" displayName="Table_Input_InorganicFertiliser_Custom" ref="D24:R34" totalsRowShown="0" headerRowDxfId="556" dataDxfId="555">
  <autoFilter ref="D24:R34" xr:uid="{AF5BDADA-61CB-4632-B8B1-661138F27720}"/>
  <tableColumns count="15">
    <tableColumn id="1" xr3:uid="{50CD562D-57F7-4A5E-80DE-452D10DAD7EC}" name="Custom blend name" dataCellStyle="Input text"/>
    <tableColumn id="2" xr3:uid="{61B6B223-DC23-48A4-A269-3418991DEB27}" name="Amount applied (kg / ha)" dataDxfId="554"/>
    <tableColumn id="3" xr3:uid="{E61DBD00-936B-4277-8ACB-408493889E0B}" name="Application area (ha)" dataDxfId="553" dataCellStyle="Input number 2 decimal places">
      <calculatedColumnFormula>X_Cell_Fertiliser_AreaUnderCropping</calculatedColumnFormula>
    </tableColumn>
    <tableColumn id="4" xr3:uid="{D881CC3E-1AA1-4937-A412-5999EEEFF55A}" name="Total applied (kg)" dataDxfId="552" dataCellStyle="Input number general calculated">
      <calculatedColumnFormula>Table_Input_InorganicFertiliser_Custom[[#This Row],[Amount applied (kg / ha)]]*Table_Input_InorganicFertiliser_Custom[[#This Row],[Application area (ha)]]</calculatedColumnFormula>
    </tableColumn>
    <tableColumn id="5" xr3:uid="{92DBA540-5529-4D18-B472-ED640B9C95A4}" name="Ingredient 1 (select)" dataDxfId="551" dataCellStyle="Input select"/>
    <tableColumn id="6" xr3:uid="{8662EBF6-D0B3-474D-8E37-495BDB5BFED3}" name="Ingredient 1 percent" dataDxfId="550"/>
    <tableColumn id="8" xr3:uid="{13814A6B-0F71-4315-A542-402EC47D1C0A}" name="Ingredient 2" dataDxfId="549" dataCellStyle="Input select"/>
    <tableColumn id="9" xr3:uid="{AA9842A9-5587-4546-BEFE-7B073FB50FF4}" name="Ingredient 2 percent" dataDxfId="548"/>
    <tableColumn id="11" xr3:uid="{5B41EE58-5F51-4BD4-8E46-8109BDCBFAC4}" name="Ingredient 3" dataDxfId="547" dataCellStyle="Input select"/>
    <tableColumn id="12" xr3:uid="{20629A66-2ECD-4EE4-B49E-E913BD5592AB}" name="Ingredient 3 percent" dataDxfId="546"/>
    <tableColumn id="14" xr3:uid="{6032CA28-E9B7-4C8A-B5B1-19D9E524796B}" name="Ingredient 4" dataDxfId="545" dataCellStyle="Input select"/>
    <tableColumn id="15" xr3:uid="{C2497EEB-F445-425A-A070-2D79E5289CC7}" name="Ingredient 4 percent" dataCellStyle="Input percent"/>
    <tableColumn id="7" xr3:uid="{D0E04A86-9275-4908-8676-7DD81D62A8D5}" name="N application rate (kg/ha)" dataDxfId="544"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CB854C6D-6167-457A-9128-A46B5251355C}" name="Urea source (Select)" dataCellStyle="Input select"/>
    <tableColumn id="13" xr3:uid="{F99B30AD-8F7C-4899-BDC8-9D0BAE8DE4A0}"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4C8A9D-A387-4B89-930C-ACAD6182FCB6}" name="Table_Input_Lime" displayName="Table_Input_Lime" ref="D41:K44" totalsRowShown="0" headerRowDxfId="543" dataDxfId="542" headerRowCellStyle="Input table column header">
  <autoFilter ref="D41:K44" xr:uid="{724C8A9D-A387-4B89-930C-ACAD6182FCB6}"/>
  <tableColumns count="8">
    <tableColumn id="1" xr3:uid="{74EC81C2-0722-47D7-AAE8-DA3D6FD867D8}" name="Product" dataDxfId="541"/>
    <tableColumn id="2" xr3:uid="{44DDFF8A-A4FB-4AD4-8C15-8AC5196D5672}" name="Amount applied (t/hectare)" dataDxfId="540"/>
    <tableColumn id="4" xr3:uid="{934319BE-1DA2-474D-90AB-755518442E40}" name="Application area (ha)" dataDxfId="539" dataCellStyle="Input number 2 decimal places">
      <calculatedColumnFormula>X_Cell_Fertiliser_AreaUnderCropping</calculatedColumnFormula>
    </tableColumn>
    <tableColumn id="3" xr3:uid="{113A7ECA-639C-4E99-9E34-41A15BA566F0}" name="Total amount applied (t)" dataDxfId="538" dataCellStyle="Input number general calculated">
      <calculatedColumnFormula>IFERROR(Table_Input_Lime[[#This Row],[Amount applied (t/hectare)]]*Table_Input_Lime[[#This Row],[Application area (ha)]], 0)</calculatedColumnFormula>
    </tableColumn>
    <tableColumn id="6" xr3:uid="{CCF04BB8-D3C7-46E3-A8F8-91DE1BAF02DA}" name="Percent Lime CaCO3" dataDxfId="537"/>
    <tableColumn id="8" xr3:uid="{B21E9CFC-944D-4E16-A9E5-8760D3C71B25}" name="Percent Dolomite CaMg(CO3)2" dataDxfId="536"/>
    <tableColumn id="7" xr3:uid="{E266EF6D-A409-420A-B48D-74C876428E8C}" name="Percent Gypsum" dataDxfId="535"/>
    <tableColumn id="10" xr3:uid="{CF94D729-919B-49AA-9CE4-E9D03525C6FF}" name="Total" dataDxfId="534">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24E67AB-0142-4C16-B7C9-CD1BDF545DF6}" name="Table_Input_OrganicFertiliser" displayName="Table_Input_OrganicFertiliser" ref="D53:J56" totalsRowShown="0" headerRowDxfId="533" dataDxfId="532" headerRowCellStyle="Input table column header">
  <autoFilter ref="D53:J56" xr:uid="{D24E67AB-0142-4C16-B7C9-CD1BDF545DF6}"/>
  <tableColumns count="7">
    <tableColumn id="1" xr3:uid="{DACFF75D-4243-40A6-93B3-2B1C60A49D97}" name="Organic fertiliser type (select)" dataDxfId="531" dataCellStyle="Input select"/>
    <tableColumn id="5" xr3:uid="{4F05E639-A6DD-45CE-8B6D-D683B0805A8F}" name="Percentage of N in fertiliser" dataDxfId="530"/>
    <tableColumn id="2" xr3:uid="{D4CBED25-AD56-4B8C-8817-DFCD555E6876}" name="Amount applied (kg/hectare)" dataDxfId="529"/>
    <tableColumn id="11" xr3:uid="{77794DF5-89E4-4872-A4B1-03C3E14D6A1B}" name="Amount N applied (kg/hectare)" dataDxfId="528" dataCellStyle="Input number general calculated">
      <calculatedColumnFormula>Table_Input_OrganicFertiliser[[#This Row],[Amount applied (kg/hectare)]]*Table_Input_OrganicFertiliser[[#This Row],[Percentage of N in fertiliser]]</calculatedColumnFormula>
    </tableColumn>
    <tableColumn id="4" xr3:uid="{9ACE457D-2812-4657-B8CA-1C90A2ED8563}" name="Application area (ha)" dataDxfId="527" dataCellStyle="Input number 2 decimal places">
      <calculatedColumnFormula>X_Cell_Fertiliser_AreaUnderCropping</calculatedColumnFormula>
    </tableColumn>
    <tableColumn id="7" xr3:uid="{6A12520F-D850-49AC-9EEA-3BD0FBD264E7}" name="Total organic fertliser applied" dataDxfId="526" dataCellStyle="Input number general calculated">
      <calculatedColumnFormula>Table_Input_OrganicFertiliser[[#This Row],[Amount applied (kg/hectare)]]*Table_Input_OrganicFertiliser[[#This Row],[Application area (ha)]]</calculatedColumnFormula>
    </tableColumn>
    <tableColumn id="3" xr3:uid="{FCD1D03D-C7C9-4F00-87E0-9111B85D92B1}" name="Total nitrogen applied (kg)" dataDxfId="52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524"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523"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522">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dataCellStyle="Input text"/>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521" dataCellStyle="Input select"/>
    <tableColumn id="2" xr3:uid="{5B0AEBA4-AB33-4382-8634-3F4C8D3B2A9B}" name="Number of head treated" dataDxfId="520"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519" dataCellStyle="Input select"/>
    <tableColumn id="2" xr3:uid="{FA43F52A-7609-4014-A6D3-CAC2C970F57C}" name="Purchase class (select)" dataDxfId="518" dataCellStyle="Input select"/>
    <tableColumn id="6" xr3:uid="{41EDEC1E-1793-4BBD-B0C8-66DE9A0925D5}" name="Source region (Select)" dataDxfId="517"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516">
  <autoFilter ref="D6:I16" xr:uid="{E938BFB3-949A-45DE-8033-0682BC494B81}"/>
  <tableColumns count="6">
    <tableColumn id="9" xr3:uid="{9915AEA9-40DA-4CFD-B08A-11FBE10BE9CF}" name="Transaction name" dataCellStyle="Input text"/>
    <tableColumn id="11" xr3:uid="{7A96FDED-4DC0-48EE-B346-DC4E5D93138D}" name="Class (select)" dataDxfId="515"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514">
  <autoFilter ref="D6:H16" xr:uid="{14ED7533-62DD-410F-8832-CD98B0CD652B}"/>
  <tableColumns count="5">
    <tableColumn id="9" xr3:uid="{FC1CEF00-A0CC-4545-ADAB-9F52D190F90C}" name="Transaction name" dataCellStyle="Input text"/>
    <tableColumn id="11" xr3:uid="{45625588-179B-4EE3-98B4-2E94FA489CC5}" name="Class (select)" dataDxfId="513"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512"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dataCellStyle="Input text"/>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dataCellStyle="Input text"/>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511"/>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510"/>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A99DCC2-6F33-4657-9001-AFDF50840919}" name="Category" dataDxfId="509"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508"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507"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506"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Emissions intensity" dataDxfId="505"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504" dataCellStyle="Content normal">
      <calculatedColumnFormula array="1">Common_InputFunctions.Utility_DisplayArrayInTable(Scope3_SourceData.Scope3_Livestock_Data(), Table_SourceData_Scope3_Animals[[#Headers],[Category]], 0, 2)</calculatedColumnFormula>
    </tableColumn>
    <tableColumn id="4" xr3:uid="{882E52BB-038E-4A08-9C67-781010D9E5A3}" name="Source" dataDxfId="503"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E00DA67-2268-4285-B0B6-C8E6F88FC55E}" name="Category" dataDxfId="502"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501"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500"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99"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Emissions intensity" dataDxfId="498"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97" dataCellStyle="Content normal">
      <calculatedColumnFormula array="1">Common_InputFunctions.Utility_DisplayArrayInTable(Scope3_SourceData.Scope3_Chemicals_Data(), Table_SourceData_Scope3_ChemicalsCleaning[[#Headers],[Category]], 0, 2)</calculatedColumnFormula>
    </tableColumn>
    <tableColumn id="4" xr3:uid="{507C623C-01CF-4CC5-9A57-D9ABE54B02A8}" name="Source" dataDxfId="496" dataCellStyle="Content normal"/>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J158" dataDxfId="495"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19F2701-68F1-480A-8D9E-12C627CAC316}" name="Category" totalsRowFunction="custom" dataDxfId="494" totalsRowDxfId="49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EC66DCC6-8100-4F11-A8A8-539664BA4ACD}" name="Product" totalsRowFunction="custom" dataDxfId="492" totalsRowDxfId="49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A985E658-3F73-4AD9-B19C-0CAEAD42BEE8}" name="Region of origin" totalsRowFunction="custom" dataDxfId="490" totalsRowDxfId="48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7006E028-9383-4657-93CA-9F7D8B66AA38}" name="Quantity Unit" totalsRowFunction="custom" dataDxfId="488" totalsRowDxfId="48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1C50D81A-129A-4BDA-881C-9E65EF792CE6}" name="Emissions intensity" totalsRowFunction="custom" dataDxfId="486" totalsRowDxfId="48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AF99126-21EE-4F42-8379-91D5DC8AA914}" name="System boundary" totalsRowFunction="custom" dataDxfId="484" totalsRowDxfId="48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465E51AD-3974-41E5-9183-A7A1DD0D051F}" name="Source" totalsRowLabel="GHGEI-MIAFF" dataDxfId="482" totalsRowDxfId="481"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80" dataCellStyle="Content normal">
      <calculatedColumnFormula array="1">Common_InputFunctions.Utility_DisplayArrayInTable(Scope3_SourceData.Scope3_InorganicFertilisers_Data(), Table_SourceData_Scope3_InorganicFertiliser[[#Headers],[Category]], 0, -2)</calculatedColumnFormula>
    </tableColumn>
    <tableColumn id="11" xr3:uid="{1FFFCF78-EF2E-46BF-8674-E483F449961B}" name="Source" dataDxfId="479"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J209" totalsRowShown="0" dataDxfId="478"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CEB3E78-BC5A-4FFC-A3DE-61DDB731CC23}" name="Category" dataDxfId="477"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76"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75"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74"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Emissions intensity" dataDxfId="473"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72" dataCellStyle="Content normal">
      <calculatedColumnFormula array="1">Common_InputFunctions.Utility_DisplayArrayInTable(Scope3_SourceData.Scope3_Other_Data(), Table_SourceData_Scope3_Other[[#Headers],[Category]], 0, 2)</calculatedColumnFormula>
    </tableColumn>
    <tableColumn id="4" xr3:uid="{22E303AA-E1C6-403C-84C3-90AA251466CF}" name="Source" dataDxfId="471" data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J216" totalsRowShown="0" dataDxfId="470"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3362DD2-0B33-4BCB-B827-7C4A89047CC0}" name="Category" dataDxfId="469"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68"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67"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66"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Emissions intensity" dataDxfId="465"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64" dataCellStyle="Content normal">
      <calculatedColumnFormula array="1">Common_InputFunctions.Utility_DisplayArrayInTable(Scope3_SourceData.Scope3_Packaging_Data(), Table_SourceData_Scope3_Packaging[[#Headers],[Category]], 0, 2)</calculatedColumnFormula>
    </tableColumn>
    <tableColumn id="4" xr3:uid="{2BD93E52-9368-4597-AB7B-499505197C9B}" name="Source" dataDxfId="463" dataCellStyle="Content normal"/>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J231" totalsRowShown="0" dataDxfId="462"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4510F4-8D3C-4FA5-882C-E108FA075567}" name="Category" dataDxfId="46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6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5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5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Emissions intensity" dataDxfId="45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56" dataCellStyle="Content normal">
      <calculatedColumnFormula array="1">Common_InputFunctions.Utility_DisplayArrayInTable(Scope3_SourceData.Scope3_Pesticides_Data(), Table_SourceData_Scope3_Pesticides[[#Headers],[Category]], 0, 2)</calculatedColumnFormula>
    </tableColumn>
    <tableColumn id="4" xr3:uid="{4A8C3117-E9B4-45A0-8226-3F4FF2A47001}" name="Source" dataDxfId="455" dataCellStyle="Content normal"/>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J237" totalsRowShown="0" dataDxfId="454"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2F3917D-29C8-409C-92F6-F329885A0AC6}" name="Category" dataDxfId="453"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52"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51"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50"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Emissions intensity" dataDxfId="449"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48" dataCellStyle="Content normal">
      <calculatedColumnFormula array="1">Common_InputFunctions.Utility_DisplayArrayInTable(Scope3_SourceData.Scope3_SoilAmendments_Data(), Table_SourceData_Scope3_SoilAmeliorants[[#Headers],[Category]], 0, 2)</calculatedColumnFormula>
    </tableColumn>
    <tableColumn id="4" xr3:uid="{49CA18B2-838F-467B-A644-A967783CB9A8}" name="Source" dataDxfId="447" dataCellStyle="Content normal"/>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J86" totalsRowShown="0" dataDxfId="446"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805F0F-13EB-444A-AFA4-AC66F45058CE}" name="Category" dataDxfId="445"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44"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43"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42"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Emissions intensity" dataDxfId="441"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40" dataCellStyle="Content normal">
      <calculatedColumnFormula array="1">Common_InputFunctions.Utility_DisplayArrayInTable(Scope3_SourceData.Scope3_Chemicals_Data(), Table_SourceData_Scope3_ChemicalsPharmacy[[#Headers],[Category]], -3, 2)</calculatedColumnFormula>
    </tableColumn>
    <tableColumn id="4" xr3:uid="{63368DC3-6248-4707-B4EA-991B0F2E55E1}" name="Source" dataDxfId="439" dataCellStyle="Content normal"/>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J170" totalsRowShown="0" headerRowDxfId="438"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76B938-08A2-4094-AEB0-8C3161774DD1}" name="Category" dataDxfId="437"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36"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35"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34"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Emissions intensity" dataDxfId="433"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32" dataCellStyle="Content normal">
      <calculatedColumnFormula array="1">Common_InputFunctions.Utility_DisplayArrayInTable(Scope3_SourceData.Scope3_Feed_Data(), Table_SourceData_Scope3_LickBlocks[[#Headers],[Category]], -73, 2)</calculatedColumnFormula>
    </tableColumn>
    <tableColumn id="7" xr3:uid="{9671E7C1-4B64-44E9-8472-43A819066039}" name="Source" dataDxfId="431" dataCellStyle="Content normal"/>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J165" totalsRowShown="0" headerRowDxfId="430"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F83081-CECF-4A9D-9DDF-0E7F39862E23}" name="Category" dataDxfId="429"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28"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27"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26"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Emissions intensity" dataDxfId="425"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24" dataCellStyle="Content normal">
      <calculatedColumnFormula array="1">Common_InputFunctions.Utility_DisplayArrayInTable(Scope3_SourceData.Scope3_Feed_Data(), Table_SourceData_Scope3_MixedRations[[#Headers],[Category]], -66, 2)</calculatedColumnFormula>
    </tableColumn>
    <tableColumn id="7" xr3:uid="{09F25A95-C0C3-479F-9AD6-F8E1F2F6B6AF}" name="Source" dataDxfId="423" dataCellStyle="Content normal"/>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L97:M104" totalsRowShown="0" headerRowDxfId="422" headerRowCellStyle="Content normal">
  <autoFilter ref="L97:M104"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O104:P109" totalsRowShown="0" headerRowDxfId="421" headerRowCellStyle="Content normal">
  <autoFilter ref="O104:P109"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L109:M117" totalsRowShown="0" headerRowDxfId="420" headerRowCellStyle="Content normal">
  <autoFilter ref="L109:M117"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L150:M151" totalsRowShown="0" headerRowDxfId="419" headerRowCellStyle="Content normal" dataCellStyle="Content normal">
  <autoFilter ref="L150:M151"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2ECEE9-6AEB-4C74-BD8F-E665996241EB}" name="Table_SourceData_Scope3_FishFeedAndBait" displayName="Table_SourceData_Scope3_FishFeedAndBait" ref="D241:J247" totalsRowShown="0" dataDxfId="418"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13660D2-7276-495F-A7CB-8FE085830C46}" name="Category" dataDxfId="417" dataCellStyle="Content normal">
      <calculatedColumnFormula array="1">Common_InputFunctions.Utility_DisplayArrayInTable(Scope3_SourceData.Scope3_FishFeedAndBait_Data(), Table_SourceData_Scope3_FishFeedAndBait[[#Headers],[Category]], 0, 1)</calculatedColumnFormula>
    </tableColumn>
    <tableColumn id="1" xr3:uid="{5BE505BF-CE58-412D-9E4A-8F3AFDABEACB}" name="Product" dataDxfId="416" dataCellStyle="Content normal">
      <calculatedColumnFormula array="1">Common_InputFunctions.Utility_DisplayArrayInTable(Scope3_SourceData.Scope3_FishFeedAndBait_Data(), Table_SourceData_Scope3_FishFeedAndBait[[#Headers],[Category]], 0, 1)</calculatedColumnFormula>
    </tableColumn>
    <tableColumn id="2" xr3:uid="{FFA9A0E9-D3F6-4E42-A8ED-1D58BE496024}" name="Region of origin" dataDxfId="415" dataCellStyle="Content normal">
      <calculatedColumnFormula array="1">Common_InputFunctions.Utility_DisplayArrayInTable(Scope3_SourceData.Scope3_FishFeedAndBait_Data(), Table_SourceData_Scope3_FishFeedAndBait[[#Headers],[Category]], 0, 1)</calculatedColumnFormula>
    </tableColumn>
    <tableColumn id="3" xr3:uid="{1C316DBB-D7EE-48A7-BC4C-C802D9A106F1}" name="Quantity Unit" dataDxfId="414" dataCellStyle="Content normal">
      <calculatedColumnFormula array="1">Common_InputFunctions.Utility_DisplayArrayInTable(Scope3_SourceData.Scope3_FishFeedAndBait_Data(), Table_SourceData_Scope3_FishFeedAndBait[[#Headers],[Category]], 0, 1)</calculatedColumnFormula>
    </tableColumn>
    <tableColumn id="4" xr3:uid="{ACEED738-E868-49B0-967C-DDFA66F732B9}" name="Emissions intensity" dataDxfId="413" dataCellStyle="Content normal">
      <calculatedColumnFormula array="1">Common_InputFunctions.Utility_DisplayArrayInTable(Scope3_SourceData.Scope3_FishFeedAndBait_Data(), Table_SourceData_Scope3_FishFeedAndBait[[#Headers],[Category]], 0, 1)</calculatedColumnFormula>
    </tableColumn>
    <tableColumn id="5" xr3:uid="{71EA12D0-F4A0-41EE-93F5-27C8DB1A6D08}" name="System boundary" dataDxfId="412" dataCellStyle="Content normal">
      <calculatedColumnFormula array="1">Common_InputFunctions.Utility_DisplayArrayInTable(Scope3_SourceData.Scope3_FishFeedAndBait_Data(), Table_SourceData_Scope3_FishFeedAndBait[[#Headers],[Category]], 0, 1)</calculatedColumnFormula>
    </tableColumn>
    <tableColumn id="8" xr3:uid="{81E95744-DE7D-4610-B637-8B1DF5894ADB}" name="Source" dataDxfId="411"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41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4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40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40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406"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405" headerRowCellStyle="Content normal" dataCellStyle="Content normal">
  <autoFilter ref="M16:M21" xr:uid="{8B016CBB-C518-4F44-8DA5-22BFEF05C8F4}"/>
  <tableColumns count="1">
    <tableColumn id="1" xr3:uid="{529CBAE6-9FC8-4C67-86C3-EAFEE2218DCF}" name="Waste type w" totalsRowDxfId="404" dataCellStyle="Content normal">
      <calculatedColumnFormula>E40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403" headerRowCellStyle="Content normal" dataCellStyle="Content normal">
  <autoFilter ref="O16:O21" xr:uid="{A29F6F0E-2A01-4D24-9251-51FC9A4458D0}"/>
  <tableColumns count="1">
    <tableColumn id="1" xr3:uid="{64CBF66F-F07B-4051-8F15-1DD91E5BCBEF}" name="Waste type w" totalsRowDxfId="402" dataCellStyle="Content normal">
      <calculatedColumnFormula>E46</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401" dataDxfId="400">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99">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98">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97">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96">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95">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94">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93">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92">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91" dataDxfId="390">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89">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88">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87">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86">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85">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84">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83">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82">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81">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80" dataDxfId="379">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78"/>
    <tableColumn id="2" xr3:uid="{3CFB3B0E-6A3D-4336-A2F5-7D46AE54C335}" name="Power standalone machinery or heating" dataDxfId="377"/>
    <tableColumn id="3" xr3:uid="{5AAA1831-5C5E-4C84-BCC2-2E78A9B5258B}" name="Aviation" dataDxfId="376"/>
    <tableColumn id="5" xr3:uid="{F1BD91A4-832F-462E-8EB0-A84767662BE4}" name="Cars and light commercial vehicles" dataDxfId="375"/>
    <tableColumn id="7" xr3:uid="{E9B8BAAB-717E-44AB-B2F8-3E5C76D4FFB0}" name="Off-road Agriculture and forestry equipment" dataDxfId="374" dataCellStyle="Content bold"/>
    <tableColumn id="8" xr3:uid="{63E9DB80-5FD4-4E13-BBFC-A35B40E9C88C}" name="Vessels" dataDxfId="373" dataCellStyle="Content bold"/>
    <tableColumn id="6" xr3:uid="{EF6CDD99-C67B-4B96-AB3B-8313822AD3CF}" name="General use" dataDxfId="372"/>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71" dataDxfId="37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69">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68">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67">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66">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65">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64">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6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62" totalsRowDxfId="361">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60">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59">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5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5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5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4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48"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47"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46"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45"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44"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43"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42"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41"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40"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39"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38"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37"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36"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35"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334"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333"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332"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331"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330"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329"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328"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327"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326"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325"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324"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323"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322"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321"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320"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319"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318"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317"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316" dataCellStyle="Content normal"/>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315" dataCellStyle="Content normal"/>
    <tableColumn id="2" xr3:uid="{3C9E3AB6-C1FA-4D37-B176-5BB0B449AAD7}" name="VSL"/>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314"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313"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312"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311"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310"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309" dataCellStyle="Content normal">
  <autoFilter ref="D78:E82" xr:uid="{E34928EB-73E5-43B2-830B-089F30DA4EF0}">
    <filterColumn colId="0" hiddenButton="1"/>
    <filterColumn colId="1" hiddenButton="1"/>
  </autoFilter>
  <tableColumns count="2">
    <tableColumn id="1" xr3:uid="{CAD0F086-96AD-478F-9F97-BB910BCF2E2C}" name="Class" dataDxfId="308"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307"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306"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305"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304"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303"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302"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301"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300"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99"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9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97"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9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95"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94"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93"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9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9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90"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89"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88"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87"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8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85"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84"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83"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82"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81"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80"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79"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78"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7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76"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75"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7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7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7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7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7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6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68"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6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66"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6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6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6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6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6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6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5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5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5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5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5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5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5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5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5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4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4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4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4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4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3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3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3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3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3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23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23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23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23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23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2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2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2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2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2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2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2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22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22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22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21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21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21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21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21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21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21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21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21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21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20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20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20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20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20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20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20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20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20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20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99" dataCellStyle="Content normal">
      <calculatedColumnFormula>D351</calculatedColumnFormula>
    </tableColumn>
    <tableColumn id="2" xr3:uid="{3A500914-DEBE-4A5B-9EFF-C566204ADAFE}" name="Bulls &lt; 1 year" dataDxfId="198" dataCellStyle="Content normal">
      <calculatedColumnFormula>E351</calculatedColumnFormula>
    </tableColumn>
    <tableColumn id="3" xr3:uid="{B874FEE3-562E-454F-BDBC-45043393C99C}" name="Bulls &gt; 1 year" dataDxfId="197" dataCellStyle="Content normal">
      <calculatedColumnFormula>F351</calculatedColumnFormula>
    </tableColumn>
    <tableColumn id="4" xr3:uid="{B5355347-A1F0-4973-A512-0D2CAACA96EE}" name="Cows &lt; 1 year" dataDxfId="196" dataCellStyle="Content normal">
      <calculatedColumnFormula>G351</calculatedColumnFormula>
    </tableColumn>
    <tableColumn id="5" xr3:uid="{77A191F8-38C3-4F24-9EFF-980D069BC04A}" name="Cows 1-2 years" dataDxfId="195" dataCellStyle="Content normal">
      <calculatedColumnFormula>H351</calculatedColumnFormula>
    </tableColumn>
    <tableColumn id="6" xr3:uid="{C27A0FE8-EB36-45AD-85CC-54422EECF9D4}" name="Cows 2-3 years" dataDxfId="194" dataCellStyle="Content normal">
      <calculatedColumnFormula>I351</calculatedColumnFormula>
    </tableColumn>
    <tableColumn id="7" xr3:uid="{E45A02BC-2BD9-40C3-AA1C-086EE1B3CF4E}" name="Cows &gt; 3 years" dataDxfId="193" dataCellStyle="Content normal">
      <calculatedColumnFormula>I351</calculatedColumnFormula>
    </tableColumn>
    <tableColumn id="8" xr3:uid="{64BCADE5-A30C-422D-95A6-F7AB897FB775}" name="Steers &lt; 1 year" dataDxfId="192" dataCellStyle="Content normal">
      <calculatedColumnFormula>J351</calculatedColumnFormula>
    </tableColumn>
    <tableColumn id="9" xr3:uid="{A3AA722E-C9A8-476C-9FE8-DC46C3A6D9FA}" name="Steers 1-2 years" dataDxfId="191" dataCellStyle="Content normal">
      <calculatedColumnFormula>K351</calculatedColumnFormula>
    </tableColumn>
    <tableColumn id="10" xr3:uid="{CC7AE6BD-32DE-43F2-B3D8-F334FC0BA640}" name="Steers 2-3 years" dataDxfId="190" dataCellStyle="Content normal">
      <calculatedColumnFormula>K351</calculatedColumnFormula>
    </tableColumn>
    <tableColumn id="11" xr3:uid="{B364C281-70AB-4253-BEE3-56EAB88390C8}" name="Steers &gt;3 years" dataDxfId="189" dataCellStyle="Content normal">
      <calculatedColumnFormula>K351</calculatedColumnFormula>
    </tableColumn>
    <tableColumn id="12" xr3:uid="{1B567087-DFFB-45A9-97B9-5D55DA59D657}" name="State abbreviation" dataDxfId="188" dataCellStyle="Content normal">
      <calculatedColumnFormula>L351</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8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8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8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8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8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8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8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8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7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7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7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76"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75" dataCellStyle="Content normal">
  <autoFilter ref="D40:E47" xr:uid="{879A0650-599F-46E3-BDCA-CF804D191F3B}">
    <filterColumn colId="0" hiddenButton="1"/>
    <filterColumn colId="1" hiddenButton="1"/>
  </autoFilter>
  <tableColumns count="2">
    <tableColumn id="1" xr3:uid="{F237F8B2-5CE9-4094-A201-E708B82BA8BF}" name="Product" dataDxfId="174"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73"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72" dataCellStyle="Content normal">
  <autoFilter ref="D51:E52" xr:uid="{5D161BB1-95E1-405D-861A-B4883D49A51C}">
    <filterColumn colId="0" hiddenButton="1"/>
    <filterColumn colId="1" hiddenButton="1"/>
  </autoFilter>
  <tableColumns count="2">
    <tableColumn id="1" xr3:uid="{44557688-3D5A-45A6-818D-F1328BB9ECC9}" name="Product" dataDxfId="171"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70"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69" dataCellStyle="Content normal">
  <autoFilter ref="D56:E57" xr:uid="{91542D18-4304-4E66-85EA-4F5A2B9391FE}">
    <filterColumn colId="0" hiddenButton="1"/>
    <filterColumn colId="1" hiddenButton="1"/>
  </autoFilter>
  <tableColumns count="2">
    <tableColumn id="1" xr3:uid="{B414FDE1-8B5E-4532-8C69-A9C006972E91}" name="Product" dataDxfId="168"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6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66" dataCellStyle="Content normal">
  <autoFilter ref="D61:E62" xr:uid="{4B96D517-47DA-49C8-8030-0D501D458198}">
    <filterColumn colId="0" hiddenButton="1"/>
    <filterColumn colId="1" hiddenButton="1"/>
  </autoFilter>
  <tableColumns count="2">
    <tableColumn id="1" xr3:uid="{20B25AB9-804F-4D21-9C93-F44C0DAF008F}" name="Product" dataDxfId="165"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64"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H223" totalsRowShown="0" headerRowDxfId="163" headerRowCellStyle="Content normal">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90660471-B042-45D4-A9FC-CF75A99B2C82}" name="Company" dataDxfId="162" totalsRowDxfId="161"/>
    <tableColumn id="2" xr3:uid="{B4717C55-1B95-4E74-B4A0-5CE7A609A36B}" name="Product" dataDxfId="160" totalsRowDxfId="159"/>
    <tableColumn id="3" xr3:uid="{D976AB1A-52FF-4FBD-9860-B9717ABA5514}" name="Unit" dataDxfId="158" totalsRowDxfId="157"/>
    <tableColumn id="4" xr3:uid="{D8F5EA32-4865-44AD-B9C7-F91CA2638E8B}" name="Density" dataDxfId="156" totalsRowDxfId="155"/>
    <tableColumn id="5" xr3:uid="{D241BEEC-C636-4A92-9BDB-FA8FAA1CAFB2}" name="Contains inhibitor" dataDxfId="154" totalsRowDxfId="153"/>
    <tableColumn id="6" xr3:uid="{78DBDBE9-27C7-4A0D-B9DA-9F57440C9DE9}" name="Urea source" dataDxfId="152" totalsRowDxfId="151"/>
    <tableColumn id="7" xr3:uid="{A50CBE27-EC38-4A34-A2CE-1002E6BA3DD3}" name="Ammonia source" dataDxfId="150" totalsRowDxfId="149"/>
    <tableColumn id="8" xr3:uid="{16B5D74A-9810-4E92-A540-3E051DC2151D}" name="N declared" dataDxfId="148" totalsRowDxfId="147"/>
    <tableColumn id="9" xr3:uid="{DA7A3BF5-8B40-4495-AD97-6B95B429B465}" name="P declared" dataDxfId="146" totalsRowDxfId="145"/>
    <tableColumn id="10" xr3:uid="{2A0B8472-D8FF-4086-BE70-2E8BCA80080B}" name="K declared" dataDxfId="144" totalsRowDxfId="143"/>
    <tableColumn id="11" xr3:uid="{F12415FE-ED65-47A4-AFBE-CEA738CED011}" name="S declared" dataDxfId="142" totalsRowDxfId="141"/>
    <tableColumn id="12" xr3:uid="{26500CB3-2A36-4020-8DCD-96905995028A}" name="Ingredient 1" dataDxfId="140" totalsRowDxfId="139"/>
    <tableColumn id="13" xr3:uid="{8F8E6FFC-24C1-4EC1-A491-92E852D1C21B}" name="Ingredient 1 percent" dataDxfId="138" totalsRowDxfId="137"/>
    <tableColumn id="14" xr3:uid="{0D08C50E-A1D4-4D59-8D20-E9C72FE59C88}" name="Ingredient 2" dataDxfId="136" totalsRowDxfId="135"/>
    <tableColumn id="15" xr3:uid="{E71FD370-71A1-4861-8573-8E095564A6C6}" name="Ingredient 2 percent" dataDxfId="134" totalsRowDxfId="133"/>
    <tableColumn id="16" xr3:uid="{05524065-59E0-4732-9D5C-80182402ACED}" name="Ingredient 3" dataDxfId="132" totalsRowDxfId="131"/>
    <tableColumn id="17" xr3:uid="{E73E9DAE-88FE-451C-83BB-46CE2CD11EAC}" name="Ingredient 3 percent" dataDxfId="130" totalsRowDxfId="129"/>
    <tableColumn id="18" xr3:uid="{E43B92CC-872A-4D81-AE03-F2A3A1AA9B65}" name="Ingredient 4" dataDxfId="128" totalsRowDxfId="127"/>
    <tableColumn id="19" xr3:uid="{877362A6-7696-4C2B-9AC9-A50CEF0951B6}" name="Ingredient 4 percent" dataDxfId="126" totalsRowDxfId="125"/>
    <tableColumn id="37" xr3:uid="{22756E59-4033-405C-B6C2-0A2E122D072F}" name="Ingredient 5" dataDxfId="124" totalsRowDxfId="123"/>
    <tableColumn id="20" xr3:uid="{4AE0D2CC-B8DF-4AFD-A4F6-2E34CAB929EE}" name="Ingredient 5 percent" dataDxfId="122"/>
    <tableColumn id="24" xr3:uid="{6B74DBE7-622A-449A-9E41-77A59D4B581F}" name="Ingredient 6" dataDxfId="121"/>
    <tableColumn id="23" xr3:uid="{19914632-6940-4143-8D22-E9418F00FB19}" name="Ingredient 6 percent" dataDxfId="120"/>
    <tableColumn id="26" xr3:uid="{461E0645-5302-44BD-9874-67DCFE5C32B8}" name="Ingredient 7" dataDxfId="119"/>
    <tableColumn id="25" xr3:uid="{A769ECEF-28EF-4773-BCC6-FDD846002968}" name="Ingredient 7 percent" dataDxfId="118"/>
    <tableColumn id="30" xr3:uid="{42911258-C32C-49FA-B641-594FB90ED8C8}" name="Ingredient 8" dataDxfId="117"/>
    <tableColumn id="29" xr3:uid="{CBA06944-5CBF-4AB5-A404-211D25004FEC}" name="Ingredient 8 percent" dataDxfId="116"/>
    <tableColumn id="28" xr3:uid="{EF4C1E20-8E22-4CDA-B1E0-091D3AC4290D}" name="Ingredient 9" dataDxfId="115"/>
    <tableColumn id="21" xr3:uid="{EAEC573D-06A5-488C-9911-25EC195C8600}" name="Ingredient 9 percent" dataDxfId="114" dataCellStyle="Content normal"/>
    <tableColumn id="22" xr3:uid="{5ADD64B5-B7D6-4827-B378-54CB07EE9AD1}" name="Ingredient 10" dataDxfId="113" dataCellStyle="Normal 2"/>
    <tableColumn id="27" xr3:uid="{3CDDFF95-4AED-45D7-8745-D8F872ABA10E}" name="Ingredient 10 percent" dataDxfId="112" dataCellStyle="Normal 2"/>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1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1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8" dataCellStyle="Content normal">
  <autoFilter ref="K19:L28" xr:uid="{27B93029-EB1F-4C4A-A946-CD673A8A6C46}">
    <filterColumn colId="0" hiddenButton="1"/>
    <filterColumn colId="1" hiddenButton="1"/>
  </autoFilter>
  <tableColumns count="2">
    <tableColumn id="1" xr3:uid="{D0F0FE53-48EF-4C1D-923D-46B182A1D219}" name="Fertiliser type f" dataDxfId="107"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5" dataCellStyle="Content normal">
  <autoFilter ref="Q19:R28" xr:uid="{791CEA59-796C-47AB-86BC-41E8F699030C}">
    <filterColumn colId="0" hiddenButton="1"/>
    <filterColumn colId="1" hiddenButton="1"/>
  </autoFilter>
  <tableColumns count="2">
    <tableColumn id="1" xr3:uid="{8D461AD8-9C85-4218-9322-36C1AD6A4022}" name="Fertiliser type f" dataDxfId="104"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102">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8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8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8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8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8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8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6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65"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31" Type="http://schemas.openxmlformats.org/officeDocument/2006/relationships/table" Target="../tables/table53.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8.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table" Target="../tables/table60.xml"/><Relationship Id="rId6" Type="http://schemas.openxmlformats.org/officeDocument/2006/relationships/table" Target="../tables/table65.xml"/><Relationship Id="rId5" Type="http://schemas.openxmlformats.org/officeDocument/2006/relationships/table" Target="../tables/table64.xml"/><Relationship Id="rId4" Type="http://schemas.openxmlformats.org/officeDocument/2006/relationships/table" Target="../tables/table63.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73.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9.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5.xml"/><Relationship Id="rId13" Type="http://schemas.openxmlformats.org/officeDocument/2006/relationships/table" Target="../tables/table90.xml"/><Relationship Id="rId3" Type="http://schemas.openxmlformats.org/officeDocument/2006/relationships/table" Target="../tables/table80.xml"/><Relationship Id="rId7" Type="http://schemas.openxmlformats.org/officeDocument/2006/relationships/table" Target="../tables/table84.xml"/><Relationship Id="rId12" Type="http://schemas.openxmlformats.org/officeDocument/2006/relationships/table" Target="../tables/table89.xml"/><Relationship Id="rId2" Type="http://schemas.openxmlformats.org/officeDocument/2006/relationships/table" Target="../tables/table79.xml"/><Relationship Id="rId1" Type="http://schemas.openxmlformats.org/officeDocument/2006/relationships/table" Target="../tables/table78.xml"/><Relationship Id="rId6" Type="http://schemas.openxmlformats.org/officeDocument/2006/relationships/table" Target="../tables/table83.xml"/><Relationship Id="rId11" Type="http://schemas.openxmlformats.org/officeDocument/2006/relationships/table" Target="../tables/table88.xml"/><Relationship Id="rId5" Type="http://schemas.openxmlformats.org/officeDocument/2006/relationships/table" Target="../tables/table82.xml"/><Relationship Id="rId10" Type="http://schemas.openxmlformats.org/officeDocument/2006/relationships/table" Target="../tables/table87.xml"/><Relationship Id="rId4" Type="http://schemas.openxmlformats.org/officeDocument/2006/relationships/table" Target="../tables/table81.xml"/><Relationship Id="rId9" Type="http://schemas.openxmlformats.org/officeDocument/2006/relationships/table" Target="../tables/table86.xml"/><Relationship Id="rId14" Type="http://schemas.openxmlformats.org/officeDocument/2006/relationships/table" Target="../tables/table9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3" Type="http://schemas.openxmlformats.org/officeDocument/2006/relationships/table" Target="../tables/table94.xml"/><Relationship Id="rId7" Type="http://schemas.openxmlformats.org/officeDocument/2006/relationships/table" Target="../tables/table98.xml"/><Relationship Id="rId12" Type="http://schemas.openxmlformats.org/officeDocument/2006/relationships/table" Target="../tables/table103.xml"/><Relationship Id="rId2" Type="http://schemas.openxmlformats.org/officeDocument/2006/relationships/table" Target="../tables/table93.xml"/><Relationship Id="rId1" Type="http://schemas.openxmlformats.org/officeDocument/2006/relationships/table" Target="../tables/table92.xml"/><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114.xml"/><Relationship Id="rId13" Type="http://schemas.openxmlformats.org/officeDocument/2006/relationships/table" Target="../tables/table119.xml"/><Relationship Id="rId18" Type="http://schemas.openxmlformats.org/officeDocument/2006/relationships/table" Target="../tables/table124.xml"/><Relationship Id="rId3" Type="http://schemas.openxmlformats.org/officeDocument/2006/relationships/table" Target="../tables/table109.xml"/><Relationship Id="rId21" Type="http://schemas.openxmlformats.org/officeDocument/2006/relationships/table" Target="../tables/table127.xml"/><Relationship Id="rId7" Type="http://schemas.openxmlformats.org/officeDocument/2006/relationships/table" Target="../tables/table113.xml"/><Relationship Id="rId12" Type="http://schemas.openxmlformats.org/officeDocument/2006/relationships/table" Target="../tables/table118.xml"/><Relationship Id="rId17" Type="http://schemas.openxmlformats.org/officeDocument/2006/relationships/table" Target="../tables/table123.xml"/><Relationship Id="rId25" Type="http://schemas.openxmlformats.org/officeDocument/2006/relationships/table" Target="../tables/table131.xml"/><Relationship Id="rId2" Type="http://schemas.openxmlformats.org/officeDocument/2006/relationships/table" Target="../tables/table108.xml"/><Relationship Id="rId16" Type="http://schemas.openxmlformats.org/officeDocument/2006/relationships/table" Target="../tables/table122.xml"/><Relationship Id="rId20" Type="http://schemas.openxmlformats.org/officeDocument/2006/relationships/table" Target="../tables/table126.xml"/><Relationship Id="rId1" Type="http://schemas.openxmlformats.org/officeDocument/2006/relationships/table" Target="../tables/table107.xml"/><Relationship Id="rId6" Type="http://schemas.openxmlformats.org/officeDocument/2006/relationships/table" Target="../tables/table112.xml"/><Relationship Id="rId11" Type="http://schemas.openxmlformats.org/officeDocument/2006/relationships/table" Target="../tables/table117.xml"/><Relationship Id="rId24" Type="http://schemas.openxmlformats.org/officeDocument/2006/relationships/table" Target="../tables/table130.xml"/><Relationship Id="rId5" Type="http://schemas.openxmlformats.org/officeDocument/2006/relationships/table" Target="../tables/table111.xml"/><Relationship Id="rId15" Type="http://schemas.openxmlformats.org/officeDocument/2006/relationships/table" Target="../tables/table121.xml"/><Relationship Id="rId23" Type="http://schemas.openxmlformats.org/officeDocument/2006/relationships/table" Target="../tables/table129.xml"/><Relationship Id="rId10" Type="http://schemas.openxmlformats.org/officeDocument/2006/relationships/table" Target="../tables/table116.xml"/><Relationship Id="rId19" Type="http://schemas.openxmlformats.org/officeDocument/2006/relationships/table" Target="../tables/table125.xml"/><Relationship Id="rId4" Type="http://schemas.openxmlformats.org/officeDocument/2006/relationships/table" Target="../tables/table110.xml"/><Relationship Id="rId9" Type="http://schemas.openxmlformats.org/officeDocument/2006/relationships/table" Target="../tables/table115.xml"/><Relationship Id="rId14" Type="http://schemas.openxmlformats.org/officeDocument/2006/relationships/table" Target="../tables/table120.xml"/><Relationship Id="rId22" Type="http://schemas.openxmlformats.org/officeDocument/2006/relationships/table" Target="../tables/table128.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134.xml"/><Relationship Id="rId2" Type="http://schemas.openxmlformats.org/officeDocument/2006/relationships/table" Target="../tables/table133.xml"/><Relationship Id="rId1" Type="http://schemas.openxmlformats.org/officeDocument/2006/relationships/table" Target="../tables/table132.xml"/><Relationship Id="rId6" Type="http://schemas.openxmlformats.org/officeDocument/2006/relationships/table" Target="../tables/table137.xml"/><Relationship Id="rId5" Type="http://schemas.openxmlformats.org/officeDocument/2006/relationships/table" Target="../tables/table136.xml"/><Relationship Id="rId4" Type="http://schemas.openxmlformats.org/officeDocument/2006/relationships/table" Target="../tables/table13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145.xml"/><Relationship Id="rId3" Type="http://schemas.openxmlformats.org/officeDocument/2006/relationships/table" Target="../tables/table140.xml"/><Relationship Id="rId7" Type="http://schemas.openxmlformats.org/officeDocument/2006/relationships/table" Target="../tables/table144.xml"/><Relationship Id="rId2" Type="http://schemas.openxmlformats.org/officeDocument/2006/relationships/table" Target="../tables/table139.xml"/><Relationship Id="rId1" Type="http://schemas.openxmlformats.org/officeDocument/2006/relationships/table" Target="../tables/table138.xml"/><Relationship Id="rId6" Type="http://schemas.openxmlformats.org/officeDocument/2006/relationships/table" Target="../tables/table143.xml"/><Relationship Id="rId11" Type="http://schemas.openxmlformats.org/officeDocument/2006/relationships/table" Target="../tables/table148.xml"/><Relationship Id="rId5" Type="http://schemas.openxmlformats.org/officeDocument/2006/relationships/table" Target="../tables/table142.xml"/><Relationship Id="rId10" Type="http://schemas.openxmlformats.org/officeDocument/2006/relationships/table" Target="../tables/table147.xml"/><Relationship Id="rId4" Type="http://schemas.openxmlformats.org/officeDocument/2006/relationships/table" Target="../tables/table141.xml"/><Relationship Id="rId9" Type="http://schemas.openxmlformats.org/officeDocument/2006/relationships/table" Target="../tables/table146.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150.xml"/><Relationship Id="rId1" Type="http://schemas.openxmlformats.org/officeDocument/2006/relationships/table" Target="../tables/table149.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157.xml"/><Relationship Id="rId13" Type="http://schemas.openxmlformats.org/officeDocument/2006/relationships/table" Target="../tables/table162.xml"/><Relationship Id="rId18" Type="http://schemas.openxmlformats.org/officeDocument/2006/relationships/table" Target="../tables/table167.xml"/><Relationship Id="rId3" Type="http://schemas.openxmlformats.org/officeDocument/2006/relationships/table" Target="../tables/table152.xml"/><Relationship Id="rId21" Type="http://schemas.openxmlformats.org/officeDocument/2006/relationships/table" Target="../tables/table170.xml"/><Relationship Id="rId7" Type="http://schemas.openxmlformats.org/officeDocument/2006/relationships/table" Target="../tables/table156.xml"/><Relationship Id="rId12" Type="http://schemas.openxmlformats.org/officeDocument/2006/relationships/table" Target="../tables/table161.xml"/><Relationship Id="rId17" Type="http://schemas.openxmlformats.org/officeDocument/2006/relationships/table" Target="../tables/table166.xml"/><Relationship Id="rId2" Type="http://schemas.openxmlformats.org/officeDocument/2006/relationships/table" Target="../tables/table151.xml"/><Relationship Id="rId16" Type="http://schemas.openxmlformats.org/officeDocument/2006/relationships/table" Target="../tables/table165.xml"/><Relationship Id="rId20" Type="http://schemas.openxmlformats.org/officeDocument/2006/relationships/table" Target="../tables/table169.xml"/><Relationship Id="rId1" Type="http://schemas.openxmlformats.org/officeDocument/2006/relationships/printerSettings" Target="../printerSettings/printerSettings10.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5" Type="http://schemas.openxmlformats.org/officeDocument/2006/relationships/table" Target="../tables/table164.xml"/><Relationship Id="rId10" Type="http://schemas.openxmlformats.org/officeDocument/2006/relationships/table" Target="../tables/table159.xml"/><Relationship Id="rId19" Type="http://schemas.openxmlformats.org/officeDocument/2006/relationships/table" Target="../tables/table168.xml"/><Relationship Id="rId4" Type="http://schemas.openxmlformats.org/officeDocument/2006/relationships/table" Target="../tables/table153.xml"/><Relationship Id="rId9" Type="http://schemas.openxmlformats.org/officeDocument/2006/relationships/table" Target="../tables/table158.xml"/><Relationship Id="rId14" Type="http://schemas.openxmlformats.org/officeDocument/2006/relationships/table" Target="../tables/table163.xml"/><Relationship Id="rId22" Type="http://schemas.openxmlformats.org/officeDocument/2006/relationships/table" Target="../tables/table1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1" t="s">
        <v>826</v>
      </c>
    </row>
    <row r="2" spans="1:12" s="2" customFormat="1" ht="20.100000000000001" customHeight="1" x14ac:dyDescent="0.25">
      <c r="A2"/>
    </row>
    <row r="3" spans="1:12" ht="20.100000000000001" customHeight="1" x14ac:dyDescent="0.25">
      <c r="A3" s="212" t="str">
        <f>HYPERLINK("#'Overview'!A1", "Overview")</f>
        <v>Overview</v>
      </c>
      <c r="C3" s="202"/>
      <c r="D3" s="202"/>
      <c r="E3" s="202"/>
      <c r="F3" s="202"/>
      <c r="G3" s="202"/>
      <c r="H3" s="202"/>
      <c r="I3" s="202"/>
      <c r="J3" s="202"/>
      <c r="K3" s="202"/>
      <c r="L3" s="202"/>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13"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1" t="s">
        <v>827</v>
      </c>
    </row>
    <row r="2" spans="1:12" s="2" customFormat="1" ht="20.100000000000001" customHeight="1" x14ac:dyDescent="0.25">
      <c r="A2"/>
    </row>
    <row r="3" spans="1:12" ht="20.100000000000001" customHeight="1" x14ac:dyDescent="0.25">
      <c r="A3" s="16" t="str">
        <f>HYPERLINK("#'Overview'!A1", "Overview")</f>
        <v>Overview</v>
      </c>
      <c r="C3" s="202"/>
      <c r="D3" s="202"/>
      <c r="E3" s="202"/>
      <c r="F3" s="202"/>
      <c r="G3" s="202"/>
      <c r="H3" s="202"/>
      <c r="I3" s="202"/>
      <c r="J3" s="202"/>
      <c r="K3" s="202"/>
      <c r="L3" s="202"/>
    </row>
    <row r="4" spans="1:12" ht="20.100000000000001" customHeight="1" x14ac:dyDescent="0.25">
      <c r="A4" s="212" t="str">
        <f>HYPERLINK("#'Results'!A1", "Results")</f>
        <v>Results</v>
      </c>
    </row>
    <row r="5" spans="1:12" ht="20.100000000000001" customHeight="1" x14ac:dyDescent="0.25">
      <c r="D5" s="9" t="s">
        <v>828</v>
      </c>
      <c r="E5" s="203"/>
      <c r="F5" s="203"/>
      <c r="G5" s="203"/>
      <c r="H5" s="9"/>
      <c r="I5" s="9"/>
      <c r="J5" s="9"/>
    </row>
    <row r="6" spans="1:12" ht="20.100000000000001" customHeight="1" x14ac:dyDescent="0.3">
      <c r="D6" s="204"/>
      <c r="E6" s="205"/>
      <c r="F6" s="205"/>
      <c r="G6" s="205"/>
      <c r="H6" s="203"/>
      <c r="I6" s="138"/>
      <c r="J6" s="138"/>
    </row>
    <row r="7" spans="1:12" ht="20.100000000000001" customHeight="1" x14ac:dyDescent="0.25">
      <c r="A7" s="19" t="s">
        <v>67</v>
      </c>
      <c r="D7" s="86" t="s">
        <v>829</v>
      </c>
      <c r="E7" s="101"/>
      <c r="F7" s="87"/>
      <c r="G7" s="138"/>
      <c r="H7" s="138"/>
      <c r="I7" s="138"/>
      <c r="J7" s="138"/>
    </row>
    <row r="8" spans="1:12" ht="20.100000000000001" customHeight="1" x14ac:dyDescent="0.25">
      <c r="A8" s="16" t="str">
        <f>HYPERLINK("#'Input - Site'!A1", "Site")</f>
        <v>Site</v>
      </c>
      <c r="D8" s="138"/>
      <c r="E8" s="138"/>
      <c r="F8" s="138"/>
      <c r="G8" s="138"/>
      <c r="H8" s="138"/>
      <c r="I8" s="138"/>
      <c r="J8" s="138"/>
    </row>
    <row r="9" spans="1:12" ht="20.100000000000001" customHeight="1" x14ac:dyDescent="0.25">
      <c r="A9" s="16" t="str">
        <f>HYPERLINK("#'Input - Fuel'!A1", "Fuel")</f>
        <v>Fuel</v>
      </c>
      <c r="D9" s="206" t="s">
        <v>830</v>
      </c>
      <c r="E9" s="206" t="s">
        <v>831</v>
      </c>
      <c r="F9" s="206" t="s">
        <v>832</v>
      </c>
      <c r="G9" s="206"/>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07" t="s">
        <v>845</v>
      </c>
      <c r="F10" s="207" t="s">
        <v>845</v>
      </c>
      <c r="G10" s="13" t="s">
        <v>833</v>
      </c>
    </row>
    <row r="11" spans="1:12" ht="20.100000000000001" customHeight="1" x14ac:dyDescent="0.25">
      <c r="A11" s="16" t="str">
        <f>HYPERLINK("#'Input - Farm Inputs'!A1", "Farm Inputs")</f>
        <v>Farm Inputs</v>
      </c>
      <c r="D11" s="208" t="str">
        <f>'15 Scope 3'!D21</f>
        <v>Beef cattle</v>
      </c>
      <c r="E11" s="207">
        <f>VEERG_15_1_1_1__1_EmissionsFromPurchasedLivestock_BeefCattle_Result_Method1</f>
        <v>1052.5</v>
      </c>
      <c r="F11" s="207">
        <f>VEERG_15_1_1_1__1_EmissionsFromPurchasedLivestock_BeefCattle_Result_Method2</f>
        <v>1014.5</v>
      </c>
      <c r="G11" s="13" t="s">
        <v>833</v>
      </c>
    </row>
    <row r="12" spans="1:12" ht="20.100000000000001" customHeight="1" x14ac:dyDescent="0.25">
      <c r="A12" s="16" t="str">
        <f>HYPERLINK("#'Input - Livestock purchases'!A1", "Livestock purchases")</f>
        <v>Livestock purchases</v>
      </c>
      <c r="D12" s="208" t="str">
        <f>'15 Scope 3'!D38</f>
        <v>Dairy cattle</v>
      </c>
      <c r="E12" s="207">
        <f>VEERG_15_1_1_1__1_EmissionsFromPurchasedLivestock_DairyCattle_Result_Method1</f>
        <v>295.47000000000003</v>
      </c>
      <c r="F12" s="207">
        <f>VEERG_15_1_1_1__1_EmissionsFromPurchasedLivestock_DairyCattle_Result_Method2</f>
        <v>415.625</v>
      </c>
      <c r="G12" s="13" t="s">
        <v>833</v>
      </c>
    </row>
    <row r="13" spans="1:12" ht="20.100000000000001" customHeight="1" x14ac:dyDescent="0.25">
      <c r="A13" s="16" t="str">
        <f>HYPERLINK("#'Input - Freight'!A1", "Freight")</f>
        <v>Freight</v>
      </c>
      <c r="D13" s="208" t="str">
        <f>'15 Scope 3'!D57</f>
        <v>Pigs</v>
      </c>
      <c r="E13" s="207">
        <f>VEERG_15_1_1_1__1_EmissionsFromPurchasedLivestock_Pigs_Result_Method1</f>
        <v>127.08800000000001</v>
      </c>
      <c r="F13" s="207">
        <f>VEERG_15_1_1_1__1_EmissionsFromPurchasedLivestock_Pigs_Result_Method2</f>
        <v>73.38000000000001</v>
      </c>
      <c r="G13" s="13" t="s">
        <v>833</v>
      </c>
    </row>
    <row r="14" spans="1:12" ht="20.100000000000001" customHeight="1" x14ac:dyDescent="0.25">
      <c r="A14" s="16" t="str">
        <f>HYPERLINK("#'Input - Solid waste'!A1", "Solid waste")</f>
        <v>Solid waste</v>
      </c>
      <c r="D14" s="208" t="str">
        <f>'15 Scope 3'!D75</f>
        <v>Poultry</v>
      </c>
      <c r="E14" s="207">
        <f>VEERG_15_1_1_1__1_EmissionsFromPurchasedLivestock_Poultry_Result_Method1</f>
        <v>0.36720000000000003</v>
      </c>
      <c r="F14" s="207">
        <f>VEERG_15_1_1_1__1_EmissionsFromPurchasedLivestock_Poultry_Result_Method2</f>
        <v>0.35940000000000005</v>
      </c>
      <c r="G14" s="13" t="s">
        <v>833</v>
      </c>
    </row>
    <row r="15" spans="1:12" ht="20.100000000000001" customHeight="1" x14ac:dyDescent="0.25">
      <c r="A15" s="16" t="str">
        <f>HYPERLINK("#'Input - Manure sent off-site'!A1", "Manure sent off-site")</f>
        <v>Manure sent off-site</v>
      </c>
      <c r="C15" s="209"/>
      <c r="D15" s="8" t="str" cm="1">
        <f t="array" ref="D15">Common_InputFunctions.Utility_ResultsItemFromEquationTitleAndSource('15 Scope 3'!D98,'15 Scope 3'!D99)</f>
        <v>15.2.1.1 Emissions from purchased feed</v>
      </c>
      <c r="E15" s="207">
        <f>VEERG_15_2_1_1__1_EmissionsFromPurchasedFeed_Result_Method1</f>
        <v>1.1406520000000002</v>
      </c>
      <c r="F15" s="207">
        <f>VEERG_15_2_1_1__1_EmissionsFromPurchasedFeed_Result_Method2</f>
        <v>0.86778000000000011</v>
      </c>
      <c r="G15" s="13" t="s">
        <v>833</v>
      </c>
    </row>
    <row r="16" spans="1:12" ht="20.100000000000001" customHeight="1" x14ac:dyDescent="0.25">
      <c r="A16" s="16" t="str">
        <f>HYPERLINK("#'Input - Electricity'!A1", "Electricity")</f>
        <v>Electricity</v>
      </c>
      <c r="C16" s="209"/>
      <c r="D16" s="8" t="str" cm="1">
        <f t="array" ref="D16">Common_InputFunctions.Utility_ResultsItemFromEquationTitleAndSource('15 Scope 3'!D164,'15 Scope 3'!D165)</f>
        <v>15.3.1.1 Total emissions from purchased mineral supplements</v>
      </c>
      <c r="E16" s="207">
        <f>VEERG_15_3_1_1__1_EmissionsFromPurchasedMineralSupplements_Result_Method1</f>
        <v>0.1789</v>
      </c>
      <c r="F16" s="207">
        <f>VEERG_15_3_1_1__1_EmissionsFromPurchasedMineralSupplements_Result_Method2</f>
        <v>0.16</v>
      </c>
      <c r="G16" s="13" t="s">
        <v>833</v>
      </c>
    </row>
    <row r="17" spans="1:8" ht="20.100000000000001" customHeight="1" x14ac:dyDescent="0.25">
      <c r="D17" s="8" t="str" cm="1">
        <f t="array" ref="D17">Common_InputFunctions.Utility_ResultsItemFromEquationTitleAndSource('15 Scope 3'!D201,'15 Scope 3'!D202)</f>
        <v>15.4.1.1 Emissions from purchased fertiliser</v>
      </c>
      <c r="E17" s="207">
        <f>VEERG_15_4_1_1__2_EmissionsFromPurchasedFertiliserComponentsVariation_Result_Method1</f>
        <v>66.611033520000007</v>
      </c>
      <c r="F17" s="207">
        <f>VEERG_15_4_1_1__2_EmissionsFromPurchasedFertiliserComponentsVariation_Result_Method2</f>
        <v>65.023033519999998</v>
      </c>
      <c r="G17" s="13" t="s">
        <v>833</v>
      </c>
    </row>
    <row r="18" spans="1:8" ht="20.100000000000001" customHeight="1" x14ac:dyDescent="0.25">
      <c r="D18" s="8" t="str" cm="1">
        <f t="array" ref="D18">Common_InputFunctions.Utility_ResultsItemFromEquationTitleAndSource('15 Scope 3'!D271,'15 Scope 3'!D272)</f>
        <v>15.5.1.1 Total emissions from purchased agrichemicals</v>
      </c>
      <c r="E18" s="207">
        <f>VEERG_15_5_1_1__1_EmissionsFromPurchasedAgrichemicals_Result_Method1</f>
        <v>7.5159999999999991</v>
      </c>
      <c r="F18" s="207">
        <f>VEERG_15_5_1_1__1_EmissionsFromPurchasedAgrichemicals_Result_Method2</f>
        <v>7.4959999999999996</v>
      </c>
      <c r="G18" s="13" t="s">
        <v>833</v>
      </c>
    </row>
    <row r="19" spans="1:8" ht="20.100000000000001" customHeight="1" x14ac:dyDescent="0.25">
      <c r="A19" s="21" t="s">
        <v>77</v>
      </c>
      <c r="D19" s="8" t="str" cm="1">
        <f t="array" ref="D19">Common_InputFunctions.Utility_ResultsItemFromEquationTitleAndSource('15 Scope 3'!D303,'15 Scope 3'!D304)</f>
        <v>15.6.1.1 Embedded emissions for purchased lime</v>
      </c>
      <c r="E19" s="207">
        <f>VEERG_15_6_1_1__1_EmissionsFromPurchasedLime_Result_Method1</f>
        <v>1.6553999999999999E-2</v>
      </c>
      <c r="F19" s="207">
        <f>VEERG_15_6_1_1__1_EmissionsFromPurchasedLime_Result_Method2</f>
        <v>1.4400000000000001E-2</v>
      </c>
      <c r="G19" s="13" t="s">
        <v>833</v>
      </c>
    </row>
    <row r="20" spans="1:8" ht="20.100000000000001" customHeight="1" x14ac:dyDescent="0.25">
      <c r="A20" s="16" t="str">
        <f>HYPERLINK("#'15 Scope 3'!A1", "15 Scope 3")</f>
        <v>15 Scope 3</v>
      </c>
      <c r="D20" s="8" t="str" cm="1">
        <f t="array" ref="D20">Common_InputFunctions.Utility_ResultsItemFromEquationTitleAndSource('15 Scope 3'!D336,'15 Scope 3'!D337)</f>
        <v>15.7.1.1 Emissions of purchased services and contractor operations</v>
      </c>
      <c r="E20" s="207" t="str">
        <f>VEERG_15_7_1_1__1_EmissionsFromPurchasedServices_Result_Method1</f>
        <v>No data</v>
      </c>
      <c r="F20" s="207">
        <f>VEERG_15_7_1_1__1_EmissionsFromPurchasedServices_Result_Method2</f>
        <v>42</v>
      </c>
      <c r="G20" s="13" t="s">
        <v>833</v>
      </c>
      <c r="H20" s="209"/>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3'!D367,'15 Scope 3'!D368)</f>
        <v>15.8.1.1 Embedded emissions from use of packaging materials</v>
      </c>
      <c r="E21" s="207">
        <f>VEERG_15_8_1_1__1_EmissionsFromPurchasedPackaging_Result_Method1</f>
        <v>7.44</v>
      </c>
      <c r="F21" s="207">
        <f>VEERG_15_8_1_1__1_EmissionsFromPurchasedPackaging_Result_Method2</f>
        <v>6</v>
      </c>
      <c r="G21" s="13" t="s">
        <v>833</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3'!D398,'15 Scope 3'!D399)</f>
        <v>15.9.1.1 Embedded emissions from use of grow media products</v>
      </c>
      <c r="E22" s="207" t="str">
        <f>VEERG_15_9_1_1__1_EmissionsFromPurchasedGrowMedia_Result_Method1</f>
        <v>No data</v>
      </c>
      <c r="F22" s="207">
        <f>VEERG_15_9_1_1__1_EmissionsFromPurchasedGrowMedia_Result_Method2</f>
        <v>40.200000000000003</v>
      </c>
      <c r="G22" s="13" t="s">
        <v>833</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3'!D430,'15 Scope 3'!D431)</f>
        <v>15.10 Other purchased goods and services generic estimate</v>
      </c>
      <c r="E23" s="207" t="s">
        <v>845</v>
      </c>
      <c r="F23" s="207" t="s">
        <v>845</v>
      </c>
      <c r="G23" s="13" t="s">
        <v>833</v>
      </c>
    </row>
    <row r="24" spans="1:8" ht="20.100000000000001" customHeight="1" x14ac:dyDescent="0.25">
      <c r="A24" s="16" t="str">
        <f>HYPERLINK("#'8.2.1.1-2 Stationary fuel'!A1", "8.2.1.1-2 Stationary fuel")</f>
        <v>8.2.1.1-2 Stationary fuel</v>
      </c>
      <c r="D24" s="208" t="str">
        <f>'15 Scope 3'!D442</f>
        <v>Cleaning chemical purchases</v>
      </c>
      <c r="E24" s="207">
        <f>VEERG_15_10_1_1__1_OtherPurchasedGoodsAndServices_CleaningChemicals_Result_Method1</f>
        <v>0.50509999999999999</v>
      </c>
      <c r="F24" s="207">
        <f>VEERG_15_10_1_1__1_OtherPurchasedGoodsAndServices_CleaningChemicals_Result_Method2</f>
        <v>2.73</v>
      </c>
      <c r="G24" s="13" t="s">
        <v>833</v>
      </c>
    </row>
    <row r="25" spans="1:8" ht="20.100000000000001" customHeight="1" x14ac:dyDescent="0.25">
      <c r="D25" s="208" t="str">
        <f>'15 Scope 3'!D460</f>
        <v>Pharmacy chemical purchases</v>
      </c>
      <c r="E25" s="207">
        <f>VEERG_15_10_1_1__1_OtherPurchasedGoodsAndServices_PharmacyChemicals_Result_Method1</f>
        <v>1.5636000000000001E-2</v>
      </c>
      <c r="F25" s="207">
        <f>VEERG_15_10_1_1__1_OtherPurchasedGoodsAndServices_PharmacyChemicals_Result_Method2</f>
        <v>1.3400000000000002E-2</v>
      </c>
      <c r="G25" s="13" t="s">
        <v>833</v>
      </c>
    </row>
    <row r="26" spans="1:8" ht="20.100000000000001" customHeight="1" x14ac:dyDescent="0.25">
      <c r="D26" s="208" t="str">
        <f>'15 Scope 3'!D478</f>
        <v>Seed</v>
      </c>
      <c r="E26" s="207">
        <f>VEERG_15_10_1_1__1_OtherPurchasedGoodsAndServices_Seed_Result_Method1</f>
        <v>0.84389999999999998</v>
      </c>
      <c r="F26" s="207">
        <f>VEERG_15_10_1_1__1_OtherPurchasedGoodsAndServices_Seed_Result_Method2</f>
        <v>0.71420000000000006</v>
      </c>
      <c r="G26" s="13" t="s">
        <v>833</v>
      </c>
    </row>
    <row r="27" spans="1:8" ht="20.100000000000001" customHeight="1" x14ac:dyDescent="0.25">
      <c r="A27" s="213" t="s">
        <v>78</v>
      </c>
      <c r="D27" s="208" t="str">
        <f>'15 Scope 3'!D491</f>
        <v>Miscellaneous Inputs</v>
      </c>
      <c r="E27" s="207">
        <f>VEERG_15_10_1_1__1_OtherPurchasedGoodsAndServices_Misc_Result_Method1</f>
        <v>2.9531000000000005</v>
      </c>
      <c r="F27" s="207">
        <f>VEERG_15_10_1_1__1_OtherPurchasedGoodsAndServices_Misc_Result_Method2</f>
        <v>8.5860000000000006E-2</v>
      </c>
      <c r="G27" s="13" t="s">
        <v>833</v>
      </c>
    </row>
    <row r="28" spans="1:8" ht="20.100000000000001" customHeight="1" x14ac:dyDescent="0.25">
      <c r="A28" s="16" t="str">
        <f>HYPERLINK("#'Constants - Scope 3'!A1", "Constants - Scope 3")</f>
        <v>Constants - Scope 3</v>
      </c>
      <c r="D28" s="208" t="str">
        <f>'15 Scope 3'!D502</f>
        <v>Uncategorised products with no Method 1 EF data</v>
      </c>
      <c r="E28" s="207" t="str">
        <f>VEERG_15_10_1_1__1_OtherPurchasedGoodsAndServices_Uncategorised_Result_Method1</f>
        <v>No data</v>
      </c>
      <c r="F28" s="207">
        <f>VEERG_15_10_1_1__1_OtherPurchasedGoodsAndServices_Uncategorised_Result_Method2</f>
        <v>4000</v>
      </c>
      <c r="G28" s="13" t="s">
        <v>833</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3'!D521,'15 Scope 3'!D522)</f>
        <v>15.11.1.1 Total upstream emissions from scope 1 fuel consumption</v>
      </c>
      <c r="E29" s="207">
        <f>VEERG_15_11_1_1__1_TotalUpstreamEmissionsFromFuel_Result</f>
        <v>0.13617600000000002</v>
      </c>
      <c r="F29" s="207">
        <f>E29</f>
        <v>0.13617600000000002</v>
      </c>
      <c r="G29" s="13" t="s">
        <v>833</v>
      </c>
    </row>
    <row r="30" spans="1:8" ht="20.100000000000001" customHeight="1" x14ac:dyDescent="0.25">
      <c r="A30" s="16" t="str">
        <f>HYPERLINK("#'Constants - Fuel'!A1", "Constants - Fuel")</f>
        <v>Constants - Fuel</v>
      </c>
      <c r="D30" s="8" t="str" cm="1">
        <f t="array" ref="D30">Common_InputFunctions.Utility_ResultsItemFromEquationTitleAndSource('15 Scope 3'!D536,'15 Scope 3'!D537)</f>
        <v>15.12.1.1 Scope 3 emissions from purchased electricity location based</v>
      </c>
      <c r="E30" s="207">
        <f>VEERG_15_12_1_1__1_UpstreamPurchasedElectricityLocationBased_Result</f>
        <v>0.03</v>
      </c>
      <c r="F30" s="207">
        <f>E30</f>
        <v>0.03</v>
      </c>
      <c r="G30" s="13" t="s">
        <v>833</v>
      </c>
    </row>
    <row r="31" spans="1:8" ht="20.100000000000001" customHeight="1" x14ac:dyDescent="0.25">
      <c r="A31" s="16" t="str">
        <f>HYPERLINK("#'Constants - Poultry'!A1", "Constants - Poultry")</f>
        <v>Constants - Poultry</v>
      </c>
      <c r="D31" s="8" t="str" cm="1">
        <f t="array" ref="D31">Common_InputFunctions.Utility_ResultsItemFromEquationTitleAndSource('15 Scope 3'!D552,'15 Scope 3'!D553)</f>
        <v>15.12.1.2 Scope 3 emissions from purchased electricity market based</v>
      </c>
      <c r="E31" s="207">
        <f>VEERG_15_12_1_2__1_UpstreamPurchasedElectricityMarketBasedVariation_Result</f>
        <v>1.5</v>
      </c>
      <c r="F31" s="207">
        <f>E31</f>
        <v>1.5</v>
      </c>
      <c r="G31" s="13" t="s">
        <v>833</v>
      </c>
    </row>
    <row r="32" spans="1:8" ht="20.100000000000001" customHeight="1" x14ac:dyDescent="0.25">
      <c r="A32" s="16" t="str">
        <f>HYPERLINK("#'Constants - Swine'!A1", "Constants - Swine")</f>
        <v>Constants - Swine</v>
      </c>
      <c r="D32" s="8" t="str" cm="1">
        <f t="array" ref="D32">Common_InputFunctions.Utility_ResultsItemFromEquationTitleAndSource('15 Scope 3'!D574,'15 Scope 3'!D575)</f>
        <v>15.13.1.1 Emissions from manure sent off site applied to soils in another farming system or enterprise</v>
      </c>
      <c r="E32" s="207">
        <f>VEERG_15_13_1_1__1_EmissionsFromManureSentOffSite_Result_Method1_CO2e</f>
        <v>3.7936642857142857</v>
      </c>
      <c r="F32" s="207">
        <f>VEERG_15_13_1_1__1_EmissionsFromManureSentOffSite_Result_Method2_CO2e</f>
        <v>7.5873285714285714</v>
      </c>
      <c r="G32" s="13" t="s">
        <v>833</v>
      </c>
    </row>
    <row r="33" spans="1:7" ht="20.100000000000001" customHeight="1" x14ac:dyDescent="0.25">
      <c r="A33" s="16" t="str">
        <f>HYPERLINK("#'Constants - Dairy'!A1", "Constants - Dairy")</f>
        <v>Constants - Dairy</v>
      </c>
      <c r="D33" s="8" t="str" cm="1">
        <f t="array" ref="D33">Common_InputFunctions.Utility_ResultsItemFromEquationTitleAndSource('15 Scope 3'!D597,'15 Scope 3'!D598&amp;",")</f>
        <v>15.13.1.3 Emissions from solid waste sent to a treatment facility</v>
      </c>
      <c r="E33" s="207">
        <f>VEERG_10_1_1_1__1_EmissionsFromWasteManagement_Scope3_Result_Method1</f>
        <v>330.84210000000002</v>
      </c>
      <c r="F33" s="207">
        <f>E33</f>
        <v>330.84210000000002</v>
      </c>
      <c r="G33" s="13" t="s">
        <v>833</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3'!D607,'15 Scope 3'!D608)</f>
        <v>15.14.1.1 Embedded emissions from upstream freight</v>
      </c>
      <c r="E34" s="207" t="s">
        <v>845</v>
      </c>
      <c r="F34" s="207" t="s">
        <v>845</v>
      </c>
      <c r="G34" s="13" t="s">
        <v>833</v>
      </c>
    </row>
    <row r="35" spans="1:7" ht="20.100000000000001" customHeight="1" x14ac:dyDescent="0.25">
      <c r="A35" s="16" t="str">
        <f>HYPERLINK("#'Constants - Common Livestock'!A1", "Constants - Common Livestock")</f>
        <v>Constants - Common Livestock</v>
      </c>
      <c r="D35" s="208" t="str">
        <f>'15 Scope 3'!D621</f>
        <v>Incoming freight</v>
      </c>
      <c r="E35" s="207" t="str">
        <f>VEERG_15_14_1_1__1_EmbeddedEmissionsFromUpstreamFreight_Incoming_Result_Method1</f>
        <v>No data</v>
      </c>
      <c r="F35" s="207">
        <f>VEERG_15_14_1_1__1_EmbeddedEmissionsFromUpstreamFreight_Incoming_Result_Method2</f>
        <v>5146700</v>
      </c>
      <c r="G35" s="13" t="s">
        <v>833</v>
      </c>
    </row>
    <row r="36" spans="1:7" ht="20.100000000000001" customHeight="1" x14ac:dyDescent="0.25">
      <c r="A36" s="16" t="str">
        <f>HYPERLINK("#'Constants - Fertiliser'!A1", "Constants - Fertiliser")</f>
        <v>Constants - Fertiliser</v>
      </c>
      <c r="D36" s="208" t="str">
        <f>'15 Scope 3'!D639</f>
        <v>Outgoing freight</v>
      </c>
      <c r="E36" s="207" t="str">
        <f>VEERG_15_14_1_1__1_EmbeddedEmissionsFromUpstreamFreight_Outgoing_Result_Method1</f>
        <v>No data</v>
      </c>
      <c r="F36" s="207">
        <f>VEERG_15_14_1_1__1_EmbeddedEmissionsFromUpstreamFreight_Outgoing_Result_Method2</f>
        <v>432640</v>
      </c>
      <c r="G36" s="13" t="s">
        <v>833</v>
      </c>
    </row>
    <row r="37" spans="1:7" ht="20.100000000000001" customHeight="1" x14ac:dyDescent="0.25">
      <c r="A37" s="16" t="str">
        <f>HYPERLINK("#'Constants - Electricity'!A1", "Constants - Electricity")</f>
        <v>Constants - Electricity</v>
      </c>
      <c r="D37" s="60" t="s">
        <v>218</v>
      </c>
      <c r="E37" s="210">
        <f>SUM(E10:E36)</f>
        <v>1898.9480158057149</v>
      </c>
      <c r="F37" s="210">
        <f>SUM(F10:F36)</f>
        <v>5585349.2646780917</v>
      </c>
      <c r="G37" s="166" t="s">
        <v>833</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93" t="s">
        <v>260</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94"/>
      <c r="D4" s="94"/>
      <c r="E4" s="94"/>
      <c r="F4" s="94"/>
      <c r="G4" s="94"/>
      <c r="H4" s="94"/>
      <c r="I4" s="94"/>
      <c r="J4" s="94"/>
      <c r="K4" s="94"/>
    </row>
    <row r="5" spans="1:24" ht="20.100000000000001" customHeight="1" x14ac:dyDescent="0.25">
      <c r="A5"/>
      <c r="D5" s="9" t="s">
        <v>261</v>
      </c>
      <c r="N5" s="95"/>
    </row>
    <row r="6" spans="1:24" ht="20.100000000000001" customHeight="1" x14ac:dyDescent="0.25">
      <c r="A6"/>
      <c r="D6" s="96"/>
      <c r="N6" s="97"/>
    </row>
    <row r="7" spans="1:24" ht="20.100000000000001" customHeight="1" x14ac:dyDescent="0.25">
      <c r="A7" s="19" t="s">
        <v>67</v>
      </c>
      <c r="D7" s="8" t="s">
        <v>262</v>
      </c>
      <c r="E7" s="74" t="s">
        <v>263</v>
      </c>
      <c r="F7" s="63"/>
    </row>
    <row r="8" spans="1:24" ht="20.100000000000001" customHeight="1" x14ac:dyDescent="0.25">
      <c r="A8" s="42" t="str">
        <f>HYPERLINK("#'Input - Site'!A1", "Site")</f>
        <v>Site</v>
      </c>
      <c r="D8" s="98" t="s">
        <v>264</v>
      </c>
      <c r="E8" s="74" t="s">
        <v>265</v>
      </c>
    </row>
    <row r="9" spans="1:24" ht="20.100000000000001" customHeight="1" x14ac:dyDescent="0.25">
      <c r="A9" s="16" t="str">
        <f>HYPERLINK("#'Input - Fuel'!A1", "Fuel")</f>
        <v>Fuel</v>
      </c>
      <c r="N9" s="99"/>
    </row>
    <row r="10" spans="1:24" ht="20.100000000000001" customHeight="1" x14ac:dyDescent="0.25">
      <c r="A10" s="16" t="str">
        <f>HYPERLINK("#'Input - Fertiliser'!A1", "Fertiliser")</f>
        <v>Fertiliser</v>
      </c>
      <c r="D10" s="86" t="s">
        <v>266</v>
      </c>
      <c r="E10" s="100"/>
      <c r="F10" s="101"/>
      <c r="G10" s="87"/>
      <c r="N10" s="99"/>
    </row>
    <row r="11" spans="1:24" ht="20.100000000000001" customHeight="1" x14ac:dyDescent="0.25">
      <c r="A11" s="16" t="str">
        <f>HYPERLINK("#'Input - Farm Inputs'!A1", "Farm Inputs")</f>
        <v>Farm Inputs</v>
      </c>
      <c r="N11" s="102"/>
    </row>
    <row r="12" spans="1:24" ht="20.100000000000001" customHeight="1" x14ac:dyDescent="0.25">
      <c r="A12" s="16" t="str">
        <f>HYPERLINK("#'Input - Livestock purchases'!A1", "Livestock purchases")</f>
        <v>Livestock purchases</v>
      </c>
      <c r="D12" s="98" t="s">
        <v>267</v>
      </c>
      <c r="E12" s="103">
        <v>45292</v>
      </c>
      <c r="F12" s="63" t="s">
        <v>268</v>
      </c>
    </row>
    <row r="13" spans="1:24" ht="20.100000000000001" customHeight="1" x14ac:dyDescent="0.25">
      <c r="A13" s="16" t="str">
        <f>HYPERLINK("#'Input - Freight'!A1", "Freight")</f>
        <v>Freight</v>
      </c>
      <c r="D13" s="98" t="s">
        <v>269</v>
      </c>
      <c r="E13" s="104">
        <f>DATE(YEAR(X_Cell_Site_StartDate)+1,MONTH(X_Cell_Site_StartDate),DAY(X_Cell_Site_StartDate))-1</f>
        <v>45657</v>
      </c>
      <c r="F13" s="63" t="s">
        <v>270</v>
      </c>
      <c r="N13" s="105"/>
      <c r="O13" s="105"/>
    </row>
    <row r="14" spans="1:24" ht="20.100000000000001" customHeight="1" x14ac:dyDescent="0.25">
      <c r="A14" s="16" t="str">
        <f>HYPERLINK("#'Input - Solid waste'!A1", "Solid waste")</f>
        <v>Solid waste</v>
      </c>
      <c r="N14" s="105"/>
      <c r="O14" s="105"/>
    </row>
    <row r="15" spans="1:24" ht="20.100000000000001" customHeight="1" x14ac:dyDescent="0.25">
      <c r="A15" s="16" t="str">
        <f>HYPERLINK("#'Input - Manure sent off-site'!A1", "Manure sent off-site")</f>
        <v>Manure sent off-site</v>
      </c>
      <c r="N15" s="105"/>
      <c r="O15" s="105"/>
    </row>
    <row r="16" spans="1:24" ht="20.100000000000001" customHeight="1" x14ac:dyDescent="0.25">
      <c r="A16" s="16" t="str">
        <f>HYPERLINK("#'Input - Electricity'!A1", "Electricity")</f>
        <v>Electricity</v>
      </c>
      <c r="D16" s="9" t="s">
        <v>271</v>
      </c>
      <c r="N16" s="105"/>
      <c r="O16" s="105"/>
    </row>
    <row r="17" spans="1:25" ht="20.100000000000001" customHeight="1" x14ac:dyDescent="0.25">
      <c r="A17"/>
    </row>
    <row r="18" spans="1:25" ht="20.100000000000001" customHeight="1" x14ac:dyDescent="0.25">
      <c r="A18"/>
      <c r="D18" s="106" t="s">
        <v>272</v>
      </c>
      <c r="E18" s="40"/>
      <c r="F18" s="40"/>
      <c r="G18" s="41"/>
    </row>
    <row r="19" spans="1:25" ht="20.100000000000001" customHeight="1" x14ac:dyDescent="0.25">
      <c r="A19" s="21" t="s">
        <v>77</v>
      </c>
      <c r="D19" s="43" t="s">
        <v>273</v>
      </c>
      <c r="E19" s="44"/>
      <c r="F19" s="44"/>
      <c r="G19" s="45"/>
      <c r="N19" s="95"/>
    </row>
    <row r="20" spans="1:25" ht="20.100000000000001" customHeight="1" x14ac:dyDescent="0.25">
      <c r="A20" s="16" t="str">
        <f>HYPERLINK("#'15 Scope 3'!A1", "15 Scope 3")</f>
        <v>15 Scope 3</v>
      </c>
      <c r="D20" s="8"/>
      <c r="E20" s="107"/>
      <c r="F20" s="63"/>
      <c r="N20" s="97"/>
    </row>
    <row r="21" spans="1:25" ht="20.100000000000001" customHeight="1" x14ac:dyDescent="0.25">
      <c r="A21" s="16" t="str">
        <f>HYPERLINK("#'10.1.1-2 Solid waste treatment'!A1", "10.1.1-2 Solid waste treatment")</f>
        <v>10.1.1-2 Solid waste treatment</v>
      </c>
      <c r="D21" s="8" t="s">
        <v>274</v>
      </c>
      <c r="E21" s="47" t="s">
        <v>308</v>
      </c>
      <c r="F21" s="63" t="s">
        <v>191</v>
      </c>
    </row>
    <row r="22" spans="1:25" ht="20.100000000000001" customHeight="1" x14ac:dyDescent="0.25">
      <c r="A22" s="16" t="str">
        <f>HYPERLINK("#'Calcs - Manure sent off-site'!A1", "Calcs - Manure sent off-site")</f>
        <v>Calcs - Manure sent off-site</v>
      </c>
      <c r="D22" s="8" t="s">
        <v>275</v>
      </c>
      <c r="E22" s="47" t="s">
        <v>276</v>
      </c>
      <c r="F22" s="63" t="s">
        <v>191</v>
      </c>
      <c r="G22" s="8"/>
    </row>
    <row r="23" spans="1:25" ht="20.100000000000001" customHeight="1" x14ac:dyDescent="0.25">
      <c r="A23" s="16" t="str">
        <f>HYPERLINK("#'8.1.1.1-2 Transport fuel'!A1", "8.1.1.1-2 Transport fuel")</f>
        <v>8.1.1.1-2 Transport fuel</v>
      </c>
      <c r="D23" s="8" t="s">
        <v>745</v>
      </c>
      <c r="E23" s="47" t="s">
        <v>746</v>
      </c>
      <c r="F23" s="63" t="s">
        <v>191</v>
      </c>
    </row>
    <row r="24" spans="1:25" ht="20.100000000000001" customHeight="1" x14ac:dyDescent="0.25">
      <c r="A24" s="16" t="str">
        <f>HYPERLINK("#'8.2.1.1-2 Stationary fuel'!A1", "8.2.1.1-2 Stationary fuel")</f>
        <v>8.2.1.1-2 Stationary fuel</v>
      </c>
      <c r="D24" s="8" t="s">
        <v>16</v>
      </c>
      <c r="E24" s="74">
        <v>307.7</v>
      </c>
      <c r="F24" s="63" t="s">
        <v>747</v>
      </c>
    </row>
    <row r="25" spans="1:25" ht="20.100000000000001" customHeight="1" x14ac:dyDescent="0.25">
      <c r="A25"/>
      <c r="D25" s="8" t="s">
        <v>748</v>
      </c>
      <c r="E25" s="74">
        <v>18</v>
      </c>
      <c r="F25" s="63" t="s">
        <v>749</v>
      </c>
      <c r="N25" s="97"/>
    </row>
    <row r="26" spans="1:25" ht="20.100000000000001" customHeight="1" x14ac:dyDescent="0.25">
      <c r="A26"/>
      <c r="D26" s="8" t="s">
        <v>750</v>
      </c>
      <c r="E26" s="74">
        <v>599</v>
      </c>
      <c r="F26" s="63" t="s">
        <v>751</v>
      </c>
    </row>
    <row r="27" spans="1:25" ht="20.100000000000001" customHeight="1" x14ac:dyDescent="0.25">
      <c r="A27" s="213" t="s">
        <v>78</v>
      </c>
      <c r="D27" s="98" t="s">
        <v>752</v>
      </c>
      <c r="E27" s="74">
        <v>1326</v>
      </c>
      <c r="F27" s="63" t="s">
        <v>751</v>
      </c>
    </row>
    <row r="28" spans="1:25" ht="20.100000000000001" customHeight="1" x14ac:dyDescent="0.25">
      <c r="A28" s="16" t="str">
        <f>HYPERLINK("#'Constants - Scope 3'!A1", "Constants - Scope 3")</f>
        <v>Constants - Scope 3</v>
      </c>
      <c r="D28" s="8" t="s">
        <v>753</v>
      </c>
      <c r="E28" s="74">
        <v>7</v>
      </c>
      <c r="F28" s="63" t="s">
        <v>754</v>
      </c>
    </row>
    <row r="29" spans="1:25" ht="20.100000000000001" customHeight="1" x14ac:dyDescent="0.25">
      <c r="A29" s="16" t="str">
        <f>HYPERLINK("#'Constants - Solid Waste'!A1", "Constants - Solid Waste")</f>
        <v>Constants - Solid Waste</v>
      </c>
      <c r="D29" s="98" t="s">
        <v>755</v>
      </c>
      <c r="E29" s="49">
        <f>X_Cell_Site_TotalRainfall/X_Cell_Site_PotentialEvapotranspiration</f>
        <v>0.45173453996983409</v>
      </c>
      <c r="F29" s="63"/>
    </row>
    <row r="30" spans="1:25" ht="20.100000000000001" customHeight="1" x14ac:dyDescent="0.25">
      <c r="A30" s="16" t="str">
        <f>HYPERLINK("#'Constants - Fuel'!A1", "Constants - Fuel")</f>
        <v>Constants - Fuel</v>
      </c>
      <c r="D30" s="98" t="s">
        <v>44</v>
      </c>
      <c r="E30" s="49" t="str">
        <f>Common_InputFunctions.Utility_LookupItemFromMinMax(X_Cell_Site_TotalRainfall,Table_SourceData_RainfallZones[Min rainfall],Table_SourceData_RainfallZones[Max rainfall],Table_SourceData_RainfallZones[Rainfall Zone])</f>
        <v>Low rainfall</v>
      </c>
      <c r="G30" s="108"/>
      <c r="L30" s="109"/>
      <c r="M30" s="109"/>
      <c r="N30" s="109"/>
      <c r="O30" s="109"/>
      <c r="P30" s="109"/>
      <c r="Q30" s="109"/>
      <c r="R30" s="109"/>
      <c r="S30" s="109"/>
      <c r="T30" s="109"/>
      <c r="U30" s="109"/>
      <c r="V30" s="109"/>
      <c r="W30" s="109"/>
      <c r="X30" s="109"/>
      <c r="Y30" s="109"/>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07"/>
      <c r="L31" s="110"/>
      <c r="M31" s="110"/>
      <c r="N31" s="110"/>
      <c r="O31" s="110"/>
      <c r="P31" s="110"/>
      <c r="Q31" s="110"/>
      <c r="R31" s="110"/>
      <c r="S31" s="110"/>
      <c r="T31" s="110"/>
      <c r="U31" s="110"/>
      <c r="V31" s="110"/>
      <c r="W31" s="110"/>
      <c r="X31" s="110"/>
      <c r="Y31" s="110"/>
    </row>
    <row r="32" spans="1:25" ht="20.100000000000001" customHeight="1" x14ac:dyDescent="0.25">
      <c r="A32" s="16" t="str">
        <f>HYPERLINK("#'Constants - Swine'!A1", "Constants - Swine")</f>
        <v>Constants - Swine</v>
      </c>
      <c r="D32" s="8" t="s">
        <v>756</v>
      </c>
      <c r="E32" s="49" t="str">
        <f>Common_InputFunctions.Utility_LookupValueInTable(X_Cell_Site_ClimateZone,Table_SourceData_WetDryZones[Climate zone],Table_SourceData_WetDryZones[Wet or Dry Zone])</f>
        <v>Dry climate zone</v>
      </c>
      <c r="F32" s="8"/>
      <c r="G32" s="107"/>
      <c r="L32" s="110"/>
      <c r="M32" s="110"/>
      <c r="N32" s="110"/>
      <c r="O32" s="110"/>
      <c r="P32" s="110"/>
      <c r="Q32" s="110"/>
      <c r="R32" s="110"/>
      <c r="S32" s="110"/>
      <c r="T32" s="110"/>
      <c r="U32" s="110"/>
      <c r="V32" s="110"/>
      <c r="W32" s="110"/>
      <c r="X32" s="110"/>
      <c r="Y32" s="110"/>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11"/>
      <c r="L33" s="110"/>
      <c r="M33" s="110"/>
      <c r="N33" s="110"/>
      <c r="O33" s="110"/>
      <c r="P33" s="110"/>
      <c r="Q33" s="110"/>
      <c r="R33" s="110"/>
      <c r="S33" s="110"/>
      <c r="T33" s="110"/>
      <c r="U33" s="110"/>
      <c r="V33" s="110"/>
      <c r="W33" s="110"/>
      <c r="X33" s="110"/>
      <c r="Y33" s="110"/>
    </row>
    <row r="34" spans="1:25" ht="20.100000000000001" customHeight="1" x14ac:dyDescent="0.25">
      <c r="A34" s="16" t="str">
        <f>HYPERLINK("#'Constants - Pasture Beef'!A1", "Constants - Pasture Beef")</f>
        <v>Constants - Pasture Beef</v>
      </c>
      <c r="J34" s="112"/>
      <c r="K34" s="113"/>
      <c r="L34" s="110"/>
      <c r="M34" s="110"/>
      <c r="N34" s="110"/>
      <c r="O34" s="110"/>
      <c r="P34" s="110"/>
      <c r="Q34" s="110"/>
      <c r="R34" s="110"/>
      <c r="S34" s="110"/>
      <c r="T34" s="110"/>
      <c r="U34" s="110"/>
      <c r="V34" s="110"/>
      <c r="W34" s="110"/>
      <c r="X34" s="110"/>
      <c r="Y34" s="110"/>
    </row>
    <row r="35" spans="1:25" ht="20.100000000000001" customHeight="1" x14ac:dyDescent="0.25">
      <c r="A35" s="16" t="str">
        <f>HYPERLINK("#'Constants - Common Livestock'!A1", "Constants - Common Livestock")</f>
        <v>Constants - Common Livestock</v>
      </c>
      <c r="J35" s="112"/>
      <c r="K35" s="113"/>
      <c r="L35" s="110"/>
      <c r="M35" s="110"/>
      <c r="N35" s="110"/>
      <c r="O35" s="110"/>
      <c r="P35" s="110"/>
      <c r="Q35" s="110"/>
      <c r="R35" s="110"/>
      <c r="S35" s="110"/>
      <c r="T35" s="110"/>
      <c r="U35" s="110"/>
      <c r="V35" s="110"/>
      <c r="W35" s="110"/>
      <c r="X35" s="110"/>
      <c r="Y35" s="110"/>
    </row>
    <row r="36" spans="1:25" ht="20.100000000000001" customHeight="1" x14ac:dyDescent="0.25">
      <c r="A36" s="16" t="str">
        <f>HYPERLINK("#'Constants - Fertiliser'!A1", "Constants - Fertiliser")</f>
        <v>Constants - Fertiliser</v>
      </c>
      <c r="D36" s="114"/>
      <c r="E36" s="114"/>
      <c r="F36" s="115"/>
      <c r="G36" s="112"/>
      <c r="H36" s="112"/>
      <c r="I36" s="116"/>
      <c r="J36" s="112"/>
      <c r="K36" s="113"/>
      <c r="L36" s="110"/>
      <c r="M36" s="110"/>
      <c r="N36" s="110"/>
      <c r="O36" s="110"/>
      <c r="P36" s="110"/>
      <c r="Q36" s="110"/>
      <c r="R36" s="110"/>
      <c r="S36" s="110"/>
      <c r="T36" s="110"/>
      <c r="U36" s="110"/>
      <c r="V36" s="110"/>
      <c r="W36" s="110"/>
      <c r="X36" s="110"/>
      <c r="Y36" s="110"/>
    </row>
    <row r="37" spans="1:25" ht="20.100000000000001" customHeight="1" x14ac:dyDescent="0.25">
      <c r="A37" s="16" t="str">
        <f>HYPERLINK("#'Constants - Electricity'!A1", "Constants - Electricity")</f>
        <v>Constants - Electricity</v>
      </c>
      <c r="D37" s="114"/>
      <c r="E37" s="114"/>
      <c r="F37" s="115"/>
      <c r="G37" s="112"/>
      <c r="H37" s="112"/>
      <c r="I37" s="116"/>
      <c r="J37" s="112"/>
      <c r="K37" s="113"/>
      <c r="L37" s="110"/>
      <c r="M37" s="110"/>
      <c r="N37" s="110"/>
      <c r="O37" s="110"/>
      <c r="P37" s="110"/>
      <c r="Q37" s="110"/>
      <c r="R37" s="110"/>
      <c r="S37" s="110"/>
      <c r="T37" s="110"/>
      <c r="U37" s="110"/>
      <c r="V37" s="110"/>
      <c r="W37" s="110"/>
      <c r="X37" s="110"/>
      <c r="Y37" s="110"/>
    </row>
    <row r="38" spans="1:25" ht="20.100000000000001" customHeight="1" x14ac:dyDescent="0.25">
      <c r="A38" s="16" t="str">
        <f>HYPERLINK("#'Constants - Common'!A1", "Constants - Common")</f>
        <v>Constants - Common</v>
      </c>
      <c r="D38" s="114"/>
      <c r="E38" s="114"/>
      <c r="F38" s="115"/>
      <c r="G38" s="112"/>
      <c r="H38" s="112"/>
      <c r="I38" s="116"/>
      <c r="J38" s="112"/>
      <c r="K38" s="113"/>
      <c r="L38" s="110"/>
      <c r="M38" s="110"/>
      <c r="N38" s="110"/>
      <c r="O38" s="110"/>
      <c r="P38" s="110"/>
      <c r="Q38" s="110"/>
      <c r="R38" s="110"/>
      <c r="S38" s="110"/>
      <c r="T38" s="110"/>
      <c r="U38" s="110"/>
      <c r="V38" s="110"/>
      <c r="W38" s="110"/>
      <c r="X38" s="110"/>
      <c r="Y38" s="110"/>
    </row>
    <row r="39" spans="1:25" ht="20.100000000000001" customHeight="1" x14ac:dyDescent="0.25">
      <c r="A39"/>
      <c r="D39" s="114"/>
      <c r="E39" s="114"/>
      <c r="F39" s="115"/>
      <c r="G39" s="112"/>
      <c r="H39" s="112"/>
      <c r="I39" s="116"/>
      <c r="J39" s="112"/>
      <c r="K39" s="113"/>
      <c r="L39" s="110"/>
      <c r="M39" s="110"/>
      <c r="N39" s="110"/>
      <c r="O39" s="110"/>
      <c r="P39" s="110"/>
      <c r="Q39" s="110"/>
      <c r="R39" s="110"/>
      <c r="S39" s="110"/>
      <c r="T39" s="110"/>
      <c r="U39" s="110"/>
      <c r="V39" s="110"/>
      <c r="W39" s="110"/>
      <c r="X39" s="110"/>
      <c r="Y39" s="110"/>
    </row>
    <row r="40" spans="1:25" ht="20.100000000000001" customHeight="1" x14ac:dyDescent="0.25">
      <c r="A40"/>
      <c r="D40" s="117"/>
      <c r="E40" s="117"/>
      <c r="F40" s="117"/>
      <c r="G40" s="118"/>
      <c r="H40" s="119"/>
      <c r="I40" s="119"/>
      <c r="J40" s="119"/>
      <c r="K40" s="119"/>
      <c r="L40" s="120"/>
      <c r="M40" s="120"/>
      <c r="N40" s="120"/>
      <c r="O40" s="120"/>
      <c r="P40" s="120"/>
      <c r="Q40" s="120"/>
      <c r="R40" s="120"/>
      <c r="S40" s="120"/>
      <c r="T40" s="120"/>
      <c r="U40" s="120"/>
      <c r="V40" s="120"/>
      <c r="W40" s="120"/>
      <c r="X40" s="120"/>
      <c r="Y40" s="12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21"/>
      <c r="E47" s="121"/>
      <c r="F47" s="121"/>
      <c r="G47" s="121"/>
      <c r="H47" s="121"/>
    </row>
    <row r="48" spans="1:25" ht="20.100000000000001" customHeight="1" x14ac:dyDescent="0.25">
      <c r="A48"/>
      <c r="D48" s="122"/>
      <c r="E48" s="122"/>
      <c r="F48" s="123"/>
      <c r="G48" s="123"/>
      <c r="H48" s="122"/>
    </row>
    <row r="49" spans="1:8" ht="20.100000000000001" customHeight="1" x14ac:dyDescent="0.25">
      <c r="A49"/>
      <c r="D49" s="122"/>
      <c r="E49" s="122"/>
      <c r="F49" s="123"/>
      <c r="G49" s="123"/>
      <c r="H49" s="122"/>
    </row>
    <row r="50" spans="1:8" ht="20.100000000000001" customHeight="1" x14ac:dyDescent="0.25">
      <c r="A50"/>
      <c r="D50" s="122"/>
      <c r="E50" s="122"/>
      <c r="F50" s="123"/>
      <c r="G50" s="123"/>
      <c r="H50" s="122"/>
    </row>
    <row r="51" spans="1:8" ht="20.100000000000001" customHeight="1" x14ac:dyDescent="0.25">
      <c r="A51"/>
      <c r="D51" s="124"/>
      <c r="E51" s="125"/>
      <c r="F51" s="125"/>
      <c r="G51" s="125"/>
      <c r="H51" s="126"/>
    </row>
    <row r="52" spans="1:8" ht="20.100000000000001" customHeight="1" x14ac:dyDescent="0.25">
      <c r="A52"/>
    </row>
    <row r="53" spans="1:8" ht="20.100000000000001" customHeight="1" x14ac:dyDescent="0.25">
      <c r="A53"/>
    </row>
    <row r="54" spans="1:8" ht="20.100000000000001" customHeight="1" x14ac:dyDescent="0.25">
      <c r="A54"/>
      <c r="G54" s="127"/>
    </row>
    <row r="55" spans="1:8" ht="20.100000000000001" customHeight="1" x14ac:dyDescent="0.25">
      <c r="A55"/>
      <c r="D55" s="9"/>
    </row>
    <row r="56" spans="1:8" ht="20.100000000000001" customHeight="1" x14ac:dyDescent="0.25">
      <c r="A56"/>
    </row>
    <row r="57" spans="1:8" ht="20.100000000000001" customHeight="1" x14ac:dyDescent="0.25">
      <c r="A57"/>
      <c r="D57" s="128"/>
      <c r="F57" s="129"/>
    </row>
    <row r="58" spans="1:8" ht="20.100000000000001" customHeight="1" x14ac:dyDescent="0.25">
      <c r="A58"/>
      <c r="D58" s="8"/>
      <c r="E58" s="130"/>
    </row>
    <row r="59" spans="1:8" ht="20.100000000000001" customHeight="1" x14ac:dyDescent="0.25">
      <c r="A59"/>
      <c r="D59" s="8"/>
      <c r="E59" s="130"/>
    </row>
    <row r="60" spans="1:8" ht="20.100000000000001" customHeight="1" x14ac:dyDescent="0.25">
      <c r="A60"/>
      <c r="D60" s="8"/>
      <c r="E60" s="131"/>
    </row>
    <row r="61" spans="1:8" ht="20.100000000000001" customHeight="1" x14ac:dyDescent="0.25">
      <c r="A61"/>
      <c r="D61" s="8"/>
    </row>
    <row r="62" spans="1:8" ht="20.100000000000001" customHeight="1" x14ac:dyDescent="0.25">
      <c r="A62"/>
    </row>
    <row r="63" spans="1:8" ht="20.100000000000001" customHeight="1" x14ac:dyDescent="0.25">
      <c r="A63"/>
      <c r="D63" s="128"/>
    </row>
    <row r="64" spans="1:8" ht="20.100000000000001" customHeight="1" x14ac:dyDescent="0.25">
      <c r="A64"/>
      <c r="D64" s="8"/>
      <c r="E64" s="130"/>
    </row>
    <row r="65" spans="1:9" ht="20.100000000000001" customHeight="1" x14ac:dyDescent="0.25">
      <c r="A65"/>
      <c r="D65" s="8"/>
      <c r="E65" s="130"/>
    </row>
    <row r="66" spans="1:9" ht="20.100000000000001" customHeight="1" x14ac:dyDescent="0.25">
      <c r="A66"/>
      <c r="D66" s="8"/>
      <c r="E66" s="131"/>
    </row>
    <row r="67" spans="1:9" ht="20.100000000000001" customHeight="1" x14ac:dyDescent="0.25">
      <c r="A67"/>
    </row>
    <row r="68" spans="1:9" ht="20.100000000000001" customHeight="1" x14ac:dyDescent="0.25">
      <c r="A68"/>
    </row>
    <row r="69" spans="1:9" ht="20.100000000000001" customHeight="1" x14ac:dyDescent="0.25">
      <c r="A69"/>
      <c r="D69" s="132"/>
      <c r="E69" s="132"/>
      <c r="F69" s="132"/>
      <c r="G69" s="132"/>
      <c r="H69" s="132"/>
      <c r="I69" s="132"/>
    </row>
    <row r="70" spans="1:9" ht="20.100000000000001" customHeight="1" x14ac:dyDescent="0.25">
      <c r="A70"/>
      <c r="D70" s="132"/>
      <c r="E70" s="132"/>
      <c r="F70" s="132"/>
      <c r="G70" s="132"/>
      <c r="H70" s="132"/>
      <c r="I70" s="132"/>
    </row>
    <row r="71" spans="1:9" ht="20.100000000000001" customHeight="1" x14ac:dyDescent="0.25">
      <c r="A71"/>
      <c r="D71" s="132"/>
      <c r="E71" s="132"/>
      <c r="F71" s="132"/>
      <c r="G71" s="132"/>
      <c r="H71" s="132"/>
      <c r="I71" s="132"/>
    </row>
    <row r="72" spans="1:9" ht="20.100000000000001" customHeight="1" x14ac:dyDescent="0.25">
      <c r="A72"/>
      <c r="D72" s="132"/>
      <c r="E72" s="132"/>
      <c r="F72" s="132"/>
      <c r="G72" s="132"/>
      <c r="H72" s="132"/>
      <c r="I72" s="13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33"/>
    </row>
    <row r="79" spans="1:9" ht="20.100000000000001" customHeight="1" x14ac:dyDescent="0.25">
      <c r="A79"/>
      <c r="D79" s="133"/>
    </row>
    <row r="80" spans="1:9" ht="20.100000000000001" customHeight="1" x14ac:dyDescent="0.25">
      <c r="A80"/>
      <c r="D80" s="133"/>
    </row>
    <row r="81" spans="1:4" ht="20.100000000000001" customHeight="1" x14ac:dyDescent="0.25">
      <c r="A81"/>
      <c r="D81" s="133"/>
    </row>
    <row r="82" spans="1:4" ht="20.100000000000001" customHeight="1" x14ac:dyDescent="0.25">
      <c r="A82"/>
      <c r="D82" s="13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732</v>
      </c>
    </row>
    <row r="8" spans="1:10" ht="20.100000000000001" customHeight="1" x14ac:dyDescent="0.25">
      <c r="A8" s="16" t="str">
        <f>HYPERLINK("#'Input - Site'!A1", "Site")</f>
        <v>Site</v>
      </c>
      <c r="D8" s="8" t="s">
        <v>733</v>
      </c>
    </row>
    <row r="9" spans="1:10" ht="20.100000000000001" customHeight="1" x14ac:dyDescent="0.25">
      <c r="A9" s="42" t="str">
        <f>HYPERLINK("#'Input - Fuel'!A1", "Fuel")</f>
        <v>Fuel</v>
      </c>
      <c r="D9" s="8" t="s">
        <v>734</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735</v>
      </c>
      <c r="E11" s="47" t="s">
        <v>703</v>
      </c>
      <c r="F11" s="63" t="s">
        <v>191</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13"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4" priority="9" operator="lessThan">
      <formula>0</formula>
    </cfRule>
  </conditionalFormatting>
  <conditionalFormatting sqref="F119:F120">
    <cfRule type="cellIs" dxfId="63" priority="8" operator="lessThan">
      <formula>0</formula>
    </cfRule>
  </conditionalFormatting>
  <conditionalFormatting sqref="F131:F132">
    <cfRule type="cellIs" dxfId="62" priority="7" operator="lessThan">
      <formula>0</formula>
    </cfRule>
  </conditionalFormatting>
  <conditionalFormatting sqref="F143:F144">
    <cfRule type="cellIs" dxfId="61" priority="6" operator="lessThan">
      <formula>0</formula>
    </cfRule>
  </conditionalFormatting>
  <conditionalFormatting sqref="F155:F156">
    <cfRule type="cellIs" dxfId="60" priority="5" operator="lessThan">
      <formula>0</formula>
    </cfRule>
  </conditionalFormatting>
  <conditionalFormatting sqref="F243:F244">
    <cfRule type="cellIs" dxfId="59" priority="17" operator="lessThan">
      <formula>0</formula>
    </cfRule>
  </conditionalFormatting>
  <conditionalFormatting sqref="F248:F249">
    <cfRule type="cellIs" dxfId="58" priority="16" operator="lessThan">
      <formula>0</formula>
    </cfRule>
  </conditionalFormatting>
  <conditionalFormatting sqref="F253:F254">
    <cfRule type="cellIs" dxfId="57" priority="15" operator="lessThan">
      <formula>0</formula>
    </cfRule>
  </conditionalFormatting>
  <conditionalFormatting sqref="F277:F278">
    <cfRule type="cellIs" dxfId="56" priority="14" operator="lessThan">
      <formula>0</formula>
    </cfRule>
  </conditionalFormatting>
  <conditionalFormatting sqref="F282:F283">
    <cfRule type="cellIs" dxfId="55" priority="13" operator="lessThan">
      <formula>0</formula>
    </cfRule>
  </conditionalFormatting>
  <conditionalFormatting sqref="F287:F288">
    <cfRule type="cellIs" dxfId="54" priority="12" operator="lessThan">
      <formula>0</formula>
    </cfRule>
  </conditionalFormatting>
  <conditionalFormatting sqref="I24 I26:I30 I34:I35 H36:H38 I39 I41:I43 I45:I46 I197 E203:G203 I203">
    <cfRule type="cellIs" dxfId="53" priority="11" operator="lessThan">
      <formula>0</formula>
    </cfRule>
  </conditionalFormatting>
  <conditionalFormatting sqref="I50:I54">
    <cfRule type="cellIs" dxfId="52" priority="4" operator="lessThan">
      <formula>0</formula>
    </cfRule>
  </conditionalFormatting>
  <conditionalFormatting sqref="I58 I117">
    <cfRule type="cellIs" dxfId="51" priority="10" operator="lessThan">
      <formula>0</formula>
    </cfRule>
  </conditionalFormatting>
  <conditionalFormatting sqref="I69:I71">
    <cfRule type="cellIs" dxfId="50" priority="3" operator="lessThan">
      <formula>0</formula>
    </cfRule>
  </conditionalFormatting>
  <conditionalFormatting sqref="I75:I78">
    <cfRule type="cellIs" dxfId="49" priority="2" operator="lessThan">
      <formula>0</formula>
    </cfRule>
  </conditionalFormatting>
  <conditionalFormatting sqref="I82:I86">
    <cfRule type="cellIs" dxfId="48"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644F7-E137-4348-8362-8E17EED7FDAF}">
  <sheetPr>
    <tabColor theme="5" tint="-0.249977111117893"/>
  </sheetPr>
  <dimension ref="A1:K8"/>
  <sheetViews>
    <sheetView showGridLines="0" zoomScaleNormal="100" workbookViewId="0">
      <selection activeCell="E8" sqref="E8"/>
    </sheetView>
  </sheetViews>
  <sheetFormatPr defaultRowHeight="15.75" x14ac:dyDescent="0.25"/>
  <cols>
    <col min="1" max="1" width="26.875" style="3" customWidth="1"/>
    <col min="2" max="2" width="4.125" style="3" customWidth="1"/>
    <col min="3" max="3" width="4.125" style="8" customWidth="1"/>
    <col min="4" max="10" width="26.875" style="8" customWidth="1"/>
    <col min="11" max="11" width="4.125" style="8" customWidth="1"/>
    <col min="12" max="16384" width="9" style="3"/>
  </cols>
  <sheetData>
    <row r="1" spans="1:11" s="37" customFormat="1" ht="25.5" x14ac:dyDescent="0.35">
      <c r="A1" s="37" t="e" vm="1">
        <v>#VALUE!</v>
      </c>
      <c r="C1" s="37" t="s">
        <v>932</v>
      </c>
    </row>
    <row r="2" spans="1:11" s="2" customFormat="1" x14ac:dyDescent="0.25"/>
    <row r="3" spans="1:11" ht="20.25" x14ac:dyDescent="0.25">
      <c r="C3" s="38"/>
      <c r="D3" s="38"/>
      <c r="E3" s="38"/>
      <c r="F3" s="38"/>
      <c r="G3" s="38"/>
      <c r="H3" s="38"/>
      <c r="I3" s="38"/>
      <c r="J3" s="38"/>
      <c r="K3" s="38"/>
    </row>
    <row r="5" spans="1:11" x14ac:dyDescent="0.25">
      <c r="D5" s="8" t="s">
        <v>145</v>
      </c>
      <c r="E5" s="47" t="s">
        <v>150</v>
      </c>
      <c r="F5" s="63" t="s">
        <v>191</v>
      </c>
    </row>
    <row r="6" spans="1:11" x14ac:dyDescent="0.25">
      <c r="D6" s="8" t="s">
        <v>192</v>
      </c>
      <c r="E6" s="47" t="s">
        <v>154</v>
      </c>
      <c r="F6" s="63" t="s">
        <v>191</v>
      </c>
    </row>
    <row r="7" spans="1:11" x14ac:dyDescent="0.25">
      <c r="D7" s="8" t="s">
        <v>43</v>
      </c>
      <c r="E7" s="47" t="s">
        <v>152</v>
      </c>
      <c r="F7" s="63" t="s">
        <v>191</v>
      </c>
    </row>
    <row r="8" spans="1:11" x14ac:dyDescent="0.25">
      <c r="D8" s="8" t="s">
        <v>193</v>
      </c>
      <c r="E8" s="64">
        <v>100</v>
      </c>
      <c r="F8" s="63" t="s">
        <v>194</v>
      </c>
    </row>
  </sheetData>
  <dataValidations count="3">
    <dataValidation type="list" allowBlank="1" showInputMessage="1" showErrorMessage="1" sqref="E5" xr:uid="{10A53D93-9C7C-446B-B379-05962BCF2B2B}">
      <formula1>INDIRECT("Table_SourceData_Fertiliser_CropProdSystems[Production system]")</formula1>
    </dataValidation>
    <dataValidation type="list" allowBlank="1" showInputMessage="1" showErrorMessage="1" sqref="E7" xr:uid="{9881A6C6-7E26-4E21-9057-9B7A8BDEA123}">
      <formula1>INDIRECT("Table_SourceData_Fertiliser_IrrigationMethods[Irrigation method]")</formula1>
    </dataValidation>
    <dataValidation type="list" allowBlank="1" showInputMessage="1" showErrorMessage="1" sqref="E6" xr:uid="{F50F379B-AFC9-40D3-9496-6C0BDBB4C43A}">
      <formula1>INDIRECT("Table_SourceData_Fertiliser_CropTypes[Production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AA361"/>
  <sheetViews>
    <sheetView showGridLines="0" topLeftCell="A22" zoomScaleNormal="100" workbookViewId="0">
      <selection activeCell="A20" sqref="A20"/>
    </sheetView>
  </sheetViews>
  <sheetFormatPr defaultRowHeight="15.75" x14ac:dyDescent="0.25"/>
  <cols>
    <col min="1" max="1" width="26.875" style="3" customWidth="1"/>
    <col min="2" max="2" width="4.125" style="3" customWidth="1"/>
    <col min="3" max="3" width="4.125" style="8" customWidth="1"/>
    <col min="4" max="4" width="45.625" style="8" customWidth="1"/>
    <col min="5" max="25" width="30.625" style="8" customWidth="1"/>
    <col min="26" max="26" width="30.625" style="3" customWidth="1"/>
    <col min="27" max="27" width="4.625" style="8" customWidth="1"/>
    <col min="28" max="16384" width="9" style="3"/>
  </cols>
  <sheetData>
    <row r="1" spans="1:27" s="37" customFormat="1" ht="30" customHeight="1" x14ac:dyDescent="0.35">
      <c r="A1" s="37" t="e" vm="1">
        <v>#VALUE!</v>
      </c>
      <c r="C1" s="37" t="s">
        <v>190</v>
      </c>
    </row>
    <row r="2" spans="1:27" s="2" customFormat="1" ht="20.100000000000001" customHeight="1" x14ac:dyDescent="0.25">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c r="Z4" s="8"/>
    </row>
    <row r="5" spans="1:27" ht="20.100000000000001" customHeight="1" x14ac:dyDescent="0.25">
      <c r="A5"/>
      <c r="D5" s="9" t="s">
        <v>195</v>
      </c>
      <c r="E5" s="7"/>
      <c r="F5" s="7"/>
      <c r="G5" s="7"/>
      <c r="H5" s="7"/>
      <c r="I5" s="7"/>
      <c r="J5" s="7"/>
      <c r="K5" s="7"/>
      <c r="L5" s="7"/>
      <c r="M5" s="7"/>
      <c r="Z5" s="8"/>
    </row>
    <row r="6" spans="1:27" ht="20.100000000000001" customHeight="1" x14ac:dyDescent="0.25">
      <c r="A6"/>
      <c r="D6" s="138"/>
      <c r="E6" s="138"/>
      <c r="F6" s="138"/>
      <c r="G6" s="138"/>
      <c r="H6" s="138"/>
      <c r="I6" s="138"/>
      <c r="J6" s="138"/>
      <c r="K6" s="138"/>
      <c r="L6" s="138"/>
      <c r="M6" s="138"/>
      <c r="Z6" s="8"/>
    </row>
    <row r="7" spans="1:27" ht="20.100000000000001" customHeight="1" x14ac:dyDescent="0.25">
      <c r="A7" s="19" t="s">
        <v>67</v>
      </c>
      <c r="D7" s="39" t="s">
        <v>196</v>
      </c>
      <c r="E7" s="40"/>
      <c r="F7" s="40"/>
      <c r="G7" s="40"/>
      <c r="H7" s="41"/>
      <c r="I7" s="216"/>
      <c r="J7" s="217"/>
      <c r="K7" s="218"/>
      <c r="L7" s="218"/>
      <c r="M7" s="218"/>
      <c r="Z7" s="8"/>
    </row>
    <row r="8" spans="1:27" ht="20.100000000000001" customHeight="1" x14ac:dyDescent="0.25">
      <c r="A8" s="16" t="str">
        <f>HYPERLINK("#'Input - Site'!A1", "Site")</f>
        <v>Site</v>
      </c>
      <c r="D8" s="43" t="s">
        <v>197</v>
      </c>
      <c r="E8" s="44"/>
      <c r="F8" s="44"/>
      <c r="G8" s="44"/>
      <c r="H8" s="45"/>
      <c r="I8" s="138"/>
      <c r="J8" s="138"/>
      <c r="K8" s="138"/>
      <c r="L8" s="138"/>
      <c r="M8" s="138"/>
      <c r="Z8" s="8"/>
    </row>
    <row r="9" spans="1:27" ht="20.100000000000001" customHeight="1" x14ac:dyDescent="0.25">
      <c r="A9" s="16" t="str">
        <f>HYPERLINK("#'Input - Fuel'!A1", "Fuel")</f>
        <v>Fuel</v>
      </c>
      <c r="D9" s="138"/>
      <c r="E9" s="138"/>
      <c r="F9" s="138"/>
      <c r="G9" s="138"/>
      <c r="H9" s="138"/>
      <c r="I9" s="138"/>
      <c r="J9" s="138"/>
      <c r="K9" s="138"/>
      <c r="L9" s="138"/>
      <c r="M9" s="138"/>
      <c r="Z9" s="8"/>
    </row>
    <row r="10" spans="1:27" ht="20.100000000000001" customHeight="1" x14ac:dyDescent="0.25">
      <c r="A10" s="42" t="str">
        <f>HYPERLINK("#'Input - Fertiliser'!A1", "Fertiliser")</f>
        <v>Fertiliser</v>
      </c>
      <c r="D10" s="66" t="s">
        <v>198</v>
      </c>
      <c r="E10" s="138"/>
      <c r="F10" s="138"/>
      <c r="G10" s="138"/>
      <c r="H10" s="138"/>
      <c r="I10" s="138"/>
      <c r="J10" s="138"/>
      <c r="K10" s="138"/>
      <c r="L10" s="138"/>
      <c r="M10" s="138"/>
      <c r="Z10" s="8"/>
    </row>
    <row r="11" spans="1:27" ht="20.100000000000001" customHeight="1" x14ac:dyDescent="0.25">
      <c r="A11" s="16" t="str">
        <f>HYPERLINK("#'Input - Farm Inputs'!A1", "Farm Inputs")</f>
        <v>Farm Inputs</v>
      </c>
      <c r="D11" s="46" t="s">
        <v>199</v>
      </c>
      <c r="E11" s="46" t="s">
        <v>316</v>
      </c>
      <c r="F11" s="46" t="s">
        <v>310</v>
      </c>
      <c r="G11" s="46" t="s">
        <v>200</v>
      </c>
      <c r="H11" s="46" t="s">
        <v>311</v>
      </c>
      <c r="I11" s="46" t="s">
        <v>201</v>
      </c>
      <c r="J11" s="46" t="s">
        <v>171</v>
      </c>
      <c r="K11" s="46" t="s">
        <v>172</v>
      </c>
      <c r="L11" s="46" t="s">
        <v>173</v>
      </c>
      <c r="M11" s="46" t="s">
        <v>174</v>
      </c>
      <c r="N11" s="46" t="s">
        <v>175</v>
      </c>
      <c r="O11" s="46" t="s">
        <v>176</v>
      </c>
      <c r="P11" s="46" t="s">
        <v>177</v>
      </c>
      <c r="Q11" s="46" t="s">
        <v>178</v>
      </c>
      <c r="R11" s="46" t="s">
        <v>179</v>
      </c>
      <c r="S11" s="46" t="s">
        <v>180</v>
      </c>
      <c r="T11" s="46" t="s">
        <v>181</v>
      </c>
      <c r="U11" s="46" t="s">
        <v>182</v>
      </c>
      <c r="V11" s="46" t="s">
        <v>933</v>
      </c>
      <c r="W11" s="46" t="s">
        <v>934</v>
      </c>
      <c r="X11" s="46" t="s">
        <v>202</v>
      </c>
      <c r="Y11" s="46" t="s">
        <v>169</v>
      </c>
      <c r="Z11" s="46" t="s">
        <v>170</v>
      </c>
    </row>
    <row r="12" spans="1:27" ht="20.100000000000001" customHeight="1" x14ac:dyDescent="0.25">
      <c r="A12" s="16" t="str">
        <f>HYPERLINK("#'Input - Livestock purchases'!A1", "Livestock purchases")</f>
        <v>Livestock purchases</v>
      </c>
      <c r="D12" s="67" t="s">
        <v>207</v>
      </c>
      <c r="E12" s="68">
        <v>100</v>
      </c>
      <c r="F12" s="49" t="str">
        <f>IFERROR(_xlfn.XLOOKUP(Table_Input_InorganicFertiliser_Brands[[#This Row],[Product (select)]],FertiliserProducts[Product],FertiliserProducts[Unit]), "kg")</f>
        <v>kg</v>
      </c>
      <c r="G12" s="68">
        <f t="shared" ref="G12:G15" si="0">X_Cell_Fertiliser_AreaUnderCropping</f>
        <v>100</v>
      </c>
      <c r="H12" s="219">
        <f>IFERROR(_xlfn.XLOOKUP(Table_Input_InorganicFertiliser_Brands[[#This Row],[Product (select)]],FertiliserProducts[Product],FertiliserProducts[Density]), 1)</f>
        <v>1</v>
      </c>
      <c r="I12" s="69">
        <f>(Table_Input_InorganicFertiliser_Brands[[#This Row],[Amount applied per hectare]]*Table_Input_InorganicFertiliser_Brands[[#This Row],[Density]])*Table_Input_InorganicFertiliser_Brands[[#This Row],[Application area (ha)]]</f>
        <v>10000</v>
      </c>
      <c r="J12" s="6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6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6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6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6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6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6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6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6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6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6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6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69" cm="1">
        <f t="array" ref="W12">IFERROR(Fertiliser_InputFunctions.Fertiliser_FertiliserProductLookup(Table_Input_InorganicFertiliser_Brands[[#This Row],[Product (select)]], "N declared", FertiliserProducts[#Data], FertiliserProducts[Product], FertiliserProducts[#Headers])*0.01, 0)</f>
        <v>0.46</v>
      </c>
      <c r="X12"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69" t="str">
        <f>IFERROR(_xlfn.XLOOKUP(Table_Input_InorganicFertiliser_Brands[[#This Row],[Product (select)]],FertiliserProducts[Product],FertiliserProducts[Urea source]), "")</f>
        <v/>
      </c>
      <c r="Z12" s="69" t="str">
        <f>IFERROR(_xlfn.XLOOKUP(Table_Input_InorganicFertiliser_Brands[[#This Row],[Product (select)]],FertiliserProducts[Product],FertiliserProducts[Ammonia source]), "")</f>
        <v/>
      </c>
    </row>
    <row r="13" spans="1:27" ht="20.100000000000001" customHeight="1" x14ac:dyDescent="0.25">
      <c r="A13" s="16" t="str">
        <f>HYPERLINK("#'Input - Freight'!A1", "Freight")</f>
        <v>Freight</v>
      </c>
      <c r="D13" s="67" t="s">
        <v>935</v>
      </c>
      <c r="E13" s="68">
        <v>100</v>
      </c>
      <c r="F13" s="49" t="str">
        <f>IFERROR(_xlfn.XLOOKUP(Table_Input_InorganicFertiliser_Brands[[#This Row],[Product (select)]],FertiliserProducts[Product],FertiliserProducts[Unit]), "kg")</f>
        <v>kg</v>
      </c>
      <c r="G13" s="68">
        <f t="shared" ref="G13" si="1">X_Cell_Fertiliser_AreaUnderCropping</f>
        <v>100</v>
      </c>
      <c r="H13" s="219">
        <f>IFERROR(_xlfn.XLOOKUP(Table_Input_InorganicFertiliser_Brands[[#This Row],[Product (select)]],FertiliserProducts[Product],FertiliserProducts[Density]), 1)</f>
        <v>1</v>
      </c>
      <c r="I13" s="69">
        <f>(Table_Input_InorganicFertiliser_Brands[[#This Row],[Amount applied per hectare]]*Table_Input_InorganicFertiliser_Brands[[#This Row],[Density]])*Table_Input_InorganicFertiliser_Brands[[#This Row],[Application area (ha)]]</f>
        <v>10000</v>
      </c>
      <c r="J13" s="6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6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6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6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6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6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6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6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6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6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6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6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49" cm="1">
        <f t="array" ref="W13">IFERROR(Fertiliser_InputFunctions.Fertiliser_FertiliserProductLookup(Table_Input_InorganicFertiliser_Brands[[#This Row],[Product (select)]], "N declared", FertiliserProducts[#Data], FertiliserProducts[Product], FertiliserProducts[#Headers])*0.01, 0)</f>
        <v>0.24</v>
      </c>
      <c r="X13"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69" t="str">
        <f>IFERROR(_xlfn.XLOOKUP(Table_Input_InorganicFertiliser_Brands[[#This Row],[Product (select)]],FertiliserProducts[Product],FertiliserProducts[Urea source]), "")</f>
        <v/>
      </c>
      <c r="Z13" s="69" t="str">
        <f>IFERROR(_xlfn.XLOOKUP(Table_Input_InorganicFertiliser_Brands[[#This Row],[Product (select)]],FertiliserProducts[Product],FertiliserProducts[Ammonia source]), "")</f>
        <v/>
      </c>
    </row>
    <row r="14" spans="1:27" ht="20.100000000000001" customHeight="1" x14ac:dyDescent="0.25">
      <c r="A14" s="16" t="str">
        <f>HYPERLINK("#'Input - Solid waste'!A1", "Solid waste")</f>
        <v>Solid waste</v>
      </c>
      <c r="D14" s="67" t="s">
        <v>936</v>
      </c>
      <c r="E14" s="68">
        <v>100</v>
      </c>
      <c r="F14" s="49" t="str">
        <f>IFERROR(_xlfn.XLOOKUP(Table_Input_InorganicFertiliser_Brands[[#This Row],[Product (select)]],FertiliserProducts[Product],FertiliserProducts[Unit]), "kg")</f>
        <v>kg</v>
      </c>
      <c r="G14" s="68">
        <f t="shared" si="0"/>
        <v>100</v>
      </c>
      <c r="H14" s="219">
        <f>IFERROR(_xlfn.XLOOKUP(Table_Input_InorganicFertiliser_Brands[[#This Row],[Product (select)]],FertiliserProducts[Product],FertiliserProducts[Density]), 1)</f>
        <v>1</v>
      </c>
      <c r="I14" s="69">
        <f>(Table_Input_InorganicFertiliser_Brands[[#This Row],[Amount applied per hectare]]*Table_Input_InorganicFertiliser_Brands[[#This Row],[Density]])*Table_Input_InorganicFertiliser_Brands[[#This Row],[Application area (ha)]]</f>
        <v>10000</v>
      </c>
      <c r="J14" s="6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6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6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6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6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6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6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6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6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6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6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6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49" cm="1">
        <f t="array" ref="W14">IFERROR(Fertiliser_InputFunctions.Fertiliser_FertiliserProductLookup(Table_Input_InorganicFertiliser_Brands[[#This Row],[Product (select)]], "N declared", FertiliserProducts[#Data], FertiliserProducts[Product], FertiliserProducts[#Headers])*0.01, 0)</f>
        <v>0.17899999999999999</v>
      </c>
      <c r="X14"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69" t="str">
        <f>IFERROR(_xlfn.XLOOKUP(Table_Input_InorganicFertiliser_Brands[[#This Row],[Product (select)]],FertiliserProducts[Product],FertiliserProducts[Urea source]), "")</f>
        <v/>
      </c>
      <c r="Z14" s="69" t="str">
        <f>IFERROR(_xlfn.XLOOKUP(Table_Input_InorganicFertiliser_Brands[[#This Row],[Product (select)]],FertiliserProducts[Product],FertiliserProducts[Ammonia source]), "")</f>
        <v/>
      </c>
    </row>
    <row r="15" spans="1:27" ht="20.100000000000001" customHeight="1" x14ac:dyDescent="0.25">
      <c r="A15" s="16" t="str">
        <f>HYPERLINK("#'Input - Manure sent off-site'!A1", "Manure sent off-site")</f>
        <v>Manure sent off-site</v>
      </c>
      <c r="D15" s="67"/>
      <c r="E15" s="68"/>
      <c r="F15" s="49" t="str">
        <f>IFERROR(_xlfn.XLOOKUP(Table_Input_InorganicFertiliser_Brands[[#This Row],[Product (select)]],FertiliserProducts[Product],FertiliserProducts[Unit]), "kg")</f>
        <v>kg</v>
      </c>
      <c r="G15" s="68">
        <f t="shared" si="0"/>
        <v>100</v>
      </c>
      <c r="H15" s="219">
        <f>IFERROR(_xlfn.XLOOKUP(Table_Input_InorganicFertiliser_Brands[[#This Row],[Product (select)]],FertiliserProducts[Product],FertiliserProducts[Density]), 1)</f>
        <v>1</v>
      </c>
      <c r="I15" s="69">
        <f>(Table_Input_InorganicFertiliser_Brands[[#This Row],[Amount applied per hectare]]*Table_Input_InorganicFertiliser_Brands[[#This Row],[Density]])*Table_Input_InorganicFertiliser_Brands[[#This Row],[Application area (ha)]]</f>
        <v>0</v>
      </c>
      <c r="J15" s="6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6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6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6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6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6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6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6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6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6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6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6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49" cm="1">
        <f t="array" ref="W15">IFERROR(Fertiliser_InputFunctions.Fertiliser_FertiliserProductLookup(Table_Input_InorganicFertiliser_Brands[[#This Row],[Product (select)]], "N declared", FertiliserProducts[#Data], FertiliserProducts[Product], FertiliserProducts[#Headers])*0.01, 0)</f>
        <v>0</v>
      </c>
      <c r="X15"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69" t="str">
        <f>IFERROR(_xlfn.XLOOKUP(Table_Input_InorganicFertiliser_Brands[[#This Row],[Product (select)]],FertiliserProducts[Product],FertiliserProducts[Urea source]), "")</f>
        <v/>
      </c>
      <c r="Z15" s="69" t="str">
        <f>IFERROR(_xlfn.XLOOKUP(Table_Input_InorganicFertiliser_Brands[[#This Row],[Product (select)]],FertiliserProducts[Product],FertiliserProducts[Ammonia source]), "")</f>
        <v/>
      </c>
    </row>
    <row r="16" spans="1:27" ht="20.100000000000001" customHeight="1" x14ac:dyDescent="0.25">
      <c r="A16" s="16" t="str">
        <f>HYPERLINK("#'Input - Electricity'!A1", "Electricity")</f>
        <v>Electricity</v>
      </c>
      <c r="D16" s="67"/>
      <c r="E16" s="68"/>
      <c r="F16" s="49" t="str">
        <f>IFERROR(_xlfn.XLOOKUP(Table_Input_InorganicFertiliser_Brands[[#This Row],[Product (select)]],FertiliserProducts[Product],FertiliserProducts[Unit]), "kg")</f>
        <v>kg</v>
      </c>
      <c r="G16" s="68">
        <f t="shared" ref="G16" si="2">X_Cell_Fertiliser_AreaUnderCropping</f>
        <v>100</v>
      </c>
      <c r="H16" s="219">
        <f>IFERROR(_xlfn.XLOOKUP(Table_Input_InorganicFertiliser_Brands[[#This Row],[Product (select)]],FertiliserProducts[Product],FertiliserProducts[Density]), 1)</f>
        <v>1</v>
      </c>
      <c r="I16" s="69">
        <f>(Table_Input_InorganicFertiliser_Brands[[#This Row],[Amount applied per hectare]]*Table_Input_InorganicFertiliser_Brands[[#This Row],[Density]])*Table_Input_InorganicFertiliser_Brands[[#This Row],[Application area (ha)]]</f>
        <v>0</v>
      </c>
      <c r="J16" s="6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6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6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6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6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6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6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6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6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6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6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6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49" cm="1">
        <f t="array" ref="W16">IFERROR(Fertiliser_InputFunctions.Fertiliser_FertiliserProductLookup(Table_Input_InorganicFertiliser_Brands[[#This Row],[Product (select)]], "N declared", FertiliserProducts[#Data], FertiliserProducts[Product], FertiliserProducts[#Headers])*0.01, 0)</f>
        <v>0</v>
      </c>
      <c r="X16"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69" t="str">
        <f>IFERROR(_xlfn.XLOOKUP(Table_Input_InorganicFertiliser_Brands[[#This Row],[Product (select)]],FertiliserProducts[Product],FertiliserProducts[Urea source]), "")</f>
        <v/>
      </c>
      <c r="Z16" s="69" t="str">
        <f>IFERROR(_xlfn.XLOOKUP(Table_Input_InorganicFertiliser_Brands[[#This Row],[Product (select)]],FertiliserProducts[Product],FertiliserProducts[Ammonia source]), "")</f>
        <v/>
      </c>
    </row>
    <row r="17" spans="1:26" ht="20.100000000000001" customHeight="1" x14ac:dyDescent="0.25">
      <c r="A17"/>
      <c r="D17" s="67"/>
      <c r="E17" s="68"/>
      <c r="F17" s="49" t="str">
        <f>IFERROR(_xlfn.XLOOKUP(Table_Input_InorganicFertiliser_Brands[[#This Row],[Product (select)]],FertiliserProducts[Product],FertiliserProducts[Unit]), "kg")</f>
        <v>kg</v>
      </c>
      <c r="G17" s="68">
        <f t="shared" ref="G17" si="3">X_Cell_Fertiliser_AreaUnderCropping</f>
        <v>100</v>
      </c>
      <c r="H17" s="219">
        <f>IFERROR(_xlfn.XLOOKUP(Table_Input_InorganicFertiliser_Brands[[#This Row],[Product (select)]],FertiliserProducts[Product],FertiliserProducts[Density]), 1)</f>
        <v>1</v>
      </c>
      <c r="I17" s="69">
        <f>(Table_Input_InorganicFertiliser_Brands[[#This Row],[Amount applied per hectare]]*Table_Input_InorganicFertiliser_Brands[[#This Row],[Density]])*Table_Input_InorganicFertiliser_Brands[[#This Row],[Application area (ha)]]</f>
        <v>0</v>
      </c>
      <c r="J17" s="6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6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6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6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6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6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6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6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6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6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6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6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49" cm="1">
        <f t="array" ref="W17">IFERROR(Fertiliser_InputFunctions.Fertiliser_FertiliserProductLookup(Table_Input_InorganicFertiliser_Brands[[#This Row],[Product (select)]], "N declared", FertiliserProducts[#Data], FertiliserProducts[Product], FertiliserProducts[#Headers])*0.01, 0)</f>
        <v>0</v>
      </c>
      <c r="X17"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69" t="str">
        <f>IFERROR(_xlfn.XLOOKUP(Table_Input_InorganicFertiliser_Brands[[#This Row],[Product (select)]],FertiliserProducts[Product],FertiliserProducts[Urea source]), "")</f>
        <v/>
      </c>
      <c r="Z17" s="69" t="str">
        <f>IFERROR(_xlfn.XLOOKUP(Table_Input_InorganicFertiliser_Brands[[#This Row],[Product (select)]],FertiliserProducts[Product],FertiliserProducts[Ammonia source]), "")</f>
        <v/>
      </c>
    </row>
    <row r="18" spans="1:26" ht="20.100000000000001" customHeight="1" x14ac:dyDescent="0.25">
      <c r="A18"/>
      <c r="D18" s="67"/>
      <c r="E18" s="68"/>
      <c r="F18" s="49" t="str">
        <f>IFERROR(_xlfn.XLOOKUP(Table_Input_InorganicFertiliser_Brands[[#This Row],[Product (select)]],FertiliserProducts[Product],FertiliserProducts[Unit]), "kg")</f>
        <v>kg</v>
      </c>
      <c r="G18" s="68">
        <f t="shared" ref="G18" si="4">X_Cell_Fertiliser_AreaUnderCropping</f>
        <v>100</v>
      </c>
      <c r="H18" s="219">
        <f>IFERROR(_xlfn.XLOOKUP(Table_Input_InorganicFertiliser_Brands[[#This Row],[Product (select)]],FertiliserProducts[Product],FertiliserProducts[Density]), 1)</f>
        <v>1</v>
      </c>
      <c r="I18" s="69">
        <f>(Table_Input_InorganicFertiliser_Brands[[#This Row],[Amount applied per hectare]]*Table_Input_InorganicFertiliser_Brands[[#This Row],[Density]])*Table_Input_InorganicFertiliser_Brands[[#This Row],[Application area (ha)]]</f>
        <v>0</v>
      </c>
      <c r="J18" s="6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6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6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6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6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6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6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6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6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6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6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6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49" cm="1">
        <f t="array" ref="W18">IFERROR(Fertiliser_InputFunctions.Fertiliser_FertiliserProductLookup(Table_Input_InorganicFertiliser_Brands[[#This Row],[Product (select)]], "N declared", FertiliserProducts[#Data], FertiliserProducts[Product], FertiliserProducts[#Headers])*0.01, 0)</f>
        <v>0</v>
      </c>
      <c r="X18"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69" t="str">
        <f>IFERROR(_xlfn.XLOOKUP(Table_Input_InorganicFertiliser_Brands[[#This Row],[Product (select)]],FertiliserProducts[Product],FertiliserProducts[Urea source]), "")</f>
        <v/>
      </c>
      <c r="Z18" s="69" t="str">
        <f>IFERROR(_xlfn.XLOOKUP(Table_Input_InorganicFertiliser_Brands[[#This Row],[Product (select)]],FertiliserProducts[Product],FertiliserProducts[Ammonia source]), "")</f>
        <v/>
      </c>
    </row>
    <row r="19" spans="1:26" ht="20.100000000000001" customHeight="1" x14ac:dyDescent="0.25">
      <c r="A19" s="21" t="s">
        <v>77</v>
      </c>
      <c r="D19" s="67"/>
      <c r="E19" s="68"/>
      <c r="F19" s="49" t="str">
        <f>IFERROR(_xlfn.XLOOKUP(Table_Input_InorganicFertiliser_Brands[[#This Row],[Product (select)]],FertiliserProducts[Product],FertiliserProducts[Unit]), "kg")</f>
        <v>kg</v>
      </c>
      <c r="G19" s="68">
        <f t="shared" ref="G19" si="5">X_Cell_Fertiliser_AreaUnderCropping</f>
        <v>100</v>
      </c>
      <c r="H19" s="219">
        <f>IFERROR(_xlfn.XLOOKUP(Table_Input_InorganicFertiliser_Brands[[#This Row],[Product (select)]],FertiliserProducts[Product],FertiliserProducts[Density]), 1)</f>
        <v>1</v>
      </c>
      <c r="I19" s="69">
        <f>(Table_Input_InorganicFertiliser_Brands[[#This Row],[Amount applied per hectare]]*Table_Input_InorganicFertiliser_Brands[[#This Row],[Density]])*Table_Input_InorganicFertiliser_Brands[[#This Row],[Application area (ha)]]</f>
        <v>0</v>
      </c>
      <c r="J19" s="6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6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6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6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6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6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6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6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6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6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6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6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9" cm="1">
        <f t="array" ref="W19">IFERROR(Fertiliser_InputFunctions.Fertiliser_FertiliserProductLookup(Table_Input_InorganicFertiliser_Brands[[#This Row],[Product (select)]], "N declared", FertiliserProducts[#Data], FertiliserProducts[Product], FertiliserProducts[#Headers])*0.01, 0)</f>
        <v>0</v>
      </c>
      <c r="X19"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69" t="str">
        <f>IFERROR(_xlfn.XLOOKUP(Table_Input_InorganicFertiliser_Brands[[#This Row],[Product (select)]],FertiliserProducts[Product],FertiliserProducts[Urea source]), "")</f>
        <v/>
      </c>
      <c r="Z19" s="69" t="str">
        <f>IFERROR(_xlfn.XLOOKUP(Table_Input_InorganicFertiliser_Brands[[#This Row],[Product (select)]],FertiliserProducts[Product],FertiliserProducts[Ammonia source]), "")</f>
        <v/>
      </c>
    </row>
    <row r="20" spans="1:26" ht="20.100000000000001" customHeight="1" x14ac:dyDescent="0.25">
      <c r="A20" s="16" t="str">
        <f>HYPERLINK("#'15 Scope 3'!A1", "15 Scope 3")</f>
        <v>15 Scope 3</v>
      </c>
      <c r="D20" s="67"/>
      <c r="E20" s="68"/>
      <c r="F20" s="49" t="str">
        <f>IFERROR(_xlfn.XLOOKUP(Table_Input_InorganicFertiliser_Brands[[#This Row],[Product (select)]],FertiliserProducts[Product],FertiliserProducts[Unit]), "kg")</f>
        <v>kg</v>
      </c>
      <c r="G20" s="68">
        <f t="shared" ref="G20" si="6">X_Cell_Fertiliser_AreaUnderCropping</f>
        <v>100</v>
      </c>
      <c r="H20" s="219">
        <f>IFERROR(_xlfn.XLOOKUP(Table_Input_InorganicFertiliser_Brands[[#This Row],[Product (select)]],FertiliserProducts[Product],FertiliserProducts[Density]), 1)</f>
        <v>1</v>
      </c>
      <c r="I20" s="69">
        <f>(Table_Input_InorganicFertiliser_Brands[[#This Row],[Amount applied per hectare]]*Table_Input_InorganicFertiliser_Brands[[#This Row],[Density]])*Table_Input_InorganicFertiliser_Brands[[#This Row],[Application area (ha)]]</f>
        <v>0</v>
      </c>
      <c r="J20" s="6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6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6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6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6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6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6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6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6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6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6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6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9" cm="1">
        <f t="array" ref="W20">IFERROR(Fertiliser_InputFunctions.Fertiliser_FertiliserProductLookup(Table_Input_InorganicFertiliser_Brands[[#This Row],[Product (select)]], "N declared", FertiliserProducts[#Data], FertiliserProducts[Product], FertiliserProducts[#Headers])*0.01, 0)</f>
        <v>0</v>
      </c>
      <c r="X20"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69" t="str">
        <f>IFERROR(_xlfn.XLOOKUP(Table_Input_InorganicFertiliser_Brands[[#This Row],[Product (select)]],FertiliserProducts[Product],FertiliserProducts[Urea source]), "")</f>
        <v/>
      </c>
      <c r="Z20" s="69" t="str">
        <f>IFERROR(_xlfn.XLOOKUP(Table_Input_InorganicFertiliser_Brands[[#This Row],[Product (select)]],FertiliserProducts[Product],FertiliserProducts[Ammonia source]), "")</f>
        <v/>
      </c>
    </row>
    <row r="21" spans="1:26" ht="20.100000000000001" customHeight="1" x14ac:dyDescent="0.25">
      <c r="A21" s="16" t="str">
        <f>HYPERLINK("#'10.1.1-2 Solid waste treatment'!A1", "10.1.1-2 Solid waste treatment")</f>
        <v>10.1.1-2 Solid waste treatment</v>
      </c>
      <c r="D21" s="67"/>
      <c r="E21" s="68"/>
      <c r="F21" s="49" t="str">
        <f>IFERROR(_xlfn.XLOOKUP(Table_Input_InorganicFertiliser_Brands[[#This Row],[Product (select)]],FertiliserProducts[Product],FertiliserProducts[Unit]), "kg")</f>
        <v>kg</v>
      </c>
      <c r="G21" s="68">
        <f t="shared" ref="G21" si="7">X_Cell_Fertiliser_AreaUnderCropping</f>
        <v>100</v>
      </c>
      <c r="H21" s="219">
        <f>IFERROR(_xlfn.XLOOKUP(Table_Input_InorganicFertiliser_Brands[[#This Row],[Product (select)]],FertiliserProducts[Product],FertiliserProducts[Density]), 1)</f>
        <v>1</v>
      </c>
      <c r="I21" s="69">
        <f>(Table_Input_InorganicFertiliser_Brands[[#This Row],[Amount applied per hectare]]*Table_Input_InorganicFertiliser_Brands[[#This Row],[Density]])*Table_Input_InorganicFertiliser_Brands[[#This Row],[Application area (ha)]]</f>
        <v>0</v>
      </c>
      <c r="J21" s="6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6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6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6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6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6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6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6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6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6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6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6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49" cm="1">
        <f t="array" ref="W21">IFERROR(Fertiliser_InputFunctions.Fertiliser_FertiliserProductLookup(Table_Input_InorganicFertiliser_Brands[[#This Row],[Product (select)]], "N declared", FertiliserProducts[#Data], FertiliserProducts[Product], FertiliserProducts[#Headers])*0.01, 0)</f>
        <v>0</v>
      </c>
      <c r="X21"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69" t="str">
        <f>IFERROR(_xlfn.XLOOKUP(Table_Input_InorganicFertiliser_Brands[[#This Row],[Product (select)]],FertiliserProducts[Product],FertiliserProducts[Urea source]), "")</f>
        <v/>
      </c>
      <c r="Z21" s="69" t="str">
        <f>IFERROR(_xlfn.XLOOKUP(Table_Input_InorganicFertiliser_Brands[[#This Row],[Product (select)]],FertiliserProducts[Product],FertiliserProducts[Ammonia source]), "")</f>
        <v/>
      </c>
    </row>
    <row r="22" spans="1:26" ht="20.100000000000001" customHeight="1" x14ac:dyDescent="0.25">
      <c r="A22" s="16" t="str">
        <f>HYPERLINK("#'Calcs - Manure sent off-site'!A1", "Calcs - Manure sent off-site")</f>
        <v>Calcs - Manure sent off-site</v>
      </c>
      <c r="D22" s="70"/>
      <c r="E22" s="71"/>
      <c r="F22" s="72"/>
      <c r="G22" s="72"/>
      <c r="H22" s="72"/>
      <c r="I22" s="72"/>
      <c r="J22" s="220"/>
      <c r="K22" s="220"/>
      <c r="L22" s="221"/>
      <c r="M22" s="221"/>
      <c r="N22" s="51"/>
      <c r="O22" s="51"/>
      <c r="P22" s="51"/>
      <c r="Q22" s="51"/>
      <c r="R22" s="51"/>
      <c r="S22" s="51"/>
      <c r="T22" s="51"/>
      <c r="U22" s="51"/>
      <c r="V22" s="51"/>
      <c r="W22" s="51"/>
      <c r="X22" s="51"/>
      <c r="Z22" s="8"/>
    </row>
    <row r="23" spans="1:26" ht="20.100000000000001" customHeight="1" x14ac:dyDescent="0.25">
      <c r="A23" s="16" t="str">
        <f>HYPERLINK("#'8.1.1.1-2 Transport fuel'!A1", "8.1.1.1-2 Transport fuel")</f>
        <v>8.1.1.1-2 Transport fuel</v>
      </c>
      <c r="D23" s="73" t="s">
        <v>203</v>
      </c>
      <c r="E23" s="222"/>
      <c r="F23" s="222"/>
      <c r="G23" s="222"/>
      <c r="H23" s="222"/>
      <c r="I23" s="222"/>
      <c r="J23" s="222"/>
      <c r="K23" s="222"/>
      <c r="L23" s="222"/>
      <c r="M23" s="222"/>
      <c r="N23" s="51"/>
      <c r="O23" s="51"/>
      <c r="P23" s="51"/>
      <c r="Q23" s="51"/>
      <c r="R23" s="51"/>
      <c r="S23" s="51"/>
      <c r="T23" s="51"/>
      <c r="V23" s="51"/>
      <c r="W23" s="51"/>
      <c r="X23" s="51"/>
      <c r="Z23" s="8"/>
    </row>
    <row r="24" spans="1:26" ht="20.100000000000001" customHeight="1" x14ac:dyDescent="0.25">
      <c r="A24" s="16" t="str">
        <f>HYPERLINK("#'8.2.1.1-2 Stationary fuel'!A1", "8.2.1.1-2 Stationary fuel")</f>
        <v>8.2.1.1-2 Stationary fuel</v>
      </c>
      <c r="D24" s="145" t="s">
        <v>204</v>
      </c>
      <c r="E24" s="145" t="s">
        <v>937</v>
      </c>
      <c r="F24" s="145" t="s">
        <v>200</v>
      </c>
      <c r="G24" s="145" t="s">
        <v>201</v>
      </c>
      <c r="H24" s="145" t="s">
        <v>205</v>
      </c>
      <c r="I24" s="145" t="s">
        <v>172</v>
      </c>
      <c r="J24" s="145" t="s">
        <v>173</v>
      </c>
      <c r="K24" s="145" t="s">
        <v>174</v>
      </c>
      <c r="L24" s="145" t="s">
        <v>175</v>
      </c>
      <c r="M24" s="145" t="s">
        <v>176</v>
      </c>
      <c r="N24" s="145" t="s">
        <v>177</v>
      </c>
      <c r="O24" s="145" t="s">
        <v>178</v>
      </c>
      <c r="P24" s="145" t="s">
        <v>202</v>
      </c>
      <c r="Q24" s="46" t="s">
        <v>856</v>
      </c>
      <c r="R24" s="46" t="s">
        <v>857</v>
      </c>
      <c r="S24" s="51"/>
      <c r="T24" s="51"/>
      <c r="V24" s="51"/>
      <c r="W24" s="51"/>
      <c r="X24" s="51"/>
      <c r="Z24" s="8"/>
    </row>
    <row r="25" spans="1:26" ht="20.100000000000001" customHeight="1" x14ac:dyDescent="0.25">
      <c r="A25"/>
      <c r="D25" s="74" t="s">
        <v>206</v>
      </c>
      <c r="E25" s="145">
        <v>100</v>
      </c>
      <c r="F25" s="68">
        <f t="shared" ref="F25:F34" si="8">X_Cell_Fertiliser_AreaUnderCropping</f>
        <v>100</v>
      </c>
      <c r="G25" s="69">
        <f>Table_Input_InorganicFertiliser_Custom[[#This Row],[Amount applied (kg / ha)]]*Table_Input_InorganicFertiliser_Custom[[#This Row],[Application area (ha)]]</f>
        <v>10000</v>
      </c>
      <c r="H25" s="75" t="s">
        <v>314</v>
      </c>
      <c r="I25" s="76">
        <v>0.5</v>
      </c>
      <c r="J25" s="75" t="s">
        <v>938</v>
      </c>
      <c r="K25" s="76">
        <v>0.2</v>
      </c>
      <c r="L25" s="75" t="s">
        <v>208</v>
      </c>
      <c r="M25" s="76">
        <v>0.2</v>
      </c>
      <c r="N25" s="77" t="s">
        <v>209</v>
      </c>
      <c r="O25" s="78">
        <v>0.1</v>
      </c>
      <c r="P25"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c r="Z25" s="8"/>
    </row>
    <row r="26" spans="1:26" ht="20.100000000000001" customHeight="1" x14ac:dyDescent="0.25">
      <c r="A26"/>
      <c r="D26" s="74" t="s">
        <v>939</v>
      </c>
      <c r="E26" s="145">
        <v>100</v>
      </c>
      <c r="F26" s="68">
        <f t="shared" si="8"/>
        <v>100</v>
      </c>
      <c r="G26" s="69">
        <f>Table_Input_InorganicFertiliser_Custom[[#This Row],[Amount applied (kg / ha)]]*Table_Input_InorganicFertiliser_Custom[[#This Row],[Application area (ha)]]</f>
        <v>10000</v>
      </c>
      <c r="H26" s="75" t="s">
        <v>207</v>
      </c>
      <c r="I26" s="79">
        <v>1</v>
      </c>
      <c r="J26" s="75"/>
      <c r="K26" s="79"/>
      <c r="L26" s="75"/>
      <c r="M26" s="79"/>
      <c r="N26" s="77"/>
      <c r="O26" s="78"/>
      <c r="P26"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c r="Z26" s="8"/>
    </row>
    <row r="27" spans="1:26" ht="20.100000000000001" customHeight="1" x14ac:dyDescent="0.25">
      <c r="A27" s="213" t="s">
        <v>78</v>
      </c>
      <c r="D27" s="74" t="s">
        <v>940</v>
      </c>
      <c r="E27" s="145">
        <v>100</v>
      </c>
      <c r="F27" s="68">
        <f t="shared" si="8"/>
        <v>100</v>
      </c>
      <c r="G27" s="69">
        <f>Table_Input_InorganicFertiliser_Custom[[#This Row],[Amount applied (kg / ha)]]*Table_Input_InorganicFertiliser_Custom[[#This Row],[Application area (ha)]]</f>
        <v>10000</v>
      </c>
      <c r="H27" s="75" t="s">
        <v>315</v>
      </c>
      <c r="I27" s="79">
        <v>0.5</v>
      </c>
      <c r="J27" s="75"/>
      <c r="K27" s="79"/>
      <c r="L27" s="75"/>
      <c r="M27" s="79"/>
      <c r="N27" s="77"/>
      <c r="O27" s="78"/>
      <c r="P27"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c r="Z27" s="8"/>
    </row>
    <row r="28" spans="1:26" ht="20.100000000000001" customHeight="1" x14ac:dyDescent="0.25">
      <c r="A28" s="16" t="str">
        <f>HYPERLINK("#'Constants - Scope 3'!A1", "Constants - Scope 3")</f>
        <v>Constants - Scope 3</v>
      </c>
      <c r="D28" s="74"/>
      <c r="E28" s="145"/>
      <c r="F28" s="139">
        <f t="shared" si="8"/>
        <v>100</v>
      </c>
      <c r="G28" s="69">
        <f>Table_Input_InorganicFertiliser_Custom[[#This Row],[Amount applied (kg / ha)]]*Table_Input_InorganicFertiliser_Custom[[#This Row],[Application area (ha)]]</f>
        <v>0</v>
      </c>
      <c r="H28" s="75"/>
      <c r="I28" s="79"/>
      <c r="J28" s="75"/>
      <c r="K28" s="79"/>
      <c r="L28" s="75"/>
      <c r="M28" s="79"/>
      <c r="N28" s="77"/>
      <c r="O28" s="78"/>
      <c r="P28"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c r="Z28" s="8"/>
    </row>
    <row r="29" spans="1:26" ht="20.100000000000001" customHeight="1" x14ac:dyDescent="0.25">
      <c r="A29" s="16" t="str">
        <f>HYPERLINK("#'Constants - Solid Waste'!A1", "Constants - Solid Waste")</f>
        <v>Constants - Solid Waste</v>
      </c>
      <c r="D29" s="74"/>
      <c r="E29" s="145"/>
      <c r="F29" s="139">
        <f t="shared" si="8"/>
        <v>100</v>
      </c>
      <c r="G29" s="69">
        <f>Table_Input_InorganicFertiliser_Custom[[#This Row],[Amount applied (kg / ha)]]*Table_Input_InorganicFertiliser_Custom[[#This Row],[Application area (ha)]]</f>
        <v>0</v>
      </c>
      <c r="H29" s="75"/>
      <c r="I29" s="79"/>
      <c r="J29" s="75"/>
      <c r="K29" s="79"/>
      <c r="L29" s="75"/>
      <c r="M29" s="79"/>
      <c r="N29" s="77"/>
      <c r="O29" s="78"/>
      <c r="P29"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c r="Z29" s="8"/>
    </row>
    <row r="30" spans="1:26" ht="20.100000000000001" customHeight="1" x14ac:dyDescent="0.25">
      <c r="A30" s="16" t="str">
        <f>HYPERLINK("#'Constants - Fuel'!A1", "Constants - Fuel")</f>
        <v>Constants - Fuel</v>
      </c>
      <c r="D30" s="74"/>
      <c r="E30" s="145"/>
      <c r="F30" s="139">
        <f t="shared" si="8"/>
        <v>100</v>
      </c>
      <c r="G30" s="69">
        <f>Table_Input_InorganicFertiliser_Custom[[#This Row],[Amount applied (kg / ha)]]*Table_Input_InorganicFertiliser_Custom[[#This Row],[Application area (ha)]]</f>
        <v>0</v>
      </c>
      <c r="H30" s="75"/>
      <c r="I30" s="79"/>
      <c r="J30" s="75"/>
      <c r="K30" s="79"/>
      <c r="L30" s="75"/>
      <c r="M30" s="79"/>
      <c r="N30" s="77"/>
      <c r="O30" s="78"/>
      <c r="P30"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c r="Z30" s="8"/>
    </row>
    <row r="31" spans="1:26" ht="20.100000000000001" customHeight="1" x14ac:dyDescent="0.25">
      <c r="A31" s="16" t="str">
        <f>HYPERLINK("#'Constants - Poultry'!A1", "Constants - Poultry")</f>
        <v>Constants - Poultry</v>
      </c>
      <c r="D31" s="74"/>
      <c r="E31" s="145"/>
      <c r="F31" s="139">
        <f t="shared" si="8"/>
        <v>100</v>
      </c>
      <c r="G31" s="69">
        <f>Table_Input_InorganicFertiliser_Custom[[#This Row],[Amount applied (kg / ha)]]*Table_Input_InorganicFertiliser_Custom[[#This Row],[Application area (ha)]]</f>
        <v>0</v>
      </c>
      <c r="H31" s="75"/>
      <c r="I31" s="79"/>
      <c r="J31" s="75"/>
      <c r="K31" s="79"/>
      <c r="L31" s="75"/>
      <c r="M31" s="79"/>
      <c r="N31" s="77"/>
      <c r="O31" s="78"/>
      <c r="P31"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c r="Z31" s="8"/>
    </row>
    <row r="32" spans="1:26" ht="20.100000000000001" customHeight="1" x14ac:dyDescent="0.25">
      <c r="A32" s="16" t="str">
        <f>HYPERLINK("#'Constants - Swine'!A1", "Constants - Swine")</f>
        <v>Constants - Swine</v>
      </c>
      <c r="D32" s="74"/>
      <c r="E32" s="145"/>
      <c r="F32" s="139">
        <f t="shared" si="8"/>
        <v>100</v>
      </c>
      <c r="G32" s="69">
        <f>Table_Input_InorganicFertiliser_Custom[[#This Row],[Amount applied (kg / ha)]]*Table_Input_InorganicFertiliser_Custom[[#This Row],[Application area (ha)]]</f>
        <v>0</v>
      </c>
      <c r="H32" s="75"/>
      <c r="I32" s="79"/>
      <c r="J32" s="75"/>
      <c r="K32" s="79"/>
      <c r="L32" s="75"/>
      <c r="M32" s="79"/>
      <c r="N32" s="77"/>
      <c r="O32" s="78"/>
      <c r="P32"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c r="Z32" s="8"/>
    </row>
    <row r="33" spans="1:27" ht="20.100000000000001" customHeight="1" x14ac:dyDescent="0.25">
      <c r="A33" s="16" t="str">
        <f>HYPERLINK("#'Constants - Dairy'!A1", "Constants - Dairy")</f>
        <v>Constants - Dairy</v>
      </c>
      <c r="D33" s="74"/>
      <c r="E33" s="145"/>
      <c r="F33" s="139">
        <f t="shared" si="8"/>
        <v>100</v>
      </c>
      <c r="G33" s="69">
        <f>Table_Input_InorganicFertiliser_Custom[[#This Row],[Amount applied (kg / ha)]]*Table_Input_InorganicFertiliser_Custom[[#This Row],[Application area (ha)]]</f>
        <v>0</v>
      </c>
      <c r="H33" s="75"/>
      <c r="I33" s="79"/>
      <c r="J33" s="75"/>
      <c r="K33" s="79"/>
      <c r="L33" s="75"/>
      <c r="M33" s="79"/>
      <c r="N33" s="77"/>
      <c r="O33" s="78"/>
      <c r="P33"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c r="Z33" s="8"/>
    </row>
    <row r="34" spans="1:27" ht="20.100000000000001" customHeight="1" x14ac:dyDescent="0.25">
      <c r="A34" s="16" t="str">
        <f>HYPERLINK("#'Constants - Pasture Beef'!A1", "Constants - Pasture Beef")</f>
        <v>Constants - Pasture Beef</v>
      </c>
      <c r="D34" s="74"/>
      <c r="E34" s="145"/>
      <c r="F34" s="139">
        <f t="shared" si="8"/>
        <v>100</v>
      </c>
      <c r="G34" s="69">
        <f>Table_Input_InorganicFertiliser_Custom[[#This Row],[Amount applied (kg / ha)]]*Table_Input_InorganicFertiliser_Custom[[#This Row],[Application area (ha)]]</f>
        <v>0</v>
      </c>
      <c r="H34" s="75"/>
      <c r="I34" s="79"/>
      <c r="J34" s="75"/>
      <c r="K34" s="79"/>
      <c r="L34" s="75"/>
      <c r="M34" s="79"/>
      <c r="N34" s="77"/>
      <c r="O34" s="78"/>
      <c r="P34"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c r="Z34" s="8"/>
    </row>
    <row r="35" spans="1:27" ht="20.100000000000001" customHeight="1" x14ac:dyDescent="0.25">
      <c r="A35" s="16" t="str">
        <f>HYPERLINK("#'Constants - Common Livestock'!A1", "Constants - Common Livestock")</f>
        <v>Constants - Common Livestock</v>
      </c>
      <c r="Z35" s="8"/>
    </row>
    <row r="36" spans="1:27" ht="20.100000000000001" customHeight="1" x14ac:dyDescent="0.25">
      <c r="A36" s="16" t="str">
        <f>HYPERLINK("#'Constants - Fertiliser'!A1", "Constants - Fertiliser")</f>
        <v>Constants - Fertiliser</v>
      </c>
      <c r="D36" s="9" t="s">
        <v>941</v>
      </c>
      <c r="E36" s="7"/>
      <c r="F36" s="7"/>
      <c r="G36" s="7"/>
      <c r="H36" s="7"/>
      <c r="I36" s="7"/>
      <c r="J36" s="7"/>
      <c r="K36" s="138"/>
      <c r="L36" s="138"/>
      <c r="M36" s="138"/>
      <c r="Z36" s="8"/>
    </row>
    <row r="37" spans="1:27" ht="20.100000000000001" customHeight="1" x14ac:dyDescent="0.25">
      <c r="A37" s="16" t="str">
        <f>HYPERLINK("#'Constants - Electricity'!A1", "Constants - Electricity")</f>
        <v>Constants - Electricity</v>
      </c>
      <c r="D37" s="39" t="s">
        <v>210</v>
      </c>
      <c r="E37" s="40"/>
      <c r="F37" s="40"/>
      <c r="G37" s="40"/>
      <c r="H37" s="41"/>
      <c r="I37" s="7"/>
      <c r="J37" s="7"/>
      <c r="K37" s="138"/>
      <c r="L37" s="138"/>
      <c r="M37" s="7"/>
      <c r="Z37" s="8"/>
    </row>
    <row r="38" spans="1:27" ht="20.100000000000001" customHeight="1" x14ac:dyDescent="0.25">
      <c r="A38" s="16" t="str">
        <f>HYPERLINK("#'Constants - Common'!A1", "Constants - Common")</f>
        <v>Constants - Common</v>
      </c>
      <c r="C38" s="51"/>
      <c r="D38" s="80" t="s">
        <v>211</v>
      </c>
      <c r="E38" s="81"/>
      <c r="F38" s="81"/>
      <c r="G38" s="81"/>
      <c r="H38" s="82"/>
      <c r="I38" s="138"/>
      <c r="J38" s="138"/>
      <c r="K38" s="138"/>
      <c r="L38" s="138"/>
      <c r="M38" s="138"/>
      <c r="Z38" s="8"/>
    </row>
    <row r="39" spans="1:27" ht="20.100000000000001" customHeight="1" x14ac:dyDescent="0.25">
      <c r="A39"/>
      <c r="C39" s="51"/>
      <c r="D39" s="43" t="s">
        <v>197</v>
      </c>
      <c r="E39" s="44"/>
      <c r="F39" s="44"/>
      <c r="G39" s="44"/>
      <c r="H39" s="45"/>
      <c r="I39" s="138"/>
      <c r="J39" s="138"/>
      <c r="K39" s="138"/>
      <c r="L39" s="138"/>
      <c r="M39" s="7"/>
      <c r="Z39" s="8"/>
    </row>
    <row r="40" spans="1:27" s="52" customFormat="1" ht="20.100000000000001" customHeight="1" x14ac:dyDescent="0.25">
      <c r="A40"/>
      <c r="C40" s="8"/>
      <c r="D40" s="54" t="str">
        <f>IF(MAX(Table_Input_Lime[Total]) &gt; 1, "There can not be more than 100% ingredients in a product. Check the table below.", "")</f>
        <v/>
      </c>
      <c r="E40" s="8"/>
      <c r="F40" s="8"/>
      <c r="G40" s="8"/>
      <c r="H40" s="8"/>
      <c r="I40" s="8"/>
      <c r="J40" s="8"/>
      <c r="K40" s="8"/>
      <c r="L40" s="138"/>
      <c r="M40" s="7"/>
      <c r="N40" s="8"/>
      <c r="O40" s="8"/>
      <c r="P40" s="8"/>
      <c r="Q40" s="8"/>
      <c r="R40" s="8"/>
      <c r="S40" s="8"/>
      <c r="T40" s="8"/>
      <c r="U40" s="8"/>
      <c r="V40" s="8"/>
      <c r="W40" s="8"/>
      <c r="X40" s="8"/>
      <c r="Y40" s="8"/>
      <c r="Z40" s="8"/>
      <c r="AA40" s="8"/>
    </row>
    <row r="41" spans="1:27" s="52" customFormat="1" ht="20.100000000000001" customHeight="1" x14ac:dyDescent="0.25">
      <c r="A41"/>
      <c r="C41" s="8"/>
      <c r="D41" s="83" t="s">
        <v>212</v>
      </c>
      <c r="E41" s="83" t="s">
        <v>213</v>
      </c>
      <c r="F41" s="83" t="s">
        <v>200</v>
      </c>
      <c r="G41" s="83" t="s">
        <v>214</v>
      </c>
      <c r="H41" s="83" t="s">
        <v>215</v>
      </c>
      <c r="I41" s="83" t="s">
        <v>216</v>
      </c>
      <c r="J41" s="83" t="s">
        <v>217</v>
      </c>
      <c r="K41" s="83" t="s">
        <v>218</v>
      </c>
      <c r="L41" s="8"/>
      <c r="M41" s="8"/>
      <c r="N41" s="8"/>
      <c r="O41" s="8"/>
      <c r="P41" s="8"/>
      <c r="Q41" s="8"/>
      <c r="R41" s="8"/>
      <c r="S41" s="51"/>
      <c r="T41" s="8"/>
      <c r="U41" s="8"/>
      <c r="V41" s="8"/>
      <c r="W41" s="8"/>
      <c r="X41" s="8"/>
      <c r="Y41" s="8"/>
      <c r="Z41" s="8"/>
      <c r="AA41" s="8"/>
    </row>
    <row r="42" spans="1:27" ht="20.100000000000001" customHeight="1" x14ac:dyDescent="0.25">
      <c r="A42"/>
      <c r="D42" s="84" t="s">
        <v>219</v>
      </c>
      <c r="E42" s="68">
        <v>1</v>
      </c>
      <c r="F42" s="68">
        <f>X_Cell_Fertiliser_AreaUnderCropping</f>
        <v>100</v>
      </c>
      <c r="G42" s="69">
        <f>IFERROR(Table_Input_Lime[[#This Row],[Amount applied (t/hectare)]]*Table_Input_Lime[[#This Row],[Application area (ha)]], 0)</f>
        <v>100</v>
      </c>
      <c r="H42" s="223">
        <v>0.8</v>
      </c>
      <c r="I42" s="223">
        <v>0.1</v>
      </c>
      <c r="J42" s="223">
        <v>0.1</v>
      </c>
      <c r="K42" s="85">
        <f>SUM(Table_Input_Lime[[#This Row],[Percent Lime CaCO3]:[Percent Gypsum]])</f>
        <v>1</v>
      </c>
      <c r="S42" s="51"/>
      <c r="Z42" s="8"/>
    </row>
    <row r="43" spans="1:27" ht="20.100000000000001" customHeight="1" x14ac:dyDescent="0.25">
      <c r="A43"/>
      <c r="D43" s="84" t="s">
        <v>220</v>
      </c>
      <c r="E43" s="68">
        <v>1</v>
      </c>
      <c r="F43" s="68">
        <f>X_Cell_Fertiliser_AreaUnderCropping</f>
        <v>100</v>
      </c>
      <c r="G43" s="69">
        <f>IFERROR(Table_Input_Lime[[#This Row],[Amount applied (t/hectare)]]*Table_Input_Lime[[#This Row],[Application area (ha)]], 0)</f>
        <v>100</v>
      </c>
      <c r="H43" s="223">
        <v>1</v>
      </c>
      <c r="I43" s="223"/>
      <c r="J43" s="223"/>
      <c r="K43" s="85">
        <f>SUM(Table_Input_Lime[[#This Row],[Percent Lime CaCO3]:[Percent Gypsum]])</f>
        <v>1</v>
      </c>
      <c r="Z43" s="8"/>
    </row>
    <row r="44" spans="1:27" ht="20.100000000000001" customHeight="1" x14ac:dyDescent="0.25">
      <c r="A44"/>
      <c r="D44" s="84" t="s">
        <v>942</v>
      </c>
      <c r="E44" s="68">
        <v>1</v>
      </c>
      <c r="F44" s="68">
        <f>X_Cell_Fertiliser_AreaUnderCropping</f>
        <v>100</v>
      </c>
      <c r="G44" s="69">
        <f>IFERROR(Table_Input_Lime[[#This Row],[Amount applied (t/hectare)]]*Table_Input_Lime[[#This Row],[Application area (ha)]], 0)</f>
        <v>100</v>
      </c>
      <c r="H44" s="223">
        <v>0</v>
      </c>
      <c r="I44" s="223"/>
      <c r="J44" s="223">
        <v>1</v>
      </c>
      <c r="K44" s="85">
        <f>SUM(Table_Input_Lime[[#This Row],[Percent Lime CaCO3]:[Percent Gypsum]])</f>
        <v>1</v>
      </c>
      <c r="L44" s="7"/>
      <c r="Z44" s="8"/>
    </row>
    <row r="45" spans="1:27" ht="20.100000000000001" customHeight="1" x14ac:dyDescent="0.25">
      <c r="A45"/>
      <c r="L45" s="7"/>
      <c r="M45" s="7"/>
      <c r="Z45" s="8"/>
    </row>
    <row r="46" spans="1:27" ht="20.100000000000001" customHeight="1" x14ac:dyDescent="0.25">
      <c r="A46"/>
      <c r="D46" s="138"/>
      <c r="E46" s="138"/>
      <c r="F46" s="138"/>
      <c r="G46" s="138"/>
      <c r="H46" s="138"/>
      <c r="I46" s="138"/>
      <c r="J46" s="138"/>
      <c r="L46" s="138"/>
      <c r="M46" s="7"/>
      <c r="Z46" s="8"/>
    </row>
    <row r="47" spans="1:27" ht="20.100000000000001" customHeight="1" x14ac:dyDescent="0.25">
      <c r="A47"/>
      <c r="D47" s="138"/>
      <c r="E47" s="138"/>
      <c r="F47" s="138"/>
      <c r="G47" s="138"/>
      <c r="H47" s="138"/>
      <c r="I47" s="138"/>
      <c r="J47" s="224"/>
      <c r="K47" s="7"/>
      <c r="L47" s="138"/>
      <c r="M47" s="138"/>
      <c r="Z47" s="8"/>
    </row>
    <row r="48" spans="1:27" ht="20.100000000000001" customHeight="1" x14ac:dyDescent="0.25">
      <c r="A48"/>
      <c r="D48" s="9" t="s">
        <v>943</v>
      </c>
      <c r="E48" s="7"/>
      <c r="F48" s="7"/>
      <c r="G48" s="7"/>
      <c r="H48" s="138"/>
      <c r="I48" s="138"/>
      <c r="J48" s="138"/>
      <c r="K48" s="138"/>
      <c r="L48" s="138"/>
      <c r="M48" s="138"/>
      <c r="Z48" s="8"/>
    </row>
    <row r="49" spans="1:26" ht="20.100000000000001" customHeight="1" x14ac:dyDescent="0.25">
      <c r="A49"/>
      <c r="D49" s="138"/>
      <c r="E49" s="138"/>
      <c r="F49" s="138"/>
      <c r="G49" s="138"/>
      <c r="H49" s="138"/>
      <c r="I49" s="138"/>
      <c r="J49" s="138"/>
      <c r="K49" s="138"/>
      <c r="L49" s="138"/>
      <c r="M49" s="138"/>
      <c r="Q49" s="51"/>
      <c r="R49" s="51"/>
      <c r="Z49" s="8"/>
    </row>
    <row r="50" spans="1:26" ht="20.100000000000001" customHeight="1" x14ac:dyDescent="0.25">
      <c r="A50"/>
      <c r="D50" s="39" t="s">
        <v>210</v>
      </c>
      <c r="E50" s="40"/>
      <c r="F50" s="40"/>
      <c r="G50" s="40"/>
      <c r="H50" s="41"/>
      <c r="I50" s="138"/>
      <c r="J50" s="138"/>
      <c r="K50" s="138"/>
      <c r="L50" s="138"/>
      <c r="M50" s="138"/>
      <c r="O50" s="51"/>
      <c r="P50" s="51"/>
      <c r="Q50" s="51"/>
      <c r="R50" s="51"/>
      <c r="Z50" s="8"/>
    </row>
    <row r="51" spans="1:26" ht="20.100000000000001" customHeight="1" x14ac:dyDescent="0.25">
      <c r="A51"/>
      <c r="D51" s="43" t="s">
        <v>197</v>
      </c>
      <c r="E51" s="44"/>
      <c r="F51" s="44"/>
      <c r="G51" s="44"/>
      <c r="H51" s="45"/>
      <c r="I51" s="138"/>
      <c r="J51" s="138"/>
      <c r="K51" s="138"/>
      <c r="L51" s="222"/>
      <c r="M51" s="51"/>
      <c r="N51" s="51"/>
      <c r="O51" s="51"/>
      <c r="P51" s="51"/>
      <c r="Z51" s="8"/>
    </row>
    <row r="52" spans="1:26" ht="20.100000000000001" customHeight="1" x14ac:dyDescent="0.25">
      <c r="A52"/>
      <c r="D52" s="138"/>
      <c r="E52" s="138"/>
      <c r="F52" s="138"/>
      <c r="G52" s="138"/>
      <c r="H52" s="138"/>
      <c r="I52" s="138"/>
      <c r="J52" s="138"/>
      <c r="K52" s="138"/>
      <c r="L52" s="222"/>
      <c r="M52" s="51"/>
      <c r="N52" s="51"/>
      <c r="Z52" s="8"/>
    </row>
    <row r="53" spans="1:26" ht="20.100000000000001" customHeight="1" x14ac:dyDescent="0.25">
      <c r="A53"/>
      <c r="D53" s="83" t="s">
        <v>944</v>
      </c>
      <c r="E53" s="83" t="s">
        <v>945</v>
      </c>
      <c r="F53" s="83" t="s">
        <v>946</v>
      </c>
      <c r="G53" s="83" t="s">
        <v>947</v>
      </c>
      <c r="H53" s="83" t="s">
        <v>200</v>
      </c>
      <c r="I53" s="83" t="s">
        <v>948</v>
      </c>
      <c r="J53" s="83" t="s">
        <v>949</v>
      </c>
      <c r="K53" s="222"/>
      <c r="Z53" s="8"/>
    </row>
    <row r="54" spans="1:26" ht="20.100000000000001" customHeight="1" x14ac:dyDescent="0.25">
      <c r="A54"/>
      <c r="D54" s="67" t="s">
        <v>159</v>
      </c>
      <c r="E54" s="223">
        <v>0.3</v>
      </c>
      <c r="F54" s="68">
        <v>10</v>
      </c>
      <c r="G54" s="69">
        <f>Table_Input_OrganicFertiliser[[#This Row],[Amount applied (kg/hectare)]]*Table_Input_OrganicFertiliser[[#This Row],[Percentage of N in fertiliser]]</f>
        <v>3</v>
      </c>
      <c r="H54" s="68">
        <f>X_Cell_Fertiliser_AreaUnderCropping</f>
        <v>100</v>
      </c>
      <c r="I54" s="69">
        <f>Table_Input_OrganicFertiliser[[#This Row],[Amount applied (kg/hectare)]]*Table_Input_OrganicFertiliser[[#This Row],[Application area (ha)]]</f>
        <v>1000</v>
      </c>
      <c r="J54" s="69">
        <f>IFERROR(Table_Input_OrganicFertiliser[[#This Row],[Amount N applied (kg/hectare)]]*Table_Input_OrganicFertiliser[[#This Row],[Application area (ha)]], 0)</f>
        <v>300</v>
      </c>
      <c r="K54" s="222"/>
      <c r="Z54" s="8"/>
    </row>
    <row r="55" spans="1:26" ht="20.100000000000001" customHeight="1" x14ac:dyDescent="0.25">
      <c r="A55"/>
      <c r="D55" s="67" t="s">
        <v>153</v>
      </c>
      <c r="E55" s="223">
        <v>0.25</v>
      </c>
      <c r="F55" s="68">
        <v>10</v>
      </c>
      <c r="G55" s="69">
        <f>Table_Input_OrganicFertiliser[[#This Row],[Amount applied (kg/hectare)]]*Table_Input_OrganicFertiliser[[#This Row],[Percentage of N in fertiliser]]</f>
        <v>2.5</v>
      </c>
      <c r="H55" s="68">
        <f>X_Cell_Fertiliser_AreaUnderCropping</f>
        <v>100</v>
      </c>
      <c r="I55" s="69">
        <f>Table_Input_OrganicFertiliser[[#This Row],[Amount applied (kg/hectare)]]*Table_Input_OrganicFertiliser[[#This Row],[Application area (ha)]]</f>
        <v>1000</v>
      </c>
      <c r="J55" s="69">
        <f>IFERROR(Table_Input_OrganicFertiliser[[#This Row],[Amount N applied (kg/hectare)]]*Table_Input_OrganicFertiliser[[#This Row],[Application area (ha)]], 0)</f>
        <v>250</v>
      </c>
      <c r="Z55" s="8"/>
    </row>
    <row r="56" spans="1:26" ht="20.100000000000001" customHeight="1" x14ac:dyDescent="0.25">
      <c r="A56"/>
      <c r="D56" s="67" t="s">
        <v>161</v>
      </c>
      <c r="E56" s="223">
        <v>0.16</v>
      </c>
      <c r="F56" s="68">
        <v>10</v>
      </c>
      <c r="G56" s="69">
        <f>Table_Input_OrganicFertiliser[[#This Row],[Amount applied (kg/hectare)]]*Table_Input_OrganicFertiliser[[#This Row],[Percentage of N in fertiliser]]</f>
        <v>1.6</v>
      </c>
      <c r="H56" s="68">
        <f>X_Cell_Fertiliser_AreaUnderCropping</f>
        <v>100</v>
      </c>
      <c r="I56" s="69">
        <f>Table_Input_OrganicFertiliser[[#This Row],[Amount applied (kg/hectare)]]*Table_Input_OrganicFertiliser[[#This Row],[Application area (ha)]]</f>
        <v>1000</v>
      </c>
      <c r="J56" s="69">
        <f>IFERROR(Table_Input_OrganicFertiliser[[#This Row],[Amount N applied (kg/hectare)]]*Table_Input_OrganicFertiliser[[#This Row],[Application area (ha)]], 0)</f>
        <v>160</v>
      </c>
      <c r="Z56" s="8"/>
    </row>
    <row r="57" spans="1:26" ht="20.100000000000001" customHeight="1" x14ac:dyDescent="0.25">
      <c r="A57"/>
      <c r="Z57" s="8"/>
    </row>
    <row r="58" spans="1:26" ht="20.100000000000001" customHeight="1" x14ac:dyDescent="0.25">
      <c r="A58"/>
      <c r="Z58" s="8"/>
    </row>
    <row r="59" spans="1:26" ht="20.100000000000001" customHeight="1" x14ac:dyDescent="0.25">
      <c r="A59"/>
      <c r="Z59" s="8"/>
    </row>
    <row r="60" spans="1:26" ht="20.100000000000001" customHeight="1" x14ac:dyDescent="0.25">
      <c r="A60"/>
      <c r="Z60" s="8"/>
    </row>
    <row r="61" spans="1:26" ht="20.100000000000001" customHeight="1" x14ac:dyDescent="0.25">
      <c r="A61"/>
      <c r="Z61" s="8"/>
    </row>
    <row r="62" spans="1:26" ht="20.100000000000001" customHeight="1" x14ac:dyDescent="0.25">
      <c r="A62"/>
      <c r="Z62" s="8"/>
    </row>
    <row r="63" spans="1:26" ht="20.100000000000001" customHeight="1" x14ac:dyDescent="0.25">
      <c r="A63"/>
      <c r="Z63" s="8"/>
    </row>
    <row r="64" spans="1:26" ht="20.100000000000001" customHeight="1" x14ac:dyDescent="0.25">
      <c r="A64"/>
      <c r="Z64" s="8"/>
    </row>
    <row r="65" spans="1:26" ht="20.100000000000001" customHeight="1" x14ac:dyDescent="0.25">
      <c r="A65"/>
      <c r="Z65" s="8"/>
    </row>
    <row r="66" spans="1:26" ht="20.100000000000001" customHeight="1" x14ac:dyDescent="0.25">
      <c r="A66"/>
      <c r="Z66" s="8"/>
    </row>
    <row r="67" spans="1:26" ht="20.100000000000001" customHeight="1" x14ac:dyDescent="0.25">
      <c r="A67"/>
      <c r="Z67" s="8"/>
    </row>
    <row r="68" spans="1:26" ht="20.100000000000001" customHeight="1" x14ac:dyDescent="0.25">
      <c r="A68"/>
      <c r="Z68" s="8"/>
    </row>
    <row r="69" spans="1:26" ht="20.100000000000001" customHeight="1" x14ac:dyDescent="0.25">
      <c r="A69"/>
      <c r="Z69" s="8"/>
    </row>
    <row r="70" spans="1:26" ht="20.100000000000001" customHeight="1" x14ac:dyDescent="0.25">
      <c r="A70"/>
      <c r="Z70" s="8"/>
    </row>
    <row r="71" spans="1:26" ht="20.100000000000001" customHeight="1" x14ac:dyDescent="0.25">
      <c r="A71"/>
      <c r="Z71" s="8"/>
    </row>
    <row r="72" spans="1:26" ht="20.100000000000001" customHeight="1" x14ac:dyDescent="0.25">
      <c r="A72"/>
      <c r="Z72" s="8"/>
    </row>
    <row r="73" spans="1:26" ht="20.100000000000001" customHeight="1" x14ac:dyDescent="0.25">
      <c r="A73"/>
      <c r="Z73" s="8"/>
    </row>
    <row r="74" spans="1:26" ht="20.100000000000001" customHeight="1" x14ac:dyDescent="0.25">
      <c r="A74"/>
      <c r="Z74" s="8"/>
    </row>
    <row r="75" spans="1:26" ht="20.100000000000001" customHeight="1" x14ac:dyDescent="0.25">
      <c r="A75"/>
      <c r="Z75" s="8"/>
    </row>
    <row r="76" spans="1:26" ht="20.100000000000001" customHeight="1" x14ac:dyDescent="0.25">
      <c r="A76"/>
      <c r="Z76" s="8"/>
    </row>
    <row r="77" spans="1:26" ht="20.100000000000001" customHeight="1" x14ac:dyDescent="0.25">
      <c r="A77"/>
      <c r="Z77" s="8"/>
    </row>
    <row r="78" spans="1:26" ht="20.100000000000001" customHeight="1" x14ac:dyDescent="0.25">
      <c r="A78"/>
      <c r="Z78" s="8"/>
    </row>
    <row r="79" spans="1:26" ht="20.100000000000001" customHeight="1" x14ac:dyDescent="0.25">
      <c r="A79"/>
      <c r="Z79" s="8"/>
    </row>
    <row r="80" spans="1:26" ht="20.100000000000001" customHeight="1" x14ac:dyDescent="0.25">
      <c r="A80"/>
      <c r="Z80" s="8"/>
    </row>
    <row r="81" spans="1:26" ht="20.100000000000001" customHeight="1" x14ac:dyDescent="0.25">
      <c r="A81"/>
      <c r="Z81" s="8"/>
    </row>
    <row r="82" spans="1:26" ht="20.100000000000001" customHeight="1" x14ac:dyDescent="0.25">
      <c r="A82"/>
      <c r="Z82" s="8"/>
    </row>
    <row r="83" spans="1:26" ht="20.100000000000001" customHeight="1" x14ac:dyDescent="0.25">
      <c r="A83"/>
      <c r="Z83" s="8"/>
    </row>
    <row r="84" spans="1:26" ht="20.100000000000001" customHeight="1" x14ac:dyDescent="0.25">
      <c r="A84"/>
      <c r="Z84" s="8"/>
    </row>
    <row r="85" spans="1:26" ht="20.100000000000001" customHeight="1" x14ac:dyDescent="0.25">
      <c r="A85"/>
      <c r="Z85" s="8"/>
    </row>
    <row r="86" spans="1:26" ht="20.100000000000001" customHeight="1" x14ac:dyDescent="0.25">
      <c r="A86"/>
      <c r="Z86" s="8"/>
    </row>
    <row r="87" spans="1:26" ht="20.100000000000001" customHeight="1" x14ac:dyDescent="0.25">
      <c r="A87"/>
      <c r="Z87" s="8"/>
    </row>
    <row r="88" spans="1:26" ht="20.100000000000001" customHeight="1" x14ac:dyDescent="0.25">
      <c r="A88"/>
      <c r="Z88" s="8"/>
    </row>
    <row r="89" spans="1:26" ht="20.100000000000001" customHeight="1" x14ac:dyDescent="0.25">
      <c r="A89"/>
      <c r="Z89" s="8"/>
    </row>
    <row r="90" spans="1:26" ht="20.100000000000001" customHeight="1" x14ac:dyDescent="0.25">
      <c r="A90"/>
      <c r="Z90" s="8"/>
    </row>
    <row r="91" spans="1:26" ht="20.100000000000001" customHeight="1" x14ac:dyDescent="0.25">
      <c r="A91"/>
      <c r="Z91" s="8"/>
    </row>
    <row r="92" spans="1:26" ht="20.100000000000001" customHeight="1" x14ac:dyDescent="0.25">
      <c r="A92"/>
      <c r="Z92" s="8"/>
    </row>
    <row r="93" spans="1:26" ht="20.100000000000001" customHeight="1" x14ac:dyDescent="0.25">
      <c r="A93"/>
      <c r="Z93" s="8"/>
    </row>
    <row r="94" spans="1:26" ht="20.100000000000001" customHeight="1" x14ac:dyDescent="0.25">
      <c r="A94"/>
      <c r="Z94" s="8"/>
    </row>
    <row r="95" spans="1:26" ht="20.100000000000001" customHeight="1" x14ac:dyDescent="0.25">
      <c r="A95"/>
      <c r="Z95" s="8"/>
    </row>
    <row r="96" spans="1:26" ht="20.100000000000001" customHeight="1" x14ac:dyDescent="0.25">
      <c r="A96"/>
      <c r="Z96" s="8"/>
    </row>
    <row r="97" spans="1:26" ht="20.100000000000001" customHeight="1" x14ac:dyDescent="0.25">
      <c r="A97"/>
      <c r="Z97" s="8"/>
    </row>
    <row r="98" spans="1:26" ht="20.100000000000001" customHeight="1" x14ac:dyDescent="0.25">
      <c r="A98"/>
      <c r="Z98" s="8"/>
    </row>
    <row r="99" spans="1:26" ht="20.100000000000001" customHeight="1" x14ac:dyDescent="0.25">
      <c r="A99"/>
      <c r="Z99" s="8"/>
    </row>
    <row r="100" spans="1:26" ht="20.100000000000001" customHeight="1" x14ac:dyDescent="0.25">
      <c r="A100"/>
      <c r="Z100" s="8"/>
    </row>
    <row r="101" spans="1:26" ht="20.100000000000001" customHeight="1" x14ac:dyDescent="0.25">
      <c r="A101"/>
      <c r="Z101" s="8"/>
    </row>
    <row r="102" spans="1:26" ht="20.100000000000001" customHeight="1" x14ac:dyDescent="0.25">
      <c r="A102"/>
      <c r="Z102" s="8"/>
    </row>
    <row r="103" spans="1:26" ht="20.100000000000001" customHeight="1" x14ac:dyDescent="0.25">
      <c r="A103"/>
      <c r="Z103" s="8"/>
    </row>
    <row r="104" spans="1:26" ht="20.100000000000001" customHeight="1" x14ac:dyDescent="0.25">
      <c r="A104"/>
      <c r="Z104" s="8"/>
    </row>
    <row r="105" spans="1:26" ht="20.100000000000001" customHeight="1" x14ac:dyDescent="0.25">
      <c r="A105"/>
      <c r="Z105" s="8"/>
    </row>
    <row r="106" spans="1:26" ht="20.100000000000001" customHeight="1" x14ac:dyDescent="0.25">
      <c r="A106"/>
      <c r="Z106" s="8"/>
    </row>
    <row r="107" spans="1:26" ht="20.100000000000001" customHeight="1" x14ac:dyDescent="0.25">
      <c r="A107"/>
      <c r="Z107" s="8"/>
    </row>
    <row r="108" spans="1:26" ht="20.100000000000001" customHeight="1" x14ac:dyDescent="0.25">
      <c r="A108"/>
      <c r="Z108" s="8"/>
    </row>
    <row r="109" spans="1:26" ht="20.100000000000001" customHeight="1" x14ac:dyDescent="0.25">
      <c r="A109"/>
      <c r="Z109" s="8"/>
    </row>
    <row r="110" spans="1:26" ht="20.100000000000001" customHeight="1" x14ac:dyDescent="0.25">
      <c r="A110"/>
      <c r="Z110" s="8"/>
    </row>
    <row r="111" spans="1:26" ht="20.100000000000001" customHeight="1" x14ac:dyDescent="0.25">
      <c r="A111"/>
      <c r="M111" s="7"/>
      <c r="Z111" s="8"/>
    </row>
    <row r="112" spans="1:26" ht="20.100000000000001" customHeight="1" x14ac:dyDescent="0.25">
      <c r="A112"/>
      <c r="M112" s="7"/>
      <c r="Z112" s="8"/>
    </row>
    <row r="113" spans="1:26" ht="20.100000000000001" customHeight="1" x14ac:dyDescent="0.25">
      <c r="A113"/>
      <c r="M113" s="7"/>
      <c r="Z113" s="8"/>
    </row>
    <row r="114" spans="1:26" ht="20.100000000000001" customHeight="1" x14ac:dyDescent="0.25">
      <c r="A114"/>
      <c r="M114" s="7"/>
      <c r="Z114" s="8"/>
    </row>
    <row r="115" spans="1:26" ht="20.100000000000001" customHeight="1" x14ac:dyDescent="0.25">
      <c r="A115"/>
      <c r="M115" s="7"/>
      <c r="Z115" s="8"/>
    </row>
    <row r="116" spans="1:26" ht="20.100000000000001" customHeight="1" x14ac:dyDescent="0.25">
      <c r="A116"/>
      <c r="M116" s="7"/>
      <c r="Z116" s="8"/>
    </row>
    <row r="117" spans="1:26" ht="20.100000000000001" customHeight="1" x14ac:dyDescent="0.25">
      <c r="A117"/>
      <c r="M117" s="7"/>
      <c r="Z117" s="8"/>
    </row>
    <row r="118" spans="1:26" ht="20.100000000000001" customHeight="1" x14ac:dyDescent="0.25">
      <c r="A118"/>
      <c r="M118" s="7"/>
      <c r="Z118" s="8"/>
    </row>
    <row r="119" spans="1:26" ht="20.100000000000001" customHeight="1" x14ac:dyDescent="0.25">
      <c r="A119"/>
      <c r="M119" s="7"/>
      <c r="Z119" s="8"/>
    </row>
    <row r="120" spans="1:26" ht="20.100000000000001" customHeight="1" x14ac:dyDescent="0.25">
      <c r="A120"/>
      <c r="M120" s="7"/>
      <c r="Z120" s="8"/>
    </row>
    <row r="121" spans="1:26" ht="20.100000000000001" customHeight="1" x14ac:dyDescent="0.25">
      <c r="A121"/>
      <c r="M121" s="7"/>
      <c r="Z121" s="8"/>
    </row>
    <row r="122" spans="1:26" ht="20.100000000000001" customHeight="1" x14ac:dyDescent="0.25">
      <c r="A122"/>
      <c r="M122" s="7"/>
      <c r="Z122" s="8"/>
    </row>
    <row r="123" spans="1:26" ht="20.100000000000001" customHeight="1" x14ac:dyDescent="0.25">
      <c r="A123"/>
      <c r="M123" s="7"/>
      <c r="Z123" s="8"/>
    </row>
    <row r="124" spans="1:26" ht="20.100000000000001" customHeight="1" x14ac:dyDescent="0.25">
      <c r="A124"/>
      <c r="M124" s="7"/>
      <c r="Z124" s="8"/>
    </row>
    <row r="125" spans="1:26" ht="20.100000000000001" customHeight="1" x14ac:dyDescent="0.25">
      <c r="A125"/>
      <c r="M125" s="7"/>
      <c r="Z125" s="8"/>
    </row>
    <row r="126" spans="1:26" ht="20.100000000000001" customHeight="1" x14ac:dyDescent="0.25">
      <c r="A126"/>
      <c r="M126" s="7"/>
      <c r="Z126" s="8"/>
    </row>
    <row r="127" spans="1:26" ht="20.100000000000001" customHeight="1" x14ac:dyDescent="0.25">
      <c r="A127"/>
      <c r="M127" s="7"/>
      <c r="Z127" s="8"/>
    </row>
    <row r="128" spans="1:26" ht="20.100000000000001" customHeight="1" x14ac:dyDescent="0.25">
      <c r="A128"/>
      <c r="M128" s="7"/>
      <c r="Z128" s="8"/>
    </row>
    <row r="129" spans="1:26" ht="20.100000000000001" customHeight="1" x14ac:dyDescent="0.25">
      <c r="A129"/>
      <c r="M129" s="7"/>
      <c r="Z129" s="8"/>
    </row>
    <row r="130" spans="1:26" ht="20.100000000000001" customHeight="1" x14ac:dyDescent="0.25">
      <c r="A130"/>
      <c r="M130" s="7"/>
      <c r="Z130" s="8"/>
    </row>
    <row r="131" spans="1:26" ht="20.100000000000001" customHeight="1" x14ac:dyDescent="0.25">
      <c r="A131"/>
      <c r="M131" s="7"/>
      <c r="Z131" s="8"/>
    </row>
    <row r="132" spans="1:26" ht="20.100000000000001" customHeight="1" x14ac:dyDescent="0.25">
      <c r="A132"/>
      <c r="M132" s="7"/>
      <c r="Z132" s="8"/>
    </row>
    <row r="133" spans="1:26" ht="20.100000000000001" customHeight="1" x14ac:dyDescent="0.25">
      <c r="A133"/>
      <c r="Z133" s="8"/>
    </row>
    <row r="134" spans="1:26" ht="20.100000000000001" customHeight="1" x14ac:dyDescent="0.25">
      <c r="A134"/>
      <c r="Z134" s="8"/>
    </row>
    <row r="135" spans="1:26" ht="20.100000000000001" customHeight="1" x14ac:dyDescent="0.25">
      <c r="A135"/>
      <c r="Z135" s="8"/>
    </row>
    <row r="136" spans="1:26" ht="20.100000000000001" customHeight="1" x14ac:dyDescent="0.25">
      <c r="A136"/>
      <c r="Z136" s="8"/>
    </row>
    <row r="137" spans="1:26" ht="20.100000000000001" customHeight="1" x14ac:dyDescent="0.25">
      <c r="A137"/>
      <c r="Z137" s="8"/>
    </row>
    <row r="138" spans="1:26" ht="20.100000000000001" customHeight="1" x14ac:dyDescent="0.25">
      <c r="A138"/>
      <c r="Z138" s="8"/>
    </row>
    <row r="139" spans="1:26" ht="20.100000000000001" customHeight="1" x14ac:dyDescent="0.25">
      <c r="A139"/>
      <c r="Z139" s="8"/>
    </row>
    <row r="140" spans="1:26" ht="20.100000000000001" customHeight="1" x14ac:dyDescent="0.25">
      <c r="A140"/>
      <c r="Z140" s="8"/>
    </row>
    <row r="141" spans="1:26" ht="20.100000000000001" customHeight="1" x14ac:dyDescent="0.25">
      <c r="A141"/>
      <c r="Z141" s="8"/>
    </row>
    <row r="142" spans="1:26" ht="20.100000000000001" customHeight="1" x14ac:dyDescent="0.25">
      <c r="A142"/>
      <c r="Z142" s="8"/>
    </row>
    <row r="143" spans="1:26" ht="20.100000000000001" customHeight="1" x14ac:dyDescent="0.25">
      <c r="A143"/>
      <c r="Z143" s="8"/>
    </row>
    <row r="144" spans="1:26" ht="20.100000000000001" customHeight="1" x14ac:dyDescent="0.25">
      <c r="A144"/>
      <c r="Z144" s="8"/>
    </row>
    <row r="145" spans="1:26" ht="20.100000000000001" customHeight="1" x14ac:dyDescent="0.25">
      <c r="A145"/>
      <c r="Z145" s="8"/>
    </row>
    <row r="146" spans="1:26" ht="20.100000000000001" customHeight="1" x14ac:dyDescent="0.25">
      <c r="A146"/>
      <c r="Z146" s="8"/>
    </row>
    <row r="147" spans="1:26" ht="20.100000000000001" customHeight="1" x14ac:dyDescent="0.25">
      <c r="A147"/>
      <c r="Z147" s="8"/>
    </row>
    <row r="148" spans="1:26" ht="20.100000000000001" customHeight="1" x14ac:dyDescent="0.25">
      <c r="A148"/>
      <c r="Z148" s="8"/>
    </row>
    <row r="149" spans="1:26" ht="20.100000000000001" customHeight="1" x14ac:dyDescent="0.25">
      <c r="A149"/>
      <c r="Z149" s="8"/>
    </row>
    <row r="150" spans="1:26" ht="20.100000000000001" customHeight="1" x14ac:dyDescent="0.25">
      <c r="A150"/>
      <c r="Z150" s="8"/>
    </row>
    <row r="151" spans="1:26" ht="20.100000000000001" customHeight="1" x14ac:dyDescent="0.25">
      <c r="A151"/>
      <c r="Z151" s="8"/>
    </row>
    <row r="152" spans="1:26" ht="20.100000000000001" customHeight="1" x14ac:dyDescent="0.25">
      <c r="A152"/>
      <c r="Z152" s="8"/>
    </row>
    <row r="153" spans="1:26" ht="20.100000000000001" customHeight="1" x14ac:dyDescent="0.25">
      <c r="A153"/>
      <c r="Z153" s="8"/>
    </row>
    <row r="154" spans="1:26" ht="20.100000000000001" customHeight="1" x14ac:dyDescent="0.25">
      <c r="A154"/>
      <c r="Z154" s="8"/>
    </row>
    <row r="155" spans="1:26" ht="20.100000000000001" customHeight="1" x14ac:dyDescent="0.25">
      <c r="A155"/>
      <c r="Z155" s="8"/>
    </row>
    <row r="156" spans="1:26" ht="20.100000000000001" customHeight="1" x14ac:dyDescent="0.25">
      <c r="A156"/>
      <c r="Z156" s="8"/>
    </row>
    <row r="157" spans="1:26" ht="20.100000000000001" customHeight="1" x14ac:dyDescent="0.25">
      <c r="A157"/>
      <c r="Z157" s="8"/>
    </row>
    <row r="158" spans="1:26" ht="20.100000000000001" customHeight="1" x14ac:dyDescent="0.25">
      <c r="A158"/>
      <c r="Z158" s="8"/>
    </row>
    <row r="159" spans="1:26" ht="20.100000000000001" customHeight="1" x14ac:dyDescent="0.25">
      <c r="A159"/>
      <c r="Z159" s="8"/>
    </row>
    <row r="160" spans="1:26" ht="20.100000000000001" customHeight="1" x14ac:dyDescent="0.25">
      <c r="A160"/>
      <c r="Z160" s="8"/>
    </row>
    <row r="161" spans="26:26" ht="20.100000000000001" customHeight="1" x14ac:dyDescent="0.25">
      <c r="Z161" s="8"/>
    </row>
    <row r="162" spans="26:26" ht="20.100000000000001" customHeight="1" x14ac:dyDescent="0.25">
      <c r="Z162" s="8"/>
    </row>
    <row r="163" spans="26:26" ht="20.100000000000001" customHeight="1" x14ac:dyDescent="0.25">
      <c r="Z163" s="8"/>
    </row>
    <row r="164" spans="26:26" ht="20.100000000000001" customHeight="1" x14ac:dyDescent="0.25">
      <c r="Z164" s="8"/>
    </row>
    <row r="165" spans="26:26" ht="20.100000000000001" customHeight="1" x14ac:dyDescent="0.25">
      <c r="Z165" s="8"/>
    </row>
    <row r="166" spans="26:26" x14ac:dyDescent="0.25">
      <c r="Z166" s="8"/>
    </row>
    <row r="167" spans="26:26" x14ac:dyDescent="0.25">
      <c r="Z167" s="8"/>
    </row>
    <row r="168" spans="26:26" x14ac:dyDescent="0.25">
      <c r="Z168" s="8"/>
    </row>
    <row r="169" spans="26:26" x14ac:dyDescent="0.25">
      <c r="Z169" s="8"/>
    </row>
    <row r="170" spans="26:26" x14ac:dyDescent="0.25">
      <c r="Z170" s="8"/>
    </row>
    <row r="171" spans="26:26" x14ac:dyDescent="0.25">
      <c r="Z171" s="8"/>
    </row>
    <row r="172" spans="26:26" x14ac:dyDescent="0.25">
      <c r="Z172" s="8"/>
    </row>
    <row r="173" spans="26:26" x14ac:dyDescent="0.25">
      <c r="Z173" s="8"/>
    </row>
    <row r="174" spans="26:26" x14ac:dyDescent="0.25">
      <c r="Z174" s="8"/>
    </row>
    <row r="175" spans="26:26" x14ac:dyDescent="0.25">
      <c r="Z175" s="8"/>
    </row>
    <row r="176" spans="26:26" x14ac:dyDescent="0.25">
      <c r="Z176" s="8"/>
    </row>
    <row r="177" spans="26:26" x14ac:dyDescent="0.25">
      <c r="Z177" s="8"/>
    </row>
    <row r="178" spans="26:26" x14ac:dyDescent="0.25">
      <c r="Z178" s="8"/>
    </row>
    <row r="179" spans="26:26" x14ac:dyDescent="0.25">
      <c r="Z179" s="8"/>
    </row>
    <row r="180" spans="26:26" x14ac:dyDescent="0.25">
      <c r="Z180" s="8"/>
    </row>
    <row r="181" spans="26:26" x14ac:dyDescent="0.25">
      <c r="Z181" s="8"/>
    </row>
    <row r="182" spans="26:26" x14ac:dyDescent="0.25">
      <c r="Z182" s="8"/>
    </row>
    <row r="183" spans="26:26" x14ac:dyDescent="0.25">
      <c r="Z183" s="8"/>
    </row>
    <row r="184" spans="26:26" x14ac:dyDescent="0.25">
      <c r="Z184" s="8"/>
    </row>
    <row r="185" spans="26:26" x14ac:dyDescent="0.25">
      <c r="Z185" s="8"/>
    </row>
    <row r="186" spans="26:26" x14ac:dyDescent="0.25">
      <c r="Z186" s="8"/>
    </row>
    <row r="187" spans="26:26" x14ac:dyDescent="0.25">
      <c r="Z187" s="8"/>
    </row>
    <row r="188" spans="26:26" x14ac:dyDescent="0.25">
      <c r="Z188" s="8"/>
    </row>
    <row r="189" spans="26:26" x14ac:dyDescent="0.25">
      <c r="Z189" s="8"/>
    </row>
    <row r="190" spans="26:26" x14ac:dyDescent="0.25">
      <c r="Z190" s="8"/>
    </row>
    <row r="191" spans="26:26" x14ac:dyDescent="0.25">
      <c r="Z191" s="8"/>
    </row>
    <row r="192" spans="26:26" x14ac:dyDescent="0.25">
      <c r="Z192" s="8"/>
    </row>
    <row r="193" spans="26:26" x14ac:dyDescent="0.25">
      <c r="Z193" s="8"/>
    </row>
    <row r="194" spans="26:26" x14ac:dyDescent="0.25">
      <c r="Z194" s="8"/>
    </row>
    <row r="195" spans="26:26" x14ac:dyDescent="0.25">
      <c r="Z195" s="8"/>
    </row>
    <row r="196" spans="26:26" x14ac:dyDescent="0.25">
      <c r="Z196" s="8"/>
    </row>
    <row r="197" spans="26:26" x14ac:dyDescent="0.25">
      <c r="Z197" s="8"/>
    </row>
    <row r="198" spans="26:26" x14ac:dyDescent="0.25">
      <c r="Z198" s="8"/>
    </row>
    <row r="199" spans="26:26" x14ac:dyDescent="0.25">
      <c r="Z199" s="8"/>
    </row>
    <row r="200" spans="26:26" x14ac:dyDescent="0.25">
      <c r="Z200" s="8"/>
    </row>
    <row r="201" spans="26:26" x14ac:dyDescent="0.25">
      <c r="Z201" s="8"/>
    </row>
    <row r="202" spans="26:26" x14ac:dyDescent="0.25">
      <c r="Z202" s="8"/>
    </row>
    <row r="203" spans="26:26" x14ac:dyDescent="0.25">
      <c r="Z203" s="8"/>
    </row>
    <row r="204" spans="26:26" x14ac:dyDescent="0.25">
      <c r="Z204" s="8"/>
    </row>
    <row r="205" spans="26:26" x14ac:dyDescent="0.25">
      <c r="Z205" s="8"/>
    </row>
    <row r="206" spans="26:26" x14ac:dyDescent="0.25">
      <c r="Z206" s="8"/>
    </row>
    <row r="207" spans="26:26" x14ac:dyDescent="0.25">
      <c r="Z207" s="8"/>
    </row>
    <row r="208" spans="26:26" x14ac:dyDescent="0.25">
      <c r="Z208" s="8"/>
    </row>
    <row r="209" spans="12:26" x14ac:dyDescent="0.25">
      <c r="Z209" s="8"/>
    </row>
    <row r="210" spans="12:26" x14ac:dyDescent="0.25">
      <c r="L210" s="63"/>
      <c r="Z210" s="8"/>
    </row>
    <row r="211" spans="12:26" x14ac:dyDescent="0.25">
      <c r="L211" s="63"/>
      <c r="Z211" s="8"/>
    </row>
    <row r="212" spans="12:26" x14ac:dyDescent="0.25">
      <c r="L212" s="63"/>
      <c r="Z212" s="8"/>
    </row>
    <row r="213" spans="12:26" x14ac:dyDescent="0.25">
      <c r="L213" s="63"/>
      <c r="Z213" s="8"/>
    </row>
    <row r="214" spans="12:26" x14ac:dyDescent="0.25">
      <c r="L214" s="63"/>
      <c r="Z214" s="8"/>
    </row>
    <row r="215" spans="12:26" x14ac:dyDescent="0.25">
      <c r="Z215" s="8"/>
    </row>
    <row r="216" spans="12:26" x14ac:dyDescent="0.25">
      <c r="L216" s="63"/>
      <c r="Z216" s="8"/>
    </row>
    <row r="217" spans="12:26" x14ac:dyDescent="0.25">
      <c r="Z217" s="8"/>
    </row>
    <row r="218" spans="12:26" x14ac:dyDescent="0.25">
      <c r="L218" s="63"/>
      <c r="Z218" s="8"/>
    </row>
    <row r="219" spans="12:26" x14ac:dyDescent="0.25">
      <c r="L219" s="63"/>
      <c r="Z219" s="8"/>
    </row>
    <row r="220" spans="12:26" x14ac:dyDescent="0.25">
      <c r="L220" s="63"/>
      <c r="Z220" s="8"/>
    </row>
    <row r="221" spans="12:26" x14ac:dyDescent="0.25">
      <c r="L221" s="63"/>
      <c r="Z221" s="8"/>
    </row>
    <row r="222" spans="12:26" x14ac:dyDescent="0.25">
      <c r="Z222" s="8"/>
    </row>
    <row r="223" spans="12:26" x14ac:dyDescent="0.25">
      <c r="L223" s="63"/>
      <c r="Z223" s="8"/>
    </row>
    <row r="224" spans="12:26" x14ac:dyDescent="0.25">
      <c r="Z224" s="8"/>
    </row>
    <row r="225" spans="12:26" x14ac:dyDescent="0.25">
      <c r="Z225" s="8"/>
    </row>
    <row r="226" spans="12:26" x14ac:dyDescent="0.25">
      <c r="Z226" s="8"/>
    </row>
    <row r="227" spans="12:26" x14ac:dyDescent="0.25">
      <c r="Z227" s="8"/>
    </row>
    <row r="228" spans="12:26" x14ac:dyDescent="0.25">
      <c r="Z228" s="8"/>
    </row>
    <row r="229" spans="12:26" x14ac:dyDescent="0.25">
      <c r="Z229" s="8"/>
    </row>
    <row r="230" spans="12:26" x14ac:dyDescent="0.25">
      <c r="Z230" s="8"/>
    </row>
    <row r="231" spans="12:26" x14ac:dyDescent="0.25">
      <c r="L231" s="63"/>
      <c r="Z231" s="8"/>
    </row>
    <row r="232" spans="12:26" x14ac:dyDescent="0.25">
      <c r="L232" s="63"/>
      <c r="Z232" s="8"/>
    </row>
    <row r="233" spans="12:26" x14ac:dyDescent="0.25">
      <c r="L233" s="63"/>
      <c r="Z233" s="8"/>
    </row>
    <row r="234" spans="12:26" x14ac:dyDescent="0.25">
      <c r="Z234" s="8"/>
    </row>
    <row r="235" spans="12:26" x14ac:dyDescent="0.25">
      <c r="Z235" s="8"/>
    </row>
    <row r="236" spans="12:26" x14ac:dyDescent="0.25">
      <c r="L236" s="63"/>
      <c r="Z236" s="8"/>
    </row>
    <row r="237" spans="12:26" x14ac:dyDescent="0.25">
      <c r="L237" s="63"/>
      <c r="Z237" s="8"/>
    </row>
    <row r="238" spans="12:26" x14ac:dyDescent="0.25">
      <c r="L238" s="63"/>
      <c r="Z238" s="8"/>
    </row>
    <row r="239" spans="12:26" x14ac:dyDescent="0.25">
      <c r="Z239" s="8"/>
    </row>
    <row r="240" spans="12:26" x14ac:dyDescent="0.25">
      <c r="Z240" s="8"/>
    </row>
    <row r="241" spans="11:26" x14ac:dyDescent="0.25">
      <c r="L241" s="63"/>
      <c r="Z241" s="8"/>
    </row>
    <row r="242" spans="11:26" x14ac:dyDescent="0.25">
      <c r="L242" s="63"/>
      <c r="Z242" s="8"/>
    </row>
    <row r="243" spans="11:26" x14ac:dyDescent="0.25">
      <c r="L243" s="63"/>
      <c r="Z243" s="8"/>
    </row>
    <row r="244" spans="11:26" x14ac:dyDescent="0.25">
      <c r="Z244" s="8"/>
    </row>
    <row r="245" spans="11:26" x14ac:dyDescent="0.25">
      <c r="Z245" s="8"/>
    </row>
    <row r="246" spans="11:26" x14ac:dyDescent="0.25">
      <c r="L246" s="63"/>
      <c r="Z246" s="8"/>
    </row>
    <row r="247" spans="11:26" x14ac:dyDescent="0.25">
      <c r="K247" s="63"/>
      <c r="L247" s="63"/>
      <c r="Z247" s="8"/>
    </row>
    <row r="248" spans="11:26" x14ac:dyDescent="0.25">
      <c r="L248" s="63"/>
      <c r="Z248" s="8"/>
    </row>
    <row r="249" spans="11:26" x14ac:dyDescent="0.25">
      <c r="Z249" s="8"/>
    </row>
    <row r="250" spans="11:26" x14ac:dyDescent="0.25">
      <c r="Z250" s="8"/>
    </row>
    <row r="251" spans="11:26" x14ac:dyDescent="0.25">
      <c r="Z251" s="8"/>
    </row>
    <row r="252" spans="11:26" x14ac:dyDescent="0.25">
      <c r="K252" s="63"/>
      <c r="Z252" s="8"/>
    </row>
    <row r="253" spans="11:26" x14ac:dyDescent="0.25">
      <c r="Z253" s="8"/>
    </row>
    <row r="254" spans="11:26" x14ac:dyDescent="0.25">
      <c r="Z254" s="8"/>
    </row>
    <row r="255" spans="11:26" x14ac:dyDescent="0.25">
      <c r="L255" s="63"/>
      <c r="Z255" s="8"/>
    </row>
    <row r="256" spans="11:26" x14ac:dyDescent="0.25">
      <c r="L256" s="63"/>
      <c r="Z256" s="8"/>
    </row>
    <row r="257" spans="11:26" x14ac:dyDescent="0.25">
      <c r="K257" s="63"/>
      <c r="L257" s="63"/>
      <c r="Z257" s="8"/>
    </row>
    <row r="258" spans="11:26" x14ac:dyDescent="0.25">
      <c r="Z258" s="8"/>
    </row>
    <row r="259" spans="11:26" x14ac:dyDescent="0.25">
      <c r="Z259" s="8"/>
    </row>
    <row r="260" spans="11:26" x14ac:dyDescent="0.25">
      <c r="L260" s="63"/>
      <c r="Z260" s="8"/>
    </row>
    <row r="261" spans="11:26" x14ac:dyDescent="0.25">
      <c r="L261" s="63"/>
      <c r="Z261" s="8"/>
    </row>
    <row r="262" spans="11:26" x14ac:dyDescent="0.25">
      <c r="K262" s="63"/>
      <c r="L262" s="63"/>
      <c r="Z262" s="8"/>
    </row>
    <row r="263" spans="11:26" x14ac:dyDescent="0.25">
      <c r="K263" s="63"/>
      <c r="Z263" s="8"/>
    </row>
    <row r="264" spans="11:26" x14ac:dyDescent="0.25">
      <c r="K264" s="63"/>
      <c r="Z264" s="8"/>
    </row>
    <row r="265" spans="11:26" x14ac:dyDescent="0.25">
      <c r="K265" s="63"/>
      <c r="L265" s="63"/>
      <c r="Z265" s="8"/>
    </row>
    <row r="266" spans="11:26" x14ac:dyDescent="0.25">
      <c r="K266" s="63"/>
      <c r="L266" s="63"/>
      <c r="Z266" s="8"/>
    </row>
    <row r="267" spans="11:26" x14ac:dyDescent="0.25">
      <c r="L267" s="63"/>
      <c r="Z267" s="8"/>
    </row>
    <row r="268" spans="11:26" x14ac:dyDescent="0.25">
      <c r="K268" s="63"/>
      <c r="Z268" s="8"/>
    </row>
    <row r="269" spans="11:26" x14ac:dyDescent="0.25">
      <c r="Z269" s="8"/>
    </row>
    <row r="270" spans="11:26" x14ac:dyDescent="0.25">
      <c r="K270" s="63"/>
      <c r="L270" s="63"/>
      <c r="Z270" s="8"/>
    </row>
    <row r="271" spans="11:26" x14ac:dyDescent="0.25">
      <c r="K271" s="63"/>
      <c r="L271" s="63"/>
      <c r="Z271" s="8"/>
    </row>
    <row r="272" spans="11:26" x14ac:dyDescent="0.25">
      <c r="K272" s="63"/>
      <c r="L272" s="63"/>
      <c r="Z272" s="8"/>
    </row>
    <row r="273" spans="11:26" x14ac:dyDescent="0.25">
      <c r="K273" s="63"/>
      <c r="Z273" s="8"/>
    </row>
    <row r="274" spans="11:26" x14ac:dyDescent="0.25">
      <c r="Z274" s="8"/>
    </row>
    <row r="275" spans="11:26" x14ac:dyDescent="0.25">
      <c r="K275" s="63"/>
      <c r="Z275" s="8"/>
    </row>
    <row r="276" spans="11:26" x14ac:dyDescent="0.25">
      <c r="Z276" s="8"/>
    </row>
    <row r="277" spans="11:26" x14ac:dyDescent="0.25">
      <c r="Z277" s="8"/>
    </row>
    <row r="278" spans="11:26" x14ac:dyDescent="0.25">
      <c r="Z278" s="8"/>
    </row>
    <row r="279" spans="11:26" x14ac:dyDescent="0.25">
      <c r="Z279" s="8"/>
    </row>
    <row r="280" spans="11:26" x14ac:dyDescent="0.25">
      <c r="Z280" s="8"/>
    </row>
    <row r="281" spans="11:26" x14ac:dyDescent="0.25">
      <c r="K281" s="63"/>
      <c r="Z281" s="8"/>
    </row>
    <row r="282" spans="11:26" x14ac:dyDescent="0.25">
      <c r="Z282" s="8"/>
    </row>
    <row r="283" spans="11:26" x14ac:dyDescent="0.25">
      <c r="Z283" s="8"/>
    </row>
    <row r="284" spans="11:26" x14ac:dyDescent="0.25">
      <c r="Z284" s="8"/>
    </row>
    <row r="286" spans="11:26" x14ac:dyDescent="0.25">
      <c r="K286" s="63"/>
    </row>
    <row r="291" spans="11:11" x14ac:dyDescent="0.25">
      <c r="K291" s="63"/>
    </row>
    <row r="296" spans="11:11" x14ac:dyDescent="0.25">
      <c r="K296" s="63"/>
    </row>
    <row r="297" spans="11:11" x14ac:dyDescent="0.25">
      <c r="K297" s="63"/>
    </row>
    <row r="298" spans="11:11" x14ac:dyDescent="0.25">
      <c r="K298" s="63"/>
    </row>
    <row r="299" spans="11:11" x14ac:dyDescent="0.25">
      <c r="K299" s="63"/>
    </row>
    <row r="300" spans="11:11" x14ac:dyDescent="0.25">
      <c r="K300" s="63"/>
    </row>
    <row r="302" spans="11:11" x14ac:dyDescent="0.25">
      <c r="K302" s="63"/>
    </row>
    <row r="304" spans="11:11" x14ac:dyDescent="0.25">
      <c r="K304" s="63"/>
    </row>
    <row r="305" spans="11:11" x14ac:dyDescent="0.25">
      <c r="K305" s="63"/>
    </row>
    <row r="306" spans="11:11" x14ac:dyDescent="0.25">
      <c r="K306" s="63"/>
    </row>
    <row r="307" spans="11:11" x14ac:dyDescent="0.25">
      <c r="K307" s="63"/>
    </row>
    <row r="309" spans="11:11" x14ac:dyDescent="0.25">
      <c r="K309" s="63"/>
    </row>
    <row r="317" spans="11:11" x14ac:dyDescent="0.25">
      <c r="K317" s="63"/>
    </row>
    <row r="318" spans="11:11" x14ac:dyDescent="0.25">
      <c r="K318" s="63"/>
    </row>
    <row r="319" spans="11:11" x14ac:dyDescent="0.25">
      <c r="K319" s="63"/>
    </row>
    <row r="322" spans="11:11" x14ac:dyDescent="0.25">
      <c r="K322" s="63"/>
    </row>
    <row r="323" spans="11:11" x14ac:dyDescent="0.25">
      <c r="K323" s="63"/>
    </row>
    <row r="324" spans="11:11" x14ac:dyDescent="0.25">
      <c r="K324" s="63"/>
    </row>
    <row r="327" spans="11:11" x14ac:dyDescent="0.25">
      <c r="K327" s="63"/>
    </row>
    <row r="328" spans="11:11" x14ac:dyDescent="0.25">
      <c r="K328" s="63"/>
    </row>
    <row r="329" spans="11:11" x14ac:dyDescent="0.25">
      <c r="K329" s="63"/>
    </row>
    <row r="332" spans="11:11" x14ac:dyDescent="0.25">
      <c r="K332" s="63"/>
    </row>
    <row r="333" spans="11:11" x14ac:dyDescent="0.25">
      <c r="K333" s="63"/>
    </row>
    <row r="334" spans="11:11" x14ac:dyDescent="0.25">
      <c r="K334" s="63"/>
    </row>
    <row r="341" spans="11:11" x14ac:dyDescent="0.25">
      <c r="K341" s="63"/>
    </row>
    <row r="342" spans="11:11" x14ac:dyDescent="0.25">
      <c r="K342" s="63"/>
    </row>
    <row r="343" spans="11:11" x14ac:dyDescent="0.25">
      <c r="K343" s="63"/>
    </row>
    <row r="346" spans="11:11" x14ac:dyDescent="0.25">
      <c r="K346" s="63"/>
    </row>
    <row r="347" spans="11:11" x14ac:dyDescent="0.25">
      <c r="K347" s="63"/>
    </row>
    <row r="348" spans="11:11" x14ac:dyDescent="0.25">
      <c r="K348" s="63"/>
    </row>
    <row r="351" spans="11:11" x14ac:dyDescent="0.25">
      <c r="K351" s="63"/>
    </row>
    <row r="352" spans="11:11" x14ac:dyDescent="0.25">
      <c r="K352" s="63"/>
    </row>
    <row r="353" spans="4:11" x14ac:dyDescent="0.25">
      <c r="K353" s="63"/>
    </row>
    <row r="356" spans="4:11" x14ac:dyDescent="0.25">
      <c r="K356" s="63"/>
    </row>
    <row r="357" spans="4:11" x14ac:dyDescent="0.25">
      <c r="K357" s="63"/>
    </row>
    <row r="358" spans="4:11" x14ac:dyDescent="0.25">
      <c r="K358" s="63"/>
    </row>
    <row r="361" spans="4:11" x14ac:dyDescent="0.25">
      <c r="D361" s="54"/>
    </row>
  </sheetData>
  <phoneticPr fontId="53" type="noConversion"/>
  <conditionalFormatting sqref="F126:F127">
    <cfRule type="cellIs" dxfId="47" priority="20" operator="lessThan">
      <formula>0</formula>
    </cfRule>
  </conditionalFormatting>
  <conditionalFormatting sqref="F138:F139">
    <cfRule type="cellIs" dxfId="46" priority="19" operator="lessThan">
      <formula>0</formula>
    </cfRule>
  </conditionalFormatting>
  <conditionalFormatting sqref="F150:F151">
    <cfRule type="cellIs" dxfId="45" priority="18" operator="lessThan">
      <formula>0</formula>
    </cfRule>
  </conditionalFormatting>
  <conditionalFormatting sqref="F162:F163">
    <cfRule type="cellIs" dxfId="44" priority="17" operator="lessThan">
      <formula>0</formula>
    </cfRule>
  </conditionalFormatting>
  <conditionalFormatting sqref="F250:F251">
    <cfRule type="cellIs" dxfId="43" priority="30" operator="lessThan">
      <formula>0</formula>
    </cfRule>
  </conditionalFormatting>
  <conditionalFormatting sqref="F255:F256">
    <cfRule type="cellIs" dxfId="42" priority="29" operator="lessThan">
      <formula>0</formula>
    </cfRule>
  </conditionalFormatting>
  <conditionalFormatting sqref="F260:F261">
    <cfRule type="cellIs" dxfId="41" priority="28" operator="lessThan">
      <formula>0</formula>
    </cfRule>
  </conditionalFormatting>
  <conditionalFormatting sqref="F284:F285">
    <cfRule type="cellIs" dxfId="40" priority="27" operator="lessThan">
      <formula>0</formula>
    </cfRule>
  </conditionalFormatting>
  <conditionalFormatting sqref="F289:F290">
    <cfRule type="cellIs" dxfId="39" priority="26" operator="lessThan">
      <formula>0</formula>
    </cfRule>
  </conditionalFormatting>
  <conditionalFormatting sqref="F294:F295">
    <cfRule type="cellIs" dxfId="38" priority="25" operator="lessThan">
      <formula>0</formula>
    </cfRule>
  </conditionalFormatting>
  <conditionalFormatting sqref="H53">
    <cfRule type="cellIs" dxfId="37" priority="1" operator="lessThan">
      <formula>0</formula>
    </cfRule>
  </conditionalFormatting>
  <conditionalFormatting sqref="I39 I51:I52 O53 N54 I57 I59:I61 I63:I64">
    <cfRule type="cellIs" dxfId="36" priority="3" operator="lessThan">
      <formula>0</formula>
    </cfRule>
  </conditionalFormatting>
  <conditionalFormatting sqref="I41:I44 I46:I47 F58">
    <cfRule type="cellIs" dxfId="35" priority="2" operator="lessThan">
      <formula>0</formula>
    </cfRule>
  </conditionalFormatting>
  <conditionalFormatting sqref="I76:I78">
    <cfRule type="cellIs" dxfId="34" priority="6" operator="lessThan">
      <formula>0</formula>
    </cfRule>
  </conditionalFormatting>
  <conditionalFormatting sqref="I82:I85">
    <cfRule type="cellIs" dxfId="33" priority="5" operator="lessThan">
      <formula>0</formula>
    </cfRule>
  </conditionalFormatting>
  <conditionalFormatting sqref="I89:I93">
    <cfRule type="cellIs" dxfId="32" priority="4" operator="lessThan">
      <formula>0</formula>
    </cfRule>
  </conditionalFormatting>
  <conditionalFormatting sqref="I204:J204 E210:G210 I210:J210 K247 J248 K252 J253 K257 J258 K262:K266 J263:J267 K268 J269 K270:K273 J271:J274 K275 J276 K281 J282 K286 J287 K291 J292 K296:K300 J297:J301 K302 J303 K304:K307 J305:J308 K309 J310">
    <cfRule type="cellIs" dxfId="31" priority="24" operator="lessThan">
      <formula>0</formula>
    </cfRule>
  </conditionalFormatting>
  <conditionalFormatting sqref="J152">
    <cfRule type="cellIs" dxfId="30" priority="21" operator="lessThan">
      <formula>0</formula>
    </cfRule>
  </conditionalFormatting>
  <conditionalFormatting sqref="K184:L184 K188:L189 K192:L193 K198:L199 K202:L203 K209:L209">
    <cfRule type="cellIs" dxfId="29" priority="22" operator="lessThan">
      <formula>0</formula>
    </cfRule>
  </conditionalFormatting>
  <conditionalFormatting sqref="L117:L120">
    <cfRule type="cellIs" dxfId="28" priority="11" operator="lessThan">
      <formula>0</formula>
    </cfRule>
  </conditionalFormatting>
  <conditionalFormatting sqref="L123">
    <cfRule type="cellIs" dxfId="27" priority="16" operator="lessThan">
      <formula>0</formula>
    </cfRule>
  </conditionalFormatting>
  <conditionalFormatting sqref="L129:L132">
    <cfRule type="cellIs" dxfId="26" priority="10" operator="lessThan">
      <formula>0</formula>
    </cfRule>
  </conditionalFormatting>
  <conditionalFormatting sqref="L135">
    <cfRule type="cellIs" dxfId="25" priority="15" operator="lessThan">
      <formula>0</formula>
    </cfRule>
  </conditionalFormatting>
  <conditionalFormatting sqref="L141:L144">
    <cfRule type="cellIs" dxfId="24" priority="9" operator="lessThan">
      <formula>0</formula>
    </cfRule>
  </conditionalFormatting>
  <conditionalFormatting sqref="L147">
    <cfRule type="cellIs" dxfId="23" priority="14" operator="lessThan">
      <formula>0</formula>
    </cfRule>
  </conditionalFormatting>
  <conditionalFormatting sqref="L153:L156">
    <cfRule type="cellIs" dxfId="22" priority="8" operator="lessThan">
      <formula>0</formula>
    </cfRule>
  </conditionalFormatting>
  <conditionalFormatting sqref="L159">
    <cfRule type="cellIs" dxfId="21" priority="13" operator="lessThan">
      <formula>0</formula>
    </cfRule>
  </conditionalFormatting>
  <conditionalFormatting sqref="L163:L164">
    <cfRule type="cellIs" dxfId="20" priority="12" operator="lessThan">
      <formula>0</formula>
    </cfRule>
  </conditionalFormatting>
  <conditionalFormatting sqref="L210:L214 L216 L218:L221 L223 J228:J230 J233:J235">
    <cfRule type="cellIs" dxfId="19" priority="31" operator="lessThan">
      <formula>0</formula>
    </cfRule>
  </conditionalFormatting>
  <conditionalFormatting sqref="M104 I124:J124">
    <cfRule type="cellIs" dxfId="18" priority="23" operator="lessThan">
      <formula>0</formula>
    </cfRule>
  </conditionalFormatting>
  <dataValidations count="7">
    <dataValidation type="list" allowBlank="1" showInputMessage="1" showErrorMessage="1" sqref="D54:D56" xr:uid="{40ACDE91-A471-496D-8601-B66CB483F88A}">
      <formula1>INDIRECT("Table_SourceData_OrganicFertiliserTypes[Organic fertiliser type]")</formula1>
    </dataValidation>
    <dataValidation type="list" allowBlank="1" showInputMessage="1" showErrorMessage="1" sqref="H25:H34 J25:J34 L25:L34 N25:N34" xr:uid="{1689F3EE-EAC1-48E1-8764-9FF8D5A2B34A}">
      <formula1>INDIRECT("Table_Fertiliser_ChemicalCompounds[Fertiliser type f]")</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5:R34" xr:uid="{2C7DA5E1-A22C-4EAB-AC1A-9825EB493EC7}">
      <formula1>INDIRECT("Table_SourceData_Fertiliser_UreaAmmoniaSources[Source]")</formula1>
    </dataValidation>
    <dataValidation type="list" allowBlank="1" showInputMessage="1" showErrorMessage="1" sqref="D12:D21" xr:uid="{4308C766-9087-4F6D-A778-4086E75E9D91}">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D90" sqref="D90:H102"/>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93" t="s">
        <v>860</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284</v>
      </c>
      <c r="E5" s="7"/>
      <c r="F5" s="7"/>
      <c r="G5" s="7"/>
      <c r="H5" s="7"/>
      <c r="I5" s="7"/>
      <c r="J5" s="7"/>
    </row>
    <row r="6" spans="1:19" ht="20.100000000000001" customHeight="1" x14ac:dyDescent="0.25">
      <c r="A6"/>
      <c r="C6" s="8"/>
    </row>
    <row r="7" spans="1:19" ht="20.100000000000001" customHeight="1" x14ac:dyDescent="0.25">
      <c r="A7" s="19" t="s">
        <v>67</v>
      </c>
      <c r="C7" s="8"/>
      <c r="D7" s="46" t="s">
        <v>168</v>
      </c>
      <c r="E7" s="46" t="s">
        <v>339</v>
      </c>
      <c r="F7" s="46" t="s">
        <v>342</v>
      </c>
    </row>
    <row r="8" spans="1:19" ht="20.100000000000001" customHeight="1" x14ac:dyDescent="0.25">
      <c r="A8" s="16" t="str">
        <f>HYPERLINK("#'Input - Site'!A1", "Site")</f>
        <v>Site</v>
      </c>
      <c r="C8" s="8"/>
      <c r="D8" s="74" t="s">
        <v>379</v>
      </c>
      <c r="E8" s="47" t="s">
        <v>341</v>
      </c>
      <c r="F8" s="64">
        <v>100</v>
      </c>
    </row>
    <row r="9" spans="1:19" ht="20.100000000000001" customHeight="1" x14ac:dyDescent="0.25">
      <c r="A9" s="16" t="str">
        <f>HYPERLINK("#'Input - Fuel'!A1", "Fuel")</f>
        <v>Fuel</v>
      </c>
      <c r="C9" s="8"/>
      <c r="D9" s="74" t="s">
        <v>378</v>
      </c>
      <c r="E9" s="140" t="s">
        <v>340</v>
      </c>
      <c r="F9" s="141">
        <v>100</v>
      </c>
    </row>
    <row r="10" spans="1:19" ht="20.100000000000001" customHeight="1" x14ac:dyDescent="0.25">
      <c r="A10" s="16" t="str">
        <f>HYPERLINK("#'Input - Fertiliser'!A1", "Fertiliser")</f>
        <v>Fertiliser</v>
      </c>
      <c r="D10" s="74" t="s">
        <v>285</v>
      </c>
      <c r="E10" s="140" t="s">
        <v>286</v>
      </c>
      <c r="F10" s="141">
        <v>100</v>
      </c>
    </row>
    <row r="11" spans="1:19" ht="20.100000000000001" customHeight="1" x14ac:dyDescent="0.25">
      <c r="A11" s="42" t="str">
        <f>HYPERLINK("#'Input - Farm Inputs'!A1", "Farm Inputs")</f>
        <v>Farm Inputs</v>
      </c>
      <c r="D11" s="74" t="s">
        <v>285</v>
      </c>
      <c r="E11" s="140" t="s">
        <v>286</v>
      </c>
      <c r="F11" s="141">
        <v>100</v>
      </c>
    </row>
    <row r="12" spans="1:19" ht="20.100000000000001" customHeight="1" x14ac:dyDescent="0.25">
      <c r="A12" s="16" t="str">
        <f>HYPERLINK("#'Input - Livestock purchases'!A1", "Livestock purchases")</f>
        <v>Livestock purchases</v>
      </c>
      <c r="C12" s="8"/>
      <c r="D12" s="74" t="s">
        <v>379</v>
      </c>
      <c r="E12" s="140" t="s">
        <v>341</v>
      </c>
      <c r="F12" s="141">
        <v>100</v>
      </c>
    </row>
    <row r="13" spans="1:19" ht="20.100000000000001" customHeight="1" x14ac:dyDescent="0.25">
      <c r="A13" s="16" t="str">
        <f>HYPERLINK("#'Input - Freight'!A1", "Freight")</f>
        <v>Freight</v>
      </c>
      <c r="C13" s="8"/>
      <c r="D13" s="74" t="s">
        <v>379</v>
      </c>
      <c r="E13" s="140" t="s">
        <v>341</v>
      </c>
      <c r="F13" s="141">
        <v>100</v>
      </c>
    </row>
    <row r="14" spans="1:19" ht="20.100000000000001" customHeight="1" x14ac:dyDescent="0.25">
      <c r="A14" s="16" t="str">
        <f>HYPERLINK("#'Input - Solid waste'!A1", "Solid waste")</f>
        <v>Solid waste</v>
      </c>
      <c r="D14" s="74"/>
      <c r="E14" s="47"/>
      <c r="F14" s="64"/>
    </row>
    <row r="15" spans="1:19" ht="20.100000000000001" customHeight="1" x14ac:dyDescent="0.25">
      <c r="A15" s="16" t="str">
        <f>HYPERLINK("#'Input - Manure sent off-site'!A1", "Manure sent off-site")</f>
        <v>Manure sent off-site</v>
      </c>
      <c r="D15" s="74"/>
      <c r="E15" s="47"/>
      <c r="F15" s="64"/>
    </row>
    <row r="16" spans="1:19" ht="20.100000000000001" customHeight="1" x14ac:dyDescent="0.25">
      <c r="A16" s="16" t="str">
        <f>HYPERLINK("#'Input - Electricity'!A1", "Electricity")</f>
        <v>Electricity</v>
      </c>
      <c r="D16" s="74"/>
      <c r="E16" s="47"/>
      <c r="F16" s="64"/>
    </row>
    <row r="17" spans="1:10" ht="20.100000000000001" customHeight="1" x14ac:dyDescent="0.25">
      <c r="A17"/>
      <c r="C17" s="8"/>
      <c r="D17" s="74"/>
      <c r="E17" s="47"/>
      <c r="F17" s="64"/>
    </row>
    <row r="18" spans="1:10" ht="20.100000000000001" customHeight="1" x14ac:dyDescent="0.25">
      <c r="A18"/>
      <c r="C18" s="8"/>
    </row>
    <row r="19" spans="1:10" ht="20.100000000000001" customHeight="1" x14ac:dyDescent="0.25">
      <c r="A19" s="21" t="s">
        <v>77</v>
      </c>
    </row>
    <row r="20" spans="1:10" ht="20.100000000000001" customHeight="1" x14ac:dyDescent="0.25">
      <c r="A20" s="16" t="str">
        <f>HYPERLINK("#'15 Scope 3'!A1", "15 Scope 3")</f>
        <v>15 Scope 3</v>
      </c>
      <c r="D20" s="9" t="s">
        <v>601</v>
      </c>
    </row>
    <row r="21" spans="1:10" ht="20.100000000000001" customHeight="1" x14ac:dyDescent="0.25">
      <c r="A21" s="16" t="str">
        <f>HYPERLINK("#'10.1.1-2 Solid waste treatment'!A1", "10.1.1-2 Solid waste treatment")</f>
        <v>10.1.1-2 Solid waste treatment</v>
      </c>
      <c r="D21" s="12"/>
      <c r="I21" s="7"/>
      <c r="J21" s="7"/>
    </row>
    <row r="22" spans="1:10" ht="20.100000000000001" customHeight="1" x14ac:dyDescent="0.25">
      <c r="A22" s="16" t="str">
        <f>HYPERLINK("#'Calcs - Manure sent off-site'!A1", "Calcs - Manure sent off-site")</f>
        <v>Calcs - Manure sent off-site</v>
      </c>
      <c r="D22" s="155" t="s">
        <v>602</v>
      </c>
      <c r="E22" s="155" t="s">
        <v>611</v>
      </c>
      <c r="F22" s="155" t="s">
        <v>606</v>
      </c>
      <c r="G22" s="155" t="s">
        <v>126</v>
      </c>
    </row>
    <row r="23" spans="1:10" ht="20.100000000000001" customHeight="1" x14ac:dyDescent="0.25">
      <c r="A23" s="16" t="str">
        <f>HYPERLINK("#'8.1.1.1-2 Transport fuel'!A1", "8.1.1.1-2 Transport fuel")</f>
        <v>8.1.1.1-2 Transport fuel</v>
      </c>
      <c r="D23" s="74" t="s">
        <v>603</v>
      </c>
      <c r="E23" s="74" t="s">
        <v>604</v>
      </c>
      <c r="F23" s="64">
        <v>10000</v>
      </c>
      <c r="G23" s="47" t="s">
        <v>608</v>
      </c>
    </row>
    <row r="24" spans="1:10" ht="20.100000000000001" customHeight="1" x14ac:dyDescent="0.25">
      <c r="A24" s="16" t="str">
        <f>HYPERLINK("#'8.2.1.1-2 Stationary fuel'!A1", "8.2.1.1-2 Stationary fuel")</f>
        <v>8.2.1.1-2 Stationary fuel</v>
      </c>
      <c r="D24" s="74" t="s">
        <v>605</v>
      </c>
      <c r="E24" s="74" t="s">
        <v>610</v>
      </c>
      <c r="F24" s="64">
        <v>1000</v>
      </c>
      <c r="G24" s="47" t="s">
        <v>609</v>
      </c>
    </row>
    <row r="25" spans="1:10" ht="20.100000000000001" customHeight="1" x14ac:dyDescent="0.25">
      <c r="A25"/>
      <c r="C25" s="8"/>
      <c r="D25" s="74"/>
      <c r="E25" s="74"/>
      <c r="F25" s="64"/>
      <c r="G25" s="47"/>
    </row>
    <row r="26" spans="1:10" ht="20.100000000000001" customHeight="1" x14ac:dyDescent="0.25">
      <c r="A26"/>
      <c r="C26" s="8"/>
      <c r="D26" s="74"/>
      <c r="E26" s="74"/>
      <c r="F26" s="64"/>
      <c r="G26" s="47"/>
    </row>
    <row r="27" spans="1:10" ht="20.100000000000001" customHeight="1" x14ac:dyDescent="0.25">
      <c r="A27" s="213" t="s">
        <v>78</v>
      </c>
      <c r="C27" s="8"/>
      <c r="D27" s="74"/>
      <c r="E27" s="74"/>
      <c r="F27" s="64"/>
      <c r="G27" s="47"/>
    </row>
    <row r="28" spans="1:10" ht="20.100000000000001" customHeight="1" x14ac:dyDescent="0.25">
      <c r="A28" s="16" t="str">
        <f>HYPERLINK("#'Constants - Scope 3'!A1", "Constants - Scope 3")</f>
        <v>Constants - Scope 3</v>
      </c>
      <c r="D28" s="74"/>
      <c r="E28" s="74"/>
      <c r="F28" s="64"/>
      <c r="G28" s="47"/>
    </row>
    <row r="29" spans="1:10" ht="20.100000000000001" customHeight="1" x14ac:dyDescent="0.25">
      <c r="A29" s="16" t="str">
        <f>HYPERLINK("#'Constants - Solid Waste'!A1", "Constants - Solid Waste")</f>
        <v>Constants - Solid Waste</v>
      </c>
      <c r="D29" s="74"/>
      <c r="E29" s="74"/>
      <c r="F29" s="64"/>
      <c r="G29" s="47"/>
    </row>
    <row r="30" spans="1:10" ht="20.100000000000001" customHeight="1" x14ac:dyDescent="0.25">
      <c r="A30" s="16" t="str">
        <f>HYPERLINK("#'Constants - Fuel'!A1", "Constants - Fuel")</f>
        <v>Constants - Fuel</v>
      </c>
      <c r="D30" s="74"/>
      <c r="E30" s="74"/>
      <c r="F30" s="64"/>
      <c r="G30" s="47"/>
    </row>
    <row r="31" spans="1:10" ht="20.100000000000001" customHeight="1" x14ac:dyDescent="0.25">
      <c r="A31" s="16" t="str">
        <f>HYPERLINK("#'Constants - Poultry'!A1", "Constants - Poultry")</f>
        <v>Constants - Poultry</v>
      </c>
      <c r="D31" s="74"/>
      <c r="E31" s="74"/>
      <c r="F31" s="64"/>
      <c r="G31" s="47"/>
    </row>
    <row r="32" spans="1:10" ht="20.100000000000001" customHeight="1" x14ac:dyDescent="0.25">
      <c r="A32" s="16" t="str">
        <f>HYPERLINK("#'Constants - Swine'!A1", "Constants - Swine")</f>
        <v>Constants - Swine</v>
      </c>
      <c r="D32" s="74"/>
      <c r="E32" s="74"/>
      <c r="F32" s="64"/>
      <c r="G32" s="47"/>
    </row>
    <row r="33" spans="1:6" ht="20.100000000000001" customHeight="1" x14ac:dyDescent="0.25">
      <c r="A33" s="16" t="str">
        <f>HYPERLINK("#'Constants - Dairy'!A1", "Constants - Dairy")</f>
        <v>Constants - Dairy</v>
      </c>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9" t="s">
        <v>600</v>
      </c>
    </row>
    <row r="36" spans="1:6" ht="20.100000000000001" customHeight="1" x14ac:dyDescent="0.25">
      <c r="A36" s="16" t="str">
        <f>HYPERLINK("#'Constants - Fertiliser'!A1", "Constants - Fertiliser")</f>
        <v>Constants - Fertiliser</v>
      </c>
      <c r="D36" s="12"/>
    </row>
    <row r="37" spans="1:6" ht="20.100000000000001" customHeight="1" x14ac:dyDescent="0.25">
      <c r="A37" s="16" t="str">
        <f>HYPERLINK("#'Constants - Electricity'!A1", "Constants - Electricity")</f>
        <v>Constants - Electricity</v>
      </c>
      <c r="D37" s="46" t="s">
        <v>595</v>
      </c>
      <c r="E37" s="46" t="s">
        <v>594</v>
      </c>
      <c r="F37" s="46" t="s">
        <v>126</v>
      </c>
    </row>
    <row r="38" spans="1:6" ht="20.100000000000001" customHeight="1" x14ac:dyDescent="0.25">
      <c r="A38" s="16" t="str">
        <f>HYPERLINK("#'Constants - Common'!A1", "Constants - Common")</f>
        <v>Constants - Common</v>
      </c>
      <c r="D38" s="74" t="s">
        <v>696</v>
      </c>
      <c r="E38" s="64">
        <v>1000</v>
      </c>
      <c r="F38" s="74" t="s">
        <v>345</v>
      </c>
    </row>
    <row r="39" spans="1:6" ht="20.100000000000001" customHeight="1" x14ac:dyDescent="0.25">
      <c r="A39"/>
      <c r="D39" s="74"/>
      <c r="E39" s="64"/>
      <c r="F39" s="74"/>
    </row>
    <row r="40" spans="1:6" ht="20.100000000000001" customHeight="1" x14ac:dyDescent="0.25">
      <c r="A40"/>
      <c r="D40" s="74"/>
      <c r="E40" s="64"/>
      <c r="F40" s="74"/>
    </row>
    <row r="41" spans="1:6" ht="20.100000000000001" customHeight="1" x14ac:dyDescent="0.25">
      <c r="A41"/>
      <c r="D41" s="74"/>
      <c r="E41" s="64"/>
      <c r="F41" s="74"/>
    </row>
    <row r="42" spans="1:6" ht="20.100000000000001" customHeight="1" x14ac:dyDescent="0.25">
      <c r="A42"/>
      <c r="D42" s="74"/>
      <c r="E42" s="64"/>
      <c r="F42" s="74"/>
    </row>
    <row r="43" spans="1:6" ht="20.100000000000001" customHeight="1" x14ac:dyDescent="0.25">
      <c r="A43"/>
      <c r="D43" s="74"/>
      <c r="E43" s="64"/>
      <c r="F43" s="74"/>
    </row>
    <row r="44" spans="1:6" ht="20.100000000000001" customHeight="1" x14ac:dyDescent="0.25">
      <c r="A44"/>
      <c r="C44" s="8"/>
      <c r="D44" s="74"/>
      <c r="E44" s="64"/>
      <c r="F44" s="74"/>
    </row>
    <row r="45" spans="1:6" ht="20.100000000000001" customHeight="1" x14ac:dyDescent="0.25">
      <c r="A45"/>
      <c r="C45" s="8"/>
      <c r="D45" s="74"/>
      <c r="E45" s="64"/>
      <c r="F45" s="74"/>
    </row>
    <row r="46" spans="1:6" ht="20.100000000000001" customHeight="1" x14ac:dyDescent="0.25">
      <c r="A46"/>
      <c r="C46" s="8"/>
      <c r="D46" s="74"/>
      <c r="E46" s="64"/>
      <c r="F46" s="74"/>
    </row>
    <row r="47" spans="1:6" ht="20.100000000000001" customHeight="1" x14ac:dyDescent="0.25">
      <c r="A47"/>
      <c r="C47" s="8"/>
      <c r="D47" s="74"/>
      <c r="E47" s="64"/>
      <c r="F47" s="74"/>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38"/>
    </row>
    <row r="120" spans="1:16" ht="20.100000000000001" customHeight="1" x14ac:dyDescent="0.25">
      <c r="A120"/>
      <c r="J120" s="7"/>
      <c r="P120" s="138"/>
    </row>
    <row r="121" spans="1:16" ht="20.100000000000001" customHeight="1" x14ac:dyDescent="0.25">
      <c r="A121"/>
      <c r="J121" s="9"/>
      <c r="P121" s="138"/>
    </row>
    <row r="122" spans="1:16" ht="20.100000000000001" customHeight="1" x14ac:dyDescent="0.25">
      <c r="A122"/>
      <c r="G122" s="7"/>
      <c r="H122" s="8"/>
      <c r="J122" s="8"/>
      <c r="P122" s="138"/>
    </row>
    <row r="123" spans="1:16" ht="20.100000000000001" customHeight="1" x14ac:dyDescent="0.25">
      <c r="A123"/>
      <c r="G123" s="7"/>
      <c r="H123" s="8"/>
      <c r="J123" s="8"/>
      <c r="P123" s="138"/>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C1:I17"/>
  <sheetViews>
    <sheetView showGridLines="0" zoomScaleNormal="100" workbookViewId="0">
      <selection activeCell="D32" sqref="D32"/>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3:9" s="37" customFormat="1" ht="25.5" x14ac:dyDescent="0.35">
      <c r="C1" s="37" t="s">
        <v>863</v>
      </c>
    </row>
    <row r="2" spans="3:9" s="2" customFormat="1" x14ac:dyDescent="0.25"/>
    <row r="3" spans="3:9" ht="20.25" x14ac:dyDescent="0.25">
      <c r="C3" s="38"/>
      <c r="D3" s="38"/>
      <c r="E3" s="38"/>
      <c r="F3" s="38"/>
      <c r="G3" s="38"/>
      <c r="H3" s="38"/>
      <c r="I3" s="38"/>
    </row>
    <row r="5" spans="3:9" ht="23.25" x14ac:dyDescent="0.25">
      <c r="D5" s="9" t="s">
        <v>361</v>
      </c>
      <c r="E5" s="14"/>
      <c r="F5" s="14"/>
      <c r="G5" s="14"/>
      <c r="H5" s="14"/>
    </row>
    <row r="6" spans="3:9" x14ac:dyDescent="0.25">
      <c r="D6" s="14"/>
      <c r="E6" s="14"/>
      <c r="F6" s="14"/>
      <c r="G6" s="14"/>
      <c r="H6" s="14"/>
    </row>
    <row r="7" spans="3:9" x14ac:dyDescent="0.25">
      <c r="D7" s="83" t="s">
        <v>282</v>
      </c>
      <c r="E7" s="83" t="s">
        <v>283</v>
      </c>
      <c r="F7" s="83" t="s">
        <v>401</v>
      </c>
      <c r="G7" s="83" t="s">
        <v>402</v>
      </c>
      <c r="H7" s="83" t="s">
        <v>596</v>
      </c>
    </row>
    <row r="8" spans="3:9" x14ac:dyDescent="0.25">
      <c r="D8" s="134" t="s">
        <v>403</v>
      </c>
      <c r="E8" s="64">
        <v>100000</v>
      </c>
      <c r="F8" s="47" t="s">
        <v>404</v>
      </c>
      <c r="G8" s="64">
        <v>0.02</v>
      </c>
      <c r="H8" s="49">
        <f>Table_Input_Packaging[[#This Row],[Quantity purchased]]*Table_Input_Packaging[[#This Row],[Weight per unit (kg)]]</f>
        <v>2000</v>
      </c>
    </row>
    <row r="9" spans="3:9" x14ac:dyDescent="0.25">
      <c r="D9" s="134"/>
      <c r="E9" s="156"/>
      <c r="F9" s="47"/>
      <c r="G9" s="64"/>
      <c r="H9" s="49">
        <f>Table_Input_Packaging[[#This Row],[Quantity purchased]]*Table_Input_Packaging[[#This Row],[Weight per unit (kg)]]</f>
        <v>0</v>
      </c>
    </row>
    <row r="10" spans="3:9" x14ac:dyDescent="0.25">
      <c r="D10" s="134"/>
      <c r="E10" s="156"/>
      <c r="F10" s="47"/>
      <c r="G10" s="64"/>
      <c r="H10" s="49">
        <f>Table_Input_Packaging[[#This Row],[Quantity purchased]]*Table_Input_Packaging[[#This Row],[Weight per unit (kg)]]</f>
        <v>0</v>
      </c>
    </row>
    <row r="11" spans="3:9" x14ac:dyDescent="0.25">
      <c r="D11" s="134"/>
      <c r="E11" s="156"/>
      <c r="F11" s="47"/>
      <c r="G11" s="64"/>
      <c r="H11" s="49">
        <f>Table_Input_Packaging[[#This Row],[Quantity purchased]]*Table_Input_Packaging[[#This Row],[Weight per unit (kg)]]</f>
        <v>0</v>
      </c>
    </row>
    <row r="12" spans="3:9" x14ac:dyDescent="0.25">
      <c r="D12" s="134"/>
      <c r="E12" s="156"/>
      <c r="F12" s="47"/>
      <c r="G12" s="64"/>
      <c r="H12" s="49">
        <f>Table_Input_Packaging[[#This Row],[Quantity purchased]]*Table_Input_Packaging[[#This Row],[Weight per unit (kg)]]</f>
        <v>0</v>
      </c>
    </row>
    <row r="13" spans="3:9" x14ac:dyDescent="0.25">
      <c r="D13" s="134"/>
      <c r="E13" s="156"/>
      <c r="F13" s="47"/>
      <c r="G13" s="64"/>
      <c r="H13" s="49">
        <f>Table_Input_Packaging[[#This Row],[Quantity purchased]]*Table_Input_Packaging[[#This Row],[Weight per unit (kg)]]</f>
        <v>0</v>
      </c>
    </row>
    <row r="14" spans="3:9" x14ac:dyDescent="0.25">
      <c r="D14" s="134"/>
      <c r="E14" s="156"/>
      <c r="F14" s="47"/>
      <c r="G14" s="64"/>
      <c r="H14" s="49">
        <f>Table_Input_Packaging[[#This Row],[Quantity purchased]]*Table_Input_Packaging[[#This Row],[Weight per unit (kg)]]</f>
        <v>0</v>
      </c>
    </row>
    <row r="15" spans="3:9" x14ac:dyDescent="0.25">
      <c r="D15" s="134"/>
      <c r="E15" s="156"/>
      <c r="F15" s="47"/>
      <c r="G15" s="64"/>
      <c r="H15" s="49">
        <f>Table_Input_Packaging[[#This Row],[Quantity purchased]]*Table_Input_Packaging[[#This Row],[Weight per unit (kg)]]</f>
        <v>0</v>
      </c>
    </row>
    <row r="16" spans="3:9" x14ac:dyDescent="0.25">
      <c r="D16" s="134"/>
      <c r="E16" s="156"/>
      <c r="F16" s="47"/>
      <c r="G16" s="64"/>
      <c r="H16" s="49">
        <f>Table_Input_Packaging[[#This Row],[Quantity purchased]]*Table_Input_Packaging[[#This Row],[Weight per unit (kg)]]</f>
        <v>0</v>
      </c>
    </row>
    <row r="17" spans="4:8" x14ac:dyDescent="0.25">
      <c r="D17" s="134"/>
      <c r="E17" s="156"/>
      <c r="F17" s="47"/>
      <c r="G17" s="64"/>
      <c r="H17" s="49">
        <f>Table_Input_Packaging[[#This Row],[Quantity purchased]]*Table_Input_Packaging[[#This Row],[Weight per unit (kg)]]</f>
        <v>0</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C1:S27"/>
  <sheetViews>
    <sheetView showGridLines="0" zoomScaleNormal="100" workbookViewId="0">
      <selection activeCell="F28" sqref="F28"/>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3:19" s="37" customFormat="1" ht="25.5" x14ac:dyDescent="0.35">
      <c r="C1" s="37" t="s">
        <v>861</v>
      </c>
    </row>
    <row r="2" spans="3:19" s="2" customFormat="1" x14ac:dyDescent="0.25"/>
    <row r="3" spans="3:19" ht="20.25" x14ac:dyDescent="0.25">
      <c r="C3" s="38"/>
      <c r="D3" s="38"/>
      <c r="E3" s="38"/>
      <c r="F3" s="38"/>
      <c r="G3" s="38"/>
      <c r="H3" s="38"/>
      <c r="I3" s="38"/>
      <c r="J3" s="38"/>
      <c r="K3" s="38"/>
      <c r="L3" s="38"/>
      <c r="M3" s="38"/>
      <c r="N3" s="38"/>
      <c r="O3" s="38"/>
      <c r="P3" s="38"/>
      <c r="Q3" s="38"/>
      <c r="R3" s="38"/>
      <c r="S3" s="38"/>
    </row>
    <row r="5" spans="3:19" ht="18.75" x14ac:dyDescent="0.25">
      <c r="D5" s="135" t="s">
        <v>362</v>
      </c>
      <c r="E5" s="138"/>
      <c r="F5" s="138"/>
      <c r="G5" s="138"/>
      <c r="H5" s="138"/>
      <c r="I5" s="138"/>
      <c r="J5" s="138"/>
    </row>
    <row r="6" spans="3:19" x14ac:dyDescent="0.25">
      <c r="D6" s="164" t="s">
        <v>296</v>
      </c>
      <c r="E6" s="164"/>
      <c r="F6" s="39"/>
      <c r="G6" s="41"/>
      <c r="H6" s="7"/>
      <c r="I6" s="7"/>
      <c r="J6" s="7"/>
    </row>
    <row r="7" spans="3:19" x14ac:dyDescent="0.25">
      <c r="D7" s="43" t="s">
        <v>297</v>
      </c>
      <c r="E7" s="44"/>
      <c r="F7" s="44"/>
      <c r="G7" s="45"/>
      <c r="H7" s="7"/>
      <c r="I7" s="7"/>
      <c r="J7" s="7"/>
    </row>
    <row r="8" spans="3:19" x14ac:dyDescent="0.25">
      <c r="D8" s="138"/>
      <c r="E8" s="138"/>
      <c r="F8" s="138"/>
      <c r="G8" s="138"/>
      <c r="H8" s="138"/>
      <c r="I8" s="138"/>
      <c r="J8" s="138"/>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3:19" x14ac:dyDescent="0.25">
      <c r="D9" s="145" t="s">
        <v>168</v>
      </c>
      <c r="E9" s="145" t="s">
        <v>298</v>
      </c>
      <c r="F9" s="145" t="s">
        <v>299</v>
      </c>
      <c r="G9" s="145" t="s">
        <v>200</v>
      </c>
      <c r="H9" s="145" t="s">
        <v>300</v>
      </c>
      <c r="I9" s="145" t="s">
        <v>418</v>
      </c>
      <c r="J9" s="145" t="s">
        <v>301</v>
      </c>
      <c r="K9" s="153" t="s">
        <v>302</v>
      </c>
      <c r="L9" s="153" t="s">
        <v>414</v>
      </c>
      <c r="M9" s="153" t="s">
        <v>303</v>
      </c>
      <c r="N9" s="153" t="s">
        <v>304</v>
      </c>
      <c r="O9" s="153" t="s">
        <v>415</v>
      </c>
      <c r="P9" s="153" t="s">
        <v>305</v>
      </c>
      <c r="Q9" s="153" t="s">
        <v>306</v>
      </c>
      <c r="R9" s="153" t="s">
        <v>416</v>
      </c>
    </row>
    <row r="10" spans="3:19" x14ac:dyDescent="0.25">
      <c r="D10" s="134" t="s">
        <v>420</v>
      </c>
      <c r="E10" s="146">
        <v>10</v>
      </c>
      <c r="F10" s="47" t="s">
        <v>410</v>
      </c>
      <c r="G10" s="64">
        <v>100</v>
      </c>
      <c r="H10" s="49">
        <f>Table_Input_Pesticides[[#This Row],[Amount applied per ha]]*Table_Input_Pesticides[[#This Row],[Application area (ha)]]</f>
        <v>1000</v>
      </c>
      <c r="I10" s="47" t="s">
        <v>409</v>
      </c>
      <c r="J10" s="47" t="s">
        <v>408</v>
      </c>
      <c r="K10" s="64">
        <v>100</v>
      </c>
      <c r="L10" s="49">
        <f>Table_Input_Pesticides[[#This Row],[Total applied]]*Table_Input_Pesticides[[#This Row],[Active ingredient 1 amount]]*IF(Table_Input_Pesticides[[#This Row],[Constituent unit (select)]]="fraction of product", 1, 10^-3)</f>
        <v>100</v>
      </c>
      <c r="M10" s="47" t="s">
        <v>408</v>
      </c>
      <c r="N10" s="64">
        <v>100</v>
      </c>
      <c r="O10" s="49">
        <f>Table_Input_Pesticides[[#This Row],[Total applied]]*Table_Input_Pesticides[[#This Row],[Active ingredient 2 amount]]*IF(Table_Input_Pesticides[[#This Row],[Constituent unit (select)]]="fraction of product", 1, 10^-3)</f>
        <v>100</v>
      </c>
      <c r="P10" s="47" t="s">
        <v>672</v>
      </c>
      <c r="Q10" s="64">
        <v>100</v>
      </c>
      <c r="R10" s="49">
        <f>Table_Input_Pesticides[[#This Row],[Total applied]]*Table_Input_Pesticides[[#This Row],[Active ingredient 3 amount]]*IF(Table_Input_Pesticides[[#This Row],[Constituent unit (select)]]="fraction of product", 1, 10^-3)</f>
        <v>100</v>
      </c>
    </row>
    <row r="11" spans="3:19" x14ac:dyDescent="0.25">
      <c r="D11" s="134" t="s">
        <v>419</v>
      </c>
      <c r="E11" s="146">
        <v>10</v>
      </c>
      <c r="F11" s="47" t="s">
        <v>307</v>
      </c>
      <c r="G11" s="64">
        <v>100</v>
      </c>
      <c r="H11" s="49">
        <f>Table_Input_Pesticides[[#This Row],[Amount applied per ha]]*Table_Input_Pesticides[[#This Row],[Application area (ha)]]</f>
        <v>1000</v>
      </c>
      <c r="I11" s="47" t="s">
        <v>409</v>
      </c>
      <c r="J11" s="47" t="s">
        <v>408</v>
      </c>
      <c r="K11" s="64">
        <v>100</v>
      </c>
      <c r="L11" s="49">
        <f>Table_Input_Pesticides[[#This Row],[Total applied]]*Table_Input_Pesticides[[#This Row],[Active ingredient 1 amount]]*IF(Table_Input_Pesticides[[#This Row],[Constituent unit (select)]]="fraction of product", 1, 10^-3)</f>
        <v>100</v>
      </c>
      <c r="M11" s="47" t="s">
        <v>670</v>
      </c>
      <c r="N11" s="64">
        <v>100</v>
      </c>
      <c r="O11" s="49">
        <f>Table_Input_Pesticides[[#This Row],[Total applied]]*Table_Input_Pesticides[[#This Row],[Active ingredient 2 amount]]*IF(Table_Input_Pesticides[[#This Row],[Constituent unit (select)]]="fraction of product", 1, 10^-3)</f>
        <v>100</v>
      </c>
      <c r="P11" s="47" t="s">
        <v>673</v>
      </c>
      <c r="Q11" s="64">
        <v>100</v>
      </c>
      <c r="R11" s="49">
        <f>Table_Input_Pesticides[[#This Row],[Total applied]]*Table_Input_Pesticides[[#This Row],[Active ingredient 3 amount]]*IF(Table_Input_Pesticides[[#This Row],[Constituent unit (select)]]="fraction of product", 1, 10^-3)</f>
        <v>100</v>
      </c>
    </row>
    <row r="12" spans="3:19" x14ac:dyDescent="0.25">
      <c r="D12" s="134" t="s">
        <v>417</v>
      </c>
      <c r="E12" s="146">
        <v>10</v>
      </c>
      <c r="F12" s="47" t="s">
        <v>410</v>
      </c>
      <c r="G12" s="64">
        <v>100</v>
      </c>
      <c r="H12" s="49">
        <f>Table_Input_Pesticides[[#This Row],[Amount applied per ha]]*Table_Input_Pesticides[[#This Row],[Application area (ha)]]</f>
        <v>1000</v>
      </c>
      <c r="I12" s="47" t="s">
        <v>409</v>
      </c>
      <c r="J12" s="47" t="s">
        <v>408</v>
      </c>
      <c r="K12" s="64">
        <v>100</v>
      </c>
      <c r="L12" s="49">
        <f>Table_Input_Pesticides[[#This Row],[Total applied]]*Table_Input_Pesticides[[#This Row],[Active ingredient 1 amount]]*IF(Table_Input_Pesticides[[#This Row],[Constituent unit (select)]]="fraction of product", 1, 10^-3)</f>
        <v>100</v>
      </c>
      <c r="M12" s="47" t="s">
        <v>671</v>
      </c>
      <c r="N12" s="64">
        <v>100</v>
      </c>
      <c r="O12" s="49">
        <f>Table_Input_Pesticides[[#This Row],[Total applied]]*Table_Input_Pesticides[[#This Row],[Active ingredient 2 amount]]*IF(Table_Input_Pesticides[[#This Row],[Constituent unit (select)]]="fraction of product", 1, 10^-3)</f>
        <v>100</v>
      </c>
      <c r="P12" s="47" t="s">
        <v>674</v>
      </c>
      <c r="Q12" s="64">
        <v>100</v>
      </c>
      <c r="R12" s="49">
        <f>Table_Input_Pesticides[[#This Row],[Total applied]]*Table_Input_Pesticides[[#This Row],[Active ingredient 3 amount]]*IF(Table_Input_Pesticides[[#This Row],[Constituent unit (select)]]="fraction of product", 1, 10^-3)</f>
        <v>100</v>
      </c>
    </row>
    <row r="13" spans="3:19" x14ac:dyDescent="0.25">
      <c r="D13" s="134"/>
      <c r="E13" s="146"/>
      <c r="F13" s="47"/>
      <c r="G13" s="64"/>
      <c r="H13" s="49">
        <f>Table_Input_Pesticides[[#This Row],[Amount applied per ha]]*Table_Input_Pesticides[[#This Row],[Application area (ha)]]</f>
        <v>0</v>
      </c>
      <c r="I13" s="47"/>
      <c r="J13" s="47"/>
      <c r="K13" s="64"/>
      <c r="L13" s="49">
        <f>Table_Input_Pesticides[[#This Row],[Total applied]]*Table_Input_Pesticides[[#This Row],[Active ingredient 1 amount]]*IF(Table_Input_Pesticides[[#This Row],[Constituent unit (select)]]="fraction of product", 1, 10^-3)</f>
        <v>0</v>
      </c>
      <c r="M13" s="47"/>
      <c r="N13" s="64"/>
      <c r="O13" s="49">
        <f>Table_Input_Pesticides[[#This Row],[Total applied]]*Table_Input_Pesticides[[#This Row],[Active ingredient 2 amount]]*IF(Table_Input_Pesticides[[#This Row],[Constituent unit (select)]]="fraction of product", 1, 10^-3)</f>
        <v>0</v>
      </c>
      <c r="P13" s="47"/>
      <c r="Q13" s="64"/>
      <c r="R13" s="49">
        <f>Table_Input_Pesticides[[#This Row],[Total applied]]*Table_Input_Pesticides[[#This Row],[Active ingredient 3 amount]]*IF(Table_Input_Pesticides[[#This Row],[Constituent unit (select)]]="fraction of product", 1, 10^-3)</f>
        <v>0</v>
      </c>
    </row>
    <row r="14" spans="3:19" x14ac:dyDescent="0.25">
      <c r="D14" s="134"/>
      <c r="E14" s="146"/>
      <c r="F14" s="47"/>
      <c r="G14" s="64"/>
      <c r="H14" s="49">
        <f>Table_Input_Pesticides[[#This Row],[Amount applied per ha]]*Table_Input_Pesticides[[#This Row],[Application area (ha)]]</f>
        <v>0</v>
      </c>
      <c r="I14" s="47"/>
      <c r="J14" s="47"/>
      <c r="K14" s="64"/>
      <c r="L14" s="49">
        <f>Table_Input_Pesticides[[#This Row],[Total applied]]*Table_Input_Pesticides[[#This Row],[Active ingredient 1 amount]]*IF(Table_Input_Pesticides[[#This Row],[Constituent unit (select)]]="fraction of product", 1, 10^-3)</f>
        <v>0</v>
      </c>
      <c r="M14" s="47"/>
      <c r="N14" s="64"/>
      <c r="O14" s="49">
        <f>Table_Input_Pesticides[[#This Row],[Total applied]]*Table_Input_Pesticides[[#This Row],[Active ingredient 2 amount]]*IF(Table_Input_Pesticides[[#This Row],[Constituent unit (select)]]="fraction of product", 1, 10^-3)</f>
        <v>0</v>
      </c>
      <c r="P14" s="47"/>
      <c r="Q14" s="64"/>
      <c r="R14" s="49">
        <f>Table_Input_Pesticides[[#This Row],[Total applied]]*Table_Input_Pesticides[[#This Row],[Active ingredient 3 amount]]*IF(Table_Input_Pesticides[[#This Row],[Constituent unit (select)]]="fraction of product", 1, 10^-3)</f>
        <v>0</v>
      </c>
    </row>
    <row r="15" spans="3:19" x14ac:dyDescent="0.25">
      <c r="D15" s="134"/>
      <c r="E15" s="146"/>
      <c r="F15" s="47"/>
      <c r="G15" s="64"/>
      <c r="H15" s="49">
        <f>Table_Input_Pesticides[[#This Row],[Amount applied per ha]]*Table_Input_Pesticides[[#This Row],[Application area (ha)]]</f>
        <v>0</v>
      </c>
      <c r="I15" s="47"/>
      <c r="J15" s="47"/>
      <c r="K15" s="64"/>
      <c r="L15" s="49">
        <f>Table_Input_Pesticides[[#This Row],[Total applied]]*Table_Input_Pesticides[[#This Row],[Active ingredient 1 amount]]*IF(Table_Input_Pesticides[[#This Row],[Constituent unit (select)]]="fraction of product", 1, 10^-3)</f>
        <v>0</v>
      </c>
      <c r="M15" s="47"/>
      <c r="N15" s="64"/>
      <c r="O15" s="49">
        <f>Table_Input_Pesticides[[#This Row],[Total applied]]*Table_Input_Pesticides[[#This Row],[Active ingredient 2 amount]]*IF(Table_Input_Pesticides[[#This Row],[Constituent unit (select)]]="fraction of product", 1, 10^-3)</f>
        <v>0</v>
      </c>
      <c r="P15" s="47"/>
      <c r="Q15" s="64"/>
      <c r="R15" s="49">
        <f>Table_Input_Pesticides[[#This Row],[Total applied]]*Table_Input_Pesticides[[#This Row],[Active ingredient 3 amount]]*IF(Table_Input_Pesticides[[#This Row],[Constituent unit (select)]]="fraction of product", 1, 10^-3)</f>
        <v>0</v>
      </c>
    </row>
    <row r="16" spans="3:19" x14ac:dyDescent="0.25">
      <c r="D16" s="134"/>
      <c r="E16" s="146"/>
      <c r="F16" s="47"/>
      <c r="G16" s="64"/>
      <c r="H16" s="49">
        <f>Table_Input_Pesticides[[#This Row],[Amount applied per ha]]*Table_Input_Pesticides[[#This Row],[Application area (ha)]]</f>
        <v>0</v>
      </c>
      <c r="I16" s="47"/>
      <c r="J16" s="47"/>
      <c r="K16" s="64"/>
      <c r="L16" s="49">
        <f>Table_Input_Pesticides[[#This Row],[Total applied]]*Table_Input_Pesticides[[#This Row],[Active ingredient 1 amount]]*IF(Table_Input_Pesticides[[#This Row],[Constituent unit (select)]]="fraction of product", 1, 10^-3)</f>
        <v>0</v>
      </c>
      <c r="M16" s="47"/>
      <c r="N16" s="64"/>
      <c r="O16" s="49">
        <f>Table_Input_Pesticides[[#This Row],[Total applied]]*Table_Input_Pesticides[[#This Row],[Active ingredient 2 amount]]*IF(Table_Input_Pesticides[[#This Row],[Constituent unit (select)]]="fraction of product", 1, 10^-3)</f>
        <v>0</v>
      </c>
      <c r="P16" s="47"/>
      <c r="Q16" s="64"/>
      <c r="R16" s="49">
        <f>Table_Input_Pesticides[[#This Row],[Total applied]]*Table_Input_Pesticides[[#This Row],[Active ingredient 3 amount]]*IF(Table_Input_Pesticides[[#This Row],[Constituent unit (select)]]="fraction of product", 1, 10^-3)</f>
        <v>0</v>
      </c>
    </row>
    <row r="17" spans="4:18" x14ac:dyDescent="0.25">
      <c r="D17" s="134"/>
      <c r="E17" s="146"/>
      <c r="F17" s="47"/>
      <c r="G17" s="64"/>
      <c r="H17" s="49">
        <f>Table_Input_Pesticides[[#This Row],[Amount applied per ha]]*Table_Input_Pesticides[[#This Row],[Application area (ha)]]</f>
        <v>0</v>
      </c>
      <c r="I17" s="47"/>
      <c r="J17" s="47"/>
      <c r="K17" s="64"/>
      <c r="L17" s="49">
        <f>Table_Input_Pesticides[[#This Row],[Total applied]]*Table_Input_Pesticides[[#This Row],[Active ingredient 1 amount]]*IF(Table_Input_Pesticides[[#This Row],[Constituent unit (select)]]="fraction of product", 1, 10^-3)</f>
        <v>0</v>
      </c>
      <c r="M17" s="47"/>
      <c r="N17" s="64"/>
      <c r="O17" s="49">
        <f>Table_Input_Pesticides[[#This Row],[Total applied]]*Table_Input_Pesticides[[#This Row],[Active ingredient 2 amount]]*IF(Table_Input_Pesticides[[#This Row],[Constituent unit (select)]]="fraction of product", 1, 10^-3)</f>
        <v>0</v>
      </c>
      <c r="P17" s="47"/>
      <c r="Q17" s="64"/>
      <c r="R17" s="49">
        <f>Table_Input_Pesticides[[#This Row],[Total applied]]*Table_Input_Pesticides[[#This Row],[Active ingredient 3 amount]]*IF(Table_Input_Pesticides[[#This Row],[Constituent unit (select)]]="fraction of product", 1, 10^-3)</f>
        <v>0</v>
      </c>
    </row>
    <row r="18" spans="4:18" x14ac:dyDescent="0.25">
      <c r="D18" s="134"/>
      <c r="E18" s="146"/>
      <c r="F18" s="47"/>
      <c r="G18" s="64"/>
      <c r="H18" s="49">
        <f>Table_Input_Pesticides[[#This Row],[Amount applied per ha]]*Table_Input_Pesticides[[#This Row],[Application area (ha)]]</f>
        <v>0</v>
      </c>
      <c r="I18" s="47"/>
      <c r="J18" s="47"/>
      <c r="K18" s="64"/>
      <c r="L18" s="49">
        <f>Table_Input_Pesticides[[#This Row],[Total applied]]*Table_Input_Pesticides[[#This Row],[Active ingredient 1 amount]]*IF(Table_Input_Pesticides[[#This Row],[Constituent unit (select)]]="fraction of product", 1, 10^-3)</f>
        <v>0</v>
      </c>
      <c r="M18" s="47"/>
      <c r="N18" s="64"/>
      <c r="O18" s="49">
        <f>Table_Input_Pesticides[[#This Row],[Total applied]]*Table_Input_Pesticides[[#This Row],[Active ingredient 2 amount]]*IF(Table_Input_Pesticides[[#This Row],[Constituent unit (select)]]="fraction of product", 1, 10^-3)</f>
        <v>0</v>
      </c>
      <c r="P18" s="47"/>
      <c r="Q18" s="64"/>
      <c r="R18" s="49">
        <f>Table_Input_Pesticides[[#This Row],[Total applied]]*Table_Input_Pesticides[[#This Row],[Active ingredient 3 amount]]*IF(Table_Input_Pesticides[[#This Row],[Constituent unit (select)]]="fraction of product", 1, 10^-3)</f>
        <v>0</v>
      </c>
    </row>
    <row r="19" spans="4:18" x14ac:dyDescent="0.25">
      <c r="D19" s="134"/>
      <c r="E19" s="146"/>
      <c r="F19" s="47"/>
      <c r="G19" s="64"/>
      <c r="H19" s="49">
        <f>Table_Input_Pesticides[[#This Row],[Amount applied per ha]]*Table_Input_Pesticides[[#This Row],[Application area (ha)]]</f>
        <v>0</v>
      </c>
      <c r="I19" s="47"/>
      <c r="J19" s="47"/>
      <c r="K19" s="64"/>
      <c r="L19" s="49">
        <f>Table_Input_Pesticides[[#This Row],[Total applied]]*Table_Input_Pesticides[[#This Row],[Active ingredient 1 amount]]*IF(Table_Input_Pesticides[[#This Row],[Constituent unit (select)]]="fraction of product", 1, 10^-3)</f>
        <v>0</v>
      </c>
      <c r="M19" s="47"/>
      <c r="N19" s="64"/>
      <c r="O19" s="49">
        <f>Table_Input_Pesticides[[#This Row],[Total applied]]*Table_Input_Pesticides[[#This Row],[Active ingredient 2 amount]]*IF(Table_Input_Pesticides[[#This Row],[Constituent unit (select)]]="fraction of product", 1, 10^-3)</f>
        <v>0</v>
      </c>
      <c r="P19" s="47"/>
      <c r="Q19" s="64"/>
      <c r="R19" s="49">
        <f>Table_Input_Pesticides[[#This Row],[Total applied]]*Table_Input_Pesticides[[#This Row],[Active ingredient 3 amount]]*IF(Table_Input_Pesticides[[#This Row],[Constituent unit (select)]]="fraction of product", 1, 10^-3)</f>
        <v>0</v>
      </c>
    </row>
    <row r="22" spans="4:18" ht="23.25" x14ac:dyDescent="0.25">
      <c r="D22" s="9" t="s">
        <v>407</v>
      </c>
      <c r="E22" s="14"/>
      <c r="F22" s="14"/>
    </row>
    <row r="23" spans="4:18" x14ac:dyDescent="0.25">
      <c r="D23" s="8" t="str">
        <f>'Constants - Scope 3'!E204</f>
        <v>Barley grain (for seed)</v>
      </c>
      <c r="E23" s="64">
        <v>500</v>
      </c>
      <c r="F23" s="63" t="s">
        <v>345</v>
      </c>
    </row>
    <row r="24" spans="4:18" x14ac:dyDescent="0.25">
      <c r="D24" s="8" t="str">
        <f>'Constants - Scope 3'!E205</f>
        <v>Maize grain (for seed)</v>
      </c>
      <c r="E24" s="64">
        <v>600</v>
      </c>
      <c r="F24" s="63" t="s">
        <v>345</v>
      </c>
    </row>
    <row r="25" spans="4:18" x14ac:dyDescent="0.25">
      <c r="D25" s="8" t="str">
        <f>'Constants - Scope 3'!E207</f>
        <v>Oat grain (for seed)</v>
      </c>
      <c r="E25" s="64">
        <v>700</v>
      </c>
      <c r="F25" s="63" t="s">
        <v>345</v>
      </c>
    </row>
    <row r="26" spans="4:18" x14ac:dyDescent="0.25">
      <c r="D26" s="8" t="str">
        <f>'Constants - Scope 3'!E208</f>
        <v>Sorghum grain (for seed)</v>
      </c>
      <c r="E26" s="64">
        <v>800</v>
      </c>
      <c r="F26" s="63" t="s">
        <v>345</v>
      </c>
    </row>
    <row r="27" spans="4:18" x14ac:dyDescent="0.25">
      <c r="D27" s="8" t="str">
        <f>'Constants - Scope 3'!E209</f>
        <v>Wheat grain (for seed)</v>
      </c>
      <c r="E27" s="64">
        <v>900</v>
      </c>
      <c r="F27" s="63" t="s">
        <v>345</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C1:K20"/>
  <sheetViews>
    <sheetView showGridLines="0" zoomScaleNormal="100" workbookViewId="0">
      <selection activeCell="G13" sqref="G1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7" customFormat="1" ht="25.5" x14ac:dyDescent="0.35">
      <c r="C1" s="37" t="s">
        <v>859</v>
      </c>
    </row>
    <row r="2" spans="3:11" s="2" customFormat="1" x14ac:dyDescent="0.25"/>
    <row r="3" spans="3:11" ht="20.25" x14ac:dyDescent="0.25">
      <c r="C3" s="38"/>
      <c r="D3" s="38"/>
      <c r="E3" s="38"/>
      <c r="F3" s="38"/>
      <c r="G3" s="38"/>
      <c r="H3" s="38"/>
      <c r="I3" s="38"/>
      <c r="J3" s="38"/>
      <c r="K3" s="38"/>
    </row>
    <row r="5" spans="3:11" x14ac:dyDescent="0.25">
      <c r="D5" s="8" t="str">
        <f>'Constants - Scope 3'!E206</f>
        <v>Nylon netting</v>
      </c>
      <c r="E5" s="64">
        <v>300</v>
      </c>
      <c r="F5" s="63" t="s">
        <v>345</v>
      </c>
    </row>
    <row r="8" spans="3:11" ht="23.25" x14ac:dyDescent="0.25">
      <c r="D8" s="9" t="s">
        <v>690</v>
      </c>
      <c r="E8" s="14"/>
      <c r="F8" s="14"/>
    </row>
    <row r="9" spans="3:11" x14ac:dyDescent="0.25">
      <c r="D9" s="12"/>
      <c r="E9" s="14"/>
      <c r="F9" s="14"/>
    </row>
    <row r="10" spans="3:11" x14ac:dyDescent="0.25">
      <c r="D10" s="155" t="s">
        <v>691</v>
      </c>
      <c r="E10" s="155" t="s">
        <v>606</v>
      </c>
      <c r="F10" s="155" t="s">
        <v>126</v>
      </c>
    </row>
    <row r="11" spans="3:11" x14ac:dyDescent="0.25">
      <c r="D11" s="74" t="s">
        <v>693</v>
      </c>
      <c r="E11" s="64">
        <v>10000</v>
      </c>
      <c r="F11" s="47" t="s">
        <v>345</v>
      </c>
    </row>
    <row r="12" spans="3:11" x14ac:dyDescent="0.25">
      <c r="D12" s="74" t="s">
        <v>694</v>
      </c>
      <c r="E12" s="64">
        <v>100</v>
      </c>
      <c r="F12" s="47" t="s">
        <v>692</v>
      </c>
    </row>
    <row r="13" spans="3:11" x14ac:dyDescent="0.25">
      <c r="D13" s="74" t="s">
        <v>695</v>
      </c>
      <c r="E13" s="64">
        <v>10000</v>
      </c>
      <c r="F13" s="47" t="s">
        <v>345</v>
      </c>
    </row>
    <row r="14" spans="3:11" x14ac:dyDescent="0.25">
      <c r="D14" s="74"/>
      <c r="E14" s="64"/>
      <c r="F14" s="47"/>
    </row>
    <row r="15" spans="3:11" x14ac:dyDescent="0.25">
      <c r="D15" s="74"/>
      <c r="E15" s="64"/>
      <c r="F15" s="47"/>
    </row>
    <row r="16" spans="3:11" x14ac:dyDescent="0.25">
      <c r="D16" s="74"/>
      <c r="E16" s="64"/>
      <c r="F16" s="47"/>
    </row>
    <row r="17" spans="4:6" x14ac:dyDescent="0.25">
      <c r="D17" s="74"/>
      <c r="E17" s="64"/>
      <c r="F17" s="47"/>
    </row>
    <row r="18" spans="4:6" x14ac:dyDescent="0.25">
      <c r="D18" s="74"/>
      <c r="E18" s="64"/>
      <c r="F18" s="47"/>
    </row>
    <row r="19" spans="4:6" x14ac:dyDescent="0.25">
      <c r="D19" s="74"/>
      <c r="E19" s="64"/>
      <c r="F19" s="47"/>
    </row>
    <row r="20" spans="4:6" x14ac:dyDescent="0.25">
      <c r="D20" s="74"/>
      <c r="E20" s="64"/>
      <c r="F20" s="47"/>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C1:R76"/>
  <sheetViews>
    <sheetView showGridLines="0" topLeftCell="A32" zoomScaleNormal="100" workbookViewId="0">
      <selection activeCell="G15" sqref="G15"/>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3:18" s="37" customFormat="1" ht="25.5" x14ac:dyDescent="0.35">
      <c r="C1" s="37" t="s">
        <v>862</v>
      </c>
    </row>
    <row r="2" spans="3:18" s="2" customFormat="1" ht="20.100000000000001" customHeight="1" x14ac:dyDescent="0.25"/>
    <row r="3" spans="3:18" ht="20.100000000000001" customHeight="1" x14ac:dyDescent="0.25">
      <c r="C3" s="38"/>
      <c r="D3" s="38"/>
      <c r="E3" s="38"/>
      <c r="F3" s="38"/>
      <c r="G3" s="38"/>
      <c r="H3" s="38"/>
      <c r="I3" s="38"/>
      <c r="J3" s="38"/>
      <c r="K3" s="38"/>
      <c r="L3" s="38"/>
      <c r="M3" s="38"/>
      <c r="N3" s="38"/>
      <c r="O3" s="38"/>
      <c r="P3" s="38"/>
      <c r="Q3" s="38"/>
      <c r="R3" s="38"/>
    </row>
    <row r="4" spans="3:18" ht="20.100000000000001" customHeight="1" x14ac:dyDescent="0.25"/>
    <row r="5" spans="3:18" ht="20.100000000000001" customHeight="1" x14ac:dyDescent="0.25">
      <c r="D5" s="9" t="s">
        <v>359</v>
      </c>
      <c r="E5" s="14"/>
      <c r="F5" s="14"/>
      <c r="G5" s="14"/>
      <c r="H5" s="14"/>
      <c r="I5" s="14"/>
      <c r="J5" s="14"/>
    </row>
    <row r="6" spans="3:18" ht="20.100000000000001" customHeight="1" x14ac:dyDescent="0.25">
      <c r="D6" s="135" t="s">
        <v>287</v>
      </c>
      <c r="E6" s="136"/>
      <c r="F6" s="65"/>
      <c r="G6" s="14"/>
      <c r="H6" s="14"/>
      <c r="I6" s="14"/>
      <c r="J6" s="14"/>
    </row>
    <row r="7" spans="3:18" ht="20.100000000000001" customHeight="1" x14ac:dyDescent="0.25">
      <c r="D7" s="8" t="str" cm="1">
        <f t="array" ref="D7:D9">Table_SourceData_Scope3_LickBlocks[Product]</f>
        <v>Lick block, dry season mix</v>
      </c>
      <c r="E7" s="64">
        <v>100</v>
      </c>
      <c r="F7" s="63" t="s">
        <v>345</v>
      </c>
      <c r="G7" s="14"/>
      <c r="H7" s="14"/>
      <c r="I7" s="14"/>
      <c r="J7" s="14"/>
    </row>
    <row r="8" spans="3:18" ht="20.100000000000001" customHeight="1" x14ac:dyDescent="0.25">
      <c r="D8" s="8" t="str">
        <v>Lick block, mineral</v>
      </c>
      <c r="E8" s="64">
        <v>100</v>
      </c>
      <c r="F8" s="63" t="s">
        <v>345</v>
      </c>
      <c r="G8" s="14"/>
      <c r="H8" s="14"/>
      <c r="I8" s="14"/>
      <c r="J8" s="14"/>
    </row>
    <row r="9" spans="3:18" ht="20.100000000000001" customHeight="1" x14ac:dyDescent="0.25">
      <c r="D9" s="8" t="str">
        <v>Lick block, weaner</v>
      </c>
      <c r="E9" s="64">
        <v>100</v>
      </c>
      <c r="F9" s="63" t="s">
        <v>345</v>
      </c>
      <c r="G9" s="14"/>
      <c r="H9" s="14"/>
      <c r="I9" s="14"/>
      <c r="J9" s="14"/>
    </row>
    <row r="10" spans="3:18" ht="20.100000000000001" customHeight="1" x14ac:dyDescent="0.25">
      <c r="G10" s="14"/>
      <c r="H10" s="14"/>
      <c r="I10" s="14"/>
      <c r="J10" s="14"/>
    </row>
    <row r="11" spans="3:18" ht="20.100000000000001" customHeight="1" x14ac:dyDescent="0.25">
      <c r="D11" s="135" t="s">
        <v>393</v>
      </c>
      <c r="E11" s="7"/>
      <c r="F11" s="7"/>
      <c r="G11" s="14"/>
      <c r="H11" s="14"/>
      <c r="I11" s="14"/>
      <c r="J11" s="14"/>
    </row>
    <row r="12" spans="3:18" ht="20.100000000000001" customHeight="1" x14ac:dyDescent="0.25">
      <c r="D12" s="8" t="str" cm="1">
        <f t="array" ref="D12:D15">Table_SourceData_Scope3_MixedRations[Product]</f>
        <v>Feed for chickens</v>
      </c>
      <c r="E12" s="64">
        <v>100</v>
      </c>
      <c r="F12" s="63" t="s">
        <v>345</v>
      </c>
      <c r="G12" s="14"/>
      <c r="H12" s="14"/>
      <c r="I12" s="14"/>
      <c r="J12" s="14"/>
    </row>
    <row r="13" spans="3:18" ht="20.100000000000001" customHeight="1" x14ac:dyDescent="0.25">
      <c r="D13" s="8" t="str">
        <v>Feed for dairy calves</v>
      </c>
      <c r="E13" s="64">
        <v>100</v>
      </c>
      <c r="F13" s="63" t="s">
        <v>345</v>
      </c>
      <c r="G13" s="14"/>
      <c r="H13" s="14"/>
      <c r="I13" s="14"/>
      <c r="J13" s="14"/>
    </row>
    <row r="14" spans="3:18" ht="20.100000000000001" customHeight="1" x14ac:dyDescent="0.25">
      <c r="D14" s="8" t="str">
        <v>Feed for dairy cows</v>
      </c>
      <c r="E14" s="64">
        <v>100</v>
      </c>
      <c r="F14" s="63" t="s">
        <v>345</v>
      </c>
      <c r="G14" s="14"/>
      <c r="H14" s="14"/>
      <c r="I14" s="14"/>
      <c r="J14" s="14"/>
    </row>
    <row r="15" spans="3:18" ht="20.100000000000001" customHeight="1" x14ac:dyDescent="0.25">
      <c r="D15" s="8" t="str">
        <v>Feed for pigs</v>
      </c>
      <c r="E15" s="64">
        <v>100</v>
      </c>
      <c r="F15" s="63" t="s">
        <v>345</v>
      </c>
      <c r="G15" s="14"/>
      <c r="H15" s="14"/>
      <c r="I15" s="14"/>
      <c r="J15" s="14"/>
    </row>
    <row r="16" spans="3:18" ht="20.100000000000001" customHeight="1" x14ac:dyDescent="0.25">
      <c r="D16" s="7"/>
      <c r="E16" s="7"/>
      <c r="F16" s="7"/>
      <c r="G16" s="14"/>
      <c r="H16" s="14"/>
      <c r="I16" s="14"/>
      <c r="J16" s="14"/>
    </row>
    <row r="17" spans="4:17" ht="20.100000000000001" customHeight="1" x14ac:dyDescent="0.25">
      <c r="D17" s="135" t="s">
        <v>858</v>
      </c>
      <c r="E17" s="7"/>
      <c r="F17" s="7"/>
      <c r="G17" s="14"/>
      <c r="H17" s="14"/>
      <c r="I17" s="14"/>
      <c r="J17" s="14"/>
    </row>
    <row r="18" spans="4:17" ht="20.100000000000001" customHeight="1" x14ac:dyDescent="0.25">
      <c r="D18" s="46" t="s">
        <v>289</v>
      </c>
      <c r="E18" s="46" t="s">
        <v>290</v>
      </c>
      <c r="F18" s="46" t="s">
        <v>205</v>
      </c>
      <c r="G18" s="46" t="s">
        <v>385</v>
      </c>
      <c r="H18" s="46" t="s">
        <v>172</v>
      </c>
      <c r="I18" s="46" t="s">
        <v>291</v>
      </c>
      <c r="J18" s="46" t="s">
        <v>389</v>
      </c>
      <c r="K18" s="46" t="s">
        <v>174</v>
      </c>
      <c r="L18" s="46" t="s">
        <v>292</v>
      </c>
      <c r="M18" s="46" t="s">
        <v>390</v>
      </c>
      <c r="N18" s="46" t="s">
        <v>176</v>
      </c>
      <c r="O18" s="46" t="s">
        <v>293</v>
      </c>
      <c r="P18" s="46" t="s">
        <v>391</v>
      </c>
      <c r="Q18" s="48" t="s">
        <v>178</v>
      </c>
    </row>
    <row r="19" spans="4:17" ht="20.100000000000001" customHeight="1" x14ac:dyDescent="0.25">
      <c r="D19" s="74"/>
      <c r="E19" s="137">
        <v>1200</v>
      </c>
      <c r="F19" s="47" t="s">
        <v>838</v>
      </c>
      <c r="G19" s="47" t="s">
        <v>386</v>
      </c>
      <c r="H19" s="50">
        <v>0.35</v>
      </c>
      <c r="I19" s="47" t="s">
        <v>382</v>
      </c>
      <c r="J19" s="47" t="s">
        <v>386</v>
      </c>
      <c r="K19" s="50">
        <v>0.22</v>
      </c>
      <c r="L19" s="47" t="s">
        <v>294</v>
      </c>
      <c r="M19" s="47" t="s">
        <v>330</v>
      </c>
      <c r="N19" s="50">
        <v>0.12</v>
      </c>
      <c r="O19" s="47" t="s">
        <v>392</v>
      </c>
      <c r="P19" s="47" t="s">
        <v>332</v>
      </c>
      <c r="Q19" s="50">
        <v>0.05</v>
      </c>
    </row>
    <row r="20" spans="4:17" ht="20.100000000000001" customHeight="1" x14ac:dyDescent="0.25">
      <c r="D20" s="74"/>
      <c r="E20" s="137">
        <v>3456</v>
      </c>
      <c r="F20" s="47" t="s">
        <v>387</v>
      </c>
      <c r="G20" s="47" t="s">
        <v>330</v>
      </c>
      <c r="H20" s="50">
        <v>0.2</v>
      </c>
      <c r="I20" s="47" t="s">
        <v>387</v>
      </c>
      <c r="J20" s="47" t="s">
        <v>331</v>
      </c>
      <c r="K20" s="50">
        <v>0.2</v>
      </c>
      <c r="L20" s="47"/>
      <c r="M20" s="47"/>
      <c r="N20" s="50"/>
      <c r="O20" s="47"/>
      <c r="P20" s="47"/>
      <c r="Q20" s="50"/>
    </row>
    <row r="21" spans="4:17" ht="20.100000000000001" customHeight="1" x14ac:dyDescent="0.25">
      <c r="D21" s="74" t="s">
        <v>295</v>
      </c>
      <c r="E21" s="137">
        <v>300</v>
      </c>
      <c r="F21" s="47" t="s">
        <v>915</v>
      </c>
      <c r="G21" s="47" t="s">
        <v>386</v>
      </c>
      <c r="H21" s="50">
        <v>0.8</v>
      </c>
      <c r="I21" s="47" t="s">
        <v>383</v>
      </c>
      <c r="J21" s="47" t="s">
        <v>388</v>
      </c>
      <c r="K21" s="50">
        <v>0.2</v>
      </c>
      <c r="L21" s="47"/>
      <c r="M21" s="47"/>
      <c r="N21" s="50"/>
      <c r="O21" s="47"/>
      <c r="P21" s="47"/>
      <c r="Q21" s="50"/>
    </row>
    <row r="22" spans="4:17" ht="20.100000000000001" customHeight="1" x14ac:dyDescent="0.25">
      <c r="D22" s="74"/>
      <c r="E22" s="137">
        <v>500</v>
      </c>
      <c r="F22" s="47" t="s">
        <v>394</v>
      </c>
      <c r="G22" s="47" t="s">
        <v>337</v>
      </c>
      <c r="H22" s="50">
        <v>1</v>
      </c>
      <c r="I22" s="47"/>
      <c r="J22" s="47"/>
      <c r="K22" s="50"/>
      <c r="L22" s="47"/>
      <c r="M22" s="47"/>
      <c r="N22" s="50"/>
      <c r="O22" s="47"/>
      <c r="P22" s="47"/>
      <c r="Q22" s="50"/>
    </row>
    <row r="23" spans="4:17" ht="20.100000000000001" customHeight="1" x14ac:dyDescent="0.25">
      <c r="D23" s="74"/>
      <c r="E23" s="137"/>
      <c r="F23" s="47"/>
      <c r="G23" s="47"/>
      <c r="H23" s="50"/>
      <c r="I23" s="47"/>
      <c r="J23" s="47"/>
      <c r="K23" s="50"/>
      <c r="L23" s="47"/>
      <c r="M23" s="47"/>
      <c r="N23" s="50"/>
      <c r="O23" s="47"/>
      <c r="P23" s="47"/>
      <c r="Q23" s="50"/>
    </row>
    <row r="24" spans="4:17" ht="20.100000000000001" customHeight="1" x14ac:dyDescent="0.25">
      <c r="D24" s="74"/>
      <c r="E24" s="137"/>
      <c r="F24" s="47"/>
      <c r="G24" s="47"/>
      <c r="H24" s="50"/>
      <c r="I24" s="47"/>
      <c r="J24" s="47"/>
      <c r="K24" s="50"/>
      <c r="L24" s="47"/>
      <c r="M24" s="47"/>
      <c r="N24" s="50"/>
      <c r="O24" s="47"/>
      <c r="P24" s="47"/>
      <c r="Q24" s="50"/>
    </row>
    <row r="25" spans="4:17" ht="20.100000000000001" customHeight="1" x14ac:dyDescent="0.25">
      <c r="D25" s="74"/>
      <c r="E25" s="137"/>
      <c r="F25" s="47"/>
      <c r="G25" s="47"/>
      <c r="H25" s="50"/>
      <c r="I25" s="47"/>
      <c r="J25" s="47"/>
      <c r="K25" s="50"/>
      <c r="L25" s="47"/>
      <c r="M25" s="47"/>
      <c r="N25" s="50"/>
      <c r="O25" s="47"/>
      <c r="P25" s="47"/>
      <c r="Q25" s="50"/>
    </row>
    <row r="26" spans="4:17" ht="20.100000000000001" customHeight="1" x14ac:dyDescent="0.25">
      <c r="D26" s="74"/>
      <c r="E26" s="137"/>
      <c r="F26" s="47"/>
      <c r="G26" s="47"/>
      <c r="H26" s="50"/>
      <c r="I26" s="47"/>
      <c r="J26" s="47"/>
      <c r="K26" s="50"/>
      <c r="L26" s="47"/>
      <c r="M26" s="47"/>
      <c r="N26" s="50"/>
      <c r="O26" s="47"/>
      <c r="P26" s="47"/>
      <c r="Q26" s="50"/>
    </row>
    <row r="27" spans="4:17" ht="20.100000000000001" customHeight="1" x14ac:dyDescent="0.25">
      <c r="D27" s="74"/>
      <c r="E27" s="137"/>
      <c r="F27" s="47"/>
      <c r="G27" s="47"/>
      <c r="H27" s="50"/>
      <c r="I27" s="47"/>
      <c r="J27" s="47"/>
      <c r="K27" s="50"/>
      <c r="L27" s="47"/>
      <c r="M27" s="47"/>
      <c r="N27" s="50"/>
      <c r="O27" s="47"/>
      <c r="P27" s="47"/>
      <c r="Q27" s="50"/>
    </row>
    <row r="28" spans="4:17" ht="20.100000000000001" customHeight="1" x14ac:dyDescent="0.25">
      <c r="D28" s="74"/>
      <c r="E28" s="137"/>
      <c r="F28" s="47"/>
      <c r="G28" s="47"/>
      <c r="H28" s="50"/>
      <c r="I28" s="47"/>
      <c r="J28" s="47"/>
      <c r="K28" s="50"/>
      <c r="L28" s="47"/>
      <c r="M28" s="47"/>
      <c r="N28" s="50"/>
      <c r="O28" s="47"/>
      <c r="P28" s="47"/>
      <c r="Q28" s="50"/>
    </row>
    <row r="29" spans="4:17" ht="20.100000000000001" customHeight="1" x14ac:dyDescent="0.25"/>
    <row r="30" spans="4:17" ht="20.100000000000001" customHeight="1" x14ac:dyDescent="0.25"/>
    <row r="31" spans="4:17" ht="20.100000000000001" customHeight="1" x14ac:dyDescent="0.25">
      <c r="D31" s="135" t="s">
        <v>822</v>
      </c>
    </row>
    <row r="32" spans="4:17" ht="20.100000000000001" customHeight="1" x14ac:dyDescent="0.25">
      <c r="D32" s="46" t="s">
        <v>168</v>
      </c>
      <c r="E32" s="46" t="s">
        <v>339</v>
      </c>
      <c r="F32" s="46" t="s">
        <v>370</v>
      </c>
    </row>
    <row r="33" spans="4:6" ht="20.100000000000001" customHeight="1" x14ac:dyDescent="0.25">
      <c r="D33" s="74" t="s">
        <v>374</v>
      </c>
      <c r="E33" s="67" t="s">
        <v>366</v>
      </c>
      <c r="F33" s="64">
        <v>100</v>
      </c>
    </row>
    <row r="34" spans="4:6" ht="20.100000000000001" customHeight="1" x14ac:dyDescent="0.25">
      <c r="D34" s="74" t="s">
        <v>375</v>
      </c>
      <c r="E34" s="154" t="s">
        <v>367</v>
      </c>
      <c r="F34" s="141">
        <v>100</v>
      </c>
    </row>
    <row r="35" spans="4:6" ht="20.100000000000001" customHeight="1" x14ac:dyDescent="0.25">
      <c r="D35" s="74" t="s">
        <v>376</v>
      </c>
      <c r="E35" s="154" t="s">
        <v>368</v>
      </c>
      <c r="F35" s="141">
        <v>100</v>
      </c>
    </row>
    <row r="36" spans="4:6" ht="20.100000000000001" customHeight="1" x14ac:dyDescent="0.25">
      <c r="D36" s="74" t="s">
        <v>377</v>
      </c>
      <c r="E36" s="154" t="s">
        <v>369</v>
      </c>
      <c r="F36" s="141">
        <v>100</v>
      </c>
    </row>
    <row r="37" spans="4:6" ht="20.100000000000001" customHeight="1" x14ac:dyDescent="0.25">
      <c r="D37" s="74" t="s">
        <v>374</v>
      </c>
      <c r="E37" s="154" t="s">
        <v>366</v>
      </c>
      <c r="F37" s="141">
        <v>100</v>
      </c>
    </row>
    <row r="38" spans="4:6" ht="20.100000000000001" customHeight="1" x14ac:dyDescent="0.25">
      <c r="D38" s="74" t="s">
        <v>375</v>
      </c>
      <c r="E38" s="154" t="s">
        <v>367</v>
      </c>
      <c r="F38" s="141">
        <v>100</v>
      </c>
    </row>
    <row r="39" spans="4:6" ht="20.100000000000001" customHeight="1" x14ac:dyDescent="0.25">
      <c r="D39" s="74"/>
      <c r="E39" s="67"/>
      <c r="F39" s="64"/>
    </row>
    <row r="40" spans="4:6" ht="20.100000000000001" customHeight="1" x14ac:dyDescent="0.25">
      <c r="D40" s="74"/>
      <c r="E40" s="67"/>
      <c r="F40" s="64"/>
    </row>
    <row r="41" spans="4:6" ht="20.100000000000001" customHeight="1" x14ac:dyDescent="0.25">
      <c r="D41" s="74"/>
      <c r="E41" s="67"/>
      <c r="F41" s="64"/>
    </row>
    <row r="42" spans="4:6" ht="20.100000000000001" customHeight="1" x14ac:dyDescent="0.25">
      <c r="D42" s="74"/>
      <c r="E42" s="67"/>
      <c r="F42" s="64"/>
    </row>
    <row r="43" spans="4:6" ht="20.100000000000001" customHeight="1" x14ac:dyDescent="0.25"/>
    <row r="44" spans="4:6" ht="20.100000000000001" customHeight="1" x14ac:dyDescent="0.25"/>
    <row r="45" spans="4:6" ht="20.100000000000001" customHeight="1" x14ac:dyDescent="0.25"/>
    <row r="46" spans="4:6" ht="20.100000000000001" customHeight="1" x14ac:dyDescent="0.25">
      <c r="D46" s="9" t="s">
        <v>413</v>
      </c>
      <c r="E46" s="14"/>
      <c r="F46" s="14"/>
    </row>
    <row r="47" spans="4:6" ht="20.100000000000001" customHeight="1" x14ac:dyDescent="0.25">
      <c r="D47" s="8" t="str">
        <f>'Constants - Scope 3'!E202</f>
        <v>Animal ear tags (large)</v>
      </c>
      <c r="E47" s="64">
        <v>100</v>
      </c>
      <c r="F47" s="63" t="s">
        <v>400</v>
      </c>
    </row>
    <row r="48" spans="4:6" ht="20.100000000000001" customHeight="1" x14ac:dyDescent="0.25">
      <c r="D48" s="8" t="str">
        <f>'Constants - Scope 3'!E203</f>
        <v>Animal ear tags (small)</v>
      </c>
      <c r="E48" s="64">
        <v>200</v>
      </c>
      <c r="F48" s="63" t="s">
        <v>400</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C1:G55"/>
  <sheetViews>
    <sheetView showGridLines="0" zoomScaleNormal="100" workbookViewId="0">
      <selection activeCell="E12" sqref="E12"/>
    </sheetView>
  </sheetViews>
  <sheetFormatPr defaultRowHeight="15.75" x14ac:dyDescent="0.25"/>
  <cols>
    <col min="1" max="1" width="30.625" customWidth="1"/>
    <col min="2" max="2" width="4.625" customWidth="1"/>
    <col min="3" max="3" width="4.625" style="8" customWidth="1"/>
    <col min="4" max="4" width="36.5" style="8" customWidth="1"/>
    <col min="5" max="6" width="30.625" style="8" customWidth="1"/>
    <col min="7" max="7" width="4.625" style="8" customWidth="1"/>
  </cols>
  <sheetData>
    <row r="1" spans="3:7" s="37" customFormat="1" ht="25.5" x14ac:dyDescent="0.35">
      <c r="C1" s="37" t="s">
        <v>916</v>
      </c>
    </row>
    <row r="2" spans="3:7" s="2" customFormat="1" ht="20.100000000000001" customHeight="1" x14ac:dyDescent="0.25"/>
    <row r="3" spans="3:7" ht="20.100000000000001" customHeight="1" x14ac:dyDescent="0.25">
      <c r="C3" s="38"/>
      <c r="D3" s="38"/>
      <c r="E3" s="38"/>
      <c r="F3" s="38"/>
      <c r="G3" s="38"/>
    </row>
    <row r="4" spans="3:7" ht="20.100000000000001" customHeight="1" x14ac:dyDescent="0.25"/>
    <row r="5" spans="3:7" ht="20.100000000000001" customHeight="1" x14ac:dyDescent="0.25">
      <c r="D5" s="9" t="s">
        <v>917</v>
      </c>
    </row>
    <row r="6" spans="3:7" ht="20.100000000000001" customHeight="1" x14ac:dyDescent="0.25"/>
    <row r="7" spans="3:7" ht="20.100000000000001" customHeight="1" x14ac:dyDescent="0.25">
      <c r="D7" s="8" t="s">
        <v>922</v>
      </c>
      <c r="E7" s="64">
        <v>100</v>
      </c>
      <c r="F7" s="63" t="s">
        <v>924</v>
      </c>
    </row>
    <row r="8" spans="3:7" ht="20.100000000000001" customHeight="1" x14ac:dyDescent="0.25">
      <c r="D8" s="8" t="s">
        <v>923</v>
      </c>
      <c r="E8" s="64">
        <v>100</v>
      </c>
      <c r="F8" s="63" t="s">
        <v>924</v>
      </c>
    </row>
    <row r="9" spans="3:7" ht="20.100000000000001" customHeight="1" x14ac:dyDescent="0.25">
      <c r="D9" s="8" t="s">
        <v>918</v>
      </c>
      <c r="E9" s="64">
        <v>100</v>
      </c>
      <c r="F9" s="63" t="s">
        <v>924</v>
      </c>
    </row>
    <row r="10" spans="3:7" ht="20.100000000000001" customHeight="1" x14ac:dyDescent="0.25">
      <c r="D10" s="8" t="s">
        <v>919</v>
      </c>
      <c r="E10" s="64">
        <v>100</v>
      </c>
      <c r="F10" s="63" t="s">
        <v>924</v>
      </c>
    </row>
    <row r="11" spans="3:7" ht="20.100000000000001" customHeight="1" x14ac:dyDescent="0.25">
      <c r="D11" s="8" t="s">
        <v>920</v>
      </c>
      <c r="E11" s="64">
        <v>100</v>
      </c>
      <c r="F11" s="63" t="s">
        <v>924</v>
      </c>
    </row>
    <row r="12" spans="3:7" ht="20.100000000000001" customHeight="1" x14ac:dyDescent="0.25">
      <c r="D12" s="8" t="s">
        <v>921</v>
      </c>
      <c r="E12" s="64">
        <v>100</v>
      </c>
      <c r="F12" s="63" t="s">
        <v>924</v>
      </c>
    </row>
    <row r="13" spans="3:7" ht="20.100000000000001" customHeight="1" x14ac:dyDescent="0.25"/>
    <row r="14" spans="3:7" ht="20.100000000000001" customHeight="1" x14ac:dyDescent="0.25"/>
    <row r="15" spans="3:7" ht="20.100000000000001" customHeight="1" x14ac:dyDescent="0.25"/>
    <row r="16" spans="3:7"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854</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855</v>
      </c>
      <c r="E5" s="14"/>
      <c r="F5" s="14"/>
      <c r="G5" s="14"/>
      <c r="H5" s="14"/>
      <c r="I5" s="14"/>
      <c r="J5" s="14"/>
    </row>
    <row r="6" spans="1:12" x14ac:dyDescent="0.25">
      <c r="D6" s="10" t="s">
        <v>353</v>
      </c>
      <c r="E6" s="10" t="s">
        <v>424</v>
      </c>
      <c r="F6" s="10" t="s">
        <v>318</v>
      </c>
      <c r="G6" s="10" t="s">
        <v>421</v>
      </c>
      <c r="H6" s="10" t="s">
        <v>321</v>
      </c>
      <c r="I6" s="10" t="s">
        <v>319</v>
      </c>
      <c r="J6" s="153" t="s">
        <v>422</v>
      </c>
      <c r="K6" s="153" t="s">
        <v>423</v>
      </c>
    </row>
    <row r="7" spans="1:12" x14ac:dyDescent="0.25">
      <c r="A7" s="19" t="s">
        <v>67</v>
      </c>
      <c r="D7" s="74" t="s">
        <v>511</v>
      </c>
      <c r="E7" s="149">
        <v>45547</v>
      </c>
      <c r="F7" s="47" t="s">
        <v>482</v>
      </c>
      <c r="G7" s="67" t="s">
        <v>329</v>
      </c>
      <c r="H7" s="47" t="s">
        <v>430</v>
      </c>
      <c r="I7" s="64">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4">
        <v>205</v>
      </c>
    </row>
    <row r="8" spans="1:12" x14ac:dyDescent="0.25">
      <c r="A8" s="16" t="str">
        <f>HYPERLINK("#'Input - Site'!A1", "Site")</f>
        <v>Site</v>
      </c>
      <c r="D8" s="74"/>
      <c r="E8" s="149">
        <v>45292</v>
      </c>
      <c r="F8" s="140" t="s">
        <v>483</v>
      </c>
      <c r="G8" s="67" t="s">
        <v>328</v>
      </c>
      <c r="H8" s="47" t="s">
        <v>429</v>
      </c>
      <c r="I8" s="64">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4">
        <v>465</v>
      </c>
    </row>
    <row r="9" spans="1:12" x14ac:dyDescent="0.25">
      <c r="A9" s="16" t="str">
        <f>HYPERLINK("#'Input - Fuel'!A1", "Fuel")</f>
        <v>Fuel</v>
      </c>
      <c r="D9" s="74"/>
      <c r="E9" s="74"/>
      <c r="F9" s="140"/>
      <c r="G9" s="67"/>
      <c r="H9" s="47"/>
      <c r="I9" s="64"/>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4"/>
    </row>
    <row r="10" spans="1:12" x14ac:dyDescent="0.25">
      <c r="A10" s="16" t="str">
        <f>HYPERLINK("#'Input - Fertiliser'!A1", "Fertiliser")</f>
        <v>Fertiliser</v>
      </c>
      <c r="D10" s="74"/>
      <c r="E10" s="74"/>
      <c r="F10" s="140"/>
      <c r="G10" s="67"/>
      <c r="H10" s="47"/>
      <c r="I10" s="64"/>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4"/>
    </row>
    <row r="11" spans="1:12" x14ac:dyDescent="0.25">
      <c r="A11" s="16" t="str">
        <f>HYPERLINK("#'Input - Farm Inputs'!A1", "Farm Inputs")</f>
        <v>Farm Inputs</v>
      </c>
      <c r="D11" s="74"/>
      <c r="E11" s="74"/>
      <c r="F11" s="140"/>
      <c r="G11" s="67"/>
      <c r="H11" s="47"/>
      <c r="I11" s="64"/>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4"/>
    </row>
    <row r="12" spans="1:12" x14ac:dyDescent="0.25">
      <c r="A12" s="42" t="str">
        <f>HYPERLINK("#'Input - Beef cattle purchases'!A1", "Beef cattle purchases")</f>
        <v>Beef cattle purchases</v>
      </c>
      <c r="D12" s="74"/>
      <c r="E12" s="74"/>
      <c r="F12" s="140"/>
      <c r="G12" s="67"/>
      <c r="H12" s="47"/>
      <c r="I12" s="64"/>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4"/>
    </row>
    <row r="13" spans="1:12" x14ac:dyDescent="0.25">
      <c r="A13" s="16" t="str">
        <f>HYPERLINK("#'Input - Dairy cattle purchases'!A1", "Dairy cattle purchases")</f>
        <v>Dairy cattle purchases</v>
      </c>
      <c r="D13" s="74"/>
      <c r="E13" s="74"/>
      <c r="F13" s="140"/>
      <c r="G13" s="67"/>
      <c r="H13" s="47"/>
      <c r="I13" s="64"/>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4"/>
    </row>
    <row r="14" spans="1:12" x14ac:dyDescent="0.25">
      <c r="A14" s="16" t="str">
        <f>HYPERLINK("#'Input - Pig purchases'!A1", "Pig purchases")</f>
        <v>Pig purchases</v>
      </c>
      <c r="D14" s="74"/>
      <c r="E14" s="74"/>
      <c r="F14" s="140"/>
      <c r="G14" s="67"/>
      <c r="H14" s="47"/>
      <c r="I14" s="64"/>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4"/>
    </row>
    <row r="15" spans="1:12" x14ac:dyDescent="0.25">
      <c r="A15" s="16" t="str">
        <f>HYPERLINK("#'Input - Poultry purchases'!A1", "Poultry purchases")</f>
        <v>Poultry purchases</v>
      </c>
      <c r="D15" s="74"/>
      <c r="E15" s="74"/>
      <c r="F15" s="140"/>
      <c r="G15" s="67"/>
      <c r="H15" s="47"/>
      <c r="I15" s="64"/>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4"/>
    </row>
    <row r="16" spans="1:12" x14ac:dyDescent="0.25">
      <c r="A16" s="16" t="str">
        <f>HYPERLINK("#'Input - Freight'!A1", "Freight")</f>
        <v>Freight</v>
      </c>
      <c r="D16" s="74"/>
      <c r="E16" s="74"/>
      <c r="F16" s="140"/>
      <c r="G16" s="67"/>
      <c r="H16" s="47"/>
      <c r="I16" s="64"/>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4"/>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13"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35"/>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853</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c r="I5" s="14"/>
    </row>
    <row r="6" spans="3:10" x14ac:dyDescent="0.25">
      <c r="D6" s="153" t="s">
        <v>353</v>
      </c>
      <c r="E6" s="153" t="s">
        <v>318</v>
      </c>
      <c r="F6" s="153" t="s">
        <v>513</v>
      </c>
      <c r="G6" s="153" t="s">
        <v>319</v>
      </c>
      <c r="H6" s="153" t="s">
        <v>422</v>
      </c>
      <c r="I6" s="153" t="s">
        <v>423</v>
      </c>
    </row>
    <row r="7" spans="3:10" x14ac:dyDescent="0.25">
      <c r="D7" s="74" t="s">
        <v>512</v>
      </c>
      <c r="E7" s="47" t="s">
        <v>510</v>
      </c>
      <c r="F7" s="47" t="s">
        <v>836</v>
      </c>
      <c r="G7" s="64">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4">
        <v>350</v>
      </c>
    </row>
    <row r="8" spans="3:10" x14ac:dyDescent="0.25">
      <c r="D8" s="74"/>
      <c r="E8" s="140" t="s">
        <v>509</v>
      </c>
      <c r="F8" s="47" t="s">
        <v>837</v>
      </c>
      <c r="G8" s="64">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4">
        <v>625</v>
      </c>
    </row>
    <row r="9" spans="3:10" x14ac:dyDescent="0.25">
      <c r="D9" s="74"/>
      <c r="E9" s="140" t="s">
        <v>518</v>
      </c>
      <c r="F9" s="47" t="s">
        <v>836</v>
      </c>
      <c r="G9" s="64"/>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4"/>
    </row>
    <row r="10" spans="3:10" x14ac:dyDescent="0.25">
      <c r="D10" s="74"/>
      <c r="E10" s="140"/>
      <c r="F10" s="47"/>
      <c r="G10" s="64"/>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4"/>
    </row>
    <row r="11" spans="3:10" x14ac:dyDescent="0.25">
      <c r="D11" s="74"/>
      <c r="E11" s="140"/>
      <c r="F11" s="47"/>
      <c r="G11" s="64"/>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4"/>
    </row>
    <row r="12" spans="3:10" x14ac:dyDescent="0.25">
      <c r="D12" s="74"/>
      <c r="E12" s="140"/>
      <c r="F12" s="47"/>
      <c r="G12" s="64"/>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4"/>
    </row>
    <row r="13" spans="3:10" x14ac:dyDescent="0.25">
      <c r="D13" s="74"/>
      <c r="E13" s="140"/>
      <c r="F13" s="47"/>
      <c r="G13" s="64"/>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4"/>
    </row>
    <row r="14" spans="3:10" x14ac:dyDescent="0.25">
      <c r="D14" s="74"/>
      <c r="E14" s="140"/>
      <c r="F14" s="47"/>
      <c r="G14" s="64"/>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4"/>
    </row>
    <row r="15" spans="3:10" x14ac:dyDescent="0.25">
      <c r="D15" s="74"/>
      <c r="E15" s="140"/>
      <c r="F15" s="47"/>
      <c r="G15" s="64"/>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4"/>
    </row>
    <row r="16" spans="3:10" x14ac:dyDescent="0.25">
      <c r="D16" s="74"/>
      <c r="E16" s="140"/>
      <c r="F16" s="47"/>
      <c r="G16" s="64"/>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4"/>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zoomScaleNormal="100" workbookViewId="0">
      <selection activeCell="E21" sqref="E2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852</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row>
    <row r="6" spans="3:10" x14ac:dyDescent="0.25">
      <c r="D6" s="153" t="s">
        <v>353</v>
      </c>
      <c r="E6" s="153" t="s">
        <v>318</v>
      </c>
      <c r="F6" s="153" t="s">
        <v>319</v>
      </c>
      <c r="G6" s="153" t="s">
        <v>422</v>
      </c>
      <c r="H6" s="153" t="s">
        <v>423</v>
      </c>
    </row>
    <row r="7" spans="3:10" x14ac:dyDescent="0.25">
      <c r="D7" s="74" t="s">
        <v>559</v>
      </c>
      <c r="E7" s="47" t="s">
        <v>560</v>
      </c>
      <c r="F7" s="64">
        <v>100</v>
      </c>
      <c r="G7" s="49" cm="1">
        <f t="array" ref="G7">Common_InputFunctions.Utility_LookupValueInTableNumber(Table_Input_LivestockPurchases_Pigs[[#This Row],[Class (select)]], Table_SourceData_Swine_Liveweight[Livestock type j],Table_SourceData_Swine_Liveweight[Average liveweight (kg)])</f>
        <v>188</v>
      </c>
      <c r="H7" s="64">
        <v>180</v>
      </c>
    </row>
    <row r="8" spans="3:10" x14ac:dyDescent="0.25">
      <c r="D8" s="74" t="s">
        <v>561</v>
      </c>
      <c r="E8" s="140" t="s">
        <v>560</v>
      </c>
      <c r="F8" s="64">
        <v>100</v>
      </c>
      <c r="G8" s="49" cm="1">
        <f t="array" ref="G8">Common_InputFunctions.Utility_LookupValueInTableNumber(Table_Input_LivestockPurchases_Pigs[[#This Row],[Class (select)]], Table_SourceData_Swine_Liveweight[Livestock type j],Table_SourceData_Swine_Liveweight[Average liveweight (kg)])</f>
        <v>188</v>
      </c>
      <c r="H8" s="64">
        <v>38</v>
      </c>
    </row>
    <row r="9" spans="3:10" x14ac:dyDescent="0.25">
      <c r="D9" s="74"/>
      <c r="E9" s="140"/>
      <c r="F9" s="64"/>
      <c r="G9" s="49" cm="1">
        <f t="array" ref="G9">Common_InputFunctions.Utility_LookupValueInTableNumber(Table_Input_LivestockPurchases_Pigs[[#This Row],[Class (select)]], Table_SourceData_Swine_Liveweight[Livestock type j],Table_SourceData_Swine_Liveweight[Average liveweight (kg)])</f>
        <v>0</v>
      </c>
      <c r="H9" s="64"/>
    </row>
    <row r="10" spans="3:10" x14ac:dyDescent="0.25">
      <c r="D10" s="74"/>
      <c r="E10" s="140"/>
      <c r="F10" s="64"/>
      <c r="G10" s="49" cm="1">
        <f t="array" ref="G10">Common_InputFunctions.Utility_LookupValueInTableNumber(Table_Input_LivestockPurchases_Pigs[[#This Row],[Class (select)]], Table_SourceData_Swine_Liveweight[Livestock type j],Table_SourceData_Swine_Liveweight[Average liveweight (kg)])</f>
        <v>0</v>
      </c>
      <c r="H10" s="64"/>
    </row>
    <row r="11" spans="3:10" x14ac:dyDescent="0.25">
      <c r="D11" s="74"/>
      <c r="E11" s="140"/>
      <c r="F11" s="64"/>
      <c r="G11" s="49" cm="1">
        <f t="array" ref="G11">Common_InputFunctions.Utility_LookupValueInTableNumber(Table_Input_LivestockPurchases_Pigs[[#This Row],[Class (select)]], Table_SourceData_Swine_Liveweight[Livestock type j],Table_SourceData_Swine_Liveweight[Average liveweight (kg)])</f>
        <v>0</v>
      </c>
      <c r="H11" s="64"/>
    </row>
    <row r="12" spans="3:10" x14ac:dyDescent="0.25">
      <c r="D12" s="74"/>
      <c r="E12" s="140"/>
      <c r="F12" s="64"/>
      <c r="G12" s="49" cm="1">
        <f t="array" ref="G12">Common_InputFunctions.Utility_LookupValueInTableNumber(Table_Input_LivestockPurchases_Pigs[[#This Row],[Class (select)]], Table_SourceData_Swine_Liveweight[Livestock type j],Table_SourceData_Swine_Liveweight[Average liveweight (kg)])</f>
        <v>0</v>
      </c>
      <c r="H12" s="64"/>
    </row>
    <row r="13" spans="3:10" x14ac:dyDescent="0.25">
      <c r="D13" s="74"/>
      <c r="E13" s="140"/>
      <c r="F13" s="64"/>
      <c r="G13" s="49" cm="1">
        <f t="array" ref="G13">Common_InputFunctions.Utility_LookupValueInTableNumber(Table_Input_LivestockPurchases_Pigs[[#This Row],[Class (select)]], Table_SourceData_Swine_Liveweight[Livestock type j],Table_SourceData_Swine_Liveweight[Average liveweight (kg)])</f>
        <v>0</v>
      </c>
      <c r="H13" s="64"/>
    </row>
    <row r="14" spans="3:10" x14ac:dyDescent="0.25">
      <c r="D14" s="74"/>
      <c r="E14" s="140"/>
      <c r="F14" s="64"/>
      <c r="G14" s="49" cm="1">
        <f t="array" ref="G14">Common_InputFunctions.Utility_LookupValueInTableNumber(Table_Input_LivestockPurchases_Pigs[[#This Row],[Class (select)]], Table_SourceData_Swine_Liveweight[Livestock type j],Table_SourceData_Swine_Liveweight[Average liveweight (kg)])</f>
        <v>0</v>
      </c>
      <c r="H14" s="64"/>
    </row>
    <row r="15" spans="3:10" x14ac:dyDescent="0.25">
      <c r="D15" s="74"/>
      <c r="E15" s="140"/>
      <c r="F15" s="64"/>
      <c r="G15" s="49" cm="1">
        <f t="array" ref="G15">Common_InputFunctions.Utility_LookupValueInTableNumber(Table_Input_LivestockPurchases_Pigs[[#This Row],[Class (select)]], Table_SourceData_Swine_Liveweight[Livestock type j],Table_SourceData_Swine_Liveweight[Average liveweight (kg)])</f>
        <v>0</v>
      </c>
      <c r="H15" s="64"/>
    </row>
    <row r="16" spans="3:10" x14ac:dyDescent="0.25">
      <c r="D16" s="74"/>
      <c r="E16" s="140"/>
      <c r="F16" s="64"/>
      <c r="G16" s="49" cm="1">
        <f t="array" ref="G16">Common_InputFunctions.Utility_LookupValueInTableNumber(Table_Input_LivestockPurchases_Pigs[[#This Row],[Class (select)]], Table_SourceData_Swine_Liveweight[Livestock type j],Table_SourceData_Swine_Liveweight[Average liveweight (kg)])</f>
        <v>0</v>
      </c>
      <c r="H16" s="64"/>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zoomScaleNormal="100" workbookViewId="0">
      <selection activeCell="E8" sqref="E8"/>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851</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row>
    <row r="6" spans="3:10" x14ac:dyDescent="0.25">
      <c r="D6" s="153" t="s">
        <v>353</v>
      </c>
      <c r="E6" s="153" t="s">
        <v>318</v>
      </c>
      <c r="F6" s="153" t="s">
        <v>319</v>
      </c>
      <c r="G6" s="153" t="s">
        <v>422</v>
      </c>
      <c r="H6" s="153" t="s">
        <v>423</v>
      </c>
    </row>
    <row r="7" spans="3:10" x14ac:dyDescent="0.25">
      <c r="D7" s="74" t="s">
        <v>564</v>
      </c>
      <c r="E7" s="47" t="s">
        <v>592</v>
      </c>
      <c r="F7" s="64">
        <v>100</v>
      </c>
      <c r="G7" s="49" cm="1">
        <f t="array" ref="G7">Common_InputFunctions.Utility_LookupValueInTableNumber(Table_Input_LivestockPurchases_Poultry[[#This Row],[Class (select)]], Table_SourceData_Poultry_Liveweights[Livestock class j],Table_SourceData_Poultry_Liveweights[Average liveweight (kg)])</f>
        <v>1.3</v>
      </c>
      <c r="H7" s="64">
        <v>1.3</v>
      </c>
    </row>
    <row r="8" spans="3:10" x14ac:dyDescent="0.25">
      <c r="D8" s="74" t="s">
        <v>565</v>
      </c>
      <c r="E8" s="140" t="s">
        <v>593</v>
      </c>
      <c r="F8" s="64">
        <v>100</v>
      </c>
      <c r="G8" s="49" cm="1">
        <f t="array" ref="G8">Common_InputFunctions.Utility_LookupValueInTableNumber(Table_Input_LivestockPurchases_Poultry[[#This Row],[Class (select)]], Table_SourceData_Poultry_Liveweights[Livestock class j],Table_SourceData_Poultry_Liveweights[Average liveweight (kg)])</f>
        <v>1.4</v>
      </c>
      <c r="H8" s="64">
        <v>1.4</v>
      </c>
    </row>
    <row r="9" spans="3:10" x14ac:dyDescent="0.25">
      <c r="D9" s="74"/>
      <c r="E9" s="140"/>
      <c r="F9" s="64"/>
      <c r="G9" s="49" cm="1">
        <f t="array" ref="G9">Common_InputFunctions.Utility_LookupValueInTableNumber(Table_Input_LivestockPurchases_Poultry[[#This Row],[Class (select)]], Table_SourceData_Poultry_Liveweights[Livestock class j],Table_SourceData_Poultry_Liveweights[Average liveweight (kg)])</f>
        <v>0</v>
      </c>
      <c r="H9" s="64"/>
    </row>
    <row r="10" spans="3:10" x14ac:dyDescent="0.25">
      <c r="D10" s="74"/>
      <c r="E10" s="140"/>
      <c r="F10" s="64"/>
      <c r="G10" s="49" cm="1">
        <f t="array" ref="G10">Common_InputFunctions.Utility_LookupValueInTableNumber(Table_Input_LivestockPurchases_Poultry[[#This Row],[Class (select)]], Table_SourceData_Poultry_Liveweights[Livestock class j],Table_SourceData_Poultry_Liveweights[Average liveweight (kg)])</f>
        <v>0</v>
      </c>
      <c r="H10" s="64"/>
    </row>
    <row r="11" spans="3:10" x14ac:dyDescent="0.25">
      <c r="D11" s="74"/>
      <c r="E11" s="140"/>
      <c r="F11" s="64"/>
      <c r="G11" s="49" cm="1">
        <f t="array" ref="G11">Common_InputFunctions.Utility_LookupValueInTableNumber(Table_Input_LivestockPurchases_Poultry[[#This Row],[Class (select)]], Table_SourceData_Poultry_Liveweights[Livestock class j],Table_SourceData_Poultry_Liveweights[Average liveweight (kg)])</f>
        <v>0</v>
      </c>
      <c r="H11" s="64"/>
    </row>
    <row r="12" spans="3:10" x14ac:dyDescent="0.25">
      <c r="D12" s="74"/>
      <c r="E12" s="140"/>
      <c r="F12" s="64"/>
      <c r="G12" s="49" cm="1">
        <f t="array" ref="G12">Common_InputFunctions.Utility_LookupValueInTableNumber(Table_Input_LivestockPurchases_Poultry[[#This Row],[Class (select)]], Table_SourceData_Poultry_Liveweights[Livestock class j],Table_SourceData_Poultry_Liveweights[Average liveweight (kg)])</f>
        <v>0</v>
      </c>
      <c r="H12" s="64"/>
    </row>
    <row r="13" spans="3:10" x14ac:dyDescent="0.25">
      <c r="D13" s="74"/>
      <c r="E13" s="140"/>
      <c r="F13" s="64"/>
      <c r="G13" s="49" cm="1">
        <f t="array" ref="G13">Common_InputFunctions.Utility_LookupValueInTableNumber(Table_Input_LivestockPurchases_Poultry[[#This Row],[Class (select)]], Table_SourceData_Poultry_Liveweights[Livestock class j],Table_SourceData_Poultry_Liveweights[Average liveweight (kg)])</f>
        <v>0</v>
      </c>
      <c r="H13" s="64"/>
    </row>
    <row r="14" spans="3:10" x14ac:dyDescent="0.25">
      <c r="D14" s="74"/>
      <c r="E14" s="140"/>
      <c r="F14" s="64"/>
      <c r="G14" s="49" cm="1">
        <f t="array" ref="G14">Common_InputFunctions.Utility_LookupValueInTableNumber(Table_Input_LivestockPurchases_Poultry[[#This Row],[Class (select)]], Table_SourceData_Poultry_Liveweights[Livestock class j],Table_SourceData_Poultry_Liveweights[Average liveweight (kg)])</f>
        <v>0</v>
      </c>
      <c r="H14" s="64"/>
    </row>
    <row r="15" spans="3:10" x14ac:dyDescent="0.25">
      <c r="D15" s="74"/>
      <c r="E15" s="140"/>
      <c r="F15" s="64"/>
      <c r="G15" s="49" cm="1">
        <f t="array" ref="G15">Common_InputFunctions.Utility_LookupValueInTableNumber(Table_Input_LivestockPurchases_Poultry[[#This Row],[Class (select)]], Table_SourceData_Poultry_Liveweights[Livestock class j],Table_SourceData_Poultry_Liveweights[Average liveweight (kg)])</f>
        <v>0</v>
      </c>
      <c r="H15" s="64"/>
    </row>
    <row r="16" spans="3:10" x14ac:dyDescent="0.25">
      <c r="D16" s="74"/>
      <c r="E16" s="140"/>
      <c r="F16" s="64"/>
      <c r="G16" s="49" cm="1">
        <f t="array" ref="G16">Common_InputFunctions.Utility_LookupValueInTableNumber(Table_Input_LivestockPurchases_Poultry[[#This Row],[Class (select)]], Table_SourceData_Poultry_Liveweights[Livestock class j],Table_SourceData_Poultry_Liveweights[Average liveweight (kg)])</f>
        <v>0</v>
      </c>
      <c r="H16" s="64"/>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topLeftCell="A7" zoomScaleNormal="100" workbookViewId="0">
      <selection activeCell="A11" sqref="A11"/>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824</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801</v>
      </c>
    </row>
    <row r="7" spans="1:10" ht="20.100000000000001" customHeight="1" x14ac:dyDescent="0.25">
      <c r="A7" s="19" t="s">
        <v>67</v>
      </c>
    </row>
    <row r="8" spans="1:10" ht="20.100000000000001" customHeight="1" x14ac:dyDescent="0.25">
      <c r="A8" s="16" t="str">
        <f>HYPERLINK("#'Input - Site'!A1", "Site")</f>
        <v>Site</v>
      </c>
      <c r="D8" s="10" t="s">
        <v>803</v>
      </c>
      <c r="E8" s="10" t="s">
        <v>806</v>
      </c>
      <c r="F8" s="10" t="s">
        <v>807</v>
      </c>
      <c r="G8" s="10" t="s">
        <v>804</v>
      </c>
      <c r="H8" s="10" t="s">
        <v>805</v>
      </c>
    </row>
    <row r="9" spans="1:10" ht="20.100000000000001" customHeight="1" x14ac:dyDescent="0.25">
      <c r="A9" s="16" t="str">
        <f>HYPERLINK("#'Input - Fuel'!A1", "Fuel")</f>
        <v>Fuel</v>
      </c>
      <c r="D9" s="74" t="s">
        <v>810</v>
      </c>
      <c r="E9" s="47" t="s">
        <v>808</v>
      </c>
      <c r="F9" s="10">
        <v>986</v>
      </c>
      <c r="G9" s="10">
        <v>10</v>
      </c>
      <c r="H9" s="10">
        <v>52</v>
      </c>
    </row>
    <row r="10" spans="1:10" ht="20.100000000000001" customHeight="1" x14ac:dyDescent="0.25">
      <c r="A10" s="16" t="str">
        <f>HYPERLINK("#'Input - Fertiliser'!A1", "Fertiliser")</f>
        <v>Fertiliser</v>
      </c>
      <c r="D10" s="74" t="s">
        <v>812</v>
      </c>
      <c r="E10" s="47" t="s">
        <v>813</v>
      </c>
      <c r="F10" s="10">
        <v>65</v>
      </c>
      <c r="G10" s="10">
        <v>10</v>
      </c>
      <c r="H10" s="10">
        <v>6</v>
      </c>
    </row>
    <row r="11" spans="1:10" ht="20.100000000000001" customHeight="1" x14ac:dyDescent="0.25">
      <c r="A11" s="16" t="str">
        <f>HYPERLINK("#'Input - Farm Inputs'!A1", "Farm Inputs")</f>
        <v>Farm Inputs</v>
      </c>
      <c r="D11" s="74"/>
      <c r="E11" s="47"/>
      <c r="F11" s="10"/>
      <c r="G11" s="10"/>
      <c r="H11" s="10"/>
    </row>
    <row r="12" spans="1:10" ht="20.100000000000001" customHeight="1" x14ac:dyDescent="0.25">
      <c r="A12" s="16" t="str">
        <f>HYPERLINK("#'Input - Livestock purchases'!A1", "Livestock purchases")</f>
        <v>Livestock purchases</v>
      </c>
      <c r="D12" s="74"/>
      <c r="E12" s="47"/>
      <c r="F12" s="10"/>
      <c r="G12" s="10"/>
      <c r="H12" s="10"/>
    </row>
    <row r="13" spans="1:10" ht="20.100000000000001" customHeight="1" x14ac:dyDescent="0.25">
      <c r="A13" s="42" t="str">
        <f>HYPERLINK("#'Input - Freight'!A1", "Freight")</f>
        <v>Freight</v>
      </c>
      <c r="D13" s="74"/>
      <c r="E13" s="47"/>
      <c r="F13" s="10"/>
      <c r="G13" s="10"/>
      <c r="H13" s="10"/>
    </row>
    <row r="14" spans="1:10" ht="20.100000000000001" customHeight="1" x14ac:dyDescent="0.25">
      <c r="A14" s="16" t="str">
        <f>HYPERLINK("#'Input - Solid waste'!A1", "Solid waste")</f>
        <v>Solid waste</v>
      </c>
      <c r="D14" s="74"/>
      <c r="E14" s="47"/>
      <c r="F14" s="10"/>
      <c r="G14" s="10"/>
      <c r="H14" s="10"/>
    </row>
    <row r="15" spans="1:10" ht="20.100000000000001" customHeight="1" x14ac:dyDescent="0.25">
      <c r="A15" s="16" t="str">
        <f>HYPERLINK("#'Input - Manure sent off-site'!A1", "Manure sent off-site")</f>
        <v>Manure sent off-site</v>
      </c>
      <c r="D15" s="74"/>
      <c r="E15" s="47"/>
      <c r="F15" s="10"/>
      <c r="G15" s="10"/>
      <c r="H15" s="10"/>
    </row>
    <row r="16" spans="1:10" ht="20.100000000000001" customHeight="1" x14ac:dyDescent="0.25">
      <c r="A16" s="16" t="str">
        <f>HYPERLINK("#'Input - Electricity'!A1", "Electricity")</f>
        <v>Electricity</v>
      </c>
      <c r="D16" s="74"/>
      <c r="E16" s="47"/>
      <c r="F16" s="10"/>
      <c r="G16" s="10"/>
      <c r="H16" s="10"/>
    </row>
    <row r="17" spans="1:8" ht="20.100000000000001" customHeight="1" x14ac:dyDescent="0.25">
      <c r="D17" s="74"/>
      <c r="E17" s="47"/>
      <c r="F17" s="10"/>
      <c r="G17" s="10"/>
      <c r="H17" s="10"/>
    </row>
    <row r="18" spans="1:8" ht="20.100000000000001" customHeight="1" x14ac:dyDescent="0.25">
      <c r="D18" s="74"/>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809</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803</v>
      </c>
      <c r="E24" s="10" t="s">
        <v>806</v>
      </c>
      <c r="F24" s="10" t="s">
        <v>807</v>
      </c>
      <c r="G24" s="10" t="s">
        <v>804</v>
      </c>
      <c r="H24" s="10" t="s">
        <v>805</v>
      </c>
    </row>
    <row r="25" spans="1:8" ht="20.100000000000001" customHeight="1" x14ac:dyDescent="0.25">
      <c r="D25" s="74" t="s">
        <v>811</v>
      </c>
      <c r="E25" s="47" t="s">
        <v>808</v>
      </c>
      <c r="F25" s="10">
        <v>65</v>
      </c>
      <c r="G25" s="10">
        <v>20</v>
      </c>
      <c r="H25" s="10">
        <v>52</v>
      </c>
    </row>
    <row r="26" spans="1:8" ht="20.100000000000001" customHeight="1" x14ac:dyDescent="0.25">
      <c r="D26" s="74"/>
      <c r="E26" s="47"/>
      <c r="F26" s="10"/>
      <c r="G26" s="10"/>
      <c r="H26" s="10"/>
    </row>
    <row r="27" spans="1:8" ht="20.100000000000001" customHeight="1" x14ac:dyDescent="0.25">
      <c r="A27" s="213" t="s">
        <v>78</v>
      </c>
      <c r="D27" s="74"/>
      <c r="E27" s="47"/>
      <c r="F27" s="10"/>
      <c r="G27" s="10"/>
      <c r="H27" s="10"/>
    </row>
    <row r="28" spans="1:8" ht="20.100000000000001" customHeight="1" x14ac:dyDescent="0.25">
      <c r="A28" s="16" t="str">
        <f>HYPERLINK("#'Constants - Scope 3'!A1", "Constants - Scope 3")</f>
        <v>Constants - Scope 3</v>
      </c>
      <c r="D28" s="74"/>
      <c r="E28" s="47"/>
      <c r="F28" s="10"/>
      <c r="G28" s="10"/>
      <c r="H28" s="10"/>
    </row>
    <row r="29" spans="1:8" ht="20.100000000000001" customHeight="1" x14ac:dyDescent="0.25">
      <c r="A29" s="16" t="str">
        <f>HYPERLINK("#'Constants - Solid Waste'!A1", "Constants - Solid Waste")</f>
        <v>Constants - Solid Waste</v>
      </c>
      <c r="D29" s="74"/>
      <c r="E29" s="47"/>
      <c r="F29" s="10"/>
      <c r="G29" s="10"/>
      <c r="H29" s="10"/>
    </row>
    <row r="30" spans="1:8" ht="20.100000000000001" customHeight="1" x14ac:dyDescent="0.25">
      <c r="A30" s="16" t="str">
        <f>HYPERLINK("#'Constants - Fuel'!A1", "Constants - Fuel")</f>
        <v>Constants - Fuel</v>
      </c>
      <c r="D30" s="74"/>
      <c r="E30" s="47"/>
      <c r="F30" s="10"/>
      <c r="G30" s="10"/>
      <c r="H30" s="10"/>
    </row>
    <row r="31" spans="1:8" ht="20.100000000000001" customHeight="1" x14ac:dyDescent="0.25">
      <c r="A31" s="16" t="str">
        <f>HYPERLINK("#'Constants - Poultry'!A1", "Constants - Poultry")</f>
        <v>Constants - Poultry</v>
      </c>
      <c r="D31" s="74"/>
      <c r="E31" s="47"/>
      <c r="F31" s="10"/>
      <c r="G31" s="10"/>
      <c r="H31" s="10"/>
    </row>
    <row r="32" spans="1:8" ht="20.100000000000001" customHeight="1" x14ac:dyDescent="0.25">
      <c r="A32" s="16" t="str">
        <f>HYPERLINK("#'Constants - Swine'!A1", "Constants - Swine")</f>
        <v>Constants - Swine</v>
      </c>
      <c r="D32" s="74"/>
      <c r="E32" s="47"/>
      <c r="F32" s="10"/>
      <c r="G32" s="10"/>
      <c r="H32" s="10"/>
    </row>
    <row r="33" spans="1:8" ht="20.100000000000001" customHeight="1" x14ac:dyDescent="0.25">
      <c r="A33" s="16" t="str">
        <f>HYPERLINK("#'Constants - Dairy'!A1", "Constants - Dairy")</f>
        <v>Constants - Dairy</v>
      </c>
      <c r="D33" s="74"/>
      <c r="E33" s="47"/>
      <c r="F33" s="10"/>
      <c r="G33" s="10"/>
      <c r="H33" s="10"/>
    </row>
    <row r="34" spans="1:8" ht="20.100000000000001" customHeight="1" x14ac:dyDescent="0.25">
      <c r="A34" s="16" t="str">
        <f>HYPERLINK("#'Constants - Pasture Beef'!A1", "Constants - Pasture Beef")</f>
        <v>Constants - Pasture Beef</v>
      </c>
      <c r="D34" s="74"/>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93" t="s">
        <v>760</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785</v>
      </c>
    </row>
    <row r="6" spans="1:11" ht="20.100000000000001" customHeight="1" x14ac:dyDescent="0.25"/>
    <row r="7" spans="1:11" ht="20.100000000000001" customHeight="1" x14ac:dyDescent="0.25">
      <c r="A7" s="19" t="s">
        <v>67</v>
      </c>
      <c r="D7" s="86" t="s">
        <v>121</v>
      </c>
      <c r="E7" s="87"/>
    </row>
    <row r="8" spans="1:11" ht="20.100000000000001" customHeight="1" x14ac:dyDescent="0.25">
      <c r="A8" s="16" t="str">
        <f>HYPERLINK("#'Input - Site'!A1", "Site")</f>
        <v>Site</v>
      </c>
    </row>
    <row r="9" spans="1:11" ht="20.100000000000001" customHeight="1" x14ac:dyDescent="0.25">
      <c r="A9" s="16" t="str">
        <f>HYPERLINK("#'Input - Fuel'!A1", "Fuel")</f>
        <v>Fuel</v>
      </c>
      <c r="D9" s="46" t="s">
        <v>246</v>
      </c>
      <c r="E9" s="46" t="s">
        <v>773</v>
      </c>
      <c r="F9" s="46" t="s">
        <v>774</v>
      </c>
      <c r="G9" s="46" t="s">
        <v>775</v>
      </c>
      <c r="H9" s="46" t="s">
        <v>594</v>
      </c>
      <c r="I9" s="46" t="s">
        <v>776</v>
      </c>
    </row>
    <row r="10" spans="1:11" ht="20.100000000000001" customHeight="1" x14ac:dyDescent="0.25">
      <c r="A10" s="16" t="str">
        <f>HYPERLINK("#'Input - Fertiliser'!A1", "Fertiliser")</f>
        <v>Fertiliser</v>
      </c>
      <c r="D10" s="10" t="s">
        <v>777</v>
      </c>
      <c r="E10" s="47" t="s">
        <v>778</v>
      </c>
      <c r="F10" s="47" t="s">
        <v>779</v>
      </c>
      <c r="G10" s="49" t="s">
        <v>780</v>
      </c>
      <c r="H10" s="64">
        <v>50</v>
      </c>
      <c r="I10" s="47" t="s">
        <v>781</v>
      </c>
    </row>
    <row r="11" spans="1:11" ht="20.100000000000001" customHeight="1" x14ac:dyDescent="0.25">
      <c r="A11" s="16" t="str">
        <f>HYPERLINK("#'Input - Farm Inputs'!A1", "Farm Inputs")</f>
        <v>Farm Inputs</v>
      </c>
      <c r="D11" s="10"/>
      <c r="E11" s="47" t="s">
        <v>778</v>
      </c>
      <c r="F11" s="47" t="s">
        <v>779</v>
      </c>
      <c r="G11" s="49" t="s">
        <v>780</v>
      </c>
      <c r="H11" s="64">
        <v>50</v>
      </c>
      <c r="I11" s="47" t="s">
        <v>781</v>
      </c>
    </row>
    <row r="12" spans="1:11" ht="20.100000000000001" customHeight="1" x14ac:dyDescent="0.25">
      <c r="A12" s="16" t="str">
        <f>HYPERLINK("#'Input - Livestock purchases'!A1", "Livestock purchases")</f>
        <v>Livestock purchases</v>
      </c>
      <c r="D12" s="10"/>
      <c r="E12" s="47" t="s">
        <v>778</v>
      </c>
      <c r="F12" s="47" t="s">
        <v>779</v>
      </c>
      <c r="G12" s="49" t="s">
        <v>780</v>
      </c>
      <c r="H12" s="64">
        <v>50</v>
      </c>
      <c r="I12" s="47" t="s">
        <v>782</v>
      </c>
    </row>
    <row r="13" spans="1:11" ht="20.100000000000001" customHeight="1" x14ac:dyDescent="0.25">
      <c r="A13" s="16" t="str">
        <f>HYPERLINK("#'Input - Freight'!A1", "Freight")</f>
        <v>Freight</v>
      </c>
      <c r="D13" s="10"/>
      <c r="E13" s="47" t="s">
        <v>778</v>
      </c>
      <c r="F13" s="47" t="s">
        <v>779</v>
      </c>
      <c r="G13" s="49" t="s">
        <v>780</v>
      </c>
      <c r="H13" s="64">
        <v>50</v>
      </c>
      <c r="I13" s="47" t="s">
        <v>782</v>
      </c>
    </row>
    <row r="14" spans="1:11" ht="20.100000000000001" customHeight="1" x14ac:dyDescent="0.25">
      <c r="A14" s="42" t="str">
        <f>HYPERLINK("#'Input - Solid waste'!A1", "Solid waste")</f>
        <v>Solid waste</v>
      </c>
      <c r="D14" s="10"/>
      <c r="E14" s="47" t="s">
        <v>783</v>
      </c>
      <c r="F14" s="47" t="s">
        <v>823</v>
      </c>
      <c r="G14" s="49" t="s">
        <v>780</v>
      </c>
      <c r="H14" s="64">
        <v>50</v>
      </c>
      <c r="I14" s="47" t="s">
        <v>781</v>
      </c>
    </row>
    <row r="15" spans="1:11" ht="20.100000000000001" customHeight="1" x14ac:dyDescent="0.25">
      <c r="A15" s="16" t="str">
        <f>HYPERLINK("#'Input - Manure sent off-site'!A1", "Manure sent off-site")</f>
        <v>Manure sent off-site</v>
      </c>
      <c r="D15" s="10"/>
      <c r="E15" s="47" t="s">
        <v>783</v>
      </c>
      <c r="F15" s="47" t="s">
        <v>784</v>
      </c>
      <c r="G15" s="49" t="s">
        <v>780</v>
      </c>
      <c r="H15" s="64">
        <v>50</v>
      </c>
      <c r="I15" s="47" t="s">
        <v>781</v>
      </c>
    </row>
    <row r="16" spans="1:11" ht="20.100000000000001" customHeight="1" x14ac:dyDescent="0.25">
      <c r="A16" s="16" t="str">
        <f>HYPERLINK("#'Input - Electricity'!A1", "Electricity")</f>
        <v>Electricity</v>
      </c>
      <c r="D16" s="10"/>
      <c r="E16" s="47" t="s">
        <v>783</v>
      </c>
      <c r="F16" s="47" t="s">
        <v>784</v>
      </c>
      <c r="G16" s="49" t="s">
        <v>780</v>
      </c>
      <c r="H16" s="64">
        <v>50</v>
      </c>
      <c r="I16" s="47" t="s">
        <v>782</v>
      </c>
    </row>
    <row r="17" spans="1:9" ht="20.100000000000001" customHeight="1" x14ac:dyDescent="0.25">
      <c r="D17" s="10"/>
      <c r="E17" s="47" t="s">
        <v>783</v>
      </c>
      <c r="F17" s="47" t="s">
        <v>784</v>
      </c>
      <c r="G17" s="49" t="s">
        <v>780</v>
      </c>
      <c r="H17" s="64">
        <v>50</v>
      </c>
      <c r="I17" s="47" t="s">
        <v>782</v>
      </c>
    </row>
    <row r="18" spans="1:9" ht="20.100000000000001" customHeight="1" x14ac:dyDescent="0.25">
      <c r="D18" s="10"/>
      <c r="E18" s="47" t="s">
        <v>783</v>
      </c>
      <c r="F18" s="47" t="s">
        <v>784</v>
      </c>
      <c r="G18" s="49" t="s">
        <v>780</v>
      </c>
      <c r="H18" s="64">
        <v>50</v>
      </c>
      <c r="I18" s="47" t="s">
        <v>781</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13"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topLeftCell="A3" zoomScaleNormal="100" workbookViewId="0">
      <selection activeCell="A20" sqref="A20"/>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846</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738</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847</v>
      </c>
      <c r="F10" s="64">
        <v>1000</v>
      </c>
      <c r="G10" s="63" t="s">
        <v>739</v>
      </c>
    </row>
    <row r="11" spans="1:11" x14ac:dyDescent="0.25">
      <c r="A11" s="16" t="str">
        <f>HYPERLINK("#'Input - Farm Inputs'!A1", "Farm Inputs")</f>
        <v>Farm Inputs</v>
      </c>
      <c r="D11" s="8" t="s">
        <v>848</v>
      </c>
      <c r="F11" s="64">
        <v>2000</v>
      </c>
      <c r="G11" s="63" t="s">
        <v>739</v>
      </c>
    </row>
    <row r="12" spans="1:11" x14ac:dyDescent="0.25">
      <c r="A12" s="16" t="str">
        <f>HYPERLINK("#'Input - Livestock purchases'!A1", "Livestock purchases")</f>
        <v>Livestock purchases</v>
      </c>
    </row>
    <row r="13" spans="1:11" x14ac:dyDescent="0.25">
      <c r="A13" s="16" t="str">
        <f>HYPERLINK("#'Input - Freight'!A1", "Freight")</f>
        <v>Freight</v>
      </c>
      <c r="D13" s="8" t="s">
        <v>740</v>
      </c>
      <c r="F13" s="47" t="s">
        <v>150</v>
      </c>
      <c r="G13" s="63" t="s">
        <v>191</v>
      </c>
    </row>
    <row r="14" spans="1:11" x14ac:dyDescent="0.25">
      <c r="A14" s="16" t="str">
        <f>HYPERLINK("#'Input - Solid waste'!A1", "Solid waste")</f>
        <v>Solid waste</v>
      </c>
      <c r="D14" s="8" t="s">
        <v>744</v>
      </c>
      <c r="F14" s="47" t="s">
        <v>155</v>
      </c>
      <c r="G14" s="63" t="s">
        <v>191</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13"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834</v>
      </c>
      <c r="E5" s="47" t="s">
        <v>835</v>
      </c>
      <c r="F5" s="63" t="s">
        <v>191</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89"/>
      <c r="D8" s="89"/>
      <c r="E8" s="89"/>
      <c r="F8" s="89"/>
      <c r="G8" s="89"/>
      <c r="H8" s="89"/>
      <c r="I8" s="89"/>
      <c r="J8" s="89"/>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66" t="s">
        <v>231</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86" t="s">
        <v>232</v>
      </c>
      <c r="E13" s="87"/>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233</v>
      </c>
      <c r="E15" s="88">
        <v>500</v>
      </c>
      <c r="F15" s="63" t="s">
        <v>234</v>
      </c>
    </row>
    <row r="16" spans="1:10" ht="20.100000000000001" customHeight="1" x14ac:dyDescent="0.25">
      <c r="A16" s="42" t="str">
        <f>HYPERLINK("#'Input - Electricity'!A1", "Electricity")</f>
        <v>Electricity</v>
      </c>
      <c r="D16" s="8" t="s">
        <v>235</v>
      </c>
      <c r="E16" s="49" t="str">
        <f>IF(X_Cell_Site_State="Western Australia", X_Cell_Site_Region, X_Cell_Site_State)</f>
        <v>ACT</v>
      </c>
      <c r="F16" s="14"/>
    </row>
    <row r="17" spans="1:11" ht="20.100000000000001" customHeight="1" x14ac:dyDescent="0.25">
      <c r="A17"/>
      <c r="D17" s="8" t="s">
        <v>236</v>
      </c>
      <c r="E17" s="47" t="s">
        <v>309</v>
      </c>
      <c r="F17" s="63" t="s">
        <v>191</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89"/>
      <c r="D20" s="89"/>
      <c r="E20" s="89"/>
      <c r="F20" s="89"/>
      <c r="G20" s="89"/>
      <c r="H20" s="89"/>
      <c r="I20" s="89"/>
      <c r="J20" s="89"/>
    </row>
    <row r="21" spans="1:11" ht="20.100000000000001" customHeight="1" x14ac:dyDescent="0.25">
      <c r="A21" s="16" t="str">
        <f>HYPERLINK("#'10.1.1-2 Solid waste treatment'!A1", "10.1.1-2 Solid waste treatment")</f>
        <v>10.1.1-2 Solid waste treatment</v>
      </c>
      <c r="D21" s="9" t="s">
        <v>237</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238</v>
      </c>
      <c r="E23" s="88">
        <v>30000</v>
      </c>
      <c r="F23" s="63" t="s">
        <v>234</v>
      </c>
    </row>
    <row r="24" spans="1:11" ht="20.100000000000001" customHeight="1" x14ac:dyDescent="0.25">
      <c r="A24" s="16" t="str">
        <f>HYPERLINK("#'8.2.1.1-2 Stationary fuel'!A1", "8.2.1.1-2 Stationary fuel")</f>
        <v>8.2.1.1-2 Stationary fuel</v>
      </c>
      <c r="D24" s="8" t="s">
        <v>239</v>
      </c>
      <c r="E24" s="78">
        <v>0.1</v>
      </c>
      <c r="F24" s="63" t="s">
        <v>240</v>
      </c>
    </row>
    <row r="25" spans="1:11" ht="20.100000000000001" customHeight="1" x14ac:dyDescent="0.25">
      <c r="A25"/>
      <c r="D25" s="8" t="s">
        <v>241</v>
      </c>
      <c r="E25" s="78">
        <v>0.1</v>
      </c>
      <c r="F25" s="63" t="s">
        <v>240</v>
      </c>
    </row>
    <row r="26" spans="1:11" ht="20.100000000000001" customHeight="1" x14ac:dyDescent="0.25">
      <c r="A26"/>
    </row>
    <row r="27" spans="1:11" ht="20.100000000000001" customHeight="1" x14ac:dyDescent="0.25">
      <c r="A27" s="213" t="s">
        <v>78</v>
      </c>
      <c r="D27" s="8" t="s">
        <v>242</v>
      </c>
      <c r="E27" s="88">
        <v>10000</v>
      </c>
      <c r="F27" s="63" t="s">
        <v>234</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243</v>
      </c>
      <c r="E29" s="90" t="str">
        <f>TEXT(X_Cell_Site_StartDate, "dd mmm yyyy")</f>
        <v>01 Jan 2024</v>
      </c>
      <c r="K29" s="52"/>
    </row>
    <row r="30" spans="1:11" ht="20.100000000000001" customHeight="1" x14ac:dyDescent="0.25">
      <c r="A30" s="16" t="str">
        <f>HYPERLINK("#'Constants - Fuel'!A1", "Constants - Fuel")</f>
        <v>Constants - Fuel</v>
      </c>
      <c r="D30" s="8" t="s">
        <v>244</v>
      </c>
      <c r="E30" s="90"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66" t="s">
        <v>245</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86" t="s">
        <v>121</v>
      </c>
      <c r="E34" s="87"/>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246</v>
      </c>
      <c r="E36" s="46" t="s">
        <v>247</v>
      </c>
      <c r="F36" s="46" t="s">
        <v>248</v>
      </c>
      <c r="G36" s="46" t="s">
        <v>249</v>
      </c>
      <c r="H36" s="46" t="s">
        <v>250</v>
      </c>
      <c r="I36" s="46" t="s">
        <v>251</v>
      </c>
      <c r="L36" s="52"/>
    </row>
    <row r="37" spans="1:12" ht="20.100000000000001" customHeight="1" x14ac:dyDescent="0.25">
      <c r="A37" s="16" t="str">
        <f>HYPERLINK("#'Constants - Electricity'!A1", "Constants - Electricity")</f>
        <v>Constants - Electricity</v>
      </c>
      <c r="D37" s="10" t="s">
        <v>252</v>
      </c>
      <c r="E37" s="47" t="s">
        <v>253</v>
      </c>
      <c r="F37" s="91">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254</v>
      </c>
      <c r="F38" s="91">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253</v>
      </c>
      <c r="F39" s="91">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255</v>
      </c>
      <c r="E41" s="49">
        <f>SUMIF(Table_Input_RECSurrendered[Elegibility], "Elegible", Table_Input_RECSurrendered[MWh])</f>
        <v>10</v>
      </c>
      <c r="F41" s="63" t="s">
        <v>250</v>
      </c>
      <c r="G41" s="8"/>
      <c r="H41" s="8"/>
      <c r="I41" s="8"/>
      <c r="J41" s="8"/>
      <c r="L41" s="52" t="s">
        <v>257</v>
      </c>
    </row>
    <row r="42" spans="1:12" ht="20.100000000000001" customHeight="1" x14ac:dyDescent="0.25">
      <c r="A42"/>
      <c r="C42" s="51"/>
    </row>
    <row r="43" spans="1:12" ht="20.100000000000001" customHeight="1" x14ac:dyDescent="0.25">
      <c r="A43"/>
      <c r="C43" s="51"/>
      <c r="D43" s="66" t="s">
        <v>256</v>
      </c>
      <c r="J43" s="51"/>
    </row>
    <row r="44" spans="1:12" ht="20.100000000000001" customHeight="1" x14ac:dyDescent="0.25">
      <c r="A44"/>
    </row>
    <row r="45" spans="1:12" ht="20.100000000000001" customHeight="1" x14ac:dyDescent="0.25">
      <c r="A45"/>
      <c r="D45" s="46" t="s">
        <v>246</v>
      </c>
      <c r="E45" s="46" t="s">
        <v>140</v>
      </c>
      <c r="F45" s="46" t="s">
        <v>248</v>
      </c>
      <c r="G45" s="46" t="s">
        <v>249</v>
      </c>
      <c r="H45" s="46" t="s">
        <v>250</v>
      </c>
      <c r="I45" s="46" t="s">
        <v>251</v>
      </c>
    </row>
    <row r="46" spans="1:12" ht="20.100000000000001" customHeight="1" x14ac:dyDescent="0.25">
      <c r="A46"/>
      <c r="D46" s="10" t="s">
        <v>258</v>
      </c>
      <c r="E46" s="49" t="str">
        <f>"Issued for generated electricity"</f>
        <v>Issued for generated electricity</v>
      </c>
      <c r="F46" s="91">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91">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91">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259</v>
      </c>
      <c r="E50" s="49">
        <f>SUMIF(Table_Input_RECConsumedByEntity[Elegibility], "Elegible", Table_Input_RECConsumedByEntity[Number of certificates])</f>
        <v>11</v>
      </c>
      <c r="F50" s="63"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92"/>
    </row>
    <row r="58" spans="1:6" ht="20.100000000000001" customHeight="1" x14ac:dyDescent="0.25">
      <c r="A58"/>
    </row>
    <row r="59" spans="1:6" ht="20.100000000000001" customHeight="1" x14ac:dyDescent="0.25">
      <c r="A59"/>
      <c r="D59" s="92"/>
    </row>
    <row r="60" spans="1:6" ht="20.100000000000001" customHeight="1" x14ac:dyDescent="0.25">
      <c r="A60"/>
      <c r="D60" s="92"/>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57"/>
  <sheetViews>
    <sheetView showGridLines="0" tabSelected="1" topLeftCell="K572" zoomScale="85" zoomScaleNormal="85" workbookViewId="0">
      <selection activeCell="R587" sqref="R587"/>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825</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63" t="s">
        <v>621</v>
      </c>
      <c r="E7" s="163"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63"/>
    </row>
    <row r="10" spans="1:41" ht="20.100000000000001" customHeight="1" x14ac:dyDescent="0.25">
      <c r="A10" s="16" t="str">
        <f>HYPERLINK("#'Input - Fertiliser'!A1", "Fertiliser")</f>
        <v>Fertiliser</v>
      </c>
      <c r="D10" s="27" t="s">
        <v>622</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58" t="str" cm="1">
        <f t="array" ref="D13:E17">_xlfn.CHOOSECOLS(Scope3_Equations.VEERG_15_1_1_1__1_EmissionsFromPurchasedLivestock_Arguments(),1,2)</f>
        <v>N_co</v>
      </c>
      <c r="E13" s="162" t="str">
        <v>number of animals purchased in livestock type c from origin o</v>
      </c>
      <c r="F13" s="157"/>
      <c r="G13" s="158" t="str" cm="1">
        <f t="array" ref="G13:H17">_xlfn.CHOOSECOLS(Scope3_Equations.VEERG_15_1_1_1__1_EmissionsFromPurchasedLivestock_Arguments(),3,4)</f>
        <v>head</v>
      </c>
      <c r="H13" s="159" t="str">
        <v>Input</v>
      </c>
    </row>
    <row r="14" spans="1:41" ht="20.100000000000001" customHeight="1" x14ac:dyDescent="0.25">
      <c r="A14" s="16" t="str">
        <f>HYPERLINK("#'Input - Solid waste'!A1", "Solid waste")</f>
        <v>Solid waste</v>
      </c>
      <c r="D14" s="158" t="str">
        <v>W_co</v>
      </c>
      <c r="E14" s="162" t="str">
        <v>average liveweight of purchased livestock at point of purchase</v>
      </c>
      <c r="F14" s="157"/>
      <c r="G14" s="158" t="str">
        <v>kg/head</v>
      </c>
      <c r="H14" s="159" t="str">
        <v>Input</v>
      </c>
    </row>
    <row r="15" spans="1:41" ht="20.100000000000001" customHeight="1" x14ac:dyDescent="0.25">
      <c r="A15" s="16" t="str">
        <f>HYPERLINK("#'Input - Manure sent off-site'!A1", "Manure sent off-site")</f>
        <v>Manure sent off-site</v>
      </c>
      <c r="D15" s="158" t="str">
        <v>EF_co</v>
      </c>
      <c r="E15" s="162" t="str">
        <v>emission factor per livestock type and origin</v>
      </c>
      <c r="F15" s="157"/>
      <c r="G15" s="158" t="str">
        <v>kg CO2e/kg</v>
      </c>
      <c r="H15" s="160" t="str">
        <v>Constant</v>
      </c>
    </row>
    <row r="16" spans="1:41" ht="20.100000000000001" customHeight="1" x14ac:dyDescent="0.25">
      <c r="A16" s="16" t="str">
        <f>HYPERLINK("#'Input - Electricity'!A1", "Electricity")</f>
        <v>Electricity</v>
      </c>
      <c r="D16" s="158" t="str">
        <v>c</v>
      </c>
      <c r="E16" s="162" t="str">
        <v>livestock type</v>
      </c>
      <c r="F16" s="157"/>
      <c r="G16" s="158" t="str">
        <v/>
      </c>
      <c r="H16" s="159" t="str">
        <v>Input</v>
      </c>
    </row>
    <row r="17" spans="1:16" ht="20.100000000000001" customHeight="1" x14ac:dyDescent="0.25">
      <c r="D17" s="158" t="str">
        <v>o</v>
      </c>
      <c r="E17" s="162" t="str">
        <v>origin</v>
      </c>
      <c r="F17" s="157"/>
      <c r="G17" s="158" t="str">
        <v/>
      </c>
      <c r="H17" s="159" t="str">
        <v>Input</v>
      </c>
    </row>
    <row r="18" spans="1:16" ht="20.100000000000001" customHeight="1" x14ac:dyDescent="0.25"/>
    <row r="19" spans="1:16" ht="20.100000000000001" customHeight="1" x14ac:dyDescent="0.25">
      <c r="A19" s="21" t="s">
        <v>77</v>
      </c>
      <c r="D19" s="86" t="s">
        <v>562</v>
      </c>
      <c r="E19" s="101"/>
      <c r="F19" s="87"/>
    </row>
    <row r="20" spans="1:16" ht="20.100000000000001" customHeight="1" x14ac:dyDescent="0.25">
      <c r="A20" s="171" t="str">
        <f>HYPERLINK("#'15 Scope 3'!A1", "15 Scope 3")</f>
        <v>15 Scope 3</v>
      </c>
    </row>
    <row r="21" spans="1:16" ht="20.100000000000001" customHeight="1" x14ac:dyDescent="0.25">
      <c r="A21" s="16" t="str">
        <f>HYPERLINK("#'10.1.1-2 Solid waste treatment'!A1", "10.1.1-2 Solid waste treatment")</f>
        <v>10.1.1-2 Solid waste treatment</v>
      </c>
      <c r="D21" s="135" t="s">
        <v>320</v>
      </c>
    </row>
    <row r="22" spans="1:16" ht="20.100000000000001" customHeight="1" x14ac:dyDescent="0.25">
      <c r="A22" s="16" t="str">
        <f>HYPERLINK("#'Calcs - Manure sent off-site'!A1", "Calcs - Manure sent off-site")</f>
        <v>Calcs - Manure sent off-site</v>
      </c>
      <c r="D22" s="46" t="s">
        <v>357</v>
      </c>
      <c r="E22" s="143" t="s">
        <v>615</v>
      </c>
      <c r="F22" s="143" t="s">
        <v>614</v>
      </c>
      <c r="G22" s="143" t="s">
        <v>616</v>
      </c>
      <c r="H22" s="143" t="s">
        <v>617</v>
      </c>
      <c r="I22" s="57" t="s">
        <v>619</v>
      </c>
      <c r="J22" s="57" t="s">
        <v>628</v>
      </c>
      <c r="K22" s="143" t="s">
        <v>618</v>
      </c>
      <c r="L22" s="46" t="s">
        <v>620</v>
      </c>
      <c r="M22" s="57" t="s">
        <v>630</v>
      </c>
      <c r="N22" s="46" t="s">
        <v>624</v>
      </c>
      <c r="O22" s="46" t="s">
        <v>625</v>
      </c>
      <c r="P22" s="46" t="s">
        <v>626</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origin],Table_SourceData_Scope3_Animals[Emissions intensity], 0)</f>
        <v>20.8</v>
      </c>
      <c r="J23" s="142" cm="1">
        <f t="array" ref="J23">Scope3_Equations.VEERG_15_1_1_1__1_EmissionsFromPurchasedLivestock(G23,H23,I23)</f>
        <v>436.8</v>
      </c>
      <c r="K23" s="49" cm="1">
        <f t="array" ref="K23:K32">IFERROR(INDEX(Table_Input_LivestockPurchases_Beefcattle[Liveweight (kg/head) Method 2], _xlfn.SEQUENCE(10)), "")</f>
        <v>205</v>
      </c>
      <c r="L23" s="64">
        <v>20</v>
      </c>
      <c r="M23" s="142" cm="1">
        <f t="array" ref="M23">Scope3_Equations.VEERG_15_1_1_1__1_EmissionsFromPurchasedLivestock(G23,K23,IF(L23, L23, I23))</f>
        <v>410</v>
      </c>
      <c r="N23" s="74" t="s">
        <v>598</v>
      </c>
      <c r="O23" s="47" t="s">
        <v>597</v>
      </c>
      <c r="P23" t="s">
        <v>599</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origin],Table_SourceData_Scope3_Animals[Emissions intensity], 0)</f>
        <v>13.1</v>
      </c>
      <c r="J24" s="142" cm="1">
        <f t="array" ref="J24">Scope3_Equations.VEERG_15_1_1_1__1_EmissionsFromPurchasedLivestock(G24,H24,I24)</f>
        <v>615.70000000000005</v>
      </c>
      <c r="K24" s="49">
        <v>465</v>
      </c>
      <c r="L24" s="64">
        <v>13</v>
      </c>
      <c r="M24" s="142" cm="1">
        <f t="array" ref="M24">Scope3_Equations.VEERG_15_1_1_1__1_EmissionsFromPurchasedLivestock(G24,K24,IF(L24, L24, I24))</f>
        <v>604.5</v>
      </c>
      <c r="N24" s="74"/>
      <c r="O24" s="47"/>
      <c r="P24" s="74"/>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origin],Table_SourceData_Scope3_Animals[Emissions intensity], 0)</f>
        <v>0</v>
      </c>
      <c r="J25" s="142" cm="1">
        <f t="array" ref="J25">Scope3_Equations.VEERG_15_1_1_1__1_EmissionsFromPurchasedLivestock(G25,H25,I25)</f>
        <v>0</v>
      </c>
      <c r="K25" s="49">
        <v>0</v>
      </c>
      <c r="L25" s="64"/>
      <c r="M25" s="142" cm="1">
        <f t="array" ref="M25">Scope3_Equations.VEERG_15_1_1_1__1_EmissionsFromPurchasedLivestock(G25,K25,IF(L25, L25, I25))</f>
        <v>0</v>
      </c>
      <c r="N25" s="74"/>
      <c r="O25" s="47"/>
      <c r="P25" s="74"/>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origin],Table_SourceData_Scope3_Animals[Emissions intensity], 0)</f>
        <v>0</v>
      </c>
      <c r="J26" s="142" cm="1">
        <f t="array" ref="J26">Scope3_Equations.VEERG_15_1_1_1__1_EmissionsFromPurchasedLivestock(G26,H26,I26)</f>
        <v>0</v>
      </c>
      <c r="K26" s="49">
        <v>0</v>
      </c>
      <c r="L26" s="64"/>
      <c r="M26" s="142" cm="1">
        <f t="array" ref="M26">Scope3_Equations.VEERG_15_1_1_1__1_EmissionsFromPurchasedLivestock(G26,K26,IF(L26, L26, I26))</f>
        <v>0</v>
      </c>
      <c r="N26" s="74"/>
      <c r="O26" s="47"/>
      <c r="P26" s="74"/>
    </row>
    <row r="27" spans="1:16" ht="20.100000000000001" customHeight="1" x14ac:dyDescent="0.25">
      <c r="A27" s="213"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origin],Table_SourceData_Scope3_Animals[Emissions intensity], 0)</f>
        <v>0</v>
      </c>
      <c r="J27" s="142" cm="1">
        <f t="array" ref="J27">Scope3_Equations.VEERG_15_1_1_1__1_EmissionsFromPurchasedLivestock(G27,H27,I27)</f>
        <v>0</v>
      </c>
      <c r="K27" s="49">
        <v>0</v>
      </c>
      <c r="L27" s="64"/>
      <c r="M27" s="142" cm="1">
        <f t="array" ref="M27">Scope3_Equations.VEERG_15_1_1_1__1_EmissionsFromPurchasedLivestock(G27,K27,IF(L27, L27, I27))</f>
        <v>0</v>
      </c>
      <c r="N27" s="74"/>
      <c r="O27" s="47"/>
      <c r="P27" s="74"/>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origin],Table_SourceData_Scope3_Animals[Emissions intensity], 0)</f>
        <v>0</v>
      </c>
      <c r="J28" s="142" cm="1">
        <f t="array" ref="J28">Scope3_Equations.VEERG_15_1_1_1__1_EmissionsFromPurchasedLivestock(G28,H28,I28)</f>
        <v>0</v>
      </c>
      <c r="K28" s="49">
        <v>0</v>
      </c>
      <c r="L28" s="64"/>
      <c r="M28" s="142" cm="1">
        <f t="array" ref="M28">Scope3_Equations.VEERG_15_1_1_1__1_EmissionsFromPurchasedLivestock(G28,K28,IF(L28, L28, I28))</f>
        <v>0</v>
      </c>
      <c r="N28" s="74"/>
      <c r="O28" s="47"/>
      <c r="P28" s="74"/>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origin],Table_SourceData_Scope3_Animals[Emissions intensity], 0)</f>
        <v>0</v>
      </c>
      <c r="J29" s="142" cm="1">
        <f t="array" ref="J29">Scope3_Equations.VEERG_15_1_1_1__1_EmissionsFromPurchasedLivestock(G29,H29,I29)</f>
        <v>0</v>
      </c>
      <c r="K29" s="49">
        <v>0</v>
      </c>
      <c r="L29" s="64"/>
      <c r="M29" s="142" cm="1">
        <f t="array" ref="M29">Scope3_Equations.VEERG_15_1_1_1__1_EmissionsFromPurchasedLivestock(G29,K29,IF(L29, L29, I29))</f>
        <v>0</v>
      </c>
      <c r="N29" s="74"/>
      <c r="O29" s="47"/>
      <c r="P29" s="74"/>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origin],Table_SourceData_Scope3_Animals[Emissions intensity], 0)</f>
        <v>0</v>
      </c>
      <c r="J30" s="142" cm="1">
        <f t="array" ref="J30">Scope3_Equations.VEERG_15_1_1_1__1_EmissionsFromPurchasedLivestock(G30,H30,I30)</f>
        <v>0</v>
      </c>
      <c r="K30" s="49">
        <v>0</v>
      </c>
      <c r="L30" s="64"/>
      <c r="M30" s="142" cm="1">
        <f t="array" ref="M30">Scope3_Equations.VEERG_15_1_1_1__1_EmissionsFromPurchasedLivestock(G30,K30,IF(L30, L30, I30))</f>
        <v>0</v>
      </c>
      <c r="N30" s="74"/>
      <c r="O30" s="47"/>
      <c r="P30" s="74"/>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origin],Table_SourceData_Scope3_Animals[Emissions intensity], 0)</f>
        <v>0</v>
      </c>
      <c r="J31" s="142" cm="1">
        <f t="array" ref="J31">Scope3_Equations.VEERG_15_1_1_1__1_EmissionsFromPurchasedLivestock(G31,H31,I31)</f>
        <v>0</v>
      </c>
      <c r="K31" s="49">
        <v>0</v>
      </c>
      <c r="L31" s="64"/>
      <c r="M31" s="142" cm="1">
        <f t="array" ref="M31">Scope3_Equations.VEERG_15_1_1_1__1_EmissionsFromPurchasedLivestock(G31,K31,IF(L31, L31, I31))</f>
        <v>0</v>
      </c>
      <c r="N31" s="74"/>
      <c r="O31" s="47"/>
      <c r="P31" s="74"/>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origin],Table_SourceData_Scope3_Animals[Emissions intensity], 0)</f>
        <v>0</v>
      </c>
      <c r="J32" s="142" cm="1">
        <f t="array" ref="J32">Scope3_Equations.VEERG_15_1_1_1__1_EmissionsFromPurchasedLivestock(G32,H32,I32)</f>
        <v>0</v>
      </c>
      <c r="K32" s="49">
        <v>0</v>
      </c>
      <c r="L32" s="64"/>
      <c r="M32" s="142" cm="1">
        <f t="array" ref="M32">Scope3_Equations.VEERG_15_1_1_1__1_EmissionsFromPurchasedLivestock(G32,K32,IF(L32, L32, I32))</f>
        <v>0</v>
      </c>
      <c r="N32" s="74"/>
      <c r="O32" s="47"/>
      <c r="P32" s="74"/>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65" t="s">
        <v>644</v>
      </c>
      <c r="E34" s="89">
        <f>SUM(J23:J32)</f>
        <v>1052.5</v>
      </c>
      <c r="F34" s="166" t="str">
        <f>$E$11</f>
        <v>t CO2e</v>
      </c>
    </row>
    <row r="35" spans="1:13" ht="20.100000000000001" customHeight="1" x14ac:dyDescent="0.25">
      <c r="A35" s="16" t="str">
        <f>HYPERLINK("#'Constants - Common Livestock'!A1", "Constants - Common Livestock")</f>
        <v>Constants - Common Livestock</v>
      </c>
      <c r="D35" s="165" t="s">
        <v>645</v>
      </c>
      <c r="E35" s="89">
        <f>SUM(M23:M32)</f>
        <v>1014.5</v>
      </c>
      <c r="F35" s="166"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35" t="s">
        <v>336</v>
      </c>
    </row>
    <row r="39" spans="1:13" ht="20.100000000000001" customHeight="1" x14ac:dyDescent="0.25">
      <c r="D39" s="158" t="s">
        <v>623</v>
      </c>
      <c r="E39" s="49" cm="1">
        <f t="array" ref="E39">Common_InputFunctions.Utility_LookupValueInTableNumber("Dairy cows", Table_SourceData_Scope3_Animals[Product],Table_SourceData_Scope3_Animals[Emissions intensity])</f>
        <v>4.41</v>
      </c>
    </row>
    <row r="40" spans="1:13" ht="20.100000000000001" customHeight="1" x14ac:dyDescent="0.25"/>
    <row r="41" spans="1:13" ht="20.100000000000001" customHeight="1" x14ac:dyDescent="0.25">
      <c r="D41" s="46" t="s">
        <v>357</v>
      </c>
      <c r="E41" s="143" t="s">
        <v>616</v>
      </c>
      <c r="F41" s="143" t="s">
        <v>617</v>
      </c>
      <c r="G41" s="57" t="s">
        <v>628</v>
      </c>
      <c r="H41" s="143" t="s">
        <v>618</v>
      </c>
      <c r="I41" s="46" t="s">
        <v>620</v>
      </c>
      <c r="J41" s="57" t="s">
        <v>630</v>
      </c>
      <c r="K41" s="46" t="s">
        <v>624</v>
      </c>
      <c r="L41" s="46" t="s">
        <v>625</v>
      </c>
      <c r="M41" s="46" t="s">
        <v>626</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42" cm="1">
        <f t="array" ref="G42">Scope3_Equations.VEERG_15_1_1_1__1_EmissionsFromPurchasedLivestock(E42,F42,$E$39)</f>
        <v>57.33</v>
      </c>
      <c r="H42" s="49" cm="1">
        <f t="array" ref="H42:H51">IFERROR(INDEX(Table_Input_LivestockPurchases_Dairy[Liveweight (kg/head) Method 2], _xlfn.SEQUENCE(10)), "")</f>
        <v>350</v>
      </c>
      <c r="I42" s="64">
        <v>4</v>
      </c>
      <c r="J42" s="142" cm="1">
        <f t="array" ref="J42">Scope3_Equations.VEERG_15_1_1_1__1_EmissionsFromPurchasedLivestock(E42,H42,IF(I42,I42,$E$39))</f>
        <v>140</v>
      </c>
      <c r="K42" s="74" t="s">
        <v>598</v>
      </c>
      <c r="L42" s="47" t="s">
        <v>597</v>
      </c>
      <c r="M42" t="s">
        <v>599</v>
      </c>
    </row>
    <row r="43" spans="1:13" ht="20.100000000000001" customHeight="1" x14ac:dyDescent="0.25">
      <c r="D43" s="49">
        <v>0</v>
      </c>
      <c r="E43" s="49">
        <v>100</v>
      </c>
      <c r="F43" s="49">
        <v>540</v>
      </c>
      <c r="G43" s="142" cm="1">
        <f t="array" ref="G43">Scope3_Equations.VEERG_15_1_1_1__1_EmissionsFromPurchasedLivestock(E43,F43,$E$39)</f>
        <v>238.14000000000001</v>
      </c>
      <c r="H43" s="49">
        <v>625</v>
      </c>
      <c r="I43" s="64"/>
      <c r="J43" s="142" cm="1">
        <f t="array" ref="J43">Scope3_Equations.VEERG_15_1_1_1__1_EmissionsFromPurchasedLivestock(E43,H43,IF(I43,I43,$E$39))</f>
        <v>275.625</v>
      </c>
      <c r="K43" s="74"/>
      <c r="L43" s="47"/>
      <c r="M43" s="74"/>
    </row>
    <row r="44" spans="1:13" ht="20.100000000000001" customHeight="1" x14ac:dyDescent="0.25">
      <c r="D44" s="49">
        <v>0</v>
      </c>
      <c r="E44" s="49">
        <v>0</v>
      </c>
      <c r="F44" s="49">
        <v>315</v>
      </c>
      <c r="G44" s="142" cm="1">
        <f t="array" ref="G44">Scope3_Equations.VEERG_15_1_1_1__1_EmissionsFromPurchasedLivestock(E44,F44,$E$39)</f>
        <v>0</v>
      </c>
      <c r="H44" s="49">
        <v>0</v>
      </c>
      <c r="I44" s="64"/>
      <c r="J44" s="142" cm="1">
        <f t="array" ref="J44">Scope3_Equations.VEERG_15_1_1_1__1_EmissionsFromPurchasedLivestock(E44,H44,IF(I44,I44,$E$39))</f>
        <v>0</v>
      </c>
      <c r="K44" s="74"/>
      <c r="L44" s="47"/>
      <c r="M44" s="74"/>
    </row>
    <row r="45" spans="1:13" ht="20.100000000000001" customHeight="1" x14ac:dyDescent="0.25">
      <c r="D45" s="49">
        <v>0</v>
      </c>
      <c r="E45" s="49">
        <v>0</v>
      </c>
      <c r="F45" s="49">
        <v>0</v>
      </c>
      <c r="G45" s="142" cm="1">
        <f t="array" ref="G45">Scope3_Equations.VEERG_15_1_1_1__1_EmissionsFromPurchasedLivestock(E45,F45,$E$39)</f>
        <v>0</v>
      </c>
      <c r="H45" s="49">
        <v>0</v>
      </c>
      <c r="I45" s="64"/>
      <c r="J45" s="142" cm="1">
        <f t="array" ref="J45">Scope3_Equations.VEERG_15_1_1_1__1_EmissionsFromPurchasedLivestock(E45,H45,IF(I45,I45,$E$39))</f>
        <v>0</v>
      </c>
      <c r="K45" s="74"/>
      <c r="L45" s="47"/>
      <c r="M45" s="74"/>
    </row>
    <row r="46" spans="1:13" ht="20.100000000000001" customHeight="1" x14ac:dyDescent="0.25">
      <c r="D46" s="49">
        <v>0</v>
      </c>
      <c r="E46" s="49">
        <v>0</v>
      </c>
      <c r="F46" s="49">
        <v>0</v>
      </c>
      <c r="G46" s="142" cm="1">
        <f t="array" ref="G46">Scope3_Equations.VEERG_15_1_1_1__1_EmissionsFromPurchasedLivestock(E46,F46,$E$39)</f>
        <v>0</v>
      </c>
      <c r="H46" s="49">
        <v>0</v>
      </c>
      <c r="I46" s="64"/>
      <c r="J46" s="142" cm="1">
        <f t="array" ref="J46">Scope3_Equations.VEERG_15_1_1_1__1_EmissionsFromPurchasedLivestock(E46,H46,IF(I46,I46,$E$39))</f>
        <v>0</v>
      </c>
      <c r="K46" s="74"/>
      <c r="L46" s="47"/>
      <c r="M46" s="74"/>
    </row>
    <row r="47" spans="1:13" ht="20.100000000000001" customHeight="1" x14ac:dyDescent="0.25">
      <c r="D47" s="49">
        <v>0</v>
      </c>
      <c r="E47" s="49">
        <v>0</v>
      </c>
      <c r="F47" s="49">
        <v>0</v>
      </c>
      <c r="G47" s="142" cm="1">
        <f t="array" ref="G47">Scope3_Equations.VEERG_15_1_1_1__1_EmissionsFromPurchasedLivestock(E47,F47,$E$39)</f>
        <v>0</v>
      </c>
      <c r="H47" s="49">
        <v>0</v>
      </c>
      <c r="I47" s="64"/>
      <c r="J47" s="142" cm="1">
        <f t="array" ref="J47">Scope3_Equations.VEERG_15_1_1_1__1_EmissionsFromPurchasedLivestock(E47,H47,IF(I47,I47,$E$39))</f>
        <v>0</v>
      </c>
      <c r="K47" s="74"/>
      <c r="L47" s="47"/>
      <c r="M47" s="74"/>
    </row>
    <row r="48" spans="1:13" ht="20.100000000000001" customHeight="1" x14ac:dyDescent="0.25">
      <c r="D48" s="49">
        <v>0</v>
      </c>
      <c r="E48" s="49">
        <v>0</v>
      </c>
      <c r="F48" s="49">
        <v>0</v>
      </c>
      <c r="G48" s="142" cm="1">
        <f t="array" ref="G48">Scope3_Equations.VEERG_15_1_1_1__1_EmissionsFromPurchasedLivestock(E48,F48,$E$39)</f>
        <v>0</v>
      </c>
      <c r="H48" s="49">
        <v>0</v>
      </c>
      <c r="I48" s="64"/>
      <c r="J48" s="142" cm="1">
        <f t="array" ref="J48">Scope3_Equations.VEERG_15_1_1_1__1_EmissionsFromPurchasedLivestock(E48,H48,IF(I48,I48,$E$39))</f>
        <v>0</v>
      </c>
      <c r="K48" s="74"/>
      <c r="L48" s="47"/>
      <c r="M48" s="74"/>
    </row>
    <row r="49" spans="4:13" ht="20.100000000000001" customHeight="1" x14ac:dyDescent="0.25">
      <c r="D49" s="49">
        <v>0</v>
      </c>
      <c r="E49" s="49">
        <v>0</v>
      </c>
      <c r="F49" s="49">
        <v>0</v>
      </c>
      <c r="G49" s="142" cm="1">
        <f t="array" ref="G49">Scope3_Equations.VEERG_15_1_1_1__1_EmissionsFromPurchasedLivestock(E49,F49,$E$39)</f>
        <v>0</v>
      </c>
      <c r="H49" s="49">
        <v>0</v>
      </c>
      <c r="I49" s="64"/>
      <c r="J49" s="142" cm="1">
        <f t="array" ref="J49">Scope3_Equations.VEERG_15_1_1_1__1_EmissionsFromPurchasedLivestock(E49,H49,IF(I49,I49,$E$39))</f>
        <v>0</v>
      </c>
      <c r="K49" s="74"/>
      <c r="L49" s="47"/>
      <c r="M49" s="74"/>
    </row>
    <row r="50" spans="4:13" ht="20.100000000000001" customHeight="1" x14ac:dyDescent="0.25">
      <c r="D50" s="49">
        <v>0</v>
      </c>
      <c r="E50" s="49">
        <v>0</v>
      </c>
      <c r="F50" s="49">
        <v>0</v>
      </c>
      <c r="G50" s="142" cm="1">
        <f t="array" ref="G50">Scope3_Equations.VEERG_15_1_1_1__1_EmissionsFromPurchasedLivestock(E50,F50,$E$39)</f>
        <v>0</v>
      </c>
      <c r="H50" s="49">
        <v>0</v>
      </c>
      <c r="I50" s="64"/>
      <c r="J50" s="142" cm="1">
        <f t="array" ref="J50">Scope3_Equations.VEERG_15_1_1_1__1_EmissionsFromPurchasedLivestock(E50,H50,IF(I50,I50,$E$39))</f>
        <v>0</v>
      </c>
      <c r="K50" s="74"/>
      <c r="L50" s="47"/>
      <c r="M50" s="74"/>
    </row>
    <row r="51" spans="4:13" ht="20.100000000000001" customHeight="1" x14ac:dyDescent="0.25">
      <c r="D51" s="49">
        <v>0</v>
      </c>
      <c r="E51" s="49">
        <v>0</v>
      </c>
      <c r="F51" s="49">
        <v>0</v>
      </c>
      <c r="G51" s="142" cm="1">
        <f t="array" ref="G51">Scope3_Equations.VEERG_15_1_1_1__1_EmissionsFromPurchasedLivestock(E51,F51,$E$39)</f>
        <v>0</v>
      </c>
      <c r="H51" s="49">
        <v>0</v>
      </c>
      <c r="I51" s="64"/>
      <c r="J51" s="142" cm="1">
        <f t="array" ref="J51">Scope3_Equations.VEERG_15_1_1_1__1_EmissionsFromPurchasedLivestock(E51,H51,IF(I51,I51,$E$39))</f>
        <v>0</v>
      </c>
      <c r="K51" s="74"/>
      <c r="L51" s="47"/>
      <c r="M51" s="74"/>
    </row>
    <row r="52" spans="4:13" ht="20.100000000000001" customHeight="1" x14ac:dyDescent="0.25"/>
    <row r="53" spans="4:13" ht="20.100000000000001" customHeight="1" x14ac:dyDescent="0.25">
      <c r="D53" s="165" t="s">
        <v>642</v>
      </c>
      <c r="E53" s="89">
        <f>SUM(G42:G51)</f>
        <v>295.47000000000003</v>
      </c>
      <c r="F53" s="166" t="str">
        <f>$E$11</f>
        <v>t CO2e</v>
      </c>
    </row>
    <row r="54" spans="4:13" ht="20.100000000000001" customHeight="1" x14ac:dyDescent="0.25">
      <c r="D54" s="165" t="s">
        <v>643</v>
      </c>
      <c r="E54" s="89">
        <f>SUM(J42:J51)</f>
        <v>415.625</v>
      </c>
      <c r="F54" s="166" t="str">
        <f>$E$11</f>
        <v>t CO2e</v>
      </c>
    </row>
    <row r="55" spans="4:13" ht="20.100000000000001" customHeight="1" x14ac:dyDescent="0.25"/>
    <row r="56" spans="4:13" ht="20.100000000000001" customHeight="1" x14ac:dyDescent="0.25"/>
    <row r="57" spans="4:13" ht="20.100000000000001" customHeight="1" x14ac:dyDescent="0.25">
      <c r="D57" s="135" t="s">
        <v>537</v>
      </c>
    </row>
    <row r="58" spans="4:13" ht="20.100000000000001" customHeight="1" x14ac:dyDescent="0.25">
      <c r="D58" s="158" t="s">
        <v>623</v>
      </c>
      <c r="E58" s="49" cm="1">
        <f t="array" ref="E58">Common_InputFunctions.Utility_LookupValueInTableNumber("Pigs", Table_SourceData_Scope3_Animals[Product],Table_SourceData_Scope3_Animals[Emissions intensity])</f>
        <v>3.38</v>
      </c>
    </row>
    <row r="59" spans="4:13" ht="20.100000000000001" customHeight="1" x14ac:dyDescent="0.25"/>
    <row r="60" spans="4:13" ht="20.100000000000001" customHeight="1" x14ac:dyDescent="0.25">
      <c r="D60" s="46" t="s">
        <v>357</v>
      </c>
      <c r="E60" s="143" t="s">
        <v>616</v>
      </c>
      <c r="F60" s="143" t="s">
        <v>617</v>
      </c>
      <c r="G60" s="57" t="s">
        <v>628</v>
      </c>
      <c r="H60" s="143" t="s">
        <v>618</v>
      </c>
      <c r="I60" s="46" t="s">
        <v>620</v>
      </c>
      <c r="J60" s="57" t="s">
        <v>630</v>
      </c>
      <c r="K60" s="46" t="s">
        <v>624</v>
      </c>
      <c r="L60" s="46" t="s">
        <v>625</v>
      </c>
      <c r="M60" s="46" t="s">
        <v>626</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42" cm="1">
        <f t="array" ref="G61">Scope3_Equations.VEERG_15_1_1_1__1_EmissionsFromPurchasedLivestock(E61,F61,$E$58)</f>
        <v>63.544000000000004</v>
      </c>
      <c r="H61" s="49" cm="1">
        <f t="array" ref="H61:H70">IFERROR(INDEX(Table_Input_LivestockPurchases_Pigs[Liveweight (kg/head) Method 2], _xlfn.SEQUENCE(10)), 0)</f>
        <v>180</v>
      </c>
      <c r="I61" s="64">
        <v>3.38</v>
      </c>
      <c r="J61" s="142" cm="1">
        <f t="array" ref="J61">Scope3_Equations.VEERG_15_1_1_1__1_EmissionsFromPurchasedLivestock(E61,H61,IF(I61, I61,$E$58))</f>
        <v>60.84</v>
      </c>
      <c r="K61" s="74"/>
      <c r="L61" s="47"/>
      <c r="M61"/>
    </row>
    <row r="62" spans="4:13" ht="20.100000000000001" customHeight="1" x14ac:dyDescent="0.25">
      <c r="D62" s="49" t="str">
        <v>Swine from Samantha</v>
      </c>
      <c r="E62" s="49">
        <v>100</v>
      </c>
      <c r="F62" s="49">
        <v>188</v>
      </c>
      <c r="G62" s="142" cm="1">
        <f t="array" ref="G62">Scope3_Equations.VEERG_15_1_1_1__1_EmissionsFromPurchasedLivestock(E62,F62,$E$58)</f>
        <v>63.544000000000004</v>
      </c>
      <c r="H62" s="49">
        <v>38</v>
      </c>
      <c r="I62" s="64">
        <v>3.3</v>
      </c>
      <c r="J62" s="142" cm="1">
        <f t="array" ref="J62">Scope3_Equations.VEERG_15_1_1_1__1_EmissionsFromPurchasedLivestock(E62,H62,IF(I62, I62,$E$58))</f>
        <v>12.540000000000001</v>
      </c>
      <c r="K62" s="74"/>
      <c r="L62" s="47"/>
      <c r="M62" s="74"/>
    </row>
    <row r="63" spans="4:13" ht="20.100000000000001" customHeight="1" x14ac:dyDescent="0.25">
      <c r="D63" s="49">
        <v>0</v>
      </c>
      <c r="E63" s="49">
        <v>0</v>
      </c>
      <c r="F63" s="49">
        <v>0</v>
      </c>
      <c r="G63" s="142" cm="1">
        <f t="array" ref="G63">Scope3_Equations.VEERG_15_1_1_1__1_EmissionsFromPurchasedLivestock(E63,F63,$E$58)</f>
        <v>0</v>
      </c>
      <c r="H63" s="49">
        <v>0</v>
      </c>
      <c r="I63" s="64"/>
      <c r="J63" s="142" cm="1">
        <f t="array" ref="J63">Scope3_Equations.VEERG_15_1_1_1__1_EmissionsFromPurchasedLivestock(E63,H63,IF(I63, I63,$E$58))</f>
        <v>0</v>
      </c>
      <c r="K63" s="74"/>
      <c r="L63" s="47"/>
      <c r="M63" s="74"/>
    </row>
    <row r="64" spans="4:13" ht="20.100000000000001" customHeight="1" x14ac:dyDescent="0.25">
      <c r="D64" s="49">
        <v>0</v>
      </c>
      <c r="E64" s="49">
        <v>0</v>
      </c>
      <c r="F64" s="49">
        <v>0</v>
      </c>
      <c r="G64" s="142" cm="1">
        <f t="array" ref="G64">Scope3_Equations.VEERG_15_1_1_1__1_EmissionsFromPurchasedLivestock(E64,F64,$E$58)</f>
        <v>0</v>
      </c>
      <c r="H64" s="49">
        <v>0</v>
      </c>
      <c r="I64" s="64"/>
      <c r="J64" s="142" cm="1">
        <f t="array" ref="J64">Scope3_Equations.VEERG_15_1_1_1__1_EmissionsFromPurchasedLivestock(E64,H64,IF(I64, I64,$E$58))</f>
        <v>0</v>
      </c>
      <c r="K64" s="74"/>
      <c r="L64" s="47"/>
      <c r="M64" s="74"/>
    </row>
    <row r="65" spans="4:13" ht="20.100000000000001" customHeight="1" x14ac:dyDescent="0.25">
      <c r="D65" s="49">
        <v>0</v>
      </c>
      <c r="E65" s="49">
        <v>0</v>
      </c>
      <c r="F65" s="49">
        <v>0</v>
      </c>
      <c r="G65" s="142" cm="1">
        <f t="array" ref="G65">Scope3_Equations.VEERG_15_1_1_1__1_EmissionsFromPurchasedLivestock(E65,F65,$E$58)</f>
        <v>0</v>
      </c>
      <c r="H65" s="49">
        <v>0</v>
      </c>
      <c r="I65" s="64"/>
      <c r="J65" s="142" cm="1">
        <f t="array" ref="J65">Scope3_Equations.VEERG_15_1_1_1__1_EmissionsFromPurchasedLivestock(E65,H65,IF(I65, I65,$E$58))</f>
        <v>0</v>
      </c>
      <c r="K65" s="74"/>
      <c r="L65" s="47"/>
      <c r="M65" s="74"/>
    </row>
    <row r="66" spans="4:13" ht="20.100000000000001" customHeight="1" x14ac:dyDescent="0.25">
      <c r="D66" s="49">
        <v>0</v>
      </c>
      <c r="E66" s="49">
        <v>0</v>
      </c>
      <c r="F66" s="49">
        <v>0</v>
      </c>
      <c r="G66" s="142" cm="1">
        <f t="array" ref="G66">Scope3_Equations.VEERG_15_1_1_1__1_EmissionsFromPurchasedLivestock(E66,F66,$E$58)</f>
        <v>0</v>
      </c>
      <c r="H66" s="49">
        <v>0</v>
      </c>
      <c r="I66" s="64"/>
      <c r="J66" s="142" cm="1">
        <f t="array" ref="J66">Scope3_Equations.VEERG_15_1_1_1__1_EmissionsFromPurchasedLivestock(E66,H66,IF(I66, I66,$E$58))</f>
        <v>0</v>
      </c>
      <c r="K66" s="74"/>
      <c r="L66" s="47"/>
      <c r="M66" s="74"/>
    </row>
    <row r="67" spans="4:13" ht="20.100000000000001" customHeight="1" x14ac:dyDescent="0.25">
      <c r="D67" s="49">
        <v>0</v>
      </c>
      <c r="E67" s="49">
        <v>0</v>
      </c>
      <c r="F67" s="49">
        <v>0</v>
      </c>
      <c r="G67" s="142" cm="1">
        <f t="array" ref="G67">Scope3_Equations.VEERG_15_1_1_1__1_EmissionsFromPurchasedLivestock(E67,F67,$E$58)</f>
        <v>0</v>
      </c>
      <c r="H67" s="49">
        <v>0</v>
      </c>
      <c r="I67" s="64"/>
      <c r="J67" s="142" cm="1">
        <f t="array" ref="J67">Scope3_Equations.VEERG_15_1_1_1__1_EmissionsFromPurchasedLivestock(E67,H67,IF(I67, I67,$E$58))</f>
        <v>0</v>
      </c>
      <c r="K67" s="74"/>
      <c r="L67" s="47"/>
      <c r="M67" s="74"/>
    </row>
    <row r="68" spans="4:13" ht="20.100000000000001" customHeight="1" x14ac:dyDescent="0.25">
      <c r="D68" s="49">
        <v>0</v>
      </c>
      <c r="E68" s="49">
        <v>0</v>
      </c>
      <c r="F68" s="49">
        <v>0</v>
      </c>
      <c r="G68" s="142" cm="1">
        <f t="array" ref="G68">Scope3_Equations.VEERG_15_1_1_1__1_EmissionsFromPurchasedLivestock(E68,F68,$E$58)</f>
        <v>0</v>
      </c>
      <c r="H68" s="49">
        <v>0</v>
      </c>
      <c r="I68" s="64"/>
      <c r="J68" s="142" cm="1">
        <f t="array" ref="J68">Scope3_Equations.VEERG_15_1_1_1__1_EmissionsFromPurchasedLivestock(E68,H68,IF(I68, I68,$E$58))</f>
        <v>0</v>
      </c>
      <c r="K68" s="74"/>
      <c r="L68" s="47"/>
      <c r="M68" s="74"/>
    </row>
    <row r="69" spans="4:13" ht="20.100000000000001" customHeight="1" x14ac:dyDescent="0.25">
      <c r="D69" s="49">
        <v>0</v>
      </c>
      <c r="E69" s="49">
        <v>0</v>
      </c>
      <c r="F69" s="49">
        <v>0</v>
      </c>
      <c r="G69" s="142" cm="1">
        <f t="array" ref="G69">Scope3_Equations.VEERG_15_1_1_1__1_EmissionsFromPurchasedLivestock(E69,F69,$E$58)</f>
        <v>0</v>
      </c>
      <c r="H69" s="49">
        <v>0</v>
      </c>
      <c r="I69" s="64"/>
      <c r="J69" s="142" cm="1">
        <f t="array" ref="J69">Scope3_Equations.VEERG_15_1_1_1__1_EmissionsFromPurchasedLivestock(E69,H69,IF(I69, I69,$E$58))</f>
        <v>0</v>
      </c>
      <c r="K69" s="74"/>
      <c r="L69" s="47"/>
      <c r="M69" s="74"/>
    </row>
    <row r="70" spans="4:13" ht="20.100000000000001" customHeight="1" x14ac:dyDescent="0.25">
      <c r="D70" s="49">
        <v>0</v>
      </c>
      <c r="E70" s="49">
        <v>0</v>
      </c>
      <c r="F70" s="49">
        <v>0</v>
      </c>
      <c r="G70" s="142" cm="1">
        <f t="array" ref="G70">Scope3_Equations.VEERG_15_1_1_1__1_EmissionsFromPurchasedLivestock(E70,F70,$E$58)</f>
        <v>0</v>
      </c>
      <c r="H70" s="49">
        <v>0</v>
      </c>
      <c r="I70" s="64"/>
      <c r="J70" s="142" cm="1">
        <f t="array" ref="J70">Scope3_Equations.VEERG_15_1_1_1__1_EmissionsFromPurchasedLivestock(E70,H70,IF(I70, I70,$E$58))</f>
        <v>0</v>
      </c>
      <c r="K70" s="74"/>
      <c r="L70" s="47"/>
      <c r="M70" s="74"/>
    </row>
    <row r="71" spans="4:13" ht="20.100000000000001" customHeight="1" x14ac:dyDescent="0.25"/>
    <row r="72" spans="4:13" ht="20.100000000000001" customHeight="1" x14ac:dyDescent="0.25">
      <c r="D72" s="165" t="s">
        <v>640</v>
      </c>
      <c r="E72" s="89">
        <f>SUM(G61:G70)</f>
        <v>127.08800000000001</v>
      </c>
      <c r="F72" s="166" t="str">
        <f>$E$11</f>
        <v>t CO2e</v>
      </c>
    </row>
    <row r="73" spans="4:13" ht="20.100000000000001" customHeight="1" x14ac:dyDescent="0.25">
      <c r="D73" s="165" t="s">
        <v>641</v>
      </c>
      <c r="E73" s="89">
        <f>SUM(J61:J70)</f>
        <v>73.38000000000001</v>
      </c>
      <c r="F73" s="166" t="str">
        <f>$E$11</f>
        <v>t CO2e</v>
      </c>
    </row>
    <row r="74" spans="4:13" ht="20.100000000000001" customHeight="1" x14ac:dyDescent="0.25"/>
    <row r="75" spans="4:13" ht="20.100000000000001" customHeight="1" x14ac:dyDescent="0.25">
      <c r="D75" s="135" t="s">
        <v>563</v>
      </c>
    </row>
    <row r="76" spans="4:13" ht="20.100000000000001" customHeight="1" x14ac:dyDescent="0.25">
      <c r="D76" s="158" t="s">
        <v>623</v>
      </c>
      <c r="E76" s="49" cm="1">
        <f t="array" ref="E76">Common_InputFunctions.Utility_LookupValueInTableNumber("Chickens", Table_SourceData_Scope3_Animals[Product],Table_SourceData_Scope3_Animals[Emissions intensity])</f>
        <v>1.36</v>
      </c>
    </row>
    <row r="77" spans="4:13" ht="20.100000000000001" customHeight="1" x14ac:dyDescent="0.25"/>
    <row r="78" spans="4:13" ht="20.100000000000001" customHeight="1" x14ac:dyDescent="0.25">
      <c r="D78" s="46" t="s">
        <v>357</v>
      </c>
      <c r="E78" s="143" t="s">
        <v>616</v>
      </c>
      <c r="F78" s="143" t="s">
        <v>617</v>
      </c>
      <c r="G78" s="57" t="s">
        <v>628</v>
      </c>
      <c r="H78" s="143" t="s">
        <v>618</v>
      </c>
      <c r="I78" s="46" t="s">
        <v>620</v>
      </c>
      <c r="J78" s="57" t="s">
        <v>630</v>
      </c>
      <c r="K78" s="46" t="s">
        <v>624</v>
      </c>
      <c r="L78" s="46" t="s">
        <v>625</v>
      </c>
      <c r="M78" s="46" t="s">
        <v>626</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42" cm="1">
        <f t="array" ref="G79">Scope3_Equations.VEERG_15_1_1_1__1_EmissionsFromPurchasedLivestock(E79,F79,$E$76)</f>
        <v>0.17680000000000001</v>
      </c>
      <c r="H79" s="49" cm="1">
        <f t="array" ref="H79:H88">IFERROR(INDEX(Table_Input_LivestockPurchases_Poultry[Liveweight (kg/head) Method 2], _xlfn.SEQUENCE(10)), "")</f>
        <v>1.3</v>
      </c>
      <c r="I79" s="64">
        <v>1.3</v>
      </c>
      <c r="J79" s="142" cm="1">
        <f t="array" ref="J79">Scope3_Equations.VEERG_15_1_1_1__1_EmissionsFromPurchasedLivestock(E79,H79,IF(I79, I79,$E$76))</f>
        <v>0.16900000000000001</v>
      </c>
      <c r="K79" s="74"/>
      <c r="L79" s="47"/>
      <c r="M79"/>
    </row>
    <row r="80" spans="4:13" ht="20.100000000000001" customHeight="1" x14ac:dyDescent="0.25">
      <c r="D80" s="49" t="str">
        <v>Roosters from Raj</v>
      </c>
      <c r="E80" s="49">
        <v>100</v>
      </c>
      <c r="F80" s="49">
        <v>1.4</v>
      </c>
      <c r="G80" s="142" cm="1">
        <f t="array" ref="G80">Scope3_Equations.VEERG_15_1_1_1__1_EmissionsFromPurchasedLivestock(E80,F80,$E$76)</f>
        <v>0.19040000000000001</v>
      </c>
      <c r="H80" s="49">
        <v>1.4</v>
      </c>
      <c r="I80" s="64"/>
      <c r="J80" s="142" cm="1">
        <f t="array" ref="J80">Scope3_Equations.VEERG_15_1_1_1__1_EmissionsFromPurchasedLivestock(E80,H80,IF(I80, I80,$E$76))</f>
        <v>0.19040000000000001</v>
      </c>
      <c r="K80" s="74"/>
      <c r="L80" s="47"/>
      <c r="M80" s="74"/>
    </row>
    <row r="81" spans="4:13" ht="20.100000000000001" customHeight="1" x14ac:dyDescent="0.25">
      <c r="D81" s="49">
        <v>0</v>
      </c>
      <c r="E81" s="49">
        <v>0</v>
      </c>
      <c r="F81" s="49">
        <v>0</v>
      </c>
      <c r="G81" s="142" cm="1">
        <f t="array" ref="G81">Scope3_Equations.VEERG_15_1_1_1__1_EmissionsFromPurchasedLivestock(E81,F81,$E$76)</f>
        <v>0</v>
      </c>
      <c r="H81" s="49">
        <v>0</v>
      </c>
      <c r="I81" s="64"/>
      <c r="J81" s="142" cm="1">
        <f t="array" ref="J81">Scope3_Equations.VEERG_15_1_1_1__1_EmissionsFromPurchasedLivestock(E81,H81,IF(I81, I81,$E$76))</f>
        <v>0</v>
      </c>
      <c r="K81" s="74"/>
      <c r="L81" s="47"/>
      <c r="M81" s="74"/>
    </row>
    <row r="82" spans="4:13" ht="20.100000000000001" customHeight="1" x14ac:dyDescent="0.25">
      <c r="D82" s="49">
        <v>0</v>
      </c>
      <c r="E82" s="49">
        <v>0</v>
      </c>
      <c r="F82" s="49">
        <v>0</v>
      </c>
      <c r="G82" s="142" cm="1">
        <f t="array" ref="G82">Scope3_Equations.VEERG_15_1_1_1__1_EmissionsFromPurchasedLivestock(E82,F82,$E$76)</f>
        <v>0</v>
      </c>
      <c r="H82" s="49">
        <v>0</v>
      </c>
      <c r="I82" s="64"/>
      <c r="J82" s="142" cm="1">
        <f t="array" ref="J82">Scope3_Equations.VEERG_15_1_1_1__1_EmissionsFromPurchasedLivestock(E82,H82,IF(I82, I82,$E$76))</f>
        <v>0</v>
      </c>
      <c r="K82" s="74"/>
      <c r="L82" s="47"/>
      <c r="M82" s="74"/>
    </row>
    <row r="83" spans="4:13" ht="20.100000000000001" customHeight="1" x14ac:dyDescent="0.25">
      <c r="D83" s="49">
        <v>0</v>
      </c>
      <c r="E83" s="49">
        <v>0</v>
      </c>
      <c r="F83" s="49">
        <v>0</v>
      </c>
      <c r="G83" s="142" cm="1">
        <f t="array" ref="G83">Scope3_Equations.VEERG_15_1_1_1__1_EmissionsFromPurchasedLivestock(E83,F83,$E$76)</f>
        <v>0</v>
      </c>
      <c r="H83" s="49">
        <v>0</v>
      </c>
      <c r="I83" s="64"/>
      <c r="J83" s="142" cm="1">
        <f t="array" ref="J83">Scope3_Equations.VEERG_15_1_1_1__1_EmissionsFromPurchasedLivestock(E83,H83,IF(I83, I83,$E$76))</f>
        <v>0</v>
      </c>
      <c r="K83" s="74"/>
      <c r="L83" s="47"/>
      <c r="M83" s="74"/>
    </row>
    <row r="84" spans="4:13" ht="20.100000000000001" customHeight="1" x14ac:dyDescent="0.25">
      <c r="D84" s="49">
        <v>0</v>
      </c>
      <c r="E84" s="49">
        <v>0</v>
      </c>
      <c r="F84" s="49">
        <v>0</v>
      </c>
      <c r="G84" s="142" cm="1">
        <f t="array" ref="G84">Scope3_Equations.VEERG_15_1_1_1__1_EmissionsFromPurchasedLivestock(E84,F84,$E$76)</f>
        <v>0</v>
      </c>
      <c r="H84" s="49">
        <v>0</v>
      </c>
      <c r="I84" s="64"/>
      <c r="J84" s="142" cm="1">
        <f t="array" ref="J84">Scope3_Equations.VEERG_15_1_1_1__1_EmissionsFromPurchasedLivestock(E84,H84,IF(I84, I84,$E$76))</f>
        <v>0</v>
      </c>
      <c r="K84" s="74"/>
      <c r="L84" s="47"/>
      <c r="M84" s="74"/>
    </row>
    <row r="85" spans="4:13" ht="20.100000000000001" customHeight="1" x14ac:dyDescent="0.25">
      <c r="D85" s="49">
        <v>0</v>
      </c>
      <c r="E85" s="49">
        <v>0</v>
      </c>
      <c r="F85" s="49">
        <v>0</v>
      </c>
      <c r="G85" s="142" cm="1">
        <f t="array" ref="G85">Scope3_Equations.VEERG_15_1_1_1__1_EmissionsFromPurchasedLivestock(E85,F85,$E$76)</f>
        <v>0</v>
      </c>
      <c r="H85" s="49">
        <v>0</v>
      </c>
      <c r="I85" s="64"/>
      <c r="J85" s="142" cm="1">
        <f t="array" ref="J85">Scope3_Equations.VEERG_15_1_1_1__1_EmissionsFromPurchasedLivestock(E85,H85,IF(I85, I85,$E$76))</f>
        <v>0</v>
      </c>
      <c r="K85" s="74"/>
      <c r="L85" s="47"/>
      <c r="M85" s="74"/>
    </row>
    <row r="86" spans="4:13" ht="20.100000000000001" customHeight="1" x14ac:dyDescent="0.25">
      <c r="D86" s="49">
        <v>0</v>
      </c>
      <c r="E86" s="49">
        <v>0</v>
      </c>
      <c r="F86" s="49">
        <v>0</v>
      </c>
      <c r="G86" s="142" cm="1">
        <f t="array" ref="G86">Scope3_Equations.VEERG_15_1_1_1__1_EmissionsFromPurchasedLivestock(E86,F86,$E$76)</f>
        <v>0</v>
      </c>
      <c r="H86" s="49">
        <v>0</v>
      </c>
      <c r="I86" s="64"/>
      <c r="J86" s="142" cm="1">
        <f t="array" ref="J86">Scope3_Equations.VEERG_15_1_1_1__1_EmissionsFromPurchasedLivestock(E86,H86,IF(I86, I86,$E$76))</f>
        <v>0</v>
      </c>
      <c r="K86" s="74"/>
      <c r="L86" s="47"/>
      <c r="M86" s="74"/>
    </row>
    <row r="87" spans="4:13" ht="20.100000000000001" customHeight="1" x14ac:dyDescent="0.25">
      <c r="D87" s="49">
        <v>0</v>
      </c>
      <c r="E87" s="49">
        <v>0</v>
      </c>
      <c r="F87" s="49">
        <v>0</v>
      </c>
      <c r="G87" s="142" cm="1">
        <f t="array" ref="G87">Scope3_Equations.VEERG_15_1_1_1__1_EmissionsFromPurchasedLivestock(E87,F87,$E$76)</f>
        <v>0</v>
      </c>
      <c r="H87" s="49">
        <v>0</v>
      </c>
      <c r="I87" s="64"/>
      <c r="J87" s="142" cm="1">
        <f t="array" ref="J87">Scope3_Equations.VEERG_15_1_1_1__1_EmissionsFromPurchasedLivestock(E87,H87,IF(I87, I87,$E$76))</f>
        <v>0</v>
      </c>
      <c r="K87" s="74"/>
      <c r="L87" s="47"/>
      <c r="M87" s="74"/>
    </row>
    <row r="88" spans="4:13" ht="20.100000000000001" customHeight="1" x14ac:dyDescent="0.25">
      <c r="D88" s="49">
        <v>0</v>
      </c>
      <c r="E88" s="49">
        <v>0</v>
      </c>
      <c r="F88" s="49">
        <v>0</v>
      </c>
      <c r="G88" s="142" cm="1">
        <f t="array" ref="G88">Scope3_Equations.VEERG_15_1_1_1__1_EmissionsFromPurchasedLivestock(E88,F88,$E$76)</f>
        <v>0</v>
      </c>
      <c r="H88" s="49">
        <v>0</v>
      </c>
      <c r="I88" s="64"/>
      <c r="J88" s="142" cm="1">
        <f t="array" ref="J88">Scope3_Equations.VEERG_15_1_1_1__1_EmissionsFromPurchasedLivestock(E88,H88,IF(I88, I88,$E$76))</f>
        <v>0</v>
      </c>
      <c r="K88" s="74"/>
      <c r="L88" s="47"/>
      <c r="M88" s="74"/>
    </row>
    <row r="89" spans="4:13" ht="20.100000000000001" customHeight="1" x14ac:dyDescent="0.25"/>
    <row r="90" spans="4:13" ht="20.100000000000001" customHeight="1" x14ac:dyDescent="0.25">
      <c r="D90" s="165" t="s">
        <v>638</v>
      </c>
      <c r="E90" s="89">
        <f>SUM(G79:G88)</f>
        <v>0.36720000000000003</v>
      </c>
      <c r="F90" s="166" t="str">
        <f>$E$11</f>
        <v>t CO2e</v>
      </c>
    </row>
    <row r="91" spans="4:13" ht="20.100000000000001" customHeight="1" x14ac:dyDescent="0.25">
      <c r="D91" s="165" t="s">
        <v>639</v>
      </c>
      <c r="E91" s="89">
        <f>SUM(J79:J88)</f>
        <v>0.35940000000000005</v>
      </c>
      <c r="F91" s="166" t="str">
        <f>$E$11</f>
        <v>t CO2e</v>
      </c>
    </row>
    <row r="92" spans="4:13" ht="20.100000000000001" customHeight="1" x14ac:dyDescent="0.25"/>
    <row r="93" spans="4:13" ht="20.100000000000001" customHeight="1" x14ac:dyDescent="0.25">
      <c r="D93" s="167" t="s">
        <v>628</v>
      </c>
      <c r="E93" s="16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69" t="str">
        <f>$E$11</f>
        <v>t CO2e</v>
      </c>
    </row>
    <row r="94" spans="4:13" ht="20.100000000000001" customHeight="1" x14ac:dyDescent="0.25">
      <c r="D94" s="167" t="s">
        <v>630</v>
      </c>
      <c r="E94" s="16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69" t="str">
        <f>$E$11</f>
        <v>t CO2e</v>
      </c>
    </row>
    <row r="95" spans="4:13" ht="20.100000000000001" customHeight="1" x14ac:dyDescent="0.25"/>
    <row r="96" spans="4:13" ht="20.100000000000001" customHeight="1" x14ac:dyDescent="0.25"/>
    <row r="97" spans="3:41" ht="20.100000000000001" customHeight="1" x14ac:dyDescent="0.25">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2" t="str" cm="1">
        <f t="array" ref="D100">Scope3_Equations.VEERG_15_2_1_1__1_EmissionsFromPurchasedFeed_Variation()</f>
        <v>VARIATION ON SOURCE: Input Q_j in kg instead of t to match EF units. Multiply by 10^-3 to convert kg CO2e to t CO2e.</v>
      </c>
    </row>
    <row r="101" spans="3:41" ht="20.100000000000001" customHeight="1" x14ac:dyDescent="0.25">
      <c r="D101" s="163" t="s">
        <v>621</v>
      </c>
      <c r="E101" s="163" t="str" cm="1">
        <f t="array" aca="1" ref="E101" ca="1">Common_InputFunctions.Utility_DisplayFunctionName(G120)</f>
        <v>=Scope3_Equations.VEERG_15_2_1_1__1_EmissionsFromPurchasedFeedVariation</v>
      </c>
      <c r="H101" s="12"/>
    </row>
    <row r="102" spans="3:41" ht="20.100000000000001" customHeight="1" x14ac:dyDescent="0.25"/>
    <row r="103" spans="3:41" ht="20.100000000000001" customHeight="1" x14ac:dyDescent="0.25">
      <c r="H103" s="163"/>
    </row>
    <row r="104" spans="3:41" ht="20.100000000000001" customHeight="1" x14ac:dyDescent="0.25">
      <c r="D104" s="27" t="s">
        <v>622</v>
      </c>
      <c r="E104" s="8" t="str" cm="1">
        <f t="array" ref="E104">Scope3_Equations.VEERG_15_2_1_1__1_EmissionsFromPurchasedFeed_Variable()</f>
        <v>E</v>
      </c>
    </row>
    <row r="105" spans="3:41" ht="20.100000000000001" customHeight="1" x14ac:dyDescent="0.25">
      <c r="D105" s="27" t="s">
        <v>97</v>
      </c>
      <c r="E105" s="13" t="str" cm="1">
        <f t="array" ref="E105">Scope3_Equations.VEERG_15_2_1_1__1_EmissionsFromPurchasedFeed_Unit()</f>
        <v>t CO2e</v>
      </c>
    </row>
    <row r="106" spans="3:41" ht="20.100000000000001" customHeight="1" x14ac:dyDescent="0.25"/>
    <row r="107" spans="3:41" ht="20.100000000000001" customHeight="1" x14ac:dyDescent="0.25">
      <c r="D107" s="158" t="str" cm="1">
        <f t="array" ref="D107:E109">_xlfn.CHOOSECOLS(Scope3_Equations.VEERG_15_2_1_1__1_EmissionsFromPurchasedFeed_ArgumentsVariation(),1,2)</f>
        <v>Q_j</v>
      </c>
      <c r="E107" s="162" t="str">
        <v>quantity of feed type j purchased</v>
      </c>
      <c r="F107" s="157"/>
      <c r="G107" s="158" t="str" cm="1">
        <f t="array" ref="G107:H109">_xlfn.CHOOSECOLS(Scope3_Equations.VEERG_15_2_1_1__1_EmissionsFromPurchasedFeed_ArgumentsVariation(),3,4)</f>
        <v>kg</v>
      </c>
      <c r="H107" s="159" t="str">
        <v>Input</v>
      </c>
    </row>
    <row r="108" spans="3:41" ht="20.100000000000001" customHeight="1" x14ac:dyDescent="0.25">
      <c r="D108" s="158" t="str">
        <v>EF_j</v>
      </c>
      <c r="E108" s="162" t="str">
        <v>emission factor of purchased feed</v>
      </c>
      <c r="F108" s="157"/>
      <c r="G108" s="158" t="str">
        <v>kg CO2e/kg</v>
      </c>
      <c r="H108" s="160" t="str">
        <v>Constant</v>
      </c>
    </row>
    <row r="109" spans="3:41" ht="20.100000000000001" customHeight="1" x14ac:dyDescent="0.25">
      <c r="D109" s="158" t="str">
        <v>j</v>
      </c>
      <c r="E109" s="162" t="str">
        <v>feed type</v>
      </c>
      <c r="F109" s="157"/>
      <c r="G109" s="158" t="str">
        <v/>
      </c>
      <c r="H109" s="159" t="str">
        <v>Input</v>
      </c>
    </row>
    <row r="110" spans="3:41" ht="20.100000000000001" customHeight="1" x14ac:dyDescent="0.25"/>
    <row r="111" spans="3:41" ht="20.100000000000001" customHeight="1" x14ac:dyDescent="0.25">
      <c r="D111" s="135" t="s">
        <v>288</v>
      </c>
    </row>
    <row r="112" spans="3:41" ht="20.100000000000001" customHeight="1" x14ac:dyDescent="0.25"/>
    <row r="113" spans="4:28" ht="20.100000000000001" customHeight="1" x14ac:dyDescent="0.25">
      <c r="D113" s="39" t="s">
        <v>632</v>
      </c>
      <c r="E113" s="41"/>
      <c r="F113" s="39"/>
      <c r="G113" s="40"/>
      <c r="H113" s="41"/>
    </row>
    <row r="114" spans="4:28" ht="20.100000000000001" customHeight="1" x14ac:dyDescent="0.25">
      <c r="D114" s="80" t="s">
        <v>633</v>
      </c>
      <c r="E114" s="82"/>
      <c r="F114" s="80"/>
      <c r="G114" s="81"/>
      <c r="H114" s="82"/>
    </row>
    <row r="115" spans="4:28" ht="20.100000000000001" customHeight="1" x14ac:dyDescent="0.25">
      <c r="D115" s="43" t="s">
        <v>634</v>
      </c>
      <c r="E115" s="45"/>
      <c r="F115" s="43"/>
      <c r="G115" s="44"/>
      <c r="H115" s="45"/>
    </row>
    <row r="116" spans="4:28" ht="20.100000000000001" customHeight="1" x14ac:dyDescent="0.25"/>
    <row r="117" spans="4:28" ht="20.100000000000001" customHeight="1" x14ac:dyDescent="0.25">
      <c r="D117" s="86" t="s">
        <v>395</v>
      </c>
      <c r="E117" s="101"/>
      <c r="F117" s="87"/>
    </row>
    <row r="118" spans="4:28" ht="20.100000000000001" customHeight="1" x14ac:dyDescent="0.25"/>
    <row r="119" spans="4:28" ht="20.100000000000001" customHeight="1" x14ac:dyDescent="0.25">
      <c r="D119" s="46" t="s">
        <v>399</v>
      </c>
      <c r="E119" s="46" t="s">
        <v>627</v>
      </c>
      <c r="F119" s="57" t="s">
        <v>631</v>
      </c>
      <c r="G119" s="57" t="s">
        <v>628</v>
      </c>
      <c r="H119" s="46" t="s">
        <v>629</v>
      </c>
      <c r="I119" s="57" t="s">
        <v>630</v>
      </c>
      <c r="J119" s="46" t="s">
        <v>624</v>
      </c>
      <c r="K119" s="46" t="s">
        <v>625</v>
      </c>
      <c r="L119" s="46" t="s">
        <v>626</v>
      </c>
      <c r="M119" s="57" t="s">
        <v>171</v>
      </c>
      <c r="N119" s="57" t="s">
        <v>381</v>
      </c>
      <c r="O119" s="57" t="s">
        <v>172</v>
      </c>
      <c r="P119" s="57" t="s">
        <v>343</v>
      </c>
      <c r="Q119" s="57" t="s">
        <v>173</v>
      </c>
      <c r="R119" s="57" t="s">
        <v>396</v>
      </c>
      <c r="S119" s="57" t="s">
        <v>174</v>
      </c>
      <c r="T119" s="57" t="s">
        <v>346</v>
      </c>
      <c r="U119" s="57" t="s">
        <v>175</v>
      </c>
      <c r="V119" s="57" t="s">
        <v>397</v>
      </c>
      <c r="W119" s="57" t="s">
        <v>176</v>
      </c>
      <c r="X119" s="57" t="s">
        <v>347</v>
      </c>
      <c r="Y119" s="57" t="s">
        <v>177</v>
      </c>
      <c r="Z119" s="57" t="s">
        <v>398</v>
      </c>
      <c r="AA119" s="57" t="s">
        <v>178</v>
      </c>
      <c r="AB119" s="57" t="s">
        <v>348</v>
      </c>
    </row>
    <row r="120" spans="4:28" ht="20.100000000000001" customHeight="1" x14ac:dyDescent="0.25">
      <c r="D120" s="49" cm="1">
        <f t="array" ref="D120:D129">IFERROR(INDEX(Table_Input_FeedBlends[Feed blend name], _xlfn.SEQUENCE(10)), "")</f>
        <v>0</v>
      </c>
      <c r="E120" s="49" cm="1">
        <f t="array" ref="E120:E129">IFERROR(INDEX(Table_Input_FeedBlends[Amount fed (kg)], _xlfn.SEQUENCE(10)), "")</f>
        <v>1200</v>
      </c>
      <c r="F120" s="49">
        <f t="shared" ref="F120:F129" si="0">IFERROR((O120*P120)+(S120*T120)+(W120*X120)+(AA120*AB120), 0)</f>
        <v>0.16272999999999999</v>
      </c>
      <c r="G120" s="142" cm="1">
        <f t="array" ref="G120">Scope3_Equations.VEERG_15_2_1_1__1_EmissionsFromPurchasedFeedVariation(E120,F120)</f>
        <v>0.19527599999999998</v>
      </c>
      <c r="H120" s="64">
        <v>0.04</v>
      </c>
      <c r="I120" s="142" cm="1">
        <f t="array" ref="I120">Scope3_Equations.VEERG_15_2_1_1__1_EmissionsFromPurchasedFeedVariation(E120,IF(H120,H120, F120))</f>
        <v>4.8000000000000001E-2</v>
      </c>
      <c r="J120" s="74"/>
      <c r="K120" s="47"/>
      <c r="L120"/>
      <c r="M120" s="49" t="str" cm="1">
        <f t="array" ref="M120:M129">IFERROR(INDEX(Table_Input_FeedBlends[Ingredient 1 (select)], _xlfn.SEQUENCE(10)), "")</f>
        <v>Cereal silage</v>
      </c>
      <c r="N120" s="49" t="str" cm="1">
        <f t="array" ref="N120:N129">IFERROR(INDEX(Table_Input_FeedBlends[Ingredient 1 source region], _xlfn.SEQUENCE(10)), "")</f>
        <v>SA</v>
      </c>
      <c r="O120" s="49" cm="1">
        <f t="array" ref="O120:O129">IFERROR(INDEX(Table_Input_FeedBlends[Ingredient 1 percent], _xlfn.SEQUENCE(10)), "")</f>
        <v>0.35</v>
      </c>
      <c r="P120" s="49"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49" t="str" cm="1">
        <f t="array" ref="Q120:Q129">IFERROR(INDEX(Table_Input_FeedBlends[Ingredient 2 (select)], _xlfn.SEQUENCE(10)), "")</f>
        <v>Cereal hay</v>
      </c>
      <c r="R120" s="49" t="str" cm="1">
        <f t="array" ref="R120:R129">IFERROR(INDEX(Table_Input_FeedBlends[Ingredient 2 source region], _xlfn.SEQUENCE(10)), "")</f>
        <v>SA</v>
      </c>
      <c r="S120" s="49" cm="1">
        <f t="array" ref="S120:S129">IFERROR(INDEX(Table_Input_FeedBlends[Ingredient 2 percent], _xlfn.SEQUENCE(10)), "")</f>
        <v>0.22</v>
      </c>
      <c r="T120" s="49"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49" t="str" cm="1">
        <f t="array" ref="U120:U129">IFERROR(INDEX(Table_Input_FeedBlends[Ingredient 3 (select)], _xlfn.SEQUENCE(10)), "")</f>
        <v>Canola oil</v>
      </c>
      <c r="V120" s="49" t="str" cm="1">
        <f t="array" ref="V120:V129">IFERROR(INDEX(Table_Input_FeedBlends[Ingredient 3 source region], _xlfn.SEQUENCE(10)), "")</f>
        <v>Australia</v>
      </c>
      <c r="W120" s="49" cm="1">
        <f t="array" ref="W120:W129">IFERROR(INDEX(Table_Input_FeedBlends[Ingredient 3 percent], _xlfn.SEQUENCE(10)), "")</f>
        <v>0.12</v>
      </c>
      <c r="X120" s="49"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49" t="str" cm="1">
        <f t="array" ref="Y120:Y129">IFERROR(INDEX(Table_Input_FeedBlends[Ingredient 4 (select)], _xlfn.SEQUENCE(10)), "")</f>
        <v>Molasses</v>
      </c>
      <c r="Z120" s="49" t="str" cm="1">
        <f t="array" ref="Z120:Z129">IFERROR(INDEX(Table_Input_FeedBlends[Ingredient 4 source region], _xlfn.SEQUENCE(10)), "")</f>
        <v>QLD</v>
      </c>
      <c r="AA120" s="49" cm="1">
        <f t="array" ref="AA120:AA129">IFERROR(INDEX(Table_Input_FeedBlends[Ingredient 4 percent], _xlfn.SEQUENCE(10)), "")</f>
        <v>0.05</v>
      </c>
      <c r="AB120" s="49"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5">
      <c r="D121" s="49">
        <v>0</v>
      </c>
      <c r="E121" s="49">
        <v>3456</v>
      </c>
      <c r="F121" s="49">
        <f t="shared" si="0"/>
        <v>4.6000000000000006E-2</v>
      </c>
      <c r="G121" s="142" cm="1">
        <f t="array" ref="G121">Scope3_Equations.VEERG_15_2_1_1__1_EmissionsFromPurchasedFeedVariation(E121,F121)</f>
        <v>0.15897600000000003</v>
      </c>
      <c r="H121" s="64">
        <v>0.03</v>
      </c>
      <c r="I121" s="142" cm="1">
        <f t="array" ref="I121">Scope3_Equations.VEERG_15_2_1_1__1_EmissionsFromPurchasedFeedVariation(E121,IF(H121,H121, F121))</f>
        <v>0.10367999999999999</v>
      </c>
      <c r="J121" s="74"/>
      <c r="K121" s="47"/>
      <c r="L121" s="74"/>
      <c r="M121" s="49" t="str">
        <v>Lucerne hay</v>
      </c>
      <c r="N121" s="49" t="str">
        <v>Australia</v>
      </c>
      <c r="O121" s="49">
        <v>0.2</v>
      </c>
      <c r="P121" s="49"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49" t="str">
        <v>Lucerne hay</v>
      </c>
      <c r="R121" s="49" t="str">
        <v>NSW</v>
      </c>
      <c r="S121" s="49">
        <v>0.2</v>
      </c>
      <c r="T121" s="49"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5">
      <c r="D122" s="49" t="str">
        <v>Hay bales in paddock</v>
      </c>
      <c r="E122" s="49">
        <v>300</v>
      </c>
      <c r="F122" s="49">
        <f t="shared" si="0"/>
        <v>0.27800000000000002</v>
      </c>
      <c r="G122" s="142" cm="1">
        <f t="array" ref="G122">Scope3_Equations.VEERG_15_2_1_1__1_EmissionsFromPurchasedFeedVariation(E122,F122)</f>
        <v>8.3400000000000002E-2</v>
      </c>
      <c r="H122" s="64">
        <v>0.14000000000000001</v>
      </c>
      <c r="I122" s="142" cm="1">
        <f t="array" ref="I122">Scope3_Equations.VEERG_15_2_1_1__1_EmissionsFromPurchasedFeedVariation(E122,IF(H122,H122, F122))</f>
        <v>4.200000000000001E-2</v>
      </c>
      <c r="J122" s="74"/>
      <c r="K122" s="47"/>
      <c r="L122" s="74"/>
      <c r="M122" s="49" t="str">
        <v>Wheat grain</v>
      </c>
      <c r="N122" s="49" t="str">
        <v>SA</v>
      </c>
      <c r="O122" s="49">
        <v>0.8</v>
      </c>
      <c r="P122" s="49"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49" t="str">
        <v>Soybean meal</v>
      </c>
      <c r="R122" s="49" t="str">
        <v>Brazil</v>
      </c>
      <c r="S122" s="49">
        <v>0.2</v>
      </c>
      <c r="T122" s="49"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5">
      <c r="D123" s="49">
        <v>0</v>
      </c>
      <c r="E123" s="49">
        <v>500</v>
      </c>
      <c r="F123" s="49">
        <f t="shared" si="0"/>
        <v>0.34499999999999997</v>
      </c>
      <c r="G123" s="142" cm="1">
        <f t="array" ref="G123">Scope3_Equations.VEERG_15_2_1_1__1_EmissionsFromPurchasedFeedVariation(E123,F123)</f>
        <v>0.17250000000000001</v>
      </c>
      <c r="H123" s="64"/>
      <c r="I123" s="142" cm="1">
        <f t="array" ref="I123">Scope3_Equations.VEERG_15_2_1_1__1_EmissionsFromPurchasedFeedVariation(E123,IF(H123,H123, F123))</f>
        <v>0.17250000000000001</v>
      </c>
      <c r="J123" s="74"/>
      <c r="K123" s="47"/>
      <c r="L123" s="74"/>
      <c r="M123" s="49" t="str">
        <v>Pasture hay</v>
      </c>
      <c r="N123" s="49" t="str">
        <v>VIC</v>
      </c>
      <c r="O123" s="49">
        <v>1</v>
      </c>
      <c r="P123" s="49"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5">
      <c r="D124" s="49">
        <v>0</v>
      </c>
      <c r="E124" s="49">
        <v>0</v>
      </c>
      <c r="F124" s="49">
        <f t="shared" si="0"/>
        <v>0</v>
      </c>
      <c r="G124" s="142" cm="1">
        <f t="array" ref="G124">Scope3_Equations.VEERG_15_2_1_1__1_EmissionsFromPurchasedFeedVariation(E124,F124)</f>
        <v>0</v>
      </c>
      <c r="H124" s="64"/>
      <c r="I124" s="142" cm="1">
        <f t="array" ref="I124">Scope3_Equations.VEERG_15_2_1_1__1_EmissionsFromPurchasedFeedVariation(E124,IF(H124,H124, F124))</f>
        <v>0</v>
      </c>
      <c r="J124" s="74"/>
      <c r="K124" s="47"/>
      <c r="L124" s="74"/>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5">
      <c r="D125" s="49">
        <v>0</v>
      </c>
      <c r="E125" s="49">
        <v>0</v>
      </c>
      <c r="F125" s="49">
        <f t="shared" si="0"/>
        <v>0</v>
      </c>
      <c r="G125" s="142" cm="1">
        <f t="array" ref="G125">Scope3_Equations.VEERG_15_2_1_1__1_EmissionsFromPurchasedFeedVariation(E125,F125)</f>
        <v>0</v>
      </c>
      <c r="H125" s="64"/>
      <c r="I125" s="142" cm="1">
        <f t="array" ref="I125">Scope3_Equations.VEERG_15_2_1_1__1_EmissionsFromPurchasedFeedVariation(E125,IF(H125,H125, F125))</f>
        <v>0</v>
      </c>
      <c r="J125" s="74"/>
      <c r="K125" s="47"/>
      <c r="L125" s="74"/>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5">
      <c r="D126" s="49">
        <v>0</v>
      </c>
      <c r="E126" s="49">
        <v>0</v>
      </c>
      <c r="F126" s="49">
        <f t="shared" si="0"/>
        <v>0</v>
      </c>
      <c r="G126" s="142" cm="1">
        <f t="array" ref="G126">Scope3_Equations.VEERG_15_2_1_1__1_EmissionsFromPurchasedFeedVariation(E126,F126)</f>
        <v>0</v>
      </c>
      <c r="H126" s="64"/>
      <c r="I126" s="142" cm="1">
        <f t="array" ref="I126">Scope3_Equations.VEERG_15_2_1_1__1_EmissionsFromPurchasedFeedVariation(E126,IF(H126,H126, F126))</f>
        <v>0</v>
      </c>
      <c r="J126" s="74"/>
      <c r="K126" s="47"/>
      <c r="L126" s="74"/>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5">
      <c r="D127" s="49">
        <v>0</v>
      </c>
      <c r="E127" s="49">
        <v>0</v>
      </c>
      <c r="F127" s="49">
        <f t="shared" si="0"/>
        <v>0</v>
      </c>
      <c r="G127" s="142" cm="1">
        <f t="array" ref="G127">Scope3_Equations.VEERG_15_2_1_1__1_EmissionsFromPurchasedFeedVariation(E127,F127)</f>
        <v>0</v>
      </c>
      <c r="H127" s="64"/>
      <c r="I127" s="142" cm="1">
        <f t="array" ref="I127">Scope3_Equations.VEERG_15_2_1_1__1_EmissionsFromPurchasedFeedVariation(E127,IF(H127,H127, F127))</f>
        <v>0</v>
      </c>
      <c r="J127" s="74"/>
      <c r="K127" s="47"/>
      <c r="L127" s="74"/>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5">
      <c r="D128" s="49">
        <v>0</v>
      </c>
      <c r="E128" s="49">
        <v>0</v>
      </c>
      <c r="F128" s="49">
        <f t="shared" si="0"/>
        <v>0</v>
      </c>
      <c r="G128" s="142" cm="1">
        <f t="array" ref="G128">Scope3_Equations.VEERG_15_2_1_1__1_EmissionsFromPurchasedFeedVariation(E128,F128)</f>
        <v>0</v>
      </c>
      <c r="H128" s="64"/>
      <c r="I128" s="142" cm="1">
        <f t="array" ref="I128">Scope3_Equations.VEERG_15_2_1_1__1_EmissionsFromPurchasedFeedVariation(E128,IF(H128,H128, F128))</f>
        <v>0</v>
      </c>
      <c r="J128" s="74"/>
      <c r="K128" s="47"/>
      <c r="L128" s="74"/>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5">
      <c r="D129" s="49">
        <v>0</v>
      </c>
      <c r="E129" s="49">
        <v>0</v>
      </c>
      <c r="F129" s="49">
        <f t="shared" si="0"/>
        <v>0</v>
      </c>
      <c r="G129" s="142" cm="1">
        <f t="array" ref="G129">Scope3_Equations.VEERG_15_2_1_1__1_EmissionsFromPurchasedFeedVariation(E129,F129)</f>
        <v>0</v>
      </c>
      <c r="H129" s="64"/>
      <c r="I129" s="142" cm="1">
        <f t="array" ref="I129">Scope3_Equations.VEERG_15_2_1_1__1_EmissionsFromPurchasedFeedVariation(E129,IF(H129,H129, F129))</f>
        <v>0</v>
      </c>
      <c r="J129" s="74"/>
      <c r="K129" s="47"/>
      <c r="L129" s="74"/>
      <c r="M129" s="49">
        <v>0</v>
      </c>
      <c r="N129" s="49">
        <v>0</v>
      </c>
      <c r="O129" s="49">
        <v>0</v>
      </c>
      <c r="P129" s="49"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49">
        <v>0</v>
      </c>
      <c r="R129" s="49">
        <v>0</v>
      </c>
      <c r="S129" s="49">
        <v>0</v>
      </c>
      <c r="T129" s="49"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49">
        <v>0</v>
      </c>
      <c r="V129" s="49">
        <v>0</v>
      </c>
      <c r="W129" s="49">
        <v>0</v>
      </c>
      <c r="X129" s="49"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49">
        <v>0</v>
      </c>
      <c r="Z129" s="49">
        <v>0</v>
      </c>
      <c r="AA129" s="49">
        <v>0</v>
      </c>
      <c r="AB129" s="49"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4:28" ht="20.100000000000001" customHeight="1" x14ac:dyDescent="0.25"/>
    <row r="131" spans="4:28" ht="20.100000000000001" customHeight="1" x14ac:dyDescent="0.25">
      <c r="D131" s="165" t="s">
        <v>628</v>
      </c>
      <c r="E131" s="89">
        <f>SUM(G120:G129)</f>
        <v>0.61015200000000003</v>
      </c>
      <c r="F131" s="166" t="str">
        <f>$E$105</f>
        <v>t CO2e</v>
      </c>
    </row>
    <row r="132" spans="4:28" ht="20.100000000000001" customHeight="1" x14ac:dyDescent="0.25">
      <c r="D132" s="165" t="s">
        <v>630</v>
      </c>
      <c r="E132" s="89">
        <f>SUM(I120:I129)</f>
        <v>0.36618000000000001</v>
      </c>
      <c r="F132" s="166" t="str">
        <f>$E$105</f>
        <v>t CO2e</v>
      </c>
    </row>
    <row r="133" spans="4:28" ht="20.100000000000001" customHeight="1" x14ac:dyDescent="0.25"/>
    <row r="134" spans="4:28" ht="20.100000000000001" customHeight="1" x14ac:dyDescent="0.25"/>
    <row r="135" spans="4:28" ht="20.100000000000001" customHeight="1" x14ac:dyDescent="0.25">
      <c r="D135" s="135" t="s">
        <v>393</v>
      </c>
    </row>
    <row r="136" spans="4:28" ht="20.100000000000001" customHeight="1" x14ac:dyDescent="0.25">
      <c r="D136" s="46" t="s">
        <v>212</v>
      </c>
      <c r="E136" s="46" t="s">
        <v>627</v>
      </c>
      <c r="F136" s="57" t="s">
        <v>631</v>
      </c>
      <c r="G136" s="57" t="s">
        <v>628</v>
      </c>
      <c r="H136" s="46" t="s">
        <v>629</v>
      </c>
      <c r="I136" s="57" t="s">
        <v>630</v>
      </c>
      <c r="J136" s="46" t="s">
        <v>624</v>
      </c>
      <c r="K136" s="46" t="s">
        <v>625</v>
      </c>
      <c r="L136" s="46" t="s">
        <v>626</v>
      </c>
    </row>
    <row r="137" spans="4:28" ht="20.100000000000001" customHeight="1" x14ac:dyDescent="0.25">
      <c r="D137" s="49" t="str">
        <f>'Input - Livestock farm Inputs'!D12</f>
        <v>Feed for chickens</v>
      </c>
      <c r="E137" s="49">
        <f>IFERROR(X_Cell_FarmInputs_FeedRations_Chickens, 0)</f>
        <v>100</v>
      </c>
      <c r="F137" s="49" cm="1">
        <f t="array" ref="F137">Common_InputFunctions.Utility_LookupValueInTableNumber(D137,Table_SourceData_Scope3_MixedRations[Product],Table_SourceData_Scope3_MixedRations[Emissions intensity])</f>
        <v>0.59399999999999997</v>
      </c>
      <c r="G137" s="142" cm="1">
        <f t="array" ref="G137">Scope3_Equations.VEERG_15_2_1_1__1_EmissionsFromPurchasedFeedVariation(E137,F137)</f>
        <v>5.9400000000000001E-2</v>
      </c>
      <c r="H137" s="64">
        <v>0.5</v>
      </c>
      <c r="I137" s="142" cm="1">
        <f t="array" ref="I137">Scope3_Equations.VEERG_15_2_1_1__1_EmissionsFromPurchasedFeedVariation(E137,IF(H137,H137, F137))</f>
        <v>0.05</v>
      </c>
      <c r="J137" s="74"/>
      <c r="K137" s="47"/>
      <c r="L137" s="74"/>
    </row>
    <row r="138" spans="4:28" ht="20.100000000000001" customHeight="1" x14ac:dyDescent="0.25">
      <c r="D138" s="49" t="str">
        <f>'Input - Livestock farm Inputs'!D13</f>
        <v>Feed for dairy calves</v>
      </c>
      <c r="E138" s="49">
        <f>IFERROR(X_Cell_FarmInputs_FeedRations_DairyCalves, 0)</f>
        <v>100</v>
      </c>
      <c r="F138" s="49" cm="1">
        <f t="array" ref="F138">Common_InputFunctions.Utility_LookupValueInTableNumber(D138,Table_SourceData_Scope3_MixedRations[Product],Table_SourceData_Scope3_MixedRations[Emissions intensity])</f>
        <v>0.41899999999999998</v>
      </c>
      <c r="G138" s="142" cm="1">
        <f t="array" ref="G138">Scope3_Equations.VEERG_15_2_1_1__1_EmissionsFromPurchasedFeedVariation(E138,F138)</f>
        <v>4.19E-2</v>
      </c>
      <c r="H138" s="64">
        <v>0.4</v>
      </c>
      <c r="I138" s="142" cm="1">
        <f t="array" ref="I138">Scope3_Equations.VEERG_15_2_1_1__1_EmissionsFromPurchasedFeedVariation(E138,IF(H138,H138, F138))</f>
        <v>0.04</v>
      </c>
      <c r="J138" s="74"/>
      <c r="K138" s="47"/>
      <c r="L138" s="74"/>
    </row>
    <row r="139" spans="4:28" ht="20.100000000000001" customHeight="1" x14ac:dyDescent="0.25">
      <c r="D139" s="49" t="str">
        <f>'Input - Livestock farm Inputs'!D14</f>
        <v>Feed for dairy cows</v>
      </c>
      <c r="E139" s="49">
        <f>IFERROR(X_Cell_FarmInputs_FeedRations_DairyCows, 0)</f>
        <v>100</v>
      </c>
      <c r="F139" s="49" cm="1">
        <f t="array" ref="F139">Common_InputFunctions.Utility_LookupValueInTableNumber(D139,Table_SourceData_Scope3_MixedRations[Product],Table_SourceData_Scope3_MixedRations[Emissions intensity])</f>
        <v>0.33300000000000002</v>
      </c>
      <c r="G139" s="142" cm="1">
        <f t="array" ref="G139">Scope3_Equations.VEERG_15_2_1_1__1_EmissionsFromPurchasedFeedVariation(E139,F139)</f>
        <v>3.3300000000000003E-2</v>
      </c>
      <c r="H139" s="64">
        <v>0</v>
      </c>
      <c r="I139" s="142" cm="1">
        <f t="array" ref="I139">Scope3_Equations.VEERG_15_2_1_1__1_EmissionsFromPurchasedFeedVariation(E139,IF(H139,H139, F139))</f>
        <v>3.3300000000000003E-2</v>
      </c>
      <c r="J139" s="74"/>
      <c r="K139" s="47"/>
      <c r="L139" s="74"/>
    </row>
    <row r="140" spans="4:28" ht="20.100000000000001" customHeight="1" x14ac:dyDescent="0.25">
      <c r="D140" s="49" t="str">
        <f>'Input - Livestock farm Inputs'!D15</f>
        <v>Feed for pigs</v>
      </c>
      <c r="E140" s="49">
        <f>IFERROR(X_Cell_FarmInputs_FeedRations_Pigs, 0)</f>
        <v>100</v>
      </c>
      <c r="F140" s="49" cm="1">
        <f t="array" ref="F140">Common_InputFunctions.Utility_LookupValueInTableNumber(D140,Table_SourceData_Scope3_MixedRations[Product],Table_SourceData_Scope3_MixedRations[Emissions intensity])</f>
        <v>0.40300000000000002</v>
      </c>
      <c r="G140" s="142" cm="1">
        <f t="array" ref="G140">Scope3_Equations.VEERG_15_2_1_1__1_EmissionsFromPurchasedFeedVariation(E140,F140)</f>
        <v>4.0300000000000002E-2</v>
      </c>
      <c r="H140" s="64">
        <v>0</v>
      </c>
      <c r="I140" s="142" cm="1">
        <f t="array" ref="I140">Scope3_Equations.VEERG_15_2_1_1__1_EmissionsFromPurchasedFeedVariation(E140,IF(H140,H140, F140))</f>
        <v>4.0300000000000002E-2</v>
      </c>
      <c r="J140" s="74"/>
      <c r="K140" s="47"/>
      <c r="L140" s="74"/>
    </row>
    <row r="141" spans="4:28" ht="20.100000000000001" customHeight="1" x14ac:dyDescent="0.25"/>
    <row r="142" spans="4:28" ht="20.100000000000001" customHeight="1" x14ac:dyDescent="0.25">
      <c r="D142" s="165" t="s">
        <v>628</v>
      </c>
      <c r="E142" s="89">
        <f>SUM(G137:G140)</f>
        <v>0.1749</v>
      </c>
      <c r="F142" s="166" t="str">
        <f>$E$105</f>
        <v>t CO2e</v>
      </c>
    </row>
    <row r="143" spans="4:28" ht="20.100000000000001" customHeight="1" x14ac:dyDescent="0.25">
      <c r="D143" s="165" t="s">
        <v>630</v>
      </c>
      <c r="E143" s="89">
        <f>SUM(I137:I140)</f>
        <v>0.1636</v>
      </c>
      <c r="F143" s="166" t="str">
        <f>$E$105</f>
        <v>t CO2e</v>
      </c>
    </row>
    <row r="144" spans="4:28" ht="20.100000000000001" customHeight="1" x14ac:dyDescent="0.25"/>
    <row r="145" spans="4:12" ht="20.100000000000001" customHeight="1" x14ac:dyDescent="0.25"/>
    <row r="146" spans="4:12" ht="20.100000000000001" customHeight="1" x14ac:dyDescent="0.25">
      <c r="D146" s="135" t="s">
        <v>925</v>
      </c>
    </row>
    <row r="147" spans="4:12" ht="20.100000000000001" customHeight="1" x14ac:dyDescent="0.25">
      <c r="D147" s="46" t="s">
        <v>212</v>
      </c>
      <c r="E147" s="46" t="s">
        <v>627</v>
      </c>
      <c r="F147" s="57" t="s">
        <v>631</v>
      </c>
      <c r="G147" s="57" t="s">
        <v>628</v>
      </c>
      <c r="H147" s="46" t="s">
        <v>629</v>
      </c>
      <c r="I147" s="57" t="s">
        <v>630</v>
      </c>
      <c r="J147" s="46" t="s">
        <v>624</v>
      </c>
      <c r="K147" s="46" t="s">
        <v>625</v>
      </c>
      <c r="L147" s="46" t="s">
        <v>626</v>
      </c>
    </row>
    <row r="148" spans="4:12" ht="20.100000000000001" customHeight="1" x14ac:dyDescent="0.25">
      <c r="D148" s="49" t="str">
        <f>'Input - Aquaculture inputs'!D7</f>
        <v>Sardines (whole) from South Australia</v>
      </c>
      <c r="E148" s="49">
        <f>IFERROR(X_Cell_Input_AquacultureInput_SardinesSouthAustralia, 0)</f>
        <v>100</v>
      </c>
      <c r="F148" s="49" cm="1">
        <f t="array" ref="F148">Common_InputFunctions.Utility_LookupValueInTableNumber("Sardines (whole)" &amp;"SA", Table_SourceData_Scope3_FishFeedAndBait[Product]&amp;Table_SourceData_Scope3_FishFeedAndBait[Region of origin], Table_SourceData_Scope3_FishFeedAndBait[Emissions intensity])</f>
        <v>0.376</v>
      </c>
      <c r="G148" s="142" cm="1">
        <f t="array" ref="G148">Scope3_Equations.VEERG_15_2_1_1__1_EmissionsFromPurchasedFeedVariation(E148,F148)</f>
        <v>3.7600000000000001E-2</v>
      </c>
      <c r="H148" s="64">
        <v>0.2</v>
      </c>
      <c r="I148" s="142" cm="1">
        <f t="array" ref="I148">Scope3_Equations.VEERG_15_2_1_1__1_EmissionsFromPurchasedFeedVariation(E148,IF(H148,H148, F148))</f>
        <v>0.02</v>
      </c>
      <c r="J148" s="74"/>
      <c r="K148" s="74"/>
      <c r="L148" s="74"/>
    </row>
    <row r="149" spans="4:12" ht="20.100000000000001" customHeight="1" x14ac:dyDescent="0.25">
      <c r="D149" s="49" t="str">
        <f>'Input - Aquaculture inputs'!D8</f>
        <v>Sardines (whole) from the rest of Australia</v>
      </c>
      <c r="E149" s="49">
        <f>IFERROR(X_Cell_Input_AquacultureInput_SardinesAustralia, 0)</f>
        <v>100</v>
      </c>
      <c r="F149" s="49"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142" cm="1">
        <f t="array" ref="G149">Scope3_Equations.VEERG_15_2_1_1__1_EmissionsFromPurchasedFeedVariation(E149,F149)</f>
        <v>0.03</v>
      </c>
      <c r="H149" s="64">
        <v>0</v>
      </c>
      <c r="I149" s="142" cm="1">
        <f t="array" ref="I149">Scope3_Equations.VEERG_15_2_1_1__1_EmissionsFromPurchasedFeedVariation(E149,IF(H149,H149, F149))</f>
        <v>0.03</v>
      </c>
      <c r="J149" s="74"/>
      <c r="K149" s="74"/>
      <c r="L149" s="74"/>
    </row>
    <row r="150" spans="4:12" ht="20.100000000000001" customHeight="1" x14ac:dyDescent="0.25">
      <c r="D150" s="49" t="str">
        <f>'Input - Aquaculture inputs'!D9</f>
        <v>Low Animal Protein Formulated Feed</v>
      </c>
      <c r="E150" s="49">
        <f>IFERROR(X_Cell_Input_AquacultureInput_LowAnimalProteinFormulatedFeed, 0)</f>
        <v>100</v>
      </c>
      <c r="F150" s="49" cm="1">
        <f t="array" ref="F150">Common_InputFunctions.Utility_LookupValueInTableNumber(D150&amp;"Australia", Table_SourceData_Scope3_FishFeedAndBait[Product]&amp;Table_SourceData_Scope3_FishFeedAndBait[Region of origin], Table_SourceData_Scope3_FishFeedAndBait[Emissions intensity])</f>
        <v>2.2000000000000002</v>
      </c>
      <c r="G150" s="142" cm="1">
        <f t="array" ref="G150">Scope3_Equations.VEERG_15_2_1_1__1_EmissionsFromPurchasedFeedVariation(E150,F150)</f>
        <v>0.22000000000000003</v>
      </c>
      <c r="H150" s="64">
        <v>0</v>
      </c>
      <c r="I150" s="142" cm="1">
        <f t="array" ref="I150">Scope3_Equations.VEERG_15_2_1_1__1_EmissionsFromPurchasedFeedVariation(E150,IF(H150,H150, F150))</f>
        <v>0.22000000000000003</v>
      </c>
      <c r="J150" s="74"/>
      <c r="K150" s="74"/>
      <c r="L150" s="74"/>
    </row>
    <row r="151" spans="4:12" ht="20.100000000000001" customHeight="1" x14ac:dyDescent="0.25">
      <c r="D151" s="49" t="str">
        <f>'Input - Aquaculture inputs'!D10</f>
        <v>Squid</v>
      </c>
      <c r="E151" s="49">
        <f>IFERROR(X_Cell_Input_AquacultureInput_Squid, 0)</f>
        <v>100</v>
      </c>
      <c r="F151" s="49" cm="1">
        <f t="array" ref="F151">Common_InputFunctions.Utility_LookupValueInTableNumber(D151&amp;"Australia", Table_SourceData_Scope3_FishFeedAndBait[Product]&amp;Table_SourceData_Scope3_FishFeedAndBait[Region of origin], Table_SourceData_Scope3_FishFeedAndBait[Emissions intensity])</f>
        <v>0.3</v>
      </c>
      <c r="G151" s="142" cm="1">
        <f t="array" ref="G151">Scope3_Equations.VEERG_15_2_1_1__1_EmissionsFromPurchasedFeedVariation(E151,F151)</f>
        <v>0.03</v>
      </c>
      <c r="H151" s="64">
        <v>0</v>
      </c>
      <c r="I151" s="142" cm="1">
        <f t="array" ref="I151">Scope3_Equations.VEERG_15_2_1_1__1_EmissionsFromPurchasedFeedVariation(E151,IF(H151,H151, F151))</f>
        <v>0.03</v>
      </c>
      <c r="J151" s="74"/>
      <c r="K151" s="74"/>
      <c r="L151" s="74"/>
    </row>
    <row r="152" spans="4:12" ht="20.100000000000001" customHeight="1" x14ac:dyDescent="0.25">
      <c r="D152" s="49" t="str">
        <f>'Input - Aquaculture inputs'!D11</f>
        <v>Whole fish</v>
      </c>
      <c r="E152" s="49">
        <f>IFERROR(X_Cell_Input_AquacultureInput_WholeFish, 0)</f>
        <v>100</v>
      </c>
      <c r="F152" s="49" cm="1">
        <f t="array" ref="F152">Common_InputFunctions.Utility_LookupValueInTableNumber(D152&amp;"Australia", Table_SourceData_Scope3_FishFeedAndBait[Product]&amp;Table_SourceData_Scope3_FishFeedAndBait[Region of origin], Table_SourceData_Scope3_FishFeedAndBait[Emissions intensity])</f>
        <v>0.3</v>
      </c>
      <c r="G152" s="142" cm="1">
        <f t="array" ref="G152">Scope3_Equations.VEERG_15_2_1_1__1_EmissionsFromPurchasedFeedVariation(E152,F152)</f>
        <v>0.03</v>
      </c>
      <c r="H152" s="64">
        <v>0</v>
      </c>
      <c r="I152" s="142" cm="1">
        <f t="array" ref="I152">Scope3_Equations.VEERG_15_2_1_1__1_EmissionsFromPurchasedFeedVariation(E152,IF(H152,H152, F152))</f>
        <v>0.03</v>
      </c>
      <c r="J152" s="74"/>
      <c r="K152" s="74"/>
      <c r="L152" s="74"/>
    </row>
    <row r="153" spans="4:12" ht="20.100000000000001" customHeight="1" x14ac:dyDescent="0.25">
      <c r="D153" s="49" t="str">
        <f>'Input - Aquaculture inputs'!D12</f>
        <v>Custom Bait</v>
      </c>
      <c r="E153" s="49">
        <f>IFERROR(X_Cell_Input_AquacultureInput_CustomBait, 0)</f>
        <v>100</v>
      </c>
      <c r="F153" s="49" cm="1">
        <f t="array" ref="F153">Common_InputFunctions.Utility_LookupValueInTableNumber(D153&amp;"Australia", Table_SourceData_Scope3_FishFeedAndBait[Product]&amp;Table_SourceData_Scope3_FishFeedAndBait[Region of origin], Table_SourceData_Scope3_FishFeedAndBait[Emissions intensity])</f>
        <v>0.08</v>
      </c>
      <c r="G153" s="142" cm="1">
        <f t="array" ref="G153">Scope3_Equations.VEERG_15_2_1_1__1_EmissionsFromPurchasedFeedVariation(E153,F153)</f>
        <v>8.0000000000000002E-3</v>
      </c>
      <c r="H153" s="64">
        <v>0</v>
      </c>
      <c r="I153" s="142" cm="1">
        <f t="array" ref="I153">Scope3_Equations.VEERG_15_2_1_1__1_EmissionsFromPurchasedFeedVariation(E153,IF(H153,H153, F153))</f>
        <v>8.0000000000000002E-3</v>
      </c>
      <c r="J153" s="74"/>
      <c r="K153" s="74"/>
      <c r="L153" s="74"/>
    </row>
    <row r="154" spans="4:12" ht="20.100000000000001" customHeight="1" x14ac:dyDescent="0.25"/>
    <row r="155" spans="4:12" ht="20.100000000000001" customHeight="1" x14ac:dyDescent="0.25">
      <c r="D155" s="165" t="s">
        <v>628</v>
      </c>
      <c r="E155" s="89">
        <f>SUM(G148:G153)</f>
        <v>0.35560000000000003</v>
      </c>
      <c r="F155" s="166" t="str">
        <f>$E$105</f>
        <v>t CO2e</v>
      </c>
    </row>
    <row r="156" spans="4:12" ht="20.100000000000001" customHeight="1" x14ac:dyDescent="0.25">
      <c r="D156" s="165" t="s">
        <v>630</v>
      </c>
      <c r="E156" s="89">
        <f>SUM(I148:I153)</f>
        <v>0.33800000000000008</v>
      </c>
      <c r="F156" s="166" t="str">
        <f>$E$105</f>
        <v>t CO2e</v>
      </c>
    </row>
    <row r="157" spans="4:12" ht="20.100000000000001" customHeight="1" x14ac:dyDescent="0.25"/>
    <row r="158" spans="4:12" ht="20.100000000000001" customHeight="1" x14ac:dyDescent="0.25"/>
    <row r="159" spans="4:12" ht="20.100000000000001" customHeight="1" x14ac:dyDescent="0.25">
      <c r="D159" s="167" t="s">
        <v>628</v>
      </c>
      <c r="E159" s="168">
        <f>E131+E142+E155</f>
        <v>1.1406520000000002</v>
      </c>
      <c r="F159" s="169" t="str">
        <f>$E$105</f>
        <v>t CO2e</v>
      </c>
    </row>
    <row r="160" spans="4:12" ht="20.100000000000001" customHeight="1" x14ac:dyDescent="0.25">
      <c r="D160" s="167" t="s">
        <v>630</v>
      </c>
      <c r="E160" s="168">
        <f>E132+E143+E156</f>
        <v>0.86778000000000011</v>
      </c>
      <c r="F160" s="169" t="str">
        <f>$E$105</f>
        <v>t CO2e</v>
      </c>
    </row>
    <row r="161" spans="3:41" ht="20.100000000000001" customHeight="1" x14ac:dyDescent="0.25"/>
    <row r="162" spans="3:41" ht="20.100000000000001" customHeight="1" x14ac:dyDescent="0.25"/>
    <row r="163" spans="3:41" ht="20.100000000000001" customHeight="1" x14ac:dyDescent="0.25">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row>
    <row r="164" spans="3:41" ht="20.100000000000001" customHeight="1" x14ac:dyDescent="0.25">
      <c r="D164" s="9" t="str" cm="1">
        <f t="array" ref="D164">Scope3_Equations.VEERG_15_3_1_1__1_EmissionsFromPurchasedMineralSupplements_Title()</f>
        <v>Total emissions from purchased mineral supplements</v>
      </c>
    </row>
    <row r="165" spans="3:41" ht="20.100000000000001" customHeight="1" x14ac:dyDescent="0.25">
      <c r="D165" s="11" t="str" cm="1">
        <f t="array" ref="D165">Scope3_Equations.VEERG_15_3_1_1__1_EmissionsFromPurchasedMineralSupplements_Source()</f>
        <v>VEERG 2026: 15.3.1.1, Equation (1)</v>
      </c>
    </row>
    <row r="166" spans="3:41" ht="20.100000000000001" customHeight="1" x14ac:dyDescent="0.25">
      <c r="D166" s="163" t="s">
        <v>621</v>
      </c>
      <c r="E166" s="163"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12" t="str" cm="1">
        <f t="array" ref="F168">Scope3_Equations.VEERG_15_3_1_1__1_EmissionsFromPurchasedMineralSupplements_Variation()</f>
        <v>VARIATION ON SOURCE: Input Q_j in kg instead of t to match EF units. Multiply by 10^-3 to convert kg CO2e to t CO2e.</v>
      </c>
      <c r="H168" s="163"/>
    </row>
    <row r="169" spans="3:41" ht="20.100000000000001" customHeight="1" x14ac:dyDescent="0.25">
      <c r="D169" s="27" t="s">
        <v>622</v>
      </c>
      <c r="E169" s="8" t="str" cm="1">
        <f t="array" ref="E169">Scope3_Equations.VEERG_15_3_1_1__1_EmissionsFromPurchasedMineralSupplements_Variable()</f>
        <v>E</v>
      </c>
    </row>
    <row r="170" spans="3:41" ht="20.100000000000001" customHeight="1" x14ac:dyDescent="0.25">
      <c r="D170" s="27" t="s">
        <v>97</v>
      </c>
      <c r="E170" s="13" t="str" cm="1">
        <f t="array" ref="E170">Scope3_Equations.VEERG_15_3_1_1__1_EmissionsFromPurchasedMineralSupplements_Unit()</f>
        <v>t CO2e</v>
      </c>
    </row>
    <row r="171" spans="3:41" ht="20.100000000000001" customHeight="1" x14ac:dyDescent="0.25"/>
    <row r="172" spans="3:41" ht="20.100000000000001" customHeight="1" x14ac:dyDescent="0.25">
      <c r="D172" s="158" t="str" cm="1">
        <f t="array" ref="D172:E174">_xlfn.CHOOSECOLS(Scope3_Equations.VEERG_15_3_1_1__1_EmissionsFromPurchasedMineralSupplements_ArgumentsVariation(),1,2)</f>
        <v>Q_m</v>
      </c>
      <c r="E172" s="162" t="str">
        <v>total quantity of mineral supplement type m used</v>
      </c>
      <c r="F172" s="157"/>
      <c r="G172" s="158" t="str" cm="1">
        <f t="array" ref="G172:H174">_xlfn.CHOOSECOLS(Scope3_Equations.VEERG_15_3_1_1__1_EmissionsFromPurchasedMineralSupplements_ArgumentsVariation(),3,4)</f>
        <v>kg</v>
      </c>
      <c r="H172" s="159" t="str">
        <v>Input</v>
      </c>
    </row>
    <row r="173" spans="3:41" ht="20.100000000000001" customHeight="1" x14ac:dyDescent="0.25">
      <c r="D173" s="158" t="str">
        <v>EF_m</v>
      </c>
      <c r="E173" s="162" t="str">
        <v>emission factor of purchased mineral supplement</v>
      </c>
      <c r="F173" s="157"/>
      <c r="G173" s="158" t="str">
        <v>kg CO2e/kg</v>
      </c>
      <c r="H173" s="159" t="str">
        <v>Constant</v>
      </c>
    </row>
    <row r="174" spans="3:41" ht="20.100000000000001" customHeight="1" x14ac:dyDescent="0.25">
      <c r="D174" s="158" t="str">
        <v>m</v>
      </c>
      <c r="E174" s="162" t="str">
        <v>mineral supplement type</v>
      </c>
      <c r="F174" s="157"/>
      <c r="G174" s="158" t="str">
        <v/>
      </c>
      <c r="H174" s="160" t="str">
        <v>Input</v>
      </c>
    </row>
    <row r="175" spans="3:41" ht="20.100000000000001" customHeight="1" x14ac:dyDescent="0.25"/>
    <row r="176" spans="3:41" ht="20.100000000000001" customHeight="1" x14ac:dyDescent="0.25">
      <c r="D176" s="46" t="s">
        <v>212</v>
      </c>
      <c r="E176" s="46" t="s">
        <v>635</v>
      </c>
      <c r="F176" s="57" t="s">
        <v>636</v>
      </c>
      <c r="G176" s="57" t="s">
        <v>628</v>
      </c>
      <c r="H176" s="46" t="s">
        <v>637</v>
      </c>
      <c r="I176" s="57" t="s">
        <v>630</v>
      </c>
      <c r="J176" s="46" t="s">
        <v>624</v>
      </c>
      <c r="K176" s="46" t="s">
        <v>625</v>
      </c>
      <c r="L176" s="46" t="s">
        <v>626</v>
      </c>
    </row>
    <row r="177" spans="3:41" ht="20.100000000000001" customHeight="1" x14ac:dyDescent="0.25">
      <c r="D177" s="49" t="str">
        <f>'Input - Livestock farm Inputs'!D7</f>
        <v>Lick block, dry season mix</v>
      </c>
      <c r="E177" s="49">
        <f>IFERROR(X_Cell_FarmInputs_LickBlocks_DrySeasonMix, 0)</f>
        <v>100</v>
      </c>
      <c r="F177" s="49" cm="1">
        <f t="array" ref="F177">Common_InputFunctions.Utility_LookupValueInTableNumber(D177,Table_SourceData_Scope3_LickBlocks[Product],Table_SourceData_Scope3_LickBlocks[Emissions intensity])</f>
        <v>0.88100000000000001</v>
      </c>
      <c r="G177" s="142" cm="1">
        <f t="array" ref="G177">Scope3_Equations.VEERG_15_3_1_1__1_EmissionsFromPurchasedMineralSupplementsVariation(E177,F177)</f>
        <v>8.8099999999999998E-2</v>
      </c>
      <c r="H177" s="64">
        <v>0.8</v>
      </c>
      <c r="I177" s="142" cm="1">
        <f t="array" ref="I177">Scope3_Equations.VEERG_15_3_1_1__1_EmissionsFromPurchasedMineralSupplementsVariation(E177,IF(H177, H177, F177))</f>
        <v>0.08</v>
      </c>
      <c r="J177" s="74"/>
      <c r="K177" s="47"/>
      <c r="L177" s="74"/>
    </row>
    <row r="178" spans="3:41" ht="20.100000000000001" customHeight="1" x14ac:dyDescent="0.25">
      <c r="D178" s="49" t="str">
        <f>'Input - Livestock farm Inputs'!D8</f>
        <v>Lick block, mineral</v>
      </c>
      <c r="E178" s="49">
        <f>IFERROR(X_Cell_FarmInputs_LickBlocks_Mineral, 0)</f>
        <v>100</v>
      </c>
      <c r="F178" s="49" cm="1">
        <f t="array" ref="F178">Common_InputFunctions.Utility_LookupValueInTableNumber(D178,Table_SourceData_Scope3_LickBlocks[Product],Table_SourceData_Scope3_LickBlocks[Emissions intensity])</f>
        <v>0.67700000000000005</v>
      </c>
      <c r="G178" s="142" cm="1">
        <f t="array" ref="G178">Scope3_Equations.VEERG_15_3_1_1__1_EmissionsFromPurchasedMineralSupplementsVariation(E178,F178)</f>
        <v>6.770000000000001E-2</v>
      </c>
      <c r="H178" s="64">
        <v>0.6</v>
      </c>
      <c r="I178" s="142" cm="1">
        <f t="array" ref="I178">Scope3_Equations.VEERG_15_3_1_1__1_EmissionsFromPurchasedMineralSupplementsVariation(E178,IF(H178, H178, F178))</f>
        <v>0.06</v>
      </c>
      <c r="J178" s="74"/>
      <c r="K178" s="47"/>
      <c r="L178" s="74"/>
    </row>
    <row r="179" spans="3:41" ht="20.100000000000001" customHeight="1" x14ac:dyDescent="0.25">
      <c r="D179" s="49" t="str">
        <f>'Input - Livestock farm Inputs'!D9</f>
        <v>Lick block, weaner</v>
      </c>
      <c r="E179" s="49">
        <f>IFERROR(X_Cell_FarmInputs_LickBlocks_Weaner, 0)</f>
        <v>100</v>
      </c>
      <c r="F179" s="49" cm="1">
        <f t="array" ref="F179">Common_InputFunctions.Utility_LookupValueInTableNumber(D179,Table_SourceData_Scope3_LickBlocks[Product],Table_SourceData_Scope3_LickBlocks[Emissions intensity])</f>
        <v>0.23100000000000001</v>
      </c>
      <c r="G179" s="142" cm="1">
        <f t="array" ref="G179">Scope3_Equations.VEERG_15_3_1_1__1_EmissionsFromPurchasedMineralSupplementsVariation(E179,F179)</f>
        <v>2.3100000000000002E-2</v>
      </c>
      <c r="H179" s="64">
        <v>0.2</v>
      </c>
      <c r="I179" s="142" cm="1">
        <f t="array" ref="I179">Scope3_Equations.VEERG_15_3_1_1__1_EmissionsFromPurchasedMineralSupplementsVariation(E179,IF(H179, H179, F179))</f>
        <v>0.02</v>
      </c>
      <c r="J179" s="74"/>
      <c r="K179" s="47"/>
      <c r="L179" s="74"/>
    </row>
    <row r="180" spans="3:41" ht="20.100000000000001" customHeight="1" x14ac:dyDescent="0.25"/>
    <row r="181" spans="3:41" ht="20.100000000000001" customHeight="1" x14ac:dyDescent="0.25">
      <c r="D181" s="167" t="s">
        <v>628</v>
      </c>
      <c r="E181" s="168">
        <f>SUM(G177:G179)</f>
        <v>0.1789</v>
      </c>
      <c r="F181" s="169" t="str">
        <f>$E$170</f>
        <v>t CO2e</v>
      </c>
    </row>
    <row r="182" spans="3:41" ht="20.100000000000001" customHeight="1" x14ac:dyDescent="0.25">
      <c r="D182" s="167" t="s">
        <v>630</v>
      </c>
      <c r="E182" s="168">
        <f>SUM(I177:I179)</f>
        <v>0.16</v>
      </c>
      <c r="F182" s="169" t="str">
        <f>$E$170</f>
        <v>t CO2e</v>
      </c>
    </row>
    <row r="183" spans="3:41" ht="20.100000000000001" customHeight="1" x14ac:dyDescent="0.25"/>
    <row r="184" spans="3:41" ht="20.100000000000001" customHeight="1" x14ac:dyDescent="0.25"/>
    <row r="185" spans="3:41" ht="20.100000000000001" customHeight="1" x14ac:dyDescent="0.25">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row>
    <row r="186" spans="3:41" ht="20.100000000000001" customHeight="1" x14ac:dyDescent="0.25">
      <c r="D186" s="9" t="str" cm="1">
        <f t="array" ref="D186">Scope3_Equations.VEERG_15_4_1_1__X_EmissionFactorFromPurchasedFertiliserComponents_Title()</f>
        <v>Emission factor for fertiliser product derived from components</v>
      </c>
    </row>
    <row r="187" spans="3:41" ht="20.100000000000001" customHeight="1" x14ac:dyDescent="0.25">
      <c r="D187" s="11" t="str" cm="1">
        <f t="array" ref="D187">Scope3_Equations.VEERG_15_4_1_1__X_EmissionFactorFromPurchasedFertiliserComponents_Source()</f>
        <v>GAF</v>
      </c>
    </row>
    <row r="188" spans="3:41" ht="20.100000000000001" customHeight="1" x14ac:dyDescent="0.25">
      <c r="D188" s="12"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63" t="s">
        <v>621</v>
      </c>
      <c r="E189" s="163"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27" t="s">
        <v>622</v>
      </c>
      <c r="E192" s="8" t="str" cm="1">
        <f t="array" ref="E192">Scope3_Equations.VEERG_15_4_1_1__X_EmissionFactorFromPurchasedFertiliserComponents_Variable()</f>
        <v>EF_f</v>
      </c>
    </row>
    <row r="193" spans="4:8" ht="20.100000000000001" customHeight="1" x14ac:dyDescent="0.25">
      <c r="D193" s="27" t="s">
        <v>97</v>
      </c>
      <c r="E193" s="13"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58" t="str" cm="1">
        <f t="array" ref="D195:E198">_xlfn.CHOOSECOLS(Scope3_Equations.VEERG_15_4_1_1__X_EmissionFactorFromPurchasedFertiliserComponents_Arguments(),1,2)</f>
        <v>F_cf</v>
      </c>
      <c r="E195" s="162" t="str">
        <v>fraction of component c contained within the inorganic fertiliser f</v>
      </c>
      <c r="F195" s="157"/>
      <c r="G195" s="158" t="str" cm="1">
        <f t="array" ref="G195:H198">_xlfn.CHOOSECOLS(Scope3_Equations.VEERG_15_4_1_1__X_EmissionFactorFromPurchasedFertiliserComponents_Arguments(),3,4)</f>
        <v>wt%</v>
      </c>
      <c r="H195" s="159" t="str">
        <v>Input</v>
      </c>
    </row>
    <row r="196" spans="4:8" ht="20.100000000000001" customHeight="1" x14ac:dyDescent="0.25">
      <c r="D196" s="158" t="str">
        <v>EF_c</v>
      </c>
      <c r="E196" s="162" t="str">
        <v>emission factor for the production of component c</v>
      </c>
      <c r="F196" s="157"/>
      <c r="G196" s="158" t="str">
        <v>kg CO2e/kg component</v>
      </c>
      <c r="H196" s="160" t="str">
        <v>Constant</v>
      </c>
    </row>
    <row r="197" spans="4:8" ht="20.100000000000001" customHeight="1" x14ac:dyDescent="0.25">
      <c r="D197" s="158" t="str">
        <v>c</v>
      </c>
      <c r="E197" s="162" t="str">
        <v>fertiliser component</v>
      </c>
      <c r="F197" s="157"/>
      <c r="G197" s="158" t="str">
        <v/>
      </c>
      <c r="H197" s="159" t="str">
        <v>Input</v>
      </c>
    </row>
    <row r="198" spans="4:8" ht="20.100000000000001" customHeight="1" x14ac:dyDescent="0.25">
      <c r="D198" s="158" t="str">
        <v>f</v>
      </c>
      <c r="E198" s="162" t="str">
        <v>inorganic fertiliser type</v>
      </c>
      <c r="F198" s="157"/>
      <c r="G198" s="158" t="str">
        <v/>
      </c>
      <c r="H198" s="159" t="str">
        <v>Input</v>
      </c>
    </row>
    <row r="199" spans="4:8" ht="20.100000000000001" customHeight="1" x14ac:dyDescent="0.25"/>
    <row r="200" spans="4:8" ht="20.100000000000001" customHeight="1" x14ac:dyDescent="0.25"/>
    <row r="201" spans="4:8" ht="20.100000000000001" customHeight="1" x14ac:dyDescent="0.25">
      <c r="D201" s="9" t="str" cm="1">
        <f t="array" ref="D201">Scope3_Equations.VEERG_15_4_1_1__1_EmissionsFromPurchasedFertiliser_Title()</f>
        <v>Emissions from purchased fertiliser</v>
      </c>
    </row>
    <row r="202" spans="4:8" ht="20.100000000000001" customHeight="1" x14ac:dyDescent="0.25">
      <c r="D202" s="11" t="str" cm="1">
        <f t="array" ref="D202">Scope3_Equations.VEERG_15_4_1_1__1_EmissionsFromPurchasedFertiliser_Source()</f>
        <v>VEERG 2026: 15.4.1.1, Equation (1)</v>
      </c>
    </row>
    <row r="203" spans="4:8" ht="20.100000000000001" customHeight="1" x14ac:dyDescent="0.25">
      <c r="D203" s="163" t="s">
        <v>621</v>
      </c>
      <c r="E203" s="163"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27" t="s">
        <v>622</v>
      </c>
      <c r="E206" s="8" t="str" cm="1">
        <f t="array" ref="E206">Scope3_Equations.VEERG_15_4_1_1__1_EmissionsFromPurchasedFertiliser_Variable()</f>
        <v>E</v>
      </c>
    </row>
    <row r="207" spans="4:8" ht="20.100000000000001" customHeight="1" x14ac:dyDescent="0.25">
      <c r="D207" s="27" t="s">
        <v>97</v>
      </c>
      <c r="E207" s="13" t="str" cm="1">
        <f t="array" ref="E207">Scope3_Equations.VEERG_15_4_1_1__1_EmissionsFromPurchasedFertiliser_Unit()</f>
        <v>t CO2e</v>
      </c>
    </row>
    <row r="208" spans="4:8" ht="20.100000000000001" customHeight="1" x14ac:dyDescent="0.25"/>
    <row r="209" spans="4:8" ht="20.100000000000001" customHeight="1" x14ac:dyDescent="0.25">
      <c r="D209" s="158" t="str" cm="1">
        <f t="array" ref="D209:E212">_xlfn.CHOOSECOLS(Scope3_Equations.VEERG_15_4_1_1__1_EmissionsFromPurchasedFertiliser_Arguments(),1,2)</f>
        <v>TM_jf</v>
      </c>
      <c r="E209" s="158" t="str">
        <v>quantity of inorganic fertiliser type f purchased and applied to production system j</v>
      </c>
      <c r="F209" s="158"/>
      <c r="G209" s="158" t="str" cm="1">
        <f t="array" ref="G209:H212">_xlfn.CHOOSECOLS(Scope3_Equations.VEERG_15_4_1_1__1_EmissionsFromPurchasedFertiliser_Arguments(),3,4)</f>
        <v>kg</v>
      </c>
      <c r="H209" s="159" t="str">
        <v>Input</v>
      </c>
    </row>
    <row r="210" spans="4:8" ht="20.100000000000001" customHeight="1" x14ac:dyDescent="0.25">
      <c r="D210" s="158" t="str">
        <v>EF_f</v>
      </c>
      <c r="E210" s="158" t="str">
        <v>emission factor of purchased inorganic fertiliser</v>
      </c>
      <c r="F210" s="158"/>
      <c r="G210" s="158" t="str">
        <v>kg CO2e/kg</v>
      </c>
      <c r="H210" s="160" t="str">
        <v>Constant</v>
      </c>
    </row>
    <row r="211" spans="4:8" ht="20.100000000000001" customHeight="1" x14ac:dyDescent="0.25">
      <c r="D211" s="158" t="str">
        <v>j</v>
      </c>
      <c r="E211" s="162" t="str">
        <v>production system</v>
      </c>
      <c r="F211" s="157"/>
      <c r="G211" s="158" t="str">
        <v/>
      </c>
      <c r="H211" s="159" t="str">
        <v>Input</v>
      </c>
    </row>
    <row r="212" spans="4:8" ht="20.100000000000001" customHeight="1" x14ac:dyDescent="0.25">
      <c r="D212" s="158" t="str">
        <v>f</v>
      </c>
      <c r="E212" s="162" t="str">
        <v>inorganic fertiliser type</v>
      </c>
      <c r="F212" s="157"/>
      <c r="G212" s="158" t="str">
        <v/>
      </c>
      <c r="H212" s="159" t="str">
        <v>Input</v>
      </c>
    </row>
    <row r="213" spans="4:8" ht="20.100000000000001" customHeight="1" x14ac:dyDescent="0.25"/>
    <row r="214" spans="4:8" ht="20.100000000000001" customHeight="1" x14ac:dyDescent="0.25"/>
    <row r="215" spans="4:8" ht="20.100000000000001" customHeight="1" x14ac:dyDescent="0.25">
      <c r="D215" s="9" t="str" cm="1">
        <f t="array" ref="D215">Scope3_Equations.VEERG_15_4_1_1__2_EmissionsFromPurchasedFertiliserComponents_Title()</f>
        <v>Emissions from purchased fertiliser components</v>
      </c>
    </row>
    <row r="216" spans="4:8" ht="20.100000000000001" customHeight="1" x14ac:dyDescent="0.25">
      <c r="D216" s="11" t="str" cm="1">
        <f t="array" ref="D216">Scope3_Equations.VEERG_15_4_1_1__2_EmissionsFromPurchasedFertiliserComponents_Source()</f>
        <v>VEERG 2026: 15.4.1.1, Equation (2)</v>
      </c>
    </row>
    <row r="217" spans="4:8" ht="20.100000000000001" customHeight="1" x14ac:dyDescent="0.25">
      <c r="D217" s="12"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63" t="s">
        <v>621</v>
      </c>
      <c r="E218" s="163"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27" t="s">
        <v>622</v>
      </c>
      <c r="E221" s="8" t="str" cm="1">
        <f t="array" ref="E221">Scope3_Equations.VEERG_15_4_1_1__2_EmissionsFromPurchasedFertiliserComponents_Variable()</f>
        <v>E</v>
      </c>
    </row>
    <row r="222" spans="4:8" ht="20.100000000000001" customHeight="1" x14ac:dyDescent="0.25">
      <c r="D222" s="27" t="s">
        <v>97</v>
      </c>
      <c r="E222" s="13" t="str" cm="1">
        <f t="array" ref="E222">Scope3_Equations.VEERG_15_4_1_1__2_EmissionsFromPurchasedFertiliserComponents_Unit()</f>
        <v>t CO2e</v>
      </c>
    </row>
    <row r="223" spans="4:8" ht="20.100000000000001" customHeight="1" x14ac:dyDescent="0.25"/>
    <row r="224" spans="4:8" ht="20.100000000000001" customHeight="1" x14ac:dyDescent="0.25">
      <c r="D224" s="158" t="str" cm="1">
        <f t="array" ref="D224:E229">_xlfn.CHOOSECOLS(Scope3_Equations.VEERG_15_4_1_1__2_EmissionsFromPurchasedFertiliserComponents_Arguments(),1,2)</f>
        <v>F_cf</v>
      </c>
      <c r="E224" s="162" t="str">
        <v>fraction of component c contained within the inorganic fertiliser f</v>
      </c>
      <c r="F224" s="157"/>
      <c r="G224" s="158" t="str" cm="1">
        <f t="array" ref="G224:H229">_xlfn.CHOOSECOLS(Scope3_Equations.VEERG_15_4_1_1__2_EmissionsFromPurchasedFertiliserComponents_Arguments(),3,4)</f>
        <v>wt%</v>
      </c>
      <c r="H224" s="159" t="str">
        <v>Input</v>
      </c>
    </row>
    <row r="225" spans="4:40" ht="20.100000000000001" customHeight="1" x14ac:dyDescent="0.25">
      <c r="D225" s="158" t="str">
        <v>TM_jf</v>
      </c>
      <c r="E225" s="162" t="str">
        <v>quantity of inorganic fertiliser type f purchased and applied to production system j</v>
      </c>
      <c r="F225" s="157"/>
      <c r="G225" s="158" t="str">
        <v>kg</v>
      </c>
      <c r="H225" s="160" t="str">
        <v>Input</v>
      </c>
    </row>
    <row r="226" spans="4:40" ht="20.100000000000001" customHeight="1" x14ac:dyDescent="0.25">
      <c r="D226" s="158" t="str">
        <v>EF_c</v>
      </c>
      <c r="E226" s="162" t="str">
        <v>emission factor for the production of component c</v>
      </c>
      <c r="F226" s="157"/>
      <c r="G226" s="158" t="str">
        <v>kg CO2e/kg component</v>
      </c>
      <c r="H226" s="160" t="str">
        <v>Constant</v>
      </c>
    </row>
    <row r="227" spans="4:40" ht="20.100000000000001" customHeight="1" x14ac:dyDescent="0.25">
      <c r="D227" s="158" t="str">
        <v>c</v>
      </c>
      <c r="E227" s="162" t="str">
        <v>fertiliser component</v>
      </c>
      <c r="F227" s="157"/>
      <c r="G227" s="158" t="str">
        <v/>
      </c>
      <c r="H227" s="159" t="str">
        <v>Input</v>
      </c>
    </row>
    <row r="228" spans="4:40" ht="20.100000000000001" customHeight="1" x14ac:dyDescent="0.25">
      <c r="D228" s="158" t="str">
        <v>f</v>
      </c>
      <c r="E228" s="162" t="str">
        <v>inorganic fertiliser type</v>
      </c>
      <c r="F228" s="157"/>
      <c r="G228" s="158" t="str">
        <v/>
      </c>
      <c r="H228" s="159" t="str">
        <v>Input</v>
      </c>
    </row>
    <row r="229" spans="4:40" ht="20.100000000000001" customHeight="1" x14ac:dyDescent="0.25">
      <c r="D229" s="158" t="str">
        <v>j</v>
      </c>
      <c r="E229" s="162" t="str">
        <v>production system</v>
      </c>
      <c r="F229" s="157"/>
      <c r="G229" s="158" t="str">
        <v/>
      </c>
      <c r="H229" s="159" t="str">
        <v>Input</v>
      </c>
    </row>
    <row r="230" spans="4:40" ht="20.100000000000001" customHeight="1" x14ac:dyDescent="0.25"/>
    <row r="231" spans="4:40" ht="20.100000000000001" customHeight="1" x14ac:dyDescent="0.25">
      <c r="D231" s="135" t="s">
        <v>365</v>
      </c>
    </row>
    <row r="232" spans="4:40" ht="20.100000000000001" customHeight="1" x14ac:dyDescent="0.25"/>
    <row r="233" spans="4:40" ht="20.100000000000001" customHeight="1" x14ac:dyDescent="0.25">
      <c r="D233" s="86" t="s">
        <v>364</v>
      </c>
      <c r="E233" s="101"/>
      <c r="F233" s="87"/>
    </row>
    <row r="234" spans="4:40" ht="20.100000000000001" customHeight="1" x14ac:dyDescent="0.25"/>
    <row r="235" spans="4:40" ht="20.100000000000001" customHeight="1" x14ac:dyDescent="0.25">
      <c r="D235" s="46" t="s">
        <v>212</v>
      </c>
      <c r="E235" s="46" t="s">
        <v>352</v>
      </c>
      <c r="F235" s="57" t="s">
        <v>663</v>
      </c>
      <c r="G235" s="57" t="s">
        <v>647</v>
      </c>
      <c r="H235" s="57" t="s">
        <v>646</v>
      </c>
      <c r="I235" s="46" t="s">
        <v>664</v>
      </c>
      <c r="J235" s="57" t="s">
        <v>648</v>
      </c>
      <c r="K235" s="57" t="s">
        <v>649</v>
      </c>
      <c r="L235" s="46" t="s">
        <v>624</v>
      </c>
      <c r="M235" s="46" t="s">
        <v>625</v>
      </c>
      <c r="N235" s="46" t="s">
        <v>626</v>
      </c>
      <c r="O235" s="57" t="s">
        <v>169</v>
      </c>
      <c r="P235" s="57" t="s">
        <v>170</v>
      </c>
      <c r="Q235" s="57" t="s">
        <v>171</v>
      </c>
      <c r="R235" s="57" t="s">
        <v>172</v>
      </c>
      <c r="S235" s="57" t="s">
        <v>651</v>
      </c>
      <c r="T235" s="46" t="s">
        <v>652</v>
      </c>
      <c r="U235" s="57" t="s">
        <v>173</v>
      </c>
      <c r="V235" s="57" t="s">
        <v>174</v>
      </c>
      <c r="W235" s="57" t="s">
        <v>653</v>
      </c>
      <c r="X235" s="46" t="s">
        <v>654</v>
      </c>
      <c r="Y235" s="57" t="s">
        <v>175</v>
      </c>
      <c r="Z235" s="57" t="s">
        <v>176</v>
      </c>
      <c r="AA235" s="57" t="s">
        <v>655</v>
      </c>
      <c r="AB235" s="46" t="s">
        <v>656</v>
      </c>
      <c r="AC235" s="57" t="s">
        <v>177</v>
      </c>
      <c r="AD235" s="57" t="s">
        <v>178</v>
      </c>
      <c r="AE235" s="57" t="s">
        <v>657</v>
      </c>
      <c r="AF235" s="46" t="s">
        <v>658</v>
      </c>
      <c r="AG235" s="57" t="s">
        <v>179</v>
      </c>
      <c r="AH235" s="57" t="s">
        <v>180</v>
      </c>
      <c r="AI235" s="57" t="s">
        <v>659</v>
      </c>
      <c r="AJ235" s="46" t="s">
        <v>660</v>
      </c>
      <c r="AK235" s="57" t="s">
        <v>181</v>
      </c>
      <c r="AL235" s="57" t="s">
        <v>182</v>
      </c>
      <c r="AM235" s="57" t="s">
        <v>661</v>
      </c>
      <c r="AN235" s="46" t="s">
        <v>662</v>
      </c>
    </row>
    <row r="236" spans="4:40" ht="20.100000000000001" customHeight="1" x14ac:dyDescent="0.25">
      <c r="D236" s="49" t="str" cm="1">
        <f t="array" ref="D236:D245">IFERROR(INDEX(Table_Input_InorganicFertiliser_Brands[Product (select)], _xlfn.SEQUENCE(10)), "")</f>
        <v>Urea</v>
      </c>
      <c r="E236" s="49" cm="1">
        <f t="array" ref="E236:E245">IFERROR(INDEX(Table_Input_InorganicFertiliser_Brands[Total applied (kg)], _xlfn.SEQUENCE(10)), 0)</f>
        <v>10000</v>
      </c>
      <c r="F236" s="49"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142" cm="1">
        <f t="array" ref="G236">Scope3_Equations.VEERG_15_4_1_1__1_EmissionsFromPurchasedFertiliser(E236,F236)</f>
        <v>9.68</v>
      </c>
      <c r="H236" s="49"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64">
        <v>0.4</v>
      </c>
      <c r="J236" s="142" cm="1">
        <f t="array" ref="J236">Scope3_Equations.VEERG_15_4_1_1__1_EmissionsFromPurchasedFertiliser(E236,I236)</f>
        <v>4</v>
      </c>
      <c r="K236" s="142"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74"/>
      <c r="M236" s="47"/>
      <c r="N236"/>
      <c r="O236" s="49" t="str" cm="1">
        <f t="array" ref="O236:O245">IFERROR(INDEX(Table_Input_InorganicFertiliser_Brands[Urea source], _xlfn.SEQUENCE(10)), "")</f>
        <v/>
      </c>
      <c r="P236" s="49" t="str" cm="1">
        <f t="array" ref="P236:P245">IFERROR(INDEX(Table_Input_InorganicFertiliser_Brands[Ammonia source], _xlfn.SEQUENCE(10)), "")</f>
        <v/>
      </c>
      <c r="Q236" s="49" t="str" cm="1">
        <f t="array" ref="Q236:Q245">IFERROR(INDEX(Table_Input_InorganicFertiliser_Brands[Ingredient 1], _xlfn.SEQUENCE(10)), "")</f>
        <v>Urea</v>
      </c>
      <c r="R236" s="49" cm="1">
        <f t="array" ref="R236:R245">IFERROR(INDEX(_xlfn.LET(_xlpm.result, Table_Input_InorganicFertiliser_Brands[Ingredient 1 percent], IF(_xlpm.result="", 0, _xlpm.result)), _xlfn.SEQUENCE(10)), 0)</f>
        <v>1</v>
      </c>
      <c r="S236" s="49"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64">
        <v>0.9</v>
      </c>
      <c r="U236" s="49" t="str" cm="1">
        <f t="array" ref="U236:U245">IFERROR(INDEX(Table_Input_InorganicFertiliser_Brands[Ingredient 2], _xlfn.SEQUENCE(10)), "")</f>
        <v/>
      </c>
      <c r="V236" s="49" cm="1">
        <f t="array" ref="V236:V245">IFERROR(INDEX(_xlfn.LET(_xlpm.result, Table_Input_InorganicFertiliser_Brands[Ingredient 2 percent], IF(_xlpm.result="", 0, _xlpm.result)), _xlfn.SEQUENCE(10)), 0)</f>
        <v>0</v>
      </c>
      <c r="W236" s="49"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64">
        <v>0.9</v>
      </c>
      <c r="Y236" s="49" t="str" cm="1">
        <f t="array" ref="Y236:Y245">IFERROR(INDEX(Table_Input_InorganicFertiliser_Brands[Ingredient 3], _xlfn.SEQUENCE(10)), "")</f>
        <v/>
      </c>
      <c r="Z236" s="49" cm="1">
        <f t="array" ref="Z236:Z245">IFERROR(INDEX(_xlfn.LET(_xlpm.result, Table_Input_InorganicFertiliser_Brands[Ingredient 3 percent], IF(_xlpm.result="", 0, _xlpm.result)), _xlfn.SEQUENCE(10)), 0)</f>
        <v>0</v>
      </c>
      <c r="AA236" s="49"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64">
        <v>4</v>
      </c>
      <c r="AC236" s="49" t="str" cm="1">
        <f t="array" ref="AC236:AC245">IFERROR(INDEX(Table_Input_InorganicFertiliser_Brands[Ingredient 4], _xlfn.SEQUENCE(10)), "")</f>
        <v/>
      </c>
      <c r="AD236" s="49" cm="1">
        <f t="array" ref="AD236:AD245">IFERROR(INDEX(_xlfn.LET(_xlpm.result, Table_Input_InorganicFertiliser_Brands[Ingredient 4 percent], IF(_xlpm.result="", 0, _xlpm.result)), _xlfn.SEQUENCE(10)), 0)</f>
        <v>0</v>
      </c>
      <c r="AE236" s="49"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64">
        <v>0</v>
      </c>
      <c r="AG236" s="49" t="str" cm="1">
        <f t="array" ref="AG236:AG245">IFERROR(INDEX(Table_Input_InorganicFertiliser_Brands[Ingredient 5], _xlfn.SEQUENCE(10)), "")</f>
        <v/>
      </c>
      <c r="AH236" s="49" cm="1">
        <f t="array" ref="AH236:AH245">IFERROR(INDEX(_xlfn.LET(_xlpm.result, Table_Input_InorganicFertiliser_Brands[Ingredient 5 percent], IF(_xlpm.result="", 0, _xlpm.result)), _xlfn.SEQUENCE(10)), 0)</f>
        <v>0</v>
      </c>
      <c r="AI236" s="49"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64">
        <v>0</v>
      </c>
      <c r="AK236" s="49" t="str" cm="1">
        <f t="array" ref="AK236:AK245">IFERROR(INDEX(Table_Input_InorganicFertiliser_Brands[Ingredient 6], _xlfn.SEQUENCE(10)), "")</f>
        <v/>
      </c>
      <c r="AL236" s="49" cm="1">
        <f t="array" ref="AL236:AL245">IFERROR(INDEX(_xlfn.LET(_xlpm.result, Table_Input_InorganicFertiliser_Brands[Ingredient 6 percent], IF(_xlpm.result="", 0, _xlpm.result)), _xlfn.SEQUENCE(10)), 0)</f>
        <v>0</v>
      </c>
      <c r="AM236" s="49"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64"/>
    </row>
    <row r="237" spans="4:40" ht="20.100000000000001" customHeight="1" x14ac:dyDescent="0.25">
      <c r="D237" s="49" t="str">
        <v>Boost-It</v>
      </c>
      <c r="E237" s="49">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142" cm="1">
        <f t="array" ref="G237">Scope3_Equations.VEERG_15_4_1_1__1_EmissionsFromPurchasedFertiliser(E237,F237)</f>
        <v>9.1618335199999983</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64">
        <v>0.9</v>
      </c>
      <c r="J237" s="142" cm="1">
        <f t="array" ref="J237">Scope3_Equations.VEERG_15_4_1_1__1_EmissionsFromPurchasedFertiliser(E237,I237)</f>
        <v>9</v>
      </c>
      <c r="K237" s="142"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74"/>
      <c r="M237" s="47"/>
      <c r="N237" s="74"/>
      <c r="O237" s="49" t="str">
        <v/>
      </c>
      <c r="P237" s="49" t="str">
        <v/>
      </c>
      <c r="Q237" s="49" t="str">
        <v>Urea</v>
      </c>
      <c r="R237" s="49">
        <v>0.52173899999999995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64"/>
      <c r="U237" s="49" t="str">
        <v>Potassium - Generic</v>
      </c>
      <c r="V237" s="49">
        <v>0.08</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64"/>
      <c r="Y237" s="49" t="str">
        <v>Sulfur - Generic</v>
      </c>
      <c r="Z237" s="49">
        <v>5.2999999999999999E-2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64"/>
      <c r="AC237" s="49" t="str">
        <v>Phosphorus - Generic</v>
      </c>
      <c r="AD237" s="49">
        <v>5.1999999999999998E-2</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64"/>
      <c r="AG237" s="49" t="str">
        <v>Magnesium</v>
      </c>
      <c r="AH237" s="49">
        <v>1.2999999999999999E-2</v>
      </c>
      <c r="AI237" s="49"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64"/>
      <c r="AK237" s="49" t="str">
        <v>Zinc</v>
      </c>
      <c r="AL237" s="49">
        <v>2E-3</v>
      </c>
      <c r="AM237" s="49"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64"/>
    </row>
    <row r="238" spans="4:40" ht="20.100000000000001" customHeight="1" x14ac:dyDescent="0.25">
      <c r="D238" s="49" t="str">
        <v>Cal-Gran 50/50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142" cm="1">
        <f t="array" ref="G238">Scope3_Equations.VEERG_15_4_1_1__1_EmissionsFromPurchasedFertiliser(E238,F238)</f>
        <v>8.7811999999999983</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64">
        <v>0.4</v>
      </c>
      <c r="J238" s="142" cm="1">
        <f t="array" ref="J238">Scope3_Equations.VEERG_15_4_1_1__1_EmissionsFromPurchasedFertiliser(E238,I238)</f>
        <v>4</v>
      </c>
      <c r="K238" s="142"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74"/>
      <c r="M238" s="47"/>
      <c r="N238" s="74"/>
      <c r="O238" s="49" t="str">
        <v/>
      </c>
      <c r="P238" s="49" t="str">
        <v/>
      </c>
      <c r="Q238" s="49" t="str">
        <v>Nitrogen - Nitrate</v>
      </c>
      <c r="R238" s="49">
        <v>5.5E-2</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64"/>
      <c r="U238" s="49" t="str">
        <v>Nitrogen - Ammoniacal</v>
      </c>
      <c r="V238" s="49">
        <v>0.124</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64"/>
      <c r="Y238" s="49" t="str">
        <v>Potassium - Generic</v>
      </c>
      <c r="Z238" s="49">
        <v>0.15</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64"/>
      <c r="AC238" s="49" t="str">
        <v>Sulfur - Generic</v>
      </c>
      <c r="AD238" s="49">
        <v>3.5999999999999997E-2</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64"/>
      <c r="AG238" s="49" t="str">
        <v>Calcium</v>
      </c>
      <c r="AH238" s="49">
        <v>4.3999999999999997E-2</v>
      </c>
      <c r="AI238" s="49"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64"/>
      <c r="AK238" s="49" t="str">
        <v/>
      </c>
      <c r="AL238" s="49">
        <v>0</v>
      </c>
      <c r="AM238" s="49"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64"/>
    </row>
    <row r="239" spans="4:40" ht="20.100000000000001" customHeight="1" x14ac:dyDescent="0.25">
      <c r="D239" s="49">
        <v>0</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142"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64"/>
      <c r="J239" s="142" cm="1">
        <f t="array" ref="J239">Scope3_Equations.VEERG_15_4_1_1__1_EmissionsFromPurchasedFertiliser(E239,I239)</f>
        <v>0</v>
      </c>
      <c r="K239" s="142"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74"/>
      <c r="M239" s="47"/>
      <c r="N239" s="74"/>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64"/>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64"/>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64"/>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64"/>
      <c r="AG239" s="49" t="str">
        <v/>
      </c>
      <c r="AH239" s="49">
        <v>0</v>
      </c>
      <c r="AI239" s="49"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64"/>
      <c r="AK239" s="49" t="str">
        <v/>
      </c>
      <c r="AL239" s="49">
        <v>0</v>
      </c>
      <c r="AM239" s="49"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64"/>
    </row>
    <row r="240" spans="4:40" ht="20.100000000000001"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142"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64"/>
      <c r="J240" s="142" cm="1">
        <f t="array" ref="J240">Scope3_Equations.VEERG_15_4_1_1__1_EmissionsFromPurchasedFertiliser(E240,I240)</f>
        <v>0</v>
      </c>
      <c r="K240" s="142"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74"/>
      <c r="M240" s="47"/>
      <c r="N240" s="74"/>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64"/>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64"/>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64"/>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64"/>
      <c r="AG240" s="49" t="str">
        <v/>
      </c>
      <c r="AH240" s="49">
        <v>0</v>
      </c>
      <c r="AI240" s="49"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64"/>
      <c r="AK240" s="49" t="str">
        <v/>
      </c>
      <c r="AL240" s="49">
        <v>0</v>
      </c>
      <c r="AM240" s="49"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64"/>
    </row>
    <row r="241" spans="4:40" ht="20.100000000000001"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142"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64"/>
      <c r="J241" s="142" cm="1">
        <f t="array" ref="J241">Scope3_Equations.VEERG_15_4_1_1__1_EmissionsFromPurchasedFertiliser(E241,I241)</f>
        <v>0</v>
      </c>
      <c r="K241" s="142"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74"/>
      <c r="M241" s="47"/>
      <c r="N241" s="74"/>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64"/>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64"/>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64"/>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64"/>
      <c r="AG241" s="49" t="str">
        <v/>
      </c>
      <c r="AH241" s="49">
        <v>0</v>
      </c>
      <c r="AI241" s="49"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64"/>
      <c r="AK241" s="49" t="str">
        <v/>
      </c>
      <c r="AL241" s="49">
        <v>0</v>
      </c>
      <c r="AM241" s="49"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64"/>
    </row>
    <row r="242" spans="4:40" ht="20.100000000000001"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142"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64"/>
      <c r="J242" s="142" cm="1">
        <f t="array" ref="J242">Scope3_Equations.VEERG_15_4_1_1__1_EmissionsFromPurchasedFertiliser(E242,I242)</f>
        <v>0</v>
      </c>
      <c r="K242" s="142"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74"/>
      <c r="M242" s="47"/>
      <c r="N242" s="74"/>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64"/>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64"/>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64"/>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64"/>
      <c r="AG242" s="49" t="str">
        <v/>
      </c>
      <c r="AH242" s="49">
        <v>0</v>
      </c>
      <c r="AI242" s="49"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64"/>
      <c r="AK242" s="49" t="str">
        <v/>
      </c>
      <c r="AL242" s="49">
        <v>0</v>
      </c>
      <c r="AM242" s="49"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64"/>
    </row>
    <row r="243" spans="4:40" ht="20.100000000000001"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142"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64"/>
      <c r="J243" s="142" cm="1">
        <f t="array" ref="J243">Scope3_Equations.VEERG_15_4_1_1__1_EmissionsFromPurchasedFertiliser(E243,I243)</f>
        <v>0</v>
      </c>
      <c r="K243" s="142"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74"/>
      <c r="M243" s="47"/>
      <c r="N243" s="74"/>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64"/>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64"/>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64"/>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64"/>
      <c r="AG243" s="49" t="str">
        <v/>
      </c>
      <c r="AH243" s="49">
        <v>0</v>
      </c>
      <c r="AI243" s="49"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64"/>
      <c r="AK243" s="49" t="str">
        <v/>
      </c>
      <c r="AL243" s="49">
        <v>0</v>
      </c>
      <c r="AM243" s="49"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64"/>
    </row>
    <row r="244" spans="4:40" ht="20.100000000000001"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142"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64"/>
      <c r="J244" s="142" cm="1">
        <f t="array" ref="J244">Scope3_Equations.VEERG_15_4_1_1__1_EmissionsFromPurchasedFertiliser(E244,I244)</f>
        <v>0</v>
      </c>
      <c r="K244" s="142"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74"/>
      <c r="M244" s="47"/>
      <c r="N244" s="74"/>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64"/>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64"/>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64"/>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64"/>
      <c r="AG244" s="49" t="str">
        <v/>
      </c>
      <c r="AH244" s="49">
        <v>0</v>
      </c>
      <c r="AI244" s="49"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64"/>
      <c r="AK244" s="49" t="str">
        <v/>
      </c>
      <c r="AL244" s="49">
        <v>0</v>
      </c>
      <c r="AM244" s="49"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64"/>
    </row>
    <row r="245" spans="4:40" ht="20.100000000000001"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142"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64"/>
      <c r="J245" s="142" cm="1">
        <f t="array" ref="J245">Scope3_Equations.VEERG_15_4_1_1__1_EmissionsFromPurchasedFertiliser(E245,I245)</f>
        <v>0</v>
      </c>
      <c r="K245" s="142"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74"/>
      <c r="M245" s="47"/>
      <c r="N245" s="74"/>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64"/>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64"/>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64"/>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64"/>
      <c r="AG245" s="49" t="str">
        <v/>
      </c>
      <c r="AH245" s="49">
        <v>0</v>
      </c>
      <c r="AI245" s="49"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64"/>
      <c r="AK245" s="49" t="str">
        <v/>
      </c>
      <c r="AL245" s="49">
        <v>0</v>
      </c>
      <c r="AM245" s="49"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64"/>
    </row>
    <row r="246" spans="4:40" ht="20.100000000000001" customHeight="1" x14ac:dyDescent="0.25"/>
    <row r="247" spans="4:40" ht="20.100000000000001" customHeight="1" x14ac:dyDescent="0.25">
      <c r="D247" s="135" t="s">
        <v>650</v>
      </c>
    </row>
    <row r="248" spans="4:40" ht="20.100000000000001" customHeight="1" x14ac:dyDescent="0.25"/>
    <row r="249" spans="4:40" ht="20.100000000000001" customHeight="1" x14ac:dyDescent="0.25">
      <c r="D249" s="86" t="s">
        <v>665</v>
      </c>
      <c r="E249" s="101"/>
      <c r="F249" s="87"/>
    </row>
    <row r="250" spans="4:40" ht="20.100000000000001" customHeight="1" x14ac:dyDescent="0.25"/>
    <row r="251" spans="4:40" ht="20.100000000000001" customHeight="1" x14ac:dyDescent="0.25">
      <c r="D251" s="46" t="s">
        <v>399</v>
      </c>
      <c r="E251" s="46" t="s">
        <v>352</v>
      </c>
      <c r="F251" s="57" t="s">
        <v>663</v>
      </c>
      <c r="G251" s="57" t="s">
        <v>647</v>
      </c>
      <c r="H251" s="57" t="s">
        <v>646</v>
      </c>
      <c r="I251" s="46" t="s">
        <v>664</v>
      </c>
      <c r="J251" s="57" t="s">
        <v>648</v>
      </c>
      <c r="K251" s="57" t="s">
        <v>649</v>
      </c>
      <c r="L251" s="46" t="s">
        <v>624</v>
      </c>
      <c r="M251" s="46" t="s">
        <v>625</v>
      </c>
      <c r="N251" s="46" t="s">
        <v>626</v>
      </c>
      <c r="O251" s="57" t="s">
        <v>169</v>
      </c>
      <c r="P251" s="57" t="s">
        <v>170</v>
      </c>
      <c r="Q251" s="57" t="s">
        <v>171</v>
      </c>
      <c r="R251" s="57" t="s">
        <v>172</v>
      </c>
      <c r="S251" s="57" t="s">
        <v>651</v>
      </c>
      <c r="T251" s="46" t="s">
        <v>652</v>
      </c>
      <c r="U251" s="57" t="s">
        <v>173</v>
      </c>
      <c r="V251" s="57" t="s">
        <v>174</v>
      </c>
      <c r="W251" s="57" t="s">
        <v>653</v>
      </c>
      <c r="X251" s="46" t="s">
        <v>654</v>
      </c>
      <c r="Y251" s="57" t="s">
        <v>175</v>
      </c>
      <c r="Z251" s="57" t="s">
        <v>176</v>
      </c>
      <c r="AA251" s="57" t="s">
        <v>655</v>
      </c>
      <c r="AB251" s="46" t="s">
        <v>656</v>
      </c>
      <c r="AC251" s="57" t="s">
        <v>177</v>
      </c>
      <c r="AD251" s="57" t="s">
        <v>178</v>
      </c>
      <c r="AE251" s="57" t="s">
        <v>657</v>
      </c>
      <c r="AF251" s="46" t="s">
        <v>658</v>
      </c>
    </row>
    <row r="252" spans="4:40" ht="20.100000000000001" customHeight="1" x14ac:dyDescent="0.25">
      <c r="D252" s="49" t="str" cm="1">
        <f t="array" ref="D252:D261">IFERROR(INDEX(Table_Input_InorganicFertiliser_Custom[Custom blend name], _xlfn.SEQUENCE(10)), "")</f>
        <v>My first custom blend</v>
      </c>
      <c r="E252" s="49" cm="1">
        <f t="array" ref="E252:E261">IFERROR(INDEX(Table_Input_InorganicFertiliser_Custom[Total applied (kg)], _xlfn.SEQUENCE(10)), 0)</f>
        <v>10000</v>
      </c>
      <c r="F252" s="49"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142" cm="1">
        <f t="array" ref="G252">Scope3_Equations.VEERG_15_4_1_1__1_EmissionsFromPurchasedFertiliser(E252,F252)</f>
        <v>17.708000000000002</v>
      </c>
      <c r="H252" s="49"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64">
        <v>0.4</v>
      </c>
      <c r="J252" s="142" cm="1">
        <f t="array" ref="J252">Scope3_Equations.VEERG_15_4_1_1__1_EmissionsFromPurchasedFertiliser(E252,I252)</f>
        <v>4</v>
      </c>
      <c r="K252" s="142"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74"/>
      <c r="M252" s="47"/>
      <c r="N252"/>
      <c r="O252" s="49" t="str" cm="1">
        <f t="array" ref="O252:O261">_xlfn.LET(_xlpm.v, INDEX(Table_Input_InorganicFertiliser_Custom[Urea source (Select)], _xlfn.SEQUENCE(10)), IFERROR(IF(_xlpm.v=0, "", _xlpm.v), ""))</f>
        <v/>
      </c>
      <c r="P252" s="49" t="str" cm="1">
        <f t="array" ref="P252:P261">_xlfn.LET(_xlpm.v, INDEX(Table_Input_InorganicFertiliser_Custom[Ammonia source (select)], _xlfn.SEQUENCE(10)), IFERROR(IF(_xlpm.v=0, "", _xlpm.v), ""))</f>
        <v/>
      </c>
      <c r="Q252" s="49" t="str" cm="1">
        <f t="array" ref="Q252:Q261">IFERROR(INDEX(Table_Input_InorganicFertiliser_Custom[Ingredient 1 (select)], _xlfn.SEQUENCE(10)), "")</f>
        <v>Calcium nitrate</v>
      </c>
      <c r="R252" s="49" cm="1">
        <f t="array" ref="R252:R261">IFERROR(INDEX(_xlfn.LET(_xlpm.result, Table_Input_InorganicFertiliser_Custom[Ingredient 1 percent], IF(_xlpm.result="", 0, _xlpm.result)), _xlfn.SEQUENCE(10)), 0)</f>
        <v>0.5</v>
      </c>
      <c r="S252" s="49"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64">
        <v>0.9</v>
      </c>
      <c r="U252" s="49" t="str" cm="1">
        <f t="array" ref="U252:U261">IFERROR(INDEX(Table_Input_InorganicFertiliser_Custom[Ingredient 2], _xlfn.SEQUENCE(10)), "")</f>
        <v>Zinc - Generic</v>
      </c>
      <c r="V252" s="49" cm="1">
        <f t="array" ref="V252:V261">IFERROR(INDEX(_xlfn.LET(_xlpm.result, Table_Input_InorganicFertiliser_Custom[Ingredient 2 percent], IF(_xlpm.result="", 0, _xlpm.result)), _xlfn.SEQUENCE(10)), 0)</f>
        <v>0.2</v>
      </c>
      <c r="W252" s="49"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64">
        <v>0.9</v>
      </c>
      <c r="Y252" s="49" t="str" cm="1">
        <f t="array" ref="Y252:Y261">IFERROR(INDEX(Table_Input_InorganicFertiliser_Custom[Ingredient 3], _xlfn.SEQUENCE(10)), "")</f>
        <v>Potassium - Generic</v>
      </c>
      <c r="Z252" s="49" cm="1">
        <f t="array" ref="Z252:Z261">IFERROR(INDEX(_xlfn.LET(_xlpm.result, Table_Input_InorganicFertiliser_Custom[Ingredient 3 percent], IF(_xlpm.result="", 0, _xlpm.result)), _xlfn.SEQUENCE(10)), 0)</f>
        <v>0.2</v>
      </c>
      <c r="AA252" s="49"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64">
        <v>4</v>
      </c>
      <c r="AC252" s="49" t="str" cm="1">
        <f t="array" ref="AC252:AC261">IFERROR(INDEX(Table_Input_InorganicFertiliser_Custom[Ingredient 4], _xlfn.SEQUENCE(10)), "")</f>
        <v>Sulfur - Generic</v>
      </c>
      <c r="AD252" s="49" cm="1">
        <f t="array" ref="AD252:AD261">IFERROR(INDEX(_xlfn.LET(_xlpm.result, Table_Input_InorganicFertiliser_Custom[Ingredient 4 percent], IF(_xlpm.result="", 0, _xlpm.result)), _xlfn.SEQUENCE(10)), 0)</f>
        <v>0.1</v>
      </c>
      <c r="AE252" s="49"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64">
        <v>0</v>
      </c>
    </row>
    <row r="253" spans="4:40" ht="20.100000000000001" customHeight="1" x14ac:dyDescent="0.25">
      <c r="D253" s="49" t="str">
        <v>My second custom blend</v>
      </c>
      <c r="E253" s="49">
        <v>10000</v>
      </c>
      <c r="F253" s="49"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142" cm="1">
        <f t="array" ref="G253">Scope3_Equations.VEERG_15_4_1_1__1_EmissionsFromPurchasedFertiliser(E253,F253)</f>
        <v>9.68</v>
      </c>
      <c r="H253" s="49"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64">
        <v>0.9</v>
      </c>
      <c r="J253" s="142" cm="1">
        <f t="array" ref="J253">Scope3_Equations.VEERG_15_4_1_1__1_EmissionsFromPurchasedFertiliser(E253,I253)</f>
        <v>9</v>
      </c>
      <c r="K253" s="142"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74"/>
      <c r="M253" s="47"/>
      <c r="N253" s="74"/>
      <c r="O253" s="225" t="str">
        <v/>
      </c>
      <c r="P253" s="225" t="str">
        <v/>
      </c>
      <c r="Q253" s="49" t="str">
        <v>Urea</v>
      </c>
      <c r="R253" s="49">
        <v>1</v>
      </c>
      <c r="S253" s="49"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64"/>
      <c r="U253" s="49">
        <v>0</v>
      </c>
      <c r="V253" s="49">
        <v>0</v>
      </c>
      <c r="W253" s="49"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64"/>
      <c r="Y253" s="49">
        <v>0</v>
      </c>
      <c r="Z253" s="49">
        <v>0</v>
      </c>
      <c r="AA253" s="49"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64"/>
      <c r="AC253" s="49">
        <v>0</v>
      </c>
      <c r="AD253" s="49">
        <v>0</v>
      </c>
      <c r="AE253" s="49"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64"/>
    </row>
    <row r="254" spans="4:40" ht="20.100000000000001" customHeight="1" x14ac:dyDescent="0.25">
      <c r="D254" s="49" t="str">
        <v>My third custom blend</v>
      </c>
      <c r="E254" s="49">
        <v>10000</v>
      </c>
      <c r="F254" s="49"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142" cm="1">
        <f t="array" ref="G254">Scope3_Equations.VEERG_15_4_1_1__1_EmissionsFromPurchasedFertiliser(E254,F254)</f>
        <v>11.6</v>
      </c>
      <c r="H254" s="49"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64">
        <v>0.4</v>
      </c>
      <c r="J254" s="142" cm="1">
        <f t="array" ref="J254">Scope3_Equations.VEERG_15_4_1_1__1_EmissionsFromPurchasedFertiliser(E254,I254)</f>
        <v>4</v>
      </c>
      <c r="K254" s="142"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74"/>
      <c r="M254" s="47"/>
      <c r="N254" s="74"/>
      <c r="O254" s="225" t="str">
        <v/>
      </c>
      <c r="P254" s="225" t="str">
        <v/>
      </c>
      <c r="Q254" s="49" t="str">
        <v>Ammonia</v>
      </c>
      <c r="R254" s="49">
        <v>0.5</v>
      </c>
      <c r="S254" s="49"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64"/>
      <c r="U254" s="49">
        <v>0</v>
      </c>
      <c r="V254" s="49">
        <v>0</v>
      </c>
      <c r="W254" s="49"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64"/>
      <c r="Y254" s="49">
        <v>0</v>
      </c>
      <c r="Z254" s="49">
        <v>0</v>
      </c>
      <c r="AA254" s="49"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64"/>
      <c r="AC254" s="49">
        <v>0</v>
      </c>
      <c r="AD254" s="49">
        <v>0</v>
      </c>
      <c r="AE254" s="49"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64"/>
    </row>
    <row r="255" spans="4:40" ht="20.100000000000001" customHeight="1" x14ac:dyDescent="0.25">
      <c r="D255" s="49">
        <v>0</v>
      </c>
      <c r="E255" s="49">
        <v>0</v>
      </c>
      <c r="F255" s="49"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142" cm="1">
        <f t="array" ref="G255">Scope3_Equations.VEERG_15_4_1_1__1_EmissionsFromPurchasedFertiliser(E255,F255)</f>
        <v>0</v>
      </c>
      <c r="H255" s="49"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64"/>
      <c r="J255" s="142" cm="1">
        <f t="array" ref="J255">Scope3_Equations.VEERG_15_4_1_1__1_EmissionsFromPurchasedFertiliser(E255,I255)</f>
        <v>0</v>
      </c>
      <c r="K255" s="142"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74"/>
      <c r="M255" s="47"/>
      <c r="N255" s="74"/>
      <c r="O255" s="225" t="str">
        <v/>
      </c>
      <c r="P255" s="225" t="str">
        <v/>
      </c>
      <c r="Q255" s="49">
        <v>0</v>
      </c>
      <c r="R255" s="49">
        <v>0</v>
      </c>
      <c r="S255" s="49"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64"/>
      <c r="U255" s="49">
        <v>0</v>
      </c>
      <c r="V255" s="49">
        <v>0</v>
      </c>
      <c r="W255" s="49"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64"/>
      <c r="Y255" s="49">
        <v>0</v>
      </c>
      <c r="Z255" s="49">
        <v>0</v>
      </c>
      <c r="AA255" s="49"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64"/>
      <c r="AC255" s="49">
        <v>0</v>
      </c>
      <c r="AD255" s="49">
        <v>0</v>
      </c>
      <c r="AE255" s="49"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64"/>
    </row>
    <row r="256" spans="4:40" ht="20.100000000000001" customHeight="1" x14ac:dyDescent="0.25">
      <c r="D256" s="49">
        <v>0</v>
      </c>
      <c r="E256" s="49">
        <v>0</v>
      </c>
      <c r="F256" s="49"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142" cm="1">
        <f t="array" ref="G256">Scope3_Equations.VEERG_15_4_1_1__1_EmissionsFromPurchasedFertiliser(E256,F256)</f>
        <v>0</v>
      </c>
      <c r="H256" s="49"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64"/>
      <c r="J256" s="142" cm="1">
        <f t="array" ref="J256">Scope3_Equations.VEERG_15_4_1_1__1_EmissionsFromPurchasedFertiliser(E256,I256)</f>
        <v>0</v>
      </c>
      <c r="K256" s="142"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74"/>
      <c r="M256" s="47"/>
      <c r="N256" s="74"/>
      <c r="O256" s="225" t="str">
        <v/>
      </c>
      <c r="P256" s="225" t="str">
        <v/>
      </c>
      <c r="Q256" s="49">
        <v>0</v>
      </c>
      <c r="R256" s="49">
        <v>0</v>
      </c>
      <c r="S256" s="49"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64"/>
      <c r="U256" s="49">
        <v>0</v>
      </c>
      <c r="V256" s="49">
        <v>0</v>
      </c>
      <c r="W256" s="49"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64"/>
      <c r="Y256" s="49">
        <v>0</v>
      </c>
      <c r="Z256" s="49">
        <v>0</v>
      </c>
      <c r="AA256" s="49"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64"/>
      <c r="AC256" s="49">
        <v>0</v>
      </c>
      <c r="AD256" s="49">
        <v>0</v>
      </c>
      <c r="AE256" s="49"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64"/>
    </row>
    <row r="257" spans="3:41" ht="20.100000000000001" customHeight="1" x14ac:dyDescent="0.25">
      <c r="D257" s="49">
        <v>0</v>
      </c>
      <c r="E257" s="49">
        <v>0</v>
      </c>
      <c r="F257" s="49"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142" cm="1">
        <f t="array" ref="G257">Scope3_Equations.VEERG_15_4_1_1__1_EmissionsFromPurchasedFertiliser(E257,F257)</f>
        <v>0</v>
      </c>
      <c r="H257" s="49"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64"/>
      <c r="J257" s="142" cm="1">
        <f t="array" ref="J257">Scope3_Equations.VEERG_15_4_1_1__1_EmissionsFromPurchasedFertiliser(E257,I257)</f>
        <v>0</v>
      </c>
      <c r="K257" s="142"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74"/>
      <c r="M257" s="47"/>
      <c r="N257" s="74"/>
      <c r="O257" s="225" t="str">
        <v/>
      </c>
      <c r="P257" s="225" t="str">
        <v/>
      </c>
      <c r="Q257" s="49">
        <v>0</v>
      </c>
      <c r="R257" s="49">
        <v>0</v>
      </c>
      <c r="S257" s="49"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64"/>
      <c r="U257" s="49">
        <v>0</v>
      </c>
      <c r="V257" s="49">
        <v>0</v>
      </c>
      <c r="W257" s="49"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64"/>
      <c r="Y257" s="49">
        <v>0</v>
      </c>
      <c r="Z257" s="49">
        <v>0</v>
      </c>
      <c r="AA257" s="49"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64"/>
      <c r="AC257" s="49">
        <v>0</v>
      </c>
      <c r="AD257" s="49">
        <v>0</v>
      </c>
      <c r="AE257" s="49"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64"/>
    </row>
    <row r="258" spans="3:41" ht="20.100000000000001" customHeight="1" x14ac:dyDescent="0.25">
      <c r="D258" s="49">
        <v>0</v>
      </c>
      <c r="E258" s="49">
        <v>0</v>
      </c>
      <c r="F258" s="49"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142" cm="1">
        <f t="array" ref="G258">Scope3_Equations.VEERG_15_4_1_1__1_EmissionsFromPurchasedFertiliser(E258,F258)</f>
        <v>0</v>
      </c>
      <c r="H258" s="49"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64"/>
      <c r="J258" s="142" cm="1">
        <f t="array" ref="J258">Scope3_Equations.VEERG_15_4_1_1__1_EmissionsFromPurchasedFertiliser(E258,I258)</f>
        <v>0</v>
      </c>
      <c r="K258" s="142"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74"/>
      <c r="M258" s="47"/>
      <c r="N258" s="74"/>
      <c r="O258" s="225" t="str">
        <v/>
      </c>
      <c r="P258" s="225" t="str">
        <v/>
      </c>
      <c r="Q258" s="49">
        <v>0</v>
      </c>
      <c r="R258" s="49">
        <v>0</v>
      </c>
      <c r="S258" s="49"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64"/>
      <c r="U258" s="49">
        <v>0</v>
      </c>
      <c r="V258" s="49">
        <v>0</v>
      </c>
      <c r="W258" s="49"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64"/>
      <c r="Y258" s="49">
        <v>0</v>
      </c>
      <c r="Z258" s="49">
        <v>0</v>
      </c>
      <c r="AA258" s="49"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64"/>
      <c r="AC258" s="49">
        <v>0</v>
      </c>
      <c r="AD258" s="49">
        <v>0</v>
      </c>
      <c r="AE258" s="49"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64"/>
    </row>
    <row r="259" spans="3:41" ht="20.100000000000001" customHeight="1" x14ac:dyDescent="0.25">
      <c r="D259" s="49">
        <v>0</v>
      </c>
      <c r="E259" s="49">
        <v>0</v>
      </c>
      <c r="F259" s="49"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142" cm="1">
        <f t="array" ref="G259">Scope3_Equations.VEERG_15_4_1_1__1_EmissionsFromPurchasedFertiliser(E259,F259)</f>
        <v>0</v>
      </c>
      <c r="H259" s="49"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64"/>
      <c r="J259" s="142" cm="1">
        <f t="array" ref="J259">Scope3_Equations.VEERG_15_4_1_1__1_EmissionsFromPurchasedFertiliser(E259,I259)</f>
        <v>0</v>
      </c>
      <c r="K259" s="142"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74"/>
      <c r="M259" s="47"/>
      <c r="N259" s="74"/>
      <c r="O259" s="225" t="str">
        <v/>
      </c>
      <c r="P259" s="225" t="str">
        <v/>
      </c>
      <c r="Q259" s="49">
        <v>0</v>
      </c>
      <c r="R259" s="49">
        <v>0</v>
      </c>
      <c r="S259" s="49"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64"/>
      <c r="U259" s="49">
        <v>0</v>
      </c>
      <c r="V259" s="49">
        <v>0</v>
      </c>
      <c r="W259" s="49"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64"/>
      <c r="Y259" s="49">
        <v>0</v>
      </c>
      <c r="Z259" s="49">
        <v>0</v>
      </c>
      <c r="AA259" s="49"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64"/>
      <c r="AC259" s="49">
        <v>0</v>
      </c>
      <c r="AD259" s="49">
        <v>0</v>
      </c>
      <c r="AE259" s="49"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64"/>
    </row>
    <row r="260" spans="3:41" ht="20.100000000000001" customHeight="1" x14ac:dyDescent="0.25">
      <c r="D260" s="49">
        <v>0</v>
      </c>
      <c r="E260" s="49">
        <v>0</v>
      </c>
      <c r="F260" s="49"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142" cm="1">
        <f t="array" ref="G260">Scope3_Equations.VEERG_15_4_1_1__1_EmissionsFromPurchasedFertiliser(E260,F260)</f>
        <v>0</v>
      </c>
      <c r="H260" s="49"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64"/>
      <c r="J260" s="142" cm="1">
        <f t="array" ref="J260">Scope3_Equations.VEERG_15_4_1_1__1_EmissionsFromPurchasedFertiliser(E260,I260)</f>
        <v>0</v>
      </c>
      <c r="K260" s="142"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74"/>
      <c r="M260" s="47"/>
      <c r="N260" s="74"/>
      <c r="O260" s="225" t="str">
        <v/>
      </c>
      <c r="P260" s="225" t="str">
        <v/>
      </c>
      <c r="Q260" s="49">
        <v>0</v>
      </c>
      <c r="R260" s="49">
        <v>0</v>
      </c>
      <c r="S260" s="49"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64"/>
      <c r="U260" s="49">
        <v>0</v>
      </c>
      <c r="V260" s="49">
        <v>0</v>
      </c>
      <c r="W260" s="49"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64"/>
      <c r="Y260" s="49">
        <v>0</v>
      </c>
      <c r="Z260" s="49">
        <v>0</v>
      </c>
      <c r="AA260" s="49"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64"/>
      <c r="AC260" s="49">
        <v>0</v>
      </c>
      <c r="AD260" s="49">
        <v>0</v>
      </c>
      <c r="AE260" s="49"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64"/>
    </row>
    <row r="261" spans="3:41" ht="20.100000000000001" customHeight="1" x14ac:dyDescent="0.25">
      <c r="D261" s="49">
        <v>0</v>
      </c>
      <c r="E261" s="49">
        <v>0</v>
      </c>
      <c r="F261" s="49"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142" cm="1">
        <f t="array" ref="G261">Scope3_Equations.VEERG_15_4_1_1__1_EmissionsFromPurchasedFertiliser(E261,F261)</f>
        <v>0</v>
      </c>
      <c r="H261" s="49"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64"/>
      <c r="J261" s="142" cm="1">
        <f t="array" ref="J261">Scope3_Equations.VEERG_15_4_1_1__1_EmissionsFromPurchasedFertiliser(E261,I261)</f>
        <v>0</v>
      </c>
      <c r="K261" s="142"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74"/>
      <c r="M261" s="47"/>
      <c r="N261" s="74"/>
      <c r="O261" s="225" t="str">
        <v/>
      </c>
      <c r="P261" s="225" t="str">
        <v/>
      </c>
      <c r="Q261" s="49">
        <v>0</v>
      </c>
      <c r="R261" s="49">
        <v>0</v>
      </c>
      <c r="S261" s="49"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64"/>
      <c r="U261" s="49">
        <v>0</v>
      </c>
      <c r="V261" s="49">
        <v>0</v>
      </c>
      <c r="W261" s="49"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64"/>
      <c r="Y261" s="49">
        <v>0</v>
      </c>
      <c r="Z261" s="49">
        <v>0</v>
      </c>
      <c r="AA261" s="49"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64"/>
      <c r="AC261" s="49">
        <v>0</v>
      </c>
      <c r="AD261" s="49">
        <v>0</v>
      </c>
      <c r="AE261" s="49"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64"/>
    </row>
    <row r="262" spans="3:41" ht="20.100000000000001" customHeight="1" x14ac:dyDescent="0.25"/>
    <row r="263" spans="3:41" ht="20.100000000000001" customHeight="1" x14ac:dyDescent="0.25">
      <c r="D263" s="170" t="s">
        <v>666</v>
      </c>
      <c r="E263" s="168">
        <f>SUM(G236:G245)+SUM(G252:G261)</f>
        <v>66.611033519999992</v>
      </c>
      <c r="F263" s="169" t="str">
        <f>$E$170</f>
        <v>t CO2e</v>
      </c>
    </row>
    <row r="264" spans="3:41" ht="20.100000000000001" customHeight="1" x14ac:dyDescent="0.25">
      <c r="D264" s="170" t="s">
        <v>667</v>
      </c>
      <c r="E264" s="168">
        <f>SUM(J236:J245)+SUM(J252:J261)</f>
        <v>34</v>
      </c>
      <c r="F264" s="169" t="str">
        <f>$E$170</f>
        <v>t CO2e</v>
      </c>
    </row>
    <row r="266" spans="3:41" ht="20.25" x14ac:dyDescent="0.25">
      <c r="D266" s="170" t="s">
        <v>668</v>
      </c>
      <c r="E266" s="168">
        <f>SUM(H236:H245)+SUM(H252:H261)</f>
        <v>66.611033520000007</v>
      </c>
      <c r="F266" s="169" t="str">
        <f>$E$170</f>
        <v>t CO2e</v>
      </c>
    </row>
    <row r="267" spans="3:41" ht="20.25" x14ac:dyDescent="0.25">
      <c r="D267" s="170" t="s">
        <v>669</v>
      </c>
      <c r="E267" s="168">
        <f>SUM(K236:K245)+SUM(K252:K261)</f>
        <v>65.023033519999998</v>
      </c>
      <c r="F267" s="169" t="str">
        <f>$E$170</f>
        <v>t CO2e</v>
      </c>
    </row>
    <row r="270" spans="3:41" x14ac:dyDescent="0.25">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row>
    <row r="271" spans="3:41" ht="23.25" x14ac:dyDescent="0.25">
      <c r="D271" s="9" t="str" cm="1">
        <f t="array" ref="D271">Scope3_Equations.VEERG_15_5_1_1__1_EmissionsFromPurchasedAgrichemicals_Title()</f>
        <v>Total emissions from purchased agrichemicals</v>
      </c>
    </row>
    <row r="272" spans="3:41" x14ac:dyDescent="0.25">
      <c r="D272" s="11" t="str" cm="1">
        <f t="array" ref="D272">Scope3_Equations.VEERG_15_5_1_1__1_EmissionsFromPurchasedAgrichemicals_Source()</f>
        <v>VEERG 2026: 15.5.1.1, Equation (1)</v>
      </c>
    </row>
    <row r="273" spans="4:9" x14ac:dyDescent="0.25">
      <c r="D273" s="163" t="s">
        <v>621</v>
      </c>
      <c r="E273" s="163" t="str" cm="1">
        <f t="array" aca="1" ref="E273" ca="1">Common_InputFunctions.Utility_DisplayFunctionName(G285)</f>
        <v>=Scope3_Equations.VEERG_15_5_1_1__1_EmissionsFromPurchasedAgrichemicals</v>
      </c>
    </row>
    <row r="277" spans="4:9" x14ac:dyDescent="0.25">
      <c r="D277" s="27" t="s">
        <v>622</v>
      </c>
      <c r="E277" s="8" t="str" cm="1">
        <f t="array" ref="E277">Scope3_Equations.VEERG_15_5_1_1__1_EmissionsFromPurchasedAgrichemicals_Variable()</f>
        <v>E</v>
      </c>
    </row>
    <row r="278" spans="4:9" x14ac:dyDescent="0.25">
      <c r="D278" s="27" t="s">
        <v>97</v>
      </c>
      <c r="E278" s="13" t="str" cm="1">
        <f t="array" ref="E278">Scope3_Equations.VEERG_15_5_1_1__1_EmissionsFromPurchasedAgrichemicals_Unit()</f>
        <v>t CO2e</v>
      </c>
    </row>
    <row r="280" spans="4:9" x14ac:dyDescent="0.25">
      <c r="D280" s="158" t="str" cm="1">
        <f t="array" ref="D280:E282">_xlfn.CHOOSECOLS(Scope3_Equations.VEERG_15_5_1_1__1_EmissionsFromPurchasedAgrichemicals_Arguments(),1,2)</f>
        <v>Q_h</v>
      </c>
      <c r="E280" s="162" t="str">
        <v>quantity of active ingredients in agrichemical type h purchased and applied to soils</v>
      </c>
      <c r="F280" s="157"/>
      <c r="G280" s="158" t="str" cm="1">
        <f t="array" ref="G280:H282">_xlfn.CHOOSECOLS(Scope3_Equations.VEERG_15_5_1_1__1_EmissionsFromPurchasedAgrichemicals_Arguments(),3,4)</f>
        <v>kg ai</v>
      </c>
      <c r="H280" s="159" t="str">
        <v>Input</v>
      </c>
    </row>
    <row r="281" spans="4:9" x14ac:dyDescent="0.25">
      <c r="D281" s="158" t="str">
        <v>EF_h</v>
      </c>
      <c r="E281" s="162" t="str">
        <v>emission factor for purchased agrichemical active ingredient</v>
      </c>
      <c r="F281" s="157"/>
      <c r="G281" s="158" t="str">
        <v>kg CO2e/kg ai</v>
      </c>
      <c r="H281" s="160" t="str">
        <v>Constant</v>
      </c>
    </row>
    <row r="282" spans="4:9" x14ac:dyDescent="0.25">
      <c r="D282" s="158" t="str">
        <v>h</v>
      </c>
      <c r="E282" s="162" t="str">
        <v>agrichemical type</v>
      </c>
      <c r="F282" s="157"/>
      <c r="G282" s="158" t="str">
        <v/>
      </c>
      <c r="H282" s="159" t="str">
        <v>Input</v>
      </c>
    </row>
    <row r="284" spans="4:9" ht="17.25" x14ac:dyDescent="0.25">
      <c r="D284" s="46" t="s">
        <v>675</v>
      </c>
      <c r="E284" s="46" t="s">
        <v>201</v>
      </c>
      <c r="F284" s="57" t="s">
        <v>676</v>
      </c>
      <c r="G284" s="57" t="s">
        <v>628</v>
      </c>
      <c r="H284" s="46" t="s">
        <v>677</v>
      </c>
      <c r="I284" s="57" t="s">
        <v>630</v>
      </c>
    </row>
    <row r="285" spans="4:9" x14ac:dyDescent="0.25">
      <c r="D285" s="49" t="str" cm="1">
        <f t="array" ref="D285:D296">Table_SourceData_Scope3_Pesticides[Product]</f>
        <v>2,4-D</v>
      </c>
      <c r="E285" s="49">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49" cm="1">
        <f t="array" ref="F285">Common_InputFunctions.Utility_LookupValueInTableNumber(D285,Table_SourceData_Scope3_Pesticides[Product],Table_SourceData_Scope3_Pesticides[Emissions intensity])</f>
        <v>5.2</v>
      </c>
      <c r="G285" s="49" cm="1">
        <f t="array" ref="G285">Scope3_Equations.VEERG_15_5_1_1__1_EmissionsFromPurchasedAgrichemicals($E285,F285)</f>
        <v>0.52</v>
      </c>
      <c r="H285" s="64">
        <v>5</v>
      </c>
      <c r="I285" s="49" cm="1">
        <f t="array" ref="I285">Scope3_Equations.VEERG_15_5_1_1__1_EmissionsFromPurchasedAgrichemicals($E285,IF(H285,H285,F285))</f>
        <v>0.5</v>
      </c>
    </row>
    <row r="286" spans="4:9" x14ac:dyDescent="0.25">
      <c r="D286" s="49" t="str">
        <v>Atrazine</v>
      </c>
      <c r="E286" s="49">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49" cm="1">
        <f t="array" ref="F286">Common_InputFunctions.Utility_LookupValueInTableNumber(D286,Table_SourceData_Scope3_Pesticides[Product],Table_SourceData_Scope3_Pesticides[Emissions intensity])</f>
        <v>8.3800000000000008</v>
      </c>
      <c r="G286" s="49" cm="1">
        <f t="array" ref="G286">Scope3_Equations.VEERG_15_5_1_1__1_EmissionsFromPurchasedAgrichemicals($E286,F286)</f>
        <v>0</v>
      </c>
      <c r="H286" s="64">
        <v>8</v>
      </c>
      <c r="I286" s="49" cm="1">
        <f t="array" ref="I286">Scope3_Equations.VEERG_15_5_1_1__1_EmissionsFromPurchasedAgrichemicals($E286,IF(H286,H286,F286))</f>
        <v>0</v>
      </c>
    </row>
    <row r="287" spans="4:9" x14ac:dyDescent="0.25">
      <c r="D287" s="49" t="str">
        <v>Diuron</v>
      </c>
      <c r="E287" s="49">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49" cm="1">
        <f t="array" ref="F287">Common_InputFunctions.Utility_LookupValueInTableNumber(D287,Table_SourceData_Scope3_Pesticides[Product],Table_SourceData_Scope3_Pesticides[Emissions intensity])</f>
        <v>8.8000000000000007</v>
      </c>
      <c r="G287" s="49" cm="1">
        <f t="array" ref="G287">Scope3_Equations.VEERG_15_5_1_1__1_EmissionsFromPurchasedAgrichemicals($E287,F287)</f>
        <v>0</v>
      </c>
      <c r="H287" s="64"/>
      <c r="I287" s="49" cm="1">
        <f t="array" ref="I287">Scope3_Equations.VEERG_15_5_1_1__1_EmissionsFromPurchasedAgrichemicals($E287,IF(H287,H287,F287))</f>
        <v>0</v>
      </c>
    </row>
    <row r="288" spans="4:9" x14ac:dyDescent="0.25">
      <c r="D288" s="49" t="str">
        <v>Glyphosate</v>
      </c>
      <c r="E288" s="49">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49" cm="1">
        <f t="array" ref="F288">Common_InputFunctions.Utility_LookupValueInTableNumber(D288,Table_SourceData_Scope3_Pesticides[Product],Table_SourceData_Scope3_Pesticides[Emissions intensity])</f>
        <v>10.3</v>
      </c>
      <c r="G288" s="49" cm="1">
        <f t="array" ref="G288">Scope3_Equations.VEERG_15_5_1_1__1_EmissionsFromPurchasedAgrichemicals($E288,F288)</f>
        <v>1.03</v>
      </c>
      <c r="H288" s="64"/>
      <c r="I288" s="49" cm="1">
        <f t="array" ref="I288">Scope3_Equations.VEERG_15_5_1_1__1_EmissionsFromPurchasedAgrichemicals($E288,IF(H288,H288,F288))</f>
        <v>1.03</v>
      </c>
    </row>
    <row r="289" spans="3:41" x14ac:dyDescent="0.25">
      <c r="D289" s="49" t="str">
        <v>Mancozeb</v>
      </c>
      <c r="E289" s="49">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49" cm="1">
        <f t="array" ref="F289">Common_InputFunctions.Utility_LookupValueInTableNumber(D289,Table_SourceData_Scope3_Pesticides[Product],Table_SourceData_Scope3_Pesticides[Emissions intensity])</f>
        <v>4.55</v>
      </c>
      <c r="G289" s="49" cm="1">
        <f t="array" ref="G289">Scope3_Equations.VEERG_15_5_1_1__1_EmissionsFromPurchasedAgrichemicals($E289,F289)</f>
        <v>0</v>
      </c>
      <c r="H289" s="64"/>
      <c r="I289" s="49" cm="1">
        <f t="array" ref="I289">Scope3_Equations.VEERG_15_5_1_1__1_EmissionsFromPurchasedAgrichemicals($E289,IF(H289,H289,F289))</f>
        <v>0</v>
      </c>
    </row>
    <row r="290" spans="3:41" x14ac:dyDescent="0.25">
      <c r="D290" s="49" t="str">
        <v>MCPA</v>
      </c>
      <c r="E290" s="49">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49" cm="1">
        <f t="array" ref="F290">Common_InputFunctions.Utility_LookupValueInTableNumber(D290,Table_SourceData_Scope3_Pesticides[Product],Table_SourceData_Scope3_Pesticides[Emissions intensity])</f>
        <v>5.6</v>
      </c>
      <c r="G290" s="49" cm="1">
        <f t="array" ref="G290">Scope3_Equations.VEERG_15_5_1_1__1_EmissionsFromPurchasedAgrichemicals($E290,F290)</f>
        <v>0</v>
      </c>
      <c r="H290" s="64"/>
      <c r="I290" s="49" cm="1">
        <f t="array" ref="I290">Scope3_Equations.VEERG_15_5_1_1__1_EmissionsFromPurchasedAgrichemicals($E290,IF(H290,H290,F290))</f>
        <v>0</v>
      </c>
    </row>
    <row r="291" spans="3:41" x14ac:dyDescent="0.25">
      <c r="D291" s="49" t="str">
        <v>Metolachlor</v>
      </c>
      <c r="E291" s="49">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49" cm="1">
        <f t="array" ref="F291">Common_InputFunctions.Utility_LookupValueInTableNumber(D291,Table_SourceData_Scope3_Pesticides[Product],Table_SourceData_Scope3_Pesticides[Emissions intensity])</f>
        <v>8.06</v>
      </c>
      <c r="G291" s="49" cm="1">
        <f t="array" ref="G291">Scope3_Equations.VEERG_15_5_1_1__1_EmissionsFromPurchasedAgrichemicals($E291,F291)</f>
        <v>0.80600000000000005</v>
      </c>
      <c r="H291" s="64"/>
      <c r="I291" s="49" cm="1">
        <f t="array" ref="I291">Scope3_Equations.VEERG_15_5_1_1__1_EmissionsFromPurchasedAgrichemicals($E291,IF(H291,H291,F291))</f>
        <v>0.80600000000000005</v>
      </c>
    </row>
    <row r="292" spans="3:41" x14ac:dyDescent="0.25">
      <c r="D292" s="49" t="str">
        <v>Metsulfuron-methyl</v>
      </c>
      <c r="E292" s="49">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49" cm="1">
        <f t="array" ref="F292">Common_InputFunctions.Utility_LookupValueInTableNumber(D292,Table_SourceData_Scope3_Pesticides[Product],Table_SourceData_Scope3_Pesticides[Emissions intensity])</f>
        <v>8.8000000000000007</v>
      </c>
      <c r="G292" s="49" cm="1">
        <f t="array" ref="G292">Scope3_Equations.VEERG_15_5_1_1__1_EmissionsFromPurchasedAgrichemicals($E292,F292)</f>
        <v>0</v>
      </c>
      <c r="H292" s="64"/>
      <c r="I292" s="49" cm="1">
        <f t="array" ref="I292">Scope3_Equations.VEERG_15_5_1_1__1_EmissionsFromPurchasedAgrichemicals($E292,IF(H292,H292,F292))</f>
        <v>0</v>
      </c>
    </row>
    <row r="293" spans="3:41" x14ac:dyDescent="0.25">
      <c r="D293" s="49" t="str">
        <v>Pesticides (generic)</v>
      </c>
      <c r="E293" s="49">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49" cm="1">
        <f t="array" ref="F293">Common_InputFunctions.Utility_LookupValueInTableNumber(D293,Table_SourceData_Scope3_Pesticides[Product],Table_SourceData_Scope3_Pesticides[Emissions intensity])</f>
        <v>9.16</v>
      </c>
      <c r="G293" s="49" cm="1">
        <f t="array" ref="G293">Scope3_Equations.VEERG_15_5_1_1__1_EmissionsFromPurchasedAgrichemicals($E293,F293)</f>
        <v>3.6640000000000001</v>
      </c>
      <c r="H293" s="64"/>
      <c r="I293" s="49" cm="1">
        <f t="array" ref="I293">Scope3_Equations.VEERG_15_5_1_1__1_EmissionsFromPurchasedAgrichemicals($E293,IF(H293,H293,F293))</f>
        <v>3.6640000000000001</v>
      </c>
    </row>
    <row r="294" spans="3:41" x14ac:dyDescent="0.25">
      <c r="D294" s="49" t="str">
        <v>Tri-allate</v>
      </c>
      <c r="E294" s="49">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49" cm="1">
        <f t="array" ref="F294">Common_InputFunctions.Utility_LookupValueInTableNumber(D294,Table_SourceData_Scope3_Pesticides[Product],Table_SourceData_Scope3_Pesticides[Emissions intensity])</f>
        <v>8.57</v>
      </c>
      <c r="G294" s="49" cm="1">
        <f t="array" ref="G294">Scope3_Equations.VEERG_15_5_1_1__1_EmissionsFromPurchasedAgrichemicals($E294,F294)</f>
        <v>0</v>
      </c>
      <c r="H294" s="64"/>
      <c r="I294" s="49" cm="1">
        <f t="array" ref="I294">Scope3_Equations.VEERG_15_5_1_1__1_EmissionsFromPurchasedAgrichemicals($E294,IF(H294,H294,F294))</f>
        <v>0</v>
      </c>
    </row>
    <row r="295" spans="3:41" x14ac:dyDescent="0.25">
      <c r="D295" s="49" t="str">
        <v>Tribenuron methyl</v>
      </c>
      <c r="E295" s="49">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49" cm="1">
        <f t="array" ref="F295">Common_InputFunctions.Utility_LookupValueInTableNumber(D295,Table_SourceData_Scope3_Pesticides[Product],Table_SourceData_Scope3_Pesticides[Emissions intensity])</f>
        <v>8.8000000000000007</v>
      </c>
      <c r="G295" s="49" cm="1">
        <f t="array" ref="G295">Scope3_Equations.VEERG_15_5_1_1__1_EmissionsFromPurchasedAgrichemicals($E295,F295)</f>
        <v>0.88000000000000012</v>
      </c>
      <c r="H295" s="64"/>
      <c r="I295" s="49" cm="1">
        <f t="array" ref="I295">Scope3_Equations.VEERG_15_5_1_1__1_EmissionsFromPurchasedAgrichemicals($E295,IF(H295,H295,F295))</f>
        <v>0.88000000000000012</v>
      </c>
    </row>
    <row r="296" spans="3:41" x14ac:dyDescent="0.25">
      <c r="D296" s="49" t="str">
        <v>Trifluralin</v>
      </c>
      <c r="E296" s="49">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49" cm="1">
        <f t="array" ref="F296">Common_InputFunctions.Utility_LookupValueInTableNumber(D296,Table_SourceData_Scope3_Pesticides[Product],Table_SourceData_Scope3_Pesticides[Emissions intensity])</f>
        <v>6.16</v>
      </c>
      <c r="G296" s="49" cm="1">
        <f t="array" ref="G296">Scope3_Equations.VEERG_15_5_1_1__1_EmissionsFromPurchasedAgrichemicals($E296,F296)</f>
        <v>0.61599999999999999</v>
      </c>
      <c r="H296" s="64"/>
      <c r="I296" s="49" cm="1">
        <f t="array" ref="I296">Scope3_Equations.VEERG_15_5_1_1__1_EmissionsFromPurchasedAgrichemicals($E296,IF(H296,H296,F296))</f>
        <v>0.61599999999999999</v>
      </c>
    </row>
    <row r="298" spans="3:41" ht="20.25" x14ac:dyDescent="0.25">
      <c r="D298" s="170" t="s">
        <v>628</v>
      </c>
      <c r="E298" s="168">
        <f>SUM(G285:G296)</f>
        <v>7.5159999999999991</v>
      </c>
      <c r="F298" s="169" t="str">
        <f>$E$170</f>
        <v>t CO2e</v>
      </c>
    </row>
    <row r="299" spans="3:41" ht="20.25" x14ac:dyDescent="0.25">
      <c r="D299" s="170" t="s">
        <v>630</v>
      </c>
      <c r="E299" s="168">
        <f>SUM(I285:I296)</f>
        <v>7.4959999999999996</v>
      </c>
      <c r="F299" s="169" t="str">
        <f>$E$170</f>
        <v>t CO2e</v>
      </c>
    </row>
    <row r="302" spans="3:41" x14ac:dyDescent="0.25">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row>
    <row r="303" spans="3:41" ht="23.25" x14ac:dyDescent="0.25">
      <c r="D303" s="9" t="str" cm="1">
        <f t="array" ref="D303">Scope3_Equations.VEERG_15_6_1_1__1_EmissionsFromPurchasedLime_Title()</f>
        <v>Embedded emissions for purchased lime</v>
      </c>
    </row>
    <row r="304" spans="3:41" x14ac:dyDescent="0.25">
      <c r="D304" s="11" t="str" cm="1">
        <f t="array" ref="D304">Scope3_Equations.VEERG_15_6_1_1__1_EmissionsFromPurchasedLime_Source()</f>
        <v>VEERG 2026: 15.6.1.1, Equation (1)</v>
      </c>
    </row>
    <row r="305" spans="4:13" x14ac:dyDescent="0.25">
      <c r="D305" s="163" t="s">
        <v>621</v>
      </c>
      <c r="E305" s="163" t="str" cm="1">
        <f t="array" aca="1" ref="E305" ca="1">Common_InputFunctions.Utility_DisplayFunctionName(I320)</f>
        <v>=Scope3_Equations.VEERG_15_6_1_1__1_EmissionsFromPurchasedLime</v>
      </c>
    </row>
    <row r="308" spans="4:13" x14ac:dyDescent="0.25">
      <c r="D308" s="27" t="s">
        <v>622</v>
      </c>
      <c r="E308" s="8" t="str" cm="1">
        <f t="array" ref="E308">Scope3_Equations.VEERG_15_6_1_1__1_EmissionsFromPurchasedLime_Variable()</f>
        <v>E</v>
      </c>
    </row>
    <row r="309" spans="4:13" x14ac:dyDescent="0.25">
      <c r="D309" s="27" t="s">
        <v>97</v>
      </c>
      <c r="E309" s="8" t="str" cm="1">
        <f t="array" ref="E309">Scope3_Equations.VEERG_15_6_1_1__1_EmissionsFromPurchasedLime_Unit()</f>
        <v>t CO2e</v>
      </c>
    </row>
    <row r="311" spans="4:13" x14ac:dyDescent="0.25">
      <c r="D311" s="158" t="str" cm="1">
        <f t="array" ref="D311:E312">_xlfn.CHOOSECOLS(Scope3_Equations.VEERG_15_6_1_1__1_EmissionsFromPurchasedLime_Arguments(),1,2)</f>
        <v>M_lime</v>
      </c>
      <c r="E311" s="158" t="str">
        <v>total quantity of lime applied to soils</v>
      </c>
      <c r="F311" s="158" t="str" cm="1">
        <f t="array" ref="F311:G312">_xlfn.CHOOSECOLS(Scope3_Equations.VEERG_15_6_1_1__1_EmissionsFromPurchasedLime_Arguments(),3,4)</f>
        <v>t</v>
      </c>
      <c r="G311" s="159" t="str">
        <v>Input</v>
      </c>
    </row>
    <row r="312" spans="4:13" x14ac:dyDescent="0.25">
      <c r="D312" s="158" t="str">
        <v>EF_l</v>
      </c>
      <c r="E312" s="158" t="str">
        <v>emission factor for purchased lime</v>
      </c>
      <c r="F312" s="158" t="str">
        <v>t CO2e/t</v>
      </c>
      <c r="G312" s="160" t="str">
        <v>Constant</v>
      </c>
    </row>
    <row r="314" spans="4:13" x14ac:dyDescent="0.25">
      <c r="E314" s="57" t="s">
        <v>405</v>
      </c>
      <c r="F314" s="46" t="s">
        <v>406</v>
      </c>
    </row>
    <row r="315" spans="4:13" ht="18.75" x14ac:dyDescent="0.25">
      <c r="D315" s="8" t="s">
        <v>680</v>
      </c>
      <c r="E315" s="49" cm="1">
        <f t="array" ref="E315">Common_InputFunctions.Utility_LookupValueInTableNumber("Limestone (crushed)", Table_SourceData_Scope3_SoilAmeliorants[Product],Table_SourceData_Scope3_SoilAmeliorants[Emissions intensity])*10^-3</f>
        <v>4.85E-5</v>
      </c>
      <c r="F315" s="64">
        <v>4.0000000000000003E-5</v>
      </c>
      <c r="G315" s="63" t="str">
        <f>$F$312</f>
        <v>t CO2e/t</v>
      </c>
    </row>
    <row r="316" spans="4:13" ht="18.75" x14ac:dyDescent="0.25">
      <c r="D316" s="8" t="s">
        <v>681</v>
      </c>
      <c r="E316" s="49" cm="1">
        <f t="array" ref="E316">Common_InputFunctions.Utility_LookupValueInTableNumber("Dolomite", Table_SourceData_Scope3_SoilAmeliorants[Product],Table_SourceData_Scope3_SoilAmeliorants[Emissions intensity])*10^-3</f>
        <v>6.5199999999999999E-5</v>
      </c>
      <c r="F316" s="64">
        <v>6.0000000000000002E-5</v>
      </c>
      <c r="G316" s="63"/>
    </row>
    <row r="317" spans="4:13" ht="18.75" x14ac:dyDescent="0.25">
      <c r="D317" s="8" t="s">
        <v>682</v>
      </c>
      <c r="E317" s="49" cm="1">
        <f t="array" ref="E317">Common_InputFunctions.Utility_LookupValueInTableNumber("Gypsum", Table_SourceData_Scope3_SoilAmeliorants[Product],Table_SourceData_Scope3_SoilAmeliorants[Emissions intensity])*10^-3</f>
        <v>6.5199999999999999E-5</v>
      </c>
      <c r="F317" s="64">
        <v>6.0000000000000002E-5</v>
      </c>
      <c r="G317" s="63"/>
    </row>
    <row r="319" spans="4:13" ht="17.25" x14ac:dyDescent="0.25">
      <c r="D319" s="46" t="s">
        <v>168</v>
      </c>
      <c r="E319" s="143" t="s">
        <v>678</v>
      </c>
      <c r="F319" s="46" t="s">
        <v>683</v>
      </c>
      <c r="G319" s="46" t="s">
        <v>684</v>
      </c>
      <c r="H319" s="46" t="s">
        <v>685</v>
      </c>
      <c r="I319" s="57" t="s">
        <v>628</v>
      </c>
      <c r="J319" s="57" t="s">
        <v>679</v>
      </c>
      <c r="K319" s="46" t="s">
        <v>624</v>
      </c>
      <c r="L319" s="46" t="s">
        <v>625</v>
      </c>
      <c r="M319" s="46" t="s">
        <v>626</v>
      </c>
    </row>
    <row r="320" spans="4:13" x14ac:dyDescent="0.25">
      <c r="D320" s="49" t="str" cm="1">
        <f t="array" ref="D320:D329">IFERROR(INDEX(Table_Input_Lime[Product], _xlfn.SEQUENCE(10)), "")</f>
        <v>Lime product 1</v>
      </c>
      <c r="E320" s="49" cm="1">
        <f t="array" ref="E320:E329">IFERROR(INDEX(Table_Input_Lime[Total amount applied (t)], _xlfn.SEQUENCE(10)), 0)</f>
        <v>100</v>
      </c>
      <c r="F320" s="49" cm="1">
        <f t="array" ref="F320:F329">IFERROR(INDEX(Table_Input_Lime[Percent Lime CaCO3], _xlfn.SEQUENCE(10)), 0)*E320</f>
        <v>80</v>
      </c>
      <c r="G320" s="49" cm="1">
        <f t="array" ref="G320:G329">IFERROR(INDEX(Table_Input_Lime[Percent Dolomite CaMg(CO3)2], _xlfn.SEQUENCE(10)), 0)*E320</f>
        <v>10</v>
      </c>
      <c r="H320" s="49" cm="1">
        <f t="array" ref="H320:H329">IFERROR(INDEX(Table_Input_Lime[Percent Gypsum], _xlfn.SEQUENCE(10)), 0)*E320</f>
        <v>10</v>
      </c>
      <c r="I320" s="142" cm="1">
        <f t="array" ref="I320">Scope3_Equations.VEERG_15_6_1_1__1_EmissionsFromPurchasedLime(F320,$E$315)+
Scope3_Equations.VEERG_15_6_1_1__1_EmissionsFromPurchasedLime(G320,$E$316)+
Scope3_Equations.VEERG_15_6_1_1__1_EmissionsFromPurchasedLime(H320,$E$317)</f>
        <v>5.1839999999999994E-3</v>
      </c>
      <c r="J320" s="142"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74"/>
      <c r="L320" s="47"/>
      <c r="M320" s="74"/>
    </row>
    <row r="321" spans="3:41" x14ac:dyDescent="0.25">
      <c r="D321" s="49" t="str">
        <v>Lime product 2</v>
      </c>
      <c r="E321" s="49">
        <v>100</v>
      </c>
      <c r="F321" s="49">
        <v>100</v>
      </c>
      <c r="G321" s="49">
        <v>0</v>
      </c>
      <c r="H321" s="49">
        <v>0</v>
      </c>
      <c r="I321" s="142" cm="1">
        <f t="array" ref="I321">Scope3_Equations.VEERG_15_6_1_1__1_EmissionsFromPurchasedLime(F321,$E$315)+
Scope3_Equations.VEERG_15_6_1_1__1_EmissionsFromPurchasedLime(G321,$E$316)+
Scope3_Equations.VEERG_15_6_1_1__1_EmissionsFromPurchasedLime(H321,$E$317)</f>
        <v>4.8500000000000001E-3</v>
      </c>
      <c r="J321" s="142"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74"/>
      <c r="L321" s="47"/>
      <c r="M321" s="74"/>
    </row>
    <row r="322" spans="3:41" x14ac:dyDescent="0.25">
      <c r="D322" s="49" t="str">
        <v>Lime product 3</v>
      </c>
      <c r="E322" s="49">
        <v>100</v>
      </c>
      <c r="F322" s="49">
        <v>0</v>
      </c>
      <c r="G322" s="49">
        <v>0</v>
      </c>
      <c r="H322" s="49">
        <v>100</v>
      </c>
      <c r="I322" s="142" cm="1">
        <f t="array" ref="I322">Scope3_Equations.VEERG_15_6_1_1__1_EmissionsFromPurchasedLime(F322,$E$315)+
Scope3_Equations.VEERG_15_6_1_1__1_EmissionsFromPurchasedLime(G322,$E$316)+
Scope3_Equations.VEERG_15_6_1_1__1_EmissionsFromPurchasedLime(H322,$E$317)</f>
        <v>6.5199999999999998E-3</v>
      </c>
      <c r="J322" s="142"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74"/>
      <c r="L322" s="47"/>
      <c r="M322" s="74"/>
    </row>
    <row r="323" spans="3:41" x14ac:dyDescent="0.25">
      <c r="D323" s="49" t="str">
        <v/>
      </c>
      <c r="E323" s="49">
        <v>0</v>
      </c>
      <c r="F323" s="49">
        <v>0</v>
      </c>
      <c r="G323" s="49">
        <v>0</v>
      </c>
      <c r="H323" s="49">
        <v>0</v>
      </c>
      <c r="I323" s="142" cm="1">
        <f t="array" ref="I323">Scope3_Equations.VEERG_15_6_1_1__1_EmissionsFromPurchasedLime(F323,$E$315)+
Scope3_Equations.VEERG_15_6_1_1__1_EmissionsFromPurchasedLime(G323,$E$316)+
Scope3_Equations.VEERG_15_6_1_1__1_EmissionsFromPurchasedLime(H323,$E$317)</f>
        <v>0</v>
      </c>
      <c r="J323" s="142" cm="1">
        <f t="array" ref="J323">Scope3_Equations.VEERG_15_6_1_1__1_EmissionsFromPurchasedLime(F323,IF($F$315,$F$315,$E$315))+
Scope3_Equations.VEERG_15_6_1_1__1_EmissionsFromPurchasedLime(G323,IF($F$316,$F$316,$E$316))+
Scope3_Equations.VEERG_15_6_1_1__1_EmissionsFromPurchasedLime(H323,IF($F$317,$F$317,$E$317))</f>
        <v>0</v>
      </c>
      <c r="K323" s="74"/>
      <c r="L323" s="47"/>
      <c r="M323" s="74"/>
    </row>
    <row r="324" spans="3:41" x14ac:dyDescent="0.25">
      <c r="D324" s="49" t="str">
        <v/>
      </c>
      <c r="E324" s="49">
        <v>0</v>
      </c>
      <c r="F324" s="49">
        <v>0</v>
      </c>
      <c r="G324" s="49">
        <v>0</v>
      </c>
      <c r="H324" s="49">
        <v>0</v>
      </c>
      <c r="I324" s="142" cm="1">
        <f t="array" ref="I324">Scope3_Equations.VEERG_15_6_1_1__1_EmissionsFromPurchasedLime(F324,$E$315)+
Scope3_Equations.VEERG_15_6_1_1__1_EmissionsFromPurchasedLime(G324,$E$316)+
Scope3_Equations.VEERG_15_6_1_1__1_EmissionsFromPurchasedLime(H324,$E$317)</f>
        <v>0</v>
      </c>
      <c r="J324" s="142" cm="1">
        <f t="array" ref="J324">Scope3_Equations.VEERG_15_6_1_1__1_EmissionsFromPurchasedLime(F324,IF($F$315,$F$315,$E$315))+
Scope3_Equations.VEERG_15_6_1_1__1_EmissionsFromPurchasedLime(G324,IF($F$316,$F$316,$E$316))+
Scope3_Equations.VEERG_15_6_1_1__1_EmissionsFromPurchasedLime(H324,IF($F$317,$F$317,$E$317))</f>
        <v>0</v>
      </c>
      <c r="K324" s="74"/>
      <c r="L324" s="47"/>
      <c r="M324" s="74"/>
    </row>
    <row r="325" spans="3:41" x14ac:dyDescent="0.25">
      <c r="D325" s="49" t="str">
        <v/>
      </c>
      <c r="E325" s="49">
        <v>0</v>
      </c>
      <c r="F325" s="49">
        <v>0</v>
      </c>
      <c r="G325" s="49">
        <v>0</v>
      </c>
      <c r="H325" s="49">
        <v>0</v>
      </c>
      <c r="I325" s="142" cm="1">
        <f t="array" ref="I325">Scope3_Equations.VEERG_15_6_1_1__1_EmissionsFromPurchasedLime(F325,$E$315)+
Scope3_Equations.VEERG_15_6_1_1__1_EmissionsFromPurchasedLime(G325,$E$316)+
Scope3_Equations.VEERG_15_6_1_1__1_EmissionsFromPurchasedLime(H325,$E$317)</f>
        <v>0</v>
      </c>
      <c r="J325" s="142" cm="1">
        <f t="array" ref="J325">Scope3_Equations.VEERG_15_6_1_1__1_EmissionsFromPurchasedLime(F325,IF($F$315,$F$315,$E$315))+
Scope3_Equations.VEERG_15_6_1_1__1_EmissionsFromPurchasedLime(G325,IF($F$316,$F$316,$E$316))+
Scope3_Equations.VEERG_15_6_1_1__1_EmissionsFromPurchasedLime(H325,IF($F$317,$F$317,$E$317))</f>
        <v>0</v>
      </c>
      <c r="K325" s="74"/>
      <c r="L325" s="47"/>
      <c r="M325" s="74"/>
    </row>
    <row r="326" spans="3:41" x14ac:dyDescent="0.25">
      <c r="D326" s="49" t="str">
        <v/>
      </c>
      <c r="E326" s="49">
        <v>0</v>
      </c>
      <c r="F326" s="49">
        <v>0</v>
      </c>
      <c r="G326" s="49">
        <v>0</v>
      </c>
      <c r="H326" s="49">
        <v>0</v>
      </c>
      <c r="I326" s="142" cm="1">
        <f t="array" ref="I326">Scope3_Equations.VEERG_15_6_1_1__1_EmissionsFromPurchasedLime(F326,$E$315)+
Scope3_Equations.VEERG_15_6_1_1__1_EmissionsFromPurchasedLime(G326,$E$316)+
Scope3_Equations.VEERG_15_6_1_1__1_EmissionsFromPurchasedLime(H326,$E$317)</f>
        <v>0</v>
      </c>
      <c r="J326" s="142" cm="1">
        <f t="array" ref="J326">Scope3_Equations.VEERG_15_6_1_1__1_EmissionsFromPurchasedLime(F326,IF($F$315,$F$315,$E$315))+
Scope3_Equations.VEERG_15_6_1_1__1_EmissionsFromPurchasedLime(G326,IF($F$316,$F$316,$E$316))+
Scope3_Equations.VEERG_15_6_1_1__1_EmissionsFromPurchasedLime(H326,IF($F$317,$F$317,$E$317))</f>
        <v>0</v>
      </c>
      <c r="K326" s="74"/>
      <c r="L326" s="47"/>
      <c r="M326" s="74"/>
    </row>
    <row r="327" spans="3:41" x14ac:dyDescent="0.25">
      <c r="D327" s="49" t="str">
        <v/>
      </c>
      <c r="E327" s="49">
        <v>0</v>
      </c>
      <c r="F327" s="49">
        <v>0</v>
      </c>
      <c r="G327" s="49">
        <v>0</v>
      </c>
      <c r="H327" s="49">
        <v>0</v>
      </c>
      <c r="I327" s="142" cm="1">
        <f t="array" ref="I327">Scope3_Equations.VEERG_15_6_1_1__1_EmissionsFromPurchasedLime(F327,$E$315)+
Scope3_Equations.VEERG_15_6_1_1__1_EmissionsFromPurchasedLime(G327,$E$316)+
Scope3_Equations.VEERG_15_6_1_1__1_EmissionsFromPurchasedLime(H327,$E$317)</f>
        <v>0</v>
      </c>
      <c r="J327" s="142" cm="1">
        <f t="array" ref="J327">Scope3_Equations.VEERG_15_6_1_1__1_EmissionsFromPurchasedLime(F327,IF($F$315,$F$315,$E$315))+
Scope3_Equations.VEERG_15_6_1_1__1_EmissionsFromPurchasedLime(G327,IF($F$316,$F$316,$E$316))+
Scope3_Equations.VEERG_15_6_1_1__1_EmissionsFromPurchasedLime(H327,IF($F$317,$F$317,$E$317))</f>
        <v>0</v>
      </c>
      <c r="K327" s="74"/>
      <c r="L327" s="47"/>
      <c r="M327" s="74"/>
    </row>
    <row r="328" spans="3:41" x14ac:dyDescent="0.25">
      <c r="D328" s="49" t="str">
        <v/>
      </c>
      <c r="E328" s="49">
        <v>0</v>
      </c>
      <c r="F328" s="49">
        <v>0</v>
      </c>
      <c r="G328" s="49">
        <v>0</v>
      </c>
      <c r="H328" s="49">
        <v>0</v>
      </c>
      <c r="I328" s="142" cm="1">
        <f t="array" ref="I328">Scope3_Equations.VEERG_15_6_1_1__1_EmissionsFromPurchasedLime(F328,$E$315)+
Scope3_Equations.VEERG_15_6_1_1__1_EmissionsFromPurchasedLime(G328,$E$316)+
Scope3_Equations.VEERG_15_6_1_1__1_EmissionsFromPurchasedLime(H328,$E$317)</f>
        <v>0</v>
      </c>
      <c r="J328" s="142" cm="1">
        <f t="array" ref="J328">Scope3_Equations.VEERG_15_6_1_1__1_EmissionsFromPurchasedLime(F328,IF($F$315,$F$315,$E$315))+
Scope3_Equations.VEERG_15_6_1_1__1_EmissionsFromPurchasedLime(G328,IF($F$316,$F$316,$E$316))+
Scope3_Equations.VEERG_15_6_1_1__1_EmissionsFromPurchasedLime(H328,IF($F$317,$F$317,$E$317))</f>
        <v>0</v>
      </c>
      <c r="K328" s="74"/>
      <c r="L328" s="47"/>
      <c r="M328" s="74"/>
    </row>
    <row r="329" spans="3:41" x14ac:dyDescent="0.25">
      <c r="D329" s="49" t="str">
        <v/>
      </c>
      <c r="E329" s="49">
        <v>0</v>
      </c>
      <c r="F329" s="49">
        <v>0</v>
      </c>
      <c r="G329" s="49">
        <v>0</v>
      </c>
      <c r="H329" s="49">
        <v>0</v>
      </c>
      <c r="I329" s="142" cm="1">
        <f t="array" ref="I329">Scope3_Equations.VEERG_15_6_1_1__1_EmissionsFromPurchasedLime(F329,$E$315)+
Scope3_Equations.VEERG_15_6_1_1__1_EmissionsFromPurchasedLime(G329,$E$316)+
Scope3_Equations.VEERG_15_6_1_1__1_EmissionsFromPurchasedLime(H329,$E$317)</f>
        <v>0</v>
      </c>
      <c r="J329" s="142" cm="1">
        <f t="array" ref="J329">Scope3_Equations.VEERG_15_6_1_1__1_EmissionsFromPurchasedLime(F329,IF($F$315,$F$315,$E$315))+
Scope3_Equations.VEERG_15_6_1_1__1_EmissionsFromPurchasedLime(G329,IF($F$316,$F$316,$E$316))+
Scope3_Equations.VEERG_15_6_1_1__1_EmissionsFromPurchasedLime(H329,IF($F$317,$F$317,$E$317))</f>
        <v>0</v>
      </c>
      <c r="K329" s="74"/>
      <c r="L329" s="47"/>
      <c r="M329" s="74"/>
    </row>
    <row r="331" spans="3:41" ht="20.25" x14ac:dyDescent="0.25">
      <c r="D331" s="170" t="s">
        <v>628</v>
      </c>
      <c r="E331" s="168">
        <f>SUM(I320:I329)</f>
        <v>1.6553999999999999E-2</v>
      </c>
      <c r="F331" s="169" t="str">
        <f>$E$170</f>
        <v>t CO2e</v>
      </c>
    </row>
    <row r="332" spans="3:41" ht="20.25" x14ac:dyDescent="0.25">
      <c r="D332" s="170" t="s">
        <v>630</v>
      </c>
      <c r="E332" s="168">
        <f>SUM(J320:J329)</f>
        <v>1.4400000000000001E-2</v>
      </c>
      <c r="F332" s="169" t="str">
        <f>$E$170</f>
        <v>t CO2e</v>
      </c>
    </row>
    <row r="335" spans="3:41" x14ac:dyDescent="0.25">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c r="AC335" s="89"/>
      <c r="AD335" s="89"/>
      <c r="AE335" s="89"/>
      <c r="AF335" s="89"/>
      <c r="AG335" s="89"/>
      <c r="AH335" s="89"/>
      <c r="AI335" s="89"/>
      <c r="AJ335" s="89"/>
      <c r="AK335" s="89"/>
      <c r="AL335" s="89"/>
      <c r="AM335" s="89"/>
      <c r="AN335" s="89"/>
      <c r="AO335" s="89"/>
    </row>
    <row r="336" spans="3:41" ht="23.25" x14ac:dyDescent="0.25">
      <c r="D336" s="9" t="str" cm="1">
        <f t="array" ref="D336">Scope3_Equations.VEERG_15_7_1_1__1_EmissionsFromPurchasedServices_Title()</f>
        <v>Emissions of purchased services and contractor operations</v>
      </c>
    </row>
    <row r="337" spans="4:15" x14ac:dyDescent="0.25">
      <c r="D337" s="11" t="str" cm="1">
        <f t="array" ref="D337">Scope3_Equations.VEERG_15_7_1_1__1_EmissionsFromPurchasedServices_Source()</f>
        <v>VEERG 2026: 15.7.1.1, Equation (1)</v>
      </c>
    </row>
    <row r="338" spans="4:15" x14ac:dyDescent="0.25">
      <c r="D338" s="163" t="s">
        <v>621</v>
      </c>
      <c r="E338" s="163" t="str" cm="1">
        <f t="array" aca="1" ref="E338" ca="1">Common_InputFunctions.Utility_DisplayFunctionName(K351)</f>
        <v>=Scope3_Equations.VEERG_15_7_1_1__1_EmissionsFromPurchasedServices</v>
      </c>
    </row>
    <row r="340" spans="4:15" x14ac:dyDescent="0.25">
      <c r="H340" s="8" t="s">
        <v>850</v>
      </c>
    </row>
    <row r="341" spans="4:15" x14ac:dyDescent="0.25">
      <c r="D341" s="27" t="s">
        <v>622</v>
      </c>
      <c r="E341" s="8" t="str" cm="1">
        <f t="array" ref="E341">Scope3_Equations.VEERG_15_7_1_1__1_EmissionsFromPurchasedServices_Variable()</f>
        <v>E</v>
      </c>
    </row>
    <row r="342" spans="4:15" x14ac:dyDescent="0.25">
      <c r="D342" s="27" t="s">
        <v>97</v>
      </c>
      <c r="E342" s="8" t="str" cm="1">
        <f t="array" ref="E342">Scope3_Equations.VEERG_15_7_1_1__1_EmissionsFromPurchasedServices_Unit()</f>
        <v>t CO2e</v>
      </c>
    </row>
    <row r="344" spans="4:15" x14ac:dyDescent="0.25">
      <c r="D344" s="158" t="str" cm="1">
        <f t="array" ref="D344:E346">_xlfn.CHOOSECOLS(Scope3_Equations.VEERG_15_7_1_1__1_EmissionsFromPurchasedServices_Arguments(),1,2)</f>
        <v>A_p</v>
      </c>
      <c r="E344" s="162" t="str">
        <v>activity data of the service that was purchased</v>
      </c>
      <c r="F344" s="157"/>
      <c r="G344" s="158" t="str" cm="1">
        <f t="array" ref="G344:H346">_xlfn.CHOOSECOLS(Scope3_Equations.VEERG_15_7_1_1__1_EmissionsFromPurchasedServices_Arguments(),3,4)</f>
        <v>ha or h</v>
      </c>
      <c r="H344" s="159" t="str">
        <v>Input</v>
      </c>
    </row>
    <row r="345" spans="4:15" x14ac:dyDescent="0.25">
      <c r="D345" s="158" t="str">
        <v>EF_p</v>
      </c>
      <c r="E345" s="162" t="str">
        <v>life cycle emission factor for the purchased service</v>
      </c>
      <c r="F345" s="157"/>
      <c r="G345" s="158" t="str">
        <v>kg CO2e/ha or kg CO2e/h</v>
      </c>
      <c r="H345" s="160" t="str">
        <v>Constant</v>
      </c>
    </row>
    <row r="346" spans="4:15" x14ac:dyDescent="0.25">
      <c r="D346" s="158" t="str">
        <v>p</v>
      </c>
      <c r="E346" s="162" t="str">
        <v>service type</v>
      </c>
      <c r="F346" s="157"/>
      <c r="G346" s="158" t="str">
        <v/>
      </c>
      <c r="H346" s="159" t="str">
        <v>Input</v>
      </c>
    </row>
    <row r="348" spans="4:15" x14ac:dyDescent="0.25">
      <c r="D348" s="12" t="s">
        <v>686</v>
      </c>
    </row>
    <row r="350" spans="4:15" x14ac:dyDescent="0.25">
      <c r="D350" s="46" t="s">
        <v>602</v>
      </c>
      <c r="E350" s="46" t="s">
        <v>611</v>
      </c>
      <c r="F350" s="46" t="s">
        <v>606</v>
      </c>
      <c r="G350" s="46" t="s">
        <v>126</v>
      </c>
      <c r="H350" s="57" t="s">
        <v>411</v>
      </c>
      <c r="I350" s="57" t="s">
        <v>349</v>
      </c>
      <c r="J350" s="46" t="s">
        <v>412</v>
      </c>
      <c r="K350" s="57" t="s">
        <v>350</v>
      </c>
      <c r="L350" s="57" t="s">
        <v>607</v>
      </c>
      <c r="M350" s="46" t="s">
        <v>624</v>
      </c>
      <c r="N350" s="46" t="s">
        <v>625</v>
      </c>
      <c r="O350" s="46" t="s">
        <v>626</v>
      </c>
    </row>
    <row r="351" spans="4:15" x14ac:dyDescent="0.25">
      <c r="D351" s="49" t="str" cm="1">
        <f t="array" ref="D351:D360">IFERROR(INDEX(Table_Input_ServicesAndContractors[Service provider / contractor], _xlfn.SEQUENCE(10)), "")</f>
        <v>Pete's Pickers</v>
      </c>
      <c r="E351" s="49" t="str" cm="1">
        <f t="array" ref="E351:E360">IFERROR(INDEX(Table_Input_ServicesAndContractors[Activity], _xlfn.SEQUENCE(10)), "")</f>
        <v>Fruit picking</v>
      </c>
      <c r="F351" s="49" cm="1">
        <f t="array" ref="F351:F360">IFERROR(INDEX(Table_Input_ServicesAndContractors[Total amount], _xlfn.SEQUENCE(10)), "")</f>
        <v>10000</v>
      </c>
      <c r="G351" s="49" t="str" cm="1">
        <f t="array" ref="G351:G360">IFERROR(INDEX(Table_Input_ServicesAndContractors[Amount unit], _xlfn.SEQUENCE(10)), "")</f>
        <v>Hour</v>
      </c>
      <c r="H351" s="49" t="s">
        <v>817</v>
      </c>
      <c r="I351" s="49" t="s">
        <v>817</v>
      </c>
      <c r="J351" s="64">
        <v>4</v>
      </c>
      <c r="K351" s="142" cm="1">
        <f t="array" ref="K351">Scope3_Equations.VEERG_15_7_1_1__1_EmissionsFromPurchasedServices(F351,J351)</f>
        <v>40</v>
      </c>
      <c r="L351" s="49" t="str">
        <f>"t CO2e / " &amp; G351</f>
        <v>t CO2e / Hour</v>
      </c>
      <c r="M351" s="74"/>
      <c r="N351" s="47"/>
      <c r="O351" s="74"/>
    </row>
    <row r="352" spans="4:15" x14ac:dyDescent="0.25">
      <c r="D352" s="49" t="str">
        <v>Harini's Harvesting Services Pty Ltd</v>
      </c>
      <c r="E352" s="49" t="str">
        <v>Wheat harvesting</v>
      </c>
      <c r="F352" s="49">
        <v>1000</v>
      </c>
      <c r="G352" s="49" t="str">
        <v>Hectare</v>
      </c>
      <c r="H352" s="49" t="s">
        <v>817</v>
      </c>
      <c r="I352" s="49" t="s">
        <v>817</v>
      </c>
      <c r="J352" s="64">
        <v>2</v>
      </c>
      <c r="K352" s="142" cm="1">
        <f t="array" ref="K352">Scope3_Equations.VEERG_15_7_1_1__1_EmissionsFromPurchasedServices(F352,J352)</f>
        <v>2</v>
      </c>
      <c r="L352" s="49" t="str">
        <f t="shared" ref="L352:L360" si="1">"t CO2e / " &amp; G352</f>
        <v>t CO2e / Hectare</v>
      </c>
      <c r="M352" s="74"/>
      <c r="N352" s="47"/>
      <c r="O352" s="74"/>
    </row>
    <row r="353" spans="3:41" x14ac:dyDescent="0.25">
      <c r="D353" s="49">
        <v>0</v>
      </c>
      <c r="E353" s="49">
        <v>0</v>
      </c>
      <c r="F353" s="49">
        <v>0</v>
      </c>
      <c r="G353" s="49">
        <v>0</v>
      </c>
      <c r="H353" s="49" t="s">
        <v>817</v>
      </c>
      <c r="I353" s="49" t="s">
        <v>817</v>
      </c>
      <c r="J353" s="64"/>
      <c r="K353" s="142" cm="1">
        <f t="array" ref="K353">Scope3_Equations.VEERG_15_7_1_1__1_EmissionsFromPurchasedServices(F353,J353)</f>
        <v>0</v>
      </c>
      <c r="L353" s="49" t="str">
        <f t="shared" si="1"/>
        <v>t CO2e / 0</v>
      </c>
      <c r="M353" s="74"/>
      <c r="N353" s="47"/>
      <c r="O353" s="74"/>
    </row>
    <row r="354" spans="3:41" x14ac:dyDescent="0.25">
      <c r="D354" s="49">
        <v>0</v>
      </c>
      <c r="E354" s="49">
        <v>0</v>
      </c>
      <c r="F354" s="49">
        <v>0</v>
      </c>
      <c r="G354" s="49">
        <v>0</v>
      </c>
      <c r="H354" s="49" t="s">
        <v>817</v>
      </c>
      <c r="I354" s="49" t="s">
        <v>817</v>
      </c>
      <c r="J354" s="64"/>
      <c r="K354" s="142" cm="1">
        <f t="array" ref="K354">Scope3_Equations.VEERG_15_7_1_1__1_EmissionsFromPurchasedServices(F354,J354)</f>
        <v>0</v>
      </c>
      <c r="L354" s="49" t="str">
        <f t="shared" si="1"/>
        <v>t CO2e / 0</v>
      </c>
      <c r="M354" s="74"/>
      <c r="N354" s="47"/>
      <c r="O354" s="74"/>
    </row>
    <row r="355" spans="3:41" x14ac:dyDescent="0.25">
      <c r="D355" s="49">
        <v>0</v>
      </c>
      <c r="E355" s="49">
        <v>0</v>
      </c>
      <c r="F355" s="49">
        <v>0</v>
      </c>
      <c r="G355" s="49">
        <v>0</v>
      </c>
      <c r="H355" s="49" t="s">
        <v>817</v>
      </c>
      <c r="I355" s="49" t="s">
        <v>817</v>
      </c>
      <c r="J355" s="64"/>
      <c r="K355" s="142" cm="1">
        <f t="array" ref="K355">Scope3_Equations.VEERG_15_7_1_1__1_EmissionsFromPurchasedServices(F355,J355)</f>
        <v>0</v>
      </c>
      <c r="L355" s="49" t="str">
        <f t="shared" si="1"/>
        <v>t CO2e / 0</v>
      </c>
      <c r="M355" s="74"/>
      <c r="N355" s="47"/>
      <c r="O355" s="74"/>
    </row>
    <row r="356" spans="3:41" x14ac:dyDescent="0.25">
      <c r="D356" s="49">
        <v>0</v>
      </c>
      <c r="E356" s="49">
        <v>0</v>
      </c>
      <c r="F356" s="49">
        <v>0</v>
      </c>
      <c r="G356" s="49">
        <v>0</v>
      </c>
      <c r="H356" s="49" t="s">
        <v>817</v>
      </c>
      <c r="I356" s="49" t="s">
        <v>817</v>
      </c>
      <c r="J356" s="64"/>
      <c r="K356" s="142" cm="1">
        <f t="array" ref="K356">Scope3_Equations.VEERG_15_7_1_1__1_EmissionsFromPurchasedServices(F356,J356)</f>
        <v>0</v>
      </c>
      <c r="L356" s="49" t="str">
        <f t="shared" si="1"/>
        <v>t CO2e / 0</v>
      </c>
      <c r="M356" s="74"/>
      <c r="N356" s="47"/>
      <c r="O356" s="74"/>
    </row>
    <row r="357" spans="3:41" x14ac:dyDescent="0.25">
      <c r="D357" s="49">
        <v>0</v>
      </c>
      <c r="E357" s="49">
        <v>0</v>
      </c>
      <c r="F357" s="49">
        <v>0</v>
      </c>
      <c r="G357" s="49">
        <v>0</v>
      </c>
      <c r="H357" s="49" t="s">
        <v>817</v>
      </c>
      <c r="I357" s="49" t="s">
        <v>817</v>
      </c>
      <c r="J357" s="64"/>
      <c r="K357" s="142" cm="1">
        <f t="array" ref="K357">Scope3_Equations.VEERG_15_7_1_1__1_EmissionsFromPurchasedServices(F357,J357)</f>
        <v>0</v>
      </c>
      <c r="L357" s="49" t="str">
        <f t="shared" si="1"/>
        <v>t CO2e / 0</v>
      </c>
      <c r="M357" s="74"/>
      <c r="N357" s="47"/>
      <c r="O357" s="74"/>
    </row>
    <row r="358" spans="3:41" x14ac:dyDescent="0.25">
      <c r="D358" s="49">
        <v>0</v>
      </c>
      <c r="E358" s="49">
        <v>0</v>
      </c>
      <c r="F358" s="49">
        <v>0</v>
      </c>
      <c r="G358" s="49">
        <v>0</v>
      </c>
      <c r="H358" s="49" t="s">
        <v>817</v>
      </c>
      <c r="I358" s="49" t="s">
        <v>817</v>
      </c>
      <c r="J358" s="64"/>
      <c r="K358" s="142" cm="1">
        <f t="array" ref="K358">Scope3_Equations.VEERG_15_7_1_1__1_EmissionsFromPurchasedServices(F358,J358)</f>
        <v>0</v>
      </c>
      <c r="L358" s="49" t="str">
        <f t="shared" si="1"/>
        <v>t CO2e / 0</v>
      </c>
      <c r="M358" s="74"/>
      <c r="N358" s="47"/>
      <c r="O358" s="74"/>
    </row>
    <row r="359" spans="3:41" x14ac:dyDescent="0.25">
      <c r="D359" s="49">
        <v>0</v>
      </c>
      <c r="E359" s="49">
        <v>0</v>
      </c>
      <c r="F359" s="49">
        <v>0</v>
      </c>
      <c r="G359" s="49">
        <v>0</v>
      </c>
      <c r="H359" s="49" t="s">
        <v>817</v>
      </c>
      <c r="I359" s="49" t="s">
        <v>817</v>
      </c>
      <c r="J359" s="64"/>
      <c r="K359" s="142" cm="1">
        <f t="array" ref="K359">Scope3_Equations.VEERG_15_7_1_1__1_EmissionsFromPurchasedServices(F359,J359)</f>
        <v>0</v>
      </c>
      <c r="L359" s="49" t="str">
        <f t="shared" si="1"/>
        <v>t CO2e / 0</v>
      </c>
      <c r="M359" s="74"/>
      <c r="N359" s="47"/>
      <c r="O359" s="74"/>
    </row>
    <row r="360" spans="3:41" x14ac:dyDescent="0.25">
      <c r="D360" s="49">
        <v>0</v>
      </c>
      <c r="E360" s="49">
        <v>0</v>
      </c>
      <c r="F360" s="49">
        <v>0</v>
      </c>
      <c r="G360" s="49">
        <v>0</v>
      </c>
      <c r="H360" s="49" t="s">
        <v>817</v>
      </c>
      <c r="I360" s="49" t="s">
        <v>817</v>
      </c>
      <c r="J360" s="64"/>
      <c r="K360" s="142" cm="1">
        <f t="array" ref="K360">Scope3_Equations.VEERG_15_7_1_1__1_EmissionsFromPurchasedServices(F360,J360)</f>
        <v>0</v>
      </c>
      <c r="L360" s="49" t="str">
        <f t="shared" si="1"/>
        <v>t CO2e / 0</v>
      </c>
      <c r="M360" s="74"/>
      <c r="N360" s="47"/>
      <c r="O360" s="74"/>
    </row>
    <row r="362" spans="3:41" ht="20.25" x14ac:dyDescent="0.25">
      <c r="D362" s="170" t="s">
        <v>628</v>
      </c>
      <c r="E362" s="168" t="s">
        <v>817</v>
      </c>
      <c r="F362" s="169" t="str">
        <f>$E$170</f>
        <v>t CO2e</v>
      </c>
    </row>
    <row r="363" spans="3:41" ht="20.25" x14ac:dyDescent="0.25">
      <c r="D363" s="170" t="s">
        <v>630</v>
      </c>
      <c r="E363" s="168">
        <f>SUM(K351:K360)</f>
        <v>42</v>
      </c>
      <c r="F363" s="169" t="str">
        <f>$E$170</f>
        <v>t CO2e</v>
      </c>
    </row>
    <row r="366" spans="3:41" x14ac:dyDescent="0.25">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c r="AC366" s="89"/>
      <c r="AD366" s="89"/>
      <c r="AE366" s="89"/>
      <c r="AF366" s="89"/>
      <c r="AG366" s="89"/>
      <c r="AH366" s="89"/>
      <c r="AI366" s="89"/>
      <c r="AJ366" s="89"/>
      <c r="AK366" s="89"/>
      <c r="AL366" s="89"/>
      <c r="AM366" s="89"/>
      <c r="AN366" s="89"/>
      <c r="AO366" s="89"/>
    </row>
    <row r="367" spans="3:41" ht="23.25" x14ac:dyDescent="0.25">
      <c r="D367" s="9" t="str" cm="1">
        <f t="array" ref="D367">Scope3_Equations.VEERG_15_8_1_1__1_EmissionsFromPurchasedPackaging_Title()</f>
        <v>Embedded emissions from use of packaging materials</v>
      </c>
    </row>
    <row r="368" spans="3:41" x14ac:dyDescent="0.25">
      <c r="D368" s="11" t="str" cm="1">
        <f t="array" ref="D368">Scope3_Equations.VEERG_15_8_1_1__1_EmissionsFromPurchasedPackaging_Source()</f>
        <v>VEERG 2026: 15.8.1.1, Equation (1)</v>
      </c>
    </row>
    <row r="369" spans="4:13" x14ac:dyDescent="0.25">
      <c r="D369" s="12" t="str" cm="1">
        <f t="array" ref="D369">Scope3_Equations.VEERG_15_8_1_1__1_EmissionsFromPurchasedPackaging_Variation()</f>
        <v>VARIATION ON SOURCE: Changed unit of Q from 'units' to 'kg' as EF data is in kg.</v>
      </c>
    </row>
    <row r="370" spans="4:13" x14ac:dyDescent="0.25">
      <c r="D370" s="163" t="s">
        <v>621</v>
      </c>
      <c r="E370" s="163" t="str" cm="1">
        <f t="array" aca="1" ref="E370" ca="1">Common_InputFunctions.Utility_DisplayFunctionName(H382)</f>
        <v>=Scope3_Equations.VEERG_15_8_1_1__1_EmissionsFromPurchasedPackaging</v>
      </c>
    </row>
    <row r="374" spans="4:13" x14ac:dyDescent="0.25">
      <c r="D374" s="27" t="s">
        <v>622</v>
      </c>
      <c r="E374" s="8" t="str" cm="1">
        <f t="array" ref="E374">Scope3_Equations.VEERG_15_8_1_1__1_EmissionsFromPurchasedPackaging_Variable()</f>
        <v>E</v>
      </c>
    </row>
    <row r="375" spans="4:13" x14ac:dyDescent="0.25">
      <c r="D375" s="27" t="s">
        <v>97</v>
      </c>
      <c r="E375" s="13" t="str" cm="1">
        <f t="array" ref="E375">Scope3_Equations.VEERG_15_8_1_1__1_EmissionsFromPurchasedPackaging_Unit()</f>
        <v>t CO2e</v>
      </c>
    </row>
    <row r="377" spans="4:13" x14ac:dyDescent="0.25">
      <c r="D377" s="158" t="str" cm="1">
        <f t="array" ref="D377:E379">_xlfn.CHOOSECOLS(Scope3_Equations.VEERG_15_8_1_1__1_EmissionsFromPurchasedPackaging_Arguments(),1,2)</f>
        <v>Q_p</v>
      </c>
      <c r="E377" s="158" t="str">
        <v>units of packaging type p</v>
      </c>
      <c r="F377" s="158" t="str" cm="1">
        <f t="array" ref="F377:G379">_xlfn.CHOOSECOLS(Scope3_Equations.VEERG_15_8_1_1__1_EmissionsFromPurchasedPackaging_Arguments(),3,4)</f>
        <v>units</v>
      </c>
      <c r="G377" s="159" t="str">
        <v>Input</v>
      </c>
    </row>
    <row r="378" spans="4:13" x14ac:dyDescent="0.25">
      <c r="D378" s="158" t="str">
        <v>EF_p</v>
      </c>
      <c r="E378" s="158" t="str">
        <v>emission factor for packaging type p</v>
      </c>
      <c r="F378" s="158" t="str">
        <v>kg CO2e/unit</v>
      </c>
      <c r="G378" s="160" t="str">
        <v>Constant</v>
      </c>
    </row>
    <row r="379" spans="4:13" x14ac:dyDescent="0.25">
      <c r="D379" s="158" t="str">
        <v>p</v>
      </c>
      <c r="E379" s="158" t="str">
        <v>packaging type</v>
      </c>
      <c r="F379" s="158" t="str">
        <v/>
      </c>
      <c r="G379" s="159" t="str">
        <v>Input</v>
      </c>
    </row>
    <row r="381" spans="4:13" ht="17.25" x14ac:dyDescent="0.25">
      <c r="D381" s="46" t="s">
        <v>357</v>
      </c>
      <c r="E381" s="143" t="s">
        <v>401</v>
      </c>
      <c r="F381" s="143" t="s">
        <v>687</v>
      </c>
      <c r="G381" s="57" t="s">
        <v>688</v>
      </c>
      <c r="H381" s="57" t="s">
        <v>628</v>
      </c>
      <c r="I381" s="46" t="s">
        <v>689</v>
      </c>
      <c r="J381" s="57" t="s">
        <v>630</v>
      </c>
      <c r="K381" s="46" t="s">
        <v>624</v>
      </c>
      <c r="L381" s="46" t="s">
        <v>625</v>
      </c>
      <c r="M381" s="46" t="s">
        <v>626</v>
      </c>
    </row>
    <row r="382" spans="4:13" x14ac:dyDescent="0.25">
      <c r="D382" s="49" t="str" cm="1">
        <f t="array" ref="D382:D391">IFERROR(INDEX(Table_Input_Packaging[Packaging name], _xlfn.SEQUENCE(10)), "")</f>
        <v>250g punnet</v>
      </c>
      <c r="E382" s="49" t="str" cm="1">
        <f t="array" ref="E382:E391">IFERROR(INDEX(Table_Input_Packaging[Primary material], _xlfn.SEQUENCE(10)), "")</f>
        <v>Plastic sheet HDPE</v>
      </c>
      <c r="F382" s="49" cm="1">
        <f t="array" ref="F382:F391">IFERROR(INDEX(Table_Input_Packaging[Total weight purchased (kg)], _xlfn.SEQUENCE(10)), "")</f>
        <v>2000</v>
      </c>
      <c r="G382" s="49" cm="1">
        <f t="array" ref="G382">Common_InputFunctions.Utility_LookupValueInTableNumber(E382,Table_SourceData_Scope3_Packaging[Product],Table_SourceData_Scope3_Packaging[Emissions intensity])</f>
        <v>3.72</v>
      </c>
      <c r="H382" s="142" cm="1">
        <f t="array" ref="H382">Scope3_Equations.VEERG_15_8_1_1__1_EmissionsFromPurchasedPackaging(F382,G382)</f>
        <v>7.44</v>
      </c>
      <c r="I382" s="64">
        <v>3</v>
      </c>
      <c r="J382" s="142" cm="1">
        <f t="array" ref="J382">Scope3_Equations.VEERG_15_8_1_1__1_EmissionsFromPurchasedPackaging(F382,IF(I382,I382,G382))</f>
        <v>6</v>
      </c>
      <c r="K382" s="74"/>
      <c r="L382" s="47"/>
      <c r="M382" s="74"/>
    </row>
    <row r="383" spans="4:13" x14ac:dyDescent="0.25">
      <c r="D383" s="49">
        <v>0</v>
      </c>
      <c r="E383" s="49">
        <v>0</v>
      </c>
      <c r="F383" s="49">
        <v>0</v>
      </c>
      <c r="G383" s="49" cm="1">
        <f t="array" ref="G383">Common_InputFunctions.Utility_LookupValueInTableNumber(E383,Table_SourceData_Scope3_Packaging[Product],Table_SourceData_Scope3_Packaging[Emissions intensity])</f>
        <v>0</v>
      </c>
      <c r="H383" s="142" cm="1">
        <f t="array" ref="H383">Scope3_Equations.VEERG_15_8_1_1__1_EmissionsFromPurchasedPackaging(F383,G383)</f>
        <v>0</v>
      </c>
      <c r="I383" s="64"/>
      <c r="J383" s="142" cm="1">
        <f t="array" ref="J383">Scope3_Equations.VEERG_15_8_1_1__1_EmissionsFromPurchasedPackaging(F383,IF(I383,I383,G383))</f>
        <v>0</v>
      </c>
      <c r="K383" s="74"/>
      <c r="L383" s="47"/>
      <c r="M383" s="74"/>
    </row>
    <row r="384" spans="4:13" x14ac:dyDescent="0.25">
      <c r="D384" s="49">
        <v>0</v>
      </c>
      <c r="E384" s="49">
        <v>0</v>
      </c>
      <c r="F384" s="49">
        <v>0</v>
      </c>
      <c r="G384" s="49" cm="1">
        <f t="array" ref="G384">Common_InputFunctions.Utility_LookupValueInTableNumber(E384,Table_SourceData_Scope3_Packaging[Product],Table_SourceData_Scope3_Packaging[Emissions intensity])</f>
        <v>0</v>
      </c>
      <c r="H384" s="142" cm="1">
        <f t="array" ref="H384">Scope3_Equations.VEERG_15_8_1_1__1_EmissionsFromPurchasedPackaging(F384,G384)</f>
        <v>0</v>
      </c>
      <c r="I384" s="64"/>
      <c r="J384" s="142" cm="1">
        <f t="array" ref="J384">Scope3_Equations.VEERG_15_8_1_1__1_EmissionsFromPurchasedPackaging(F384,IF(I384,I384,G384))</f>
        <v>0</v>
      </c>
      <c r="K384" s="74"/>
      <c r="L384" s="47"/>
      <c r="M384" s="74"/>
    </row>
    <row r="385" spans="3:41" x14ac:dyDescent="0.25">
      <c r="D385" s="49">
        <v>0</v>
      </c>
      <c r="E385" s="49">
        <v>0</v>
      </c>
      <c r="F385" s="49">
        <v>0</v>
      </c>
      <c r="G385" s="49" cm="1">
        <f t="array" ref="G385">Common_InputFunctions.Utility_LookupValueInTableNumber(E385,Table_SourceData_Scope3_Packaging[Product],Table_SourceData_Scope3_Packaging[Emissions intensity])</f>
        <v>0</v>
      </c>
      <c r="H385" s="142" cm="1">
        <f t="array" ref="H385">Scope3_Equations.VEERG_15_8_1_1__1_EmissionsFromPurchasedPackaging(F385,G385)</f>
        <v>0</v>
      </c>
      <c r="I385" s="64"/>
      <c r="J385" s="142" cm="1">
        <f t="array" ref="J385">Scope3_Equations.VEERG_15_8_1_1__1_EmissionsFromPurchasedPackaging(F385,IF(I385,I385,G385))</f>
        <v>0</v>
      </c>
      <c r="K385" s="74"/>
      <c r="L385" s="47"/>
      <c r="M385" s="74"/>
    </row>
    <row r="386" spans="3:41" x14ac:dyDescent="0.25">
      <c r="D386" s="49">
        <v>0</v>
      </c>
      <c r="E386" s="49">
        <v>0</v>
      </c>
      <c r="F386" s="49">
        <v>0</v>
      </c>
      <c r="G386" s="49" cm="1">
        <f t="array" ref="G386">Common_InputFunctions.Utility_LookupValueInTableNumber(E386,Table_SourceData_Scope3_Packaging[Product],Table_SourceData_Scope3_Packaging[Emissions intensity])</f>
        <v>0</v>
      </c>
      <c r="H386" s="142" cm="1">
        <f t="array" ref="H386">Scope3_Equations.VEERG_15_8_1_1__1_EmissionsFromPurchasedPackaging(F386,G386)</f>
        <v>0</v>
      </c>
      <c r="I386" s="64"/>
      <c r="J386" s="142" cm="1">
        <f t="array" ref="J386">Scope3_Equations.VEERG_15_8_1_1__1_EmissionsFromPurchasedPackaging(F386,IF(I386,I386,G386))</f>
        <v>0</v>
      </c>
      <c r="K386" s="74"/>
      <c r="L386" s="47"/>
      <c r="M386" s="74"/>
    </row>
    <row r="387" spans="3:41" x14ac:dyDescent="0.25">
      <c r="D387" s="49">
        <v>0</v>
      </c>
      <c r="E387" s="49">
        <v>0</v>
      </c>
      <c r="F387" s="49">
        <v>0</v>
      </c>
      <c r="G387" s="49" cm="1">
        <f t="array" ref="G387">Common_InputFunctions.Utility_LookupValueInTableNumber(E387,Table_SourceData_Scope3_Packaging[Product],Table_SourceData_Scope3_Packaging[Emissions intensity])</f>
        <v>0</v>
      </c>
      <c r="H387" s="142" cm="1">
        <f t="array" ref="H387">Scope3_Equations.VEERG_15_8_1_1__1_EmissionsFromPurchasedPackaging(F387,G387)</f>
        <v>0</v>
      </c>
      <c r="I387" s="64"/>
      <c r="J387" s="142" cm="1">
        <f t="array" ref="J387">Scope3_Equations.VEERG_15_8_1_1__1_EmissionsFromPurchasedPackaging(F387,IF(I387,I387,G387))</f>
        <v>0</v>
      </c>
      <c r="K387" s="74"/>
      <c r="L387" s="47"/>
      <c r="M387" s="74"/>
    </row>
    <row r="388" spans="3:41" x14ac:dyDescent="0.25">
      <c r="D388" s="49">
        <v>0</v>
      </c>
      <c r="E388" s="49">
        <v>0</v>
      </c>
      <c r="F388" s="49">
        <v>0</v>
      </c>
      <c r="G388" s="49" cm="1">
        <f t="array" ref="G388">Common_InputFunctions.Utility_LookupValueInTableNumber(E388,Table_SourceData_Scope3_Packaging[Product],Table_SourceData_Scope3_Packaging[Emissions intensity])</f>
        <v>0</v>
      </c>
      <c r="H388" s="142" cm="1">
        <f t="array" ref="H388">Scope3_Equations.VEERG_15_8_1_1__1_EmissionsFromPurchasedPackaging(F388,G388)</f>
        <v>0</v>
      </c>
      <c r="I388" s="64"/>
      <c r="J388" s="142" cm="1">
        <f t="array" ref="J388">Scope3_Equations.VEERG_15_8_1_1__1_EmissionsFromPurchasedPackaging(F388,IF(I388,I388,G388))</f>
        <v>0</v>
      </c>
      <c r="K388" s="74"/>
      <c r="L388" s="47"/>
      <c r="M388" s="74"/>
    </row>
    <row r="389" spans="3:41" x14ac:dyDescent="0.25">
      <c r="D389" s="49">
        <v>0</v>
      </c>
      <c r="E389" s="49">
        <v>0</v>
      </c>
      <c r="F389" s="49">
        <v>0</v>
      </c>
      <c r="G389" s="49" cm="1">
        <f t="array" ref="G389">Common_InputFunctions.Utility_LookupValueInTableNumber(E389,Table_SourceData_Scope3_Packaging[Product],Table_SourceData_Scope3_Packaging[Emissions intensity])</f>
        <v>0</v>
      </c>
      <c r="H389" s="142" cm="1">
        <f t="array" ref="H389">Scope3_Equations.VEERG_15_8_1_1__1_EmissionsFromPurchasedPackaging(F389,G389)</f>
        <v>0</v>
      </c>
      <c r="I389" s="64"/>
      <c r="J389" s="142" cm="1">
        <f t="array" ref="J389">Scope3_Equations.VEERG_15_8_1_1__1_EmissionsFromPurchasedPackaging(F389,IF(I389,I389,G389))</f>
        <v>0</v>
      </c>
      <c r="K389" s="74"/>
      <c r="L389" s="47"/>
      <c r="M389" s="74"/>
    </row>
    <row r="390" spans="3:41" x14ac:dyDescent="0.25">
      <c r="D390" s="49">
        <v>0</v>
      </c>
      <c r="E390" s="49">
        <v>0</v>
      </c>
      <c r="F390" s="49">
        <v>0</v>
      </c>
      <c r="G390" s="49" cm="1">
        <f t="array" ref="G390">Common_InputFunctions.Utility_LookupValueInTableNumber(E390,Table_SourceData_Scope3_Packaging[Product],Table_SourceData_Scope3_Packaging[Emissions intensity])</f>
        <v>0</v>
      </c>
      <c r="H390" s="142" cm="1">
        <f t="array" ref="H390">Scope3_Equations.VEERG_15_8_1_1__1_EmissionsFromPurchasedPackaging(F390,G390)</f>
        <v>0</v>
      </c>
      <c r="I390" s="64"/>
      <c r="J390" s="142" cm="1">
        <f t="array" ref="J390">Scope3_Equations.VEERG_15_8_1_1__1_EmissionsFromPurchasedPackaging(F390,IF(I390,I390,G390))</f>
        <v>0</v>
      </c>
      <c r="K390" s="74"/>
      <c r="L390" s="47"/>
      <c r="M390" s="74"/>
    </row>
    <row r="391" spans="3:41" x14ac:dyDescent="0.25">
      <c r="D391" s="49">
        <v>0</v>
      </c>
      <c r="E391" s="49">
        <v>0</v>
      </c>
      <c r="F391" s="49">
        <v>0</v>
      </c>
      <c r="G391" s="49" cm="1">
        <f t="array" ref="G391">Common_InputFunctions.Utility_LookupValueInTableNumber(E391,Table_SourceData_Scope3_Packaging[Product],Table_SourceData_Scope3_Packaging[Emissions intensity])</f>
        <v>0</v>
      </c>
      <c r="H391" s="142" cm="1">
        <f t="array" ref="H391">Scope3_Equations.VEERG_15_8_1_1__1_EmissionsFromPurchasedPackaging(F391,G391)</f>
        <v>0</v>
      </c>
      <c r="I391" s="64"/>
      <c r="J391" s="142" cm="1">
        <f t="array" ref="J391">Scope3_Equations.VEERG_15_8_1_1__1_EmissionsFromPurchasedPackaging(F391,IF(I391,I391,G391))</f>
        <v>0</v>
      </c>
      <c r="K391" s="74"/>
      <c r="L391" s="47"/>
      <c r="M391" s="74"/>
    </row>
    <row r="393" spans="3:41" ht="20.25" x14ac:dyDescent="0.25">
      <c r="D393" s="170" t="s">
        <v>628</v>
      </c>
      <c r="E393" s="168">
        <f>SUM(H382:H391)</f>
        <v>7.44</v>
      </c>
      <c r="F393" s="169" t="str">
        <f>$E$170</f>
        <v>t CO2e</v>
      </c>
    </row>
    <row r="394" spans="3:41" ht="20.25" x14ac:dyDescent="0.25">
      <c r="D394" s="170" t="s">
        <v>630</v>
      </c>
      <c r="E394" s="168">
        <f>SUM(J382:J391)</f>
        <v>6</v>
      </c>
      <c r="F394" s="169" t="str">
        <f>$E$170</f>
        <v>t CO2e</v>
      </c>
    </row>
    <row r="397" spans="3:41" x14ac:dyDescent="0.25">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c r="AC397" s="89"/>
      <c r="AD397" s="89"/>
      <c r="AE397" s="89"/>
      <c r="AF397" s="89"/>
      <c r="AG397" s="89"/>
      <c r="AH397" s="89"/>
      <c r="AI397" s="89"/>
      <c r="AJ397" s="89"/>
      <c r="AK397" s="89"/>
      <c r="AL397" s="89"/>
      <c r="AM397" s="89"/>
      <c r="AN397" s="89"/>
      <c r="AO397" s="89"/>
    </row>
    <row r="398" spans="3:41" ht="23.25" x14ac:dyDescent="0.25">
      <c r="D398" s="9" t="str" cm="1">
        <f t="array" ref="D398">Scope3_Equations.VEERG_15_9_1_1__1_EmissionsFromPurchasedGrowMedia_Title()</f>
        <v>Embedded emissions from use of grow media products</v>
      </c>
    </row>
    <row r="399" spans="3:41" x14ac:dyDescent="0.25">
      <c r="D399" s="11" t="str" cm="1">
        <f t="array" ref="D399">Scope3_Equations.VEERG_15_9_1_1__1_EmissionsFromPurchasedGrowMedia_Source()</f>
        <v>VEERG 2026: 15.9.1.1, Equation (1)</v>
      </c>
    </row>
    <row r="400" spans="3:41" x14ac:dyDescent="0.25">
      <c r="D400" s="163" t="s">
        <v>621</v>
      </c>
      <c r="E400" s="163" t="str" cm="1">
        <f t="array" aca="1" ref="E400" ca="1">Common_InputFunctions.Utility_DisplayFunctionName(J414)</f>
        <v>=Scope3_Equations.VEERG_15_9_1_1__1_EmissionsFromPurchasedGrowMedia</v>
      </c>
    </row>
    <row r="403" spans="4:14" x14ac:dyDescent="0.25">
      <c r="G403" s="163"/>
    </row>
    <row r="404" spans="4:14" x14ac:dyDescent="0.25">
      <c r="D404" s="27" t="s">
        <v>622</v>
      </c>
      <c r="E404" s="8" t="str" cm="1">
        <f t="array" ref="E404">Scope3_Equations.VEERG_15_9_1_1__1_EmissionsFromPurchasedGrowMedia_Variable()</f>
        <v>E</v>
      </c>
    </row>
    <row r="405" spans="4:14" x14ac:dyDescent="0.25">
      <c r="D405" s="27" t="s">
        <v>97</v>
      </c>
      <c r="E405" s="8" t="str" cm="1">
        <f t="array" ref="E405">Scope3_Equations.VEERG_15_9_1_1__1_EmissionsFromPurchasedGrowMedia_Unit()</f>
        <v>t CO2e</v>
      </c>
    </row>
    <row r="407" spans="4:14" x14ac:dyDescent="0.25">
      <c r="D407" s="158" t="str" cm="1">
        <f t="array" ref="D407:E409">_xlfn.CHOOSECOLS(Scope3_Equations.VEERG_15_9_1_1__1_EmissionsFromPurchasedGrowMedia_Arguments(),1,2)</f>
        <v>Q_g</v>
      </c>
      <c r="E407" s="158" t="str">
        <v>total quantity of grow media type g</v>
      </c>
      <c r="F407" s="158" t="str" cm="1">
        <f t="array" ref="F407:G409">_xlfn.CHOOSECOLS(Scope3_Equations.VEERG_15_9_1_1__1_EmissionsFromPurchasedGrowMedia_Arguments(),3,4)</f>
        <v>kg or m3</v>
      </c>
      <c r="G407" s="159" t="str">
        <v>Input</v>
      </c>
    </row>
    <row r="408" spans="4:14" x14ac:dyDescent="0.25">
      <c r="D408" s="158" t="str">
        <v>EF_g</v>
      </c>
      <c r="E408" s="158" t="str">
        <v>emission factor for grow media type g</v>
      </c>
      <c r="F408" s="158" t="str">
        <v>kg CO2e/kg or kg CO2e/m3</v>
      </c>
      <c r="G408" s="160" t="str">
        <v>Constant</v>
      </c>
    </row>
    <row r="409" spans="4:14" x14ac:dyDescent="0.25">
      <c r="D409" s="158" t="str">
        <v>g</v>
      </c>
      <c r="E409" s="158" t="str">
        <v>grow media type</v>
      </c>
      <c r="F409" s="158" t="str">
        <v/>
      </c>
      <c r="G409" s="159" t="str">
        <v>Input</v>
      </c>
    </row>
    <row r="411" spans="4:14" x14ac:dyDescent="0.25">
      <c r="D411" s="12" t="s">
        <v>686</v>
      </c>
    </row>
    <row r="413" spans="4:14" x14ac:dyDescent="0.25">
      <c r="D413" s="46" t="s">
        <v>691</v>
      </c>
      <c r="E413" s="46" t="s">
        <v>606</v>
      </c>
      <c r="F413" s="46" t="s">
        <v>126</v>
      </c>
      <c r="G413" s="57" t="s">
        <v>411</v>
      </c>
      <c r="H413" s="57" t="s">
        <v>349</v>
      </c>
      <c r="I413" s="46" t="s">
        <v>412</v>
      </c>
      <c r="J413" s="57" t="s">
        <v>350</v>
      </c>
      <c r="K413" s="57" t="s">
        <v>607</v>
      </c>
      <c r="L413" s="46" t="s">
        <v>624</v>
      </c>
      <c r="M413" s="46" t="s">
        <v>625</v>
      </c>
      <c r="N413" s="46" t="s">
        <v>626</v>
      </c>
    </row>
    <row r="414" spans="4:14" x14ac:dyDescent="0.25">
      <c r="D414" s="49" t="str" cm="1">
        <f t="array" ref="D414:D423">IFERROR(INDEX(Table_Input_GrowMedia[Grow media type], _xlfn.SEQUENCE(10)), "")</f>
        <v>Coir</v>
      </c>
      <c r="E414" s="49" cm="1">
        <f t="array" ref="E414:E423">IFERROR(INDEX(Table_Input_GrowMedia[Total amount], _xlfn.SEQUENCE(10)), "")</f>
        <v>10000</v>
      </c>
      <c r="F414" s="49" t="str" cm="1">
        <f t="array" ref="F414:F423">IFERROR(INDEX(Table_Input_GrowMedia[Amount unit], _xlfn.SEQUENCE(10)), "")</f>
        <v>kg</v>
      </c>
      <c r="G414" s="49" t="s">
        <v>817</v>
      </c>
      <c r="H414" s="49" t="s">
        <v>817</v>
      </c>
      <c r="I414" s="64">
        <v>4</v>
      </c>
      <c r="J414" s="142" cm="1">
        <f t="array" ref="J414">Scope3_Equations.VEERG_15_9_1_1__1_EmissionsFromPurchasedGrowMedia(E414,I414)</f>
        <v>40</v>
      </c>
      <c r="K414" s="49" t="str">
        <f>"t CO2e / " &amp; F414</f>
        <v>t CO2e / kg</v>
      </c>
      <c r="L414" s="74"/>
      <c r="M414" s="47"/>
      <c r="N414" s="74"/>
    </row>
    <row r="415" spans="4:14" x14ac:dyDescent="0.25">
      <c r="D415" s="49" t="str">
        <v>Peat moss</v>
      </c>
      <c r="E415" s="49">
        <v>100</v>
      </c>
      <c r="F415" s="49" t="str">
        <v>m3</v>
      </c>
      <c r="G415" s="49" t="s">
        <v>817</v>
      </c>
      <c r="H415" s="49" t="s">
        <v>817</v>
      </c>
      <c r="I415" s="64">
        <v>2</v>
      </c>
      <c r="J415" s="142" cm="1">
        <f t="array" ref="J415">Scope3_Equations.VEERG_15_9_1_1__1_EmissionsFromPurchasedGrowMedia(E415,I415)</f>
        <v>0.2</v>
      </c>
      <c r="K415" s="49" t="str">
        <f t="shared" ref="K415:K423" si="2">"t CO2e / " &amp; F415</f>
        <v>t CO2e / m3</v>
      </c>
      <c r="L415" s="74"/>
      <c r="M415" s="47"/>
      <c r="N415" s="74"/>
    </row>
    <row r="416" spans="4:14" x14ac:dyDescent="0.25">
      <c r="D416" s="49" t="str">
        <v>tiny gravel</v>
      </c>
      <c r="E416" s="49">
        <v>10000</v>
      </c>
      <c r="F416" s="49" t="str">
        <v>kg</v>
      </c>
      <c r="G416" s="49" t="s">
        <v>817</v>
      </c>
      <c r="H416" s="49" t="s">
        <v>817</v>
      </c>
      <c r="I416" s="64"/>
      <c r="J416" s="142" cm="1">
        <f t="array" ref="J416">Scope3_Equations.VEERG_15_9_1_1__1_EmissionsFromPurchasedGrowMedia(E416,I416)</f>
        <v>0</v>
      </c>
      <c r="K416" s="49" t="str">
        <f t="shared" si="2"/>
        <v>t CO2e / kg</v>
      </c>
      <c r="L416" s="74"/>
      <c r="M416" s="47"/>
      <c r="N416" s="74"/>
    </row>
    <row r="417" spans="3:41" x14ac:dyDescent="0.25">
      <c r="D417" s="49">
        <v>0</v>
      </c>
      <c r="E417" s="49">
        <v>0</v>
      </c>
      <c r="F417" s="49">
        <v>0</v>
      </c>
      <c r="G417" s="49" t="s">
        <v>817</v>
      </c>
      <c r="H417" s="49" t="s">
        <v>817</v>
      </c>
      <c r="I417" s="64"/>
      <c r="J417" s="142" cm="1">
        <f t="array" ref="J417">Scope3_Equations.VEERG_15_9_1_1__1_EmissionsFromPurchasedGrowMedia(E417,I417)</f>
        <v>0</v>
      </c>
      <c r="K417" s="49" t="str">
        <f t="shared" si="2"/>
        <v>t CO2e / 0</v>
      </c>
      <c r="L417" s="74"/>
      <c r="M417" s="47"/>
      <c r="N417" s="74"/>
    </row>
    <row r="418" spans="3:41" x14ac:dyDescent="0.25">
      <c r="D418" s="49">
        <v>0</v>
      </c>
      <c r="E418" s="49">
        <v>0</v>
      </c>
      <c r="F418" s="49">
        <v>0</v>
      </c>
      <c r="G418" s="49" t="s">
        <v>817</v>
      </c>
      <c r="H418" s="49" t="s">
        <v>817</v>
      </c>
      <c r="I418" s="64"/>
      <c r="J418" s="142" cm="1">
        <f t="array" ref="J418">Scope3_Equations.VEERG_15_9_1_1__1_EmissionsFromPurchasedGrowMedia(E418,I418)</f>
        <v>0</v>
      </c>
      <c r="K418" s="49" t="str">
        <f t="shared" si="2"/>
        <v>t CO2e / 0</v>
      </c>
      <c r="L418" s="74"/>
      <c r="M418" s="47"/>
      <c r="N418" s="74"/>
    </row>
    <row r="419" spans="3:41" x14ac:dyDescent="0.25">
      <c r="D419" s="49">
        <v>0</v>
      </c>
      <c r="E419" s="49">
        <v>0</v>
      </c>
      <c r="F419" s="49">
        <v>0</v>
      </c>
      <c r="G419" s="49" t="s">
        <v>817</v>
      </c>
      <c r="H419" s="49" t="s">
        <v>817</v>
      </c>
      <c r="I419" s="64"/>
      <c r="J419" s="142" cm="1">
        <f t="array" ref="J419">Scope3_Equations.VEERG_15_9_1_1__1_EmissionsFromPurchasedGrowMedia(E419,I419)</f>
        <v>0</v>
      </c>
      <c r="K419" s="49" t="str">
        <f t="shared" si="2"/>
        <v>t CO2e / 0</v>
      </c>
      <c r="L419" s="74"/>
      <c r="M419" s="47"/>
      <c r="N419" s="74"/>
    </row>
    <row r="420" spans="3:41" x14ac:dyDescent="0.25">
      <c r="D420" s="49">
        <v>0</v>
      </c>
      <c r="E420" s="49">
        <v>0</v>
      </c>
      <c r="F420" s="49">
        <v>0</v>
      </c>
      <c r="G420" s="49" t="s">
        <v>817</v>
      </c>
      <c r="H420" s="49" t="s">
        <v>817</v>
      </c>
      <c r="I420" s="64"/>
      <c r="J420" s="142" cm="1">
        <f t="array" ref="J420">Scope3_Equations.VEERG_15_9_1_1__1_EmissionsFromPurchasedGrowMedia(E420,I420)</f>
        <v>0</v>
      </c>
      <c r="K420" s="49" t="str">
        <f t="shared" si="2"/>
        <v>t CO2e / 0</v>
      </c>
      <c r="L420" s="74"/>
      <c r="M420" s="47"/>
      <c r="N420" s="74"/>
    </row>
    <row r="421" spans="3:41" x14ac:dyDescent="0.25">
      <c r="D421" s="49">
        <v>0</v>
      </c>
      <c r="E421" s="49">
        <v>0</v>
      </c>
      <c r="F421" s="49">
        <v>0</v>
      </c>
      <c r="G421" s="49" t="s">
        <v>817</v>
      </c>
      <c r="H421" s="49" t="s">
        <v>817</v>
      </c>
      <c r="I421" s="64"/>
      <c r="J421" s="142" cm="1">
        <f t="array" ref="J421">Scope3_Equations.VEERG_15_9_1_1__1_EmissionsFromPurchasedGrowMedia(E421,I421)</f>
        <v>0</v>
      </c>
      <c r="K421" s="49" t="str">
        <f t="shared" si="2"/>
        <v>t CO2e / 0</v>
      </c>
      <c r="L421" s="74"/>
      <c r="M421" s="47"/>
      <c r="N421" s="74"/>
    </row>
    <row r="422" spans="3:41" x14ac:dyDescent="0.25">
      <c r="D422" s="49">
        <v>0</v>
      </c>
      <c r="E422" s="49">
        <v>0</v>
      </c>
      <c r="F422" s="49">
        <v>0</v>
      </c>
      <c r="G422" s="49" t="s">
        <v>817</v>
      </c>
      <c r="H422" s="49" t="s">
        <v>817</v>
      </c>
      <c r="I422" s="64"/>
      <c r="J422" s="142" cm="1">
        <f t="array" ref="J422">Scope3_Equations.VEERG_15_9_1_1__1_EmissionsFromPurchasedGrowMedia(E422,I422)</f>
        <v>0</v>
      </c>
      <c r="K422" s="49" t="str">
        <f t="shared" si="2"/>
        <v>t CO2e / 0</v>
      </c>
      <c r="L422" s="74"/>
      <c r="M422" s="47"/>
      <c r="N422" s="74"/>
    </row>
    <row r="423" spans="3:41" x14ac:dyDescent="0.25">
      <c r="D423" s="49">
        <v>0</v>
      </c>
      <c r="E423" s="49">
        <v>0</v>
      </c>
      <c r="F423" s="49">
        <v>0</v>
      </c>
      <c r="G423" s="49" t="s">
        <v>817</v>
      </c>
      <c r="H423" s="49" t="s">
        <v>817</v>
      </c>
      <c r="I423" s="64"/>
      <c r="J423" s="142" cm="1">
        <f t="array" ref="J423">Scope3_Equations.VEERG_15_9_1_1__1_EmissionsFromPurchasedGrowMedia(E423,I423)</f>
        <v>0</v>
      </c>
      <c r="K423" s="49" t="str">
        <f t="shared" si="2"/>
        <v>t CO2e / 0</v>
      </c>
      <c r="L423" s="74"/>
      <c r="M423" s="47"/>
      <c r="N423" s="74"/>
    </row>
    <row r="425" spans="3:41" ht="20.25" x14ac:dyDescent="0.25">
      <c r="D425" s="170" t="s">
        <v>628</v>
      </c>
      <c r="E425" s="168" t="s">
        <v>817</v>
      </c>
      <c r="F425" s="169" t="str">
        <f>$E$170</f>
        <v>t CO2e</v>
      </c>
    </row>
    <row r="426" spans="3:41" ht="20.25" x14ac:dyDescent="0.25">
      <c r="D426" s="170" t="s">
        <v>630</v>
      </c>
      <c r="E426" s="168">
        <f>SUM(J414:J423)</f>
        <v>40.200000000000003</v>
      </c>
      <c r="F426" s="169" t="str">
        <f>$E$170</f>
        <v>t CO2e</v>
      </c>
    </row>
    <row r="429" spans="3:41" x14ac:dyDescent="0.25">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c r="AC429" s="89"/>
      <c r="AD429" s="89"/>
      <c r="AE429" s="89"/>
      <c r="AF429" s="89"/>
      <c r="AG429" s="89"/>
      <c r="AH429" s="89"/>
      <c r="AI429" s="89"/>
      <c r="AJ429" s="89"/>
      <c r="AK429" s="89"/>
      <c r="AL429" s="89"/>
      <c r="AM429" s="89"/>
      <c r="AN429" s="89"/>
      <c r="AO429" s="89"/>
    </row>
    <row r="430" spans="3:41" ht="23.25" x14ac:dyDescent="0.25">
      <c r="D430" s="9" t="str" cm="1">
        <f t="array" ref="D430">Scope3_Equations.VEERG_15_10_1_1__1_OtherPurchasedGoodsAndServices_Title()</f>
        <v>Other purchased goods and services generic estimate</v>
      </c>
    </row>
    <row r="431" spans="3:41" x14ac:dyDescent="0.25">
      <c r="D431" s="11" t="str" cm="1">
        <f t="array" ref="D431">Scope3_Equations.VEERG_15_10_1_1__1_OtherPurchasedGoodsAndServices_Source()</f>
        <v>VEERG 2026: 15.10, generic placeholder equation</v>
      </c>
    </row>
    <row r="432" spans="3:41" x14ac:dyDescent="0.25">
      <c r="D432" s="12" t="s">
        <v>699</v>
      </c>
    </row>
    <row r="433" spans="4:13" x14ac:dyDescent="0.25">
      <c r="D433" s="163" t="s">
        <v>621</v>
      </c>
      <c r="E433" s="163" t="str" cm="1">
        <f t="array" aca="1" ref="E433" ca="1">Common_InputFunctions.Utility_DisplayFunctionName(H445)</f>
        <v>=Scope3_Equations.VEERG_15_10_1_1__1_OtherPurchasedGoodsAndServices</v>
      </c>
    </row>
    <row r="436" spans="4:13" x14ac:dyDescent="0.25">
      <c r="D436" s="27" t="s">
        <v>622</v>
      </c>
      <c r="E436" s="8" t="str" cm="1">
        <f t="array" ref="E436">Scope3_Equations.VEERG_15_10_1_1__1_OtherPurchasedGoodsAndServices_Variable()</f>
        <v>emissions</v>
      </c>
    </row>
    <row r="437" spans="4:13" x14ac:dyDescent="0.25">
      <c r="D437" s="27" t="s">
        <v>97</v>
      </c>
      <c r="E437" s="13" t="str" cm="1">
        <f t="array" ref="E437">Scope3_Equations.VEERG_15_10_1_1__1_OtherPurchasedGoodsAndServices_Unit()</f>
        <v>t CO2e</v>
      </c>
    </row>
    <row r="439" spans="4:13" x14ac:dyDescent="0.25">
      <c r="D439" s="158" t="str" cm="1">
        <f t="array" ref="D439:E440">_xlfn.CHOOSECOLS(Scope3_Equations.VEERG_15_10_1_1__1_OtherPurchasedGoodsAndServices_Arguments(),1,2)</f>
        <v>activity_data</v>
      </c>
      <c r="E439" s="162" t="str">
        <v>measured activity for the purchased good or service</v>
      </c>
      <c r="F439" s="157"/>
      <c r="G439" s="158" t="str" cm="1">
        <f t="array" ref="G439:H440">_xlfn.CHOOSECOLS(Scope3_Equations.VEERG_15_10_1_1__1_OtherPurchasedGoodsAndServices_Arguments(),3,4)</f>
        <v>varies</v>
      </c>
      <c r="H439" s="159" t="str">
        <v>Input</v>
      </c>
    </row>
    <row r="440" spans="4:13" x14ac:dyDescent="0.25">
      <c r="D440" s="158" t="str">
        <v>emission_factor</v>
      </c>
      <c r="E440" s="162" t="str">
        <v>lifecycle emissions per unit of activity</v>
      </c>
      <c r="F440" s="157"/>
      <c r="G440" s="158" t="str">
        <v>varies</v>
      </c>
      <c r="H440" s="160" t="str">
        <v>Constant</v>
      </c>
    </row>
    <row r="442" spans="4:13" ht="18.75" x14ac:dyDescent="0.25">
      <c r="D442" s="135" t="s">
        <v>371</v>
      </c>
    </row>
    <row r="444" spans="4:13" x14ac:dyDescent="0.25">
      <c r="D444" s="46" t="s">
        <v>357</v>
      </c>
      <c r="E444" s="143" t="s">
        <v>281</v>
      </c>
      <c r="F444" s="143" t="s">
        <v>373</v>
      </c>
      <c r="G444" s="57" t="s">
        <v>351</v>
      </c>
      <c r="H444" s="57" t="s">
        <v>628</v>
      </c>
      <c r="I444" s="46" t="s">
        <v>354</v>
      </c>
      <c r="J444" s="57" t="s">
        <v>630</v>
      </c>
      <c r="K444" s="46" t="s">
        <v>624</v>
      </c>
      <c r="L444" s="46" t="s">
        <v>625</v>
      </c>
      <c r="M444" s="46" t="s">
        <v>626</v>
      </c>
    </row>
    <row r="445" spans="4:13" x14ac:dyDescent="0.25">
      <c r="D445" s="49" t="str" cm="1">
        <f t="array" ref="D445:D454">IFERROR(INDEX(Table_Input_ChemicalsCleaning[Product name], _xlfn.SEQUENCE(10)), "")</f>
        <v>Acid kleen</v>
      </c>
      <c r="E445" s="49" t="str" cm="1">
        <f t="array" ref="E445:E454">IFERROR(INDEX(Table_Input_ChemicalsCleaning[Type (select)], _xlfn.SEQUENCE(10)), "")</f>
        <v>Phosphoric acid</v>
      </c>
      <c r="F445" s="49" cm="1">
        <f t="array" ref="F445:F454">IFERROR(INDEX(Table_Input_ChemicalsCleaning[Quantity purchased (kg)], _xlfn.SEQUENCE(10)), "")</f>
        <v>100</v>
      </c>
      <c r="G445" s="49" cm="1">
        <f t="array" ref="G445">Common_InputFunctions.Utility_LookupValueInTableNumber(E445,Table_SourceData_Scope3_ChemicalsCleaning[Product],Table_SourceData_Scope3_ChemicalsCleaning[Emissions intensity])</f>
        <v>0.90700000000000003</v>
      </c>
      <c r="H445" s="142" cm="1">
        <f t="array" ref="H445">Scope3_Equations.VEERG_15_10_1_1__1_OtherPurchasedGoodsAndServices(F445,G445*10^-3)</f>
        <v>9.0700000000000003E-2</v>
      </c>
      <c r="I445" s="64">
        <v>1.3</v>
      </c>
      <c r="J445" s="142" cm="1">
        <f t="array" ref="J445">Scope3_Equations.VEERG_15_10_1_1__1_OtherPurchasedGoodsAndServices(F445,IF(I445,I445,G445)*10^-3)</f>
        <v>0.13</v>
      </c>
      <c r="K445" s="74"/>
      <c r="L445" s="47"/>
      <c r="M445" s="74"/>
    </row>
    <row r="446" spans="4:13" x14ac:dyDescent="0.25">
      <c r="D446" s="49" t="str">
        <v>Kleen alk</v>
      </c>
      <c r="E446" s="49" t="str">
        <v>Alkaline cleaner</v>
      </c>
      <c r="F446" s="49">
        <v>100</v>
      </c>
      <c r="G446" s="49" cm="1">
        <f t="array" ref="G446">Common_InputFunctions.Utility_LookupValueInTableNumber(E446,Table_SourceData_Scope3_ChemicalsCleaning[Product],Table_SourceData_Scope3_ChemicalsCleaning[Emissions intensity])</f>
        <v>0.72199999999999998</v>
      </c>
      <c r="H446" s="142" cm="1">
        <f t="array" ref="H446">Scope3_Equations.VEERG_15_10_1_1__1_OtherPurchasedGoodsAndServices(F446,G446*10^-3)</f>
        <v>7.22E-2</v>
      </c>
      <c r="I446" s="64">
        <v>8</v>
      </c>
      <c r="J446" s="142" cm="1">
        <f t="array" ref="J446">Scope3_Equations.VEERG_15_10_1_1__1_OtherPurchasedGoodsAndServices(F446,IF(I446,I446,G446)*10^-3)</f>
        <v>0.8</v>
      </c>
      <c r="K446" s="74"/>
      <c r="L446" s="47"/>
      <c r="M446" s="74"/>
    </row>
    <row r="447" spans="4:13" x14ac:dyDescent="0.25">
      <c r="D447" s="49" t="str">
        <v>White king</v>
      </c>
      <c r="E447" s="49" t="str">
        <v>Bleach</v>
      </c>
      <c r="F447" s="49">
        <v>100</v>
      </c>
      <c r="G447" s="49" cm="1">
        <f t="array" ref="G447">Common_InputFunctions.Utility_LookupValueInTableNumber(E447,Table_SourceData_Scope3_ChemicalsCleaning[Product],Table_SourceData_Scope3_ChemicalsCleaning[Emissions intensity])</f>
        <v>0.80400000000000005</v>
      </c>
      <c r="H447" s="142" cm="1">
        <f t="array" ref="H447">Scope3_Equations.VEERG_15_10_1_1__1_OtherPurchasedGoodsAndServices(F447,G447*10^-3)</f>
        <v>8.0399999999999999E-2</v>
      </c>
      <c r="I447" s="64">
        <v>4</v>
      </c>
      <c r="J447" s="142" cm="1">
        <f t="array" ref="J447">Scope3_Equations.VEERG_15_10_1_1__1_OtherPurchasedGoodsAndServices(F447,IF(I447,I447,G447)*10^-3)</f>
        <v>0.4</v>
      </c>
      <c r="K447" s="74"/>
      <c r="L447" s="47"/>
      <c r="M447" s="74"/>
    </row>
    <row r="448" spans="4:13" x14ac:dyDescent="0.25">
      <c r="D448" s="49" t="str">
        <v>White king</v>
      </c>
      <c r="E448" s="49" t="str">
        <v>Bleach</v>
      </c>
      <c r="F448" s="49">
        <v>100</v>
      </c>
      <c r="G448" s="49" cm="1">
        <f t="array" ref="G448">Common_InputFunctions.Utility_LookupValueInTableNumber(E448,Table_SourceData_Scope3_ChemicalsCleaning[Product],Table_SourceData_Scope3_ChemicalsCleaning[Emissions intensity])</f>
        <v>0.80400000000000005</v>
      </c>
      <c r="H448" s="142" cm="1">
        <f t="array" ref="H448">Scope3_Equations.VEERG_15_10_1_1__1_OtherPurchasedGoodsAndServices(F448,G448*10^-3)</f>
        <v>8.0399999999999999E-2</v>
      </c>
      <c r="I448" s="64">
        <v>3</v>
      </c>
      <c r="J448" s="142" cm="1">
        <f t="array" ref="J448">Scope3_Equations.VEERG_15_10_1_1__1_OtherPurchasedGoodsAndServices(F448,IF(I448,I448,G448)*10^-3)</f>
        <v>0.3</v>
      </c>
      <c r="K448" s="74"/>
      <c r="L448" s="47"/>
      <c r="M448" s="74"/>
    </row>
    <row r="449" spans="4:13" x14ac:dyDescent="0.25">
      <c r="D449" s="49" t="str">
        <v>Acid kleen</v>
      </c>
      <c r="E449" s="49" t="str">
        <v>Phosphoric acid</v>
      </c>
      <c r="F449" s="49">
        <v>100</v>
      </c>
      <c r="G449" s="49" cm="1">
        <f t="array" ref="G449">Common_InputFunctions.Utility_LookupValueInTableNumber(E449,Table_SourceData_Scope3_ChemicalsCleaning[Product],Table_SourceData_Scope3_ChemicalsCleaning[Emissions intensity])</f>
        <v>0.90700000000000003</v>
      </c>
      <c r="H449" s="142" cm="1">
        <f t="array" ref="H449">Scope3_Equations.VEERG_15_10_1_1__1_OtherPurchasedGoodsAndServices(F449,G449*10^-3)</f>
        <v>9.0700000000000003E-2</v>
      </c>
      <c r="I449" s="64">
        <v>6</v>
      </c>
      <c r="J449" s="142" cm="1">
        <f t="array" ref="J449">Scope3_Equations.VEERG_15_10_1_1__1_OtherPurchasedGoodsAndServices(F449,IF(I449,I449,G449)*10^-3)</f>
        <v>0.6</v>
      </c>
      <c r="K449" s="74"/>
      <c r="L449" s="47"/>
      <c r="M449" s="74"/>
    </row>
    <row r="450" spans="4:13" x14ac:dyDescent="0.25">
      <c r="D450" s="49" t="str">
        <v>Acid kleen</v>
      </c>
      <c r="E450" s="49" t="str">
        <v>Phosphoric acid</v>
      </c>
      <c r="F450" s="49">
        <v>100</v>
      </c>
      <c r="G450" s="49" cm="1">
        <f t="array" ref="G450">Common_InputFunctions.Utility_LookupValueInTableNumber(E450,Table_SourceData_Scope3_ChemicalsCleaning[Product],Table_SourceData_Scope3_ChemicalsCleaning[Emissions intensity])</f>
        <v>0.90700000000000003</v>
      </c>
      <c r="H450" s="142" cm="1">
        <f t="array" ref="H450">Scope3_Equations.VEERG_15_10_1_1__1_OtherPurchasedGoodsAndServices(F450,G450*10^-3)</f>
        <v>9.0700000000000003E-2</v>
      </c>
      <c r="I450" s="64">
        <v>5</v>
      </c>
      <c r="J450" s="142" cm="1">
        <f t="array" ref="J450">Scope3_Equations.VEERG_15_10_1_1__1_OtherPurchasedGoodsAndServices(F450,IF(I450,I450,G450)*10^-3)</f>
        <v>0.5</v>
      </c>
      <c r="K450" s="74"/>
      <c r="L450" s="47"/>
      <c r="M450" s="74"/>
    </row>
    <row r="451" spans="4:13" x14ac:dyDescent="0.25">
      <c r="D451" s="49">
        <v>0</v>
      </c>
      <c r="E451" s="49">
        <v>0</v>
      </c>
      <c r="F451" s="49">
        <v>0</v>
      </c>
      <c r="G451" s="49" cm="1">
        <f t="array" ref="G451">Common_InputFunctions.Utility_LookupValueInTableNumber(E451,Table_SourceData_Scope3_ChemicalsCleaning[Product],Table_SourceData_Scope3_ChemicalsCleaning[Emissions intensity])</f>
        <v>0</v>
      </c>
      <c r="H451" s="142" cm="1">
        <f t="array" ref="H451">Scope3_Equations.VEERG_15_10_1_1__1_OtherPurchasedGoodsAndServices(F451,G451*10^-3)</f>
        <v>0</v>
      </c>
      <c r="I451" s="64"/>
      <c r="J451" s="142" cm="1">
        <f t="array" ref="J451">Scope3_Equations.VEERG_15_10_1_1__1_OtherPurchasedGoodsAndServices(F451,IF(I451,I451,G451)*10^-3)</f>
        <v>0</v>
      </c>
      <c r="K451" s="74"/>
      <c r="L451" s="47"/>
      <c r="M451" s="74"/>
    </row>
    <row r="452" spans="4:13" x14ac:dyDescent="0.25">
      <c r="D452" s="49">
        <v>0</v>
      </c>
      <c r="E452" s="49">
        <v>0</v>
      </c>
      <c r="F452" s="49">
        <v>0</v>
      </c>
      <c r="G452" s="49" cm="1">
        <f t="array" ref="G452">Common_InputFunctions.Utility_LookupValueInTableNumber(E452,Table_SourceData_Scope3_ChemicalsCleaning[Product],Table_SourceData_Scope3_ChemicalsCleaning[Emissions intensity])</f>
        <v>0</v>
      </c>
      <c r="H452" s="142" cm="1">
        <f t="array" ref="H452">Scope3_Equations.VEERG_15_10_1_1__1_OtherPurchasedGoodsAndServices(F452,G452*10^-3)</f>
        <v>0</v>
      </c>
      <c r="I452" s="64"/>
      <c r="J452" s="142" cm="1">
        <f t="array" ref="J452">Scope3_Equations.VEERG_15_10_1_1__1_OtherPurchasedGoodsAndServices(F452,IF(I452,I452,G452)*10^-3)</f>
        <v>0</v>
      </c>
      <c r="K452" s="74"/>
      <c r="L452" s="47"/>
      <c r="M452" s="74"/>
    </row>
    <row r="453" spans="4:13" x14ac:dyDescent="0.25">
      <c r="D453" s="49">
        <v>0</v>
      </c>
      <c r="E453" s="49">
        <v>0</v>
      </c>
      <c r="F453" s="49">
        <v>0</v>
      </c>
      <c r="G453" s="49" cm="1">
        <f t="array" ref="G453">Common_InputFunctions.Utility_LookupValueInTableNumber(E453,Table_SourceData_Scope3_ChemicalsCleaning[Product],Table_SourceData_Scope3_ChemicalsCleaning[Emissions intensity])</f>
        <v>0</v>
      </c>
      <c r="H453" s="142" cm="1">
        <f t="array" ref="H453">Scope3_Equations.VEERG_15_10_1_1__1_OtherPurchasedGoodsAndServices(F453,G453*10^-3)</f>
        <v>0</v>
      </c>
      <c r="I453" s="64"/>
      <c r="J453" s="142" cm="1">
        <f t="array" ref="J453">Scope3_Equations.VEERG_15_10_1_1__1_OtherPurchasedGoodsAndServices(F453,IF(I453,I453,G453)*10^-3)</f>
        <v>0</v>
      </c>
      <c r="K453" s="74"/>
      <c r="L453" s="47"/>
      <c r="M453" s="74"/>
    </row>
    <row r="454" spans="4:13" x14ac:dyDescent="0.25">
      <c r="D454" s="49">
        <v>0</v>
      </c>
      <c r="E454" s="49">
        <v>0</v>
      </c>
      <c r="F454" s="49">
        <v>0</v>
      </c>
      <c r="G454" s="49" cm="1">
        <f t="array" ref="G454">Common_InputFunctions.Utility_LookupValueInTableNumber(E454,Table_SourceData_Scope3_ChemicalsCleaning[Product],Table_SourceData_Scope3_ChemicalsCleaning[Emissions intensity])</f>
        <v>0</v>
      </c>
      <c r="H454" s="142" cm="1">
        <f t="array" ref="H454">Scope3_Equations.VEERG_15_10_1_1__1_OtherPurchasedGoodsAndServices(F454,G454*10^-3)</f>
        <v>0</v>
      </c>
      <c r="I454" s="64"/>
      <c r="J454" s="142" cm="1">
        <f t="array" ref="J454">Scope3_Equations.VEERG_15_10_1_1__1_OtherPurchasedGoodsAndServices(F454,IF(I454,I454,G454)*10^-3)</f>
        <v>0</v>
      </c>
      <c r="K454" s="74"/>
      <c r="L454" s="47"/>
      <c r="M454" s="74"/>
    </row>
    <row r="456" spans="4:13" ht="20.25" x14ac:dyDescent="0.25">
      <c r="D456" s="170" t="s">
        <v>628</v>
      </c>
      <c r="E456" s="168">
        <f>SUM(H445:H454)</f>
        <v>0.50509999999999999</v>
      </c>
      <c r="F456" s="169" t="str">
        <f>$E$170</f>
        <v>t CO2e</v>
      </c>
    </row>
    <row r="457" spans="4:13" ht="20.25" x14ac:dyDescent="0.25">
      <c r="D457" s="170" t="s">
        <v>630</v>
      </c>
      <c r="E457" s="168">
        <f>SUM(J445:J454)</f>
        <v>2.73</v>
      </c>
      <c r="F457" s="169" t="str">
        <f>$E$170</f>
        <v>t CO2e</v>
      </c>
    </row>
    <row r="460" spans="4:13" ht="18.75" x14ac:dyDescent="0.25">
      <c r="D460" s="135" t="s">
        <v>372</v>
      </c>
    </row>
    <row r="462" spans="4:13" x14ac:dyDescent="0.25">
      <c r="D462" s="46" t="s">
        <v>357</v>
      </c>
      <c r="E462" s="143" t="s">
        <v>281</v>
      </c>
      <c r="F462" s="143" t="s">
        <v>370</v>
      </c>
      <c r="G462" s="57" t="s">
        <v>612</v>
      </c>
      <c r="H462" s="57" t="s">
        <v>628</v>
      </c>
      <c r="I462" s="46" t="s">
        <v>613</v>
      </c>
      <c r="J462" s="57" t="s">
        <v>630</v>
      </c>
      <c r="K462" s="46" t="s">
        <v>624</v>
      </c>
      <c r="L462" s="46" t="s">
        <v>625</v>
      </c>
      <c r="M462" s="46" t="s">
        <v>626</v>
      </c>
    </row>
    <row r="463" spans="4:13" x14ac:dyDescent="0.25">
      <c r="D463" s="49" t="str" cm="1">
        <f t="array" ref="D463:D472">IFERROR(INDEX(Table_Input_ChemicalsPharmacy[Product name], _xlfn.SEQUENCE(10)), "")</f>
        <v>Cow bug off</v>
      </c>
      <c r="E463" s="49" t="str" cm="1">
        <f t="array" ref="E463:E472">IFERROR(INDEX(Table_Input_ChemicalsPharmacy[Type (select)], _xlfn.SEQUENCE(10)), "")</f>
        <v>Parasite control for cattle (external), dipping</v>
      </c>
      <c r="F463" s="49" cm="1">
        <f t="array" ref="F463:F472">IFERROR(INDEX(Table_Input_ChemicalsCleaning[Quantity purchased (kg)], _xlfn.SEQUENCE(10)), "")</f>
        <v>100</v>
      </c>
      <c r="G463" s="49" cm="1">
        <f t="array" ref="G463">Common_InputFunctions.Utility_LookupValueInTableNumber(E463,Table_SourceData_Scope3_ChemicalsPharmacy[Product],Table_SourceData_Scope3_ChemicalsPharmacy[Emissions intensity])</f>
        <v>5.4699999999999999E-2</v>
      </c>
      <c r="H463" s="142" cm="1">
        <f t="array" ref="H463">Scope3_Equations.VEERG_15_10_1_1__1_OtherPurchasedGoodsAndServices(F463,G463*10^-3)</f>
        <v>5.47E-3</v>
      </c>
      <c r="I463" s="64">
        <v>0.05</v>
      </c>
      <c r="J463" s="142" cm="1">
        <f t="array" ref="J463">Scope3_Equations.VEERG_15_10_1_1__1_OtherPurchasedGoodsAndServices(F463,IF(I463,I463,G463)*10^-3)</f>
        <v>5.0000000000000001E-3</v>
      </c>
      <c r="K463" s="74"/>
      <c r="L463" s="47"/>
      <c r="M463" s="74"/>
    </row>
    <row r="464" spans="4:13" x14ac:dyDescent="0.25">
      <c r="D464" s="49" t="str">
        <v>Cow worm-away</v>
      </c>
      <c r="E464" s="49" t="str">
        <v>Parasite control for cattle (internal)</v>
      </c>
      <c r="F464" s="49">
        <v>100</v>
      </c>
      <c r="G464" s="49" cm="1">
        <f t="array" ref="G464">Common_InputFunctions.Utility_LookupValueInTableNumber(E464,Table_SourceData_Scope3_ChemicalsPharmacy[Product],Table_SourceData_Scope3_ChemicalsPharmacy[Emissions intensity])</f>
        <v>1.4200000000000001E-2</v>
      </c>
      <c r="H464" s="142" cm="1">
        <f t="array" ref="H464">Scope3_Equations.VEERG_15_10_1_1__1_OtherPurchasedGoodsAndServices(F464,G464*10^-3)</f>
        <v>1.42E-3</v>
      </c>
      <c r="I464" s="64">
        <v>0.01</v>
      </c>
      <c r="J464" s="142" cm="1">
        <f t="array" ref="J464">Scope3_Equations.VEERG_15_10_1_1__1_OtherPurchasedGoodsAndServices(F464,IF(I464,I464,G464)*10^-3)</f>
        <v>1E-3</v>
      </c>
      <c r="K464" s="74"/>
      <c r="L464" s="47"/>
      <c r="M464" s="74"/>
    </row>
    <row r="465" spans="4:13" x14ac:dyDescent="0.25">
      <c r="D465" s="49" t="str">
        <v>Sheep bug off</v>
      </c>
      <c r="E465" s="49" t="str">
        <v>Parasite control for sheep (external)</v>
      </c>
      <c r="F465" s="49">
        <v>100</v>
      </c>
      <c r="G465" s="49" cm="1">
        <f t="array" ref="G465">Common_InputFunctions.Utility_LookupValueInTableNumber(E465,Table_SourceData_Scope3_ChemicalsPharmacy[Product],Table_SourceData_Scope3_ChemicalsPharmacy[Emissions intensity])</f>
        <v>1.43E-2</v>
      </c>
      <c r="H465" s="142" cm="1">
        <f t="array" ref="H465">Scope3_Equations.VEERG_15_10_1_1__1_OtherPurchasedGoodsAndServices(F465,G465*10^-3)</f>
        <v>1.4300000000000001E-3</v>
      </c>
      <c r="I465" s="64">
        <v>0.01</v>
      </c>
      <c r="J465" s="142" cm="1">
        <f t="array" ref="J465">Scope3_Equations.VEERG_15_10_1_1__1_OtherPurchasedGoodsAndServices(F465,IF(I465,I465,G465)*10^-3)</f>
        <v>1E-3</v>
      </c>
      <c r="K465" s="74"/>
      <c r="L465" s="47"/>
      <c r="M465" s="74"/>
    </row>
    <row r="466" spans="4:13" x14ac:dyDescent="0.25">
      <c r="D466" s="49" t="str">
        <v>Sheep worm-away</v>
      </c>
      <c r="E466" s="49" t="str">
        <v>Parasite control for sheep (internal)</v>
      </c>
      <c r="F466" s="49">
        <v>100</v>
      </c>
      <c r="G466" s="49" cm="1">
        <f t="array" ref="G466">Common_InputFunctions.Utility_LookupValueInTableNumber(E466,Table_SourceData_Scope3_ChemicalsPharmacy[Product],Table_SourceData_Scope3_ChemicalsPharmacy[Emissions intensity])</f>
        <v>4.2599999999999999E-3</v>
      </c>
      <c r="H466" s="142" cm="1">
        <f t="array" ref="H466">Scope3_Equations.VEERG_15_10_1_1__1_OtherPurchasedGoodsAndServices(F466,G466*10^-3)</f>
        <v>4.26E-4</v>
      </c>
      <c r="I466" s="64">
        <v>4.0000000000000001E-3</v>
      </c>
      <c r="J466" s="142" cm="1">
        <f t="array" ref="J466">Scope3_Equations.VEERG_15_10_1_1__1_OtherPurchasedGoodsAndServices(F466,IF(I466,I466,G466)*10^-3)</f>
        <v>3.9999999999999996E-4</v>
      </c>
      <c r="K466" s="74"/>
      <c r="L466" s="47"/>
      <c r="M466" s="74"/>
    </row>
    <row r="467" spans="4:13" x14ac:dyDescent="0.25">
      <c r="D467" s="49" t="str">
        <v>Cow bug off</v>
      </c>
      <c r="E467" s="49" t="str">
        <v>Parasite control for cattle (external), dipping</v>
      </c>
      <c r="F467" s="49">
        <v>100</v>
      </c>
      <c r="G467" s="49" cm="1">
        <f t="array" ref="G467">Common_InputFunctions.Utility_LookupValueInTableNumber(E467,Table_SourceData_Scope3_ChemicalsPharmacy[Product],Table_SourceData_Scope3_ChemicalsPharmacy[Emissions intensity])</f>
        <v>5.4699999999999999E-2</v>
      </c>
      <c r="H467" s="142" cm="1">
        <f t="array" ref="H467">Scope3_Equations.VEERG_15_10_1_1__1_OtherPurchasedGoodsAndServices(F467,G467*10^-3)</f>
        <v>5.47E-3</v>
      </c>
      <c r="I467" s="64">
        <v>0.05</v>
      </c>
      <c r="J467" s="142" cm="1">
        <f t="array" ref="J467">Scope3_Equations.VEERG_15_10_1_1__1_OtherPurchasedGoodsAndServices(F467,IF(I467,I467,G467)*10^-3)</f>
        <v>5.0000000000000001E-3</v>
      </c>
      <c r="K467" s="74"/>
      <c r="L467" s="47"/>
      <c r="M467" s="74"/>
    </row>
    <row r="468" spans="4:13" x14ac:dyDescent="0.25">
      <c r="D468" s="49" t="str">
        <v>Cow worm-away</v>
      </c>
      <c r="E468" s="49" t="str">
        <v>Parasite control for cattle (internal)</v>
      </c>
      <c r="F468" s="49">
        <v>100</v>
      </c>
      <c r="G468" s="49" cm="1">
        <f t="array" ref="G468">Common_InputFunctions.Utility_LookupValueInTableNumber(E468,Table_SourceData_Scope3_ChemicalsPharmacy[Product],Table_SourceData_Scope3_ChemicalsPharmacy[Emissions intensity])</f>
        <v>1.4200000000000001E-2</v>
      </c>
      <c r="H468" s="142" cm="1">
        <f t="array" ref="H468">Scope3_Equations.VEERG_15_10_1_1__1_OtherPurchasedGoodsAndServices(F468,G468*10^-3)</f>
        <v>1.42E-3</v>
      </c>
      <c r="I468" s="64">
        <v>0.01</v>
      </c>
      <c r="J468" s="142" cm="1">
        <f t="array" ref="J468">Scope3_Equations.VEERG_15_10_1_1__1_OtherPurchasedGoodsAndServices(F468,IF(I468,I468,G468)*10^-3)</f>
        <v>1E-3</v>
      </c>
      <c r="K468" s="74"/>
      <c r="L468" s="47"/>
      <c r="M468" s="74"/>
    </row>
    <row r="469" spans="4:13" x14ac:dyDescent="0.25">
      <c r="D469" s="49">
        <v>0</v>
      </c>
      <c r="E469" s="49">
        <v>0</v>
      </c>
      <c r="F469" s="49">
        <v>0</v>
      </c>
      <c r="G469" s="49" cm="1">
        <f t="array" ref="G469">Common_InputFunctions.Utility_LookupValueInTableNumber(E469,Table_SourceData_Scope3_ChemicalsPharmacy[Product],Table_SourceData_Scope3_ChemicalsPharmacy[Emissions intensity])</f>
        <v>0</v>
      </c>
      <c r="H469" s="142" cm="1">
        <f t="array" ref="H469">Scope3_Equations.VEERG_15_10_1_1__1_OtherPurchasedGoodsAndServices(F469,G469*10^-3)</f>
        <v>0</v>
      </c>
      <c r="I469" s="64"/>
      <c r="J469" s="142" cm="1">
        <f t="array" ref="J469">Scope3_Equations.VEERG_15_10_1_1__1_OtherPurchasedGoodsAndServices(F469,IF(I469,I469,G469)*10^-3)</f>
        <v>0</v>
      </c>
      <c r="K469" s="74"/>
      <c r="L469" s="47"/>
      <c r="M469" s="74"/>
    </row>
    <row r="470" spans="4:13" x14ac:dyDescent="0.25">
      <c r="D470" s="49">
        <v>0</v>
      </c>
      <c r="E470" s="49">
        <v>0</v>
      </c>
      <c r="F470" s="49">
        <v>0</v>
      </c>
      <c r="G470" s="49" cm="1">
        <f t="array" ref="G470">Common_InputFunctions.Utility_LookupValueInTableNumber(E470,Table_SourceData_Scope3_ChemicalsPharmacy[Product],Table_SourceData_Scope3_ChemicalsPharmacy[Emissions intensity])</f>
        <v>0</v>
      </c>
      <c r="H470" s="142" cm="1">
        <f t="array" ref="H470">Scope3_Equations.VEERG_15_10_1_1__1_OtherPurchasedGoodsAndServices(F470,G470*10^-3)</f>
        <v>0</v>
      </c>
      <c r="I470" s="64"/>
      <c r="J470" s="142" cm="1">
        <f t="array" ref="J470">Scope3_Equations.VEERG_15_10_1_1__1_OtherPurchasedGoodsAndServices(F470,IF(I470,I470,G470)*10^-3)</f>
        <v>0</v>
      </c>
      <c r="K470" s="74"/>
      <c r="L470" s="47"/>
      <c r="M470" s="74"/>
    </row>
    <row r="471" spans="4:13" x14ac:dyDescent="0.25">
      <c r="D471" s="49">
        <v>0</v>
      </c>
      <c r="E471" s="49">
        <v>0</v>
      </c>
      <c r="F471" s="49">
        <v>0</v>
      </c>
      <c r="G471" s="49" cm="1">
        <f t="array" ref="G471">Common_InputFunctions.Utility_LookupValueInTableNumber(E471,Table_SourceData_Scope3_ChemicalsPharmacy[Product],Table_SourceData_Scope3_ChemicalsPharmacy[Emissions intensity])</f>
        <v>0</v>
      </c>
      <c r="H471" s="142" cm="1">
        <f t="array" ref="H471">Scope3_Equations.VEERG_15_10_1_1__1_OtherPurchasedGoodsAndServices(F471,G471*10^-3)</f>
        <v>0</v>
      </c>
      <c r="I471" s="64"/>
      <c r="J471" s="142" cm="1">
        <f t="array" ref="J471">Scope3_Equations.VEERG_15_10_1_1__1_OtherPurchasedGoodsAndServices(F471,IF(I471,I471,G471)*10^-3)</f>
        <v>0</v>
      </c>
      <c r="K471" s="74"/>
      <c r="L471" s="47"/>
      <c r="M471" s="74"/>
    </row>
    <row r="472" spans="4:13" x14ac:dyDescent="0.25">
      <c r="D472" s="49">
        <v>0</v>
      </c>
      <c r="E472" s="49">
        <v>0</v>
      </c>
      <c r="F472" s="49">
        <v>0</v>
      </c>
      <c r="G472" s="49" cm="1">
        <f t="array" ref="G472">Common_InputFunctions.Utility_LookupValueInTableNumber(E472,Table_SourceData_Scope3_ChemicalsPharmacy[Product],Table_SourceData_Scope3_ChemicalsPharmacy[Emissions intensity])</f>
        <v>0</v>
      </c>
      <c r="H472" s="142" cm="1">
        <f t="array" ref="H472">Scope3_Equations.VEERG_15_10_1_1__1_OtherPurchasedGoodsAndServices(F472,G472*10^-3)</f>
        <v>0</v>
      </c>
      <c r="I472" s="64"/>
      <c r="J472" s="142" cm="1">
        <f t="array" ref="J472">Scope3_Equations.VEERG_15_10_1_1__1_OtherPurchasedGoodsAndServices(F472,IF(I472,I472,G472)*10^-3)</f>
        <v>0</v>
      </c>
      <c r="K472" s="74"/>
      <c r="L472" s="47"/>
      <c r="M472" s="74"/>
    </row>
    <row r="474" spans="4:13" ht="20.25" x14ac:dyDescent="0.25">
      <c r="D474" s="170" t="s">
        <v>628</v>
      </c>
      <c r="E474" s="168">
        <f>SUM(H463:H472)</f>
        <v>1.5636000000000001E-2</v>
      </c>
      <c r="F474" s="169" t="str">
        <f>$E$170</f>
        <v>t CO2e</v>
      </c>
    </row>
    <row r="475" spans="4:13" ht="20.25" x14ac:dyDescent="0.25">
      <c r="D475" s="170" t="s">
        <v>630</v>
      </c>
      <c r="E475" s="168">
        <f>SUM(J463:J472)</f>
        <v>1.3400000000000002E-2</v>
      </c>
      <c r="F475" s="169" t="str">
        <f>$E$170</f>
        <v>t CO2e</v>
      </c>
    </row>
    <row r="478" spans="4:13" ht="18.75" x14ac:dyDescent="0.25">
      <c r="D478" s="135" t="s">
        <v>407</v>
      </c>
    </row>
    <row r="480" spans="4:13" x14ac:dyDescent="0.25">
      <c r="D480" s="46" t="s">
        <v>168</v>
      </c>
      <c r="E480" s="46" t="s">
        <v>700</v>
      </c>
      <c r="F480" s="57" t="s">
        <v>612</v>
      </c>
      <c r="G480" s="57" t="s">
        <v>628</v>
      </c>
      <c r="H480" s="46" t="s">
        <v>613</v>
      </c>
      <c r="I480" s="57" t="s">
        <v>630</v>
      </c>
      <c r="J480" s="46" t="s">
        <v>624</v>
      </c>
      <c r="K480" s="46" t="s">
        <v>625</v>
      </c>
      <c r="L480" s="46" t="s">
        <v>626</v>
      </c>
    </row>
    <row r="481" spans="4:12" x14ac:dyDescent="0.25">
      <c r="D481" s="49" t="str">
        <f>'Input - Crop pasture farm input'!D23</f>
        <v>Barley grain (for seed)</v>
      </c>
      <c r="E481" s="49">
        <f>IFERROR(X_Cell_FarmInputs_Seed_BarleyGrain, 0)</f>
        <v>500</v>
      </c>
      <c r="F481" s="49" cm="1">
        <f t="array" ref="F481">Common_InputFunctions.Utility_LookupValueInTableNumber(D481,Table_SourceData_Scope3_Other[Product],Table_SourceData_Scope3_Other[Emissions intensity])</f>
        <v>0.23899999999999999</v>
      </c>
      <c r="G481" s="142" cm="1">
        <f t="array" ref="G481">Scope3_Equations.VEERG_15_10_1_1__1_OtherPurchasedGoodsAndServices(E481,F481*10^-3)</f>
        <v>0.1195</v>
      </c>
      <c r="H481" s="64">
        <v>0.2</v>
      </c>
      <c r="I481" s="142" cm="1">
        <f t="array" ref="I481">Scope3_Equations.VEERG_15_10_1_1__1_OtherPurchasedGoodsAndServices(E481,IF(H481,H481,F481)*10^-3)</f>
        <v>0.1</v>
      </c>
      <c r="J481" s="74"/>
      <c r="K481" s="47"/>
      <c r="L481" s="74"/>
    </row>
    <row r="482" spans="4:12" x14ac:dyDescent="0.25">
      <c r="D482" s="49" t="str">
        <f>'Input - Crop pasture farm input'!D24</f>
        <v>Maize grain (for seed)</v>
      </c>
      <c r="E482" s="49">
        <f>IFERROR(X_Cell_FarmInputs_Seed_MaizeGrain, 0)</f>
        <v>600</v>
      </c>
      <c r="F482" s="49" cm="1">
        <f t="array" ref="F482">Common_InputFunctions.Utility_LookupValueInTableNumber(D482,Table_SourceData_Scope3_Other[Product],Table_SourceData_Scope3_Other[Emissions intensity])</f>
        <v>0.18099999999999999</v>
      </c>
      <c r="G482" s="142" cm="1">
        <f t="array" ref="G482">Scope3_Equations.VEERG_15_10_1_1__1_OtherPurchasedGoodsAndServices(E482,F482*10^-3)</f>
        <v>0.1086</v>
      </c>
      <c r="H482" s="64"/>
      <c r="I482" s="142" cm="1">
        <f t="array" ref="I482">Scope3_Equations.VEERG_15_10_1_1__1_OtherPurchasedGoodsAndServices(E482,IF(H482,H482,F482)*10^-3)</f>
        <v>0.1086</v>
      </c>
      <c r="J482" s="74"/>
      <c r="K482" s="47"/>
      <c r="L482" s="74"/>
    </row>
    <row r="483" spans="4:12" x14ac:dyDescent="0.25">
      <c r="D483" s="49" t="str">
        <f>'Input - Crop pasture farm input'!D25</f>
        <v>Oat grain (for seed)</v>
      </c>
      <c r="E483" s="49">
        <f>IFERROR(X_Cell_FarmInputs_Seed_OatGrain, 0)</f>
        <v>700</v>
      </c>
      <c r="F483" s="49" cm="1">
        <f t="array" ref="F483">Common_InputFunctions.Utility_LookupValueInTableNumber(D483,Table_SourceData_Scope3_Other[Product],Table_SourceData_Scope3_Other[Emissions intensity])</f>
        <v>0.27</v>
      </c>
      <c r="G483" s="142" cm="1">
        <f t="array" ref="G483">Scope3_Equations.VEERG_15_10_1_1__1_OtherPurchasedGoodsAndServices(E483,F483*10^-3)</f>
        <v>0.189</v>
      </c>
      <c r="H483" s="64">
        <v>0.2</v>
      </c>
      <c r="I483" s="142" cm="1">
        <f t="array" ref="I483">Scope3_Equations.VEERG_15_10_1_1__1_OtherPurchasedGoodsAndServices(E483,IF(H483,H483,F483)*10^-3)</f>
        <v>0.14000000000000001</v>
      </c>
      <c r="J483" s="74"/>
      <c r="K483" s="47"/>
      <c r="L483" s="74"/>
    </row>
    <row r="484" spans="4:12" x14ac:dyDescent="0.25">
      <c r="D484" s="49" t="str">
        <f>'Input - Crop pasture farm input'!D26</f>
        <v>Sorghum grain (for seed)</v>
      </c>
      <c r="E484" s="49">
        <f>IFERROR(X_Cell_FarmInputs_Seed_SorghumGrain, 0)</f>
        <v>800</v>
      </c>
      <c r="F484" s="49" cm="1">
        <f t="array" ref="F484">Common_InputFunctions.Utility_LookupValueInTableNumber(D484,Table_SourceData_Scope3_Other[Product],Table_SourceData_Scope3_Other[Emissions intensity])</f>
        <v>0.23200000000000001</v>
      </c>
      <c r="G484" s="142" cm="1">
        <f t="array" ref="G484">Scope3_Equations.VEERG_15_10_1_1__1_OtherPurchasedGoodsAndServices(E484,F484*10^-3)</f>
        <v>0.18560000000000001</v>
      </c>
      <c r="H484" s="64"/>
      <c r="I484" s="142" cm="1">
        <f t="array" ref="I484">Scope3_Equations.VEERG_15_10_1_1__1_OtherPurchasedGoodsAndServices(E484,IF(H484,H484,F484)*10^-3)</f>
        <v>0.18560000000000001</v>
      </c>
      <c r="J484" s="74"/>
      <c r="K484" s="47"/>
      <c r="L484" s="74"/>
    </row>
    <row r="485" spans="4:12" x14ac:dyDescent="0.25">
      <c r="D485" s="49" t="str">
        <f>'Input - Crop pasture farm input'!D27</f>
        <v>Wheat grain (for seed)</v>
      </c>
      <c r="E485" s="49">
        <f>IFERROR(X_Cell_FarmInputs_Seed_WheatGrain, 0)</f>
        <v>900</v>
      </c>
      <c r="F485" s="49" cm="1">
        <f t="array" ref="F485">Common_InputFunctions.Utility_LookupValueInTableNumber(D485,Table_SourceData_Scope3_Other[Product],Table_SourceData_Scope3_Other[Emissions intensity])</f>
        <v>0.26800000000000002</v>
      </c>
      <c r="G485" s="142" cm="1">
        <f t="array" ref="G485">Scope3_Equations.VEERG_15_10_1_1__1_OtherPurchasedGoodsAndServices(E485,F485*10^-3)</f>
        <v>0.2412</v>
      </c>
      <c r="H485" s="64">
        <v>0.2</v>
      </c>
      <c r="I485" s="142" cm="1">
        <f t="array" ref="I485">Scope3_Equations.VEERG_15_10_1_1__1_OtherPurchasedGoodsAndServices(E485,IF(H485,H485,F485)*10^-3)</f>
        <v>0.18000000000000002</v>
      </c>
      <c r="J485" s="74"/>
      <c r="K485" s="47"/>
      <c r="L485" s="74"/>
    </row>
    <row r="487" spans="4:12" ht="20.25" x14ac:dyDescent="0.25">
      <c r="D487" s="170" t="s">
        <v>628</v>
      </c>
      <c r="E487" s="168">
        <f>SUM(G481:G485)</f>
        <v>0.84389999999999998</v>
      </c>
      <c r="F487" s="169" t="str">
        <f>$E$170</f>
        <v>t CO2e</v>
      </c>
    </row>
    <row r="488" spans="4:12" ht="20.25" x14ac:dyDescent="0.25">
      <c r="D488" s="170" t="s">
        <v>630</v>
      </c>
      <c r="E488" s="168">
        <f>SUM(I481:I485)</f>
        <v>0.71420000000000006</v>
      </c>
      <c r="F488" s="169" t="str">
        <f>$E$170</f>
        <v>t CO2e</v>
      </c>
    </row>
    <row r="491" spans="4:12" ht="18.75" x14ac:dyDescent="0.25">
      <c r="D491" s="135" t="s">
        <v>701</v>
      </c>
    </row>
    <row r="493" spans="4:12" x14ac:dyDescent="0.25">
      <c r="D493" s="46" t="s">
        <v>168</v>
      </c>
      <c r="E493" s="46" t="s">
        <v>700</v>
      </c>
      <c r="F493" s="57" t="s">
        <v>612</v>
      </c>
      <c r="G493" s="57" t="s">
        <v>628</v>
      </c>
      <c r="H493" s="46" t="s">
        <v>613</v>
      </c>
      <c r="I493" s="57" t="s">
        <v>630</v>
      </c>
      <c r="J493" s="46" t="s">
        <v>624</v>
      </c>
      <c r="K493" s="46" t="s">
        <v>625</v>
      </c>
      <c r="L493" s="46" t="s">
        <v>626</v>
      </c>
    </row>
    <row r="494" spans="4:12" x14ac:dyDescent="0.25">
      <c r="D494" s="49" t="str">
        <f>'Input - Livestock farm Inputs'!D47</f>
        <v>Animal ear tags (large)</v>
      </c>
      <c r="E494" s="49">
        <f>IFERROR(X_Cell_FarmInputs_Misc_AnimalEarTagsLarge, 0)</f>
        <v>100</v>
      </c>
      <c r="F494" s="49" cm="1">
        <f t="array" ref="F494">Common_InputFunctions.Utility_LookupValueInTableNumber(D494,Table_SourceData_Scope3_Other[Product],Table_SourceData_Scope3_Other[Emissions intensity])</f>
        <v>4.24E-2</v>
      </c>
      <c r="G494" s="142" cm="1">
        <f t="array" ref="G494">Scope3_Equations.VEERG_15_10_1_1__1_OtherPurchasedGoodsAndServices(E494,F494*10^-3)</f>
        <v>4.2399999999999998E-3</v>
      </c>
      <c r="H494" s="64">
        <v>0.2</v>
      </c>
      <c r="I494" s="142" cm="1">
        <f t="array" ref="I494">Scope3_Equations.VEERG_15_10_1_1__1_OtherPurchasedGoodsAndServices(E494,IF(H494,H494,F494)*10^-3)</f>
        <v>0.02</v>
      </c>
      <c r="J494" s="74"/>
      <c r="K494" s="47"/>
      <c r="L494" s="74"/>
    </row>
    <row r="495" spans="4:12" x14ac:dyDescent="0.25">
      <c r="D495" s="49" t="str">
        <f>'Input - Livestock farm Inputs'!D48</f>
        <v>Animal ear tags (small)</v>
      </c>
      <c r="E495" s="49">
        <f>IFERROR(X_Cell_FarmInputs_Misc_AnimalEarTagsSmall, 0)</f>
        <v>200</v>
      </c>
      <c r="F495" s="49" cm="1">
        <f t="array" ref="F495">Common_InputFunctions.Utility_LookupValueInTableNumber(D495,Table_SourceData_Scope3_Other[Product],Table_SourceData_Scope3_Other[Emissions intensity])</f>
        <v>2.93E-2</v>
      </c>
      <c r="G495" s="142" cm="1">
        <f t="array" ref="G495">Scope3_Equations.VEERG_15_10_1_1__1_OtherPurchasedGoodsAndServices(E495,F495*10^-3)</f>
        <v>5.8599999999999998E-3</v>
      </c>
      <c r="H495" s="64"/>
      <c r="I495" s="142" cm="1">
        <f t="array" ref="I495">Scope3_Equations.VEERG_15_10_1_1__1_OtherPurchasedGoodsAndServices(E495,IF(H495,H495,F495)*10^-3)</f>
        <v>5.8599999999999998E-3</v>
      </c>
      <c r="J495" s="74"/>
      <c r="K495" s="47"/>
      <c r="L495" s="74"/>
    </row>
    <row r="496" spans="4:12" x14ac:dyDescent="0.25">
      <c r="D496" s="49" t="str">
        <f>'Input - Hort farm Inputs'!D5</f>
        <v>Nylon netting</v>
      </c>
      <c r="E496" s="49">
        <f>IFERROR(X_Cell_FarmInputs_Misc_NylonNetting, 0)</f>
        <v>300</v>
      </c>
      <c r="F496" s="49" cm="1">
        <f t="array" ref="F496">Common_InputFunctions.Utility_LookupValueInTableNumber(D496,Table_SourceData_Scope3_Other[Product],Table_SourceData_Scope3_Other[Emissions intensity])</f>
        <v>9.81</v>
      </c>
      <c r="G496" s="142" cm="1">
        <f t="array" ref="G496">Scope3_Equations.VEERG_15_10_1_1__1_OtherPurchasedGoodsAndServices(E496,F496*10^-3)</f>
        <v>2.9430000000000005</v>
      </c>
      <c r="H496" s="64">
        <v>0.2</v>
      </c>
      <c r="I496" s="142" cm="1">
        <f t="array" ref="I496">Scope3_Equations.VEERG_15_10_1_1__1_OtherPurchasedGoodsAndServices(E496,IF(H496,H496,F496)*10^-3)</f>
        <v>6.0000000000000005E-2</v>
      </c>
      <c r="J496" s="74"/>
      <c r="K496" s="47"/>
      <c r="L496" s="74"/>
    </row>
    <row r="498" spans="4:14" ht="20.25" x14ac:dyDescent="0.25">
      <c r="D498" s="170" t="s">
        <v>628</v>
      </c>
      <c r="E498" s="168">
        <f>SUM(G494:G496)</f>
        <v>2.9531000000000005</v>
      </c>
      <c r="F498" s="169" t="str">
        <f>$E$170</f>
        <v>t CO2e</v>
      </c>
    </row>
    <row r="499" spans="4:14" ht="20.25" x14ac:dyDescent="0.25">
      <c r="D499" s="170" t="s">
        <v>630</v>
      </c>
      <c r="E499" s="168">
        <f>SUM(I494:I496)</f>
        <v>8.5860000000000006E-2</v>
      </c>
      <c r="F499" s="169" t="str">
        <f>$E$170</f>
        <v>t CO2e</v>
      </c>
    </row>
    <row r="502" spans="4:14" ht="18.75" x14ac:dyDescent="0.25">
      <c r="D502" s="135" t="s">
        <v>702</v>
      </c>
    </row>
    <row r="504" spans="4:14" x14ac:dyDescent="0.25">
      <c r="D504" s="46" t="s">
        <v>168</v>
      </c>
      <c r="E504" s="46" t="s">
        <v>594</v>
      </c>
      <c r="F504" s="46" t="s">
        <v>126</v>
      </c>
      <c r="G504" s="57" t="s">
        <v>411</v>
      </c>
      <c r="H504" s="57" t="s">
        <v>349</v>
      </c>
      <c r="I504" s="46" t="s">
        <v>412</v>
      </c>
      <c r="J504" s="46" t="s">
        <v>697</v>
      </c>
      <c r="K504" s="57" t="s">
        <v>350</v>
      </c>
      <c r="L504" s="46" t="s">
        <v>624</v>
      </c>
      <c r="M504" s="46" t="s">
        <v>625</v>
      </c>
      <c r="N504" s="46" t="s">
        <v>626</v>
      </c>
    </row>
    <row r="505" spans="4:14" x14ac:dyDescent="0.25">
      <c r="D505" s="49" t="str" cm="1">
        <f t="array" ref="D505:D514">IFERROR(INDEX(Table_Input_UncategorisedProductsServices[Product / service name], _xlfn.SEQUENCE(10)), "")</f>
        <v>Something</v>
      </c>
      <c r="E505" s="49" cm="1">
        <f t="array" ref="E505:E514">IFERROR(INDEX(Table_Input_UncategorisedProductsServices[Amount], _xlfn.SEQUENCE(10)), "")</f>
        <v>1000</v>
      </c>
      <c r="F505" s="49" t="str" cm="1">
        <f t="array" ref="F505:F514">IFERROR(INDEX(Table_Input_UncategorisedProductsServices[Amount unit], _xlfn.SEQUENCE(10)), "")</f>
        <v>kg</v>
      </c>
      <c r="G505" s="49" t="s">
        <v>817</v>
      </c>
      <c r="H505" s="49" t="s">
        <v>817</v>
      </c>
      <c r="I505" s="64">
        <v>4</v>
      </c>
      <c r="J505" s="47" t="s">
        <v>698</v>
      </c>
      <c r="K505" s="142" cm="1">
        <f t="array" ref="K505">Scope3_Equations.VEERG_15_10_1_1__1_OtherPurchasedGoodsAndServices(E505,IF(J505="kg / amount unit", I505*10^-3, I505))</f>
        <v>4000</v>
      </c>
      <c r="L505" s="74"/>
      <c r="M505" s="47"/>
      <c r="N505" s="74"/>
    </row>
    <row r="506" spans="4:14" x14ac:dyDescent="0.25">
      <c r="D506" s="49">
        <v>0</v>
      </c>
      <c r="E506" s="49">
        <v>0</v>
      </c>
      <c r="F506" s="49">
        <v>0</v>
      </c>
      <c r="G506" s="49" t="s">
        <v>817</v>
      </c>
      <c r="H506" s="49" t="s">
        <v>817</v>
      </c>
      <c r="I506" s="64">
        <v>2</v>
      </c>
      <c r="J506" s="47" t="s">
        <v>698</v>
      </c>
      <c r="K506" s="142" cm="1">
        <f t="array" ref="K506">Scope3_Equations.VEERG_15_10_1_1__1_OtherPurchasedGoodsAndServices(E506,IF(J506="kg / amount unit", I506*10^-3, I506))</f>
        <v>0</v>
      </c>
      <c r="L506" s="74"/>
      <c r="M506" s="47"/>
      <c r="N506" s="74"/>
    </row>
    <row r="507" spans="4:14" x14ac:dyDescent="0.25">
      <c r="D507" s="49">
        <v>0</v>
      </c>
      <c r="E507" s="49">
        <v>0</v>
      </c>
      <c r="F507" s="49">
        <v>0</v>
      </c>
      <c r="G507" s="49" t="s">
        <v>817</v>
      </c>
      <c r="H507" s="49" t="s">
        <v>817</v>
      </c>
      <c r="I507" s="64"/>
      <c r="J507" s="47"/>
      <c r="K507" s="142" cm="1">
        <f t="array" ref="K507">Scope3_Equations.VEERG_15_10_1_1__1_OtherPurchasedGoodsAndServices(E507,IF(J507="kg / amount unit", I507*10^-3, I507))</f>
        <v>0</v>
      </c>
      <c r="L507" s="74"/>
      <c r="M507" s="47"/>
      <c r="N507" s="74"/>
    </row>
    <row r="508" spans="4:14" x14ac:dyDescent="0.25">
      <c r="D508" s="49">
        <v>0</v>
      </c>
      <c r="E508" s="49">
        <v>0</v>
      </c>
      <c r="F508" s="49">
        <v>0</v>
      </c>
      <c r="G508" s="49" t="s">
        <v>817</v>
      </c>
      <c r="H508" s="49" t="s">
        <v>817</v>
      </c>
      <c r="I508" s="64"/>
      <c r="J508" s="47"/>
      <c r="K508" s="142" cm="1">
        <f t="array" ref="K508">Scope3_Equations.VEERG_15_10_1_1__1_OtherPurchasedGoodsAndServices(E508,IF(J508="kg / amount unit", I508*10^-3, I508))</f>
        <v>0</v>
      </c>
      <c r="L508" s="74"/>
      <c r="M508" s="47"/>
      <c r="N508" s="74"/>
    </row>
    <row r="509" spans="4:14" x14ac:dyDescent="0.25">
      <c r="D509" s="49">
        <v>0</v>
      </c>
      <c r="E509" s="49">
        <v>0</v>
      </c>
      <c r="F509" s="49">
        <v>0</v>
      </c>
      <c r="G509" s="49" t="s">
        <v>817</v>
      </c>
      <c r="H509" s="49" t="s">
        <v>817</v>
      </c>
      <c r="I509" s="64"/>
      <c r="J509" s="47"/>
      <c r="K509" s="142" cm="1">
        <f t="array" ref="K509">Scope3_Equations.VEERG_15_10_1_1__1_OtherPurchasedGoodsAndServices(E509,IF(J509="kg / amount unit", I509*10^-3, I509))</f>
        <v>0</v>
      </c>
      <c r="L509" s="74"/>
      <c r="M509" s="47"/>
      <c r="N509" s="74"/>
    </row>
    <row r="510" spans="4:14" x14ac:dyDescent="0.25">
      <c r="D510" s="49">
        <v>0</v>
      </c>
      <c r="E510" s="49">
        <v>0</v>
      </c>
      <c r="F510" s="49">
        <v>0</v>
      </c>
      <c r="G510" s="49" t="s">
        <v>817</v>
      </c>
      <c r="H510" s="49" t="s">
        <v>817</v>
      </c>
      <c r="I510" s="64"/>
      <c r="J510" s="47"/>
      <c r="K510" s="142" cm="1">
        <f t="array" ref="K510">Scope3_Equations.VEERG_15_10_1_1__1_OtherPurchasedGoodsAndServices(E510,IF(J510="kg / amount unit", I510*10^-3, I510))</f>
        <v>0</v>
      </c>
      <c r="L510" s="74"/>
      <c r="M510" s="47"/>
      <c r="N510" s="74"/>
    </row>
    <row r="511" spans="4:14" x14ac:dyDescent="0.25">
      <c r="D511" s="49">
        <v>0</v>
      </c>
      <c r="E511" s="49">
        <v>0</v>
      </c>
      <c r="F511" s="49">
        <v>0</v>
      </c>
      <c r="G511" s="49" t="s">
        <v>817</v>
      </c>
      <c r="H511" s="49" t="s">
        <v>817</v>
      </c>
      <c r="I511" s="64"/>
      <c r="J511" s="47"/>
      <c r="K511" s="142" cm="1">
        <f t="array" ref="K511">Scope3_Equations.VEERG_15_10_1_1__1_OtherPurchasedGoodsAndServices(E511,IF(J511="kg / amount unit", I511*10^-3, I511))</f>
        <v>0</v>
      </c>
      <c r="L511" s="74"/>
      <c r="M511" s="47"/>
      <c r="N511" s="74"/>
    </row>
    <row r="512" spans="4:14" x14ac:dyDescent="0.25">
      <c r="D512" s="49">
        <v>0</v>
      </c>
      <c r="E512" s="49">
        <v>0</v>
      </c>
      <c r="F512" s="49">
        <v>0</v>
      </c>
      <c r="G512" s="49" t="s">
        <v>817</v>
      </c>
      <c r="H512" s="49" t="s">
        <v>817</v>
      </c>
      <c r="I512" s="64"/>
      <c r="J512" s="47"/>
      <c r="K512" s="142" cm="1">
        <f t="array" ref="K512">Scope3_Equations.VEERG_15_10_1_1__1_OtherPurchasedGoodsAndServices(E512,IF(J512="kg / amount unit", I512*10^-3, I512))</f>
        <v>0</v>
      </c>
      <c r="L512" s="74"/>
      <c r="M512" s="47"/>
      <c r="N512" s="74"/>
    </row>
    <row r="513" spans="3:41" x14ac:dyDescent="0.25">
      <c r="D513" s="49">
        <v>0</v>
      </c>
      <c r="E513" s="49">
        <v>0</v>
      </c>
      <c r="F513" s="49">
        <v>0</v>
      </c>
      <c r="G513" s="49" t="s">
        <v>817</v>
      </c>
      <c r="H513" s="49" t="s">
        <v>817</v>
      </c>
      <c r="I513" s="64"/>
      <c r="J513" s="47"/>
      <c r="K513" s="142" cm="1">
        <f t="array" ref="K513">Scope3_Equations.VEERG_15_10_1_1__1_OtherPurchasedGoodsAndServices(E513,IF(J513="kg / amount unit", I513*10^-3, I513))</f>
        <v>0</v>
      </c>
      <c r="L513" s="74"/>
      <c r="M513" s="47"/>
      <c r="N513" s="74"/>
    </row>
    <row r="514" spans="3:41" x14ac:dyDescent="0.25">
      <c r="D514" s="49">
        <v>0</v>
      </c>
      <c r="E514" s="49">
        <v>0</v>
      </c>
      <c r="F514" s="49">
        <v>0</v>
      </c>
      <c r="G514" s="49" t="s">
        <v>817</v>
      </c>
      <c r="H514" s="49" t="s">
        <v>817</v>
      </c>
      <c r="I514" s="64"/>
      <c r="J514" s="47"/>
      <c r="K514" s="142" cm="1">
        <f t="array" ref="K514">Scope3_Equations.VEERG_15_10_1_1__1_OtherPurchasedGoodsAndServices(E514,IF(J514="kg / amount unit", I514*10^-3, I514))</f>
        <v>0</v>
      </c>
      <c r="L514" s="74"/>
      <c r="M514" s="47"/>
      <c r="N514" s="74"/>
    </row>
    <row r="516" spans="3:41" ht="20.25" x14ac:dyDescent="0.25">
      <c r="D516" s="170" t="s">
        <v>628</v>
      </c>
      <c r="E516" s="168" t="s">
        <v>817</v>
      </c>
      <c r="F516" s="169" t="str">
        <f>$E$170</f>
        <v>t CO2e</v>
      </c>
    </row>
    <row r="517" spans="3:41" ht="20.25" x14ac:dyDescent="0.25">
      <c r="D517" s="170" t="s">
        <v>630</v>
      </c>
      <c r="E517" s="168">
        <f>SUM(K505:K514)</f>
        <v>4000</v>
      </c>
      <c r="F517" s="169" t="str">
        <f>$E$170</f>
        <v>t CO2e</v>
      </c>
    </row>
    <row r="520" spans="3:41" x14ac:dyDescent="0.25">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c r="AC520" s="89"/>
      <c r="AD520" s="89"/>
      <c r="AE520" s="89"/>
      <c r="AF520" s="89"/>
      <c r="AG520" s="89"/>
      <c r="AH520" s="89"/>
      <c r="AI520" s="89"/>
      <c r="AJ520" s="89"/>
      <c r="AK520" s="89"/>
      <c r="AL520" s="89"/>
      <c r="AM520" s="89"/>
      <c r="AN520" s="89"/>
      <c r="AO520" s="89"/>
    </row>
    <row r="521" spans="3:41" ht="23.25" x14ac:dyDescent="0.25">
      <c r="D521" s="9" t="str" cm="1">
        <f t="array" ref="D521">Scope3_Equations.VEERG_15_11_1_1__1_TotalUpstreamEmissionsFromFuel_Title()</f>
        <v>Total upstream emissions from scope 1 fuel consumption</v>
      </c>
    </row>
    <row r="522" spans="3:41" x14ac:dyDescent="0.25">
      <c r="D522" s="11" t="str" cm="1">
        <f t="array" ref="D522">Scope3_Equations.VEERG_15_11_1_1__1_TotalUpstreamEmissionsFromFuel_Source()</f>
        <v>VEERG 2026: 15.11.1.1, Equation (1)</v>
      </c>
    </row>
    <row r="523" spans="3:41" x14ac:dyDescent="0.25">
      <c r="D523" s="163" t="s">
        <v>621</v>
      </c>
      <c r="E523" s="163" t="str">
        <f ca="1">Common_InputFunctions.Utility_DisplayFunctionName(VEERG_15_11_1_1__1_TotalUpstreamEmissionsFromFuel_Result)</f>
        <v>=Scope3_Equations.VEERG_15_11_1_1__1_TotalUpstreamEmissionsFromFuel</v>
      </c>
    </row>
    <row r="527" spans="3:41" x14ac:dyDescent="0.25">
      <c r="D527" s="27" t="s">
        <v>622</v>
      </c>
      <c r="E527" s="8" t="str" cm="1">
        <f t="array" ref="E527">Scope3_Equations.VEERG_15_11_1_1__1_TotalUpstreamEmissionsFromFuel_Variable()</f>
        <v>E</v>
      </c>
    </row>
    <row r="528" spans="3:41" x14ac:dyDescent="0.25">
      <c r="D528" s="27" t="s">
        <v>97</v>
      </c>
      <c r="E528" s="13" t="str" cm="1">
        <f t="array" ref="E528">Scope3_Equations.VEERG_15_11_1_1__1_TotalUpstreamEmissionsFromFuel_Unit()</f>
        <v>t CO2e</v>
      </c>
    </row>
    <row r="530" spans="3:41" x14ac:dyDescent="0.25">
      <c r="D530" s="158" t="str" cm="1">
        <f t="array" ref="D530:E531">_xlfn.CHOOSECOLS(Scope3_Equations.VEERG_15_11_1_1__1_TotalUpstreamEmissionsFromFuel_Arguments(),1,2)</f>
        <v>E_WTTtransq</v>
      </c>
      <c r="E530" s="162" t="str">
        <v>upstream emissions from scope 1 transport fuel use</v>
      </c>
      <c r="F530" s="157"/>
      <c r="G530" s="158" t="str" cm="1">
        <f t="array" ref="G530:H531">_xlfn.CHOOSECOLS(Scope3_Equations.VEERG_15_11_1_1__1_TotalUpstreamEmissionsFromFuel_Arguments(),3,4)</f>
        <v>t CO2e</v>
      </c>
      <c r="H530" s="160" t="str">
        <v>Calculated by 15.11.1.1 (2)</v>
      </c>
      <c r="I530" s="158">
        <f>VEERG_8_1_1_1__1_FuelCombustionTransport_Result</f>
        <v>0.13355600000000001</v>
      </c>
    </row>
    <row r="531" spans="3:41" x14ac:dyDescent="0.25">
      <c r="D531" s="158" t="str">
        <v>E_WTTSCq</v>
      </c>
      <c r="E531" s="162" t="str">
        <v>upstream emissions from scope 1 stationary combustion fuel use</v>
      </c>
      <c r="F531" s="157"/>
      <c r="G531" s="158" t="str">
        <v>t CO2e</v>
      </c>
      <c r="H531" s="160" t="str">
        <v>Calculated by 15.11.1.1 (3)</v>
      </c>
      <c r="I531" s="158">
        <f>VEERG_8_2_1_1__1_FuelCombustionStationary_Result</f>
        <v>2.6200000000000004E-3</v>
      </c>
    </row>
    <row r="533" spans="3:41" ht="20.25" x14ac:dyDescent="0.25">
      <c r="D533" s="170" t="s">
        <v>736</v>
      </c>
      <c r="E533" s="168" cm="1">
        <f t="array" ref="E533">Scope3_Equations.VEERG_15_11_1_1__1_TotalUpstreamEmissionsFromFuel(I530,I531)</f>
        <v>0.13617600000000002</v>
      </c>
      <c r="F533" s="169" t="str">
        <f>$E$170</f>
        <v>t CO2e</v>
      </c>
    </row>
    <row r="535" spans="3:41" x14ac:dyDescent="0.25">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c r="AC535" s="89"/>
      <c r="AD535" s="89"/>
      <c r="AE535" s="89"/>
      <c r="AF535" s="89"/>
      <c r="AG535" s="89"/>
      <c r="AH535" s="89"/>
      <c r="AI535" s="89"/>
      <c r="AJ535" s="89"/>
      <c r="AK535" s="89"/>
      <c r="AL535" s="89"/>
      <c r="AM535" s="89"/>
      <c r="AN535" s="89"/>
      <c r="AO535" s="89"/>
    </row>
    <row r="536" spans="3:41" ht="23.25" x14ac:dyDescent="0.25">
      <c r="D536" s="9" t="str" cm="1">
        <f t="array" ref="D536">Scope3_Equations.VEERG_15_12_1_1__1_UpstreamPurchasedElectricityLocationBased_Title()</f>
        <v>Scope 3 emissions from purchased electricity location based</v>
      </c>
    </row>
    <row r="537" spans="3:41" x14ac:dyDescent="0.25">
      <c r="D537" s="11" t="str" cm="1">
        <f t="array" ref="D537">Scope3_Equations.VEERG_15_12_1_1__1_UpstreamPurchasedElectricityLocationBased_Source()</f>
        <v>VEERG 2026: 15.12.1.1, Equation (1)</v>
      </c>
    </row>
    <row r="538" spans="3:41" x14ac:dyDescent="0.25">
      <c r="D538" s="163" t="s">
        <v>621</v>
      </c>
      <c r="E538" s="163" t="str">
        <f ca="1">Common_InputFunctions.Utility_DisplayFunctionName(VEERG_15_12_1_1__1_UpstreamPurchasedElectricityLocationBased_Result)</f>
        <v>=Scope3_Equations.VEERG_15_12_1_1__1_UpstreamPurchasedElectricityLocationBased</v>
      </c>
    </row>
    <row r="541" spans="3:41" x14ac:dyDescent="0.25">
      <c r="D541" s="27" t="s">
        <v>622</v>
      </c>
      <c r="E541" s="8" t="str" cm="1">
        <f t="array" ref="E541">Scope3_Equations.VEERG_15_12_1_1__1_UpstreamPurchasedElectricityLocationBased_Variable()</f>
        <v>E_3elec</v>
      </c>
    </row>
    <row r="542" spans="3:41" x14ac:dyDescent="0.25">
      <c r="D542" s="27" t="s">
        <v>97</v>
      </c>
      <c r="E542" s="8" t="str" cm="1">
        <f t="array" ref="E542">Scope3_Equations.VEERG_15_12_1_1__1_UpstreamPurchasedElectricityLocationBased_Unit()</f>
        <v>t CO2e</v>
      </c>
    </row>
    <row r="544" spans="3:41" x14ac:dyDescent="0.25">
      <c r="D544" s="158" t="str" cm="1">
        <f t="array" ref="D544:E546">_xlfn.CHOOSECOLS(Scope3_Equations.VEERG_15_12_1_1__1_UpstreamPurchasedElectricityLocationBased_Arguments(),1,2)</f>
        <v>Q_elec</v>
      </c>
      <c r="E544" s="158" t="str">
        <v>amount of electricity purchased from the grid</v>
      </c>
      <c r="F544" s="158"/>
      <c r="G544" s="158" t="str" cm="1">
        <f t="array" ref="G544:H546">_xlfn.CHOOSECOLS(Scope3_Equations.VEERG_15_12_1_1__1_UpstreamPurchasedElectricityLocationBased_Arguments(),3,4)</f>
        <v>kWh</v>
      </c>
      <c r="H544" s="159" t="str">
        <v>Input</v>
      </c>
      <c r="I544" s="162">
        <f>X_Cell_Electricity_Location_AmountPurchasedInkWh</f>
        <v>500</v>
      </c>
      <c r="J544" s="157"/>
    </row>
    <row r="545" spans="3:41" x14ac:dyDescent="0.25">
      <c r="D545" s="158" t="str">
        <v>EF_3elec</v>
      </c>
      <c r="E545" s="158" t="str">
        <v>scope 3 emission factor for purchased electricity</v>
      </c>
      <c r="F545" s="158"/>
      <c r="G545" s="158" t="str">
        <v>kg CO2e/kWh</v>
      </c>
      <c r="H545" s="160" t="str">
        <v>Constant</v>
      </c>
      <c r="I545" s="162" cm="1">
        <f t="array" ref="I545">Common_InputFunctions.Utility_LookupValueInTableNumber(I546,Table_SourceData_ElectricityEFs[State, Territory or grid description],Table_SourceData_ElectricityEFs[Scope 3 Emission Factors (kg CO2-e/kWh)])</f>
        <v>0.06</v>
      </c>
      <c r="J545" s="157"/>
    </row>
    <row r="546" spans="3:41" x14ac:dyDescent="0.25">
      <c r="D546" s="158" t="str">
        <v>g</v>
      </c>
      <c r="E546" s="162" t="str">
        <v>grid electricity was purchased from</v>
      </c>
      <c r="F546" s="157"/>
      <c r="G546" s="158" t="str">
        <v/>
      </c>
      <c r="H546" s="159" t="str">
        <v>Input</v>
      </c>
      <c r="I546" s="162" t="str">
        <f>X_Cell_Electricity_Location_GridElectricityPurchasedFrom</f>
        <v>Western Australia - South West Interconnected System (SWIS)</v>
      </c>
      <c r="J546" s="157"/>
    </row>
    <row r="548" spans="3:41" ht="20.25" x14ac:dyDescent="0.25">
      <c r="D548" s="170" t="s">
        <v>737</v>
      </c>
      <c r="E548" s="168" cm="1">
        <f t="array" ref="E548">Scope3_Equations.VEERG_15_12_1_1__1_UpstreamPurchasedElectricityLocationBased(I544,I545)</f>
        <v>0.03</v>
      </c>
      <c r="F548" s="169" t="str">
        <f>$E$170</f>
        <v>t CO2e</v>
      </c>
    </row>
    <row r="551" spans="3:41" x14ac:dyDescent="0.25">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c r="AC551" s="89"/>
      <c r="AD551" s="89"/>
      <c r="AE551" s="89"/>
      <c r="AF551" s="89"/>
      <c r="AG551" s="89"/>
      <c r="AH551" s="89"/>
      <c r="AI551" s="89"/>
      <c r="AJ551" s="89"/>
      <c r="AK551" s="89"/>
      <c r="AL551" s="89"/>
      <c r="AM551" s="89"/>
      <c r="AN551" s="89"/>
      <c r="AO551" s="89"/>
    </row>
    <row r="552" spans="3:41" ht="23.25" x14ac:dyDescent="0.25">
      <c r="D552" s="9" t="str" cm="1">
        <f t="array" ref="D552">Scope3_Equations.VEERG_15_12_1_2__1_UpstreamPurchasedElectricityMarketBased_Title()</f>
        <v>Scope 3 emissions from purchased electricity market based</v>
      </c>
    </row>
    <row r="553" spans="3:41" x14ac:dyDescent="0.25">
      <c r="D553" s="11" t="str" cm="1">
        <f t="array" ref="D553">Scope3_Equations.VEERG_15_12_1_2__1_UpstreamPurchasedElectricityMarketBased_Source()</f>
        <v>VEERG 2026: 15.12.1.2, Equation (1)</v>
      </c>
    </row>
    <row r="554" spans="3:41" x14ac:dyDescent="0.25">
      <c r="D554" s="12"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63" t="s">
        <v>621</v>
      </c>
      <c r="E555" s="163" t="str">
        <f ca="1">Common_InputFunctions.Utility_DisplayFunctionName(VEERG_15_12_1_2__1_UpstreamPurchasedElectricityMarketBasedVariation_Result)</f>
        <v>=Scope3_Equations.VEERG_15_12_1_2__1_UpstreamPurchasedElectricityMarketBasedVariation</v>
      </c>
    </row>
    <row r="559" spans="3:41" x14ac:dyDescent="0.25">
      <c r="D559" s="27" t="s">
        <v>622</v>
      </c>
      <c r="E559" s="8" t="str" cm="1">
        <f t="array" ref="E559">Scope3_Equations.VEERG_15_12_1_2__1_UpstreamPurchasedElectricityMarketBased_Variable()</f>
        <v>E_3elec</v>
      </c>
    </row>
    <row r="560" spans="3:41" x14ac:dyDescent="0.25">
      <c r="D560" s="27" t="s">
        <v>97</v>
      </c>
      <c r="E560" s="8" t="str" cm="1">
        <f t="array" ref="E560">Scope3_Equations.VEERG_15_12_1_2__1_UpstreamPurchasedElectricityMarketBased_Unit()</f>
        <v>t CO2e</v>
      </c>
    </row>
    <row r="562" spans="3:41" x14ac:dyDescent="0.25">
      <c r="D562" s="158" t="str" cm="1">
        <f t="array" ref="D562:E568">_xlfn.CHOOSECOLS(Scope3_Equations.VEERG_15_12_1_2__1_UpstreamPurchasedElectricityMarketBased_Arguments(),1,2)</f>
        <v>Q_elec</v>
      </c>
      <c r="E562" s="162" t="str">
        <v>amount of electricity purchased from the grid</v>
      </c>
      <c r="F562" s="157"/>
      <c r="G562" s="158" t="str" cm="1">
        <f t="array" ref="G562:H568">_xlfn.CHOOSECOLS(Scope3_Equations.VEERG_15_12_1_2__1_UpstreamPurchasedElectricityMarketBased_Arguments(),3,4)</f>
        <v>kWh</v>
      </c>
      <c r="H562" s="159" t="str">
        <v>Input</v>
      </c>
      <c r="I562" s="195">
        <f>X_Cell_Electricity_Market_AmountPurchasedExcludingGreenPower</f>
        <v>30000</v>
      </c>
    </row>
    <row r="563" spans="3:41" x14ac:dyDescent="0.25">
      <c r="D563" s="158" t="str">
        <v>RPP</v>
      </c>
      <c r="E563" s="162" t="str">
        <v>renewable power percentage under LRET for the applicable period</v>
      </c>
      <c r="F563" s="157"/>
      <c r="G563" s="158" t="str">
        <v>fraction</v>
      </c>
      <c r="H563" s="159" t="str">
        <v>Input</v>
      </c>
      <c r="I563" s="194">
        <f>X_Cell_Electricity_Market_RenewablePowerPercentage</f>
        <v>0.1</v>
      </c>
    </row>
    <row r="564" spans="3:41" x14ac:dyDescent="0.25">
      <c r="D564" s="158" t="str">
        <v>JRPP</v>
      </c>
      <c r="E564" s="162" t="str">
        <v>jurisdictional renewable power percentage for the applicable period</v>
      </c>
      <c r="F564" s="157"/>
      <c r="G564" s="158" t="str">
        <v>fraction</v>
      </c>
      <c r="H564" s="159" t="str">
        <v>Input</v>
      </c>
      <c r="I564" s="194">
        <f>X_Cell_Electricity_Market_JurisdictionalRenewablePowerPercentage</f>
        <v>0.1</v>
      </c>
    </row>
    <row r="565" spans="3:41" x14ac:dyDescent="0.25">
      <c r="D565" s="158" t="str">
        <v>REC_surrendered</v>
      </c>
      <c r="E565" s="162" t="str">
        <v>eligible renewable energy certificates voluntarily surrendered</v>
      </c>
      <c r="F565" s="157"/>
      <c r="G565" s="158" t="str">
        <v>MWh</v>
      </c>
      <c r="H565" s="159" t="str">
        <v>Input</v>
      </c>
      <c r="I565" s="158">
        <f>(X_Cell_Electricity_Market_AmountPurchasedGreenPower*10^-3)+X_Cell_TotalElegibleVoluntarilySurrenderedRECs</f>
        <v>20</v>
      </c>
    </row>
    <row r="566" spans="3:41" x14ac:dyDescent="0.25">
      <c r="D566" s="158" t="str">
        <v>REC_onsite</v>
      </c>
      <c r="E566" s="162" t="str">
        <v>eligible renewable energy certificates issued for onsite generated electricity</v>
      </c>
      <c r="F566" s="157"/>
      <c r="G566" s="158" t="str">
        <v>MWh</v>
      </c>
      <c r="H566" s="159" t="str">
        <v>Input</v>
      </c>
      <c r="I566" s="158">
        <f>X_Cell_TotalElegibleRECsForElectricityProducedOnSite</f>
        <v>11</v>
      </c>
    </row>
    <row r="567" spans="3:41" x14ac:dyDescent="0.25">
      <c r="D567" s="158" t="str">
        <v>EF_RMF3elec</v>
      </c>
      <c r="E567" s="162" t="str">
        <v>scope 3 residual mix emission factor for electricity</v>
      </c>
      <c r="F567" s="157"/>
      <c r="G567" s="158" t="str">
        <v>kg CO2e/kWh</v>
      </c>
      <c r="H567" s="160" t="str">
        <v>Constant</v>
      </c>
      <c r="I567" s="158" cm="1">
        <f t="array" ref="I567">Table_SourceData_ElectricityEFsMarketBased[Scope 3 EF (kg CO2-e/kWh)]</f>
        <v>0.1</v>
      </c>
    </row>
    <row r="568" spans="3:41" x14ac:dyDescent="0.25">
      <c r="D568" s="158" t="str">
        <v>i</v>
      </c>
      <c r="E568" s="162" t="str">
        <v>state</v>
      </c>
      <c r="F568" s="157"/>
      <c r="G568" s="158" t="str">
        <v/>
      </c>
      <c r="H568" s="159" t="str">
        <v>Input</v>
      </c>
      <c r="I568" s="158" t="str">
        <f>X_Cell_Site_State</f>
        <v>ACT</v>
      </c>
    </row>
    <row r="570" spans="3:41" ht="20.25" x14ac:dyDescent="0.25">
      <c r="D570" s="170" t="s">
        <v>737</v>
      </c>
      <c r="E570" s="168" cm="1">
        <f t="array" ref="E570">Scope3_Equations.VEERG_15_12_1_2__1_UpstreamPurchasedElectricityMarketBasedVariation(I562,I563,I564,I565,I566,I567)</f>
        <v>1.5</v>
      </c>
      <c r="F570" s="169" t="str">
        <f>$E$170</f>
        <v>t CO2e</v>
      </c>
    </row>
    <row r="573" spans="3:41" x14ac:dyDescent="0.25">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c r="AG573" s="89"/>
      <c r="AH573" s="89"/>
      <c r="AI573" s="89"/>
      <c r="AJ573" s="89"/>
      <c r="AK573" s="89"/>
      <c r="AL573" s="89"/>
      <c r="AM573" s="89"/>
      <c r="AN573" s="89"/>
      <c r="AO573" s="89"/>
    </row>
    <row r="574" spans="3:41" ht="23.25" x14ac:dyDescent="0.25">
      <c r="D574" s="9" t="str" cm="1">
        <f t="array" ref="D574">Scope3_Equations.VEERG_15_13_1_1__1_EmissionsFromManureSentOffSite_Title()</f>
        <v>Emissions from manure sent off site applied to soils in another farming system or enterprise</v>
      </c>
    </row>
    <row r="575" spans="3:41" x14ac:dyDescent="0.25">
      <c r="D575" s="11" t="str" cm="1">
        <f t="array" ref="D575">Scope3_Equations.VEERG_15_13_1_1__1_EmissionsFromManureSentOffSite_Source()</f>
        <v>VEERG 2026: 15.13.1.1, Equation (1)</v>
      </c>
    </row>
    <row r="576" spans="3:41" x14ac:dyDescent="0.25">
      <c r="D576" s="163" t="s">
        <v>621</v>
      </c>
      <c r="E576" s="163" t="str" cm="1">
        <f t="array" aca="1" ref="E576" ca="1">Common_InputFunctions.Utility_DisplayFunctionName(E588)</f>
        <v>=Scope3_Equations.VEERG_15_13_1_1__1_EmissionsFromManureSentOffSite</v>
      </c>
    </row>
    <row r="579" spans="4:18" x14ac:dyDescent="0.25">
      <c r="D579" s="27" t="s">
        <v>622</v>
      </c>
      <c r="E579" s="8" t="str" cm="1">
        <f t="array" ref="E579">Scope3_Equations.VEERG_15_13_1_1__1_EmissionsFromManureSentOffSite_Variable()</f>
        <v>E</v>
      </c>
    </row>
    <row r="580" spans="4:18" x14ac:dyDescent="0.25">
      <c r="D580" s="27" t="s">
        <v>97</v>
      </c>
      <c r="E580" s="13" t="str" cm="1">
        <f t="array" ref="E580">Scope3_Equations.VEERG_15_13_1_1__1_EmissionsFromManureSentOffSite_Unit()</f>
        <v>t N2O</v>
      </c>
    </row>
    <row r="582" spans="4:18" x14ac:dyDescent="0.25">
      <c r="D582" s="7" t="s">
        <v>405</v>
      </c>
      <c r="L582" s="7" t="s">
        <v>406</v>
      </c>
    </row>
    <row r="584" spans="4:18" x14ac:dyDescent="0.25">
      <c r="D584" s="158" t="str" cm="1">
        <f t="array" ref="D584:E586">_xlfn.CHOOSECOLS(Scope3_Equations.VEERG_15_13_1_1__1_EmissionsFromManureSentOffSite_Arguments(),1,2)</f>
        <v>E_N2O</v>
      </c>
      <c r="E584" s="162" t="str">
        <v>direct nitrous oxide emissions from application of manure to soils outside of scope 1 boundary</v>
      </c>
      <c r="F584" s="196"/>
      <c r="G584" s="157"/>
      <c r="H584" s="158" t="str" cm="1">
        <f t="array" ref="H584:I586">_xlfn.CHOOSECOLS(Scope3_Equations.VEERG_15_13_1_1__1_EmissionsFromManureSentOffSite_Arguments(),3,4)</f>
        <v>t N2O</v>
      </c>
      <c r="I584" s="160" t="str">
        <v>Calculated</v>
      </c>
      <c r="J584" s="158">
        <f>IFERROR(VEERG_5_2_1_1__1_OrganicFertiliserApplicationN2OEmissions_Result_Method1, 0)</f>
        <v>7.8571428571428577E-3</v>
      </c>
      <c r="L584" s="158" t="str" cm="1">
        <f t="array" ref="L584:M586">_xlfn.CHOOSECOLS(Scope3_Equations.VEERG_15_13_1_1__1_EmissionsFromManureSentOffSite_Arguments(),1,2)</f>
        <v>E_N2O</v>
      </c>
      <c r="M584" s="162" t="str">
        <v>direct nitrous oxide emissions from application of manure to soils outside of scope 1 boundary</v>
      </c>
      <c r="N584" s="196"/>
      <c r="O584" s="157"/>
      <c r="P584" s="158" t="str" cm="1">
        <f t="array" ref="P584:Q586">_xlfn.CHOOSECOLS(Scope3_Equations.VEERG_15_13_1_1__1_EmissionsFromManureSentOffSite_Arguments(),3,4)</f>
        <v>t N2O</v>
      </c>
      <c r="Q584" s="160" t="str">
        <v>Calculated</v>
      </c>
      <c r="R584" s="158">
        <f>IFERROR(VEERG_5_2_1_1__1_OrganicFertiliserApplicationN2OEmissions_Result_Method2, 0)</f>
        <v>1.5714285714285715E-2</v>
      </c>
    </row>
    <row r="585" spans="4:18" x14ac:dyDescent="0.25">
      <c r="D585" s="158" t="str">
        <v>E_ad</v>
      </c>
      <c r="E585" s="162" t="str">
        <v>nitrous oxide emissions from atmospheric deposition of manure to soils</v>
      </c>
      <c r="F585" s="196"/>
      <c r="G585" s="157"/>
      <c r="H585" s="158" t="str">
        <v>t N2O</v>
      </c>
      <c r="I585" s="160" t="str">
        <v>Calculated</v>
      </c>
      <c r="J585" s="158">
        <f>IFERROR(VEERG_5_4_1_3__1_OrganicFertiliserAtmosphericDepositionN2OEmissions_Result_Method1, 0)</f>
        <v>2.31E-3</v>
      </c>
      <c r="L585" s="158" t="str">
        <v>E_ad</v>
      </c>
      <c r="M585" s="162" t="str">
        <v>nitrous oxide emissions from atmospheric deposition of manure to soils</v>
      </c>
      <c r="N585" s="196"/>
      <c r="O585" s="157"/>
      <c r="P585" s="158" t="str">
        <v>t N2O</v>
      </c>
      <c r="Q585" s="160" t="str">
        <v>Calculated</v>
      </c>
      <c r="R585" s="158">
        <f>IFERROR(VEERG_5_4_1_3__1_OrganicFertiliserAtmosphericDepositionN2OEmissions_Result_Method2, 0)</f>
        <v>4.62E-3</v>
      </c>
    </row>
    <row r="586" spans="4:18" x14ac:dyDescent="0.25">
      <c r="D586" s="158" t="str">
        <v>E_leach</v>
      </c>
      <c r="E586" s="162" t="str">
        <v>nitrous oxide emissions from nitrogen leaching and runoff of manure to soils</v>
      </c>
      <c r="F586" s="196"/>
      <c r="G586" s="157"/>
      <c r="H586" s="158" t="str">
        <v>t N2O</v>
      </c>
      <c r="I586" s="160" t="str">
        <v>Calculated</v>
      </c>
      <c r="J586" s="158">
        <f>IFERROR(VEERG_5_5_1_1__1_FertiliserLeachingAndRunoffN2OEmissions_Result_Method1, 0)</f>
        <v>4.1485714285714277E-3</v>
      </c>
      <c r="L586" s="158" t="str">
        <v>E_leach</v>
      </c>
      <c r="M586" s="162" t="str">
        <v>nitrous oxide emissions from nitrogen leaching and runoff of manure to soils</v>
      </c>
      <c r="N586" s="196"/>
      <c r="O586" s="157"/>
      <c r="P586" s="158" t="str">
        <v>t N2O</v>
      </c>
      <c r="Q586" s="160" t="str">
        <v>Calculated</v>
      </c>
      <c r="R586" s="158">
        <f>IFERROR(VEERG_5_5_1_1__1_FertiliserLeachingAndRunoffN2OEmissions_Result_Method2, 0)</f>
        <v>8.2971428571428554E-3</v>
      </c>
    </row>
    <row r="588" spans="4:18" ht="20.25" x14ac:dyDescent="0.25">
      <c r="D588" s="170" t="s">
        <v>737</v>
      </c>
      <c r="E588" s="168" cm="1">
        <f t="array" ref="E588">Scope3_Equations.VEERG_15_13_1_1__1_EmissionsFromManureSentOffSite(J584,J585,J586)</f>
        <v>1.4315714285714286E-2</v>
      </c>
      <c r="F588" s="169" t="str">
        <f>$E$580</f>
        <v>t N2O</v>
      </c>
      <c r="L588" s="170" t="s">
        <v>737</v>
      </c>
      <c r="M588" s="168" cm="1">
        <f t="array" ref="M588">Scope3_Equations.VEERG_15_13_1_1__1_EmissionsFromManureSentOffSite(R584,R585,R586)</f>
        <v>2.8631428571428572E-2</v>
      </c>
      <c r="N588" s="169" t="str">
        <f>$E$580</f>
        <v>t N2O</v>
      </c>
    </row>
    <row r="590" spans="4:18" x14ac:dyDescent="0.25">
      <c r="D590" s="197" t="str" cm="1">
        <f t="array" ref="D590:E591">Common_Equations.Common_ConvertN2OToCO2e_Arguments()</f>
        <v>EN2O</v>
      </c>
      <c r="E590" s="198" t="str">
        <v>Nitrous oxide emissions (t N2O)</v>
      </c>
      <c r="F590" s="199"/>
      <c r="G590" s="49">
        <f>E588</f>
        <v>1.4315714285714286E-2</v>
      </c>
      <c r="L590" s="197" t="str" cm="1">
        <f t="array" ref="L590:M591">Common_Equations.Common_ConvertN2OToCO2e_Arguments()</f>
        <v>EN2O</v>
      </c>
      <c r="M590" s="198" t="str">
        <v>Nitrous oxide emissions (t N2O)</v>
      </c>
      <c r="N590" s="199"/>
      <c r="O590" s="49">
        <f>M588</f>
        <v>2.8631428571428572E-2</v>
      </c>
    </row>
    <row r="591" spans="4:18" x14ac:dyDescent="0.25">
      <c r="D591" s="197" t="str">
        <v>GWPN2O</v>
      </c>
      <c r="E591" s="198" t="str">
        <v>Global warming potential for nitrous oxide (t CO2-e / t N2O)</v>
      </c>
      <c r="F591" s="199"/>
      <c r="G591" s="49">
        <f>Common_InputFunctions.Utility_LookupValueInTableNumber("N2O",Table_GWPData[Gas],Table_GWPData[CO2-e factor])</f>
        <v>265</v>
      </c>
      <c r="L591" s="197" t="str">
        <v>GWPN2O</v>
      </c>
      <c r="M591" s="198" t="str">
        <v>Global warming potential for nitrous oxide (t CO2-e / t N2O)</v>
      </c>
      <c r="N591" s="199"/>
      <c r="O591" s="49">
        <f>Common_InputFunctions.Utility_LookupValueInTableNumber("N2O",Table_GWPData[Gas],Table_GWPData[CO2-e factor])</f>
        <v>265</v>
      </c>
    </row>
    <row r="593" spans="3:41" ht="18.75" x14ac:dyDescent="0.25">
      <c r="D593" s="89" t="s">
        <v>742</v>
      </c>
      <c r="E593" s="89" cm="1">
        <f t="array" ref="E593">Common_Equations.Common_ConvertN2OToCO2e(G590,G591)</f>
        <v>3.7936642857142857</v>
      </c>
      <c r="F593" s="166" t="str" cm="1">
        <f t="array" ref="F593">Common_Equations.Common_ConvertN2OToCO2e_Unit()</f>
        <v>t CO2e</v>
      </c>
      <c r="L593" s="89" t="s">
        <v>742</v>
      </c>
      <c r="M593" s="89" cm="1">
        <f t="array" ref="M593">Common_Equations.Common_ConvertN2OToCO2e(O590,O591)</f>
        <v>7.5873285714285714</v>
      </c>
      <c r="N593" s="166" t="str" cm="1">
        <f t="array" ref="N593">Common_Equations.Common_ConvertN2OToCO2e_Unit()</f>
        <v>t CO2e</v>
      </c>
    </row>
    <row r="596" spans="3:41" x14ac:dyDescent="0.25">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c r="AC596" s="89"/>
      <c r="AD596" s="89"/>
      <c r="AE596" s="89"/>
      <c r="AF596" s="89"/>
      <c r="AG596" s="89"/>
      <c r="AH596" s="89"/>
      <c r="AI596" s="89"/>
      <c r="AJ596" s="89"/>
      <c r="AK596" s="89"/>
      <c r="AL596" s="89"/>
      <c r="AM596" s="89"/>
      <c r="AN596" s="89"/>
      <c r="AO596" s="89"/>
    </row>
    <row r="597" spans="3:41" ht="23.25" x14ac:dyDescent="0.25">
      <c r="D597" s="9" t="str" cm="1">
        <f t="array" ref="D597">Scope3_Equations.VEERG_15_13_1_3__1_EmissionsFromSolidWasteTreatmentFacility_Title()</f>
        <v>Emissions from solid waste sent to a treatment facility</v>
      </c>
    </row>
    <row r="598" spans="3:41" x14ac:dyDescent="0.25">
      <c r="D598" s="11" t="str" cm="1">
        <f t="array" ref="D598">Scope3_Equations.VEERG_15_13_1_3__1_EmissionsFromSolidWasteTreatmentFacility_Source()</f>
        <v>VEERG 2026: 15.13.1.3</v>
      </c>
    </row>
    <row r="600" spans="3:41" x14ac:dyDescent="0.25">
      <c r="D600" s="27" t="s">
        <v>622</v>
      </c>
      <c r="E600" s="8" t="str" cm="1">
        <f t="array" ref="E600">Scope3_Equations.VEERG_15_13_1_3__1_EmissionsFromSolidWasteTreatmentFacility_Variable()</f>
        <v>E</v>
      </c>
    </row>
    <row r="601" spans="3:41" x14ac:dyDescent="0.25">
      <c r="D601" s="27" t="s">
        <v>97</v>
      </c>
      <c r="E601" s="13" t="str" cm="1">
        <f t="array" ref="E601">Scope3_Equations.VEERG_15_13_1_3__1_EmissionsFromSolidWasteTreatmentFacility_Unit()</f>
        <v>t CO2e</v>
      </c>
    </row>
    <row r="603" spans="3:41" ht="20.25" x14ac:dyDescent="0.25">
      <c r="D603" s="170" t="s">
        <v>737</v>
      </c>
      <c r="E603" s="168">
        <f>VEERG_10_1_1_1__1_EmissionsFromWasteManagement_Scope3_Result_Method1</f>
        <v>330.84210000000002</v>
      </c>
      <c r="F603" s="169" t="str">
        <f>E601</f>
        <v>t CO2e</v>
      </c>
    </row>
    <row r="606" spans="3:41" x14ac:dyDescent="0.25">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c r="AC606" s="89"/>
      <c r="AD606" s="89"/>
      <c r="AE606" s="89"/>
      <c r="AF606" s="89"/>
      <c r="AG606" s="89"/>
      <c r="AH606" s="89"/>
      <c r="AI606" s="89"/>
      <c r="AJ606" s="89"/>
      <c r="AK606" s="89"/>
      <c r="AL606" s="89"/>
      <c r="AM606" s="89"/>
      <c r="AN606" s="89"/>
      <c r="AO606" s="89"/>
    </row>
    <row r="607" spans="3:41" ht="23.25" x14ac:dyDescent="0.25">
      <c r="D607" s="9" t="str" cm="1">
        <f t="array" ref="D607">Scope3_Equations.VEERG_15_14_1_1__1_EmbeddedEmissionsFromUpstreamFreight_Title()</f>
        <v>Embedded emissions from upstream freight</v>
      </c>
    </row>
    <row r="608" spans="3:41" x14ac:dyDescent="0.25">
      <c r="D608" s="11" t="str" cm="1">
        <f t="array" ref="D608">Scope3_Equations.VEERG_15_14_1_1__1_EmbeddedEmissionsFromUpstreamFreight_Source()</f>
        <v>VEERG 2026: 15.14.1.1, Equation (1)</v>
      </c>
    </row>
    <row r="609" spans="4:13" x14ac:dyDescent="0.25">
      <c r="D609" s="163" t="s">
        <v>621</v>
      </c>
      <c r="E609" s="163" t="str" cm="1">
        <f t="array" aca="1" ref="E609" ca="1">Common_InputFunctions.Utility_DisplayFunctionName(J624)</f>
        <v>=Scope3_Equations.VEERG_15_14_1_1__1_EmbeddedEmissionsFromUpstreamFreight</v>
      </c>
    </row>
    <row r="613" spans="4:13" x14ac:dyDescent="0.25">
      <c r="D613" s="27" t="s">
        <v>622</v>
      </c>
      <c r="E613" s="8" t="str" cm="1">
        <f t="array" ref="E613">Scope3_Equations.VEERG_15_14_1_1__1_EmbeddedEmissionsFromUpstreamFreight_Variable()</f>
        <v>E</v>
      </c>
    </row>
    <row r="614" spans="4:13" x14ac:dyDescent="0.25">
      <c r="D614" s="27" t="s">
        <v>97</v>
      </c>
      <c r="E614" s="13" t="str" cm="1">
        <f t="array" ref="E614">Scope3_Equations.VEERG_15_14_1_1__1_EmbeddedEmissionsFromUpstreamFreight_Unit()</f>
        <v>t CO2e</v>
      </c>
    </row>
    <row r="616" spans="4:13" x14ac:dyDescent="0.25">
      <c r="D616" s="158" t="str" cm="1">
        <f t="array" ref="D616:E619">_xlfn.CHOOSECOLS(Scope3_Equations.VEERG_15_14_1_1__1_EmbeddedEmissionsFromUpstreamFreight_Arguments(),1,2)</f>
        <v>W_f</v>
      </c>
      <c r="E616" s="162" t="str">
        <v>total mass of goods transported per freight type f</v>
      </c>
      <c r="F616" s="157"/>
      <c r="G616" s="158" t="str" cm="1">
        <f t="array" ref="G616:H619">_xlfn.CHOOSECOLS(Scope3_Equations.VEERG_15_14_1_1__1_EmbeddedEmissionsFromUpstreamFreight_Arguments(),3,4)</f>
        <v>t</v>
      </c>
      <c r="H616" s="159" t="str">
        <v>Input</v>
      </c>
    </row>
    <row r="617" spans="4:13" x14ac:dyDescent="0.25">
      <c r="D617" s="158" t="str">
        <v>D_f</v>
      </c>
      <c r="E617" s="162" t="str">
        <v>total distance transported per freight type f</v>
      </c>
      <c r="F617" s="157"/>
      <c r="G617" s="158" t="str">
        <v>km</v>
      </c>
      <c r="H617" s="159" t="str">
        <v>Input</v>
      </c>
    </row>
    <row r="618" spans="4:13" x14ac:dyDescent="0.25">
      <c r="D618" s="158" t="str">
        <v>EF_f</v>
      </c>
      <c r="E618" s="162" t="str">
        <v>emission factor for freight type f</v>
      </c>
      <c r="F618" s="157"/>
      <c r="G618" s="158" t="str">
        <v>t CO2e/(t km)</v>
      </c>
      <c r="H618" s="160" t="str">
        <v>Constant</v>
      </c>
    </row>
    <row r="619" spans="4:13" x14ac:dyDescent="0.25">
      <c r="D619" s="158" t="str">
        <v>f</v>
      </c>
      <c r="E619" s="162" t="str">
        <v>freight type</v>
      </c>
      <c r="F619" s="157"/>
      <c r="G619" s="158" t="str">
        <v/>
      </c>
      <c r="H619" s="159" t="str">
        <v>Input</v>
      </c>
    </row>
    <row r="621" spans="4:13" ht="18.75" x14ac:dyDescent="0.25">
      <c r="D621" s="135" t="s">
        <v>801</v>
      </c>
    </row>
    <row r="623" spans="4:13" ht="17.25" x14ac:dyDescent="0.25">
      <c r="D623" s="46" t="s">
        <v>802</v>
      </c>
      <c r="E623" s="46" t="s">
        <v>814</v>
      </c>
      <c r="F623" s="46" t="s">
        <v>815</v>
      </c>
      <c r="G623" s="57" t="s">
        <v>816</v>
      </c>
      <c r="H623" s="57" t="s">
        <v>628</v>
      </c>
      <c r="I623" s="46" t="s">
        <v>664</v>
      </c>
      <c r="J623" s="57" t="s">
        <v>630</v>
      </c>
      <c r="K623" s="46" t="s">
        <v>624</v>
      </c>
      <c r="L623" s="46" t="s">
        <v>625</v>
      </c>
      <c r="M623" s="46" t="s">
        <v>626</v>
      </c>
    </row>
    <row r="624" spans="4:13" x14ac:dyDescent="0.25">
      <c r="D624" s="49" t="str" cm="1">
        <f t="array" ref="D624:D633">IFERROR(INDEX(Table_Input_FreightIncoming[Route name], _xlfn.SEQUENCE(10)), "")</f>
        <v>Melbourne depot to farm depot weekly</v>
      </c>
      <c r="E624" s="49" cm="1">
        <f t="array" ref="E624:E633">IFERROR(INDEX(Table_Input_FreightIncoming[Average weight of freight per trip (t)], _xlfn.SEQUENCE(10)), "")</f>
        <v>10</v>
      </c>
      <c r="F624" s="49" cm="1">
        <f t="array" ref="F624:F633">IFERROR(INDEX(Table_Input_FreightIncoming[Route distance (km)], _xlfn.SEQUENCE(10))*INDEX(Table_Input_FreightIncoming[Number of trips taken], _xlfn.SEQUENCE(10)), "")</f>
        <v>51272</v>
      </c>
      <c r="G624" s="49" t="s">
        <v>817</v>
      </c>
      <c r="H624" s="49" t="s">
        <v>817</v>
      </c>
      <c r="I624" s="64">
        <v>10</v>
      </c>
      <c r="J624" s="49" cm="1">
        <f t="array" ref="J624">Scope3_Equations.VEERG_15_14_1_1__1_EmbeddedEmissionsFromUpstreamFreight(E624,F624,I624)</f>
        <v>5127200</v>
      </c>
      <c r="K624" s="74"/>
      <c r="L624" s="47"/>
      <c r="M624" s="74"/>
    </row>
    <row r="625" spans="4:13" x14ac:dyDescent="0.25">
      <c r="D625" s="49" t="str">
        <v>Fertiliser supplier to farm</v>
      </c>
      <c r="E625" s="49">
        <v>10</v>
      </c>
      <c r="F625" s="49">
        <v>390</v>
      </c>
      <c r="G625" s="49" t="s">
        <v>817</v>
      </c>
      <c r="H625" s="49" t="s">
        <v>817</v>
      </c>
      <c r="I625" s="64">
        <v>5</v>
      </c>
      <c r="J625" s="49" cm="1">
        <f t="array" ref="J625">Scope3_Equations.VEERG_15_14_1_1__1_EmbeddedEmissionsFromUpstreamFreight(E625,F625,I625)</f>
        <v>19500</v>
      </c>
      <c r="K625" s="74"/>
      <c r="L625" s="47"/>
      <c r="M625" s="74"/>
    </row>
    <row r="626" spans="4:13" x14ac:dyDescent="0.25">
      <c r="D626" s="49">
        <v>0</v>
      </c>
      <c r="E626" s="49">
        <v>0</v>
      </c>
      <c r="F626" s="49">
        <v>0</v>
      </c>
      <c r="G626" s="49" t="s">
        <v>817</v>
      </c>
      <c r="H626" s="49" t="s">
        <v>817</v>
      </c>
      <c r="I626" s="64"/>
      <c r="J626" s="49" cm="1">
        <f t="array" ref="J626">Scope3_Equations.VEERG_15_14_1_1__1_EmbeddedEmissionsFromUpstreamFreight(E626,F626,I626)</f>
        <v>0</v>
      </c>
      <c r="K626" s="74"/>
      <c r="L626" s="47"/>
      <c r="M626" s="74"/>
    </row>
    <row r="627" spans="4:13" x14ac:dyDescent="0.25">
      <c r="D627" s="49">
        <v>0</v>
      </c>
      <c r="E627" s="49">
        <v>0</v>
      </c>
      <c r="F627" s="49">
        <v>0</v>
      </c>
      <c r="G627" s="49" t="s">
        <v>817</v>
      </c>
      <c r="H627" s="49" t="s">
        <v>817</v>
      </c>
      <c r="I627" s="64"/>
      <c r="J627" s="49" cm="1">
        <f t="array" ref="J627">Scope3_Equations.VEERG_15_14_1_1__1_EmbeddedEmissionsFromUpstreamFreight(E627,F627,I627)</f>
        <v>0</v>
      </c>
      <c r="K627" s="74"/>
      <c r="L627" s="47"/>
      <c r="M627" s="74"/>
    </row>
    <row r="628" spans="4:13" x14ac:dyDescent="0.25">
      <c r="D628" s="49">
        <v>0</v>
      </c>
      <c r="E628" s="49">
        <v>0</v>
      </c>
      <c r="F628" s="49">
        <v>0</v>
      </c>
      <c r="G628" s="49" t="s">
        <v>817</v>
      </c>
      <c r="H628" s="49" t="s">
        <v>817</v>
      </c>
      <c r="I628" s="64"/>
      <c r="J628" s="49" cm="1">
        <f t="array" ref="J628">Scope3_Equations.VEERG_15_14_1_1__1_EmbeddedEmissionsFromUpstreamFreight(E628,F628,I628)</f>
        <v>0</v>
      </c>
      <c r="K628" s="74"/>
      <c r="L628" s="47"/>
      <c r="M628" s="74"/>
    </row>
    <row r="629" spans="4:13" x14ac:dyDescent="0.25">
      <c r="D629" s="49">
        <v>0</v>
      </c>
      <c r="E629" s="49">
        <v>0</v>
      </c>
      <c r="F629" s="49">
        <v>0</v>
      </c>
      <c r="G629" s="49" t="s">
        <v>817</v>
      </c>
      <c r="H629" s="49" t="s">
        <v>817</v>
      </c>
      <c r="I629" s="64"/>
      <c r="J629" s="49" cm="1">
        <f t="array" ref="J629">Scope3_Equations.VEERG_15_14_1_1__1_EmbeddedEmissionsFromUpstreamFreight(E629,F629,I629)</f>
        <v>0</v>
      </c>
      <c r="K629" s="74"/>
      <c r="L629" s="47"/>
      <c r="M629" s="74"/>
    </row>
    <row r="630" spans="4:13" x14ac:dyDescent="0.25">
      <c r="D630" s="49">
        <v>0</v>
      </c>
      <c r="E630" s="49">
        <v>0</v>
      </c>
      <c r="F630" s="49">
        <v>0</v>
      </c>
      <c r="G630" s="49" t="s">
        <v>817</v>
      </c>
      <c r="H630" s="49" t="s">
        <v>817</v>
      </c>
      <c r="I630" s="64"/>
      <c r="J630" s="49" cm="1">
        <f t="array" ref="J630">Scope3_Equations.VEERG_15_14_1_1__1_EmbeddedEmissionsFromUpstreamFreight(E630,F630,I630)</f>
        <v>0</v>
      </c>
      <c r="K630" s="74"/>
      <c r="L630" s="47"/>
      <c r="M630" s="74"/>
    </row>
    <row r="631" spans="4:13" x14ac:dyDescent="0.25">
      <c r="D631" s="49">
        <v>0</v>
      </c>
      <c r="E631" s="49">
        <v>0</v>
      </c>
      <c r="F631" s="49">
        <v>0</v>
      </c>
      <c r="G631" s="49" t="s">
        <v>817</v>
      </c>
      <c r="H631" s="49" t="s">
        <v>817</v>
      </c>
      <c r="I631" s="64"/>
      <c r="J631" s="49" cm="1">
        <f t="array" ref="J631">Scope3_Equations.VEERG_15_14_1_1__1_EmbeddedEmissionsFromUpstreamFreight(E631,F631,I631)</f>
        <v>0</v>
      </c>
      <c r="K631" s="74"/>
      <c r="L631" s="47"/>
      <c r="M631" s="74"/>
    </row>
    <row r="632" spans="4:13" x14ac:dyDescent="0.25">
      <c r="D632" s="49">
        <v>0</v>
      </c>
      <c r="E632" s="49">
        <v>0</v>
      </c>
      <c r="F632" s="49">
        <v>0</v>
      </c>
      <c r="G632" s="49" t="s">
        <v>817</v>
      </c>
      <c r="H632" s="49" t="s">
        <v>817</v>
      </c>
      <c r="I632" s="64"/>
      <c r="J632" s="49" cm="1">
        <f t="array" ref="J632">Scope3_Equations.VEERG_15_14_1_1__1_EmbeddedEmissionsFromUpstreamFreight(E632,F632,I632)</f>
        <v>0</v>
      </c>
      <c r="K632" s="74"/>
      <c r="L632" s="47"/>
      <c r="M632" s="74"/>
    </row>
    <row r="633" spans="4:13" x14ac:dyDescent="0.25">
      <c r="D633" s="49">
        <v>0</v>
      </c>
      <c r="E633" s="49">
        <v>0</v>
      </c>
      <c r="F633" s="49">
        <v>0</v>
      </c>
      <c r="G633" s="49" t="s">
        <v>817</v>
      </c>
      <c r="H633" s="49" t="s">
        <v>817</v>
      </c>
      <c r="I633" s="64"/>
      <c r="J633" s="49" cm="1">
        <f t="array" ref="J633">Scope3_Equations.VEERG_15_14_1_1__1_EmbeddedEmissionsFromUpstreamFreight(E633,F633,I633)</f>
        <v>0</v>
      </c>
      <c r="K633" s="74"/>
      <c r="L633" s="47"/>
      <c r="M633" s="74"/>
    </row>
    <row r="635" spans="4:13" x14ac:dyDescent="0.25">
      <c r="D635" s="165" t="s">
        <v>820</v>
      </c>
      <c r="E635" s="89" t="s">
        <v>817</v>
      </c>
      <c r="F635" s="166" t="str">
        <f>$E$105</f>
        <v>t CO2e</v>
      </c>
    </row>
    <row r="636" spans="4:13" x14ac:dyDescent="0.25">
      <c r="D636" s="165" t="s">
        <v>821</v>
      </c>
      <c r="E636" s="89">
        <f>SUM(J624:J633)</f>
        <v>5146700</v>
      </c>
      <c r="F636" s="166" t="str">
        <f>$E$105</f>
        <v>t CO2e</v>
      </c>
    </row>
    <row r="639" spans="4:13" ht="18.75" x14ac:dyDescent="0.25">
      <c r="D639" s="135" t="s">
        <v>809</v>
      </c>
    </row>
    <row r="641" spans="4:13" ht="17.25" x14ac:dyDescent="0.25">
      <c r="D641" s="46" t="s">
        <v>802</v>
      </c>
      <c r="E641" s="46" t="s">
        <v>814</v>
      </c>
      <c r="F641" s="46" t="s">
        <v>815</v>
      </c>
      <c r="G641" s="57" t="s">
        <v>816</v>
      </c>
      <c r="H641" s="57" t="s">
        <v>628</v>
      </c>
      <c r="I641" s="46" t="s">
        <v>664</v>
      </c>
      <c r="J641" s="57" t="s">
        <v>630</v>
      </c>
      <c r="K641" s="46" t="s">
        <v>624</v>
      </c>
      <c r="L641" s="46" t="s">
        <v>625</v>
      </c>
      <c r="M641" s="46" t="s">
        <v>626</v>
      </c>
    </row>
    <row r="642" spans="4:13" x14ac:dyDescent="0.25">
      <c r="D642" s="49" t="str" cm="1">
        <f t="array" ref="D642:D651">IFERROR(INDEX(Table_Input_FreightOutgoing[Route name], _xlfn.SEQUENCE(10)), "")</f>
        <v>Farm to bulk handler</v>
      </c>
      <c r="E642" s="49" cm="1">
        <f t="array" ref="E642:E651">IFERROR(INDEX(Table_Input_FreightOutgoing[Average weight of freight per trip (t)], _xlfn.SEQUENCE(10)), "")</f>
        <v>20</v>
      </c>
      <c r="F642" s="49" cm="1">
        <f t="array" ref="F642:F651">IFERROR(INDEX(Table_Input_FreightOutgoing[Route distance (km)], _xlfn.SEQUENCE(10))*INDEX(Table_Input_FreightOutgoing[Number of trips taken], _xlfn.SEQUENCE(10)), "")</f>
        <v>3380</v>
      </c>
      <c r="G642" s="49" t="s">
        <v>817</v>
      </c>
      <c r="H642" s="49" t="s">
        <v>817</v>
      </c>
      <c r="I642" s="64">
        <v>6.4</v>
      </c>
      <c r="J642" s="49" cm="1">
        <f t="array" ref="J642">Scope3_Equations.VEERG_15_14_1_1__1_EmbeddedEmissionsFromUpstreamFreight(E642,F642,I642)</f>
        <v>432640</v>
      </c>
      <c r="K642" s="74"/>
      <c r="L642" s="47"/>
      <c r="M642" s="74"/>
    </row>
    <row r="643" spans="4:13" x14ac:dyDescent="0.25">
      <c r="D643" s="49">
        <v>0</v>
      </c>
      <c r="E643" s="49">
        <v>0</v>
      </c>
      <c r="F643" s="49">
        <v>0</v>
      </c>
      <c r="G643" s="49" t="s">
        <v>817</v>
      </c>
      <c r="H643" s="49" t="s">
        <v>817</v>
      </c>
      <c r="I643" s="64"/>
      <c r="J643" s="49" cm="1">
        <f t="array" ref="J643">Scope3_Equations.VEERG_15_14_1_1__1_EmbeddedEmissionsFromUpstreamFreight(E643,F643,I643)</f>
        <v>0</v>
      </c>
      <c r="K643" s="74"/>
      <c r="L643" s="47"/>
      <c r="M643" s="74"/>
    </row>
    <row r="644" spans="4:13" x14ac:dyDescent="0.25">
      <c r="D644" s="49">
        <v>0</v>
      </c>
      <c r="E644" s="49">
        <v>0</v>
      </c>
      <c r="F644" s="49">
        <v>0</v>
      </c>
      <c r="G644" s="49" t="s">
        <v>817</v>
      </c>
      <c r="H644" s="49" t="s">
        <v>817</v>
      </c>
      <c r="I644" s="64"/>
      <c r="J644" s="49" cm="1">
        <f t="array" ref="J644">Scope3_Equations.VEERG_15_14_1_1__1_EmbeddedEmissionsFromUpstreamFreight(E644,F644,I644)</f>
        <v>0</v>
      </c>
      <c r="K644" s="74"/>
      <c r="L644" s="47"/>
      <c r="M644" s="74"/>
    </row>
    <row r="645" spans="4:13" x14ac:dyDescent="0.25">
      <c r="D645" s="49">
        <v>0</v>
      </c>
      <c r="E645" s="49">
        <v>0</v>
      </c>
      <c r="F645" s="49">
        <v>0</v>
      </c>
      <c r="G645" s="49" t="s">
        <v>817</v>
      </c>
      <c r="H645" s="49" t="s">
        <v>817</v>
      </c>
      <c r="I645" s="64"/>
      <c r="J645" s="49" cm="1">
        <f t="array" ref="J645">Scope3_Equations.VEERG_15_14_1_1__1_EmbeddedEmissionsFromUpstreamFreight(E645,F645,I645)</f>
        <v>0</v>
      </c>
      <c r="K645" s="74"/>
      <c r="L645" s="47"/>
      <c r="M645" s="74"/>
    </row>
    <row r="646" spans="4:13" x14ac:dyDescent="0.25">
      <c r="D646" s="49">
        <v>0</v>
      </c>
      <c r="E646" s="49">
        <v>0</v>
      </c>
      <c r="F646" s="49">
        <v>0</v>
      </c>
      <c r="G646" s="49" t="s">
        <v>817</v>
      </c>
      <c r="H646" s="49" t="s">
        <v>817</v>
      </c>
      <c r="I646" s="64"/>
      <c r="J646" s="49" cm="1">
        <f t="array" ref="J646">Scope3_Equations.VEERG_15_14_1_1__1_EmbeddedEmissionsFromUpstreamFreight(E646,F646,I646)</f>
        <v>0</v>
      </c>
      <c r="K646" s="74"/>
      <c r="L646" s="47"/>
      <c r="M646" s="74"/>
    </row>
    <row r="647" spans="4:13" x14ac:dyDescent="0.25">
      <c r="D647" s="49">
        <v>0</v>
      </c>
      <c r="E647" s="49">
        <v>0</v>
      </c>
      <c r="F647" s="49">
        <v>0</v>
      </c>
      <c r="G647" s="49" t="s">
        <v>817</v>
      </c>
      <c r="H647" s="49" t="s">
        <v>817</v>
      </c>
      <c r="I647" s="64"/>
      <c r="J647" s="49" cm="1">
        <f t="array" ref="J647">Scope3_Equations.VEERG_15_14_1_1__1_EmbeddedEmissionsFromUpstreamFreight(E647,F647,I647)</f>
        <v>0</v>
      </c>
      <c r="K647" s="74"/>
      <c r="L647" s="47"/>
      <c r="M647" s="74"/>
    </row>
    <row r="648" spans="4:13" x14ac:dyDescent="0.25">
      <c r="D648" s="49">
        <v>0</v>
      </c>
      <c r="E648" s="49">
        <v>0</v>
      </c>
      <c r="F648" s="49">
        <v>0</v>
      </c>
      <c r="G648" s="49" t="s">
        <v>817</v>
      </c>
      <c r="H648" s="49" t="s">
        <v>817</v>
      </c>
      <c r="I648" s="64"/>
      <c r="J648" s="49" cm="1">
        <f t="array" ref="J648">Scope3_Equations.VEERG_15_14_1_1__1_EmbeddedEmissionsFromUpstreamFreight(E648,F648,I648)</f>
        <v>0</v>
      </c>
      <c r="K648" s="74"/>
      <c r="L648" s="47"/>
      <c r="M648" s="74"/>
    </row>
    <row r="649" spans="4:13" x14ac:dyDescent="0.25">
      <c r="D649" s="49">
        <v>0</v>
      </c>
      <c r="E649" s="49">
        <v>0</v>
      </c>
      <c r="F649" s="49">
        <v>0</v>
      </c>
      <c r="G649" s="49" t="s">
        <v>817</v>
      </c>
      <c r="H649" s="49" t="s">
        <v>817</v>
      </c>
      <c r="I649" s="64"/>
      <c r="J649" s="49" cm="1">
        <f t="array" ref="J649">Scope3_Equations.VEERG_15_14_1_1__1_EmbeddedEmissionsFromUpstreamFreight(E649,F649,I649)</f>
        <v>0</v>
      </c>
      <c r="K649" s="74"/>
      <c r="L649" s="47"/>
      <c r="M649" s="74"/>
    </row>
    <row r="650" spans="4:13" x14ac:dyDescent="0.25">
      <c r="D650" s="49">
        <v>0</v>
      </c>
      <c r="E650" s="49">
        <v>0</v>
      </c>
      <c r="F650" s="49">
        <v>0</v>
      </c>
      <c r="G650" s="49" t="s">
        <v>817</v>
      </c>
      <c r="H650" s="49" t="s">
        <v>817</v>
      </c>
      <c r="I650" s="64"/>
      <c r="J650" s="49" cm="1">
        <f t="array" ref="J650">Scope3_Equations.VEERG_15_14_1_1__1_EmbeddedEmissionsFromUpstreamFreight(E650,F650,I650)</f>
        <v>0</v>
      </c>
      <c r="K650" s="74"/>
      <c r="L650" s="47"/>
      <c r="M650" s="74"/>
    </row>
    <row r="651" spans="4:13" x14ac:dyDescent="0.25">
      <c r="D651" s="49">
        <v>0</v>
      </c>
      <c r="E651" s="49">
        <v>0</v>
      </c>
      <c r="F651" s="49">
        <v>0</v>
      </c>
      <c r="G651" s="49" t="s">
        <v>817</v>
      </c>
      <c r="H651" s="49" t="s">
        <v>817</v>
      </c>
      <c r="I651" s="64"/>
      <c r="J651" s="49" cm="1">
        <f t="array" ref="J651">Scope3_Equations.VEERG_15_14_1_1__1_EmbeddedEmissionsFromUpstreamFreight(E651,F651,I651)</f>
        <v>0</v>
      </c>
      <c r="K651" s="74"/>
      <c r="L651" s="47"/>
      <c r="M651" s="74"/>
    </row>
    <row r="653" spans="4:13" x14ac:dyDescent="0.25">
      <c r="D653" s="165" t="s">
        <v>818</v>
      </c>
      <c r="E653" s="89" t="s">
        <v>817</v>
      </c>
      <c r="F653" s="166" t="str">
        <f>$E$105</f>
        <v>t CO2e</v>
      </c>
    </row>
    <row r="654" spans="4:13" x14ac:dyDescent="0.25">
      <c r="D654" s="165" t="s">
        <v>819</v>
      </c>
      <c r="E654" s="89">
        <f>SUM(J642:J651)</f>
        <v>432640</v>
      </c>
      <c r="F654" s="166" t="str">
        <f>$E$105</f>
        <v>t CO2e</v>
      </c>
    </row>
    <row r="656" spans="4:13" ht="20.25" x14ac:dyDescent="0.25">
      <c r="D656" s="167" t="s">
        <v>628</v>
      </c>
      <c r="E656" s="168" t="s">
        <v>817</v>
      </c>
      <c r="F656" s="169" t="str">
        <f>$E$105</f>
        <v>t CO2e</v>
      </c>
    </row>
    <row r="657" spans="4:6" ht="20.25" x14ac:dyDescent="0.25">
      <c r="D657" s="167" t="s">
        <v>630</v>
      </c>
      <c r="E657" s="168">
        <f>VEERG_15_14_1_1__1_EmbeddedEmissionsFromUpstreamFreight_Incoming_Result_Method2+VEERG_15_14_1_1__1_EmbeddedEmissionsFromUpstreamFreight_Outgoing_Result_Method2</f>
        <v>5579340</v>
      </c>
      <c r="F657" s="169" t="str">
        <f>$E$105</f>
        <v>t CO2e</v>
      </c>
    </row>
  </sheetData>
  <dataValidations disablePrompts="1" count="2">
    <dataValidation type="list" allowBlank="1" showInputMessage="1" showErrorMessage="1" sqref="L42:L51 L61:L70 L79:L88 L445:L454 L463:L472 K120:K129 L382:L391 K137:K140 K177:K179 O23:O32 M236:M246 L320:L329 K288:K297 N351:N360 M505:M514 M252:M266 M414:M423 K481:K485 K494:K498 L624:L633 L642:L651" xr:uid="{A98F9A2A-5979-48D5-8578-50210547ED4A}">
      <formula1>INDIRECT("Table_SourceData_DataScores_Scope3[Data source]")</formula1>
    </dataValidation>
    <dataValidation type="list" allowBlank="1" showInputMessage="1" showErrorMessage="1" sqref="J505:J514"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179" zoomScaleNormal="100" workbookViewId="0">
      <selection activeCell="E192" sqref="E192"/>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786</v>
      </c>
    </row>
    <row r="2" spans="1:12" s="2" customFormat="1" ht="20.100000000000001" customHeight="1" x14ac:dyDescent="0.25">
      <c r="A2"/>
    </row>
    <row r="3" spans="1:12" ht="20.100000000000001" customHeight="1" x14ac:dyDescent="0.25">
      <c r="A3" s="16" t="str">
        <f>HYPERLINK("#'Overview'!A1", "Overview")</f>
        <v>Overview</v>
      </c>
      <c r="C3" s="5"/>
      <c r="D3" s="5" t="s">
        <v>405</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63" t="s">
        <v>621</v>
      </c>
      <c r="E7" s="163"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622</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58" t="str" cm="1">
        <f t="array" ref="D13:E16">_xlfn.CHOOSECOLS(WasteSolid_Equations.VEERG_10_1_1_1__2_MassOfWasteFromVolume_Arguments(),1,2)</f>
        <v>V_wt</v>
      </c>
      <c r="E13" s="162" t="str">
        <v>volume of solid waste type w being sent to treatment facility t</v>
      </c>
      <c r="F13" s="157"/>
      <c r="G13" s="158" t="str" cm="1">
        <f t="array" ref="G13:H16">_xlfn.CHOOSECOLS(WasteSolid_Equations.VEERG_10_1_1_1__2_MassOfWasteFromVolume_Arguments(),3,4)</f>
        <v>m3</v>
      </c>
      <c r="H13" s="159" t="str">
        <v>Input</v>
      </c>
      <c r="I13" s="161" t="str" cm="1">
        <f t="array" aca="1" ref="I13" ca="1">HYPERLINK(Common_InputFunctions.Utility_SourceHyperlink($D$18),$D$18)</f>
        <v>Table_V_w_t_onsite</v>
      </c>
      <c r="J13" s="161" t="str" cm="1">
        <f t="array" aca="1" ref="J13" ca="1">HYPERLINK(Common_InputFunctions.Utility_SourceHyperlink($D$56),$D$56)</f>
        <v>Table_V_w_t_offsite</v>
      </c>
    </row>
    <row r="14" spans="1:12" ht="20.100000000000001" customHeight="1" x14ac:dyDescent="0.25">
      <c r="A14" s="16" t="str">
        <f>HYPERLINK("#'Input - Solid waste'!A1", "Solid waste")</f>
        <v>Solid waste</v>
      </c>
      <c r="D14" s="158" t="str">
        <v>VTM_w</v>
      </c>
      <c r="E14" s="162" t="str">
        <v>conversion factor of volume to mass for waste type w</v>
      </c>
      <c r="F14" s="157"/>
      <c r="G14" s="158" t="str">
        <v>t/m3</v>
      </c>
      <c r="H14" s="160" t="str">
        <v>Constant</v>
      </c>
      <c r="I14" s="161" t="str" cm="1">
        <f t="array" aca="1" ref="I14" ca="1">HYPERLINK(Common_InputFunctions.Utility_SourceHyperlink($D$18),$D$18)</f>
        <v>Table_V_w_t_onsite</v>
      </c>
      <c r="J14" s="161"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58" t="str">
        <v>w</v>
      </c>
      <c r="E15" s="162" t="str">
        <v>waste type</v>
      </c>
      <c r="F15" s="157"/>
      <c r="G15" s="158" t="str">
        <v/>
      </c>
      <c r="H15" s="159" t="str">
        <v>Input</v>
      </c>
      <c r="I15" s="161" t="str" cm="1">
        <f t="array" aca="1" ref="I15" ca="1">HYPERLINK(Common_InputFunctions.Utility_SourceHyperlink($D$18),$D$18)</f>
        <v>Table_V_w_t_onsite</v>
      </c>
      <c r="J15" s="161" t="str" cm="1">
        <f t="array" aca="1" ref="J15" ca="1">HYPERLINK(Common_InputFunctions.Utility_SourceHyperlink($D$56),$D$56)</f>
        <v>Table_V_w_t_offsite</v>
      </c>
    </row>
    <row r="16" spans="1:12" ht="20.100000000000001" customHeight="1" x14ac:dyDescent="0.25">
      <c r="A16" s="16" t="str">
        <f>HYPERLINK("#'Input - Electricity'!A1", "Electricity")</f>
        <v>Electricity</v>
      </c>
      <c r="D16" s="158" t="str">
        <v>t</v>
      </c>
      <c r="E16" s="162" t="str">
        <v>treatment facility</v>
      </c>
      <c r="F16" s="157"/>
      <c r="G16" s="158" t="str">
        <v/>
      </c>
      <c r="H16" s="159" t="str">
        <v>Input</v>
      </c>
      <c r="I16" s="161" t="str" cm="1">
        <f t="array" aca="1" ref="I16" ca="1">HYPERLINK(Common_InputFunctions.Utility_SourceHyperlink($D$18),$D$18)</f>
        <v>Table_V_w_t_onsite</v>
      </c>
      <c r="J16" s="161" t="str" cm="1">
        <f t="array" aca="1" ref="J16" ca="1">HYPERLINK(Common_InputFunctions.Utility_SourceHyperlink($D$56),$D$56)</f>
        <v>Table_V_w_t_offsite</v>
      </c>
    </row>
    <row r="17" spans="1:9" ht="20.100000000000001" customHeight="1" x14ac:dyDescent="0.25"/>
    <row r="18" spans="1:9" ht="20.100000000000001" customHeight="1" x14ac:dyDescent="0.25">
      <c r="D18" s="55" t="s">
        <v>787</v>
      </c>
    </row>
    <row r="19" spans="1:9" ht="20.100000000000001" customHeight="1" x14ac:dyDescent="0.25">
      <c r="A19" s="21" t="s">
        <v>77</v>
      </c>
      <c r="D19" s="56" t="s">
        <v>788</v>
      </c>
    </row>
    <row r="20" spans="1:9" ht="20.100000000000001" customHeight="1" x14ac:dyDescent="0.25">
      <c r="A20" s="16" t="str">
        <f>HYPERLINK("#'15 Scope 3'!A1", "15 Scope 3")</f>
        <v>15 Scope 3</v>
      </c>
      <c r="D20" s="46" t="s">
        <v>789</v>
      </c>
      <c r="E20" s="46" t="s">
        <v>790</v>
      </c>
      <c r="F20" s="46"/>
      <c r="G20" s="46" t="s">
        <v>791</v>
      </c>
      <c r="H20" s="57" t="s">
        <v>792</v>
      </c>
      <c r="I20" s="57" t="s">
        <v>793</v>
      </c>
    </row>
    <row r="21" spans="1:9" ht="20.100000000000001" customHeight="1" x14ac:dyDescent="0.25">
      <c r="A21" s="171" t="str">
        <f>HYPERLINK("#'10.1.1-2 Solid waste treatment'!A1", "10.1.1-2 Solid waste treatment")</f>
        <v>10.1.1-2 Solid waste treatment</v>
      </c>
      <c r="D21" s="158" t="str" cm="1">
        <f t="array" ref="D21:D54">Table_SourceData_WasteSolid_WasteTreatmentEFs[Treatment type t]</f>
        <v>Landfill</v>
      </c>
      <c r="E21" s="162" t="str" cm="1">
        <f t="array" ref="E21:E54">Table_SourceData_WasteSolid_WasteTreatmentEFs[Waste type w]</f>
        <v>Food waste (including animal carcasses, spoiled animal feed or crop)</v>
      </c>
      <c r="F21" s="200"/>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58" t="str">
        <v>Landfill</v>
      </c>
      <c r="E22" s="162" t="str">
        <v>Paper and cardboard</v>
      </c>
      <c r="F22" s="200"/>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58" t="str">
        <v>Landfill</v>
      </c>
      <c r="E23" s="162" t="str">
        <v>Green waste (including crop residues or prunings)</v>
      </c>
      <c r="F23" s="200"/>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58" t="str">
        <v>Landfill</v>
      </c>
      <c r="E24" s="162" t="str">
        <v>Wood</v>
      </c>
      <c r="F24" s="200"/>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58" t="str">
        <v>Landfill</v>
      </c>
      <c r="E25" s="162" t="str">
        <v>Textiles</v>
      </c>
      <c r="F25" s="200"/>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58" t="str">
        <v>Landfill</v>
      </c>
      <c r="E26" s="162" t="str">
        <v>Sludge</v>
      </c>
      <c r="F26" s="200"/>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13" t="s">
        <v>78</v>
      </c>
      <c r="D27" s="158" t="str">
        <v>Landfill</v>
      </c>
      <c r="E27" s="162" t="str">
        <v>Rubber and leather</v>
      </c>
      <c r="F27" s="200"/>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58" t="str">
        <v>Landfill</v>
      </c>
      <c r="E28" s="162" t="str">
        <v>Inert waste (including concrete, metal, plastic or glass)</v>
      </c>
      <c r="F28" s="200"/>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58" t="str">
        <v>Landfill</v>
      </c>
      <c r="E29" s="162" t="str">
        <v>Municipal solid waste</v>
      </c>
      <c r="F29" s="200"/>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58" t="str">
        <v>Landfill</v>
      </c>
      <c r="E30" s="162" t="str">
        <v>Commercial and industrial waste</v>
      </c>
      <c r="F30" s="200"/>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58" t="str">
        <v>Landfill</v>
      </c>
      <c r="E31" s="162" t="str">
        <v>Construction and demolition waste</v>
      </c>
      <c r="F31" s="200"/>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58" t="str">
        <v>Incineration</v>
      </c>
      <c r="E32" s="162" t="str">
        <v>Food waste, green waste, wood, sludge</v>
      </c>
      <c r="F32" s="200"/>
      <c r="G32" s="49" t="s">
        <v>839</v>
      </c>
      <c r="H32" s="49" t="s">
        <v>839</v>
      </c>
      <c r="I32" s="49" t="s">
        <v>839</v>
      </c>
    </row>
    <row r="33" spans="1:9" ht="20.100000000000001" customHeight="1" x14ac:dyDescent="0.25">
      <c r="A33" s="16" t="str">
        <f>HYPERLINK("#'Constants - Dairy'!A1", "Constants - Dairy")</f>
        <v>Constants - Dairy</v>
      </c>
      <c r="D33" s="158" t="str">
        <v>Incineration</v>
      </c>
      <c r="E33" s="162" t="str">
        <v>Food waste (including animal carcasses, spoiled animal feed or crop)</v>
      </c>
      <c r="F33" s="200"/>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58" t="str">
        <v>Incineration</v>
      </c>
      <c r="E34" s="162" t="str">
        <v>Green waste (including crop residues or prunings)</v>
      </c>
      <c r="F34" s="200"/>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58" t="str">
        <v>Incineration</v>
      </c>
      <c r="E35" s="162" t="str">
        <v>Wood</v>
      </c>
      <c r="F35" s="200"/>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58" t="str">
        <v>Incineration</v>
      </c>
      <c r="E36" s="162" t="str">
        <v>Sludge</v>
      </c>
      <c r="F36" s="200"/>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58" t="str">
        <v>Incineration</v>
      </c>
      <c r="E37" s="162" t="str">
        <v>Paper and cardboard</v>
      </c>
      <c r="F37" s="200"/>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58" t="str">
        <v>Incineration</v>
      </c>
      <c r="E38" s="162" t="str">
        <v>Textiles</v>
      </c>
      <c r="F38" s="200"/>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58" t="str">
        <v>Incineration</v>
      </c>
      <c r="E39" s="162" t="str">
        <v>Rubber and leather</v>
      </c>
      <c r="F39" s="200"/>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58" t="str">
        <v>Incineration</v>
      </c>
      <c r="E40" s="158" t="str">
        <v>Inert waste (including concrete, metal, plastic or glass)</v>
      </c>
      <c r="F40" s="158"/>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58" t="str">
        <v>Incineration</v>
      </c>
      <c r="E41" s="162" t="str">
        <v>Municipal solid waste</v>
      </c>
      <c r="F41" s="157"/>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58" t="str">
        <v>Incineration</v>
      </c>
      <c r="E42" s="162" t="str">
        <v>Commercial and industrial waste</v>
      </c>
      <c r="F42" s="157"/>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58" t="str">
        <v>Composting</v>
      </c>
      <c r="E43" s="162" t="str">
        <v>All organic waste</v>
      </c>
      <c r="F43" s="157"/>
      <c r="G43" s="49" t="s">
        <v>839</v>
      </c>
      <c r="H43" s="49" t="s">
        <v>839</v>
      </c>
      <c r="I43" s="49" t="s">
        <v>839</v>
      </c>
    </row>
    <row r="44" spans="1:9" ht="20.100000000000001" customHeight="1" x14ac:dyDescent="0.25">
      <c r="D44" s="158" t="str">
        <v>Composting</v>
      </c>
      <c r="E44" s="162" t="str">
        <v>Food waste (including animal carcasses, spoiled animal feed or crop)</v>
      </c>
      <c r="F44" s="157"/>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58" t="str">
        <v>Composting</v>
      </c>
      <c r="E45" s="162" t="str">
        <v>Green waste (including crop residues or prunings)</v>
      </c>
      <c r="F45" s="157"/>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58" t="str">
        <v>Composting</v>
      </c>
      <c r="E46" s="162" t="str">
        <v>Wood</v>
      </c>
      <c r="F46" s="157"/>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58" t="str">
        <v>Composting</v>
      </c>
      <c r="E47" s="162" t="str">
        <v>Sludge</v>
      </c>
      <c r="F47" s="157"/>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58" t="str">
        <v>Composting</v>
      </c>
      <c r="E48" s="162" t="str">
        <v>Paper and cardboard</v>
      </c>
      <c r="F48" s="157"/>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58" t="str">
        <v>Anaerobic digestion</v>
      </c>
      <c r="E49" s="162" t="str">
        <v>All organic waste</v>
      </c>
      <c r="F49" s="157"/>
      <c r="G49" s="49" t="s">
        <v>839</v>
      </c>
      <c r="H49" s="49" t="s">
        <v>839</v>
      </c>
      <c r="I49" s="49" t="s">
        <v>839</v>
      </c>
    </row>
    <row r="50" spans="4:9" ht="20.100000000000001" customHeight="1" x14ac:dyDescent="0.25">
      <c r="D50" s="158" t="str">
        <v>Anaerobic digestion</v>
      </c>
      <c r="E50" s="162" t="str">
        <v>Food waste (including animal carcasses, spoiled animal feed or crop)</v>
      </c>
      <c r="F50" s="157"/>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58" t="str">
        <v>Anaerobic digestion</v>
      </c>
      <c r="E51" s="162" t="str">
        <v>Green waste (including crop residues or prunings)</v>
      </c>
      <c r="F51" s="157"/>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58" t="str">
        <v>Anaerobic digestion</v>
      </c>
      <c r="E52" s="162" t="str">
        <v>Wood</v>
      </c>
      <c r="F52" s="157"/>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58" t="str">
        <v>Anaerobic digestion</v>
      </c>
      <c r="E53" s="162" t="str">
        <v>Sludge</v>
      </c>
      <c r="F53" s="157"/>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58" t="str">
        <v>Anaerobic digestion</v>
      </c>
      <c r="E54" s="162" t="str">
        <v>Paper and cardboard</v>
      </c>
      <c r="F54" s="157"/>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794</v>
      </c>
    </row>
    <row r="57" spans="4:9" ht="20.100000000000001" customHeight="1" x14ac:dyDescent="0.25">
      <c r="D57" s="56" t="s">
        <v>795</v>
      </c>
    </row>
    <row r="58" spans="4:9" ht="20.100000000000001" customHeight="1" x14ac:dyDescent="0.25">
      <c r="D58" s="46" t="s">
        <v>789</v>
      </c>
      <c r="E58" s="46" t="s">
        <v>790</v>
      </c>
      <c r="F58" s="46"/>
      <c r="G58" s="46" t="s">
        <v>791</v>
      </c>
      <c r="H58" s="57" t="s">
        <v>792</v>
      </c>
      <c r="I58" s="57" t="s">
        <v>793</v>
      </c>
    </row>
    <row r="59" spans="4:9" ht="20.100000000000001" customHeight="1" x14ac:dyDescent="0.25">
      <c r="D59" s="158" t="str" cm="1">
        <f t="array" ref="D59:D92">Table_SourceData_WasteSolid_WasteTreatmentEFs[Treatment type t]</f>
        <v>Landfill</v>
      </c>
      <c r="E59" s="162" t="str" cm="1">
        <f t="array" ref="E59:E92">Table_SourceData_WasteSolid_WasteTreatmentEFs[Waste type w]</f>
        <v>Food waste (including animal carcasses, spoiled animal feed or crop)</v>
      </c>
      <c r="F59" s="200"/>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58" t="str">
        <v>Landfill</v>
      </c>
      <c r="E60" s="162" t="str">
        <v>Paper and cardboard</v>
      </c>
      <c r="F60" s="200"/>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58" t="str">
        <v>Landfill</v>
      </c>
      <c r="E61" s="162" t="str">
        <v>Green waste (including crop residues or prunings)</v>
      </c>
      <c r="F61" s="200"/>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58" t="str">
        <v>Landfill</v>
      </c>
      <c r="E62" s="162" t="str">
        <v>Wood</v>
      </c>
      <c r="F62" s="200"/>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58" t="str">
        <v>Landfill</v>
      </c>
      <c r="E63" s="162" t="str">
        <v>Textiles</v>
      </c>
      <c r="F63" s="200"/>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58" t="str">
        <v>Landfill</v>
      </c>
      <c r="E64" s="162" t="str">
        <v>Sludge</v>
      </c>
      <c r="F64" s="200"/>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58" t="str">
        <v>Landfill</v>
      </c>
      <c r="E65" s="162" t="str">
        <v>Rubber and leather</v>
      </c>
      <c r="F65" s="200"/>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58" t="str">
        <v>Landfill</v>
      </c>
      <c r="E66" s="162" t="str">
        <v>Inert waste (including concrete, metal, plastic or glass)</v>
      </c>
      <c r="F66" s="200"/>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58" t="str">
        <v>Landfill</v>
      </c>
      <c r="E67" s="162" t="str">
        <v>Municipal solid waste</v>
      </c>
      <c r="F67" s="200"/>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58" t="str">
        <v>Landfill</v>
      </c>
      <c r="E68" s="162" t="str">
        <v>Commercial and industrial waste</v>
      </c>
      <c r="F68" s="200"/>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58" t="str">
        <v>Landfill</v>
      </c>
      <c r="E69" s="162" t="str">
        <v>Construction and demolition waste</v>
      </c>
      <c r="F69" s="200"/>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58" t="str">
        <v>Incineration</v>
      </c>
      <c r="E70" s="162" t="str">
        <v>Food waste, green waste, wood, sludge</v>
      </c>
      <c r="F70" s="200"/>
      <c r="G70" s="49" t="s">
        <v>839</v>
      </c>
      <c r="H70" s="49" t="s">
        <v>839</v>
      </c>
      <c r="I70" s="49" t="s">
        <v>839</v>
      </c>
    </row>
    <row r="71" spans="4:9" ht="20.100000000000001" customHeight="1" x14ac:dyDescent="0.25">
      <c r="D71" s="158" t="str">
        <v>Incineration</v>
      </c>
      <c r="E71" s="162" t="str">
        <v>Food waste (including animal carcasses, spoiled animal feed or crop)</v>
      </c>
      <c r="F71" s="200"/>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58" t="str">
        <v>Incineration</v>
      </c>
      <c r="E72" s="162" t="str">
        <v>Green waste (including crop residues or prunings)</v>
      </c>
      <c r="F72" s="200"/>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58" t="str">
        <v>Incineration</v>
      </c>
      <c r="E73" s="162" t="str">
        <v>Wood</v>
      </c>
      <c r="F73" s="200"/>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58" t="str">
        <v>Incineration</v>
      </c>
      <c r="E74" s="162" t="str">
        <v>Sludge</v>
      </c>
      <c r="F74" s="200"/>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58" t="str">
        <v>Incineration</v>
      </c>
      <c r="E75" s="162" t="str">
        <v>Paper and cardboard</v>
      </c>
      <c r="F75" s="200"/>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58" t="str">
        <v>Incineration</v>
      </c>
      <c r="E76" s="162" t="str">
        <v>Textiles</v>
      </c>
      <c r="F76" s="200"/>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58" t="str">
        <v>Incineration</v>
      </c>
      <c r="E77" s="162" t="str">
        <v>Rubber and leather</v>
      </c>
      <c r="F77" s="200"/>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58" t="str">
        <v>Incineration</v>
      </c>
      <c r="E78" s="162" t="str">
        <v>Inert waste (including concrete, metal, plastic or glass)</v>
      </c>
      <c r="F78" s="200"/>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58" t="str">
        <v>Incineration</v>
      </c>
      <c r="E79" s="162" t="str">
        <v>Municipal solid waste</v>
      </c>
      <c r="F79" s="157"/>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58" t="str">
        <v>Incineration</v>
      </c>
      <c r="E80" s="162" t="str">
        <v>Commercial and industrial waste</v>
      </c>
      <c r="F80" s="157"/>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58" t="str">
        <v>Composting</v>
      </c>
      <c r="E81" s="162" t="str">
        <v>All organic waste</v>
      </c>
      <c r="F81" s="157"/>
      <c r="G81" s="49" t="s">
        <v>839</v>
      </c>
      <c r="H81" s="49" t="s">
        <v>839</v>
      </c>
      <c r="I81" s="49" t="s">
        <v>839</v>
      </c>
    </row>
    <row r="82" spans="3:12" ht="20.100000000000001" customHeight="1" x14ac:dyDescent="0.25">
      <c r="D82" s="158" t="str">
        <v>Composting</v>
      </c>
      <c r="E82" s="162" t="str">
        <v>Food waste (including animal carcasses, spoiled animal feed or crop)</v>
      </c>
      <c r="F82" s="157"/>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58" t="str">
        <v>Composting</v>
      </c>
      <c r="E83" s="162" t="str">
        <v>Green waste (including crop residues or prunings)</v>
      </c>
      <c r="F83" s="157"/>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58" t="str">
        <v>Composting</v>
      </c>
      <c r="E84" s="162" t="str">
        <v>Wood</v>
      </c>
      <c r="F84" s="157"/>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58" t="str">
        <v>Composting</v>
      </c>
      <c r="E85" s="162" t="str">
        <v>Sludge</v>
      </c>
      <c r="F85" s="157"/>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58" t="str">
        <v>Composting</v>
      </c>
      <c r="E86" s="162" t="str">
        <v>Paper and cardboard</v>
      </c>
      <c r="F86" s="157"/>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58" t="str">
        <v>Anaerobic digestion</v>
      </c>
      <c r="E87" s="162" t="str">
        <v>All organic waste</v>
      </c>
      <c r="F87" s="157"/>
      <c r="G87" s="49" t="s">
        <v>839</v>
      </c>
      <c r="H87" s="49" t="s">
        <v>839</v>
      </c>
      <c r="I87" s="49" t="s">
        <v>839</v>
      </c>
    </row>
    <row r="88" spans="3:12" ht="20.100000000000001" customHeight="1" x14ac:dyDescent="0.25">
      <c r="D88" s="158" t="str">
        <v>Anaerobic digestion</v>
      </c>
      <c r="E88" s="162" t="str">
        <v>Food waste (including animal carcasses, spoiled animal feed or crop)</v>
      </c>
      <c r="F88" s="157"/>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58" t="str">
        <v>Anaerobic digestion</v>
      </c>
      <c r="E89" s="162" t="str">
        <v>Green waste (including crop residues or prunings)</v>
      </c>
      <c r="F89" s="157"/>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58" t="str">
        <v>Anaerobic digestion</v>
      </c>
      <c r="E90" s="162" t="str">
        <v>Wood</v>
      </c>
      <c r="F90" s="157"/>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58" t="str">
        <v>Anaerobic digestion</v>
      </c>
      <c r="E91" s="162" t="str">
        <v>Sludge</v>
      </c>
      <c r="F91" s="157"/>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58" t="str">
        <v>Anaerobic digestion</v>
      </c>
      <c r="E92" s="162" t="str">
        <v>Paper and cardboard</v>
      </c>
      <c r="F92" s="157"/>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9"/>
      <c r="D95" s="89"/>
      <c r="E95" s="89"/>
      <c r="F95" s="89"/>
      <c r="G95" s="89"/>
      <c r="H95" s="89"/>
      <c r="I95" s="89"/>
      <c r="J95" s="89"/>
      <c r="K95" s="89"/>
      <c r="L95" s="89"/>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63" t="s">
        <v>621</v>
      </c>
      <c r="E99" s="163"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622</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58" t="str" cm="1">
        <f t="array" ref="D105:E111">_xlfn.CHOOSECOLS(WasteSolid_Equations.VEERG_10_1_1_1__1_EmissionsFromWasteManagement_Arguments(),1,2)</f>
        <v>Q_wt</v>
      </c>
      <c r="E105" s="162" t="str">
        <v>quantity of solid waste of type w being sent to treatment facility t, on a wet weight basis</v>
      </c>
      <c r="F105" s="196"/>
      <c r="G105" s="157"/>
      <c r="H105" s="158" t="str" cm="1">
        <f t="array" ref="H105:I111">_xlfn.CHOOSECOLS(WasteSolid_Equations.VEERG_10_1_1_1__1_EmissionsFromWasteManagement_Arguments(),3,4)</f>
        <v>t</v>
      </c>
      <c r="I105" s="160" t="str">
        <v>Sum of Q_volwt and Q_masswt</v>
      </c>
    </row>
    <row r="106" spans="4:9" ht="20.100000000000001" customHeight="1" x14ac:dyDescent="0.25">
      <c r="D106" s="158" t="str">
        <v>EF_wtg</v>
      </c>
      <c r="E106" s="162" t="str">
        <v>emission factor for greenhouse gas g for the management of waste at treatment facility t</v>
      </c>
      <c r="F106" s="196"/>
      <c r="G106" s="157"/>
      <c r="H106" s="158" t="str">
        <v>t CO2e/t</v>
      </c>
      <c r="I106" s="160" t="str">
        <v>Constant</v>
      </c>
    </row>
    <row r="107" spans="4:9" ht="20.100000000000001" customHeight="1" x14ac:dyDescent="0.25">
      <c r="D107" s="158" t="str">
        <v>w</v>
      </c>
      <c r="E107" s="162" t="str">
        <v>waste type</v>
      </c>
      <c r="F107" s="196"/>
      <c r="G107" s="157"/>
      <c r="H107" s="158" t="str">
        <v/>
      </c>
      <c r="I107" s="159" t="str">
        <v>Input</v>
      </c>
    </row>
    <row r="108" spans="4:9" ht="20.100000000000001" customHeight="1" x14ac:dyDescent="0.25">
      <c r="D108" s="158" t="str">
        <v>t</v>
      </c>
      <c r="E108" s="162" t="str">
        <v>treatment facility</v>
      </c>
      <c r="F108" s="196"/>
      <c r="G108" s="157"/>
      <c r="H108" s="158" t="str">
        <v/>
      </c>
      <c r="I108" s="159" t="str">
        <v>Input</v>
      </c>
    </row>
    <row r="109" spans="4:9" ht="20.100000000000001" customHeight="1" x14ac:dyDescent="0.25">
      <c r="D109" s="158" t="str">
        <v>g</v>
      </c>
      <c r="E109" s="162" t="str">
        <v>greenhouse gas</v>
      </c>
      <c r="F109" s="196"/>
      <c r="G109" s="157"/>
      <c r="H109" s="158" t="str">
        <v/>
      </c>
      <c r="I109" s="159" t="str">
        <v>Input</v>
      </c>
    </row>
    <row r="110" spans="4:9" ht="20.100000000000001" customHeight="1" x14ac:dyDescent="0.25">
      <c r="D110" s="158" t="str">
        <v>Q_volwt</v>
      </c>
      <c r="E110" s="162" t="str">
        <v>quantity of sold waste input as volume and converted to tonnes</v>
      </c>
      <c r="F110" s="196"/>
      <c r="G110" s="157"/>
      <c r="H110" s="158" t="str">
        <v>tonnes</v>
      </c>
      <c r="I110" s="160" t="str">
        <v>Calculated from 10.1.1.1 (2)</v>
      </c>
    </row>
    <row r="111" spans="4:9" ht="20.100000000000001" customHeight="1" x14ac:dyDescent="0.25">
      <c r="D111" s="158" t="str">
        <v>Q_masswt</v>
      </c>
      <c r="E111" s="162" t="str">
        <v>quantity of solid waste input as mass</v>
      </c>
      <c r="F111" s="196"/>
      <c r="G111" s="157"/>
      <c r="H111" s="158" t="str">
        <v>tonnes</v>
      </c>
      <c r="I111" s="159" t="str">
        <v>Input</v>
      </c>
    </row>
    <row r="112" spans="4:9" ht="20.100000000000001" customHeight="1" x14ac:dyDescent="0.25"/>
    <row r="113" spans="4:11" ht="20.100000000000001" customHeight="1" x14ac:dyDescent="0.25">
      <c r="D113" s="55" t="s">
        <v>796</v>
      </c>
    </row>
    <row r="114" spans="4:11" ht="20.100000000000001" customHeight="1" x14ac:dyDescent="0.25">
      <c r="D114" s="56" t="s">
        <v>797</v>
      </c>
    </row>
    <row r="115" spans="4:11" ht="20.100000000000001" customHeight="1" x14ac:dyDescent="0.25">
      <c r="D115" s="46" t="s">
        <v>789</v>
      </c>
      <c r="E115" s="46" t="s">
        <v>790</v>
      </c>
      <c r="F115" s="46"/>
      <c r="G115" s="46" t="s">
        <v>840</v>
      </c>
      <c r="H115" s="57" t="s">
        <v>841</v>
      </c>
      <c r="I115" s="57" t="s">
        <v>793</v>
      </c>
      <c r="J115" s="57" t="s">
        <v>842</v>
      </c>
      <c r="K115" s="57" t="s">
        <v>843</v>
      </c>
    </row>
    <row r="116" spans="4:11" ht="20.100000000000001" customHeight="1" x14ac:dyDescent="0.25">
      <c r="D116" s="158" t="str" cm="1">
        <f t="array" ref="D116:D149">Table_SourceData_WasteSolid_WasteTreatmentEFs[Treatment type t]</f>
        <v>Landfill</v>
      </c>
      <c r="E116" s="162" t="str" cm="1">
        <f t="array" ref="E116:E149">Table_SourceData_WasteSolid_WasteTreatmentEFs[Waste type w]</f>
        <v>Food waste (including animal carcasses, spoiled animal feed or crop)</v>
      </c>
      <c r="F116" s="200"/>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58" t="str">
        <v>Landfill</v>
      </c>
      <c r="E117" s="162" t="str">
        <v>Paper and cardboard</v>
      </c>
      <c r="F117" s="200"/>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58" t="str">
        <v>Landfill</v>
      </c>
      <c r="E118" s="162" t="str">
        <v>Green waste (including crop residues or prunings)</v>
      </c>
      <c r="F118" s="200"/>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58" t="str">
        <v>Landfill</v>
      </c>
      <c r="E119" s="162" t="str">
        <v>Wood</v>
      </c>
      <c r="F119" s="200"/>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58" t="str">
        <v>Landfill</v>
      </c>
      <c r="E120" s="162" t="str">
        <v>Textiles</v>
      </c>
      <c r="F120" s="200"/>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58" t="str">
        <v>Landfill</v>
      </c>
      <c r="E121" s="162" t="str">
        <v>Sludge</v>
      </c>
      <c r="F121" s="200"/>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58" t="str">
        <v>Landfill</v>
      </c>
      <c r="E122" s="162" t="str">
        <v>Rubber and leather</v>
      </c>
      <c r="F122" s="200"/>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58" t="str">
        <v>Landfill</v>
      </c>
      <c r="E123" s="162" t="str">
        <v>Inert waste (including concrete, metal, plastic or glass)</v>
      </c>
      <c r="F123" s="200"/>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58" t="str">
        <v>Landfill</v>
      </c>
      <c r="E124" s="162" t="str">
        <v>Municipal solid waste</v>
      </c>
      <c r="F124" s="200"/>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58" t="str">
        <v>Landfill</v>
      </c>
      <c r="E125" s="162" t="str">
        <v>Commercial and industrial waste</v>
      </c>
      <c r="F125" s="200"/>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58" t="str">
        <v>Landfill</v>
      </c>
      <c r="E126" s="162" t="str">
        <v>Construction and demolition waste</v>
      </c>
      <c r="F126" s="200"/>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58" t="str">
        <v>Incineration</v>
      </c>
      <c r="E127" s="162" t="str">
        <v>Food waste, green waste, wood, sludge</v>
      </c>
      <c r="F127" s="200"/>
      <c r="G127" s="49" t="s">
        <v>839</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58" t="str">
        <v>Incineration</v>
      </c>
      <c r="E128" s="162" t="str">
        <v>Food waste (including animal carcasses, spoiled animal feed or crop)</v>
      </c>
      <c r="F128" s="200"/>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844</v>
      </c>
      <c r="J128" s="49" t="s">
        <v>839</v>
      </c>
      <c r="K128" s="49" t="s">
        <v>839</v>
      </c>
    </row>
    <row r="129" spans="4:11" ht="20.100000000000001" customHeight="1" x14ac:dyDescent="0.25">
      <c r="D129" s="158" t="str">
        <v>Incineration</v>
      </c>
      <c r="E129" s="162" t="str">
        <v>Green waste (including crop residues or prunings)</v>
      </c>
      <c r="F129" s="200"/>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844</v>
      </c>
      <c r="J129" s="49" t="s">
        <v>839</v>
      </c>
      <c r="K129" s="49" t="s">
        <v>839</v>
      </c>
    </row>
    <row r="130" spans="4:11" ht="20.100000000000001" customHeight="1" x14ac:dyDescent="0.25">
      <c r="D130" s="158" t="str">
        <v>Incineration</v>
      </c>
      <c r="E130" s="162" t="str">
        <v>Wood</v>
      </c>
      <c r="F130" s="200"/>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844</v>
      </c>
      <c r="J130" s="49" t="s">
        <v>839</v>
      </c>
      <c r="K130" s="49" t="s">
        <v>839</v>
      </c>
    </row>
    <row r="131" spans="4:11" ht="20.100000000000001" customHeight="1" x14ac:dyDescent="0.25">
      <c r="D131" s="158" t="str">
        <v>Incineration</v>
      </c>
      <c r="E131" s="162" t="str">
        <v>Sludge</v>
      </c>
      <c r="F131" s="200"/>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844</v>
      </c>
      <c r="J131" s="49" t="s">
        <v>839</v>
      </c>
      <c r="K131" s="49" t="s">
        <v>839</v>
      </c>
    </row>
    <row r="132" spans="4:11" ht="20.100000000000001" customHeight="1" x14ac:dyDescent="0.25">
      <c r="D132" s="158" t="str">
        <v>Incineration</v>
      </c>
      <c r="E132" s="162" t="str">
        <v>Paper and cardboard</v>
      </c>
      <c r="F132" s="200"/>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58" t="str">
        <v>Incineration</v>
      </c>
      <c r="E133" s="162" t="str">
        <v>Textiles</v>
      </c>
      <c r="F133" s="200"/>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58" t="str">
        <v>Incineration</v>
      </c>
      <c r="E134" s="162" t="str">
        <v>Rubber and leather</v>
      </c>
      <c r="F134" s="200"/>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58" t="str">
        <v>Incineration</v>
      </c>
      <c r="E135" s="162" t="str">
        <v>Inert waste (including concrete, metal, plastic or glass)</v>
      </c>
      <c r="F135" s="200"/>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58" t="str">
        <v>Incineration</v>
      </c>
      <c r="E136" s="162" t="str">
        <v>Municipal solid waste</v>
      </c>
      <c r="F136" s="157"/>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58" t="str">
        <v>Incineration</v>
      </c>
      <c r="E137" s="162" t="str">
        <v>Commercial and industrial waste</v>
      </c>
      <c r="F137" s="157"/>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58" t="str">
        <v>Composting</v>
      </c>
      <c r="E138" s="162" t="str">
        <v>All organic waste</v>
      </c>
      <c r="F138" s="157"/>
      <c r="G138" s="49" t="s">
        <v>839</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58" t="str">
        <v>Composting</v>
      </c>
      <c r="E139" s="162" t="str">
        <v>Food waste (including animal carcasses, spoiled animal feed or crop)</v>
      </c>
      <c r="F139" s="157"/>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844</v>
      </c>
      <c r="J139" s="49" t="s">
        <v>839</v>
      </c>
      <c r="K139" s="49" t="s">
        <v>839</v>
      </c>
    </row>
    <row r="140" spans="4:11" ht="20.100000000000001" customHeight="1" x14ac:dyDescent="0.25">
      <c r="D140" s="158" t="str">
        <v>Composting</v>
      </c>
      <c r="E140" s="162" t="str">
        <v>Green waste (including crop residues or prunings)</v>
      </c>
      <c r="F140" s="157"/>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844</v>
      </c>
      <c r="J140" s="49" t="s">
        <v>839</v>
      </c>
      <c r="K140" s="49" t="s">
        <v>839</v>
      </c>
    </row>
    <row r="141" spans="4:11" ht="20.100000000000001" customHeight="1" x14ac:dyDescent="0.25">
      <c r="D141" s="158" t="str">
        <v>Composting</v>
      </c>
      <c r="E141" s="162" t="str">
        <v>Wood</v>
      </c>
      <c r="F141" s="157"/>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844</v>
      </c>
      <c r="J141" s="49" t="s">
        <v>839</v>
      </c>
      <c r="K141" s="49" t="s">
        <v>839</v>
      </c>
    </row>
    <row r="142" spans="4:11" ht="20.100000000000001" customHeight="1" x14ac:dyDescent="0.25">
      <c r="D142" s="158" t="str">
        <v>Composting</v>
      </c>
      <c r="E142" s="162" t="str">
        <v>Sludge</v>
      </c>
      <c r="F142" s="157"/>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844</v>
      </c>
      <c r="J142" s="49" t="s">
        <v>839</v>
      </c>
      <c r="K142" s="49" t="s">
        <v>839</v>
      </c>
    </row>
    <row r="143" spans="4:11" ht="20.100000000000001" customHeight="1" x14ac:dyDescent="0.25">
      <c r="D143" s="158" t="str">
        <v>Composting</v>
      </c>
      <c r="E143" s="162" t="str">
        <v>Paper and cardboard</v>
      </c>
      <c r="F143" s="157"/>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844</v>
      </c>
      <c r="J143" s="49" t="s">
        <v>839</v>
      </c>
      <c r="K143" s="49" t="s">
        <v>839</v>
      </c>
    </row>
    <row r="144" spans="4:11" ht="20.100000000000001" customHeight="1" x14ac:dyDescent="0.25">
      <c r="D144" s="158" t="str">
        <v>Anaerobic digestion</v>
      </c>
      <c r="E144" s="162" t="str">
        <v>All organic waste</v>
      </c>
      <c r="F144" s="157"/>
      <c r="G144" s="49" t="s">
        <v>839</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58" t="str">
        <v>Anaerobic digestion</v>
      </c>
      <c r="E145" s="162" t="str">
        <v>Food waste (including animal carcasses, spoiled animal feed or crop)</v>
      </c>
      <c r="F145" s="157"/>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844</v>
      </c>
      <c r="J145" s="49" t="s">
        <v>839</v>
      </c>
      <c r="K145" s="49" t="s">
        <v>839</v>
      </c>
    </row>
    <row r="146" spans="4:11" ht="20.100000000000001" customHeight="1" x14ac:dyDescent="0.25">
      <c r="D146" s="158" t="str">
        <v>Anaerobic digestion</v>
      </c>
      <c r="E146" s="162" t="str">
        <v>Green waste (including crop residues or prunings)</v>
      </c>
      <c r="F146" s="157"/>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844</v>
      </c>
      <c r="J146" s="49" t="s">
        <v>839</v>
      </c>
      <c r="K146" s="49" t="s">
        <v>839</v>
      </c>
    </row>
    <row r="147" spans="4:11" ht="20.100000000000001" customHeight="1" x14ac:dyDescent="0.25">
      <c r="D147" s="158" t="str">
        <v>Anaerobic digestion</v>
      </c>
      <c r="E147" s="162" t="str">
        <v>Wood</v>
      </c>
      <c r="F147" s="157"/>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844</v>
      </c>
      <c r="J147" s="49" t="s">
        <v>839</v>
      </c>
      <c r="K147" s="49" t="s">
        <v>839</v>
      </c>
    </row>
    <row r="148" spans="4:11" ht="20.100000000000001" customHeight="1" x14ac:dyDescent="0.25">
      <c r="D148" s="158" t="str">
        <v>Anaerobic digestion</v>
      </c>
      <c r="E148" s="162" t="str">
        <v>Sludge</v>
      </c>
      <c r="F148" s="157"/>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844</v>
      </c>
      <c r="J148" s="49" t="s">
        <v>839</v>
      </c>
      <c r="K148" s="49" t="s">
        <v>839</v>
      </c>
    </row>
    <row r="149" spans="4:11" ht="20.100000000000001" customHeight="1" x14ac:dyDescent="0.25">
      <c r="D149" s="158" t="str">
        <v>Anaerobic digestion</v>
      </c>
      <c r="E149" s="162" t="str">
        <v>Paper and cardboard</v>
      </c>
      <c r="F149" s="157"/>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844</v>
      </c>
      <c r="J149" s="49" t="s">
        <v>839</v>
      </c>
      <c r="K149" s="49" t="s">
        <v>839</v>
      </c>
    </row>
    <row r="150" spans="4:11" ht="20.100000000000001" customHeight="1" x14ac:dyDescent="0.25"/>
    <row r="151" spans="4:11" ht="20.100000000000001" customHeight="1" x14ac:dyDescent="0.25">
      <c r="D151" s="167" t="s">
        <v>798</v>
      </c>
      <c r="E151" s="168">
        <f>SUM(K116:K149)</f>
        <v>0</v>
      </c>
      <c r="F151" s="169" t="str">
        <f>$E$103</f>
        <v>t CO2e</v>
      </c>
    </row>
    <row r="152" spans="4:11" ht="20.100000000000001" customHeight="1" x14ac:dyDescent="0.25"/>
    <row r="153" spans="4:11" ht="20.100000000000001" customHeight="1" x14ac:dyDescent="0.25"/>
    <row r="154" spans="4:11" ht="20.100000000000001" customHeight="1" x14ac:dyDescent="0.25">
      <c r="D154" s="55" t="s">
        <v>799</v>
      </c>
    </row>
    <row r="155" spans="4:11" ht="20.100000000000001" customHeight="1" x14ac:dyDescent="0.25">
      <c r="D155" s="56" t="s">
        <v>800</v>
      </c>
    </row>
    <row r="156" spans="4:11" ht="20.100000000000001" customHeight="1" x14ac:dyDescent="0.25">
      <c r="D156" s="46" t="s">
        <v>789</v>
      </c>
      <c r="E156" s="46" t="s">
        <v>790</v>
      </c>
      <c r="F156" s="46"/>
      <c r="G156" s="46" t="s">
        <v>840</v>
      </c>
      <c r="H156" s="57" t="s">
        <v>841</v>
      </c>
      <c r="I156" s="57" t="s">
        <v>793</v>
      </c>
      <c r="J156" s="57" t="s">
        <v>842</v>
      </c>
      <c r="K156" s="57" t="s">
        <v>843</v>
      </c>
    </row>
    <row r="157" spans="4:11" ht="20.100000000000001" customHeight="1" x14ac:dyDescent="0.25">
      <c r="D157" s="158" t="str" cm="1">
        <f t="array" ref="D157:D190">Table_SourceData_WasteSolid_WasteTreatmentEFs[Treatment type t]</f>
        <v>Landfill</v>
      </c>
      <c r="E157" s="162" t="str" cm="1">
        <f t="array" ref="E157:E190">Table_SourceData_WasteSolid_WasteTreatmentEFs[Waste type w]</f>
        <v>Food waste (including animal carcasses, spoiled animal feed or crop)</v>
      </c>
      <c r="F157" s="200"/>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58" t="str">
        <v>Landfill</v>
      </c>
      <c r="E158" s="162" t="str">
        <v>Paper and cardboard</v>
      </c>
      <c r="F158" s="200"/>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58" t="str">
        <v>Landfill</v>
      </c>
      <c r="E159" s="162" t="str">
        <v>Green waste (including crop residues or prunings)</v>
      </c>
      <c r="F159" s="200"/>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58" t="str">
        <v>Landfill</v>
      </c>
      <c r="E160" s="162" t="str">
        <v>Wood</v>
      </c>
      <c r="F160" s="200"/>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58" t="str">
        <v>Landfill</v>
      </c>
      <c r="E161" s="162" t="str">
        <v>Textiles</v>
      </c>
      <c r="F161" s="200"/>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58" t="str">
        <v>Landfill</v>
      </c>
      <c r="E162" s="162" t="str">
        <v>Sludge</v>
      </c>
      <c r="F162" s="200"/>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58" t="str">
        <v>Landfill</v>
      </c>
      <c r="E163" s="162" t="str">
        <v>Rubber and leather</v>
      </c>
      <c r="F163" s="200"/>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58" t="str">
        <v>Landfill</v>
      </c>
      <c r="E164" s="162" t="str">
        <v>Inert waste (including concrete, metal, plastic or glass)</v>
      </c>
      <c r="F164" s="200"/>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58" t="str">
        <v>Landfill</v>
      </c>
      <c r="E165" s="162" t="str">
        <v>Municipal solid waste</v>
      </c>
      <c r="F165" s="200"/>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58" t="str">
        <v>Landfill</v>
      </c>
      <c r="E166" s="162" t="str">
        <v>Commercial and industrial waste</v>
      </c>
      <c r="F166" s="200"/>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58" t="str">
        <v>Landfill</v>
      </c>
      <c r="E167" s="162" t="str">
        <v>Construction and demolition waste</v>
      </c>
      <c r="F167" s="200"/>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58" t="str">
        <v>Incineration</v>
      </c>
      <c r="E168" s="162" t="str">
        <v>Food waste, green waste, wood, sludge</v>
      </c>
      <c r="F168" s="200"/>
      <c r="G168" s="49" t="s">
        <v>839</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58" t="str">
        <v>Incineration</v>
      </c>
      <c r="E169" s="162" t="str">
        <v>Food waste (including animal carcasses, spoiled animal feed or crop)</v>
      </c>
      <c r="F169" s="200"/>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844</v>
      </c>
      <c r="J169" s="49" t="s">
        <v>839</v>
      </c>
      <c r="K169" s="49" t="s">
        <v>839</v>
      </c>
    </row>
    <row r="170" spans="4:11" ht="20.100000000000001" customHeight="1" x14ac:dyDescent="0.25">
      <c r="D170" s="158" t="str">
        <v>Incineration</v>
      </c>
      <c r="E170" s="162" t="str">
        <v>Green waste (including crop residues or prunings)</v>
      </c>
      <c r="F170" s="200"/>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844</v>
      </c>
      <c r="J170" s="49" t="s">
        <v>839</v>
      </c>
      <c r="K170" s="49" t="s">
        <v>839</v>
      </c>
    </row>
    <row r="171" spans="4:11" ht="20.100000000000001" customHeight="1" x14ac:dyDescent="0.25">
      <c r="D171" s="158" t="str">
        <v>Incineration</v>
      </c>
      <c r="E171" s="162" t="str">
        <v>Wood</v>
      </c>
      <c r="F171" s="200"/>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844</v>
      </c>
      <c r="J171" s="49" t="s">
        <v>839</v>
      </c>
      <c r="K171" s="49" t="s">
        <v>839</v>
      </c>
    </row>
    <row r="172" spans="4:11" ht="20.100000000000001" customHeight="1" x14ac:dyDescent="0.25">
      <c r="D172" s="158" t="str">
        <v>Incineration</v>
      </c>
      <c r="E172" s="162" t="str">
        <v>Sludge</v>
      </c>
      <c r="F172" s="200"/>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844</v>
      </c>
      <c r="J172" s="49" t="s">
        <v>839</v>
      </c>
      <c r="K172" s="49" t="s">
        <v>839</v>
      </c>
    </row>
    <row r="173" spans="4:11" ht="20.100000000000001" customHeight="1" x14ac:dyDescent="0.25">
      <c r="D173" s="158" t="str">
        <v>Incineration</v>
      </c>
      <c r="E173" s="162" t="str">
        <v>Paper and cardboard</v>
      </c>
      <c r="F173" s="200"/>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58" t="str">
        <v>Incineration</v>
      </c>
      <c r="E174" s="162" t="str">
        <v>Textiles</v>
      </c>
      <c r="F174" s="200"/>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58" t="str">
        <v>Incineration</v>
      </c>
      <c r="E175" s="162" t="str">
        <v>Rubber and leather</v>
      </c>
      <c r="F175" s="200"/>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58" t="str">
        <v>Incineration</v>
      </c>
      <c r="E176" s="162" t="str">
        <v>Inert waste (including concrete, metal, plastic or glass)</v>
      </c>
      <c r="F176" s="200"/>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58" t="str">
        <v>Incineration</v>
      </c>
      <c r="E177" s="162" t="str">
        <v>Municipal solid waste</v>
      </c>
      <c r="F177" s="157"/>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58" t="str">
        <v>Incineration</v>
      </c>
      <c r="E178" s="162" t="str">
        <v>Commercial and industrial waste</v>
      </c>
      <c r="F178" s="157"/>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58" t="str">
        <v>Composting</v>
      </c>
      <c r="E179" s="162" t="str">
        <v>All organic waste</v>
      </c>
      <c r="F179" s="157"/>
      <c r="G179" s="49" t="s">
        <v>839</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58" t="str">
        <v>Composting</v>
      </c>
      <c r="E180" s="162" t="str">
        <v>Food waste (including animal carcasses, spoiled animal feed or crop)</v>
      </c>
      <c r="F180" s="157"/>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844</v>
      </c>
      <c r="J180" s="49" t="s">
        <v>839</v>
      </c>
      <c r="K180" s="49" t="s">
        <v>839</v>
      </c>
    </row>
    <row r="181" spans="4:11" ht="20.100000000000001" customHeight="1" x14ac:dyDescent="0.25">
      <c r="D181" s="158" t="str">
        <v>Composting</v>
      </c>
      <c r="E181" s="162" t="str">
        <v>Green waste (including crop residues or prunings)</v>
      </c>
      <c r="F181" s="157"/>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844</v>
      </c>
      <c r="J181" s="49" t="s">
        <v>839</v>
      </c>
      <c r="K181" s="49" t="s">
        <v>839</v>
      </c>
    </row>
    <row r="182" spans="4:11" ht="20.100000000000001" customHeight="1" x14ac:dyDescent="0.25">
      <c r="D182" s="158" t="str">
        <v>Composting</v>
      </c>
      <c r="E182" s="162" t="str">
        <v>Wood</v>
      </c>
      <c r="F182" s="157"/>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844</v>
      </c>
      <c r="J182" s="49" t="s">
        <v>839</v>
      </c>
      <c r="K182" s="49" t="s">
        <v>839</v>
      </c>
    </row>
    <row r="183" spans="4:11" ht="20.100000000000001" customHeight="1" x14ac:dyDescent="0.25">
      <c r="D183" s="158" t="str">
        <v>Composting</v>
      </c>
      <c r="E183" s="162" t="str">
        <v>Sludge</v>
      </c>
      <c r="F183" s="157"/>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844</v>
      </c>
      <c r="J183" s="49" t="s">
        <v>839</v>
      </c>
      <c r="K183" s="49" t="s">
        <v>839</v>
      </c>
    </row>
    <row r="184" spans="4:11" ht="20.100000000000001" customHeight="1" x14ac:dyDescent="0.25">
      <c r="D184" s="158" t="str">
        <v>Composting</v>
      </c>
      <c r="E184" s="162" t="str">
        <v>Paper and cardboard</v>
      </c>
      <c r="F184" s="157"/>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844</v>
      </c>
      <c r="J184" s="49" t="s">
        <v>839</v>
      </c>
      <c r="K184" s="49" t="s">
        <v>839</v>
      </c>
    </row>
    <row r="185" spans="4:11" ht="20.100000000000001" customHeight="1" x14ac:dyDescent="0.25">
      <c r="D185" s="158" t="str">
        <v>Anaerobic digestion</v>
      </c>
      <c r="E185" s="162" t="str">
        <v>All organic waste</v>
      </c>
      <c r="F185" s="157"/>
      <c r="G185" s="49" t="s">
        <v>839</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58" t="str">
        <v>Anaerobic digestion</v>
      </c>
      <c r="E186" s="162" t="str">
        <v>Food waste (including animal carcasses, spoiled animal feed or crop)</v>
      </c>
      <c r="F186" s="157"/>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844</v>
      </c>
      <c r="J186" s="49" t="s">
        <v>839</v>
      </c>
      <c r="K186" s="49" t="s">
        <v>839</v>
      </c>
    </row>
    <row r="187" spans="4:11" ht="20.100000000000001" customHeight="1" x14ac:dyDescent="0.25">
      <c r="D187" s="158" t="str">
        <v>Anaerobic digestion</v>
      </c>
      <c r="E187" s="162" t="str">
        <v>Green waste (including crop residues or prunings)</v>
      </c>
      <c r="F187" s="157"/>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844</v>
      </c>
      <c r="J187" s="49" t="s">
        <v>839</v>
      </c>
      <c r="K187" s="49" t="s">
        <v>839</v>
      </c>
    </row>
    <row r="188" spans="4:11" ht="20.100000000000001" customHeight="1" x14ac:dyDescent="0.25">
      <c r="D188" s="158" t="str">
        <v>Anaerobic digestion</v>
      </c>
      <c r="E188" s="162" t="str">
        <v>Wood</v>
      </c>
      <c r="F188" s="157"/>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844</v>
      </c>
      <c r="J188" s="49" t="s">
        <v>839</v>
      </c>
      <c r="K188" s="49" t="s">
        <v>839</v>
      </c>
    </row>
    <row r="189" spans="4:11" ht="20.100000000000001" customHeight="1" x14ac:dyDescent="0.25">
      <c r="D189" s="158" t="str">
        <v>Anaerobic digestion</v>
      </c>
      <c r="E189" s="162" t="str">
        <v>Sludge</v>
      </c>
      <c r="F189" s="157"/>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844</v>
      </c>
      <c r="J189" s="49" t="s">
        <v>839</v>
      </c>
      <c r="K189" s="49" t="s">
        <v>839</v>
      </c>
    </row>
    <row r="190" spans="4:11" ht="20.100000000000001" customHeight="1" x14ac:dyDescent="0.25">
      <c r="D190" s="158" t="str">
        <v>Anaerobic digestion</v>
      </c>
      <c r="E190" s="162" t="str">
        <v>Paper and cardboard</v>
      </c>
      <c r="F190" s="157"/>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844</v>
      </c>
      <c r="J190" s="49" t="s">
        <v>839</v>
      </c>
      <c r="K190" s="49" t="s">
        <v>839</v>
      </c>
    </row>
    <row r="191" spans="4:11" ht="20.100000000000001" customHeight="1" x14ac:dyDescent="0.25"/>
    <row r="192" spans="4:11" ht="20.100000000000001" customHeight="1" x14ac:dyDescent="0.25">
      <c r="D192" s="167" t="s">
        <v>798</v>
      </c>
      <c r="E192" s="168">
        <f>SUM(K157:K190)</f>
        <v>330.84210000000002</v>
      </c>
      <c r="F192" s="1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38"/>
    </row>
    <row r="342" spans="8:8" x14ac:dyDescent="0.25">
      <c r="H342" s="138"/>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A2" zoomScaleNormal="100" workbookViewId="0">
      <selection activeCell="A15" sqref="A15"/>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849</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405</v>
      </c>
      <c r="E3" s="5"/>
      <c r="F3" s="5"/>
      <c r="G3" s="5"/>
      <c r="H3" s="5"/>
      <c r="I3" s="5"/>
      <c r="J3" s="5"/>
      <c r="K3" s="5"/>
      <c r="M3" s="5"/>
      <c r="N3" s="5" t="s">
        <v>406</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63" t="s">
        <v>621</v>
      </c>
      <c r="E7" s="163" t="str">
        <f ca="1">Common_InputFunctions.Utility_DisplayFunctionName(VEERG_5_2_1_1__1_OrganicFertiliserApplicationN2OEmissions_Result_Method1)</f>
        <v>=Fertiliser_Equations_OrganicN2O.VEERG_5_2_1_1__1_OrganicFertiliserApplicationN2OEmissions</v>
      </c>
      <c r="N7" s="163" t="s">
        <v>621</v>
      </c>
      <c r="O7" s="16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622</v>
      </c>
      <c r="E10" s="8" t="str" cm="1">
        <f t="array" ref="E10">Fertiliser_Equations_OrganicN2O.VEERG_5_2_1_1__1_OrganicFertiliserApplicationN2OEmissions_Variable()</f>
        <v>E_N2O</v>
      </c>
      <c r="N10" s="27" t="s">
        <v>622</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58" t="str" cm="1">
        <f t="array" ref="D13:E17">_xlfn.CHOOSECOLS(Fertiliser_Equations_OrganicN2O.VEERG_5_2_1_1__1_OrganicFertiliserApplicationN2OEmissions_Arguments(), 1, 2)</f>
        <v>MNSoil_jf</v>
      </c>
      <c r="E13" s="162" t="str">
        <v>mass of nitrogen in organic fertiliser type f applied to production system j</v>
      </c>
      <c r="F13" s="196"/>
      <c r="G13" s="157"/>
      <c r="H13" s="158" t="str" cm="1">
        <f t="array" ref="H13:I17">_xlfn.CHOOSECOLS(Fertiliser_Equations_OrganicN2O.VEERG_5_2_1_1__1_OrganicFertiliserApplicationN2OEmissions_Arguments(), 3,4)</f>
        <v>kg N</v>
      </c>
      <c r="I13" s="160" t="str">
        <v>Calculated from 5.2.1.1 (2)</v>
      </c>
      <c r="J13" s="158">
        <f>X_Cell_ManureSentOffsite_MassNitrogenManure_Method1</f>
        <v>1000</v>
      </c>
      <c r="N13" s="158" t="str" cm="1">
        <f t="array" ref="N13:O17">_xlfn.CHOOSECOLS(Fertiliser_Equations_OrganicN2O.VEERG_5_2_1_1__1_OrganicFertiliserApplicationN2OEmissions_Arguments(), 1, 2)</f>
        <v>MNSoil_jf</v>
      </c>
      <c r="O13" s="162" t="str">
        <v>mass of nitrogen in organic fertiliser type f applied to production system j</v>
      </c>
      <c r="P13" s="196"/>
      <c r="Q13" s="157"/>
      <c r="R13" s="158" t="str" cm="1">
        <f t="array" ref="R13:S17">_xlfn.CHOOSECOLS(Fertiliser_Equations_OrganicN2O.VEERG_5_2_1_1__1_OrganicFertiliserApplicationN2OEmissions_Arguments(), 3,4)</f>
        <v>kg N</v>
      </c>
      <c r="S13" s="160" t="str">
        <v>Calculated from 5.2.1.1 (2)</v>
      </c>
      <c r="T13" s="158">
        <f>X_Cell_ManureSentOffsite_MassNitrogenManure_Method2</f>
        <v>2000</v>
      </c>
    </row>
    <row r="14" spans="1:21" ht="20.100000000000001" customHeight="1" x14ac:dyDescent="0.25">
      <c r="A14" s="16" t="str">
        <f>HYPERLINK("#'Input - Solid waste'!A1", "Solid waste")</f>
        <v>Solid waste</v>
      </c>
      <c r="D14" s="158" t="str">
        <v>EF_N2Oi</v>
      </c>
      <c r="E14" s="162" t="str">
        <v>emission factor for direct nitrous oxide emissions from organic fertiliser applied to soils and aquatic systems in climate zone i</v>
      </c>
      <c r="F14" s="196"/>
      <c r="G14" s="157"/>
      <c r="H14" s="158" t="str">
        <v>kg N2O-N/kg N</v>
      </c>
      <c r="I14" s="160" t="str">
        <v>Lookup</v>
      </c>
      <c r="J14" s="158">
        <f>Common_InputFunctions.Utility_LookupValueInTableNumber(J17, Table_SourceData_Common_EFOrganicFertCropResidues[Climate Zone],Table_SourceData_Common_EFOrganicFertCropResidues[EFNi &amp; EFN2Oi])</f>
        <v>5.0000000000000001E-3</v>
      </c>
      <c r="N14" s="158" t="str">
        <v>EF_N2Oi</v>
      </c>
      <c r="O14" s="162" t="str">
        <v>emission factor for direct nitrous oxide emissions from organic fertiliser applied to soils and aquatic systems in climate zone i</v>
      </c>
      <c r="P14" s="196"/>
      <c r="Q14" s="157"/>
      <c r="R14" s="158" t="str">
        <v>kg N2O-N/kg N</v>
      </c>
      <c r="S14" s="160" t="str">
        <v>Lookup</v>
      </c>
      <c r="T14" s="158"/>
    </row>
    <row r="15" spans="1:21" ht="20.100000000000001" customHeight="1" x14ac:dyDescent="0.25">
      <c r="A15" s="16" t="str">
        <f>HYPERLINK("#'Input - Manure sent off-site'!A1", "Manure sent off-site")</f>
        <v>Manure sent off-site</v>
      </c>
      <c r="D15" s="158" t="str">
        <v>C_N2O</v>
      </c>
      <c r="E15" s="162" t="str">
        <v>factor to convert elemental mass of nitrous oxide to molecular mass</v>
      </c>
      <c r="F15" s="196"/>
      <c r="G15" s="157"/>
      <c r="H15" s="158" t="str">
        <v/>
      </c>
      <c r="I15" s="160" t="str">
        <v>Constant</v>
      </c>
      <c r="J15" s="158">
        <f>Common_InputFunctions.Utility_LookupValueInTableNumber("N2O",Table_GasToMolecularConversionFactor[Gas],Table_GasToMolecularConversionFactor[Conversion factor combined])</f>
        <v>1.5714285714285714</v>
      </c>
      <c r="N15" s="158" t="str">
        <v>C_N2O</v>
      </c>
      <c r="O15" s="162" t="str">
        <v>factor to convert elemental mass of nitrous oxide to molecular mass</v>
      </c>
      <c r="P15" s="196"/>
      <c r="Q15" s="157"/>
      <c r="R15" s="158" t="str">
        <v/>
      </c>
      <c r="S15" s="160" t="str">
        <v>Constant</v>
      </c>
      <c r="T15" s="158"/>
    </row>
    <row r="16" spans="1:21" ht="20.100000000000001" customHeight="1" x14ac:dyDescent="0.25">
      <c r="A16" s="16" t="str">
        <f>HYPERLINK("#'Input - Electricity'!A1", "Electricity")</f>
        <v>Electricity</v>
      </c>
      <c r="D16" s="158" t="str">
        <v>j</v>
      </c>
      <c r="E16" s="162" t="str">
        <v>Production system</v>
      </c>
      <c r="F16" s="196"/>
      <c r="G16" s="157"/>
      <c r="H16" s="158" t="str">
        <v/>
      </c>
      <c r="I16" s="159" t="str">
        <v>Input</v>
      </c>
      <c r="J16" s="158" t="str">
        <f>X_Cell_ManureSentOffsite_ManureProductionSystem</f>
        <v>Crop</v>
      </c>
      <c r="N16" s="158" t="str">
        <v>j</v>
      </c>
      <c r="O16" s="162" t="str">
        <v>Production system</v>
      </c>
      <c r="P16" s="196"/>
      <c r="Q16" s="157"/>
      <c r="R16" s="158" t="str">
        <v/>
      </c>
      <c r="S16" s="159" t="str">
        <v>Input</v>
      </c>
      <c r="T16" s="158"/>
    </row>
    <row r="17" spans="1:20" ht="20.100000000000001" customHeight="1" x14ac:dyDescent="0.25">
      <c r="D17" s="158" t="str">
        <v>i</v>
      </c>
      <c r="E17" s="162" t="str">
        <v>Wet or dry climate zone</v>
      </c>
      <c r="F17" s="196"/>
      <c r="G17" s="157"/>
      <c r="H17" s="158" t="str">
        <v/>
      </c>
      <c r="I17" s="159" t="str">
        <v>Input</v>
      </c>
      <c r="J17" s="158" t="str">
        <f>X_Cell_Site_WetOrDryClimateZone</f>
        <v>Dry climate zone</v>
      </c>
      <c r="N17" s="158" t="str">
        <v>i</v>
      </c>
      <c r="O17" s="162" t="str">
        <v>Wet or dry climate zone</v>
      </c>
      <c r="P17" s="196"/>
      <c r="Q17" s="157"/>
      <c r="R17" s="158" t="str">
        <v/>
      </c>
      <c r="S17" s="159" t="str">
        <v>Input</v>
      </c>
      <c r="T17" s="158"/>
    </row>
    <row r="18" spans="1:20" ht="20.100000000000001" customHeight="1" x14ac:dyDescent="0.25"/>
    <row r="19" spans="1:20" ht="20.100000000000001" customHeight="1" x14ac:dyDescent="0.25">
      <c r="A19" s="21" t="s">
        <v>77</v>
      </c>
      <c r="D19" s="167" t="s">
        <v>741</v>
      </c>
      <c r="E19" s="168" cm="1">
        <f t="array" ref="E19">Fertiliser_Equations_OrganicN2O.VEERG_5_2_1_1__1_OrganicFertiliserApplicationN2OEmissions(J13,J14,J15)</f>
        <v>7.8571428571428577E-3</v>
      </c>
      <c r="F19" s="169" t="str">
        <f>$E$11</f>
        <v>t N2O</v>
      </c>
      <c r="N19" s="167" t="s">
        <v>741</v>
      </c>
      <c r="O19" s="168" cm="1">
        <f t="array" ref="O19">Fertiliser_Equations_OrganicN2O.VEERG_5_2_1_1__1_OrganicFertiliserApplicationN2OEmissions(T13,J14,J15)</f>
        <v>1.5714285714285715E-2</v>
      </c>
      <c r="P19" s="169"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71"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63" t="s">
        <v>621</v>
      </c>
      <c r="E26" s="163" t="str" cm="1">
        <f t="array" aca="1" ref="E26" ca="1">Common_InputFunctions.Utility_DisplayFunctionName(E35)</f>
        <v>=Fertiliser_Equations_AtmosphericDeposition.VEERG_5_4_1_3__2_MassOfNitrogenVolatilisedFromOrganicFertiliser</v>
      </c>
      <c r="N26" s="163" t="s">
        <v>621</v>
      </c>
      <c r="O26" s="163" t="str" cm="1">
        <f t="array" aca="1" ref="O26" ca="1">Common_InputFunctions.Utility_DisplayFunctionName(O35)</f>
        <v>=Fertiliser_Equations_AtmosphericDeposition.VEERG_5_4_1_3__2_MassOfNitrogenVolatilisedFromOrganicFertiliser</v>
      </c>
    </row>
    <row r="27" spans="1:20" ht="20.100000000000001" customHeight="1" x14ac:dyDescent="0.25">
      <c r="A27" s="213"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622</v>
      </c>
      <c r="E29" s="8" t="str" cm="1">
        <f t="array" ref="E29">Fertiliser_Equations_AtmosphericDeposition.VEERG_5_4_1_3__2_MassOfNitrogenVolatilisedFromOrganicFertiliser_Variable()</f>
        <v>M_volorganicjf</v>
      </c>
      <c r="N29" s="27" t="s">
        <v>622</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58" t="str" cm="1">
        <f t="array" ref="D32:E33">_xlfn.CHOOSECOLS(Fertiliser_Equations_AtmosphericDeposition.VEERG_5_4_1_3__2_MassOfNitrogenVolatilisedFromOrganicFertiliser_Arguments(), 1, 2)</f>
        <v>MNSoil_jf</v>
      </c>
      <c r="E32" s="158" t="str">
        <v>mass of nitrogen in organic fertiliser type f applied to production system j</v>
      </c>
      <c r="F32" s="158"/>
      <c r="G32" s="158" t="str" cm="1">
        <f t="array" ref="G32:H33">_xlfn.CHOOSECOLS(Fertiliser_Equations_AtmosphericDeposition.VEERG_5_4_1_3__2_MassOfNitrogenVolatilisedFromOrganicFertiliser_Arguments(), 3,4)</f>
        <v>kg N</v>
      </c>
      <c r="H32" s="160" t="str">
        <v>Calculated from 5.2.1.1 (2)</v>
      </c>
      <c r="I32" s="158">
        <f>X_Cell_ManureSentOffsite_MassNitrogenManure_Method1</f>
        <v>1000</v>
      </c>
      <c r="N32" s="158" t="str" cm="1">
        <f t="array" ref="N32:O33">_xlfn.CHOOSECOLS(Fertiliser_Equations_AtmosphericDeposition.VEERG_5_4_1_3__2_MassOfNitrogenVolatilisedFromOrganicFertiliser_Arguments(), 1, 2)</f>
        <v>MNSoil_jf</v>
      </c>
      <c r="O32" s="158" t="str">
        <v>mass of nitrogen in organic fertiliser type f applied to production system j</v>
      </c>
      <c r="P32" s="158"/>
      <c r="Q32" s="158" t="str" cm="1">
        <f t="array" ref="Q32:R33">_xlfn.CHOOSECOLS(Fertiliser_Equations_AtmosphericDeposition.VEERG_5_4_1_3__2_MassOfNitrogenVolatilisedFromOrganicFertiliser_Arguments(), 3,4)</f>
        <v>kg N</v>
      </c>
      <c r="R32" s="160" t="str">
        <v>Calculated from 5.2.1.1 (2)</v>
      </c>
      <c r="S32" s="158">
        <f>X_Cell_ManureSentOffsite_MassNitrogenManure_Method2</f>
        <v>2000</v>
      </c>
    </row>
    <row r="33" spans="1:19" ht="20.100000000000001" customHeight="1" x14ac:dyDescent="0.25">
      <c r="A33" s="16" t="str">
        <f>HYPERLINK("#'Constants - Dairy'!A1", "Constants - Dairy")</f>
        <v>Constants - Dairy</v>
      </c>
      <c r="D33" s="158" t="str">
        <v>FracGASM_soil</v>
      </c>
      <c r="E33" s="158" t="str">
        <v>fraction of organic fertiliser N that volatilises</v>
      </c>
      <c r="F33" s="158"/>
      <c r="G33" s="158" t="str">
        <v>(kg NH3-N + NOx-N)/kg N</v>
      </c>
      <c r="H33" s="160" t="str">
        <v>Constant</v>
      </c>
      <c r="I33" s="158">
        <f>Fertiliser_FracGASMSoil_Data</f>
        <v>0.21</v>
      </c>
      <c r="N33" s="158" t="str">
        <v>FracGASM_soil</v>
      </c>
      <c r="O33" s="158" t="str">
        <v>fraction of organic fertiliser N that volatilises</v>
      </c>
      <c r="P33" s="158"/>
      <c r="Q33" s="158" t="str">
        <v>(kg NH3-N + NOx-N)/kg N</v>
      </c>
      <c r="R33" s="160" t="str">
        <v>Constant</v>
      </c>
      <c r="S33" s="158"/>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65" t="s">
        <v>743</v>
      </c>
      <c r="E35" s="89" cm="1">
        <f t="array" ref="E35">Fertiliser_Equations_AtmosphericDeposition.VEERG_5_4_1_3__2_MassOfNitrogenVolatilisedFromOrganicFertiliser(I32,I33)</f>
        <v>210</v>
      </c>
      <c r="F35" s="166" t="str">
        <f>E30</f>
        <v>kg N</v>
      </c>
      <c r="N35" s="165" t="s">
        <v>743</v>
      </c>
      <c r="O35" s="89" cm="1">
        <f t="array" ref="O35">Fertiliser_Equations_AtmosphericDeposition.VEERG_5_4_1_3__2_MassOfNitrogenVolatilisedFromOrganicFertiliser(S32,I33)</f>
        <v>420</v>
      </c>
      <c r="P35" s="166"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63" t="s">
        <v>621</v>
      </c>
      <c r="E42" s="163" t="str">
        <f ca="1">Common_InputFunctions.Utility_DisplayFunctionName(VEERG_5_4_1_3__1_OrganicFertiliserAtmosphericDepositionN2OEmissions_Result_Method1)</f>
        <v>=Fertiliser_Equations_AtmosphericDeposition.VEERG_5_4_1_3__1_OrganicFertiliserAtmosphericDepositionN2OEmissions</v>
      </c>
      <c r="N42" s="163" t="s">
        <v>621</v>
      </c>
      <c r="O42" s="16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622</v>
      </c>
      <c r="E45" s="8" t="str" cm="1">
        <f t="array" ref="E45">Fertiliser_Equations_AtmosphericDeposition.VEERG_5_4_1_3__1_OrganicFertiliserAtmosphericDepositionN2OEmissions_Variable()</f>
        <v>E_adorganic</v>
      </c>
      <c r="N45" s="27" t="s">
        <v>622</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58" t="str" cm="1">
        <f t="array" ref="D48:E53">_xlfn.CHOOSECOLS(Fertiliser_Equations_AtmosphericDeposition.VEERG_5_4_1_3__1_OrganicFertiliserAtmosphericDepositionN2OEmissions_Arguments(), 1, 2)</f>
        <v>M_volorganicjf</v>
      </c>
      <c r="E48" s="162" t="str">
        <v>mass of nitrogen volatilised from organic fertiliser applied to production system</v>
      </c>
      <c r="F48" s="157"/>
      <c r="G48" s="158" t="str" cm="1">
        <f t="array" ref="G48:H53">_xlfn.CHOOSECOLS(Fertiliser_Equations_AtmosphericDeposition.VEERG_5_4_1_3__1_OrganicFertiliserAtmosphericDepositionN2OEmissions_Arguments(), 3,4)</f>
        <v>kg N</v>
      </c>
      <c r="H48" s="160" t="str">
        <v>Calculated from 5.4.1.3 (2)</v>
      </c>
      <c r="I48" s="158">
        <f>E35</f>
        <v>210</v>
      </c>
      <c r="N48" s="158" t="str" cm="1">
        <f t="array" ref="N48:O53">_xlfn.CHOOSECOLS(Fertiliser_Equations_AtmosphericDeposition.VEERG_5_4_1_3__1_OrganicFertiliserAtmosphericDepositionN2OEmissions_Arguments(), 1, 2)</f>
        <v>M_volorganicjf</v>
      </c>
      <c r="O48" s="162" t="str">
        <v>mass of nitrogen volatilised from organic fertiliser applied to production system</v>
      </c>
      <c r="P48" s="157"/>
      <c r="Q48" s="158" t="str" cm="1">
        <f t="array" ref="Q48:R53">_xlfn.CHOOSECOLS(Fertiliser_Equations_AtmosphericDeposition.VEERG_5_4_1_3__1_OrganicFertiliserAtmosphericDepositionN2OEmissions_Arguments(), 3,4)</f>
        <v>kg N</v>
      </c>
      <c r="R48" s="160" t="str">
        <v>Calculated from 5.4.1.3 (2)</v>
      </c>
      <c r="S48" s="158">
        <f>O35</f>
        <v>420</v>
      </c>
    </row>
    <row r="49" spans="4:19" ht="20.100000000000001" customHeight="1" x14ac:dyDescent="0.25">
      <c r="D49" s="158" t="str">
        <v>EF_N2Oj</v>
      </c>
      <c r="E49" s="162" t="str">
        <v>emission factor for atmospheric deposition in production system j</v>
      </c>
      <c r="F49" s="157"/>
      <c r="G49" s="158" t="str">
        <v>kg N2O-N/kg N</v>
      </c>
      <c r="H49" s="160" t="str">
        <v>Constant</v>
      </c>
      <c r="I49" s="15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8" t="str">
        <v>EF_N2Oj</v>
      </c>
      <c r="O49" s="162" t="str">
        <v>emission factor for atmospheric deposition in production system j</v>
      </c>
      <c r="P49" s="157"/>
      <c r="Q49" s="158" t="str">
        <v>kg N2O-N/kg N</v>
      </c>
      <c r="R49" s="160" t="str">
        <v>Constant</v>
      </c>
      <c r="S49" s="158"/>
    </row>
    <row r="50" spans="4:19" ht="20.100000000000001" customHeight="1" x14ac:dyDescent="0.25">
      <c r="D50" s="158" t="str">
        <v>C_N2O</v>
      </c>
      <c r="E50" s="162" t="str">
        <v>factor to convert elemental mass of nitrous oxide to molecular mass</v>
      </c>
      <c r="F50" s="157"/>
      <c r="G50" s="158" t="str">
        <v/>
      </c>
      <c r="H50" s="160" t="str">
        <v>Constant</v>
      </c>
      <c r="I50" s="197">
        <f>Common_InputFunctions.Utility_LookupValueInTableNumber("N2O",Table_GasToMolecularConversionFactor[Gas],Table_GasToMolecularConversionFactor[Conversion factor combined])</f>
        <v>1.5714285714285714</v>
      </c>
      <c r="N50" s="158" t="str">
        <v>C_N2O</v>
      </c>
      <c r="O50" s="162" t="str">
        <v>factor to convert elemental mass of nitrous oxide to molecular mass</v>
      </c>
      <c r="P50" s="157"/>
      <c r="Q50" s="158" t="str">
        <v/>
      </c>
      <c r="R50" s="160" t="str">
        <v>Constant</v>
      </c>
      <c r="S50" s="197"/>
    </row>
    <row r="51" spans="4:19" ht="20.100000000000001" customHeight="1" x14ac:dyDescent="0.25">
      <c r="D51" s="158" t="str">
        <v>j</v>
      </c>
      <c r="E51" s="162" t="str">
        <v>Production system</v>
      </c>
      <c r="F51" s="157"/>
      <c r="G51" s="158" t="str">
        <v/>
      </c>
      <c r="H51" s="159" t="str">
        <v>Input</v>
      </c>
      <c r="I51" s="158" t="str">
        <f>IF(ISBLANK(X_Cell_ManureSentOffsite_ManureProductionSystem), "Pasture", X_Cell_ManureSentOffsite_ManureProductionSystem)</f>
        <v>Crop</v>
      </c>
      <c r="N51" s="158" t="str">
        <v>j</v>
      </c>
      <c r="O51" s="162" t="str">
        <v>Production system</v>
      </c>
      <c r="P51" s="157"/>
      <c r="Q51" s="158" t="str">
        <v/>
      </c>
      <c r="R51" s="159" t="str">
        <v>Input</v>
      </c>
      <c r="S51" s="158"/>
    </row>
    <row r="52" spans="4:19" ht="20.100000000000001" customHeight="1" x14ac:dyDescent="0.25">
      <c r="D52" s="158" t="str">
        <v>ir</v>
      </c>
      <c r="E52" s="162" t="str">
        <v>irrigation method</v>
      </c>
      <c r="F52" s="157"/>
      <c r="G52" s="158" t="str">
        <v/>
      </c>
      <c r="H52" s="159" t="str">
        <v>Input</v>
      </c>
      <c r="I52" s="158" t="str">
        <f>IF(ISBLANK(X_Cell_ManureSentOffsite_ManureIrrigationMethod), "Not irrigated", X_Cell_ManureSentOffsite_ManureIrrigationMethod)</f>
        <v>Sprinkler irrigation</v>
      </c>
      <c r="N52" s="158" t="str">
        <v>ir</v>
      </c>
      <c r="O52" s="162" t="str">
        <v>irrigation method</v>
      </c>
      <c r="P52" s="157"/>
      <c r="Q52" s="158" t="str">
        <v/>
      </c>
      <c r="R52" s="159" t="str">
        <v>Input</v>
      </c>
      <c r="S52" s="158"/>
    </row>
    <row r="53" spans="4:19" ht="20.100000000000001" customHeight="1" x14ac:dyDescent="0.25">
      <c r="D53" s="158" t="str">
        <v>r</v>
      </c>
      <c r="E53" s="162" t="str">
        <v>rainfall region</v>
      </c>
      <c r="F53" s="157"/>
      <c r="G53" s="158" t="str">
        <v/>
      </c>
      <c r="H53" s="159" t="str">
        <v>Input</v>
      </c>
      <c r="I53" s="158" t="str">
        <f>IF(ISBLANK(X_Cell_Site_RainfallZone), "Low rainfall", X_Cell_Site_RainfallZone)</f>
        <v>Low rainfall</v>
      </c>
      <c r="N53" s="158" t="str">
        <v>r</v>
      </c>
      <c r="O53" s="162" t="str">
        <v>rainfall region</v>
      </c>
      <c r="P53" s="157"/>
      <c r="Q53" s="158" t="str">
        <v/>
      </c>
      <c r="R53" s="159" t="str">
        <v>Input</v>
      </c>
      <c r="S53" s="158"/>
    </row>
    <row r="54" spans="4:19" ht="20.100000000000001" customHeight="1" x14ac:dyDescent="0.25"/>
    <row r="55" spans="4:19" ht="20.100000000000001" customHeight="1" x14ac:dyDescent="0.25">
      <c r="D55" s="167" t="s">
        <v>757</v>
      </c>
      <c r="E55" s="168" cm="1">
        <f t="array" ref="E55">Fertiliser_Equations_AtmosphericDeposition.VEERG_5_4_1_3__1_OrganicFertiliserAtmosphericDepositionN2OEmissions(I48,I49,I50)</f>
        <v>2.31E-3</v>
      </c>
      <c r="F55" s="169" t="str">
        <f>$E$46</f>
        <v>t N2O</v>
      </c>
      <c r="N55" s="167" t="s">
        <v>757</v>
      </c>
      <c r="O55" s="168" cm="1">
        <f t="array" ref="O55">Fertiliser_Equations_AtmosphericDeposition.VEERG_5_4_1_3__1_OrganicFertiliserAtmosphericDepositionN2OEmissions(S48,I49,I50)</f>
        <v>4.62E-3</v>
      </c>
      <c r="P55" s="169"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63" t="s">
        <v>621</v>
      </c>
      <c r="E61" s="163" t="str" cm="1">
        <f t="array" aca="1" ref="E61" ca="1">Common_InputFunctions.Utility_DisplayFunctionName(E74)</f>
        <v>=Fertiliser_Equations_LeachingAndRunoff.VEERG_5_5_1_1__3_MassOfNitrogenLeachedFromOrganicFertiliser</v>
      </c>
      <c r="N61" s="163" t="s">
        <v>621</v>
      </c>
      <c r="O61" s="163"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622</v>
      </c>
      <c r="E64" s="8" t="str" cm="1">
        <f t="array" ref="E64">Fertiliser_Equations_LeachingAndRunoff.VEERG_5_5_1_1__3_MassOfNitrogenLeachedFromOrganicFertiliser_Variable()</f>
        <v>M_leachorganicj</v>
      </c>
      <c r="N64" s="27" t="s">
        <v>622</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58" t="str" cm="1">
        <f t="array" ref="D67:E72">_xlfn.CHOOSECOLS(Fertiliser_Equations_LeachingAndRunoff.VEERG_5_5_1_1__3_MassOfNitrogenLeachedFromOrganicFertiliser_Arguments(), 1, 2)</f>
        <v>MNSoil_jf</v>
      </c>
      <c r="E67" s="162" t="str">
        <v>mass of nitrogen in organic fertiliser</v>
      </c>
      <c r="F67" s="157"/>
      <c r="G67" s="158" t="str" cm="1">
        <f t="array" ref="G67:H72">_xlfn.CHOOSECOLS(Fertiliser_Equations_LeachingAndRunoff.VEERG_5_5_1_1__3_MassOfNitrogenLeachedFromOrganicFertiliser_Arguments(), 3,4)</f>
        <v>kg N</v>
      </c>
      <c r="H67" s="160" t="str">
        <v>Calculated from 5.2.1.1 (2)</v>
      </c>
      <c r="I67" s="158">
        <f>X_Cell_ManureSentOffsite_MassNitrogenManure_Method1</f>
        <v>1000</v>
      </c>
      <c r="N67" s="158" t="str" cm="1">
        <f t="array" ref="N67:O72">_xlfn.CHOOSECOLS(Fertiliser_Equations_LeachingAndRunoff.VEERG_5_5_1_1__3_MassOfNitrogenLeachedFromOrganicFertiliser_Arguments(), 1, 2)</f>
        <v>MNSoil_jf</v>
      </c>
      <c r="O67" s="162" t="str">
        <v>mass of nitrogen in organic fertiliser</v>
      </c>
      <c r="P67" s="157"/>
      <c r="Q67" s="158" t="str" cm="1">
        <f t="array" ref="Q67:R72">_xlfn.CHOOSECOLS(Fertiliser_Equations_LeachingAndRunoff.VEERG_5_5_1_1__3_MassOfNitrogenLeachedFromOrganicFertiliser_Arguments(), 3,4)</f>
        <v>kg N</v>
      </c>
      <c r="R67" s="160" t="str">
        <v>Calculated from 5.2.1.1 (2)</v>
      </c>
      <c r="S67" s="158">
        <f>X_Cell_ManureSentOffsite_MassNitrogenManure_Method2</f>
        <v>2000</v>
      </c>
    </row>
    <row r="68" spans="4:19" ht="20.100000000000001" customHeight="1" x14ac:dyDescent="0.25">
      <c r="D68" s="158" t="str">
        <v>FracWETj</v>
      </c>
      <c r="E68" s="162" t="str">
        <v>fraction of N available for leaching and runoff</v>
      </c>
      <c r="F68" s="157"/>
      <c r="G68" s="158" t="str">
        <v>fraction</v>
      </c>
      <c r="H68" s="160" t="str">
        <v>Constant</v>
      </c>
      <c r="I68" s="158">
        <f>Common_InputFunctions.CommonCropping_GetFracWET(I70,I72,Table_SourceData_FracWET[Is in leaching zone],Table_SourceData_FracWET[FracWET],Table_SourceData_FracWETIrrigation[Irrigation type i],Table_SourceData_FracWETIrrigation[FracWET])</f>
        <v>1</v>
      </c>
      <c r="N68" s="158" t="str">
        <v>FracWETj</v>
      </c>
      <c r="O68" s="162" t="str">
        <v>fraction of N available for leaching and runoff</v>
      </c>
      <c r="P68" s="157"/>
      <c r="Q68" s="158" t="str">
        <v>fraction</v>
      </c>
      <c r="R68" s="160" t="str">
        <v>Constant</v>
      </c>
      <c r="S68" s="158"/>
    </row>
    <row r="69" spans="4:19" ht="20.100000000000001" customHeight="1" x14ac:dyDescent="0.25">
      <c r="D69" s="158" t="str">
        <v>FracLEACH</v>
      </c>
      <c r="E69" s="162" t="str">
        <v>fraction of N that is lost through leaching and runoff</v>
      </c>
      <c r="F69" s="157"/>
      <c r="G69" s="158" t="str">
        <v>fraction</v>
      </c>
      <c r="H69" s="160" t="str">
        <v>Constant</v>
      </c>
      <c r="I69" s="158">
        <f>Fertiliser_FracLEACH_Data</f>
        <v>0.24</v>
      </c>
      <c r="N69" s="158" t="str">
        <v>FracLEACH</v>
      </c>
      <c r="O69" s="162" t="str">
        <v>fraction of N that is lost through leaching and runoff</v>
      </c>
      <c r="P69" s="157"/>
      <c r="Q69" s="158" t="str">
        <v>fraction</v>
      </c>
      <c r="R69" s="160" t="str">
        <v>Constant</v>
      </c>
      <c r="S69" s="158"/>
    </row>
    <row r="70" spans="4:19" ht="20.100000000000001" customHeight="1" x14ac:dyDescent="0.25">
      <c r="D70" s="158" t="str">
        <v>z</v>
      </c>
      <c r="E70" s="162" t="str">
        <v>location in leaching zone</v>
      </c>
      <c r="F70" s="157"/>
      <c r="G70" s="158" t="str">
        <v/>
      </c>
      <c r="H70" s="159" t="str">
        <v>Input</v>
      </c>
      <c r="I70" s="158" t="str">
        <f>X_Cell_Site_LeachingZone</f>
        <v>NO - Not in leaching zone</v>
      </c>
      <c r="N70" s="158" t="str">
        <v>z</v>
      </c>
      <c r="O70" s="162" t="str">
        <v>location in leaching zone</v>
      </c>
      <c r="P70" s="157"/>
      <c r="Q70" s="158" t="str">
        <v/>
      </c>
      <c r="R70" s="159" t="str">
        <v>Input</v>
      </c>
      <c r="S70" s="158"/>
    </row>
    <row r="71" spans="4:19" ht="20.100000000000001" customHeight="1" x14ac:dyDescent="0.25">
      <c r="D71" s="158" t="str">
        <v>j</v>
      </c>
      <c r="E71" s="162" t="str">
        <v>production system</v>
      </c>
      <c r="F71" s="157"/>
      <c r="G71" s="158" t="str">
        <v/>
      </c>
      <c r="H71" s="159" t="str">
        <v>Input</v>
      </c>
      <c r="I71" s="158" t="str">
        <f>IF(ISBLANK(X_Cell_ManureSentOffsite_ManureProductionSystem), "Pasture", X_Cell_ManureSentOffsite_ManureProductionSystem)</f>
        <v>Crop</v>
      </c>
      <c r="N71" s="158" t="str">
        <v>j</v>
      </c>
      <c r="O71" s="162" t="str">
        <v>production system</v>
      </c>
      <c r="P71" s="157"/>
      <c r="Q71" s="158" t="str">
        <v/>
      </c>
      <c r="R71" s="159" t="str">
        <v>Input</v>
      </c>
      <c r="S71" s="158"/>
    </row>
    <row r="72" spans="4:19" ht="20.100000000000001" customHeight="1" x14ac:dyDescent="0.25">
      <c r="D72" s="158" t="str">
        <v>ir</v>
      </c>
      <c r="E72" s="162" t="str">
        <v>irrigation method</v>
      </c>
      <c r="F72" s="157"/>
      <c r="G72" s="158" t="str">
        <v/>
      </c>
      <c r="H72" s="159" t="str">
        <v>Input</v>
      </c>
      <c r="I72" s="158" t="str">
        <f>IF(ISBLANK(X_Cell_ManureSentOffsite_ManureIrrigationMethod), "Not irrigated", X_Cell_ManureSentOffsite_ManureIrrigationMethod)</f>
        <v>Sprinkler irrigation</v>
      </c>
      <c r="N72" s="158" t="str">
        <v>ir</v>
      </c>
      <c r="O72" s="162" t="str">
        <v>irrigation method</v>
      </c>
      <c r="P72" s="157"/>
      <c r="Q72" s="158" t="str">
        <v/>
      </c>
      <c r="R72" s="159" t="str">
        <v>Input</v>
      </c>
      <c r="S72" s="158"/>
    </row>
    <row r="73" spans="4:19" ht="20.100000000000001" customHeight="1" x14ac:dyDescent="0.25"/>
    <row r="74" spans="4:19" ht="20.100000000000001" customHeight="1" x14ac:dyDescent="0.25">
      <c r="D74" s="165" t="s">
        <v>758</v>
      </c>
      <c r="E74" s="89" cm="1">
        <f t="array" ref="E74">Fertiliser_Equations_LeachingAndRunoff.VEERG_5_5_1_1__3_MassOfNitrogenLeachedFromOrganicFertiliser(I67,I68,I69)</f>
        <v>240</v>
      </c>
      <c r="F74" s="166" t="str">
        <f>$E$65</f>
        <v>kg N</v>
      </c>
      <c r="N74" s="165" t="s">
        <v>758</v>
      </c>
      <c r="O74" s="89" cm="1">
        <f t="array" ref="O74">Fertiliser_Equations_LeachingAndRunoff.VEERG_5_5_1_1__3_MassOfNitrogenLeachedFromOrganicFertiliser(S67,I68,I69)</f>
        <v>480</v>
      </c>
      <c r="P74" s="166"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63" t="s">
        <v>621</v>
      </c>
      <c r="E79" s="163" t="str">
        <f ca="1">Common_InputFunctions.Utility_DisplayFunctionName(VEERG_5_5_1_1__1_FertiliserLeachingAndRunoffN2OEmissions_Result_Method1)</f>
        <v>=Fertiliser_Equations_LeachingAndRunoff.VEERG_5_5_1_1__1_FertiliserLeachingAndRunoffN2OEmissions</v>
      </c>
      <c r="N79" s="163" t="s">
        <v>621</v>
      </c>
      <c r="O79" s="163"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622</v>
      </c>
      <c r="E82" s="8" t="str" cm="1">
        <f t="array" ref="E82">Fertiliser_Equations_LeachingAndRunoff.VEERG_5_5_1_1__1_FertiliserLeachingAndRunoffN2OEmissions_Variable()</f>
        <v>E_fertleach</v>
      </c>
      <c r="N82" s="27" t="s">
        <v>622</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58" t="str" cm="1">
        <f t="array" ref="D85:E88">_xlfn.CHOOSECOLS(Fertiliser_Equations_LeachingAndRunoff.VEERG_5_5_1_1__1_FertiliserLeachingAndRunoffN2OEmissions_Arguments(), 1, 2)</f>
        <v>M_leachinorganicj</v>
      </c>
      <c r="E85" s="162" t="str">
        <v>mass of nitrogen lost through leaching and runoff from inorganic fertiliser application in production system j</v>
      </c>
      <c r="F85" s="196"/>
      <c r="G85" s="157"/>
      <c r="H85" s="158" t="str" cm="1">
        <f t="array" ref="H85:I88">_xlfn.CHOOSECOLS(Fertiliser_Equations_LeachingAndRunoff.VEERG_5_5_1_1__1_FertiliserLeachingAndRunoffN2OEmissions_Arguments(), 3,4)</f>
        <v>kg N</v>
      </c>
      <c r="I85" s="160" t="str">
        <v>Calculated from 5.5.1.1 (2)</v>
      </c>
      <c r="J85" s="158">
        <v>0</v>
      </c>
      <c r="N85" s="158" t="str" cm="1">
        <f t="array" ref="N85:O88">_xlfn.CHOOSECOLS(Fertiliser_Equations_LeachingAndRunoff.VEERG_5_5_1_1__1_FertiliserLeachingAndRunoffN2OEmissions_Arguments(), 1, 2)</f>
        <v>M_leachinorganicj</v>
      </c>
      <c r="O85" s="162" t="str">
        <v>mass of nitrogen lost through leaching and runoff from inorganic fertiliser application in production system j</v>
      </c>
      <c r="P85" s="196"/>
      <c r="Q85" s="157"/>
      <c r="R85" s="158" t="str" cm="1">
        <f t="array" ref="R85:S88">_xlfn.CHOOSECOLS(Fertiliser_Equations_LeachingAndRunoff.VEERG_5_5_1_1__1_FertiliserLeachingAndRunoffN2OEmissions_Arguments(), 3,4)</f>
        <v>kg N</v>
      </c>
      <c r="S85" s="160" t="str">
        <v>Calculated from 5.5.1.1 (2)</v>
      </c>
      <c r="T85" s="158"/>
    </row>
    <row r="86" spans="4:20" x14ac:dyDescent="0.25">
      <c r="D86" s="158" t="str">
        <v>M_leachorganicj</v>
      </c>
      <c r="E86" s="162" t="str">
        <v>mass of nitrogen lost through leaching and runoff from organic fertiliser application</v>
      </c>
      <c r="F86" s="196"/>
      <c r="G86" s="157"/>
      <c r="H86" s="158" t="str">
        <v>kg N</v>
      </c>
      <c r="I86" s="160" t="str">
        <v>Calculated from 5.5.1.1 (3)</v>
      </c>
      <c r="J86" s="158">
        <f>E74</f>
        <v>240</v>
      </c>
      <c r="N86" s="158" t="str">
        <v>M_leachorganicj</v>
      </c>
      <c r="O86" s="162" t="str">
        <v>mass of nitrogen lost through leaching and runoff from organic fertiliser application</v>
      </c>
      <c r="P86" s="196"/>
      <c r="Q86" s="157"/>
      <c r="R86" s="158" t="str">
        <v>kg N</v>
      </c>
      <c r="S86" s="160" t="str">
        <v>Calculated from 5.5.1.1 (3)</v>
      </c>
      <c r="T86" s="158">
        <f>O74</f>
        <v>480</v>
      </c>
    </row>
    <row r="87" spans="4:20" x14ac:dyDescent="0.25">
      <c r="D87" s="158" t="str">
        <v>EF_leach</v>
      </c>
      <c r="E87" s="162" t="str">
        <v>emission factor for nitrogen leaching and runoff</v>
      </c>
      <c r="F87" s="196"/>
      <c r="G87" s="157"/>
      <c r="H87" s="158" t="str">
        <v>kg N2O-N/kg N</v>
      </c>
      <c r="I87" s="160" t="str">
        <v>Constant</v>
      </c>
      <c r="J87" s="158">
        <f>Fertiliser_EFLeach_Data</f>
        <v>1.0999999999999999E-2</v>
      </c>
      <c r="N87" s="158" t="str">
        <v>EF_leach</v>
      </c>
      <c r="O87" s="162" t="str">
        <v>emission factor for nitrogen leaching and runoff</v>
      </c>
      <c r="P87" s="196"/>
      <c r="Q87" s="157"/>
      <c r="R87" s="158" t="str">
        <v>kg N2O-N/kg N</v>
      </c>
      <c r="S87" s="160" t="str">
        <v>Constant</v>
      </c>
      <c r="T87" s="158"/>
    </row>
    <row r="88" spans="4:20" x14ac:dyDescent="0.25">
      <c r="D88" s="158" t="str">
        <v>C_N2O</v>
      </c>
      <c r="E88" s="162" t="str">
        <v>factor to convert elemental mass of nitrous oxide to molecular mass</v>
      </c>
      <c r="F88" s="196"/>
      <c r="G88" s="157"/>
      <c r="H88" s="158" t="str">
        <v/>
      </c>
      <c r="I88" s="160" t="str">
        <v>Constant</v>
      </c>
      <c r="J88" s="197">
        <f>Common_InputFunctions.Utility_LookupValueInTableNumber("N2O",Table_GasToMolecularConversionFactor[Gas],Table_GasToMolecularConversionFactor[Conversion factor combined])</f>
        <v>1.5714285714285714</v>
      </c>
      <c r="N88" s="158" t="str">
        <v>C_N2O</v>
      </c>
      <c r="O88" s="162" t="str">
        <v>factor to convert elemental mass of nitrous oxide to molecular mass</v>
      </c>
      <c r="P88" s="196"/>
      <c r="Q88" s="157"/>
      <c r="R88" s="158" t="str">
        <v/>
      </c>
      <c r="S88" s="160" t="str">
        <v>Constant</v>
      </c>
      <c r="T88" s="197"/>
    </row>
    <row r="90" spans="4:20" ht="23.25" x14ac:dyDescent="0.25">
      <c r="D90" s="167" t="s">
        <v>759</v>
      </c>
      <c r="E90" s="168" cm="1">
        <f t="array" ref="E90">Fertiliser_Equations_LeachingAndRunoff.VEERG_5_5_1_1__1_FertiliserLeachingAndRunoffN2OEmissions(J85,J86,J87,J88)</f>
        <v>4.1485714285714277E-3</v>
      </c>
      <c r="F90" s="169" t="str">
        <f>$E$83</f>
        <v>t N2O</v>
      </c>
      <c r="N90" s="167" t="s">
        <v>759</v>
      </c>
      <c r="O90" s="168" cm="1">
        <f t="array" ref="O90">Fertiliser_Equations_LeachingAndRunoff.VEERG_5_5_1_1__1_FertiliserLeachingAndRunoffN2OEmissions(J85,T86,J87,J88)</f>
        <v>8.2971428571428554E-3</v>
      </c>
      <c r="P90" s="169" t="str">
        <f>$E$83</f>
        <v>t N2O</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705</v>
      </c>
    </row>
    <row r="2" spans="1:18" s="2" customFormat="1" ht="20.100000000000001" customHeight="1" x14ac:dyDescent="0.25">
      <c r="A2"/>
    </row>
    <row r="3" spans="1:18" ht="20.100000000000001" customHeight="1" x14ac:dyDescent="0.25">
      <c r="A3" s="16" t="str">
        <f>HYPERLINK("#'Overview'!A1", "Overview")</f>
        <v>Overview</v>
      </c>
      <c r="C3" s="5"/>
      <c r="D3" s="5" t="s">
        <v>405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63" t="s">
        <v>621</v>
      </c>
      <c r="E7" s="163" t="str" cm="1">
        <f t="array" aca="1" ref="E7" ca="1">Common_InputFunctions.Utility_DisplayFunctionName(N25)</f>
        <v>=Fuel_Equations.VEERG_8_1_1_1__1_FuelCombustionTransport</v>
      </c>
      <c r="K7" s="163" t="s">
        <v>621</v>
      </c>
      <c r="L7" s="163"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63"/>
      <c r="L8" s="163"/>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622</v>
      </c>
      <c r="E11" s="8" t="str" cm="1">
        <f t="array" ref="E11">Fuel_Equations.VEERG_8_1_1_1__1_FuelCombustionTransport_Variable()</f>
        <v>E_g</v>
      </c>
      <c r="K11" s="27" t="s">
        <v>622</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58" t="str" cm="1">
        <f t="array" ref="D14:E20">_xlfn.CHOOSECOLS(Fuel_Equations.VEERG_8_1_1_1__1_FuelCombustionTransport_Arguments(), 1,2)</f>
        <v>Q_Transtq</v>
      </c>
      <c r="E14" s="162" t="str">
        <v>Amount of fuel type q combusted for transport energy purposes</v>
      </c>
      <c r="F14" s="157"/>
      <c r="G14" s="158" t="str" cm="1">
        <f t="array" ref="G14:H20">_xlfn.CHOOSECOLS(Fuel_Equations.VEERG_8_1_1_1__1_FuelCombustionTransport_Arguments(), 3,4)</f>
        <v>Varies based on fuel type: kL, m3, GJ</v>
      </c>
      <c r="H14" s="159" t="str">
        <v>Input</v>
      </c>
      <c r="I14" s="161" t="str" cm="1">
        <f t="array" aca="1" ref="I14" ca="1">HYPERLINK(Common_InputFunctions.Utility_SourceHyperlink($D$22), $D$22)</f>
        <v>Table_E_g</v>
      </c>
      <c r="K14" s="158" t="str" cm="1">
        <f t="array" ref="K14:L16">_xlfn.CHOOSECOLS(Scope3_Equations.VEERG_15_11_1_1__2_UpstreamTransportFuelEmissions_Arguments(),1,2)</f>
        <v>Q_Transq</v>
      </c>
      <c r="L14" s="158" t="str">
        <v>amount of fuel q combusted for transport energy purposes</v>
      </c>
      <c r="M14" s="158"/>
      <c r="N14" s="158" t="str" cm="1">
        <f t="array" ref="N14:O16">_xlfn.CHOOSECOLS(Scope3_Equations.VEERG_15_11_1_1__2_UpstreamTransportFuelEmissions_Arguments(),3,4)</f>
        <v>kL</v>
      </c>
      <c r="O14" s="159" t="str">
        <v>Input</v>
      </c>
      <c r="P14" s="161"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58" t="str">
        <v>EC_Transq</v>
      </c>
      <c r="E15" s="162" t="str">
        <v>Energy content factor for transport energy purposes</v>
      </c>
      <c r="F15" s="157"/>
      <c r="G15" s="158" t="str">
        <v>GJ / unit of fuel</v>
      </c>
      <c r="H15" s="160" t="str">
        <v>Constant</v>
      </c>
      <c r="I15" s="161" t="str" cm="1">
        <f t="array" aca="1" ref="I15" ca="1">HYPERLINK(Common_InputFunctions.Utility_SourceHyperlink($D$22), $D$22)</f>
        <v>Table_E_g</v>
      </c>
      <c r="K15" s="158" t="str">
        <v>EC_Transq</v>
      </c>
      <c r="L15" s="158" t="str">
        <v>energy content factor for transport energy purposes</v>
      </c>
      <c r="M15" s="158"/>
      <c r="N15" s="158" t="str">
        <v>GJ/kL or GJ/m3</v>
      </c>
      <c r="O15" s="160" t="str">
        <v>Constant</v>
      </c>
      <c r="P15" s="161" t="str" cm="1">
        <f t="array" aca="1" ref="P15" ca="1">HYPERLINK(Common_InputFunctions.Utility_SourceHyperlink($D$22), $D$22)</f>
        <v>Table_E_g</v>
      </c>
      <c r="Q15" s="17"/>
    </row>
    <row r="16" spans="1:18" ht="20.100000000000001" customHeight="1" x14ac:dyDescent="0.25">
      <c r="A16" s="16" t="str">
        <f>HYPERLINK("#'Input - Electricity'!A1", "Electricity")</f>
        <v>Electricity</v>
      </c>
      <c r="D16" s="158" t="str">
        <v>EF_Trans1tqg</v>
      </c>
      <c r="E16" s="162" t="str">
        <v>Scope 1 emission factor for transport energy purposes for each greenhouse gas</v>
      </c>
      <c r="F16" s="157"/>
      <c r="G16" s="158" t="str">
        <v>kg CO2e / GJ</v>
      </c>
      <c r="H16" s="160" t="str">
        <v>Constant</v>
      </c>
      <c r="I16" s="161" t="str" cm="1">
        <f t="array" aca="1" ref="I16" ca="1">HYPERLINK(Common_InputFunctions.Utility_SourceHyperlink($D$22), $D$22)</f>
        <v>Table_E_g</v>
      </c>
      <c r="K16" s="158" t="str">
        <v>EF_Trans3q</v>
      </c>
      <c r="L16" s="158" t="str">
        <v>scope 3 emission factor for transport energy purposes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c r="D17" s="158" t="str">
        <v>q</v>
      </c>
      <c r="E17" s="162" t="str">
        <v>Fuel type</v>
      </c>
      <c r="F17" s="157"/>
      <c r="G17" s="158" t="str">
        <v/>
      </c>
      <c r="H17" s="160" t="str">
        <v>Constant</v>
      </c>
      <c r="I17" s="161"/>
      <c r="J17" s="17"/>
      <c r="P17" s="17"/>
      <c r="Q17" s="17"/>
    </row>
    <row r="18" spans="1:17" ht="20.100000000000001" customHeight="1" x14ac:dyDescent="0.25">
      <c r="A18"/>
      <c r="D18" s="158" t="str">
        <v>Trans</v>
      </c>
      <c r="E18" s="162" t="str">
        <v>Transport combustion</v>
      </c>
      <c r="F18" s="157"/>
      <c r="G18" s="158" t="str">
        <v/>
      </c>
      <c r="H18" s="160" t="str">
        <v>Constant</v>
      </c>
      <c r="I18" s="161"/>
      <c r="J18" s="17"/>
      <c r="L18" s="17"/>
      <c r="M18" s="17"/>
      <c r="N18" s="17"/>
      <c r="O18" s="17"/>
      <c r="P18" s="17"/>
      <c r="Q18" s="17"/>
    </row>
    <row r="19" spans="1:17" ht="20.100000000000001" customHeight="1" x14ac:dyDescent="0.25">
      <c r="A19" s="21" t="s">
        <v>77</v>
      </c>
      <c r="D19" s="158" t="str">
        <v>g</v>
      </c>
      <c r="E19" s="162" t="str">
        <v>Greenhouse gas</v>
      </c>
      <c r="F19" s="157"/>
      <c r="G19" s="158" t="str">
        <v/>
      </c>
      <c r="H19" s="160" t="str">
        <v>Constant</v>
      </c>
      <c r="I19" s="161"/>
      <c r="J19" s="17"/>
      <c r="L19" s="17"/>
      <c r="M19" s="17"/>
      <c r="N19" s="17"/>
      <c r="O19" s="17"/>
      <c r="P19" s="17"/>
      <c r="Q19" s="17"/>
    </row>
    <row r="20" spans="1:17" ht="20.100000000000001" customHeight="1" x14ac:dyDescent="0.25">
      <c r="A20" s="16" t="str">
        <f>HYPERLINK("#'15 Scope 3'!A1", "15 Scope 3")</f>
        <v>15 Scope 3</v>
      </c>
      <c r="D20" s="158" t="str">
        <v>1</v>
      </c>
      <c r="E20" s="162" t="str">
        <v>Scope 1</v>
      </c>
      <c r="F20" s="157"/>
      <c r="G20" s="158" t="str">
        <v/>
      </c>
      <c r="H20" s="160" t="str">
        <v>Constant</v>
      </c>
      <c r="I20" s="161"/>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71"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706</v>
      </c>
      <c r="H24" s="57" t="s">
        <v>707</v>
      </c>
      <c r="I24" s="57" t="s">
        <v>708</v>
      </c>
      <c r="J24" s="57" t="s">
        <v>709</v>
      </c>
      <c r="K24" s="57" t="s">
        <v>710</v>
      </c>
      <c r="L24" s="46" t="s">
        <v>711</v>
      </c>
      <c r="M24" s="57" t="s">
        <v>712</v>
      </c>
      <c r="N24" s="57" t="s">
        <v>713</v>
      </c>
      <c r="O24" s="57" t="s">
        <v>714</v>
      </c>
      <c r="P24" s="57" t="s">
        <v>715</v>
      </c>
      <c r="Q24" s="57" t="s">
        <v>716</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73" cm="1">
        <f t="array" ref="N25">Fuel_Equations.VEERG_8_1_1_1__1_FuelCombustionTransport($L25,$G25,$H25)</f>
        <v>0</v>
      </c>
      <c r="O25" s="173" cm="1">
        <f t="array" ref="O25">Fuel_Equations.VEERG_8_1_1_1__1_FuelCombustionTransport($L25,$G25,$I25)</f>
        <v>0</v>
      </c>
      <c r="P25" s="173" cm="1">
        <f t="array" ref="P25">Fuel_Equations.VEERG_8_1_1_1__1_FuelCombustionTransport($L25,$G25,$J25)</f>
        <v>0</v>
      </c>
      <c r="Q25" s="173"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0.1</v>
      </c>
      <c r="M26" s="172" t="str" cm="1">
        <f t="array" ref="M26">Common_InputFunctions.Utility_LookupValueInTable(F26,Table_FuelTypes_Units[Fuel type],Table_FuelTypes_Units[Unit])</f>
        <v>kL</v>
      </c>
      <c r="N26" s="173" cm="1">
        <f t="array" ref="N26">Fuel_Equations.VEERG_8_1_1_1__1_FuelCombustionTransport($L26,$G26,$H26)</f>
        <v>0.26981400000000005</v>
      </c>
      <c r="O26" s="173" cm="1">
        <f t="array" ref="O26">Fuel_Equations.VEERG_8_1_1_1__1_FuelCombustionTransport($L26,$G26,$I26)</f>
        <v>3.8600000000000003E-5</v>
      </c>
      <c r="P26" s="173" cm="1">
        <f t="array" ref="P26">Fuel_Equations.VEERG_8_1_1_1__1_FuelCombustionTransport($L26,$G26,$J26)</f>
        <v>1.9300000000000003E-3</v>
      </c>
      <c r="Q26" s="173" cm="1">
        <f t="array" ref="Q26">Scope3_Equations.VEERG_15_11_1_1__2_UpstreamTransportFuelEmissions(L26,G26,K26)</f>
        <v>6.6778000000000004E-2</v>
      </c>
    </row>
    <row r="27" spans="1:17" ht="20.100000000000001" customHeight="1" x14ac:dyDescent="0.25">
      <c r="A27" s="213"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73" cm="1">
        <f t="array" ref="N27">Fuel_Equations.VEERG_8_1_1_1__1_FuelCombustionTransport($L27,$G27,$H27)</f>
        <v>0</v>
      </c>
      <c r="O27" s="173" cm="1">
        <f t="array" ref="O27">Fuel_Equations.VEERG_8_1_1_1__1_FuelCombustionTransport($L27,$G27,$I27)</f>
        <v>0</v>
      </c>
      <c r="P27" s="173" cm="1">
        <f t="array" ref="P27">Fuel_Equations.VEERG_8_1_1_1__1_FuelCombustionTransport($L27,$G27,$J27)</f>
        <v>0</v>
      </c>
      <c r="Q27" s="173"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73" cm="1">
        <f t="array" ref="N28">Fuel_Equations.VEERG_8_1_1_1__1_FuelCombustionTransport($L28,$G28,$H28)</f>
        <v>0</v>
      </c>
      <c r="O28" s="173" cm="1">
        <f t="array" ref="O28">Fuel_Equations.VEERG_8_1_1_1__1_FuelCombustionTransport($L28,$G28,$I28)</f>
        <v>0</v>
      </c>
      <c r="P28" s="173" cm="1">
        <f t="array" ref="P28">Fuel_Equations.VEERG_8_1_1_1__1_FuelCombustionTransport($L28,$G28,$J28)</f>
        <v>0</v>
      </c>
      <c r="Q28" s="173"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73" cm="1">
        <f t="array" ref="N29">Fuel_Equations.VEERG_8_1_1_1__1_FuelCombustionTransport($L29,$G29,$H29)</f>
        <v>0</v>
      </c>
      <c r="O29" s="173" cm="1">
        <f t="array" ref="O29">Fuel_Equations.VEERG_8_1_1_1__1_FuelCombustionTransport($L29,$G29,$I29)</f>
        <v>0</v>
      </c>
      <c r="P29" s="173" cm="1">
        <f t="array" ref="P29">Fuel_Equations.VEERG_8_1_1_1__1_FuelCombustionTransport($L29,$G29,$J29)</f>
        <v>0</v>
      </c>
      <c r="Q29" s="173"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73" cm="1">
        <f t="array" ref="N30">Fuel_Equations.VEERG_8_1_1_1__1_FuelCombustionTransport($L30,$G30,$H30)</f>
        <v>0</v>
      </c>
      <c r="O30" s="173" cm="1">
        <f t="array" ref="O30">Fuel_Equations.VEERG_8_1_1_1__1_FuelCombustionTransport($L30,$G30,$I30)</f>
        <v>0</v>
      </c>
      <c r="P30" s="173" cm="1">
        <f t="array" ref="P30">Fuel_Equations.VEERG_8_1_1_1__1_FuelCombustionTransport($L30,$G30,$J30)</f>
        <v>0</v>
      </c>
      <c r="Q30" s="173"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73" cm="1">
        <f t="array" ref="N31">Fuel_Equations.VEERG_8_1_1_1__1_FuelCombustionTransport($L31,$G31,$H31)</f>
        <v>0</v>
      </c>
      <c r="O31" s="173" cm="1">
        <f t="array" ref="O31">Fuel_Equations.VEERG_8_1_1_1__1_FuelCombustionTransport($L31,$G31,$I31)</f>
        <v>0</v>
      </c>
      <c r="P31" s="173" cm="1">
        <f t="array" ref="P31">Fuel_Equations.VEERG_8_1_1_1__1_FuelCombustionTransport($L31,$G31,$J31)</f>
        <v>0</v>
      </c>
      <c r="Q31" s="173"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74"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75" cm="1">
        <f t="array" ref="N32">Fuel_Equations.VEERG_8_1_1_1__1_FuelCombustionTransport($L32,$G32,$H32)</f>
        <v>0</v>
      </c>
      <c r="O32" s="175" cm="1">
        <f t="array" ref="O32">Fuel_Equations.VEERG_8_1_1_1__1_FuelCombustionTransport($L32,$G32,$I32)</f>
        <v>0</v>
      </c>
      <c r="P32" s="175" cm="1">
        <f t="array" ref="P32">Fuel_Equations.VEERG_8_1_1_1__1_FuelCombustionTransport($L32,$G32,$J32)</f>
        <v>0</v>
      </c>
      <c r="Q32" s="173"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76" cm="1">
        <f t="array" ref="G33">IFERROR(_xlfn.XLOOKUP(1, (Table_Fuel_EFs_Transport[Fuel combusted]=$E33)*(Table_Fuel_EFs_Transport[Transport type]=$D$33), Table_Fuel_EFs_Transport[Energy Content Factor (GJ per unit of fuel)]), 0)</f>
        <v>38.6</v>
      </c>
      <c r="H33" s="176" cm="1">
        <f t="array" ref="H33">IFERROR(_xlfn.XLOOKUP(1, (Table_Fuel_EFs_Transport[Fuel combusted]=$E33)*(Table_Fuel_EFs_Transport[Transport type]=$D$33), Table_Fuel_EFs_Transport[Scope 1 Emission Factor (kg CO2 - e / GJ) CO2]), 0)</f>
        <v>69.900000000000006</v>
      </c>
      <c r="I33" s="176" cm="1">
        <f t="array" ref="I33">IFERROR(_xlfn.XLOOKUP(1, (Table_Fuel_EFs_Transport[Fuel combusted]=$E33)*(Table_Fuel_EFs_Transport[Transport type]=$D$33), Table_Fuel_EFs_Transport[Scope 1 Emission Factor (kg CO2 - e / GJ) CH4]), 0)</f>
        <v>0.3</v>
      </c>
      <c r="J33" s="176" cm="1">
        <f t="array" ref="J33">IFERROR(_xlfn.XLOOKUP(1, (Table_Fuel_EFs_Transport[Fuel combusted]=$E33)*(Table_Fuel_EFs_Transport[Transport type]=$D$33), Table_Fuel_EFs_Transport[Scope 1 Emission Factor (kg CO2 - e / GJ) N2O]), 0)</f>
        <v>0.5</v>
      </c>
      <c r="K33" s="177" cm="1">
        <f t="array" ref="K33">IFERROR(_xlfn.XLOOKUP(1, (Table_Fuel_EFs_Transport[Fuel combusted]=$E33)*(Table_Fuel_EFs_Transport[Transport type]=$D$25), Table_Fuel_EFs_Transport[Scope 3 Emission Factor (kg CO2 - e / GJ)]), 0)</f>
        <v>17.3</v>
      </c>
      <c r="L33" s="178" cm="1">
        <f t="array" ref="L33">Fuel_InputFunctions.Fuel_TotalConsumption(Table_Input_Fuel[Amount consumed], Table_Input_Fuel[Fuel use (select)], D33, Table_Input_Fuel[Fuel type (select)],F33)</f>
        <v>0</v>
      </c>
      <c r="M33" s="179" t="str" cm="1">
        <f t="array" ref="M33">Common_InputFunctions.Utility_LookupValueInTable(F33,Table_FuelTypes_Units[Fuel type],Table_FuelTypes_Units[Unit])</f>
        <v>kL</v>
      </c>
      <c r="N33" s="180" cm="1">
        <f t="array" ref="N33">Fuel_Equations.VEERG_8_1_1_1__1_FuelCombustionTransport($L33,$G33,$H33)</f>
        <v>0</v>
      </c>
      <c r="O33" s="180" cm="1">
        <f t="array" ref="O33">Fuel_Equations.VEERG_8_1_1_1__1_FuelCombustionTransport($L33,$G33,$I33)</f>
        <v>0</v>
      </c>
      <c r="P33" s="180" cm="1">
        <f t="array" ref="P33">Fuel_Equations.VEERG_8_1_1_1__1_FuelCombustionTransport($L33,$G33,$J33)</f>
        <v>0</v>
      </c>
      <c r="Q33" s="181"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82" cm="1">
        <f t="array" ref="G34">IFERROR(_xlfn.XLOOKUP(1, (Table_Fuel_EFs_Transport[Fuel combusted]=$E34)*(Table_Fuel_EFs_Transport[Transport type]=$D$34), Table_Fuel_EFs_Transport[Energy Content Factor (GJ per unit of fuel)]), 0)</f>
        <v>33.1</v>
      </c>
      <c r="H34" s="182" cm="1">
        <f t="array" ref="H34">IFERROR(_xlfn.XLOOKUP(1, (Table_Fuel_EFs_Transport[Fuel combusted]=$E34)*(Table_Fuel_EFs_Transport[Transport type]=$D$34), Table_Fuel_EFs_Transport[Scope 1 Emission Factor (kg CO2 - e / GJ) CO2]), 0)</f>
        <v>67</v>
      </c>
      <c r="I34" s="182" cm="1">
        <f t="array" ref="I34">IFERROR(_xlfn.XLOOKUP(1, (Table_Fuel_EFs_Transport[Fuel combusted]=$E34)*(Table_Fuel_EFs_Transport[Transport type]=$D$34), Table_Fuel_EFs_Transport[Scope 1 Emission Factor (kg CO2 - e / GJ) CH4]), 0)</f>
        <v>0.06</v>
      </c>
      <c r="J34" s="182" cm="1">
        <f t="array" ref="J34">IFERROR(_xlfn.XLOOKUP(1, (Table_Fuel_EFs_Transport[Fuel combusted]=$E34)*(Table_Fuel_EFs_Transport[Transport type]=$D$34), Table_Fuel_EFs_Transport[Scope 1 Emission Factor (kg CO2 - e / GJ) N2O]), 0)</f>
        <v>0.6</v>
      </c>
      <c r="K34" s="182" cm="1">
        <f t="array" ref="K34">IFERROR(_xlfn.XLOOKUP(1, (Table_Fuel_EFs_Transport[Fuel combusted]=$E34)*(Table_Fuel_EFs_Transport[Transport type]=$D$25), Table_Fuel_EFs_Transport[Scope 3 Emission Factor (kg CO2 - e / GJ)]), 0)</f>
        <v>0</v>
      </c>
      <c r="L34" s="179" cm="1">
        <f t="array" ref="L34">Fuel_InputFunctions.Fuel_TotalConsumption(Table_Input_Fuel[Amount consumed], Table_Input_Fuel[Fuel use (select)], D34, Table_Input_Fuel[Fuel type (select)],F34)</f>
        <v>0.1</v>
      </c>
      <c r="M34" s="179" t="str" cm="1">
        <f t="array" ref="M34">Common_InputFunctions.Utility_LookupValueInTable(F34,Table_FuelTypes_Units[Fuel type],Table_FuelTypes_Units[Unit])</f>
        <v>kL</v>
      </c>
      <c r="N34" s="180" cm="1">
        <f t="array" ref="N34">Fuel_Equations.VEERG_8_1_1_1__1_FuelCombustionTransport($L34,$G34,$H34)</f>
        <v>0.22177000000000005</v>
      </c>
      <c r="O34" s="180" cm="1">
        <f t="array" ref="O34">Fuel_Equations.VEERG_8_1_1_1__1_FuelCombustionTransport($L34,$G34,$I34)</f>
        <v>1.9860000000000003E-4</v>
      </c>
      <c r="P34" s="180" cm="1">
        <f t="array" ref="P34">Fuel_Equations.VEERG_8_1_1_1__1_FuelCombustionTransport($L34,$G34,$J34)</f>
        <v>1.9860000000000004E-3</v>
      </c>
      <c r="Q34" s="180"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73" cm="1">
        <f t="array" ref="N35">Fuel_Equations.VEERG_8_1_1_1__1_FuelCombustionTransport($L35,$G35,$H35)</f>
        <v>0</v>
      </c>
      <c r="O35" s="173" cm="1">
        <f t="array" ref="O35">Fuel_Equations.VEERG_8_1_1_1__1_FuelCombustionTransport($L35,$G35,$I35)</f>
        <v>0</v>
      </c>
      <c r="P35" s="173" cm="1">
        <f t="array" ref="P35">Fuel_Equations.VEERG_8_1_1_1__1_FuelCombustionTransport($L35,$G35,$J35)</f>
        <v>0</v>
      </c>
      <c r="Q35" s="173"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74"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73" cm="1">
        <f t="array" ref="N36">Fuel_Equations.VEERG_8_1_1_1__1_FuelCombustionTransport($L36,$G36,$H36)</f>
        <v>0</v>
      </c>
      <c r="O36" s="173" cm="1">
        <f t="array" ref="O36">Fuel_Equations.VEERG_8_1_1_1__1_FuelCombustionTransport($L36,$G36,$I36)</f>
        <v>0</v>
      </c>
      <c r="P36" s="173" cm="1">
        <f t="array" ref="P36">Fuel_Equations.VEERG_8_1_1_1__1_FuelCombustionTransport($L36,$G36,$J36)</f>
        <v>0</v>
      </c>
      <c r="Q36" s="175"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82" cm="1">
        <f t="array" ref="G37">IFERROR(_xlfn.XLOOKUP(1, (Table_Fuel_EFs_Transport[Fuel combusted]=$E37)*(Table_Fuel_EFs_Transport[Transport type]=$D$37), Table_Fuel_EFs_Transport[Energy Content Factor (GJ per unit of fuel)]), 0)</f>
        <v>34.200000000000003</v>
      </c>
      <c r="H37" s="182" cm="1">
        <f t="array" ref="H37">IFERROR(_xlfn.XLOOKUP(1, (Table_Fuel_EFs_Transport[Fuel combusted]=$E37)*(Table_Fuel_EFs_Transport[Transport type]=$D$37), Table_Fuel_EFs_Transport[Scope 1 Emission Factor (kg CO2 - e / GJ) CO2]), 0)</f>
        <v>67.400000000000006</v>
      </c>
      <c r="I37" s="182" cm="1">
        <f t="array" ref="I37">IFERROR(_xlfn.XLOOKUP(1, (Table_Fuel_EFs_Transport[Fuel combusted]=$E37)*(Table_Fuel_EFs_Transport[Transport type]=$D$37), Table_Fuel_EFs_Transport[Scope 1 Emission Factor (kg CO2 - e / GJ) CH4]), 0)</f>
        <v>10.1</v>
      </c>
      <c r="J37" s="182" cm="1">
        <f t="array" ref="J37">IFERROR(_xlfn.XLOOKUP(1, (Table_Fuel_EFs_Transport[Fuel combusted]=$E37)*(Table_Fuel_EFs_Transport[Transport type]=$D$37), Table_Fuel_EFs_Transport[Scope 1 Emission Factor (kg CO2 - e / GJ) N2O]), 0)</f>
        <v>0.3</v>
      </c>
      <c r="K37" s="182" cm="1">
        <f t="array" ref="K37">IFERROR(_xlfn.XLOOKUP(1, (Table_Fuel_EFs_Transport[Fuel combusted]=$E37)*(Table_Fuel_EFs_Transport[Transport type]=$D$25), Table_Fuel_EFs_Transport[Scope 3 Emission Factor (kg CO2 - e / GJ)]), 0)</f>
        <v>17.2</v>
      </c>
      <c r="L37" s="179" cm="1">
        <f t="array" ref="L37">Fuel_InputFunctions.Fuel_TotalConsumption(Table_Input_Fuel[Amount consumed], Table_Input_Fuel[Fuel use (select)], D37, Table_Input_Fuel[Fuel type (select)],F37)</f>
        <v>0</v>
      </c>
      <c r="M37" s="183" t="str" cm="1">
        <f t="array" ref="M37">Common_InputFunctions.Utility_LookupValueInTable(F37,Table_FuelTypes_Units[Fuel type],Table_FuelTypes_Units[Unit])</f>
        <v>kL</v>
      </c>
      <c r="N37" s="180" cm="1">
        <f t="array" ref="N37">Fuel_Equations.VEERG_8_1_1_1__1_FuelCombustionTransport($L37,$G37,$H37)</f>
        <v>0</v>
      </c>
      <c r="O37" s="180" cm="1">
        <f t="array" ref="O37">Fuel_Equations.VEERG_8_1_1_1__1_FuelCombustionTransport($L37,$G37,$I37)</f>
        <v>0</v>
      </c>
      <c r="P37" s="180" cm="1">
        <f t="array" ref="P37">Fuel_Equations.VEERG_8_1_1_1__1_FuelCombustionTransport($L37,$G37,$J37)</f>
        <v>0</v>
      </c>
      <c r="Q37" s="180"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0.1</v>
      </c>
      <c r="M38" s="172" t="str" cm="1">
        <f t="array" ref="M38">Common_InputFunctions.Utility_LookupValueInTable(F38,Table_FuelTypes_Units[Fuel type],Table_FuelTypes_Units[Unit])</f>
        <v>kL</v>
      </c>
      <c r="N38" s="173" cm="1">
        <f t="array" ref="N38">Fuel_Equations.VEERG_8_1_1_1__1_FuelCombustionTransport($L38,$G38,$H38)</f>
        <v>0.26981400000000005</v>
      </c>
      <c r="O38" s="173" cm="1">
        <f t="array" ref="O38">Fuel_Equations.VEERG_8_1_1_1__1_FuelCombustionTransport($L38,$G38,$I38)</f>
        <v>7.7200000000000012E-4</v>
      </c>
      <c r="P38" s="173" cm="1">
        <f t="array" ref="P38">Fuel_Equations.VEERG_8_1_1_1__1_FuelCombustionTransport($L38,$G38,$J38)</f>
        <v>1.9300000000000003E-3</v>
      </c>
      <c r="Q38" s="173"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kL</v>
      </c>
      <c r="N39" s="173" cm="1">
        <f t="array" ref="N39">Fuel_Equations.VEERG_8_1_1_1__1_FuelCombustionTransport($L39,$G39,$H39)</f>
        <v>0</v>
      </c>
      <c r="O39" s="173" cm="1">
        <f t="array" ref="O39">Fuel_Equations.VEERG_8_1_1_1__1_FuelCombustionTransport($L39,$G39,$I39)</f>
        <v>0</v>
      </c>
      <c r="P39" s="173" cm="1">
        <f t="array" ref="P39">Fuel_Equations.VEERG_8_1_1_1__1_FuelCombustionTransport($L39,$G39,$J39)</f>
        <v>0</v>
      </c>
      <c r="Q39" s="173"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84" t="str">
        <f>"Total scope 1 - " &amp; D25</f>
        <v>Total scope 1 - Cars and light commercial vehicles</v>
      </c>
      <c r="E42" s="185"/>
      <c r="F42" s="186"/>
    </row>
    <row r="43" spans="1:17" ht="20.100000000000001" customHeight="1" x14ac:dyDescent="0.25">
      <c r="A43"/>
      <c r="D43" s="7" t="s">
        <v>717</v>
      </c>
      <c r="E43" s="187">
        <f>SUM(N25:N32)</f>
        <v>0.26981400000000005</v>
      </c>
      <c r="F43" s="63" t="str">
        <f>$E$12</f>
        <v>t CO2-e</v>
      </c>
    </row>
    <row r="44" spans="1:17" ht="20.100000000000001" customHeight="1" x14ac:dyDescent="0.25">
      <c r="A44"/>
      <c r="D44" s="7" t="s">
        <v>718</v>
      </c>
      <c r="E44" s="187">
        <f>SUM(O25:O32)</f>
        <v>3.8600000000000003E-5</v>
      </c>
      <c r="F44" s="63" t="str">
        <f t="shared" ref="F44:F46" si="1">$E$12</f>
        <v>t CO2-e</v>
      </c>
    </row>
    <row r="45" spans="1:17" ht="20.100000000000001" customHeight="1" x14ac:dyDescent="0.25">
      <c r="A45"/>
      <c r="D45" s="7" t="s">
        <v>719</v>
      </c>
      <c r="E45" s="187">
        <f>SUM(P25:P32)</f>
        <v>1.9300000000000003E-3</v>
      </c>
      <c r="F45" s="63" t="str">
        <f t="shared" si="1"/>
        <v>t CO2-e</v>
      </c>
    </row>
    <row r="46" spans="1:17" ht="20.100000000000001" customHeight="1" x14ac:dyDescent="0.25">
      <c r="A46"/>
      <c r="D46" s="7" t="s">
        <v>720</v>
      </c>
      <c r="E46" s="187">
        <f>SUM(Q25:Q32)</f>
        <v>6.6778000000000004E-2</v>
      </c>
      <c r="F46" s="63" t="str">
        <f t="shared" si="1"/>
        <v>t CO2-e</v>
      </c>
    </row>
    <row r="47" spans="1:17" ht="20.100000000000001" customHeight="1" x14ac:dyDescent="0.25">
      <c r="A47"/>
      <c r="D47" s="17"/>
      <c r="E47" s="17"/>
      <c r="F47" s="17"/>
    </row>
    <row r="48" spans="1:17" ht="20.100000000000001" customHeight="1" x14ac:dyDescent="0.25">
      <c r="A48"/>
      <c r="D48" s="184" t="str">
        <f>"Total scope 1 - " &amp; D33</f>
        <v>Total scope 1 - Off-road Agriculture and forestry equipment</v>
      </c>
      <c r="E48" s="188"/>
      <c r="F48" s="186"/>
      <c r="H48" s="17"/>
      <c r="I48" s="17"/>
      <c r="J48" s="17"/>
      <c r="L48" s="17"/>
      <c r="M48" s="17"/>
      <c r="N48" s="17"/>
      <c r="O48" s="17"/>
      <c r="P48" s="17"/>
      <c r="Q48" s="17"/>
    </row>
    <row r="49" spans="1:17" ht="20.100000000000001" customHeight="1" x14ac:dyDescent="0.25">
      <c r="A49"/>
      <c r="D49" s="7" t="s">
        <v>717</v>
      </c>
      <c r="E49" s="187">
        <f>SUM(N33:N33)</f>
        <v>0</v>
      </c>
      <c r="F49" s="63" t="str">
        <f t="shared" ref="F49:F52" si="2">$E$12</f>
        <v>t CO2-e</v>
      </c>
      <c r="H49" s="17"/>
      <c r="I49" s="17"/>
      <c r="J49" s="17"/>
      <c r="L49" s="17"/>
      <c r="M49" s="17"/>
      <c r="N49" s="17"/>
      <c r="O49" s="17"/>
      <c r="P49" s="17"/>
      <c r="Q49" s="17"/>
    </row>
    <row r="50" spans="1:17" ht="20.100000000000001" customHeight="1" x14ac:dyDescent="0.25">
      <c r="A50"/>
      <c r="D50" s="7" t="s">
        <v>718</v>
      </c>
      <c r="E50" s="187">
        <f>SUM(O33:O33)</f>
        <v>0</v>
      </c>
      <c r="F50" s="63" t="str">
        <f t="shared" si="2"/>
        <v>t CO2-e</v>
      </c>
      <c r="H50" s="17"/>
      <c r="I50" s="17"/>
      <c r="J50" s="17"/>
      <c r="L50" s="17"/>
      <c r="M50" s="17"/>
      <c r="N50" s="17"/>
      <c r="O50" s="17"/>
      <c r="P50" s="17"/>
      <c r="Q50" s="17"/>
    </row>
    <row r="51" spans="1:17" ht="20.100000000000001" customHeight="1" x14ac:dyDescent="0.25">
      <c r="A51"/>
      <c r="D51" s="7" t="s">
        <v>719</v>
      </c>
      <c r="E51" s="187">
        <f>SUM(P33:P33)</f>
        <v>0</v>
      </c>
      <c r="F51" s="63" t="str">
        <f t="shared" si="2"/>
        <v>t CO2-e</v>
      </c>
      <c r="H51" s="17"/>
      <c r="I51" s="17"/>
      <c r="J51" s="17"/>
      <c r="L51" s="17"/>
      <c r="M51" s="17"/>
      <c r="N51" s="17"/>
      <c r="O51" s="17"/>
      <c r="P51" s="17"/>
      <c r="Q51" s="17"/>
    </row>
    <row r="52" spans="1:17" ht="20.100000000000001" customHeight="1" x14ac:dyDescent="0.25">
      <c r="A52"/>
      <c r="D52" s="7" t="s">
        <v>720</v>
      </c>
      <c r="E52" s="187">
        <f>SUM(Q33)</f>
        <v>0</v>
      </c>
      <c r="F52" s="63" t="str">
        <f t="shared" si="2"/>
        <v>t CO2-e</v>
      </c>
      <c r="H52" s="17"/>
      <c r="I52" s="17"/>
      <c r="J52" s="17"/>
      <c r="L52" s="17"/>
      <c r="M52" s="17"/>
      <c r="N52" s="17"/>
      <c r="O52" s="17"/>
      <c r="P52" s="17"/>
      <c r="Q52" s="17"/>
    </row>
    <row r="53" spans="1:17" ht="20.100000000000001" customHeight="1" x14ac:dyDescent="0.25">
      <c r="A53"/>
      <c r="D53" s="17"/>
      <c r="E53" s="189"/>
      <c r="F53" s="17"/>
      <c r="G53" s="17"/>
      <c r="H53" s="17"/>
      <c r="I53" s="17"/>
      <c r="J53" s="17"/>
      <c r="L53" s="17"/>
      <c r="M53" s="17"/>
      <c r="N53" s="17"/>
      <c r="O53" s="17"/>
      <c r="P53" s="17"/>
      <c r="Q53" s="17"/>
    </row>
    <row r="54" spans="1:17" ht="20.100000000000001" customHeight="1" x14ac:dyDescent="0.25">
      <c r="A54"/>
      <c r="D54" s="184" t="str">
        <f>"Total scope 1 - " &amp; D34</f>
        <v>Total scope 1 - Aviation</v>
      </c>
      <c r="E54" s="188"/>
      <c r="F54" s="186"/>
      <c r="G54" s="17"/>
      <c r="H54" s="17"/>
      <c r="I54" s="17"/>
      <c r="J54" s="17"/>
      <c r="L54" s="17"/>
      <c r="M54" s="17"/>
      <c r="N54" s="17"/>
      <c r="O54" s="17"/>
      <c r="P54" s="17"/>
      <c r="Q54" s="17"/>
    </row>
    <row r="55" spans="1:17" ht="20.100000000000001" customHeight="1" x14ac:dyDescent="0.25">
      <c r="A55"/>
      <c r="D55" s="7" t="s">
        <v>717</v>
      </c>
      <c r="E55" s="187">
        <f>SUM(N34:N36)</f>
        <v>0.22177000000000005</v>
      </c>
      <c r="F55" s="63" t="str">
        <f t="shared" ref="F55:F58" si="3">$E$12</f>
        <v>t CO2-e</v>
      </c>
      <c r="G55" s="17"/>
      <c r="H55" s="17"/>
      <c r="I55" s="17"/>
      <c r="J55" s="17"/>
      <c r="L55" s="17"/>
      <c r="M55" s="17"/>
      <c r="N55" s="17"/>
      <c r="O55" s="17"/>
      <c r="P55" s="17"/>
      <c r="Q55" s="17"/>
    </row>
    <row r="56" spans="1:17" ht="20.100000000000001" customHeight="1" x14ac:dyDescent="0.25">
      <c r="A56"/>
      <c r="D56" s="7" t="s">
        <v>718</v>
      </c>
      <c r="E56" s="187">
        <f>SUM(O34:O36)</f>
        <v>1.9860000000000003E-4</v>
      </c>
      <c r="F56" s="63" t="str">
        <f t="shared" si="3"/>
        <v>t CO2-e</v>
      </c>
      <c r="G56" s="17"/>
      <c r="H56" s="17"/>
      <c r="I56" s="17"/>
      <c r="J56" s="17"/>
      <c r="L56" s="17"/>
      <c r="M56" s="17"/>
      <c r="N56" s="17"/>
      <c r="O56" s="17"/>
      <c r="P56" s="17"/>
      <c r="Q56" s="17"/>
    </row>
    <row r="57" spans="1:17" ht="20.100000000000001" customHeight="1" x14ac:dyDescent="0.25">
      <c r="A57"/>
      <c r="D57" s="7" t="s">
        <v>719</v>
      </c>
      <c r="E57" s="187">
        <f>SUM(P34:P36)</f>
        <v>1.9860000000000004E-3</v>
      </c>
      <c r="F57" s="63" t="str">
        <f t="shared" si="3"/>
        <v>t CO2-e</v>
      </c>
      <c r="G57" s="17"/>
      <c r="H57" s="17"/>
      <c r="I57" s="17"/>
      <c r="J57" s="17"/>
      <c r="L57" s="17"/>
      <c r="M57" s="17"/>
      <c r="N57" s="17"/>
      <c r="O57" s="17"/>
      <c r="P57" s="17"/>
      <c r="Q57" s="17"/>
    </row>
    <row r="58" spans="1:17" ht="20.100000000000001" customHeight="1" x14ac:dyDescent="0.25">
      <c r="A58"/>
      <c r="D58" s="7" t="s">
        <v>720</v>
      </c>
      <c r="E58" s="187">
        <f>SUM(Q34:Q36)</f>
        <v>0</v>
      </c>
      <c r="F58" s="63" t="str">
        <f t="shared" si="3"/>
        <v>t CO2-e</v>
      </c>
      <c r="G58" s="17"/>
      <c r="H58" s="17"/>
      <c r="I58" s="17"/>
      <c r="J58" s="17"/>
      <c r="L58" s="17"/>
      <c r="M58" s="17"/>
      <c r="N58" s="17"/>
      <c r="O58" s="17"/>
      <c r="P58" s="17"/>
      <c r="Q58" s="17"/>
    </row>
    <row r="59" spans="1:17" ht="20.100000000000001" customHeight="1" x14ac:dyDescent="0.25">
      <c r="A59"/>
      <c r="D59" s="17"/>
      <c r="E59" s="189"/>
      <c r="F59" s="17"/>
      <c r="G59" s="17"/>
      <c r="H59" s="17"/>
      <c r="I59" s="17"/>
      <c r="J59" s="17"/>
      <c r="L59" s="17"/>
      <c r="M59" s="17"/>
      <c r="N59" s="17"/>
      <c r="O59" s="17"/>
      <c r="P59" s="17"/>
      <c r="Q59" s="17"/>
    </row>
    <row r="60" spans="1:17" ht="20.100000000000001" customHeight="1" x14ac:dyDescent="0.25">
      <c r="A60"/>
      <c r="D60" s="184" t="str">
        <f>"Total scope 1 - " &amp; D37</f>
        <v>Total scope 1 - Vessels</v>
      </c>
      <c r="E60" s="188"/>
      <c r="F60" s="186"/>
      <c r="G60" s="17"/>
      <c r="H60" s="17"/>
      <c r="I60" s="17"/>
      <c r="J60" s="17"/>
      <c r="L60" s="17"/>
      <c r="M60" s="17"/>
      <c r="N60" s="17"/>
      <c r="O60" s="17"/>
      <c r="P60" s="17"/>
      <c r="Q60" s="17"/>
    </row>
    <row r="61" spans="1:17" ht="20.100000000000001" customHeight="1" x14ac:dyDescent="0.25">
      <c r="A61"/>
      <c r="D61" s="7" t="s">
        <v>717</v>
      </c>
      <c r="E61" s="187">
        <f>SUM(N37:N39)</f>
        <v>0.26981400000000005</v>
      </c>
      <c r="F61" s="63" t="str">
        <f t="shared" ref="F61:F64" si="4">$E$12</f>
        <v>t CO2-e</v>
      </c>
      <c r="G61" s="17"/>
      <c r="H61" s="17"/>
      <c r="I61" s="17"/>
      <c r="J61" s="17"/>
      <c r="L61" s="17"/>
      <c r="M61" s="17"/>
      <c r="N61" s="17"/>
      <c r="O61" s="17"/>
      <c r="P61" s="17"/>
      <c r="Q61" s="17"/>
    </row>
    <row r="62" spans="1:17" ht="20.100000000000001" customHeight="1" x14ac:dyDescent="0.25">
      <c r="A62"/>
      <c r="D62" s="7" t="s">
        <v>718</v>
      </c>
      <c r="E62" s="187">
        <f>SUM(O37:O39)</f>
        <v>7.7200000000000012E-4</v>
      </c>
      <c r="F62" s="63" t="str">
        <f t="shared" si="4"/>
        <v>t CO2-e</v>
      </c>
      <c r="G62" s="17"/>
      <c r="H62" s="17"/>
      <c r="I62" s="17"/>
      <c r="J62" s="17"/>
      <c r="L62" s="17"/>
      <c r="M62" s="17"/>
      <c r="N62" s="17"/>
      <c r="O62" s="17"/>
      <c r="P62" s="17"/>
      <c r="Q62" s="17"/>
    </row>
    <row r="63" spans="1:17" ht="20.100000000000001" customHeight="1" x14ac:dyDescent="0.25">
      <c r="A63"/>
      <c r="D63" s="7" t="s">
        <v>719</v>
      </c>
      <c r="E63" s="187">
        <f>SUM(P37:P39)</f>
        <v>1.9300000000000003E-3</v>
      </c>
      <c r="F63" s="63" t="str">
        <f t="shared" si="4"/>
        <v>t CO2-e</v>
      </c>
      <c r="G63" s="17"/>
      <c r="H63" s="17"/>
      <c r="I63" s="17"/>
      <c r="J63" s="17"/>
      <c r="L63" s="17"/>
      <c r="M63" s="17"/>
      <c r="N63" s="17"/>
      <c r="O63" s="17"/>
      <c r="P63" s="17"/>
      <c r="Q63" s="17"/>
    </row>
    <row r="64" spans="1:17" ht="20.100000000000001" customHeight="1" x14ac:dyDescent="0.25">
      <c r="A64"/>
      <c r="D64" s="7" t="s">
        <v>720</v>
      </c>
      <c r="E64" s="187">
        <f>SUM(Q37:Q39)</f>
        <v>6.6778000000000004E-2</v>
      </c>
      <c r="F64" s="63"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84" t="s">
        <v>721</v>
      </c>
      <c r="E66" s="190"/>
      <c r="F66" s="186"/>
      <c r="G66" s="17"/>
      <c r="H66" s="17"/>
      <c r="I66" s="17"/>
      <c r="J66" s="17"/>
      <c r="L66" s="17"/>
      <c r="M66" s="17"/>
      <c r="N66" s="17"/>
      <c r="O66" s="17"/>
      <c r="P66" s="17"/>
      <c r="Q66" s="17"/>
    </row>
    <row r="67" spans="1:17" ht="20.100000000000001" customHeight="1" x14ac:dyDescent="0.25">
      <c r="A67"/>
      <c r="D67" s="7" t="s">
        <v>717</v>
      </c>
      <c r="E67" s="187">
        <f>E43+E49+E55+E61</f>
        <v>0.76139800000000024</v>
      </c>
      <c r="F67" s="63" t="str">
        <f t="shared" ref="F67:F70" si="5">$E$12</f>
        <v>t CO2-e</v>
      </c>
      <c r="G67" s="17"/>
    </row>
    <row r="68" spans="1:17" ht="20.100000000000001" customHeight="1" x14ac:dyDescent="0.25">
      <c r="A68"/>
      <c r="D68" s="7" t="s">
        <v>718</v>
      </c>
      <c r="E68" s="187">
        <f t="shared" ref="E68:E70" si="6">E44+E50+E56+E62</f>
        <v>1.0092E-3</v>
      </c>
      <c r="F68" s="63" t="str">
        <f t="shared" si="5"/>
        <v>t CO2-e</v>
      </c>
      <c r="G68" s="17"/>
    </row>
    <row r="69" spans="1:17" ht="20.100000000000001" customHeight="1" x14ac:dyDescent="0.25">
      <c r="A69"/>
      <c r="D69" s="7" t="s">
        <v>719</v>
      </c>
      <c r="E69" s="187">
        <f t="shared" si="6"/>
        <v>5.8460000000000014E-3</v>
      </c>
      <c r="F69" s="63" t="str">
        <f t="shared" si="5"/>
        <v>t CO2-e</v>
      </c>
      <c r="G69" s="17"/>
    </row>
    <row r="70" spans="1:17" ht="20.100000000000001" customHeight="1" x14ac:dyDescent="0.25">
      <c r="A70"/>
      <c r="D70" s="7" t="s">
        <v>720</v>
      </c>
      <c r="E70" s="187">
        <f t="shared" si="6"/>
        <v>0.13355600000000001</v>
      </c>
      <c r="F70" s="63"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722</v>
      </c>
    </row>
    <row r="2" spans="1:18" s="2" customFormat="1" ht="20.100000000000001" customHeight="1" x14ac:dyDescent="0.25">
      <c r="A2"/>
    </row>
    <row r="3" spans="1:18" ht="20.100000000000001" customHeight="1" x14ac:dyDescent="0.25">
      <c r="A3" s="16" t="str">
        <f>HYPERLINK("#'Overview'!A1", "Overview")</f>
        <v>Overview</v>
      </c>
      <c r="C3" s="5"/>
      <c r="D3" s="5" t="s">
        <v>405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63" t="s">
        <v>621</v>
      </c>
      <c r="E7" s="163"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63" t="s">
        <v>621</v>
      </c>
      <c r="L8" s="163"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622</v>
      </c>
      <c r="E11" s="8" t="str" cm="1">
        <f t="array" ref="E11">Fuel_Equations.VEERG_8_2_1_1__1_FuelCombustionStationary_Variable()</f>
        <v>E_g</v>
      </c>
      <c r="K11" s="27" t="s">
        <v>622</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58" t="str" cm="1">
        <f t="array" ref="D14:E20">_xlfn.CHOOSECOLS(Fuel_Equations.VEERG_8_2_1_1__1_FuelCombustionStationary_Arguments(), 1,2)</f>
        <v>Q_SCq</v>
      </c>
      <c r="E14" s="162" t="str">
        <v>Amount of fuel type q used for stationary combustion operations</v>
      </c>
      <c r="F14" s="157"/>
      <c r="G14" s="158" t="str" cm="1">
        <f t="array" ref="G14:H20">_xlfn.CHOOSECOLS(Fuel_Equations.VEERG_8_2_1_1__1_FuelCombustionStationary_Arguments(), 3,4)</f>
        <v>Varies based on fuel type: kL, m3, GJ</v>
      </c>
      <c r="H14" s="159" t="str">
        <v>Input</v>
      </c>
      <c r="I14" s="161" t="str" cm="1">
        <f t="array" aca="1" ref="I14" ca="1">HYPERLINK(Common_InputFunctions.Utility_SourceHyperlink($D$22), $D$22)</f>
        <v>Table_E_g</v>
      </c>
      <c r="K14" s="158" t="str" cm="1">
        <f t="array" ref="K14:L18">_xlfn.CHOOSECOLS(Scope3_Equations.VEERG_15_11_1_1__3_UpstreamStationaryFuelEmissions_Arguments(),1,2)</f>
        <v>Q_SCq</v>
      </c>
      <c r="L14" s="158" t="str">
        <v>amount of fuel q used for stationary combustion operations</v>
      </c>
      <c r="M14" s="158"/>
      <c r="N14" s="158" t="str" cm="1">
        <f t="array" ref="N14:O18">_xlfn.CHOOSECOLS(Scope3_Equations.VEERG_15_11_1_1__3_UpstreamStationaryFuelEmissions_Arguments(),3,4)</f>
        <v>kL</v>
      </c>
      <c r="O14" s="159" t="str">
        <v>Input</v>
      </c>
      <c r="P14" s="161"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58" t="str">
        <v>EC_SCq</v>
      </c>
      <c r="E15" s="162" t="str">
        <v>Energy content factor for stationary combustion operations</v>
      </c>
      <c r="F15" s="157"/>
      <c r="G15" s="158" t="str">
        <v>GJ / unit of fuel</v>
      </c>
      <c r="H15" s="160" t="str">
        <v>Constant</v>
      </c>
      <c r="I15" s="161" t="str" cm="1">
        <f t="array" aca="1" ref="I15" ca="1">HYPERLINK(Common_InputFunctions.Utility_SourceHyperlink($D$22), $D$22)</f>
        <v>Table_E_g</v>
      </c>
      <c r="K15" s="158" t="str">
        <v>EC_SCq</v>
      </c>
      <c r="L15" s="158" t="str">
        <v>energy content factor for stationary combustion operations</v>
      </c>
      <c r="M15" s="158"/>
      <c r="N15" s="158" t="str">
        <v>GJ/kL</v>
      </c>
      <c r="O15" s="160" t="str">
        <v>Constant</v>
      </c>
      <c r="P15" s="161" t="str" cm="1">
        <f t="array" aca="1" ref="P15" ca="1">HYPERLINK(Common_InputFunctions.Utility_SourceHyperlink($D$22), $D$22)</f>
        <v>Table_E_g</v>
      </c>
      <c r="Q15" s="17"/>
    </row>
    <row r="16" spans="1:18" ht="20.100000000000001" customHeight="1" x14ac:dyDescent="0.25">
      <c r="A16" s="16" t="str">
        <f>HYPERLINK("#'Input - Electricity'!A1", "Electricity")</f>
        <v>Electricity</v>
      </c>
      <c r="D16" s="158" t="str">
        <v>EF_SC1qg</v>
      </c>
      <c r="E16" s="162" t="str">
        <v>Scope 1 emission factor for stationary combustion for each greenhouse gas</v>
      </c>
      <c r="F16" s="157"/>
      <c r="G16" s="158" t="str">
        <v>kg CO2e / GJ</v>
      </c>
      <c r="H16" s="160" t="str">
        <v>Constant</v>
      </c>
      <c r="I16" s="161" t="str" cm="1">
        <f t="array" aca="1" ref="I16" ca="1">HYPERLINK(Common_InputFunctions.Utility_SourceHyperlink($D$22), $D$22)</f>
        <v>Table_E_g</v>
      </c>
      <c r="K16" s="158" t="str">
        <v>EF_SC3q</v>
      </c>
      <c r="L16" s="158" t="str">
        <v>scope 3 emission factor for stationary combustion operations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c r="D17" s="158" t="str">
        <v>q</v>
      </c>
      <c r="E17" s="162" t="str">
        <v>Fuel type</v>
      </c>
      <c r="F17" s="157"/>
      <c r="G17" s="158" t="str">
        <v/>
      </c>
      <c r="H17" s="160" t="str">
        <v>Constant</v>
      </c>
      <c r="I17" s="161"/>
      <c r="J17" s="17"/>
      <c r="K17" s="158" t="str">
        <v>i</v>
      </c>
      <c r="L17" s="162" t="str">
        <v>state</v>
      </c>
      <c r="M17" s="157"/>
      <c r="N17" s="158" t="str">
        <v/>
      </c>
      <c r="O17" s="159" t="str">
        <v>Input</v>
      </c>
      <c r="P17" s="158" t="str">
        <f>X_Cell_Site_State</f>
        <v>ACT</v>
      </c>
      <c r="Q17" s="17"/>
    </row>
    <row r="18" spans="1:17" ht="20.100000000000001" customHeight="1" x14ac:dyDescent="0.25">
      <c r="A18"/>
      <c r="D18" s="158" t="str">
        <v>SC</v>
      </c>
      <c r="E18" s="162" t="str">
        <v>Stationary combustion</v>
      </c>
      <c r="F18" s="157"/>
      <c r="G18" s="158" t="str">
        <v/>
      </c>
      <c r="H18" s="160" t="str">
        <v>Constant</v>
      </c>
      <c r="I18" s="161"/>
      <c r="J18" s="17"/>
      <c r="K18" s="158" t="str">
        <v>m</v>
      </c>
      <c r="L18" s="162" t="str">
        <v>metropolitan/non-metropolitan location</v>
      </c>
      <c r="M18" s="157"/>
      <c r="N18" s="158" t="str">
        <v/>
      </c>
      <c r="O18" s="159" t="str">
        <v>Input</v>
      </c>
      <c r="P18" s="158" t="str">
        <f>X_Cell_Fuel_IsMetroLocation</f>
        <v>Metro</v>
      </c>
      <c r="Q18" s="17"/>
    </row>
    <row r="19" spans="1:17" ht="20.100000000000001" customHeight="1" x14ac:dyDescent="0.25">
      <c r="A19" s="21" t="s">
        <v>77</v>
      </c>
      <c r="D19" s="158" t="str">
        <v>g</v>
      </c>
      <c r="E19" s="162" t="str">
        <v>Greenhouse gas</v>
      </c>
      <c r="F19" s="157"/>
      <c r="G19" s="158" t="str">
        <v/>
      </c>
      <c r="H19" s="160" t="str">
        <v>Constant</v>
      </c>
      <c r="I19" s="161"/>
      <c r="J19" s="17"/>
      <c r="L19" s="17"/>
      <c r="N19" s="17"/>
      <c r="O19" s="17"/>
      <c r="P19" s="17"/>
      <c r="Q19" s="17"/>
    </row>
    <row r="20" spans="1:17" ht="20.100000000000001" customHeight="1" x14ac:dyDescent="0.25">
      <c r="A20" s="16" t="str">
        <f>HYPERLINK("#'15 Scope 3'!A1", "15 Scope 3")</f>
        <v>15 Scope 3</v>
      </c>
      <c r="D20" s="158" t="str">
        <v>1</v>
      </c>
      <c r="E20" s="162" t="str">
        <v>Scope 1</v>
      </c>
      <c r="F20" s="157"/>
      <c r="G20" s="158" t="str">
        <v/>
      </c>
      <c r="H20" s="160" t="str">
        <v>Constant</v>
      </c>
      <c r="I20" s="161"/>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723</v>
      </c>
    </row>
    <row r="24" spans="1:17" ht="20.100000000000001" customHeight="1" x14ac:dyDescent="0.25">
      <c r="A24" s="171" t="str">
        <f>HYPERLINK("#'8.2.1.1-2 Stationary fuel'!A1", "8.2.1.1-2 Stationary fuel")</f>
        <v>8.2.1.1-2 Stationary fuel</v>
      </c>
      <c r="D24" s="57" t="s">
        <v>131</v>
      </c>
      <c r="E24" s="57" t="s">
        <v>132</v>
      </c>
      <c r="F24" s="57" t="s">
        <v>133</v>
      </c>
      <c r="G24" s="57" t="s">
        <v>724</v>
      </c>
      <c r="H24" s="57" t="s">
        <v>725</v>
      </c>
      <c r="I24" s="57" t="s">
        <v>726</v>
      </c>
      <c r="J24" s="57" t="s">
        <v>727</v>
      </c>
      <c r="K24" s="57" t="s">
        <v>728</v>
      </c>
      <c r="L24" s="46" t="s">
        <v>729</v>
      </c>
      <c r="M24" s="57" t="s">
        <v>712</v>
      </c>
      <c r="N24" s="57" t="s">
        <v>713</v>
      </c>
      <c r="O24" s="57" t="s">
        <v>714</v>
      </c>
      <c r="P24" s="57" t="s">
        <v>715</v>
      </c>
      <c r="Q24" s="57" t="s">
        <v>730</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1" cm="1">
        <f t="array" ref="N25">Fuel_Equations.VEERG_8_2_1_1__1_FuelCombustionStationary($L25,$G25,H25)</f>
        <v>0</v>
      </c>
      <c r="O25" s="191" cm="1">
        <f t="array" ref="O25">Fuel_Equations.VEERG_8_2_1_1__1_FuelCombustionStationary($L25,$G25,I25)</f>
        <v>0</v>
      </c>
      <c r="P25" s="191" cm="1">
        <f t="array" ref="P25">Fuel_Equations.VEERG_8_2_1_1__1_FuelCombustionStationary($L25,$G25,J25)</f>
        <v>0</v>
      </c>
      <c r="Q25" s="191"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191" cm="1">
        <f t="array" ref="N26">Fuel_Equations.VEERG_8_2_1_1__1_FuelCombustionStationary($L26,$G26,H26)</f>
        <v>0</v>
      </c>
      <c r="O26" s="191" cm="1">
        <f t="array" ref="O26">Fuel_Equations.VEERG_8_2_1_1__1_FuelCombustionStationary($L26,$G26,I26)</f>
        <v>0</v>
      </c>
      <c r="P26" s="191" cm="1">
        <f t="array" ref="P26">Fuel_Equations.VEERG_8_2_1_1__1_FuelCombustionStationary($L26,$G26,J26)</f>
        <v>0</v>
      </c>
      <c r="Q26" s="191" cm="1">
        <f t="array" ref="Q26">Fuel_Equations.VEERG_8_2_1_1__1_FuelCombustionStationary($L26,$G26,IF(ISNUMBER(K26), K26, 0))</f>
        <v>0</v>
      </c>
    </row>
    <row r="27" spans="1:17" ht="20.100000000000001" customHeight="1" x14ac:dyDescent="0.25">
      <c r="A27" s="213"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1" cm="1">
        <f t="array" ref="N27">Fuel_Equations.VEERG_8_2_1_1__1_FuelCombustionStationary($L27,$G27,H27)</f>
        <v>0</v>
      </c>
      <c r="O27" s="191" cm="1">
        <f t="array" ref="O27">Fuel_Equations.VEERG_8_2_1_1__1_FuelCombustionStationary($L27,$G27,I27)</f>
        <v>0</v>
      </c>
      <c r="P27" s="191" cm="1">
        <f t="array" ref="P27">Fuel_Equations.VEERG_8_2_1_1__1_FuelCombustionStationary($L27,$G27,J27)</f>
        <v>0</v>
      </c>
      <c r="Q27" s="191"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1" cm="1">
        <f t="array" ref="N28">Fuel_Equations.VEERG_8_2_1_1__1_FuelCombustionStationary($L28,$G28,H28)</f>
        <v>0</v>
      </c>
      <c r="O28" s="191" cm="1">
        <f t="array" ref="O28">Fuel_Equations.VEERG_8_2_1_1__1_FuelCombustionStationary($L28,$G28,I28)</f>
        <v>0</v>
      </c>
      <c r="P28" s="191" cm="1">
        <f t="array" ref="P28">Fuel_Equations.VEERG_8_2_1_1__1_FuelCombustionStationary($L28,$G28,J28)</f>
        <v>0</v>
      </c>
      <c r="Q28" s="191"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1" cm="1">
        <f t="array" ref="N29">Fuel_Equations.VEERG_8_2_1_1__1_FuelCombustionStationary($L29,$G29,H29)</f>
        <v>0</v>
      </c>
      <c r="O29" s="191" cm="1">
        <f t="array" ref="O29">Fuel_Equations.VEERG_8_2_1_1__1_FuelCombustionStationary($L29,$G29,I29)</f>
        <v>0</v>
      </c>
      <c r="P29" s="191" cm="1">
        <f t="array" ref="P29">Fuel_Equations.VEERG_8_2_1_1__1_FuelCombustionStationary($L29,$G29,J29)</f>
        <v>0</v>
      </c>
      <c r="Q29" s="191"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1" cm="1">
        <f t="array" ref="N30">Fuel_Equations.VEERG_8_2_1_1__1_FuelCombustionStationary($L30,$G30,H30)</f>
        <v>0</v>
      </c>
      <c r="O30" s="191" cm="1">
        <f t="array" ref="O30">Fuel_Equations.VEERG_8_2_1_1__1_FuelCombustionStationary($L30,$G30,I30)</f>
        <v>0</v>
      </c>
      <c r="P30" s="191" cm="1">
        <f t="array" ref="P30">Fuel_Equations.VEERG_8_2_1_1__1_FuelCombustionStationary($L30,$G30,J30)</f>
        <v>0</v>
      </c>
      <c r="Q30" s="191"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74" cm="1">
        <f t="array" ref="L31">Fuel_InputFunctions.Fuel_TotalConsumption(Table_Input_Fuel[Amount consumed], Table_Input_Fuel[Fuel use (select)], D31, Table_Input_Fuel[Fuel type (select)],F31)</f>
        <v>0</v>
      </c>
      <c r="M31" s="174" t="str" cm="1">
        <f t="array" ref="M31">Common_InputFunctions.Utility_LookupValueInTable(F31,Table_FuelTypes_Units[Fuel type],Table_FuelTypes_Units[Unit])</f>
        <v>kL</v>
      </c>
      <c r="N31" s="192" cm="1">
        <f t="array" ref="N31">Fuel_Equations.VEERG_8_2_1_1__1_FuelCombustionStationary($L31,$G31,H31)</f>
        <v>0</v>
      </c>
      <c r="O31" s="192" cm="1">
        <f t="array" ref="O31">Fuel_Equations.VEERG_8_2_1_1__1_FuelCombustionStationary($L31,$G31,I31)</f>
        <v>0</v>
      </c>
      <c r="P31" s="192" cm="1">
        <f t="array" ref="P31">Fuel_Equations.VEERG_8_2_1_1__1_FuelCombustionStationary($L31,$G31,J31)</f>
        <v>0</v>
      </c>
      <c r="Q31" s="192"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82">
        <f>IFERROR(_xlfn.XLOOKUP($E32, Table_Fuel_EFs_StationaryLiquid[Fuel combusted], Table_Fuel_EFs_StationaryLiquid[Energy Content Factor (GJ per unit of fuel)]),0)</f>
        <v>34.200000000000003</v>
      </c>
      <c r="H32" s="182">
        <f>IFERROR(_xlfn.XLOOKUP($E32, Table_Fuel_EFs_StationaryLiquid[Fuel combusted], Table_Fuel_EFs_StationaryLiquid[Scope 1 Emission Factor (kg CO2 - e / GJ) CO2]),0)</f>
        <v>67.400000000000006</v>
      </c>
      <c r="I32" s="182">
        <f>IFERROR(_xlfn.XLOOKUP($E32, Table_Fuel_EFs_StationaryLiquid[Fuel combusted], Table_Fuel_EFs_StationaryLiquid[Scope 1 Emission Factor (kg CO2 - e / GJ) CH4]),0)</f>
        <v>0.2</v>
      </c>
      <c r="J32" s="182">
        <f>IFERROR(_xlfn.XLOOKUP($E32, Table_Fuel_EFs_StationaryLiquid[Fuel combusted], Table_Fuel_EFs_StationaryLiquid[Scope 1 Emission Factor (kg CO2 - e / GJ) N2O]),0)</f>
        <v>0.2</v>
      </c>
      <c r="K32" s="182">
        <f>IFERROR(_xlfn.XLOOKUP($E32, Table_Fuel_EFs_StationaryLiquid[Fuel combusted], Table_Fuel_EFs_StationaryLiquid[Scope 3 Emission Factor (kg CO2 - e / GJ)]),0)</f>
        <v>17.2</v>
      </c>
      <c r="L32" s="178" cm="1">
        <f t="array" ref="L32">Fuel_InputFunctions.Fuel_TotalConsumption(Table_Input_Fuel[Amount consumed], Table_Input_Fuel[Fuel use (select)], D32, Table_Input_Fuel[Fuel type (select)],F32)</f>
        <v>0</v>
      </c>
      <c r="M32" s="179" t="str" cm="1">
        <f t="array" ref="M32">Common_InputFunctions.Utility_LookupValueInTable(F32,Table_FuelTypes_Units[Fuel type],Table_FuelTypes_Units[Unit])</f>
        <v>kL</v>
      </c>
      <c r="N32" s="193" cm="1">
        <f t="array" ref="N32">Fuel_Equations.VEERG_8_2_1_1__1_FuelCombustionStationary($L32,$G32,H32)</f>
        <v>0</v>
      </c>
      <c r="O32" s="193" cm="1">
        <f t="array" ref="O32">Fuel_Equations.VEERG_8_2_1_1__1_FuelCombustionStationary($L32,$G32,I32)</f>
        <v>0</v>
      </c>
      <c r="P32" s="193" cm="1">
        <f t="array" ref="P32">Fuel_Equations.VEERG_8_2_1_1__1_FuelCombustionStationary($L32,$G32,J32)</f>
        <v>0</v>
      </c>
      <c r="Q32" s="193"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1" cm="1">
        <f t="array" ref="N33">Fuel_Equations.VEERG_8_2_1_1__1_FuelCombustionStationary($L33,$G33,H33)</f>
        <v>0</v>
      </c>
      <c r="O33" s="191" cm="1">
        <f t="array" ref="O33">Fuel_Equations.VEERG_8_2_1_1__1_FuelCombustionStationary($L33,$G33,I33)</f>
        <v>0</v>
      </c>
      <c r="P33" s="191" cm="1">
        <f t="array" ref="P33">Fuel_Equations.VEERG_8_2_1_1__1_FuelCombustionStationary($L33,$G33,J33)</f>
        <v>0</v>
      </c>
      <c r="Q33" s="191"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1" cm="1">
        <f t="array" ref="N34">Fuel_Equations.VEERG_8_2_1_1__1_FuelCombustionStationary($L34,$G34,H34)</f>
        <v>0</v>
      </c>
      <c r="O34" s="191" cm="1">
        <f t="array" ref="O34">Fuel_Equations.VEERG_8_2_1_1__1_FuelCombustionStationary($L34,$G34,I34)</f>
        <v>0</v>
      </c>
      <c r="P34" s="191" cm="1">
        <f t="array" ref="P34">Fuel_Equations.VEERG_8_2_1_1__1_FuelCombustionStationary($L34,$G34,J34)</f>
        <v>0</v>
      </c>
      <c r="Q34" s="191"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1" cm="1">
        <f t="array" ref="N35">Fuel_Equations.VEERG_8_2_1_1__1_FuelCombustionStationary($L35,$G35,H35)</f>
        <v>0</v>
      </c>
      <c r="O35" s="191" cm="1">
        <f t="array" ref="O35">Fuel_Equations.VEERG_8_2_1_1__1_FuelCombustionStationary($L35,$G35,I35)</f>
        <v>0</v>
      </c>
      <c r="P35" s="191" cm="1">
        <f t="array" ref="P35">Fuel_Equations.VEERG_8_2_1_1__1_FuelCombustionStationary($L35,$G35,J35)</f>
        <v>0</v>
      </c>
      <c r="Q35" s="191"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1" cm="1">
        <f t="array" ref="N36">Fuel_Equations.VEERG_8_2_1_1__1_FuelCombustionStationary($L36,$G36,H36)</f>
        <v>0</v>
      </c>
      <c r="O36" s="191" cm="1">
        <f t="array" ref="O36">Fuel_Equations.VEERG_8_2_1_1__1_FuelCombustionStationary($L36,$G36,I36)</f>
        <v>0</v>
      </c>
      <c r="P36" s="191" cm="1">
        <f t="array" ref="P36">Fuel_Equations.VEERG_8_2_1_1__1_FuelCombustionStationary($L36,$G36,J36)</f>
        <v>0</v>
      </c>
      <c r="Q36" s="191"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1" cm="1">
        <f t="array" ref="N37">Fuel_Equations.VEERG_8_2_1_1__1_FuelCombustionStationary($L37,$G37,H37)</f>
        <v>0</v>
      </c>
      <c r="O37" s="191" cm="1">
        <f t="array" ref="O37">Fuel_Equations.VEERG_8_2_1_1__1_FuelCombustionStationary($L37,$G37,I37)</f>
        <v>0</v>
      </c>
      <c r="P37" s="191" cm="1">
        <f t="array" ref="P37">Fuel_Equations.VEERG_8_2_1_1__1_FuelCombustionStationary($L37,$G37,J37)</f>
        <v>0</v>
      </c>
      <c r="Q37" s="191"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1" cm="1">
        <f t="array" ref="N38">Fuel_Equations.VEERG_8_2_1_1__1_FuelCombustionStationary($L38,$G38,H38)</f>
        <v>0</v>
      </c>
      <c r="O38" s="191" cm="1">
        <f t="array" ref="O38">Fuel_Equations.VEERG_8_2_1_1__1_FuelCombustionStationary($L38,$G38,I38)</f>
        <v>0</v>
      </c>
      <c r="P38" s="191" cm="1">
        <f t="array" ref="P38">Fuel_Equations.VEERG_8_2_1_1__1_FuelCombustionStationary($L38,$G38,J38)</f>
        <v>0</v>
      </c>
      <c r="Q38" s="191"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191" cm="1">
        <f t="array" ref="N39">Fuel_Equations.VEERG_8_2_1_1__1_FuelCombustionStationary($L39,$G39,H39)</f>
        <v>0</v>
      </c>
      <c r="O39" s="191" cm="1">
        <f t="array" ref="O39">Fuel_Equations.VEERG_8_2_1_1__1_FuelCombustionStationary($L39,$G39,I39)</f>
        <v>0</v>
      </c>
      <c r="P39" s="191" cm="1">
        <f t="array" ref="P39">Fuel_Equations.VEERG_8_2_1_1__1_FuelCombustionStationary($L39,$G39,J39)</f>
        <v>0</v>
      </c>
      <c r="Q39" s="191"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72" cm="1">
        <f t="array" ref="L40">Fuel_InputFunctions.Fuel_TotalConsumption(Table_Input_Fuel[Amount consumed], Table_Input_Fuel[Fuel use (select)], D40, Table_Input_Fuel[Fuel type (select)],F40)</f>
        <v>0.2</v>
      </c>
      <c r="M40" s="172" t="str" cm="1">
        <f t="array" ref="M40">Common_InputFunctions.Utility_LookupValueInTable(F40,Table_FuelTypes_Units[Fuel type],Table_FuelTypes_Units[Unit])</f>
        <v>GJ</v>
      </c>
      <c r="N40" s="191" cm="1">
        <f t="array" ref="N40">Fuel_Equations.VEERG_8_2_1_1__1_FuelCombustionStationary($L40,$G40,H40)</f>
        <v>1.204E-2</v>
      </c>
      <c r="O40" s="191" cm="1">
        <f t="array" ref="O40">Fuel_Equations.VEERG_8_2_1_1__1_FuelCombustionStationary($L40,$G40,I40)</f>
        <v>7.9999999999999996E-6</v>
      </c>
      <c r="P40" s="191" cm="1">
        <f t="array" ref="P40">Fuel_Equations.VEERG_8_2_1_1__1_FuelCombustionStationary($L40,$G40,J40)</f>
        <v>6.0000000000000002E-6</v>
      </c>
      <c r="Q40" s="191"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84" t="str">
        <f>"Total scope 1 - " &amp; D25</f>
        <v>Total scope 1 - Generators</v>
      </c>
      <c r="E42" s="185"/>
      <c r="F42" s="186"/>
    </row>
    <row r="43" spans="1:17" ht="20.100000000000001" customHeight="1" x14ac:dyDescent="0.25">
      <c r="A43"/>
      <c r="D43" s="7" t="s">
        <v>717</v>
      </c>
      <c r="E43" s="187">
        <f>SUM(N25:N31)</f>
        <v>0</v>
      </c>
      <c r="F43" s="63" t="str">
        <f>$E$12</f>
        <v>t CO2-e</v>
      </c>
    </row>
    <row r="44" spans="1:17" ht="20.100000000000001" customHeight="1" x14ac:dyDescent="0.25">
      <c r="A44"/>
      <c r="D44" s="7" t="s">
        <v>718</v>
      </c>
      <c r="E44" s="187">
        <f>SUM(O25:O31)</f>
        <v>0</v>
      </c>
      <c r="F44" s="63" t="str">
        <f t="shared" ref="F44:F46" si="2">$E$12</f>
        <v>t CO2-e</v>
      </c>
    </row>
    <row r="45" spans="1:17" ht="20.100000000000001" customHeight="1" x14ac:dyDescent="0.25">
      <c r="A45"/>
      <c r="D45" s="7" t="s">
        <v>719</v>
      </c>
      <c r="E45" s="187">
        <f>SUM(P25:P31)</f>
        <v>0</v>
      </c>
      <c r="F45" s="63" t="str">
        <f t="shared" si="2"/>
        <v>t CO2-e</v>
      </c>
    </row>
    <row r="46" spans="1:17" ht="20.100000000000001" customHeight="1" x14ac:dyDescent="0.25">
      <c r="A46"/>
      <c r="D46" s="7" t="s">
        <v>720</v>
      </c>
      <c r="E46" s="187">
        <f>SUM(Q25:Q31)</f>
        <v>0</v>
      </c>
      <c r="F46" s="63"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84" t="str">
        <f>"Total scope 1 - " &amp; D32</f>
        <v>Total scope 1 - Power standalone machinery or heating</v>
      </c>
      <c r="E48" s="188"/>
      <c r="F48" s="186"/>
      <c r="H48" s="17"/>
      <c r="I48" s="17"/>
      <c r="J48" s="17"/>
      <c r="L48" s="17"/>
      <c r="N48" s="17"/>
      <c r="O48" s="17"/>
      <c r="P48" s="17"/>
      <c r="Q48" s="17"/>
    </row>
    <row r="49" spans="1:17" ht="20.100000000000001" customHeight="1" x14ac:dyDescent="0.25">
      <c r="A49"/>
      <c r="D49" s="7" t="s">
        <v>717</v>
      </c>
      <c r="E49" s="187">
        <f>SUM(N32:N40)</f>
        <v>1.204E-2</v>
      </c>
      <c r="F49" s="63" t="str">
        <f t="shared" ref="F49:F52" si="3">$E$12</f>
        <v>t CO2-e</v>
      </c>
      <c r="H49" s="17"/>
      <c r="I49" s="17"/>
      <c r="J49" s="17"/>
      <c r="L49" s="17"/>
      <c r="N49" s="17"/>
      <c r="O49" s="17"/>
      <c r="P49" s="17"/>
      <c r="Q49" s="17"/>
    </row>
    <row r="50" spans="1:17" ht="20.100000000000001" customHeight="1" x14ac:dyDescent="0.25">
      <c r="A50"/>
      <c r="D50" s="7" t="s">
        <v>718</v>
      </c>
      <c r="E50" s="187">
        <f>SUM(O32:O40)</f>
        <v>7.9999999999999996E-6</v>
      </c>
      <c r="F50" s="63" t="str">
        <f t="shared" si="3"/>
        <v>t CO2-e</v>
      </c>
      <c r="H50" s="17"/>
      <c r="I50" s="17"/>
      <c r="J50" s="17"/>
      <c r="L50" s="17"/>
      <c r="N50" s="17"/>
      <c r="O50" s="17"/>
      <c r="P50" s="17"/>
      <c r="Q50" s="17"/>
    </row>
    <row r="51" spans="1:17" ht="20.100000000000001" customHeight="1" x14ac:dyDescent="0.25">
      <c r="A51"/>
      <c r="D51" s="7" t="s">
        <v>719</v>
      </c>
      <c r="E51" s="187">
        <f>SUM(P32:P40)</f>
        <v>6.0000000000000002E-6</v>
      </c>
      <c r="F51" s="63" t="str">
        <f t="shared" si="3"/>
        <v>t CO2-e</v>
      </c>
      <c r="H51" s="17"/>
      <c r="I51" s="17"/>
      <c r="J51" s="17"/>
      <c r="L51" s="17"/>
      <c r="N51" s="17"/>
      <c r="O51" s="17"/>
      <c r="P51" s="17"/>
      <c r="Q51" s="17"/>
    </row>
    <row r="52" spans="1:17" ht="20.100000000000001" customHeight="1" x14ac:dyDescent="0.25">
      <c r="A52"/>
      <c r="D52" s="7" t="s">
        <v>720</v>
      </c>
      <c r="E52" s="187">
        <f>SUM(Q32:Q40)</f>
        <v>2.6200000000000004E-3</v>
      </c>
      <c r="F52" s="63"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84" t="s">
        <v>731</v>
      </c>
      <c r="E54" s="188"/>
      <c r="F54" s="186"/>
      <c r="G54" s="17"/>
      <c r="H54" s="17"/>
      <c r="I54" s="17"/>
      <c r="J54" s="17"/>
      <c r="L54" s="17"/>
      <c r="N54" s="17"/>
      <c r="O54" s="17"/>
      <c r="P54" s="17"/>
      <c r="Q54" s="17"/>
    </row>
    <row r="55" spans="1:17" ht="20.100000000000001" customHeight="1" x14ac:dyDescent="0.25">
      <c r="A55"/>
      <c r="D55" s="7" t="s">
        <v>717</v>
      </c>
      <c r="E55" s="187">
        <f>E43+E49</f>
        <v>1.204E-2</v>
      </c>
      <c r="F55" s="63" t="str">
        <f t="shared" ref="F55:F58" si="4">$E$12</f>
        <v>t CO2-e</v>
      </c>
      <c r="G55" s="17"/>
      <c r="H55" s="17"/>
      <c r="I55" s="17"/>
      <c r="J55" s="17"/>
      <c r="L55" s="17"/>
      <c r="N55" s="17"/>
      <c r="O55" s="17"/>
      <c r="P55" s="17"/>
      <c r="Q55" s="17"/>
    </row>
    <row r="56" spans="1:17" ht="20.100000000000001" customHeight="1" x14ac:dyDescent="0.25">
      <c r="A56"/>
      <c r="D56" s="7" t="s">
        <v>718</v>
      </c>
      <c r="E56" s="187">
        <f>E44+E50</f>
        <v>7.9999999999999996E-6</v>
      </c>
      <c r="F56" s="63" t="str">
        <f t="shared" si="4"/>
        <v>t CO2-e</v>
      </c>
    </row>
    <row r="57" spans="1:17" ht="20.100000000000001" customHeight="1" x14ac:dyDescent="0.25">
      <c r="A57"/>
      <c r="D57" s="7" t="s">
        <v>719</v>
      </c>
      <c r="E57" s="187">
        <f>E45+E51</f>
        <v>6.0000000000000002E-6</v>
      </c>
      <c r="F57" s="63" t="str">
        <f t="shared" si="4"/>
        <v>t CO2-e</v>
      </c>
      <c r="G57" s="17"/>
      <c r="H57" s="17"/>
      <c r="I57" s="17"/>
      <c r="J57" s="17"/>
      <c r="L57" s="17"/>
      <c r="N57" s="17"/>
      <c r="O57" s="17"/>
      <c r="P57" s="17"/>
      <c r="Q57" s="17"/>
    </row>
    <row r="58" spans="1:17" ht="20.100000000000001" customHeight="1" x14ac:dyDescent="0.25">
      <c r="A58"/>
      <c r="D58" s="7" t="s">
        <v>720</v>
      </c>
      <c r="E58" s="187">
        <f>E46+E52</f>
        <v>2.6200000000000004E-3</v>
      </c>
      <c r="F58" s="63"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R247"/>
  <sheetViews>
    <sheetView showGridLines="0" topLeftCell="A216" zoomScaleNormal="100" workbookViewId="0">
      <selection activeCell="E243" sqref="E243:E247"/>
    </sheetView>
  </sheetViews>
  <sheetFormatPr defaultRowHeight="15.75" x14ac:dyDescent="0.25"/>
  <cols>
    <col min="1" max="1" width="30.625" customWidth="1"/>
    <col min="2" max="2" width="4.625" customWidth="1"/>
    <col min="3" max="3" width="4.625" style="8" customWidth="1"/>
    <col min="4" max="17" width="30.625" style="8" customWidth="1"/>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2" ht="20.100000000000001" customHeight="1" x14ac:dyDescent="0.25"/>
    <row r="18" spans="1:12" ht="20.100000000000001" customHeight="1" x14ac:dyDescent="0.25"/>
    <row r="19" spans="1:12" ht="20.100000000000001" customHeight="1" x14ac:dyDescent="0.25">
      <c r="A19" s="21" t="s">
        <v>77</v>
      </c>
    </row>
    <row r="20" spans="1:12" ht="20.100000000000001" customHeight="1" x14ac:dyDescent="0.25">
      <c r="A20" s="16" t="str">
        <f>HYPERLINK("#'15 Scope 3'!A1", "15 Scope 3")</f>
        <v>15 Scope 3</v>
      </c>
    </row>
    <row r="21" spans="1:12" ht="20.100000000000001" customHeight="1" x14ac:dyDescent="0.25">
      <c r="A21" s="16" t="str">
        <f>HYPERLINK("#'10.1.1-2 Solid waste treatment'!A1", "10.1.1-2 Solid waste treatment")</f>
        <v>10.1.1-2 Solid waste treatment</v>
      </c>
    </row>
    <row r="22" spans="1:12" ht="20.100000000000001" customHeight="1" x14ac:dyDescent="0.25">
      <c r="A22" s="16" t="str">
        <f>HYPERLINK("#'Calcs - Manure sent off-site'!A1", "Calcs - Manure sent off-site")</f>
        <v>Calcs - Manure sent off-site</v>
      </c>
    </row>
    <row r="23" spans="1:12" ht="20.100000000000001" customHeight="1" x14ac:dyDescent="0.25">
      <c r="A23" s="16" t="str">
        <f>HYPERLINK("#'8.1.1.1-2 Transport fuel'!A1", "8.1.1.1-2 Transport fuel")</f>
        <v>8.1.1.1-2 Transport fuel</v>
      </c>
    </row>
    <row r="24" spans="1:12" ht="20.100000000000001" customHeight="1" x14ac:dyDescent="0.25">
      <c r="A24" s="16" t="str">
        <f>HYPERLINK("#'8.2.1.1-2 Stationary fuel'!A1", "8.2.1.1-2 Stationary fuel")</f>
        <v>8.2.1.1-2 Stationary fuel</v>
      </c>
    </row>
    <row r="25" spans="1:12" ht="20.100000000000001" customHeight="1" x14ac:dyDescent="0.25"/>
    <row r="26" spans="1:12" ht="20.100000000000001" customHeight="1" x14ac:dyDescent="0.25"/>
    <row r="27" spans="1:12" ht="20.100000000000001" customHeight="1" x14ac:dyDescent="0.25">
      <c r="A27" s="213" t="s">
        <v>78</v>
      </c>
    </row>
    <row r="28" spans="1:12" ht="20.100000000000001" customHeight="1" x14ac:dyDescent="0.25">
      <c r="A28" s="23" t="str">
        <f>HYPERLINK("#'Constants - Scope 3'!A1", "Constants - Scope 3")</f>
        <v>Constants - Scope 3</v>
      </c>
    </row>
    <row r="29" spans="1:12" ht="20.100000000000001" customHeight="1" x14ac:dyDescent="0.25">
      <c r="A29" s="16" t="str">
        <f>HYPERLINK("#'Constants - Solid Waste'!A1", "Constants - Solid Waste")</f>
        <v>Constants - Solid Waste</v>
      </c>
    </row>
    <row r="30" spans="1:12" ht="20.100000000000001" customHeight="1" x14ac:dyDescent="0.25">
      <c r="A30" s="16" t="str">
        <f>HYPERLINK("#'Constants - Fuel'!A1", "Constants - Fuel")</f>
        <v>Constants - Fuel</v>
      </c>
    </row>
    <row r="31" spans="1:12" ht="20.100000000000001" customHeight="1" x14ac:dyDescent="0.25">
      <c r="A31" s="16" t="str">
        <f>HYPERLINK("#'Constants - Poultry'!A1", "Constants - Poultry")</f>
        <v>Constants - Poultry</v>
      </c>
    </row>
    <row r="32" spans="1:12" ht="20.100000000000001" customHeight="1" x14ac:dyDescent="0.25">
      <c r="A32" s="16" t="str">
        <f>HYPERLINK("#'Constants - Swine'!A1", "Constants - Swine")</f>
        <v>Constants - Swine</v>
      </c>
      <c r="D32" s="9" t="s">
        <v>355</v>
      </c>
      <c r="L32" s="8" t="s">
        <v>425</v>
      </c>
    </row>
    <row r="33" spans="1:13" ht="20.100000000000001" customHeight="1" x14ac:dyDescent="0.25">
      <c r="A33" s="16" t="str">
        <f>HYPERLINK("#'Constants - Dairy'!A1", "Constants - Dairy")</f>
        <v>Constants - Dairy</v>
      </c>
      <c r="D33" s="10" t="s">
        <v>312</v>
      </c>
      <c r="E33" s="10" t="s">
        <v>212</v>
      </c>
      <c r="F33" s="10" t="s">
        <v>313</v>
      </c>
      <c r="G33" s="10" t="s">
        <v>279</v>
      </c>
      <c r="H33" s="10" t="s">
        <v>913</v>
      </c>
      <c r="I33" s="10" t="s">
        <v>356</v>
      </c>
      <c r="J33" s="10" t="s">
        <v>140</v>
      </c>
      <c r="L33" s="10" t="s">
        <v>380</v>
      </c>
      <c r="M33" s="10" t="s">
        <v>508</v>
      </c>
    </row>
    <row r="34" spans="1:13"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J34" s="10" t="s">
        <v>912</v>
      </c>
      <c r="L34" s="10" t="s">
        <v>308</v>
      </c>
      <c r="M34" s="10" t="s">
        <v>331</v>
      </c>
    </row>
    <row r="35" spans="1:13"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J35" s="10" t="s">
        <v>912</v>
      </c>
      <c r="L35" s="10" t="s">
        <v>331</v>
      </c>
      <c r="M35" s="10" t="s">
        <v>331</v>
      </c>
    </row>
    <row r="36" spans="1:13"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J36" s="10" t="s">
        <v>912</v>
      </c>
      <c r="L36" s="10" t="s">
        <v>386</v>
      </c>
      <c r="M36" s="10" t="s">
        <v>386</v>
      </c>
    </row>
    <row r="37" spans="1:13"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J37" s="10" t="s">
        <v>912</v>
      </c>
      <c r="L37" s="10" t="s">
        <v>384</v>
      </c>
      <c r="M37" s="10" t="s">
        <v>384</v>
      </c>
    </row>
    <row r="38" spans="1:13"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J38" s="10" t="s">
        <v>912</v>
      </c>
      <c r="L38" s="10" t="s">
        <v>337</v>
      </c>
      <c r="M38" s="10" t="s">
        <v>337</v>
      </c>
    </row>
    <row r="39" spans="1:13"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J39" s="10" t="s">
        <v>912</v>
      </c>
      <c r="L39" s="10" t="s">
        <v>429</v>
      </c>
      <c r="M39" s="10" t="s">
        <v>338</v>
      </c>
    </row>
    <row r="40" spans="1:13"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J40" s="10" t="s">
        <v>912</v>
      </c>
      <c r="L40" s="10" t="s">
        <v>428</v>
      </c>
      <c r="M40" s="10" t="s">
        <v>338</v>
      </c>
    </row>
    <row r="41" spans="1:13"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J41" s="10" t="s">
        <v>912</v>
      </c>
      <c r="L41" s="10" t="s">
        <v>430</v>
      </c>
      <c r="M41" s="10" t="s">
        <v>338</v>
      </c>
    </row>
    <row r="42" spans="1:13"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J42" s="10" t="s">
        <v>912</v>
      </c>
      <c r="L42" s="10" t="s">
        <v>431</v>
      </c>
      <c r="M42" s="10" t="s">
        <v>427</v>
      </c>
    </row>
    <row r="43" spans="1:13"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J43" s="10" t="s">
        <v>912</v>
      </c>
      <c r="L43" s="10" t="s">
        <v>432</v>
      </c>
      <c r="M43" s="10" t="s">
        <v>427</v>
      </c>
    </row>
    <row r="44" spans="1:13"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J44" s="10" t="s">
        <v>912</v>
      </c>
      <c r="L44" s="10" t="s">
        <v>433</v>
      </c>
      <c r="M44" s="10" t="s">
        <v>427</v>
      </c>
    </row>
    <row r="45" spans="1:13"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J45" s="10" t="s">
        <v>912</v>
      </c>
      <c r="L45" s="10" t="s">
        <v>434</v>
      </c>
      <c r="M45" s="10" t="s">
        <v>332</v>
      </c>
    </row>
    <row r="46" spans="1:13"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J46" s="10" t="s">
        <v>912</v>
      </c>
      <c r="L46" s="10" t="s">
        <v>435</v>
      </c>
      <c r="M46" s="10" t="s">
        <v>332</v>
      </c>
    </row>
    <row r="47" spans="1:13"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J47" s="10" t="s">
        <v>912</v>
      </c>
      <c r="L47" s="10" t="s">
        <v>436</v>
      </c>
      <c r="M47" s="10" t="s">
        <v>332</v>
      </c>
    </row>
    <row r="48" spans="1:13"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J48" s="10" t="s">
        <v>912</v>
      </c>
      <c r="L48" s="10" t="s">
        <v>437</v>
      </c>
      <c r="M48" s="10" t="s">
        <v>332</v>
      </c>
    </row>
    <row r="49" spans="4:13"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J49" s="10" t="s">
        <v>912</v>
      </c>
      <c r="L49" s="8" t="s">
        <v>330</v>
      </c>
      <c r="M49" s="8" t="s">
        <v>330</v>
      </c>
    </row>
    <row r="50" spans="4:13"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c r="J50" s="10" t="s">
        <v>912</v>
      </c>
    </row>
    <row r="51" spans="4:13"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J51" s="10" t="s">
        <v>912</v>
      </c>
    </row>
    <row r="52" spans="4:13"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J52" s="10" t="s">
        <v>912</v>
      </c>
    </row>
    <row r="53" spans="4:13"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J53" s="10" t="s">
        <v>912</v>
      </c>
    </row>
    <row r="54" spans="4:13"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J54" s="10" t="s">
        <v>912</v>
      </c>
    </row>
    <row r="55" spans="4:13"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J55" s="10" t="s">
        <v>912</v>
      </c>
    </row>
    <row r="56" spans="4:13"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J56" s="10" t="s">
        <v>912</v>
      </c>
    </row>
    <row r="57" spans="4:13"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J57" s="10" t="s">
        <v>912</v>
      </c>
    </row>
    <row r="58" spans="4:13"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J58" s="10" t="s">
        <v>912</v>
      </c>
    </row>
    <row r="59" spans="4:13"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J59" s="10" t="s">
        <v>912</v>
      </c>
    </row>
    <row r="60" spans="4:13"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J60" s="10" t="s">
        <v>912</v>
      </c>
    </row>
    <row r="61" spans="4:13"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J61" s="10" t="s">
        <v>912</v>
      </c>
    </row>
    <row r="62" spans="4:13"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J62" s="10" t="s">
        <v>912</v>
      </c>
    </row>
    <row r="63" spans="4:13"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c r="J63" s="10" t="s">
        <v>912</v>
      </c>
    </row>
    <row r="64" spans="4:13"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c r="J64" s="10" t="s">
        <v>912</v>
      </c>
    </row>
    <row r="65" spans="4:10"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c r="J65" s="10" t="s">
        <v>912</v>
      </c>
    </row>
    <row r="66" spans="4:10"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c r="J66" s="10" t="s">
        <v>912</v>
      </c>
    </row>
    <row r="67" spans="4:10"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c r="J67" s="10" t="s">
        <v>912</v>
      </c>
    </row>
    <row r="68" spans="4:10"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c r="J68" s="10" t="s">
        <v>912</v>
      </c>
    </row>
    <row r="69" spans="4:10"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c r="J69" s="10" t="s">
        <v>912</v>
      </c>
    </row>
    <row r="70" spans="4:10"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c r="J70" s="10" t="s">
        <v>912</v>
      </c>
    </row>
    <row r="71" spans="4:10"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c r="J71" s="10" t="s">
        <v>912</v>
      </c>
    </row>
    <row r="72" spans="4:10"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c r="J72" s="10" t="s">
        <v>912</v>
      </c>
    </row>
    <row r="73" spans="4:10"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c r="J73" s="10" t="s">
        <v>912</v>
      </c>
    </row>
    <row r="74" spans="4:10"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c r="J74" s="10" t="s">
        <v>912</v>
      </c>
    </row>
    <row r="75" spans="4:10" ht="20.100000000000001" customHeight="1" x14ac:dyDescent="0.25"/>
    <row r="76" spans="4:10" ht="20.100000000000001" customHeight="1" x14ac:dyDescent="0.25">
      <c r="D76" s="9" t="s">
        <v>358</v>
      </c>
    </row>
    <row r="77" spans="4:10" ht="20.100000000000001" customHeight="1" x14ac:dyDescent="0.25">
      <c r="D77" s="10" t="s">
        <v>312</v>
      </c>
      <c r="E77" s="10" t="s">
        <v>212</v>
      </c>
      <c r="F77" s="10" t="s">
        <v>313</v>
      </c>
      <c r="G77" s="10" t="s">
        <v>279</v>
      </c>
      <c r="H77" s="10" t="s">
        <v>913</v>
      </c>
      <c r="I77" s="10" t="s">
        <v>356</v>
      </c>
      <c r="J77" s="10" t="s">
        <v>140</v>
      </c>
    </row>
    <row r="78" spans="4:10"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c r="J78" s="10" t="s">
        <v>912</v>
      </c>
    </row>
    <row r="79" spans="4:10"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c r="J79" s="10" t="s">
        <v>912</v>
      </c>
    </row>
    <row r="80" spans="4:10"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c r="J80" s="10" t="s">
        <v>912</v>
      </c>
    </row>
    <row r="81" spans="4:17" ht="20.100000000000001" customHeight="1" x14ac:dyDescent="0.25"/>
    <row r="82" spans="4:17" ht="20.100000000000001" customHeight="1" x14ac:dyDescent="0.25">
      <c r="D82" s="10" t="s">
        <v>312</v>
      </c>
      <c r="E82" s="10" t="s">
        <v>212</v>
      </c>
      <c r="F82" s="10" t="s">
        <v>313</v>
      </c>
      <c r="G82" s="10" t="s">
        <v>279</v>
      </c>
      <c r="H82" s="10" t="s">
        <v>913</v>
      </c>
      <c r="I82" s="10" t="s">
        <v>356</v>
      </c>
      <c r="J82" s="10" t="s">
        <v>140</v>
      </c>
    </row>
    <row r="83" spans="4:17"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c r="J83" s="10" t="s">
        <v>912</v>
      </c>
    </row>
    <row r="84" spans="4:17"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c r="J84" s="10" t="s">
        <v>912</v>
      </c>
    </row>
    <row r="85" spans="4:17"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c r="J85" s="10" t="s">
        <v>912</v>
      </c>
    </row>
    <row r="86" spans="4:17"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c r="J86" s="10" t="s">
        <v>912</v>
      </c>
    </row>
    <row r="87" spans="4:17" ht="20.100000000000001" customHeight="1" x14ac:dyDescent="0.25"/>
    <row r="88" spans="4:17" ht="20.100000000000001" customHeight="1" x14ac:dyDescent="0.25">
      <c r="D88" s="9" t="s">
        <v>359</v>
      </c>
    </row>
    <row r="89" spans="4:17" ht="20.100000000000001" customHeight="1" x14ac:dyDescent="0.25">
      <c r="D89" s="10" t="s">
        <v>312</v>
      </c>
      <c r="E89" s="10" t="s">
        <v>212</v>
      </c>
      <c r="F89" s="10" t="s">
        <v>313</v>
      </c>
      <c r="G89" s="10" t="s">
        <v>279</v>
      </c>
      <c r="H89" s="10" t="s">
        <v>913</v>
      </c>
      <c r="I89" s="10" t="s">
        <v>356</v>
      </c>
      <c r="J89" s="10" t="s">
        <v>140</v>
      </c>
      <c r="O89" s="10" t="s">
        <v>212</v>
      </c>
      <c r="P89" s="10" t="s">
        <v>380</v>
      </c>
      <c r="Q89" s="8" t="str">
        <f>"Table_ProductRegions_" &amp; SUBSTITUTE(SUBSTITUTE(SUBSTITUTE(SUBSTITUTE(O90, " ", ""), ",", ""), "(", ""), ")", "")</f>
        <v>Table_ProductRegions_Barleygrain</v>
      </c>
    </row>
    <row r="90" spans="4:17" ht="20.100000000000001" customHeight="1" x14ac:dyDescent="0.25">
      <c r="D90" s="10" t="str" cm="1">
        <f t="array" ref="D90">Common_InputFunctions.Utility_DisplayArrayInTable(Scope3_SourceData.Scope3_Feed_Data(), Table_SourceData_Scope3_Feed[[#Headers],[Category]], -1, 2)</f>
        <v>Grain</v>
      </c>
      <c r="E90" s="10" t="str" cm="1">
        <f t="array" ref="E90">Common_InputFunctions.Utility_DisplayArrayInTable(Scope3_SourceData.Scope3_Feed_Data(), Table_SourceData_Scope3_Feed[[#Headers],[Category]], -1, 2)</f>
        <v>Barley grain</v>
      </c>
      <c r="F90" s="10" t="str" cm="1">
        <f t="array" ref="F90">Common_InputFunctions.Utility_DisplayArrayInTable(Scope3_SourceData.Scope3_Feed_Data(), Table_SourceData_Scope3_Feed[[#Headers],[Category]], -1, 2)</f>
        <v>Australia</v>
      </c>
      <c r="G90" s="10" t="str" cm="1">
        <f t="array" ref="G90">Common_InputFunctions.Utility_DisplayArrayInTable(Scope3_SourceData.Scope3_Feed_Data(), Table_SourceData_Scope3_Feed[[#Headers],[Category]], -1, 2)</f>
        <v>kg</v>
      </c>
      <c r="H90" s="10" cm="1">
        <f t="array" ref="H90">Common_InputFunctions.Utility_DisplayArrayInTable(Scope3_SourceData.Scope3_Feed_Data(), Table_SourceData_Scope3_Feed[[#Headers],[Category]], -1, 2)</f>
        <v>0.23899999999999999</v>
      </c>
      <c r="I90" s="10" t="str" cm="1">
        <f t="array" ref="I90">Common_InputFunctions.Utility_DisplayArrayInTable(Scope3_SourceData.Scope3_Feed_Data(), Table_SourceData_Scope3_Feed[[#Headers],[Category]], -1, 2)</f>
        <v>at market</v>
      </c>
      <c r="J90" s="10" t="s">
        <v>912</v>
      </c>
      <c r="O90" s="10" t="str">
        <f>Table_SourceData_Scope3_Feed[[#This Row],[Product]]</f>
        <v>Barley grain</v>
      </c>
      <c r="P90" s="10" t="str">
        <f>Table_SourceData_Scope3_Feed[[#This Row],[Region of origin]]</f>
        <v>Australia</v>
      </c>
    </row>
    <row r="91" spans="4:17" ht="20.100000000000001" customHeight="1" x14ac:dyDescent="0.25">
      <c r="D91" s="10" t="str" cm="1">
        <f t="array" ref="D91">Common_InputFunctions.Utility_DisplayArrayInTable(Scope3_SourceData.Scope3_Feed_Data(), Table_SourceData_Scope3_Feed[[#Headers],[Category]], -1, 2)</f>
        <v>Grain</v>
      </c>
      <c r="E91" s="10" t="str" cm="1">
        <f t="array" ref="E91">Common_InputFunctions.Utility_DisplayArrayInTable(Scope3_SourceData.Scope3_Feed_Data(), Table_SourceData_Scope3_Feed[[#Headers],[Category]], -1, 2)</f>
        <v>Barley grain</v>
      </c>
      <c r="F91" s="10" t="str" cm="1">
        <f t="array" ref="F91">Common_InputFunctions.Utility_DisplayArrayInTable(Scope3_SourceData.Scope3_Feed_Data(), Table_SourceData_Scope3_Feed[[#Headers],[Category]], -1, 2)</f>
        <v>NSW</v>
      </c>
      <c r="G91" s="10" t="str" cm="1">
        <f t="array" ref="G91">Common_InputFunctions.Utility_DisplayArrayInTable(Scope3_SourceData.Scope3_Feed_Data(), Table_SourceData_Scope3_Feed[[#Headers],[Category]], -1, 2)</f>
        <v>kg</v>
      </c>
      <c r="H91" s="10" cm="1">
        <f t="array" ref="H91">Common_InputFunctions.Utility_DisplayArrayInTable(Scope3_SourceData.Scope3_Feed_Data(), Table_SourceData_Scope3_Feed[[#Headers],[Category]], -1, 2)</f>
        <v>0.25600000000000001</v>
      </c>
      <c r="I91" s="10" t="str" cm="1">
        <f t="array" ref="I91">Common_InputFunctions.Utility_DisplayArrayInTable(Scope3_SourceData.Scope3_Feed_Data(), Table_SourceData_Scope3_Feed[[#Headers],[Category]], -1, 2)</f>
        <v>at market</v>
      </c>
      <c r="J91" s="10" t="s">
        <v>912</v>
      </c>
      <c r="O91" s="10" t="str">
        <f>Table_SourceData_Scope3_Feed[[#This Row],[Product]]</f>
        <v>Barley grain</v>
      </c>
      <c r="P91" s="10" t="str">
        <f>Table_SourceData_Scope3_Feed[[#This Row],[Region of origin]]</f>
        <v>NSW</v>
      </c>
    </row>
    <row r="92" spans="4:17" ht="20.100000000000001" customHeight="1" x14ac:dyDescent="0.25">
      <c r="D92" s="10" t="str" cm="1">
        <f t="array" ref="D92">Common_InputFunctions.Utility_DisplayArrayInTable(Scope3_SourceData.Scope3_Feed_Data(), Table_SourceData_Scope3_Feed[[#Headers],[Category]], -1, 2)</f>
        <v>Grain</v>
      </c>
      <c r="E92" s="10" t="str" cm="1">
        <f t="array" ref="E92">Common_InputFunctions.Utility_DisplayArrayInTable(Scope3_SourceData.Scope3_Feed_Data(), Table_SourceData_Scope3_Feed[[#Headers],[Category]], -1, 2)</f>
        <v>Barley grain</v>
      </c>
      <c r="F92" s="10" t="str" cm="1">
        <f t="array" ref="F92">Common_InputFunctions.Utility_DisplayArrayInTable(Scope3_SourceData.Scope3_Feed_Data(), Table_SourceData_Scope3_Feed[[#Headers],[Category]], -1, 2)</f>
        <v>NT</v>
      </c>
      <c r="G92" s="10" t="str" cm="1">
        <f t="array" ref="G92">Common_InputFunctions.Utility_DisplayArrayInTable(Scope3_SourceData.Scope3_Feed_Data(), Table_SourceData_Scope3_Feed[[#Headers],[Category]], -1, 2)</f>
        <v>kg</v>
      </c>
      <c r="H92" s="10" cm="1">
        <f t="array" ref="H92">Common_InputFunctions.Utility_DisplayArrayInTable(Scope3_SourceData.Scope3_Feed_Data(), Table_SourceData_Scope3_Feed[[#Headers],[Category]], -1, 2)</f>
        <v>0.33200000000000002</v>
      </c>
      <c r="I92" s="10" t="str" cm="1">
        <f t="array" ref="I92">Common_InputFunctions.Utility_DisplayArrayInTable(Scope3_SourceData.Scope3_Feed_Data(), Table_SourceData_Scope3_Feed[[#Headers],[Category]], -1, 2)</f>
        <v>at market</v>
      </c>
      <c r="J92" s="10" t="s">
        <v>912</v>
      </c>
      <c r="O92" s="10" t="str">
        <f>Table_SourceData_Scope3_Feed[[#This Row],[Product]]</f>
        <v>Barley grain</v>
      </c>
      <c r="P92" s="10" t="str">
        <f>Table_SourceData_Scope3_Feed[[#This Row],[Region of origin]]</f>
        <v>NT</v>
      </c>
    </row>
    <row r="93" spans="4:17" ht="20.100000000000001" customHeight="1" x14ac:dyDescent="0.25">
      <c r="D93" s="10" t="str" cm="1">
        <f t="array" ref="D93">Common_InputFunctions.Utility_DisplayArrayInTable(Scope3_SourceData.Scope3_Feed_Data(), Table_SourceData_Scope3_Feed[[#Headers],[Category]], -1, 2)</f>
        <v>Grain</v>
      </c>
      <c r="E93" s="10" t="str" cm="1">
        <f t="array" ref="E93">Common_InputFunctions.Utility_DisplayArrayInTable(Scope3_SourceData.Scope3_Feed_Data(), Table_SourceData_Scope3_Feed[[#Headers],[Category]], -1, 2)</f>
        <v>Barley grain</v>
      </c>
      <c r="F93" s="10" t="str" cm="1">
        <f t="array" ref="F93">Common_InputFunctions.Utility_DisplayArrayInTable(Scope3_SourceData.Scope3_Feed_Data(), Table_SourceData_Scope3_Feed[[#Headers],[Category]], -1, 2)</f>
        <v>QLD</v>
      </c>
      <c r="G93" s="10" t="str" cm="1">
        <f t="array" ref="G93">Common_InputFunctions.Utility_DisplayArrayInTable(Scope3_SourceData.Scope3_Feed_Data(), Table_SourceData_Scope3_Feed[[#Headers],[Category]], -1, 2)</f>
        <v>kg</v>
      </c>
      <c r="H93" s="10" cm="1">
        <f t="array" ref="H93">Common_InputFunctions.Utility_DisplayArrayInTable(Scope3_SourceData.Scope3_Feed_Data(), Table_SourceData_Scope3_Feed[[#Headers],[Category]], -1, 2)</f>
        <v>0.26900000000000002</v>
      </c>
      <c r="I93" s="10" t="str" cm="1">
        <f t="array" ref="I93">Common_InputFunctions.Utility_DisplayArrayInTable(Scope3_SourceData.Scope3_Feed_Data(), Table_SourceData_Scope3_Feed[[#Headers],[Category]], -1, 2)</f>
        <v>at market</v>
      </c>
      <c r="J93" s="10" t="s">
        <v>912</v>
      </c>
      <c r="O93" s="10" t="str">
        <f>Table_SourceData_Scope3_Feed[[#This Row],[Product]]</f>
        <v>Barley grain</v>
      </c>
      <c r="P93" s="10" t="str">
        <f>Table_SourceData_Scope3_Feed[[#This Row],[Region of origin]]</f>
        <v>QLD</v>
      </c>
    </row>
    <row r="94" spans="4:17" ht="20.100000000000001" customHeight="1" x14ac:dyDescent="0.25">
      <c r="D94" s="10" t="str" cm="1">
        <f t="array" ref="D94">Common_InputFunctions.Utility_DisplayArrayInTable(Scope3_SourceData.Scope3_Feed_Data(), Table_SourceData_Scope3_Feed[[#Headers],[Category]], -1, 2)</f>
        <v>Grain</v>
      </c>
      <c r="E94" s="10" t="str" cm="1">
        <f t="array" ref="E94">Common_InputFunctions.Utility_DisplayArrayInTable(Scope3_SourceData.Scope3_Feed_Data(), Table_SourceData_Scope3_Feed[[#Headers],[Category]], -1, 2)</f>
        <v>Barley grain</v>
      </c>
      <c r="F94" s="10" t="str" cm="1">
        <f t="array" ref="F94">Common_InputFunctions.Utility_DisplayArrayInTable(Scope3_SourceData.Scope3_Feed_Data(), Table_SourceData_Scope3_Feed[[#Headers],[Category]], -1, 2)</f>
        <v>SA</v>
      </c>
      <c r="G94" s="10" t="str" cm="1">
        <f t="array" ref="G94">Common_InputFunctions.Utility_DisplayArrayInTable(Scope3_SourceData.Scope3_Feed_Data(), Table_SourceData_Scope3_Feed[[#Headers],[Category]], -1, 2)</f>
        <v>kg</v>
      </c>
      <c r="H94" s="10" cm="1">
        <f t="array" ref="H94">Common_InputFunctions.Utility_DisplayArrayInTable(Scope3_SourceData.Scope3_Feed_Data(), Table_SourceData_Scope3_Feed[[#Headers],[Category]], -1, 2)</f>
        <v>0.223</v>
      </c>
      <c r="I94" s="10" t="str" cm="1">
        <f t="array" ref="I94">Common_InputFunctions.Utility_DisplayArrayInTable(Scope3_SourceData.Scope3_Feed_Data(), Table_SourceData_Scope3_Feed[[#Headers],[Category]], -1, 2)</f>
        <v>at market</v>
      </c>
      <c r="J94" s="10" t="s">
        <v>912</v>
      </c>
      <c r="O94" s="10" t="str">
        <f>Table_SourceData_Scope3_Feed[[#This Row],[Product]]</f>
        <v>Barley grain</v>
      </c>
      <c r="P94" s="10" t="str">
        <f>Table_SourceData_Scope3_Feed[[#This Row],[Region of origin]]</f>
        <v>SA</v>
      </c>
    </row>
    <row r="95" spans="4:17" ht="20.100000000000001" customHeight="1" x14ac:dyDescent="0.25">
      <c r="D95" s="10" t="str" cm="1">
        <f t="array" ref="D95">Common_InputFunctions.Utility_DisplayArrayInTable(Scope3_SourceData.Scope3_Feed_Data(), Table_SourceData_Scope3_Feed[[#Headers],[Category]], -1, 2)</f>
        <v>Grain</v>
      </c>
      <c r="E95" s="10" t="str" cm="1">
        <f t="array" ref="E95">Common_InputFunctions.Utility_DisplayArrayInTable(Scope3_SourceData.Scope3_Feed_Data(), Table_SourceData_Scope3_Feed[[#Headers],[Category]], -1, 2)</f>
        <v>Barley grain</v>
      </c>
      <c r="F95" s="10" t="str" cm="1">
        <f t="array" ref="F95">Common_InputFunctions.Utility_DisplayArrayInTable(Scope3_SourceData.Scope3_Feed_Data(), Table_SourceData_Scope3_Feed[[#Headers],[Category]], -1, 2)</f>
        <v>TAS</v>
      </c>
      <c r="G95" s="10" t="str" cm="1">
        <f t="array" ref="G95">Common_InputFunctions.Utility_DisplayArrayInTable(Scope3_SourceData.Scope3_Feed_Data(), Table_SourceData_Scope3_Feed[[#Headers],[Category]], -1, 2)</f>
        <v>kg</v>
      </c>
      <c r="H95" s="10" cm="1">
        <f t="array" ref="H95">Common_InputFunctions.Utility_DisplayArrayInTable(Scope3_SourceData.Scope3_Feed_Data(), Table_SourceData_Scope3_Feed[[#Headers],[Category]], -1, 2)</f>
        <v>0.307</v>
      </c>
      <c r="I95" s="10" t="str" cm="1">
        <f t="array" ref="I95">Common_InputFunctions.Utility_DisplayArrayInTable(Scope3_SourceData.Scope3_Feed_Data(), Table_SourceData_Scope3_Feed[[#Headers],[Category]], -1, 2)</f>
        <v>at market</v>
      </c>
      <c r="J95" s="10" t="s">
        <v>912</v>
      </c>
      <c r="O95" s="10" t="str">
        <f>Table_SourceData_Scope3_Feed[[#This Row],[Product]]</f>
        <v>Barley grain</v>
      </c>
      <c r="P95" s="10" t="str">
        <f>Table_SourceData_Scope3_Feed[[#This Row],[Region of origin]]</f>
        <v>TAS</v>
      </c>
    </row>
    <row r="96" spans="4:17" ht="20.100000000000001" customHeight="1" x14ac:dyDescent="0.25">
      <c r="D96" s="10" t="str" cm="1">
        <f t="array" ref="D96">Common_InputFunctions.Utility_DisplayArrayInTable(Scope3_SourceData.Scope3_Feed_Data(), Table_SourceData_Scope3_Feed[[#Headers],[Category]], -1, 2)</f>
        <v>Grain</v>
      </c>
      <c r="E96" s="10" t="str" cm="1">
        <f t="array" ref="E96">Common_InputFunctions.Utility_DisplayArrayInTable(Scope3_SourceData.Scope3_Feed_Data(), Table_SourceData_Scope3_Feed[[#Headers],[Category]], -1, 2)</f>
        <v>Barley grain</v>
      </c>
      <c r="F96" s="10" t="str" cm="1">
        <f t="array" ref="F96">Common_InputFunctions.Utility_DisplayArrayInTable(Scope3_SourceData.Scope3_Feed_Data(), Table_SourceData_Scope3_Feed[[#Headers],[Category]], -1, 2)</f>
        <v>VIC</v>
      </c>
      <c r="G96" s="10" t="str" cm="1">
        <f t="array" ref="G96">Common_InputFunctions.Utility_DisplayArrayInTable(Scope3_SourceData.Scope3_Feed_Data(), Table_SourceData_Scope3_Feed[[#Headers],[Category]], -1, 2)</f>
        <v>kg</v>
      </c>
      <c r="H96" s="10" cm="1">
        <f t="array" ref="H96">Common_InputFunctions.Utility_DisplayArrayInTable(Scope3_SourceData.Scope3_Feed_Data(), Table_SourceData_Scope3_Feed[[#Headers],[Category]], -1, 2)</f>
        <v>0.24099999999999999</v>
      </c>
      <c r="I96" s="10" t="str" cm="1">
        <f t="array" ref="I96">Common_InputFunctions.Utility_DisplayArrayInTable(Scope3_SourceData.Scope3_Feed_Data(), Table_SourceData_Scope3_Feed[[#Headers],[Category]], -1, 2)</f>
        <v>at market</v>
      </c>
      <c r="J96" s="10" t="s">
        <v>912</v>
      </c>
      <c r="O96" s="10" t="str">
        <f>Table_SourceData_Scope3_Feed[[#This Row],[Product]]</f>
        <v>Barley grain</v>
      </c>
      <c r="P96" s="10" t="str">
        <f>Table_SourceData_Scope3_Feed[[#This Row],[Region of origin]]</f>
        <v>VIC</v>
      </c>
    </row>
    <row r="97" spans="4:17" ht="20.100000000000001" customHeight="1" x14ac:dyDescent="0.25">
      <c r="D97" s="10" t="str" cm="1">
        <f t="array" ref="D97">Common_InputFunctions.Utility_DisplayArrayInTable(Scope3_SourceData.Scope3_Feed_Data(), Table_SourceData_Scope3_Feed[[#Headers],[Category]], -1, 2)</f>
        <v>Grain</v>
      </c>
      <c r="E97" s="10" t="str" cm="1">
        <f t="array" ref="E97">Common_InputFunctions.Utility_DisplayArrayInTable(Scope3_SourceData.Scope3_Feed_Data(), Table_SourceData_Scope3_Feed[[#Headers],[Category]], -1, 2)</f>
        <v>Barley grain</v>
      </c>
      <c r="F97" s="10" t="str" cm="1">
        <f t="array" ref="F97">Common_InputFunctions.Utility_DisplayArrayInTable(Scope3_SourceData.Scope3_Feed_Data(), Table_SourceData_Scope3_Feed[[#Headers],[Category]], -1, 2)</f>
        <v>WA</v>
      </c>
      <c r="G97" s="10" t="str" cm="1">
        <f t="array" ref="G97">Common_InputFunctions.Utility_DisplayArrayInTable(Scope3_SourceData.Scope3_Feed_Data(), Table_SourceData_Scope3_Feed[[#Headers],[Category]], -1, 2)</f>
        <v>kg</v>
      </c>
      <c r="H97" s="10" cm="1">
        <f t="array" ref="H97">Common_InputFunctions.Utility_DisplayArrayInTable(Scope3_SourceData.Scope3_Feed_Data(), Table_SourceData_Scope3_Feed[[#Headers],[Category]], -1, 2)</f>
        <v>0.23599999999999999</v>
      </c>
      <c r="I97" s="10" t="str" cm="1">
        <f t="array" ref="I97">Common_InputFunctions.Utility_DisplayArrayInTable(Scope3_SourceData.Scope3_Feed_Data(), Table_SourceData_Scope3_Feed[[#Headers],[Category]], -1, 2)</f>
        <v>at market</v>
      </c>
      <c r="J97" s="10" t="s">
        <v>912</v>
      </c>
      <c r="L97" s="10" t="s">
        <v>212</v>
      </c>
      <c r="M97" s="10" t="s">
        <v>380</v>
      </c>
      <c r="N97" s="8" t="str">
        <f>"Table_ProductRegions_" &amp; SUBSTITUTE(SUBSTITUTE(SUBSTITUTE(SUBSTITUTE(L98, " ", ""), ",", ""), "(", ""), ")", "")</f>
        <v>Table_ProductRegions_Maizegrain</v>
      </c>
      <c r="O97" s="10" t="str">
        <f>Table_SourceData_Scope3_Feed[[#This Row],[Product]]</f>
        <v>Barley grain</v>
      </c>
      <c r="P97" s="10" t="str">
        <f>Table_SourceData_Scope3_Feed[[#This Row],[Region of origin]]</f>
        <v>WA</v>
      </c>
    </row>
    <row r="98" spans="4:17" ht="20.100000000000001" customHeight="1" x14ac:dyDescent="0.25">
      <c r="D98" s="10" t="str" cm="1">
        <f t="array" ref="D98">Common_InputFunctions.Utility_DisplayArrayInTable(Scope3_SourceData.Scope3_Feed_Data(), Table_SourceData_Scope3_Feed[[#Headers],[Category]], -1, 2)</f>
        <v>Grain</v>
      </c>
      <c r="E98" s="10" t="str" cm="1">
        <f t="array" ref="E98">Common_InputFunctions.Utility_DisplayArrayInTable(Scope3_SourceData.Scope3_Feed_Data(), Table_SourceData_Scope3_Feed[[#Headers],[Category]], -1, 2)</f>
        <v>Maize grain</v>
      </c>
      <c r="F98" s="10" t="str" cm="1">
        <f t="array" ref="F98">Common_InputFunctions.Utility_DisplayArrayInTable(Scope3_SourceData.Scope3_Feed_Data(), Table_SourceData_Scope3_Feed[[#Headers],[Category]], -1, 2)</f>
        <v>Australia</v>
      </c>
      <c r="G98" s="10" t="str" cm="1">
        <f t="array" ref="G98">Common_InputFunctions.Utility_DisplayArrayInTable(Scope3_SourceData.Scope3_Feed_Data(), Table_SourceData_Scope3_Feed[[#Headers],[Category]], -1, 2)</f>
        <v>kg</v>
      </c>
      <c r="H98" s="10" cm="1">
        <f t="array" ref="H98">Common_InputFunctions.Utility_DisplayArrayInTable(Scope3_SourceData.Scope3_Feed_Data(), Table_SourceData_Scope3_Feed[[#Headers],[Category]], -1, 2)</f>
        <v>0.18099999999999999</v>
      </c>
      <c r="I98" s="10" t="str" cm="1">
        <f t="array" ref="I98">Common_InputFunctions.Utility_DisplayArrayInTable(Scope3_SourceData.Scope3_Feed_Data(), Table_SourceData_Scope3_Feed[[#Headers],[Category]], -1, 2)</f>
        <v>at market</v>
      </c>
      <c r="J98" s="10" t="s">
        <v>912</v>
      </c>
      <c r="L98" s="10" t="str">
        <f>Table_SourceData_Scope3_Feed[[#This Row],[Product]]</f>
        <v>Maize grain</v>
      </c>
      <c r="M98" s="10" t="str">
        <f>Table_SourceData_Scope3_Feed[[#This Row],[Region of origin]]</f>
        <v>Australia</v>
      </c>
    </row>
    <row r="99" spans="4:17" ht="20.100000000000001" customHeight="1" x14ac:dyDescent="0.25">
      <c r="D99" s="10" t="str" cm="1">
        <f t="array" ref="D99">Common_InputFunctions.Utility_DisplayArrayInTable(Scope3_SourceData.Scope3_Feed_Data(), Table_SourceData_Scope3_Feed[[#Headers],[Category]], -1, 2)</f>
        <v>Grain</v>
      </c>
      <c r="E99" s="10" t="str" cm="1">
        <f t="array" ref="E99">Common_InputFunctions.Utility_DisplayArrayInTable(Scope3_SourceData.Scope3_Feed_Data(), Table_SourceData_Scope3_Feed[[#Headers],[Category]], -1, 2)</f>
        <v>Maize grain</v>
      </c>
      <c r="F99" s="10" t="str" cm="1">
        <f t="array" ref="F99">Common_InputFunctions.Utility_DisplayArrayInTable(Scope3_SourceData.Scope3_Feed_Data(), Table_SourceData_Scope3_Feed[[#Headers],[Category]], -1, 2)</f>
        <v>NSW</v>
      </c>
      <c r="G99" s="10" t="str" cm="1">
        <f t="array" ref="G99">Common_InputFunctions.Utility_DisplayArrayInTable(Scope3_SourceData.Scope3_Feed_Data(), Table_SourceData_Scope3_Feed[[#Headers],[Category]], -1, 2)</f>
        <v>kg</v>
      </c>
      <c r="H99" s="10" cm="1">
        <f t="array" ref="H99">Common_InputFunctions.Utility_DisplayArrayInTable(Scope3_SourceData.Scope3_Feed_Data(), Table_SourceData_Scope3_Feed[[#Headers],[Category]], -1, 2)</f>
        <v>0.16900000000000001</v>
      </c>
      <c r="I99" s="10" t="str" cm="1">
        <f t="array" ref="I99">Common_InputFunctions.Utility_DisplayArrayInTable(Scope3_SourceData.Scope3_Feed_Data(), Table_SourceData_Scope3_Feed[[#Headers],[Category]], -1, 2)</f>
        <v>at market</v>
      </c>
      <c r="J99" s="10" t="s">
        <v>912</v>
      </c>
      <c r="L99" s="10" t="str">
        <f>Table_SourceData_Scope3_Feed[[#This Row],[Product]]</f>
        <v>Maize grain</v>
      </c>
      <c r="M99" s="10" t="str">
        <f>Table_SourceData_Scope3_Feed[[#This Row],[Region of origin]]</f>
        <v>NSW</v>
      </c>
    </row>
    <row r="100" spans="4:17" ht="20.100000000000001" customHeight="1" x14ac:dyDescent="0.25">
      <c r="D100" s="10" t="str" cm="1">
        <f t="array" ref="D100">Common_InputFunctions.Utility_DisplayArrayInTable(Scope3_SourceData.Scope3_Feed_Data(), Table_SourceData_Scope3_Feed[[#Headers],[Category]], -1, 2)</f>
        <v>Grain</v>
      </c>
      <c r="E100" s="10" t="str" cm="1">
        <f t="array" ref="E100">Common_InputFunctions.Utility_DisplayArrayInTable(Scope3_SourceData.Scope3_Feed_Data(), Table_SourceData_Scope3_Feed[[#Headers],[Category]], -1, 2)</f>
        <v>Maize grain</v>
      </c>
      <c r="F100" s="10" t="str" cm="1">
        <f t="array" ref="F100">Common_InputFunctions.Utility_DisplayArrayInTable(Scope3_SourceData.Scope3_Feed_Data(), Table_SourceData_Scope3_Feed[[#Headers],[Category]], -1, 2)</f>
        <v>NT</v>
      </c>
      <c r="G100" s="10" t="str" cm="1">
        <f t="array" ref="G100">Common_InputFunctions.Utility_DisplayArrayInTable(Scope3_SourceData.Scope3_Feed_Data(), Table_SourceData_Scope3_Feed[[#Headers],[Category]], -1, 2)</f>
        <v>kg</v>
      </c>
      <c r="H100" s="10" cm="1">
        <f t="array" ref="H100">Common_InputFunctions.Utility_DisplayArrayInTable(Scope3_SourceData.Scope3_Feed_Data(), Table_SourceData_Scope3_Feed[[#Headers],[Category]], -1, 2)</f>
        <v>0.25600000000000001</v>
      </c>
      <c r="I100" s="10" t="str" cm="1">
        <f t="array" ref="I100">Common_InputFunctions.Utility_DisplayArrayInTable(Scope3_SourceData.Scope3_Feed_Data(), Table_SourceData_Scope3_Feed[[#Headers],[Category]], -1, 2)</f>
        <v>at market</v>
      </c>
      <c r="J100" s="10" t="s">
        <v>912</v>
      </c>
      <c r="L100" s="10" t="str">
        <f>Table_SourceData_Scope3_Feed[[#This Row],[Product]]</f>
        <v>Maize grain</v>
      </c>
      <c r="M100" s="10" t="str">
        <f>Table_SourceData_Scope3_Feed[[#This Row],[Region of origin]]</f>
        <v>NT</v>
      </c>
    </row>
    <row r="101" spans="4:17" ht="20.100000000000001" customHeight="1" x14ac:dyDescent="0.25">
      <c r="D101" s="10" t="str" cm="1">
        <f t="array" ref="D101">Common_InputFunctions.Utility_DisplayArrayInTable(Scope3_SourceData.Scope3_Feed_Data(), Table_SourceData_Scope3_Feed[[#Headers],[Category]], -1, 2)</f>
        <v>Grain</v>
      </c>
      <c r="E101" s="10" t="str" cm="1">
        <f t="array" ref="E101">Common_InputFunctions.Utility_DisplayArrayInTable(Scope3_SourceData.Scope3_Feed_Data(), Table_SourceData_Scope3_Feed[[#Headers],[Category]], -1, 2)</f>
        <v>Maize grain</v>
      </c>
      <c r="F101" s="10" t="str" cm="1">
        <f t="array" ref="F101">Common_InputFunctions.Utility_DisplayArrayInTable(Scope3_SourceData.Scope3_Feed_Data(), Table_SourceData_Scope3_Feed[[#Headers],[Category]], -1, 2)</f>
        <v>QLD</v>
      </c>
      <c r="G101" s="10" t="str" cm="1">
        <f t="array" ref="G101">Common_InputFunctions.Utility_DisplayArrayInTable(Scope3_SourceData.Scope3_Feed_Data(), Table_SourceData_Scope3_Feed[[#Headers],[Category]], -1, 2)</f>
        <v>kg</v>
      </c>
      <c r="H101" s="10" cm="1">
        <f t="array" ref="H101">Common_InputFunctions.Utility_DisplayArrayInTable(Scope3_SourceData.Scope3_Feed_Data(), Table_SourceData_Scope3_Feed[[#Headers],[Category]], -1, 2)</f>
        <v>0.186</v>
      </c>
      <c r="I101" s="10" t="str" cm="1">
        <f t="array" ref="I101">Common_InputFunctions.Utility_DisplayArrayInTable(Scope3_SourceData.Scope3_Feed_Data(), Table_SourceData_Scope3_Feed[[#Headers],[Category]], -1, 2)</f>
        <v>at market</v>
      </c>
      <c r="J101" s="10" t="s">
        <v>912</v>
      </c>
      <c r="L101" s="10" t="str">
        <f>Table_SourceData_Scope3_Feed[[#This Row],[Product]]</f>
        <v>Maize grain</v>
      </c>
      <c r="M101" s="10" t="str">
        <f>Table_SourceData_Scope3_Feed[[#This Row],[Region of origin]]</f>
        <v>QLD</v>
      </c>
    </row>
    <row r="102" spans="4:17" ht="20.100000000000001" customHeight="1" x14ac:dyDescent="0.25">
      <c r="D102" s="10" t="str" cm="1">
        <f t="array" ref="D102">Common_InputFunctions.Utility_DisplayArrayInTable(Scope3_SourceData.Scope3_Feed_Data(), Table_SourceData_Scope3_Feed[[#Headers],[Category]], -1, 2)</f>
        <v>Grain</v>
      </c>
      <c r="E102" s="10" t="str" cm="1">
        <f t="array" ref="E102">Common_InputFunctions.Utility_DisplayArrayInTable(Scope3_SourceData.Scope3_Feed_Data(), Table_SourceData_Scope3_Feed[[#Headers],[Category]], -1, 2)</f>
        <v>Maize grain</v>
      </c>
      <c r="F102" s="10" t="str" cm="1">
        <f t="array" ref="F102">Common_InputFunctions.Utility_DisplayArrayInTable(Scope3_SourceData.Scope3_Feed_Data(), Table_SourceData_Scope3_Feed[[#Headers],[Category]], -1, 2)</f>
        <v>SA</v>
      </c>
      <c r="G102" s="10" t="str" cm="1">
        <f t="array" ref="G102">Common_InputFunctions.Utility_DisplayArrayInTable(Scope3_SourceData.Scope3_Feed_Data(), Table_SourceData_Scope3_Feed[[#Headers],[Category]], -1, 2)</f>
        <v>kg</v>
      </c>
      <c r="H102" s="10" cm="1">
        <f t="array" ref="H102">Common_InputFunctions.Utility_DisplayArrayInTable(Scope3_SourceData.Scope3_Feed_Data(), Table_SourceData_Scope3_Feed[[#Headers],[Category]], -1, 2)</f>
        <v>0.17599999999999999</v>
      </c>
      <c r="I102" s="10" t="str" cm="1">
        <f t="array" ref="I102">Common_InputFunctions.Utility_DisplayArrayInTable(Scope3_SourceData.Scope3_Feed_Data(), Table_SourceData_Scope3_Feed[[#Headers],[Category]], -1, 2)</f>
        <v>at market</v>
      </c>
      <c r="J102" s="10" t="s">
        <v>912</v>
      </c>
      <c r="L102" s="10" t="str">
        <f>Table_SourceData_Scope3_Feed[[#This Row],[Product]]</f>
        <v>Maize grain</v>
      </c>
      <c r="M102" s="10" t="str">
        <f>Table_SourceData_Scope3_Feed[[#This Row],[Region of origin]]</f>
        <v>SA</v>
      </c>
    </row>
    <row r="103" spans="4:17" ht="20.100000000000001" customHeight="1" x14ac:dyDescent="0.25">
      <c r="D103" s="10" t="str" cm="1">
        <f t="array" ref="D103">Common_InputFunctions.Utility_DisplayArrayInTable(Scope3_SourceData.Scope3_Feed_Data(), Table_SourceData_Scope3_Feed[[#Headers],[Category]], -1, 2)</f>
        <v>Grain</v>
      </c>
      <c r="E103" s="10" t="str" cm="1">
        <f t="array" ref="E103">Common_InputFunctions.Utility_DisplayArrayInTable(Scope3_SourceData.Scope3_Feed_Data(), Table_SourceData_Scope3_Feed[[#Headers],[Category]], -1, 2)</f>
        <v>Maize grain</v>
      </c>
      <c r="F103" s="10" t="str" cm="1">
        <f t="array" ref="F103">Common_InputFunctions.Utility_DisplayArrayInTable(Scope3_SourceData.Scope3_Feed_Data(), Table_SourceData_Scope3_Feed[[#Headers],[Category]], -1, 2)</f>
        <v>VIC</v>
      </c>
      <c r="G103" s="10" t="str" cm="1">
        <f t="array" ref="G103">Common_InputFunctions.Utility_DisplayArrayInTable(Scope3_SourceData.Scope3_Feed_Data(), Table_SourceData_Scope3_Feed[[#Headers],[Category]], -1, 2)</f>
        <v>kg</v>
      </c>
      <c r="H103" s="10" cm="1">
        <f t="array" ref="H103">Common_InputFunctions.Utility_DisplayArrayInTable(Scope3_SourceData.Scope3_Feed_Data(), Table_SourceData_Scope3_Feed[[#Headers],[Category]], -1, 2)</f>
        <v>0.159</v>
      </c>
      <c r="I103" s="10" t="str" cm="1">
        <f t="array" ref="I103">Common_InputFunctions.Utility_DisplayArrayInTable(Scope3_SourceData.Scope3_Feed_Data(), Table_SourceData_Scope3_Feed[[#Headers],[Category]], -1, 2)</f>
        <v>at market</v>
      </c>
      <c r="J103" s="10" t="s">
        <v>912</v>
      </c>
      <c r="L103" s="10" t="str">
        <f>Table_SourceData_Scope3_Feed[[#This Row],[Product]]</f>
        <v>Maize grain</v>
      </c>
      <c r="M103" s="10" t="str">
        <f>Table_SourceData_Scope3_Feed[[#This Row],[Region of origin]]</f>
        <v>VIC</v>
      </c>
    </row>
    <row r="104" spans="4:17" ht="20.100000000000001" customHeight="1" x14ac:dyDescent="0.25">
      <c r="D104" s="10" t="str" cm="1">
        <f t="array" ref="D104">Common_InputFunctions.Utility_DisplayArrayInTable(Scope3_SourceData.Scope3_Feed_Data(), Table_SourceData_Scope3_Feed[[#Headers],[Category]], -1, 2)</f>
        <v>Grain</v>
      </c>
      <c r="E104" s="10" t="str" cm="1">
        <f t="array" ref="E104">Common_InputFunctions.Utility_DisplayArrayInTable(Scope3_SourceData.Scope3_Feed_Data(), Table_SourceData_Scope3_Feed[[#Headers],[Category]], -1, 2)</f>
        <v>Maize grain</v>
      </c>
      <c r="F104" s="10" t="str" cm="1">
        <f t="array" ref="F104">Common_InputFunctions.Utility_DisplayArrayInTable(Scope3_SourceData.Scope3_Feed_Data(), Table_SourceData_Scope3_Feed[[#Headers],[Category]], -1, 2)</f>
        <v>WA</v>
      </c>
      <c r="G104" s="10" t="str" cm="1">
        <f t="array" ref="G104">Common_InputFunctions.Utility_DisplayArrayInTable(Scope3_SourceData.Scope3_Feed_Data(), Table_SourceData_Scope3_Feed[[#Headers],[Category]], -1, 2)</f>
        <v>kg</v>
      </c>
      <c r="H104" s="10" cm="1">
        <f t="array" ref="H104">Common_InputFunctions.Utility_DisplayArrayInTable(Scope3_SourceData.Scope3_Feed_Data(), Table_SourceData_Scope3_Feed[[#Headers],[Category]], -1, 2)</f>
        <v>0.28499999999999998</v>
      </c>
      <c r="I104" s="10" t="str" cm="1">
        <f t="array" ref="I104">Common_InputFunctions.Utility_DisplayArrayInTable(Scope3_SourceData.Scope3_Feed_Data(), Table_SourceData_Scope3_Feed[[#Headers],[Category]], -1, 2)</f>
        <v>at market</v>
      </c>
      <c r="J104" s="10" t="s">
        <v>912</v>
      </c>
      <c r="L104" s="10" t="str">
        <f>Table_SourceData_Scope3_Feed[[#This Row],[Product]]</f>
        <v>Maize grain</v>
      </c>
      <c r="M104" s="10" t="str">
        <f>Table_SourceData_Scope3_Feed[[#This Row],[Region of origin]]</f>
        <v>WA</v>
      </c>
      <c r="O104" s="10" t="s">
        <v>212</v>
      </c>
      <c r="P104" s="10" t="s">
        <v>380</v>
      </c>
      <c r="Q104" s="8" t="str">
        <f>"Table_ProductRegions_" &amp; SUBSTITUTE(SUBSTITUTE(SUBSTITUTE(SUBSTITUTE(O105, " ", ""), ",", ""), "(", ""), ")", "")</f>
        <v>Table_ProductRegions_Sorghumgrain</v>
      </c>
    </row>
    <row r="105" spans="4:17" ht="20.100000000000001" customHeight="1" x14ac:dyDescent="0.25">
      <c r="D105" s="10" t="str" cm="1">
        <f t="array" ref="D105">Common_InputFunctions.Utility_DisplayArrayInTable(Scope3_SourceData.Scope3_Feed_Data(), Table_SourceData_Scope3_Feed[[#Headers],[Category]], -1, 2)</f>
        <v>Grain</v>
      </c>
      <c r="E105" s="10" t="str" cm="1">
        <f t="array" ref="E105">Common_InputFunctions.Utility_DisplayArrayInTable(Scope3_SourceData.Scope3_Feed_Data(), Table_SourceData_Scope3_Feed[[#Headers],[Category]], -1, 2)</f>
        <v>Sorghum grain</v>
      </c>
      <c r="F105" s="10" t="str" cm="1">
        <f t="array" ref="F105">Common_InputFunctions.Utility_DisplayArrayInTable(Scope3_SourceData.Scope3_Feed_Data(), Table_SourceData_Scope3_Feed[[#Headers],[Category]], -1, 2)</f>
        <v>Australia</v>
      </c>
      <c r="G105" s="10" t="str" cm="1">
        <f t="array" ref="G105">Common_InputFunctions.Utility_DisplayArrayInTable(Scope3_SourceData.Scope3_Feed_Data(), Table_SourceData_Scope3_Feed[[#Headers],[Category]], -1, 2)</f>
        <v>kg</v>
      </c>
      <c r="H105" s="10" cm="1">
        <f t="array" ref="H105">Common_InputFunctions.Utility_DisplayArrayInTable(Scope3_SourceData.Scope3_Feed_Data(), Table_SourceData_Scope3_Feed[[#Headers],[Category]], -1, 2)</f>
        <v>0.23200000000000001</v>
      </c>
      <c r="I105" s="10" t="str" cm="1">
        <f t="array" ref="I105">Common_InputFunctions.Utility_DisplayArrayInTable(Scope3_SourceData.Scope3_Feed_Data(), Table_SourceData_Scope3_Feed[[#Headers],[Category]], -1, 2)</f>
        <v>at market</v>
      </c>
      <c r="J105" s="10" t="s">
        <v>912</v>
      </c>
      <c r="O105" s="10" t="str">
        <f>Table_SourceData_Scope3_Feed[[#This Row],[Product]]</f>
        <v>Sorghum grain</v>
      </c>
      <c r="P105" s="10" t="str">
        <f>Table_SourceData_Scope3_Feed[[#This Row],[Region of origin]]</f>
        <v>Australia</v>
      </c>
    </row>
    <row r="106" spans="4:17" ht="20.100000000000001" customHeight="1" x14ac:dyDescent="0.25">
      <c r="D106" s="10" t="str" cm="1">
        <f t="array" ref="D106">Common_InputFunctions.Utility_DisplayArrayInTable(Scope3_SourceData.Scope3_Feed_Data(), Table_SourceData_Scope3_Feed[[#Headers],[Category]], -1, 2)</f>
        <v>Grain</v>
      </c>
      <c r="E106" s="10" t="str" cm="1">
        <f t="array" ref="E106">Common_InputFunctions.Utility_DisplayArrayInTable(Scope3_SourceData.Scope3_Feed_Data(), Table_SourceData_Scope3_Feed[[#Headers],[Category]], -1, 2)</f>
        <v>Sorghum grain</v>
      </c>
      <c r="F106" s="10" t="str" cm="1">
        <f t="array" ref="F106">Common_InputFunctions.Utility_DisplayArrayInTable(Scope3_SourceData.Scope3_Feed_Data(), Table_SourceData_Scope3_Feed[[#Headers],[Category]], -1, 2)</f>
        <v>NSW</v>
      </c>
      <c r="G106" s="10" t="str" cm="1">
        <f t="array" ref="G106">Common_InputFunctions.Utility_DisplayArrayInTable(Scope3_SourceData.Scope3_Feed_Data(), Table_SourceData_Scope3_Feed[[#Headers],[Category]], -1, 2)</f>
        <v>kg</v>
      </c>
      <c r="H106" s="10" cm="1">
        <f t="array" ref="H106">Common_InputFunctions.Utility_DisplayArrayInTable(Scope3_SourceData.Scope3_Feed_Data(), Table_SourceData_Scope3_Feed[[#Headers],[Category]], -1, 2)</f>
        <v>0.23200000000000001</v>
      </c>
      <c r="I106" s="10" t="str" cm="1">
        <f t="array" ref="I106">Common_InputFunctions.Utility_DisplayArrayInTable(Scope3_SourceData.Scope3_Feed_Data(), Table_SourceData_Scope3_Feed[[#Headers],[Category]], -1, 2)</f>
        <v>at market</v>
      </c>
      <c r="J106" s="10" t="s">
        <v>912</v>
      </c>
      <c r="O106" s="10" t="str">
        <f>Table_SourceData_Scope3_Feed[[#This Row],[Product]]</f>
        <v>Sorghum grain</v>
      </c>
      <c r="P106" s="10" t="str">
        <f>Table_SourceData_Scope3_Feed[[#This Row],[Region of origin]]</f>
        <v>NSW</v>
      </c>
    </row>
    <row r="107" spans="4:17" ht="20.100000000000001" customHeight="1" x14ac:dyDescent="0.25">
      <c r="D107" s="10" t="str" cm="1">
        <f t="array" ref="D107">Common_InputFunctions.Utility_DisplayArrayInTable(Scope3_SourceData.Scope3_Feed_Data(), Table_SourceData_Scope3_Feed[[#Headers],[Category]], -1, 2)</f>
        <v>Grain</v>
      </c>
      <c r="E107" s="10" t="str" cm="1">
        <f t="array" ref="E107">Common_InputFunctions.Utility_DisplayArrayInTable(Scope3_SourceData.Scope3_Feed_Data(), Table_SourceData_Scope3_Feed[[#Headers],[Category]], -1, 2)</f>
        <v>Sorghum grain</v>
      </c>
      <c r="F107" s="10" t="str" cm="1">
        <f t="array" ref="F107">Common_InputFunctions.Utility_DisplayArrayInTable(Scope3_SourceData.Scope3_Feed_Data(), Table_SourceData_Scope3_Feed[[#Headers],[Category]], -1, 2)</f>
        <v>QLD</v>
      </c>
      <c r="G107" s="10" t="str" cm="1">
        <f t="array" ref="G107">Common_InputFunctions.Utility_DisplayArrayInTable(Scope3_SourceData.Scope3_Feed_Data(), Table_SourceData_Scope3_Feed[[#Headers],[Category]], -1, 2)</f>
        <v>kg</v>
      </c>
      <c r="H107" s="10" cm="1">
        <f t="array" ref="H107">Common_InputFunctions.Utility_DisplayArrayInTable(Scope3_SourceData.Scope3_Feed_Data(), Table_SourceData_Scope3_Feed[[#Headers],[Category]], -1, 2)</f>
        <v>0.23100000000000001</v>
      </c>
      <c r="I107" s="10" t="str" cm="1">
        <f t="array" ref="I107">Common_InputFunctions.Utility_DisplayArrayInTable(Scope3_SourceData.Scope3_Feed_Data(), Table_SourceData_Scope3_Feed[[#Headers],[Category]], -1, 2)</f>
        <v>at market</v>
      </c>
      <c r="J107" s="10" t="s">
        <v>912</v>
      </c>
      <c r="O107" s="10" t="str">
        <f>Table_SourceData_Scope3_Feed[[#This Row],[Product]]</f>
        <v>Sorghum grain</v>
      </c>
      <c r="P107" s="10" t="str">
        <f>Table_SourceData_Scope3_Feed[[#This Row],[Region of origin]]</f>
        <v>QLD</v>
      </c>
    </row>
    <row r="108" spans="4:17" ht="20.100000000000001" customHeight="1" x14ac:dyDescent="0.25">
      <c r="D108" s="10" t="str" cm="1">
        <f t="array" ref="D108">Common_InputFunctions.Utility_DisplayArrayInTable(Scope3_SourceData.Scope3_Feed_Data(), Table_SourceData_Scope3_Feed[[#Headers],[Category]], -1, 2)</f>
        <v>Grain</v>
      </c>
      <c r="E108" s="10" t="str" cm="1">
        <f t="array" ref="E108">Common_InputFunctions.Utility_DisplayArrayInTable(Scope3_SourceData.Scope3_Feed_Data(), Table_SourceData_Scope3_Feed[[#Headers],[Category]], -1, 2)</f>
        <v>Sorghum grain</v>
      </c>
      <c r="F108" s="10" t="str" cm="1">
        <f t="array" ref="F108">Common_InputFunctions.Utility_DisplayArrayInTable(Scope3_SourceData.Scope3_Feed_Data(), Table_SourceData_Scope3_Feed[[#Headers],[Category]], -1, 2)</f>
        <v>SA</v>
      </c>
      <c r="G108" s="10" t="str" cm="1">
        <f t="array" ref="G108">Common_InputFunctions.Utility_DisplayArrayInTable(Scope3_SourceData.Scope3_Feed_Data(), Table_SourceData_Scope3_Feed[[#Headers],[Category]], -1, 2)</f>
        <v>kg</v>
      </c>
      <c r="H108" s="10" cm="1">
        <f t="array" ref="H108">Common_InputFunctions.Utility_DisplayArrayInTable(Scope3_SourceData.Scope3_Feed_Data(), Table_SourceData_Scope3_Feed[[#Headers],[Category]], -1, 2)</f>
        <v>0.218</v>
      </c>
      <c r="I108" s="10" t="str" cm="1">
        <f t="array" ref="I108">Common_InputFunctions.Utility_DisplayArrayInTable(Scope3_SourceData.Scope3_Feed_Data(), Table_SourceData_Scope3_Feed[[#Headers],[Category]], -1, 2)</f>
        <v>at market</v>
      </c>
      <c r="J108" s="10" t="s">
        <v>912</v>
      </c>
      <c r="O108" s="10" t="str">
        <f>Table_SourceData_Scope3_Feed[[#This Row],[Product]]</f>
        <v>Sorghum grain</v>
      </c>
      <c r="P108" s="10" t="str">
        <f>Table_SourceData_Scope3_Feed[[#This Row],[Region of origin]]</f>
        <v>SA</v>
      </c>
    </row>
    <row r="109" spans="4:17" ht="20.100000000000001" customHeight="1" x14ac:dyDescent="0.25">
      <c r="D109" s="10" t="str" cm="1">
        <f t="array" ref="D109">Common_InputFunctions.Utility_DisplayArrayInTable(Scope3_SourceData.Scope3_Feed_Data(), Table_SourceData_Scope3_Feed[[#Headers],[Category]], -1, 2)</f>
        <v>Grain</v>
      </c>
      <c r="E109" s="10" t="str" cm="1">
        <f t="array" ref="E109">Common_InputFunctions.Utility_DisplayArrayInTable(Scope3_SourceData.Scope3_Feed_Data(), Table_SourceData_Scope3_Feed[[#Headers],[Category]], -1, 2)</f>
        <v>Sorghum grain</v>
      </c>
      <c r="F109" s="10" t="str" cm="1">
        <f t="array" ref="F109">Common_InputFunctions.Utility_DisplayArrayInTable(Scope3_SourceData.Scope3_Feed_Data(), Table_SourceData_Scope3_Feed[[#Headers],[Category]], -1, 2)</f>
        <v>VIC</v>
      </c>
      <c r="G109" s="10" t="str" cm="1">
        <f t="array" ref="G109">Common_InputFunctions.Utility_DisplayArrayInTable(Scope3_SourceData.Scope3_Feed_Data(), Table_SourceData_Scope3_Feed[[#Headers],[Category]], -1, 2)</f>
        <v>kg</v>
      </c>
      <c r="H109" s="10" cm="1">
        <f t="array" ref="H109">Common_InputFunctions.Utility_DisplayArrayInTable(Scope3_SourceData.Scope3_Feed_Data(), Table_SourceData_Scope3_Feed[[#Headers],[Category]], -1, 2)</f>
        <v>0.246</v>
      </c>
      <c r="I109" s="10" t="str" cm="1">
        <f t="array" ref="I109">Common_InputFunctions.Utility_DisplayArrayInTable(Scope3_SourceData.Scope3_Feed_Data(), Table_SourceData_Scope3_Feed[[#Headers],[Category]], -1, 2)</f>
        <v>at market</v>
      </c>
      <c r="J109" s="10" t="s">
        <v>912</v>
      </c>
      <c r="L109" s="10" t="s">
        <v>212</v>
      </c>
      <c r="M109" s="10" t="s">
        <v>380</v>
      </c>
      <c r="N109" s="8" t="str">
        <f>"Table_ProductRegions_" &amp; SUBSTITUTE(SUBSTITUTE(SUBSTITUTE(SUBSTITUTE(L110, " ", ""), ",", ""), "(", ""), ")", "")</f>
        <v>Table_ProductRegions_Wheatgrain</v>
      </c>
      <c r="O109" s="10" t="str">
        <f>Table_SourceData_Scope3_Feed[[#This Row],[Product]]</f>
        <v>Sorghum grain</v>
      </c>
      <c r="P109" s="10" t="str">
        <f>Table_SourceData_Scope3_Feed[[#This Row],[Region of origin]]</f>
        <v>VIC</v>
      </c>
    </row>
    <row r="110" spans="4:17" ht="20.100000000000001" customHeight="1" x14ac:dyDescent="0.25">
      <c r="D110" s="10" t="str" cm="1">
        <f t="array" ref="D110">Common_InputFunctions.Utility_DisplayArrayInTable(Scope3_SourceData.Scope3_Feed_Data(), Table_SourceData_Scope3_Feed[[#Headers],[Category]], -1, 2)</f>
        <v>Grain</v>
      </c>
      <c r="E110" s="10" t="str" cm="1">
        <f t="array" ref="E110">Common_InputFunctions.Utility_DisplayArrayInTable(Scope3_SourceData.Scope3_Feed_Data(), Table_SourceData_Scope3_Feed[[#Headers],[Category]], -1, 2)</f>
        <v>Wheat grain</v>
      </c>
      <c r="F110" s="10" t="str" cm="1">
        <f t="array" ref="F110">Common_InputFunctions.Utility_DisplayArrayInTable(Scope3_SourceData.Scope3_Feed_Data(), Table_SourceData_Scope3_Feed[[#Headers],[Category]], -1, 2)</f>
        <v>Australia</v>
      </c>
      <c r="G110" s="10" t="str" cm="1">
        <f t="array" ref="G110">Common_InputFunctions.Utility_DisplayArrayInTable(Scope3_SourceData.Scope3_Feed_Data(), Table_SourceData_Scope3_Feed[[#Headers],[Category]], -1, 2)</f>
        <v>kg</v>
      </c>
      <c r="H110" s="10" cm="1">
        <f t="array" ref="H110">Common_InputFunctions.Utility_DisplayArrayInTable(Scope3_SourceData.Scope3_Feed_Data(), Table_SourceData_Scope3_Feed[[#Headers],[Category]], -1, 2)</f>
        <v>0.26800000000000002</v>
      </c>
      <c r="I110" s="10" t="str" cm="1">
        <f t="array" ref="I110">Common_InputFunctions.Utility_DisplayArrayInTable(Scope3_SourceData.Scope3_Feed_Data(), Table_SourceData_Scope3_Feed[[#Headers],[Category]], -1, 2)</f>
        <v>at market</v>
      </c>
      <c r="J110" s="10" t="s">
        <v>912</v>
      </c>
      <c r="L110" s="10" t="str">
        <f>Table_SourceData_Scope3_Feed[[#This Row],[Product]]</f>
        <v>Wheat grain</v>
      </c>
      <c r="M110" s="10" t="str">
        <f>Table_SourceData_Scope3_Feed[[#This Row],[Region of origin]]</f>
        <v>Australia</v>
      </c>
    </row>
    <row r="111" spans="4:17" ht="20.100000000000001" customHeight="1" x14ac:dyDescent="0.25">
      <c r="D111" s="10" t="str" cm="1">
        <f t="array" ref="D111">Common_InputFunctions.Utility_DisplayArrayInTable(Scope3_SourceData.Scope3_Feed_Data(), Table_SourceData_Scope3_Feed[[#Headers],[Category]], -1, 2)</f>
        <v>Grain</v>
      </c>
      <c r="E111" s="10" t="str" cm="1">
        <f t="array" ref="E111">Common_InputFunctions.Utility_DisplayArrayInTable(Scope3_SourceData.Scope3_Feed_Data(), Table_SourceData_Scope3_Feed[[#Headers],[Category]], -1, 2)</f>
        <v>Wheat grain</v>
      </c>
      <c r="F111" s="10" t="str" cm="1">
        <f t="array" ref="F111">Common_InputFunctions.Utility_DisplayArrayInTable(Scope3_SourceData.Scope3_Feed_Data(), Table_SourceData_Scope3_Feed[[#Headers],[Category]], -1, 2)</f>
        <v>NSW</v>
      </c>
      <c r="G111" s="10" t="str" cm="1">
        <f t="array" ref="G111">Common_InputFunctions.Utility_DisplayArrayInTable(Scope3_SourceData.Scope3_Feed_Data(), Table_SourceData_Scope3_Feed[[#Headers],[Category]], -1, 2)</f>
        <v>kg</v>
      </c>
      <c r="H111" s="10" cm="1">
        <f t="array" ref="H111">Common_InputFunctions.Utility_DisplayArrayInTable(Scope3_SourceData.Scope3_Feed_Data(), Table_SourceData_Scope3_Feed[[#Headers],[Category]], -1, 2)</f>
        <v>0.28199999999999997</v>
      </c>
      <c r="I111" s="10" t="str" cm="1">
        <f t="array" ref="I111">Common_InputFunctions.Utility_DisplayArrayInTable(Scope3_SourceData.Scope3_Feed_Data(), Table_SourceData_Scope3_Feed[[#Headers],[Category]], -1, 2)</f>
        <v>at market</v>
      </c>
      <c r="J111" s="10" t="s">
        <v>912</v>
      </c>
      <c r="L111" s="10" t="str">
        <f>Table_SourceData_Scope3_Feed[[#This Row],[Product]]</f>
        <v>Wheat grain</v>
      </c>
      <c r="M111" s="10" t="str">
        <f>Table_SourceData_Scope3_Feed[[#This Row],[Region of origin]]</f>
        <v>NSW</v>
      </c>
    </row>
    <row r="112" spans="4:17" ht="20.100000000000001" customHeight="1" x14ac:dyDescent="0.25">
      <c r="D112" s="10" t="str" cm="1">
        <f t="array" ref="D112">Common_InputFunctions.Utility_DisplayArrayInTable(Scope3_SourceData.Scope3_Feed_Data(), Table_SourceData_Scope3_Feed[[#Headers],[Category]], -1, 2)</f>
        <v>Grain</v>
      </c>
      <c r="E112" s="10" t="str" cm="1">
        <f t="array" ref="E112">Common_InputFunctions.Utility_DisplayArrayInTable(Scope3_SourceData.Scope3_Feed_Data(), Table_SourceData_Scope3_Feed[[#Headers],[Category]], -1, 2)</f>
        <v>Wheat grain</v>
      </c>
      <c r="F112" s="10" t="str" cm="1">
        <f t="array" ref="F112">Common_InputFunctions.Utility_DisplayArrayInTable(Scope3_SourceData.Scope3_Feed_Data(), Table_SourceData_Scope3_Feed[[#Headers],[Category]], -1, 2)</f>
        <v>NT</v>
      </c>
      <c r="G112" s="10" t="str" cm="1">
        <f t="array" ref="G112">Common_InputFunctions.Utility_DisplayArrayInTable(Scope3_SourceData.Scope3_Feed_Data(), Table_SourceData_Scope3_Feed[[#Headers],[Category]], -1, 2)</f>
        <v>kg</v>
      </c>
      <c r="H112" s="10" cm="1">
        <f t="array" ref="H112">Common_InputFunctions.Utility_DisplayArrayInTable(Scope3_SourceData.Scope3_Feed_Data(), Table_SourceData_Scope3_Feed[[#Headers],[Category]], -1, 2)</f>
        <v>0.38500000000000001</v>
      </c>
      <c r="I112" s="10" t="str" cm="1">
        <f t="array" ref="I112">Common_InputFunctions.Utility_DisplayArrayInTable(Scope3_SourceData.Scope3_Feed_Data(), Table_SourceData_Scope3_Feed[[#Headers],[Category]], -1, 2)</f>
        <v>at market</v>
      </c>
      <c r="J112" s="10" t="s">
        <v>912</v>
      </c>
      <c r="L112" s="10" t="str">
        <f>Table_SourceData_Scope3_Feed[[#This Row],[Product]]</f>
        <v>Wheat grain</v>
      </c>
      <c r="M112" s="10" t="str">
        <f>Table_SourceData_Scope3_Feed[[#This Row],[Region of origin]]</f>
        <v>NT</v>
      </c>
    </row>
    <row r="113" spans="4:17" ht="20.100000000000001" customHeight="1" x14ac:dyDescent="0.25">
      <c r="D113" s="10" t="str" cm="1">
        <f t="array" ref="D113">Common_InputFunctions.Utility_DisplayArrayInTable(Scope3_SourceData.Scope3_Feed_Data(), Table_SourceData_Scope3_Feed[[#Headers],[Category]], -1, 2)</f>
        <v>Grain</v>
      </c>
      <c r="E113" s="10" t="str" cm="1">
        <f t="array" ref="E113">Common_InputFunctions.Utility_DisplayArrayInTable(Scope3_SourceData.Scope3_Feed_Data(), Table_SourceData_Scope3_Feed[[#Headers],[Category]], -1, 2)</f>
        <v>Wheat grain</v>
      </c>
      <c r="F113" s="10" t="str" cm="1">
        <f t="array" ref="F113">Common_InputFunctions.Utility_DisplayArrayInTable(Scope3_SourceData.Scope3_Feed_Data(), Table_SourceData_Scope3_Feed[[#Headers],[Category]], -1, 2)</f>
        <v>QLD</v>
      </c>
      <c r="G113" s="10" t="str" cm="1">
        <f t="array" ref="G113">Common_InputFunctions.Utility_DisplayArrayInTable(Scope3_SourceData.Scope3_Feed_Data(), Table_SourceData_Scope3_Feed[[#Headers],[Category]], -1, 2)</f>
        <v>kg</v>
      </c>
      <c r="H113" s="10" cm="1">
        <f t="array" ref="H113">Common_InputFunctions.Utility_DisplayArrayInTable(Scope3_SourceData.Scope3_Feed_Data(), Table_SourceData_Scope3_Feed[[#Headers],[Category]], -1, 2)</f>
        <v>0.29599999999999999</v>
      </c>
      <c r="I113" s="10" t="str" cm="1">
        <f t="array" ref="I113">Common_InputFunctions.Utility_DisplayArrayInTable(Scope3_SourceData.Scope3_Feed_Data(), Table_SourceData_Scope3_Feed[[#Headers],[Category]], -1, 2)</f>
        <v>at market</v>
      </c>
      <c r="J113" s="10" t="s">
        <v>912</v>
      </c>
      <c r="L113" s="10" t="str">
        <f>Table_SourceData_Scope3_Feed[[#This Row],[Product]]</f>
        <v>Wheat grain</v>
      </c>
      <c r="M113" s="10" t="str">
        <f>Table_SourceData_Scope3_Feed[[#This Row],[Region of origin]]</f>
        <v>QLD</v>
      </c>
    </row>
    <row r="114" spans="4:17" ht="20.100000000000001" customHeight="1" x14ac:dyDescent="0.25">
      <c r="D114" s="10" t="str" cm="1">
        <f t="array" ref="D114">Common_InputFunctions.Utility_DisplayArrayInTable(Scope3_SourceData.Scope3_Feed_Data(), Table_SourceData_Scope3_Feed[[#Headers],[Category]], -1, 2)</f>
        <v>Grain</v>
      </c>
      <c r="E114" s="10" t="str" cm="1">
        <f t="array" ref="E114">Common_InputFunctions.Utility_DisplayArrayInTable(Scope3_SourceData.Scope3_Feed_Data(), Table_SourceData_Scope3_Feed[[#Headers],[Category]], -1, 2)</f>
        <v>Wheat grain</v>
      </c>
      <c r="F114" s="10" t="str" cm="1">
        <f t="array" ref="F114">Common_InputFunctions.Utility_DisplayArrayInTable(Scope3_SourceData.Scope3_Feed_Data(), Table_SourceData_Scope3_Feed[[#Headers],[Category]], -1, 2)</f>
        <v>SA</v>
      </c>
      <c r="G114" s="10" t="str" cm="1">
        <f t="array" ref="G114">Common_InputFunctions.Utility_DisplayArrayInTable(Scope3_SourceData.Scope3_Feed_Data(), Table_SourceData_Scope3_Feed[[#Headers],[Category]], -1, 2)</f>
        <v>kg</v>
      </c>
      <c r="H114" s="10" cm="1">
        <f t="array" ref="H114">Common_InputFunctions.Utility_DisplayArrayInTable(Scope3_SourceData.Scope3_Feed_Data(), Table_SourceData_Scope3_Feed[[#Headers],[Category]], -1, 2)</f>
        <v>0.24099999999999999</v>
      </c>
      <c r="I114" s="10" t="str" cm="1">
        <f t="array" ref="I114">Common_InputFunctions.Utility_DisplayArrayInTable(Scope3_SourceData.Scope3_Feed_Data(), Table_SourceData_Scope3_Feed[[#Headers],[Category]], -1, 2)</f>
        <v>at market</v>
      </c>
      <c r="J114" s="10" t="s">
        <v>912</v>
      </c>
      <c r="L114" s="10" t="str">
        <f>Table_SourceData_Scope3_Feed[[#This Row],[Product]]</f>
        <v>Wheat grain</v>
      </c>
      <c r="M114" s="10" t="str">
        <f>Table_SourceData_Scope3_Feed[[#This Row],[Region of origin]]</f>
        <v>SA</v>
      </c>
    </row>
    <row r="115" spans="4:17" ht="20.100000000000001" customHeight="1" x14ac:dyDescent="0.25">
      <c r="D115" s="10" t="str" cm="1">
        <f t="array" ref="D115">Common_InputFunctions.Utility_DisplayArrayInTable(Scope3_SourceData.Scope3_Feed_Data(), Table_SourceData_Scope3_Feed[[#Headers],[Category]], -1, 2)</f>
        <v>Grain</v>
      </c>
      <c r="E115" s="10" t="str" cm="1">
        <f t="array" ref="E115">Common_InputFunctions.Utility_DisplayArrayInTable(Scope3_SourceData.Scope3_Feed_Data(), Table_SourceData_Scope3_Feed[[#Headers],[Category]], -1, 2)</f>
        <v>Wheat grain</v>
      </c>
      <c r="F115" s="10" t="str" cm="1">
        <f t="array" ref="F115">Common_InputFunctions.Utility_DisplayArrayInTable(Scope3_SourceData.Scope3_Feed_Data(), Table_SourceData_Scope3_Feed[[#Headers],[Category]], -1, 2)</f>
        <v>TAS</v>
      </c>
      <c r="G115" s="10" t="str" cm="1">
        <f t="array" ref="G115">Common_InputFunctions.Utility_DisplayArrayInTable(Scope3_SourceData.Scope3_Feed_Data(), Table_SourceData_Scope3_Feed[[#Headers],[Category]], -1, 2)</f>
        <v>kg</v>
      </c>
      <c r="H115" s="10" cm="1">
        <f t="array" ref="H115">Common_InputFunctions.Utility_DisplayArrayInTable(Scope3_SourceData.Scope3_Feed_Data(), Table_SourceData_Scope3_Feed[[#Headers],[Category]], -1, 2)</f>
        <v>0.33800000000000002</v>
      </c>
      <c r="I115" s="10" t="str" cm="1">
        <f t="array" ref="I115">Common_InputFunctions.Utility_DisplayArrayInTable(Scope3_SourceData.Scope3_Feed_Data(), Table_SourceData_Scope3_Feed[[#Headers],[Category]], -1, 2)</f>
        <v>at market</v>
      </c>
      <c r="J115" s="10" t="s">
        <v>912</v>
      </c>
      <c r="L115" s="10" t="str">
        <f>Table_SourceData_Scope3_Feed[[#This Row],[Product]]</f>
        <v>Wheat grain</v>
      </c>
      <c r="M115" s="10" t="str">
        <f>Table_SourceData_Scope3_Feed[[#This Row],[Region of origin]]</f>
        <v>TAS</v>
      </c>
    </row>
    <row r="116" spans="4:17" ht="20.100000000000001" customHeight="1" x14ac:dyDescent="0.25">
      <c r="D116" s="10" t="str" cm="1">
        <f t="array" ref="D116">Common_InputFunctions.Utility_DisplayArrayInTable(Scope3_SourceData.Scope3_Feed_Data(), Table_SourceData_Scope3_Feed[[#Headers],[Category]], -1, 2)</f>
        <v>Grain</v>
      </c>
      <c r="E116" s="10" t="str" cm="1">
        <f t="array" ref="E116">Common_InputFunctions.Utility_DisplayArrayInTable(Scope3_SourceData.Scope3_Feed_Data(), Table_SourceData_Scope3_Feed[[#Headers],[Category]], -1, 2)</f>
        <v>Wheat grain</v>
      </c>
      <c r="F116" s="10" t="str" cm="1">
        <f t="array" ref="F116">Common_InputFunctions.Utility_DisplayArrayInTable(Scope3_SourceData.Scope3_Feed_Data(), Table_SourceData_Scope3_Feed[[#Headers],[Category]], -1, 2)</f>
        <v>VIC</v>
      </c>
      <c r="G116" s="10" t="str" cm="1">
        <f t="array" ref="G116">Common_InputFunctions.Utility_DisplayArrayInTable(Scope3_SourceData.Scope3_Feed_Data(), Table_SourceData_Scope3_Feed[[#Headers],[Category]], -1, 2)</f>
        <v>kg</v>
      </c>
      <c r="H116" s="10" cm="1">
        <f t="array" ref="H116">Common_InputFunctions.Utility_DisplayArrayInTable(Scope3_SourceData.Scope3_Feed_Data(), Table_SourceData_Scope3_Feed[[#Headers],[Category]], -1, 2)</f>
        <v>0.26600000000000001</v>
      </c>
      <c r="I116" s="10" t="str" cm="1">
        <f t="array" ref="I116">Common_InputFunctions.Utility_DisplayArrayInTable(Scope3_SourceData.Scope3_Feed_Data(), Table_SourceData_Scope3_Feed[[#Headers],[Category]], -1, 2)</f>
        <v>at market</v>
      </c>
      <c r="J116" s="10" t="s">
        <v>912</v>
      </c>
      <c r="L116" s="10" t="str">
        <f>Table_SourceData_Scope3_Feed[[#This Row],[Product]]</f>
        <v>Wheat grain</v>
      </c>
      <c r="M116" s="10" t="str">
        <f>Table_SourceData_Scope3_Feed[[#This Row],[Region of origin]]</f>
        <v>VIC</v>
      </c>
    </row>
    <row r="117" spans="4:17" ht="20.100000000000001" customHeight="1" x14ac:dyDescent="0.25">
      <c r="D117" s="10" t="str" cm="1">
        <f t="array" ref="D117">Common_InputFunctions.Utility_DisplayArrayInTable(Scope3_SourceData.Scope3_Feed_Data(), Table_SourceData_Scope3_Feed[[#Headers],[Category]], -1, 2)</f>
        <v>Grain</v>
      </c>
      <c r="E117" s="10" t="str" cm="1">
        <f t="array" ref="E117">Common_InputFunctions.Utility_DisplayArrayInTable(Scope3_SourceData.Scope3_Feed_Data(), Table_SourceData_Scope3_Feed[[#Headers],[Category]], -1, 2)</f>
        <v>Wheat grain</v>
      </c>
      <c r="F117" s="10" t="str" cm="1">
        <f t="array" ref="F117">Common_InputFunctions.Utility_DisplayArrayInTable(Scope3_SourceData.Scope3_Feed_Data(), Table_SourceData_Scope3_Feed[[#Headers],[Category]], -1, 2)</f>
        <v>WA</v>
      </c>
      <c r="G117" s="10" t="str" cm="1">
        <f t="array" ref="G117">Common_InputFunctions.Utility_DisplayArrayInTable(Scope3_SourceData.Scope3_Feed_Data(), Table_SourceData_Scope3_Feed[[#Headers],[Category]], -1, 2)</f>
        <v>kg</v>
      </c>
      <c r="H117" s="10" cm="1">
        <f t="array" ref="H117">Common_InputFunctions.Utility_DisplayArrayInTable(Scope3_SourceData.Scope3_Feed_Data(), Table_SourceData_Scope3_Feed[[#Headers],[Category]], -1, 2)</f>
        <v>0.26100000000000001</v>
      </c>
      <c r="I117" s="10" t="str" cm="1">
        <f t="array" ref="I117">Common_InputFunctions.Utility_DisplayArrayInTable(Scope3_SourceData.Scope3_Feed_Data(), Table_SourceData_Scope3_Feed[[#Headers],[Category]], -1, 2)</f>
        <v>at market</v>
      </c>
      <c r="J117" s="10" t="s">
        <v>912</v>
      </c>
      <c r="L117" s="10" t="str">
        <f>Table_SourceData_Scope3_Feed[[#This Row],[Product]]</f>
        <v>Wheat grain</v>
      </c>
      <c r="M117" s="10" t="str">
        <f>Table_SourceData_Scope3_Feed[[#This Row],[Region of origin]]</f>
        <v>WA</v>
      </c>
      <c r="O117" s="10" t="s">
        <v>212</v>
      </c>
      <c r="P117" s="10" t="s">
        <v>380</v>
      </c>
      <c r="Q117" s="8" t="str">
        <f>"Table_ProductRegions_" &amp; SUBSTITUTE(SUBSTITUTE(SUBSTITUTE(SUBSTITUTE(O118, " ", ""), ",", ""), "(", ""), ")", "")</f>
        <v>Table_ProductRegions_Cerealhay</v>
      </c>
    </row>
    <row r="118" spans="4:17" ht="20.100000000000001" customHeight="1" x14ac:dyDescent="0.25">
      <c r="D118" s="10" t="str" cm="1">
        <f t="array" ref="D118">Common_InputFunctions.Utility_DisplayArrayInTable(Scope3_SourceData.Scope3_Feed_Data(), Table_SourceData_Scope3_Feed[[#Headers],[Category]], -1, 2)</f>
        <v>Hay</v>
      </c>
      <c r="E118" s="10" t="str" cm="1">
        <f t="array" ref="E118">Common_InputFunctions.Utility_DisplayArrayInTable(Scope3_SourceData.Scope3_Feed_Data(), Table_SourceData_Scope3_Feed[[#Headers],[Category]], -1, 2)</f>
        <v>Cereal hay</v>
      </c>
      <c r="F118" s="10" t="str" cm="1">
        <f t="array" ref="F118">Common_InputFunctions.Utility_DisplayArrayInTable(Scope3_SourceData.Scope3_Feed_Data(), Table_SourceData_Scope3_Feed[[#Headers],[Category]], -1, 2)</f>
        <v>Australia</v>
      </c>
      <c r="G118" s="10" t="str" cm="1">
        <f t="array" ref="G118">Common_InputFunctions.Utility_DisplayArrayInTable(Scope3_SourceData.Scope3_Feed_Data(), Table_SourceData_Scope3_Feed[[#Headers],[Category]], -1, 2)</f>
        <v>kg</v>
      </c>
      <c r="H118" s="10" cm="1">
        <f t="array" ref="H118">Common_InputFunctions.Utility_DisplayArrayInTable(Scope3_SourceData.Scope3_Feed_Data(), Table_SourceData_Scope3_Feed[[#Headers],[Category]], -1, 2)</f>
        <v>0.11700000000000001</v>
      </c>
      <c r="I118" s="10" t="str" cm="1">
        <f t="array" ref="I118">Common_InputFunctions.Utility_DisplayArrayInTable(Scope3_SourceData.Scope3_Feed_Data(), Table_SourceData_Scope3_Feed[[#Headers],[Category]], -1, 2)</f>
        <v>at market</v>
      </c>
      <c r="J118" s="10" t="s">
        <v>912</v>
      </c>
      <c r="O118" s="10" t="str">
        <f>Table_SourceData_Scope3_Feed[[#This Row],[Product]]</f>
        <v>Cereal hay</v>
      </c>
      <c r="P118" s="10" t="str">
        <f>Table_SourceData_Scope3_Feed[[#This Row],[Region of origin]]</f>
        <v>Australia</v>
      </c>
    </row>
    <row r="119" spans="4:17" ht="20.100000000000001" customHeight="1" x14ac:dyDescent="0.25">
      <c r="D119" s="10" t="str" cm="1">
        <f t="array" ref="D119">Common_InputFunctions.Utility_DisplayArrayInTable(Scope3_SourceData.Scope3_Feed_Data(), Table_SourceData_Scope3_Feed[[#Headers],[Category]], -1, 2)</f>
        <v>Hay</v>
      </c>
      <c r="E119" s="10" t="str" cm="1">
        <f t="array" ref="E119">Common_InputFunctions.Utility_DisplayArrayInTable(Scope3_SourceData.Scope3_Feed_Data(), Table_SourceData_Scope3_Feed[[#Headers],[Category]], -1, 2)</f>
        <v>Cereal hay</v>
      </c>
      <c r="F119" s="10" t="str" cm="1">
        <f t="array" ref="F119">Common_InputFunctions.Utility_DisplayArrayInTable(Scope3_SourceData.Scope3_Feed_Data(), Table_SourceData_Scope3_Feed[[#Headers],[Category]], -1, 2)</f>
        <v>NSW</v>
      </c>
      <c r="G119" s="10" t="str" cm="1">
        <f t="array" ref="G119">Common_InputFunctions.Utility_DisplayArrayInTable(Scope3_SourceData.Scope3_Feed_Data(), Table_SourceData_Scope3_Feed[[#Headers],[Category]], -1, 2)</f>
        <v>kg</v>
      </c>
      <c r="H119" s="10" cm="1">
        <f t="array" ref="H119">Common_InputFunctions.Utility_DisplayArrayInTable(Scope3_SourceData.Scope3_Feed_Data(), Table_SourceData_Scope3_Feed[[#Headers],[Category]], -1, 2)</f>
        <v>0.11600000000000001</v>
      </c>
      <c r="I119" s="10" t="str" cm="1">
        <f t="array" ref="I119">Common_InputFunctions.Utility_DisplayArrayInTable(Scope3_SourceData.Scope3_Feed_Data(), Table_SourceData_Scope3_Feed[[#Headers],[Category]], -1, 2)</f>
        <v>at market</v>
      </c>
      <c r="J119" s="10" t="s">
        <v>912</v>
      </c>
      <c r="O119" s="10" t="str">
        <f>Table_SourceData_Scope3_Feed[[#This Row],[Product]]</f>
        <v>Cereal hay</v>
      </c>
      <c r="P119" s="10" t="str">
        <f>Table_SourceData_Scope3_Feed[[#This Row],[Region of origin]]</f>
        <v>NSW</v>
      </c>
    </row>
    <row r="120" spans="4:17" ht="20.100000000000001" customHeight="1" x14ac:dyDescent="0.25">
      <c r="D120" s="10" t="str" cm="1">
        <f t="array" ref="D120">Common_InputFunctions.Utility_DisplayArrayInTable(Scope3_SourceData.Scope3_Feed_Data(), Table_SourceData_Scope3_Feed[[#Headers],[Category]], -1, 2)</f>
        <v>Hay</v>
      </c>
      <c r="E120" s="10" t="str" cm="1">
        <f t="array" ref="E120">Common_InputFunctions.Utility_DisplayArrayInTable(Scope3_SourceData.Scope3_Feed_Data(), Table_SourceData_Scope3_Feed[[#Headers],[Category]], -1, 2)</f>
        <v>Cereal hay</v>
      </c>
      <c r="F120" s="10" t="str" cm="1">
        <f t="array" ref="F120">Common_InputFunctions.Utility_DisplayArrayInTable(Scope3_SourceData.Scope3_Feed_Data(), Table_SourceData_Scope3_Feed[[#Headers],[Category]], -1, 2)</f>
        <v>QLD</v>
      </c>
      <c r="G120" s="10" t="str" cm="1">
        <f t="array" ref="G120">Common_InputFunctions.Utility_DisplayArrayInTable(Scope3_SourceData.Scope3_Feed_Data(), Table_SourceData_Scope3_Feed[[#Headers],[Category]], -1, 2)</f>
        <v>kg</v>
      </c>
      <c r="H120" s="10" cm="1">
        <f t="array" ref="H120">Common_InputFunctions.Utility_DisplayArrayInTable(Scope3_SourceData.Scope3_Feed_Data(), Table_SourceData_Scope3_Feed[[#Headers],[Category]], -1, 2)</f>
        <v>0.11799999999999999</v>
      </c>
      <c r="I120" s="10" t="str" cm="1">
        <f t="array" ref="I120">Common_InputFunctions.Utility_DisplayArrayInTable(Scope3_SourceData.Scope3_Feed_Data(), Table_SourceData_Scope3_Feed[[#Headers],[Category]], -1, 2)</f>
        <v>at market</v>
      </c>
      <c r="J120" s="10" t="s">
        <v>912</v>
      </c>
      <c r="O120" s="10" t="str">
        <f>Table_SourceData_Scope3_Feed[[#This Row],[Product]]</f>
        <v>Cereal hay</v>
      </c>
      <c r="P120" s="10" t="str">
        <f>Table_SourceData_Scope3_Feed[[#This Row],[Region of origin]]</f>
        <v>QLD</v>
      </c>
    </row>
    <row r="121" spans="4:17" ht="20.100000000000001" customHeight="1" x14ac:dyDescent="0.25">
      <c r="D121" s="10" t="str" cm="1">
        <f t="array" ref="D121">Common_InputFunctions.Utility_DisplayArrayInTable(Scope3_SourceData.Scope3_Feed_Data(), Table_SourceData_Scope3_Feed[[#Headers],[Category]], -1, 2)</f>
        <v>Hay</v>
      </c>
      <c r="E121" s="10" t="str" cm="1">
        <f t="array" ref="E121">Common_InputFunctions.Utility_DisplayArrayInTable(Scope3_SourceData.Scope3_Feed_Data(), Table_SourceData_Scope3_Feed[[#Headers],[Category]], -1, 2)</f>
        <v>Cereal hay</v>
      </c>
      <c r="F121" s="10" t="str" cm="1">
        <f t="array" ref="F121">Common_InputFunctions.Utility_DisplayArrayInTable(Scope3_SourceData.Scope3_Feed_Data(), Table_SourceData_Scope3_Feed[[#Headers],[Category]], -1, 2)</f>
        <v>SA</v>
      </c>
      <c r="G121" s="10" t="str" cm="1">
        <f t="array" ref="G121">Common_InputFunctions.Utility_DisplayArrayInTable(Scope3_SourceData.Scope3_Feed_Data(), Table_SourceData_Scope3_Feed[[#Headers],[Category]], -1, 2)</f>
        <v>kg</v>
      </c>
      <c r="H121" s="10" cm="1">
        <f t="array" ref="H121">Common_InputFunctions.Utility_DisplayArrayInTable(Scope3_SourceData.Scope3_Feed_Data(), Table_SourceData_Scope3_Feed[[#Headers],[Category]], -1, 2)</f>
        <v>0.111</v>
      </c>
      <c r="I121" s="10" t="str" cm="1">
        <f t="array" ref="I121">Common_InputFunctions.Utility_DisplayArrayInTable(Scope3_SourceData.Scope3_Feed_Data(), Table_SourceData_Scope3_Feed[[#Headers],[Category]], -1, 2)</f>
        <v>at market</v>
      </c>
      <c r="J121" s="10" t="s">
        <v>912</v>
      </c>
      <c r="O121" s="10" t="str">
        <f>Table_SourceData_Scope3_Feed[[#This Row],[Product]]</f>
        <v>Cereal hay</v>
      </c>
      <c r="P121" s="10" t="str">
        <f>Table_SourceData_Scope3_Feed[[#This Row],[Region of origin]]</f>
        <v>SA</v>
      </c>
    </row>
    <row r="122" spans="4:17" ht="20.100000000000001" customHeight="1" x14ac:dyDescent="0.25">
      <c r="D122" s="10" t="str" cm="1">
        <f t="array" ref="D122">Common_InputFunctions.Utility_DisplayArrayInTable(Scope3_SourceData.Scope3_Feed_Data(), Table_SourceData_Scope3_Feed[[#Headers],[Category]], -1, 2)</f>
        <v>Hay</v>
      </c>
      <c r="E122" s="10" t="str" cm="1">
        <f t="array" ref="E122">Common_InputFunctions.Utility_DisplayArrayInTable(Scope3_SourceData.Scope3_Feed_Data(), Table_SourceData_Scope3_Feed[[#Headers],[Category]], -1, 2)</f>
        <v>Cereal hay</v>
      </c>
      <c r="F122" s="10" t="str" cm="1">
        <f t="array" ref="F122">Common_InputFunctions.Utility_DisplayArrayInTable(Scope3_SourceData.Scope3_Feed_Data(), Table_SourceData_Scope3_Feed[[#Headers],[Category]], -1, 2)</f>
        <v>TAS</v>
      </c>
      <c r="G122" s="10" t="str" cm="1">
        <f t="array" ref="G122">Common_InputFunctions.Utility_DisplayArrayInTable(Scope3_SourceData.Scope3_Feed_Data(), Table_SourceData_Scope3_Feed[[#Headers],[Category]], -1, 2)</f>
        <v>kg</v>
      </c>
      <c r="H122" s="10" cm="1">
        <f t="array" ref="H122">Common_InputFunctions.Utility_DisplayArrayInTable(Scope3_SourceData.Scope3_Feed_Data(), Table_SourceData_Scope3_Feed[[#Headers],[Category]], -1, 2)</f>
        <v>0.13900000000000001</v>
      </c>
      <c r="I122" s="10" t="str" cm="1">
        <f t="array" ref="I122">Common_InputFunctions.Utility_DisplayArrayInTable(Scope3_SourceData.Scope3_Feed_Data(), Table_SourceData_Scope3_Feed[[#Headers],[Category]], -1, 2)</f>
        <v>at market</v>
      </c>
      <c r="J122" s="10" t="s">
        <v>912</v>
      </c>
      <c r="O122" s="10" t="str">
        <f>Table_SourceData_Scope3_Feed[[#This Row],[Product]]</f>
        <v>Cereal hay</v>
      </c>
      <c r="P122" s="10" t="str">
        <f>Table_SourceData_Scope3_Feed[[#This Row],[Region of origin]]</f>
        <v>TAS</v>
      </c>
    </row>
    <row r="123" spans="4:17" ht="20.100000000000001" customHeight="1" x14ac:dyDescent="0.25">
      <c r="D123" s="10" t="str" cm="1">
        <f t="array" ref="D123">Common_InputFunctions.Utility_DisplayArrayInTable(Scope3_SourceData.Scope3_Feed_Data(), Table_SourceData_Scope3_Feed[[#Headers],[Category]], -1, 2)</f>
        <v>Hay</v>
      </c>
      <c r="E123" s="10" t="str" cm="1">
        <f t="array" ref="E123">Common_InputFunctions.Utility_DisplayArrayInTable(Scope3_SourceData.Scope3_Feed_Data(), Table_SourceData_Scope3_Feed[[#Headers],[Category]], -1, 2)</f>
        <v>Cereal hay</v>
      </c>
      <c r="F123" s="10" t="str" cm="1">
        <f t="array" ref="F123">Common_InputFunctions.Utility_DisplayArrayInTable(Scope3_SourceData.Scope3_Feed_Data(), Table_SourceData_Scope3_Feed[[#Headers],[Category]], -1, 2)</f>
        <v>VIC</v>
      </c>
      <c r="G123" s="10" t="str" cm="1">
        <f t="array" ref="G123">Common_InputFunctions.Utility_DisplayArrayInTable(Scope3_SourceData.Scope3_Feed_Data(), Table_SourceData_Scope3_Feed[[#Headers],[Category]], -1, 2)</f>
        <v>kg</v>
      </c>
      <c r="H123" s="10" cm="1">
        <f t="array" ref="H123">Common_InputFunctions.Utility_DisplayArrayInTable(Scope3_SourceData.Scope3_Feed_Data(), Table_SourceData_Scope3_Feed[[#Headers],[Category]], -1, 2)</f>
        <v>0.11600000000000001</v>
      </c>
      <c r="I123" s="10" t="str" cm="1">
        <f t="array" ref="I123">Common_InputFunctions.Utility_DisplayArrayInTable(Scope3_SourceData.Scope3_Feed_Data(), Table_SourceData_Scope3_Feed[[#Headers],[Category]], -1, 2)</f>
        <v>at market</v>
      </c>
      <c r="J123" s="10" t="s">
        <v>912</v>
      </c>
      <c r="O123" s="10" t="str">
        <f>Table_SourceData_Scope3_Feed[[#This Row],[Product]]</f>
        <v>Cereal hay</v>
      </c>
      <c r="P123" s="10" t="str">
        <f>Table_SourceData_Scope3_Feed[[#This Row],[Region of origin]]</f>
        <v>VIC</v>
      </c>
    </row>
    <row r="124" spans="4:17" ht="20.100000000000001" customHeight="1" x14ac:dyDescent="0.25">
      <c r="D124" s="10" t="str" cm="1">
        <f t="array" ref="D124">Common_InputFunctions.Utility_DisplayArrayInTable(Scope3_SourceData.Scope3_Feed_Data(), Table_SourceData_Scope3_Feed[[#Headers],[Category]], -1, 2)</f>
        <v>Hay</v>
      </c>
      <c r="E124" s="10" t="str" cm="1">
        <f t="array" ref="E124">Common_InputFunctions.Utility_DisplayArrayInTable(Scope3_SourceData.Scope3_Feed_Data(), Table_SourceData_Scope3_Feed[[#Headers],[Category]], -1, 2)</f>
        <v>Cereal hay</v>
      </c>
      <c r="F124" s="10" t="str" cm="1">
        <f t="array" ref="F124">Common_InputFunctions.Utility_DisplayArrayInTable(Scope3_SourceData.Scope3_Feed_Data(), Table_SourceData_Scope3_Feed[[#Headers],[Category]], -1, 2)</f>
        <v>WA</v>
      </c>
      <c r="G124" s="10" t="str" cm="1">
        <f t="array" ref="G124">Common_InputFunctions.Utility_DisplayArrayInTable(Scope3_SourceData.Scope3_Feed_Data(), Table_SourceData_Scope3_Feed[[#Headers],[Category]], -1, 2)</f>
        <v>kg</v>
      </c>
      <c r="H124" s="10" cm="1">
        <f t="array" ref="H124">Common_InputFunctions.Utility_DisplayArrayInTable(Scope3_SourceData.Scope3_Feed_Data(), Table_SourceData_Scope3_Feed[[#Headers],[Category]], -1, 2)</f>
        <v>0.122</v>
      </c>
      <c r="I124" s="10" t="str" cm="1">
        <f t="array" ref="I124">Common_InputFunctions.Utility_DisplayArrayInTable(Scope3_SourceData.Scope3_Feed_Data(), Table_SourceData_Scope3_Feed[[#Headers],[Category]], -1, 2)</f>
        <v>at market</v>
      </c>
      <c r="J124" s="10" t="s">
        <v>912</v>
      </c>
      <c r="L124" s="10" t="s">
        <v>212</v>
      </c>
      <c r="M124" s="10" t="s">
        <v>380</v>
      </c>
      <c r="N124" s="8" t="str">
        <f>"Table_ProductRegions_" &amp; SUBSTITUTE(SUBSTITUTE(SUBSTITUTE(SUBSTITUTE(L125, " ", ""), ",", ""), "(", ""), ")", "")</f>
        <v>Table_ProductRegions_Cerealsilage</v>
      </c>
      <c r="O124" s="10" t="str">
        <f>Table_SourceData_Scope3_Feed[[#This Row],[Product]]</f>
        <v>Cereal hay</v>
      </c>
      <c r="P124" s="10" t="str">
        <f>Table_SourceData_Scope3_Feed[[#This Row],[Region of origin]]</f>
        <v>WA</v>
      </c>
    </row>
    <row r="125" spans="4:17" ht="20.100000000000001" customHeight="1" x14ac:dyDescent="0.25">
      <c r="D125" s="10" t="str" cm="1">
        <f t="array" ref="D125">Common_InputFunctions.Utility_DisplayArrayInTable(Scope3_SourceData.Scope3_Feed_Data(), Table_SourceData_Scope3_Feed[[#Headers],[Category]], -1, 2)</f>
        <v>Hay</v>
      </c>
      <c r="E125" s="10" t="str" cm="1">
        <f t="array" ref="E125">Common_InputFunctions.Utility_DisplayArrayInTable(Scope3_SourceData.Scope3_Feed_Data(), Table_SourceData_Scope3_Feed[[#Headers],[Category]], -1, 2)</f>
        <v>Cereal silage</v>
      </c>
      <c r="F125" s="10" t="str" cm="1">
        <f t="array" ref="F125">Common_InputFunctions.Utility_DisplayArrayInTable(Scope3_SourceData.Scope3_Feed_Data(), Table_SourceData_Scope3_Feed[[#Headers],[Category]], -1, 2)</f>
        <v>Australia</v>
      </c>
      <c r="G125" s="10" t="str" cm="1">
        <f t="array" ref="G125">Common_InputFunctions.Utility_DisplayArrayInTable(Scope3_SourceData.Scope3_Feed_Data(), Table_SourceData_Scope3_Feed[[#Headers],[Category]], -1, 2)</f>
        <v>kg</v>
      </c>
      <c r="H125" s="10" cm="1">
        <f t="array" ref="H125">Common_InputFunctions.Utility_DisplayArrayInTable(Scope3_SourceData.Scope3_Feed_Data(), Table_SourceData_Scope3_Feed[[#Headers],[Category]], -1, 2)</f>
        <v>7.4399999999999994E-2</v>
      </c>
      <c r="I125" s="10" t="str" cm="1">
        <f t="array" ref="I125">Common_InputFunctions.Utility_DisplayArrayInTable(Scope3_SourceData.Scope3_Feed_Data(), Table_SourceData_Scope3_Feed[[#Headers],[Category]], -1, 2)</f>
        <v>at market</v>
      </c>
      <c r="J125" s="10" t="s">
        <v>912</v>
      </c>
      <c r="L125" s="10" t="str">
        <f>Table_SourceData_Scope3_Feed[[#This Row],[Product]]</f>
        <v>Cereal silage</v>
      </c>
      <c r="M125" s="10" t="str">
        <f>Table_SourceData_Scope3_Feed[[#This Row],[Region of origin]]</f>
        <v>Australia</v>
      </c>
    </row>
    <row r="126" spans="4:17" ht="20.100000000000001" customHeight="1" x14ac:dyDescent="0.25">
      <c r="D126" s="10" t="str" cm="1">
        <f t="array" ref="D126">Common_InputFunctions.Utility_DisplayArrayInTable(Scope3_SourceData.Scope3_Feed_Data(), Table_SourceData_Scope3_Feed[[#Headers],[Category]], -1, 2)</f>
        <v>Hay</v>
      </c>
      <c r="E126" s="10" t="str" cm="1">
        <f t="array" ref="E126">Common_InputFunctions.Utility_DisplayArrayInTable(Scope3_SourceData.Scope3_Feed_Data(), Table_SourceData_Scope3_Feed[[#Headers],[Category]], -1, 2)</f>
        <v>Cereal silage</v>
      </c>
      <c r="F126" s="10" t="str" cm="1">
        <f t="array" ref="F126">Common_InputFunctions.Utility_DisplayArrayInTable(Scope3_SourceData.Scope3_Feed_Data(), Table_SourceData_Scope3_Feed[[#Headers],[Category]], -1, 2)</f>
        <v>NSW</v>
      </c>
      <c r="G126" s="10" t="str" cm="1">
        <f t="array" ref="G126">Common_InputFunctions.Utility_DisplayArrayInTable(Scope3_SourceData.Scope3_Feed_Data(), Table_SourceData_Scope3_Feed[[#Headers],[Category]], -1, 2)</f>
        <v>kg</v>
      </c>
      <c r="H126" s="10" cm="1">
        <f t="array" ref="H126">Common_InputFunctions.Utility_DisplayArrayInTable(Scope3_SourceData.Scope3_Feed_Data(), Table_SourceData_Scope3_Feed[[#Headers],[Category]], -1, 2)</f>
        <v>7.3899999999999993E-2</v>
      </c>
      <c r="I126" s="10" t="str" cm="1">
        <f t="array" ref="I126">Common_InputFunctions.Utility_DisplayArrayInTable(Scope3_SourceData.Scope3_Feed_Data(), Table_SourceData_Scope3_Feed[[#Headers],[Category]], -1, 2)</f>
        <v>at market</v>
      </c>
      <c r="J126" s="10" t="s">
        <v>912</v>
      </c>
      <c r="L126" s="10" t="str">
        <f>Table_SourceData_Scope3_Feed[[#This Row],[Product]]</f>
        <v>Cereal silage</v>
      </c>
      <c r="M126" s="10" t="str">
        <f>Table_SourceData_Scope3_Feed[[#This Row],[Region of origin]]</f>
        <v>NSW</v>
      </c>
    </row>
    <row r="127" spans="4:17" ht="20.100000000000001" customHeight="1" x14ac:dyDescent="0.25">
      <c r="D127" s="10" t="str" cm="1">
        <f t="array" ref="D127">Common_InputFunctions.Utility_DisplayArrayInTable(Scope3_SourceData.Scope3_Feed_Data(), Table_SourceData_Scope3_Feed[[#Headers],[Category]], -1, 2)</f>
        <v>Hay</v>
      </c>
      <c r="E127" s="10" t="str" cm="1">
        <f t="array" ref="E127">Common_InputFunctions.Utility_DisplayArrayInTable(Scope3_SourceData.Scope3_Feed_Data(), Table_SourceData_Scope3_Feed[[#Headers],[Category]], -1, 2)</f>
        <v>Cereal silage</v>
      </c>
      <c r="F127" s="10" t="str" cm="1">
        <f t="array" ref="F127">Common_InputFunctions.Utility_DisplayArrayInTable(Scope3_SourceData.Scope3_Feed_Data(), Table_SourceData_Scope3_Feed[[#Headers],[Category]], -1, 2)</f>
        <v>QLD</v>
      </c>
      <c r="G127" s="10" t="str" cm="1">
        <f t="array" ref="G127">Common_InputFunctions.Utility_DisplayArrayInTable(Scope3_SourceData.Scope3_Feed_Data(), Table_SourceData_Scope3_Feed[[#Headers],[Category]], -1, 2)</f>
        <v>kg</v>
      </c>
      <c r="H127" s="10" cm="1">
        <f t="array" ref="H127">Common_InputFunctions.Utility_DisplayArrayInTable(Scope3_SourceData.Scope3_Feed_Data(), Table_SourceData_Scope3_Feed[[#Headers],[Category]], -1, 2)</f>
        <v>7.9000000000000001E-2</v>
      </c>
      <c r="I127" s="10" t="str" cm="1">
        <f t="array" ref="I127">Common_InputFunctions.Utility_DisplayArrayInTable(Scope3_SourceData.Scope3_Feed_Data(), Table_SourceData_Scope3_Feed[[#Headers],[Category]], -1, 2)</f>
        <v>at market</v>
      </c>
      <c r="J127" s="10" t="s">
        <v>912</v>
      </c>
      <c r="L127" s="10" t="str">
        <f>Table_SourceData_Scope3_Feed[[#This Row],[Product]]</f>
        <v>Cereal silage</v>
      </c>
      <c r="M127" s="10" t="str">
        <f>Table_SourceData_Scope3_Feed[[#This Row],[Region of origin]]</f>
        <v>QLD</v>
      </c>
    </row>
    <row r="128" spans="4:17" ht="20.100000000000001" customHeight="1" x14ac:dyDescent="0.25">
      <c r="D128" s="10" t="str" cm="1">
        <f t="array" ref="D128">Common_InputFunctions.Utility_DisplayArrayInTable(Scope3_SourceData.Scope3_Feed_Data(), Table_SourceData_Scope3_Feed[[#Headers],[Category]], -1, 2)</f>
        <v>Hay</v>
      </c>
      <c r="E128" s="10" t="str" cm="1">
        <f t="array" ref="E128">Common_InputFunctions.Utility_DisplayArrayInTable(Scope3_SourceData.Scope3_Feed_Data(), Table_SourceData_Scope3_Feed[[#Headers],[Category]], -1, 2)</f>
        <v>Cereal silage</v>
      </c>
      <c r="F128" s="10" t="str" cm="1">
        <f t="array" ref="F128">Common_InputFunctions.Utility_DisplayArrayInTable(Scope3_SourceData.Scope3_Feed_Data(), Table_SourceData_Scope3_Feed[[#Headers],[Category]], -1, 2)</f>
        <v>SA</v>
      </c>
      <c r="G128" s="10" t="str" cm="1">
        <f t="array" ref="G128">Common_InputFunctions.Utility_DisplayArrayInTable(Scope3_SourceData.Scope3_Feed_Data(), Table_SourceData_Scope3_Feed[[#Headers],[Category]], -1, 2)</f>
        <v>kg</v>
      </c>
      <c r="H128" s="10" cm="1">
        <f t="array" ref="H128">Common_InputFunctions.Utility_DisplayArrayInTable(Scope3_SourceData.Scope3_Feed_Data(), Table_SourceData_Scope3_Feed[[#Headers],[Category]], -1, 2)</f>
        <v>7.0599999999999996E-2</v>
      </c>
      <c r="I128" s="10" t="str" cm="1">
        <f t="array" ref="I128">Common_InputFunctions.Utility_DisplayArrayInTable(Scope3_SourceData.Scope3_Feed_Data(), Table_SourceData_Scope3_Feed[[#Headers],[Category]], -1, 2)</f>
        <v>at market</v>
      </c>
      <c r="J128" s="10" t="s">
        <v>912</v>
      </c>
      <c r="L128" s="10" t="str">
        <f>Table_SourceData_Scope3_Feed[[#This Row],[Product]]</f>
        <v>Cereal silage</v>
      </c>
      <c r="M128" s="10" t="str">
        <f>Table_SourceData_Scope3_Feed[[#This Row],[Region of origin]]</f>
        <v>SA</v>
      </c>
    </row>
    <row r="129" spans="4:17" ht="20.100000000000001" customHeight="1" x14ac:dyDescent="0.25">
      <c r="D129" s="10" t="str" cm="1">
        <f t="array" ref="D129">Common_InputFunctions.Utility_DisplayArrayInTable(Scope3_SourceData.Scope3_Feed_Data(), Table_SourceData_Scope3_Feed[[#Headers],[Category]], -1, 2)</f>
        <v>Hay</v>
      </c>
      <c r="E129" s="10" t="str" cm="1">
        <f t="array" ref="E129">Common_InputFunctions.Utility_DisplayArrayInTable(Scope3_SourceData.Scope3_Feed_Data(), Table_SourceData_Scope3_Feed[[#Headers],[Category]], -1, 2)</f>
        <v>Cereal silage</v>
      </c>
      <c r="F129" s="10" t="str" cm="1">
        <f t="array" ref="F129">Common_InputFunctions.Utility_DisplayArrayInTable(Scope3_SourceData.Scope3_Feed_Data(), Table_SourceData_Scope3_Feed[[#Headers],[Category]], -1, 2)</f>
        <v>TAS</v>
      </c>
      <c r="G129" s="10" t="str" cm="1">
        <f t="array" ref="G129">Common_InputFunctions.Utility_DisplayArrayInTable(Scope3_SourceData.Scope3_Feed_Data(), Table_SourceData_Scope3_Feed[[#Headers],[Category]], -1, 2)</f>
        <v>kg</v>
      </c>
      <c r="H129" s="10" cm="1">
        <f t="array" ref="H129">Common_InputFunctions.Utility_DisplayArrayInTable(Scope3_SourceData.Scope3_Feed_Data(), Table_SourceData_Scope3_Feed[[#Headers],[Category]], -1, 2)</f>
        <v>8.0799999999999997E-2</v>
      </c>
      <c r="I129" s="10" t="str" cm="1">
        <f t="array" ref="I129">Common_InputFunctions.Utility_DisplayArrayInTable(Scope3_SourceData.Scope3_Feed_Data(), Table_SourceData_Scope3_Feed[[#Headers],[Category]], -1, 2)</f>
        <v>at market</v>
      </c>
      <c r="J129" s="10" t="s">
        <v>912</v>
      </c>
      <c r="L129" s="10" t="str">
        <f>Table_SourceData_Scope3_Feed[[#This Row],[Product]]</f>
        <v>Cereal silage</v>
      </c>
      <c r="M129" s="10" t="str">
        <f>Table_SourceData_Scope3_Feed[[#This Row],[Region of origin]]</f>
        <v>TAS</v>
      </c>
    </row>
    <row r="130" spans="4:17" ht="20.100000000000001" customHeight="1" x14ac:dyDescent="0.25">
      <c r="D130" s="10" t="str" cm="1">
        <f t="array" ref="D130">Common_InputFunctions.Utility_DisplayArrayInTable(Scope3_SourceData.Scope3_Feed_Data(), Table_SourceData_Scope3_Feed[[#Headers],[Category]], -1, 2)</f>
        <v>Hay</v>
      </c>
      <c r="E130" s="10" t="str" cm="1">
        <f t="array" ref="E130">Common_InputFunctions.Utility_DisplayArrayInTable(Scope3_SourceData.Scope3_Feed_Data(), Table_SourceData_Scope3_Feed[[#Headers],[Category]], -1, 2)</f>
        <v>Cereal silage</v>
      </c>
      <c r="F130" s="10" t="str" cm="1">
        <f t="array" ref="F130">Common_InputFunctions.Utility_DisplayArrayInTable(Scope3_SourceData.Scope3_Feed_Data(), Table_SourceData_Scope3_Feed[[#Headers],[Category]], -1, 2)</f>
        <v>VIC</v>
      </c>
      <c r="G130" s="10" t="str" cm="1">
        <f t="array" ref="G130">Common_InputFunctions.Utility_DisplayArrayInTable(Scope3_SourceData.Scope3_Feed_Data(), Table_SourceData_Scope3_Feed[[#Headers],[Category]], -1, 2)</f>
        <v>kg</v>
      </c>
      <c r="H130" s="10" cm="1">
        <f t="array" ref="H130">Common_InputFunctions.Utility_DisplayArrayInTable(Scope3_SourceData.Scope3_Feed_Data(), Table_SourceData_Scope3_Feed[[#Headers],[Category]], -1, 2)</f>
        <v>7.3599999999999999E-2</v>
      </c>
      <c r="I130" s="10" t="str" cm="1">
        <f t="array" ref="I130">Common_InputFunctions.Utility_DisplayArrayInTable(Scope3_SourceData.Scope3_Feed_Data(), Table_SourceData_Scope3_Feed[[#Headers],[Category]], -1, 2)</f>
        <v>at market</v>
      </c>
      <c r="J130" s="10" t="s">
        <v>912</v>
      </c>
      <c r="L130" s="10" t="str">
        <f>Table_SourceData_Scope3_Feed[[#This Row],[Product]]</f>
        <v>Cereal silage</v>
      </c>
      <c r="M130" s="10" t="str">
        <f>Table_SourceData_Scope3_Feed[[#This Row],[Region of origin]]</f>
        <v>VIC</v>
      </c>
      <c r="O130" s="10" t="s">
        <v>212</v>
      </c>
      <c r="P130" s="10" t="s">
        <v>380</v>
      </c>
      <c r="Q130" s="8" t="str">
        <f>"Table_ProductRegions_" &amp; SUBSTITUTE(SUBSTITUTE(SUBSTITUTE(SUBSTITUTE(O131, " ", ""), ",", ""), "(", ""), ")", "")</f>
        <v>Table_ProductRegions_Lucernehay</v>
      </c>
    </row>
    <row r="131" spans="4:17" ht="20.100000000000001" customHeight="1" x14ac:dyDescent="0.25">
      <c r="D131" s="10" t="str" cm="1">
        <f t="array" ref="D131">Common_InputFunctions.Utility_DisplayArrayInTable(Scope3_SourceData.Scope3_Feed_Data(), Table_SourceData_Scope3_Feed[[#Headers],[Category]], -1, 2)</f>
        <v>Hay</v>
      </c>
      <c r="E131" s="10" t="str" cm="1">
        <f t="array" ref="E131">Common_InputFunctions.Utility_DisplayArrayInTable(Scope3_SourceData.Scope3_Feed_Data(), Table_SourceData_Scope3_Feed[[#Headers],[Category]], -1, 2)</f>
        <v>Lucerne hay</v>
      </c>
      <c r="F131" s="10" t="str" cm="1">
        <f t="array" ref="F131">Common_InputFunctions.Utility_DisplayArrayInTable(Scope3_SourceData.Scope3_Feed_Data(), Table_SourceData_Scope3_Feed[[#Headers],[Category]], -1, 2)</f>
        <v>Australia</v>
      </c>
      <c r="G131" s="10" t="str" cm="1">
        <f t="array" ref="G131">Common_InputFunctions.Utility_DisplayArrayInTable(Scope3_SourceData.Scope3_Feed_Data(), Table_SourceData_Scope3_Feed[[#Headers],[Category]], -1, 2)</f>
        <v>kg</v>
      </c>
      <c r="H131" s="10" cm="1">
        <f t="array" ref="H131">Common_InputFunctions.Utility_DisplayArrayInTable(Scope3_SourceData.Scope3_Feed_Data(), Table_SourceData_Scope3_Feed[[#Headers],[Category]], -1, 2)</f>
        <v>0.11700000000000001</v>
      </c>
      <c r="I131" s="10" t="str" cm="1">
        <f t="array" ref="I131">Common_InputFunctions.Utility_DisplayArrayInTable(Scope3_SourceData.Scope3_Feed_Data(), Table_SourceData_Scope3_Feed[[#Headers],[Category]], -1, 2)</f>
        <v>at market</v>
      </c>
      <c r="J131" s="10" t="s">
        <v>912</v>
      </c>
      <c r="O131" s="10" t="str">
        <f>Table_SourceData_Scope3_Feed[[#This Row],[Product]]</f>
        <v>Lucerne hay</v>
      </c>
      <c r="P131" s="10" t="str">
        <f>Table_SourceData_Scope3_Feed[[#This Row],[Region of origin]]</f>
        <v>Australia</v>
      </c>
    </row>
    <row r="132" spans="4:17" ht="20.100000000000001" customHeight="1" x14ac:dyDescent="0.25">
      <c r="D132" s="10" t="str" cm="1">
        <f t="array" ref="D132">Common_InputFunctions.Utility_DisplayArrayInTable(Scope3_SourceData.Scope3_Feed_Data(), Table_SourceData_Scope3_Feed[[#Headers],[Category]], -1, 2)</f>
        <v>Hay</v>
      </c>
      <c r="E132" s="10" t="str" cm="1">
        <f t="array" ref="E132">Common_InputFunctions.Utility_DisplayArrayInTable(Scope3_SourceData.Scope3_Feed_Data(), Table_SourceData_Scope3_Feed[[#Headers],[Category]], -1, 2)</f>
        <v>Lucerne hay</v>
      </c>
      <c r="F132" s="10" t="str" cm="1">
        <f t="array" ref="F132">Common_InputFunctions.Utility_DisplayArrayInTable(Scope3_SourceData.Scope3_Feed_Data(), Table_SourceData_Scope3_Feed[[#Headers],[Category]], -1, 2)</f>
        <v>NSW</v>
      </c>
      <c r="G132" s="10" t="str" cm="1">
        <f t="array" ref="G132">Common_InputFunctions.Utility_DisplayArrayInTable(Scope3_SourceData.Scope3_Feed_Data(), Table_SourceData_Scope3_Feed[[#Headers],[Category]], -1, 2)</f>
        <v>kg</v>
      </c>
      <c r="H132" s="10" cm="1">
        <f t="array" ref="H132">Common_InputFunctions.Utility_DisplayArrayInTable(Scope3_SourceData.Scope3_Feed_Data(), Table_SourceData_Scope3_Feed[[#Headers],[Category]], -1, 2)</f>
        <v>0.113</v>
      </c>
      <c r="I132" s="10" t="str" cm="1">
        <f t="array" ref="I132">Common_InputFunctions.Utility_DisplayArrayInTable(Scope3_SourceData.Scope3_Feed_Data(), Table_SourceData_Scope3_Feed[[#Headers],[Category]], -1, 2)</f>
        <v>at market</v>
      </c>
      <c r="J132" s="10" t="s">
        <v>912</v>
      </c>
      <c r="O132" s="10" t="str">
        <f>Table_SourceData_Scope3_Feed[[#This Row],[Product]]</f>
        <v>Lucerne hay</v>
      </c>
      <c r="P132" s="10" t="str">
        <f>Table_SourceData_Scope3_Feed[[#This Row],[Region of origin]]</f>
        <v>NSW</v>
      </c>
    </row>
    <row r="133" spans="4:17" ht="20.100000000000001" customHeight="1" x14ac:dyDescent="0.25">
      <c r="D133" s="10" t="str" cm="1">
        <f t="array" ref="D133">Common_InputFunctions.Utility_DisplayArrayInTable(Scope3_SourceData.Scope3_Feed_Data(), Table_SourceData_Scope3_Feed[[#Headers],[Category]], -1, 2)</f>
        <v>Hay</v>
      </c>
      <c r="E133" s="10" t="str" cm="1">
        <f t="array" ref="E133">Common_InputFunctions.Utility_DisplayArrayInTable(Scope3_SourceData.Scope3_Feed_Data(), Table_SourceData_Scope3_Feed[[#Headers],[Category]], -1, 2)</f>
        <v>Lucerne hay</v>
      </c>
      <c r="F133" s="10" t="str" cm="1">
        <f t="array" ref="F133">Common_InputFunctions.Utility_DisplayArrayInTable(Scope3_SourceData.Scope3_Feed_Data(), Table_SourceData_Scope3_Feed[[#Headers],[Category]], -1, 2)</f>
        <v>QLD</v>
      </c>
      <c r="G133" s="10" t="str" cm="1">
        <f t="array" ref="G133">Common_InputFunctions.Utility_DisplayArrayInTable(Scope3_SourceData.Scope3_Feed_Data(), Table_SourceData_Scope3_Feed[[#Headers],[Category]], -1, 2)</f>
        <v>kg</v>
      </c>
      <c r="H133" s="10" cm="1">
        <f t="array" ref="H133">Common_InputFunctions.Utility_DisplayArrayInTable(Scope3_SourceData.Scope3_Feed_Data(), Table_SourceData_Scope3_Feed[[#Headers],[Category]], -1, 2)</f>
        <v>0.14299999999999999</v>
      </c>
      <c r="I133" s="10" t="str" cm="1">
        <f t="array" ref="I133">Common_InputFunctions.Utility_DisplayArrayInTable(Scope3_SourceData.Scope3_Feed_Data(), Table_SourceData_Scope3_Feed[[#Headers],[Category]], -1, 2)</f>
        <v>at market</v>
      </c>
      <c r="J133" s="10" t="s">
        <v>912</v>
      </c>
      <c r="O133" s="10" t="str">
        <f>Table_SourceData_Scope3_Feed[[#This Row],[Product]]</f>
        <v>Lucerne hay</v>
      </c>
      <c r="P133" s="10" t="str">
        <f>Table_SourceData_Scope3_Feed[[#This Row],[Region of origin]]</f>
        <v>QLD</v>
      </c>
    </row>
    <row r="134" spans="4:17" ht="20.100000000000001" customHeight="1" x14ac:dyDescent="0.25">
      <c r="D134" s="10" t="str" cm="1">
        <f t="array" ref="D134">Common_InputFunctions.Utility_DisplayArrayInTable(Scope3_SourceData.Scope3_Feed_Data(), Table_SourceData_Scope3_Feed[[#Headers],[Category]], -1, 2)</f>
        <v>Hay</v>
      </c>
      <c r="E134" s="10" t="str" cm="1">
        <f t="array" ref="E134">Common_InputFunctions.Utility_DisplayArrayInTable(Scope3_SourceData.Scope3_Feed_Data(), Table_SourceData_Scope3_Feed[[#Headers],[Category]], -1, 2)</f>
        <v>Lucerne hay</v>
      </c>
      <c r="F134" s="10" t="str" cm="1">
        <f t="array" ref="F134">Common_InputFunctions.Utility_DisplayArrayInTable(Scope3_SourceData.Scope3_Feed_Data(), Table_SourceData_Scope3_Feed[[#Headers],[Category]], -1, 2)</f>
        <v>SA</v>
      </c>
      <c r="G134" s="10" t="str" cm="1">
        <f t="array" ref="G134">Common_InputFunctions.Utility_DisplayArrayInTable(Scope3_SourceData.Scope3_Feed_Data(), Table_SourceData_Scope3_Feed[[#Headers],[Category]], -1, 2)</f>
        <v>kg</v>
      </c>
      <c r="H134" s="10" cm="1">
        <f t="array" ref="H134">Common_InputFunctions.Utility_DisplayArrayInTable(Scope3_SourceData.Scope3_Feed_Data(), Table_SourceData_Scope3_Feed[[#Headers],[Category]], -1, 2)</f>
        <v>0.106</v>
      </c>
      <c r="I134" s="10" t="str" cm="1">
        <f t="array" ref="I134">Common_InputFunctions.Utility_DisplayArrayInTable(Scope3_SourceData.Scope3_Feed_Data(), Table_SourceData_Scope3_Feed[[#Headers],[Category]], -1, 2)</f>
        <v>at market</v>
      </c>
      <c r="J134" s="10" t="s">
        <v>912</v>
      </c>
      <c r="O134" s="10" t="str">
        <f>Table_SourceData_Scope3_Feed[[#This Row],[Product]]</f>
        <v>Lucerne hay</v>
      </c>
      <c r="P134" s="10" t="str">
        <f>Table_SourceData_Scope3_Feed[[#This Row],[Region of origin]]</f>
        <v>SA</v>
      </c>
    </row>
    <row r="135" spans="4:17" ht="20.100000000000001" customHeight="1" x14ac:dyDescent="0.25">
      <c r="D135" s="10" t="str" cm="1">
        <f t="array" ref="D135">Common_InputFunctions.Utility_DisplayArrayInTable(Scope3_SourceData.Scope3_Feed_Data(), Table_SourceData_Scope3_Feed[[#Headers],[Category]], -1, 2)</f>
        <v>Hay</v>
      </c>
      <c r="E135" s="10" t="str" cm="1">
        <f t="array" ref="E135">Common_InputFunctions.Utility_DisplayArrayInTable(Scope3_SourceData.Scope3_Feed_Data(), Table_SourceData_Scope3_Feed[[#Headers],[Category]], -1, 2)</f>
        <v>Lucerne hay</v>
      </c>
      <c r="F135" s="10" t="str" cm="1">
        <f t="array" ref="F135">Common_InputFunctions.Utility_DisplayArrayInTable(Scope3_SourceData.Scope3_Feed_Data(), Table_SourceData_Scope3_Feed[[#Headers],[Category]], -1, 2)</f>
        <v>TAS</v>
      </c>
      <c r="G135" s="10" t="str" cm="1">
        <f t="array" ref="G135">Common_InputFunctions.Utility_DisplayArrayInTable(Scope3_SourceData.Scope3_Feed_Data(), Table_SourceData_Scope3_Feed[[#Headers],[Category]], -1, 2)</f>
        <v>kg</v>
      </c>
      <c r="H135" s="10" cm="1">
        <f t="array" ref="H135">Common_InputFunctions.Utility_DisplayArrayInTable(Scope3_SourceData.Scope3_Feed_Data(), Table_SourceData_Scope3_Feed[[#Headers],[Category]], -1, 2)</f>
        <v>0.113</v>
      </c>
      <c r="I135" s="10" t="str" cm="1">
        <f t="array" ref="I135">Common_InputFunctions.Utility_DisplayArrayInTable(Scope3_SourceData.Scope3_Feed_Data(), Table_SourceData_Scope3_Feed[[#Headers],[Category]], -1, 2)</f>
        <v>at market</v>
      </c>
      <c r="J135" s="10" t="s">
        <v>912</v>
      </c>
      <c r="O135" s="10" t="str">
        <f>Table_SourceData_Scope3_Feed[[#This Row],[Product]]</f>
        <v>Lucerne hay</v>
      </c>
      <c r="P135" s="10" t="str">
        <f>Table_SourceData_Scope3_Feed[[#This Row],[Region of origin]]</f>
        <v>TAS</v>
      </c>
    </row>
    <row r="136" spans="4:17" ht="20.100000000000001" customHeight="1" x14ac:dyDescent="0.25">
      <c r="D136" s="10" t="str" cm="1">
        <f t="array" ref="D136">Common_InputFunctions.Utility_DisplayArrayInTable(Scope3_SourceData.Scope3_Feed_Data(), Table_SourceData_Scope3_Feed[[#Headers],[Category]], -1, 2)</f>
        <v>Hay</v>
      </c>
      <c r="E136" s="10" t="str" cm="1">
        <f t="array" ref="E136">Common_InputFunctions.Utility_DisplayArrayInTable(Scope3_SourceData.Scope3_Feed_Data(), Table_SourceData_Scope3_Feed[[#Headers],[Category]], -1, 2)</f>
        <v>Lucerne hay</v>
      </c>
      <c r="F136" s="10" t="str" cm="1">
        <f t="array" ref="F136">Common_InputFunctions.Utility_DisplayArrayInTable(Scope3_SourceData.Scope3_Feed_Data(), Table_SourceData_Scope3_Feed[[#Headers],[Category]], -1, 2)</f>
        <v>VIC</v>
      </c>
      <c r="G136" s="10" t="str" cm="1">
        <f t="array" ref="G136">Common_InputFunctions.Utility_DisplayArrayInTable(Scope3_SourceData.Scope3_Feed_Data(), Table_SourceData_Scope3_Feed[[#Headers],[Category]], -1, 2)</f>
        <v>kg</v>
      </c>
      <c r="H136" s="10" cm="1">
        <f t="array" ref="H136">Common_InputFunctions.Utility_DisplayArrayInTable(Scope3_SourceData.Scope3_Feed_Data(), Table_SourceData_Scope3_Feed[[#Headers],[Category]], -1, 2)</f>
        <v>0.106</v>
      </c>
      <c r="I136" s="10" t="str" cm="1">
        <f t="array" ref="I136">Common_InputFunctions.Utility_DisplayArrayInTable(Scope3_SourceData.Scope3_Feed_Data(), Table_SourceData_Scope3_Feed[[#Headers],[Category]], -1, 2)</f>
        <v>at market</v>
      </c>
      <c r="J136" s="10" t="s">
        <v>912</v>
      </c>
      <c r="O136" s="10" t="str">
        <f>Table_SourceData_Scope3_Feed[[#This Row],[Product]]</f>
        <v>Lucerne hay</v>
      </c>
      <c r="P136" s="10" t="str">
        <f>Table_SourceData_Scope3_Feed[[#This Row],[Region of origin]]</f>
        <v>VIC</v>
      </c>
    </row>
    <row r="137" spans="4:17" ht="20.100000000000001" customHeight="1" x14ac:dyDescent="0.25">
      <c r="D137" s="10" t="str" cm="1">
        <f t="array" ref="D137">Common_InputFunctions.Utility_DisplayArrayInTable(Scope3_SourceData.Scope3_Feed_Data(), Table_SourceData_Scope3_Feed[[#Headers],[Category]], -1, 2)</f>
        <v>Hay</v>
      </c>
      <c r="E137" s="10" t="str" cm="1">
        <f t="array" ref="E137">Common_InputFunctions.Utility_DisplayArrayInTable(Scope3_SourceData.Scope3_Feed_Data(), Table_SourceData_Scope3_Feed[[#Headers],[Category]], -1, 2)</f>
        <v>Maize silage</v>
      </c>
      <c r="F137" s="10" t="str" cm="1">
        <f t="array" ref="F137">Common_InputFunctions.Utility_DisplayArrayInTable(Scope3_SourceData.Scope3_Feed_Data(), Table_SourceData_Scope3_Feed[[#Headers],[Category]], -1, 2)</f>
        <v>VIC</v>
      </c>
      <c r="G137" s="10" t="str" cm="1">
        <f t="array" ref="G137">Common_InputFunctions.Utility_DisplayArrayInTable(Scope3_SourceData.Scope3_Feed_Data(), Table_SourceData_Scope3_Feed[[#Headers],[Category]], -1, 2)</f>
        <v>kg</v>
      </c>
      <c r="H137" s="10" cm="1">
        <f t="array" ref="H137">Common_InputFunctions.Utility_DisplayArrayInTable(Scope3_SourceData.Scope3_Feed_Data(), Table_SourceData_Scope3_Feed[[#Headers],[Category]], -1, 2)</f>
        <v>0.16300000000000001</v>
      </c>
      <c r="I137" s="10" t="str" cm="1">
        <f t="array" ref="I137">Common_InputFunctions.Utility_DisplayArrayInTable(Scope3_SourceData.Scope3_Feed_Data(), Table_SourceData_Scope3_Feed[[#Headers],[Category]], -1, 2)</f>
        <v>at market</v>
      </c>
      <c r="J137" s="10" t="s">
        <v>912</v>
      </c>
      <c r="L137" s="10" t="s">
        <v>212</v>
      </c>
      <c r="M137" s="10" t="s">
        <v>380</v>
      </c>
      <c r="N137" s="8" t="str">
        <f>"Table_ProductRegions_" &amp; SUBSTITUTE(SUBSTITUTE(SUBSTITUTE(SUBSTITUTE(L138, " ", ""), ",", ""), "(", ""), ")", "")</f>
        <v>Table_ProductRegions_Oatenhay</v>
      </c>
      <c r="O137" s="10" t="str">
        <f>Table_SourceData_Scope3_Feed[[#This Row],[Product]]</f>
        <v>Maize silage</v>
      </c>
      <c r="P137" s="10" t="str">
        <f>Table_SourceData_Scope3_Feed[[#This Row],[Region of origin]]</f>
        <v>VIC</v>
      </c>
    </row>
    <row r="138" spans="4:17" ht="20.100000000000001" customHeight="1" x14ac:dyDescent="0.25">
      <c r="D138" s="10" t="str" cm="1">
        <f t="array" ref="D138">Common_InputFunctions.Utility_DisplayArrayInTable(Scope3_SourceData.Scope3_Feed_Data(), Table_SourceData_Scope3_Feed[[#Headers],[Category]], -1, 2)</f>
        <v>Hay</v>
      </c>
      <c r="E138" s="10" t="str" cm="1">
        <f t="array" ref="E138">Common_InputFunctions.Utility_DisplayArrayInTable(Scope3_SourceData.Scope3_Feed_Data(), Table_SourceData_Scope3_Feed[[#Headers],[Category]], -1, 2)</f>
        <v>Oaten hay</v>
      </c>
      <c r="F138" s="10" t="str" cm="1">
        <f t="array" ref="F138">Common_InputFunctions.Utility_DisplayArrayInTable(Scope3_SourceData.Scope3_Feed_Data(), Table_SourceData_Scope3_Feed[[#Headers],[Category]], -1, 2)</f>
        <v>Australia</v>
      </c>
      <c r="G138" s="10" t="str" cm="1">
        <f t="array" ref="G138">Common_InputFunctions.Utility_DisplayArrayInTable(Scope3_SourceData.Scope3_Feed_Data(), Table_SourceData_Scope3_Feed[[#Headers],[Category]], -1, 2)</f>
        <v>kg</v>
      </c>
      <c r="H138" s="10" cm="1">
        <f t="array" ref="H138">Common_InputFunctions.Utility_DisplayArrayInTable(Scope3_SourceData.Scope3_Feed_Data(), Table_SourceData_Scope3_Feed[[#Headers],[Category]], -1, 2)</f>
        <v>0.12</v>
      </c>
      <c r="I138" s="10" t="str" cm="1">
        <f t="array" ref="I138">Common_InputFunctions.Utility_DisplayArrayInTable(Scope3_SourceData.Scope3_Feed_Data(), Table_SourceData_Scope3_Feed[[#Headers],[Category]], -1, 2)</f>
        <v>at market</v>
      </c>
      <c r="J138" s="10" t="s">
        <v>912</v>
      </c>
      <c r="L138" s="10" t="str">
        <f>Table_SourceData_Scope3_Feed[[#This Row],[Product]]</f>
        <v>Oaten hay</v>
      </c>
      <c r="M138" s="10" t="str">
        <f>Table_SourceData_Scope3_Feed[[#This Row],[Region of origin]]</f>
        <v>Australia</v>
      </c>
    </row>
    <row r="139" spans="4:17" ht="20.100000000000001" customHeight="1" x14ac:dyDescent="0.25">
      <c r="D139" s="10" t="str" cm="1">
        <f t="array" ref="D139">Common_InputFunctions.Utility_DisplayArrayInTable(Scope3_SourceData.Scope3_Feed_Data(), Table_SourceData_Scope3_Feed[[#Headers],[Category]], -1, 2)</f>
        <v>Hay</v>
      </c>
      <c r="E139" s="10" t="str" cm="1">
        <f t="array" ref="E139">Common_InputFunctions.Utility_DisplayArrayInTable(Scope3_SourceData.Scope3_Feed_Data(), Table_SourceData_Scope3_Feed[[#Headers],[Category]], -1, 2)</f>
        <v>Oaten hay</v>
      </c>
      <c r="F139" s="10" t="str" cm="1">
        <f t="array" ref="F139">Common_InputFunctions.Utility_DisplayArrayInTable(Scope3_SourceData.Scope3_Feed_Data(), Table_SourceData_Scope3_Feed[[#Headers],[Category]], -1, 2)</f>
        <v>NSW</v>
      </c>
      <c r="G139" s="10" t="str" cm="1">
        <f t="array" ref="G139">Common_InputFunctions.Utility_DisplayArrayInTable(Scope3_SourceData.Scope3_Feed_Data(), Table_SourceData_Scope3_Feed[[#Headers],[Category]], -1, 2)</f>
        <v>kg</v>
      </c>
      <c r="H139" s="10" cm="1">
        <f t="array" ref="H139">Common_InputFunctions.Utility_DisplayArrayInTable(Scope3_SourceData.Scope3_Feed_Data(), Table_SourceData_Scope3_Feed[[#Headers],[Category]], -1, 2)</f>
        <v>0.11899999999999999</v>
      </c>
      <c r="I139" s="10" t="str" cm="1">
        <f t="array" ref="I139">Common_InputFunctions.Utility_DisplayArrayInTable(Scope3_SourceData.Scope3_Feed_Data(), Table_SourceData_Scope3_Feed[[#Headers],[Category]], -1, 2)</f>
        <v>at market</v>
      </c>
      <c r="J139" s="10" t="s">
        <v>912</v>
      </c>
      <c r="L139" s="10" t="str">
        <f>Table_SourceData_Scope3_Feed[[#This Row],[Product]]</f>
        <v>Oaten hay</v>
      </c>
      <c r="M139" s="10" t="str">
        <f>Table_SourceData_Scope3_Feed[[#This Row],[Region of origin]]</f>
        <v>NSW</v>
      </c>
    </row>
    <row r="140" spans="4:17" ht="20.100000000000001" customHeight="1" x14ac:dyDescent="0.25">
      <c r="D140" s="10" t="str" cm="1">
        <f t="array" ref="D140">Common_InputFunctions.Utility_DisplayArrayInTable(Scope3_SourceData.Scope3_Feed_Data(), Table_SourceData_Scope3_Feed[[#Headers],[Category]], -1, 2)</f>
        <v>Hay</v>
      </c>
      <c r="E140" s="10" t="str" cm="1">
        <f t="array" ref="E140">Common_InputFunctions.Utility_DisplayArrayInTable(Scope3_SourceData.Scope3_Feed_Data(), Table_SourceData_Scope3_Feed[[#Headers],[Category]], -1, 2)</f>
        <v>Oaten hay</v>
      </c>
      <c r="F140" s="10" t="str" cm="1">
        <f t="array" ref="F140">Common_InputFunctions.Utility_DisplayArrayInTable(Scope3_SourceData.Scope3_Feed_Data(), Table_SourceData_Scope3_Feed[[#Headers],[Category]], -1, 2)</f>
        <v>QLD</v>
      </c>
      <c r="G140" s="10" t="str" cm="1">
        <f t="array" ref="G140">Common_InputFunctions.Utility_DisplayArrayInTable(Scope3_SourceData.Scope3_Feed_Data(), Table_SourceData_Scope3_Feed[[#Headers],[Category]], -1, 2)</f>
        <v>kg</v>
      </c>
      <c r="H140" s="10" cm="1">
        <f t="array" ref="H140">Common_InputFunctions.Utility_DisplayArrayInTable(Scope3_SourceData.Scope3_Feed_Data(), Table_SourceData_Scope3_Feed[[#Headers],[Category]], -1, 2)</f>
        <v>0.11700000000000001</v>
      </c>
      <c r="I140" s="10" t="str" cm="1">
        <f t="array" ref="I140">Common_InputFunctions.Utility_DisplayArrayInTable(Scope3_SourceData.Scope3_Feed_Data(), Table_SourceData_Scope3_Feed[[#Headers],[Category]], -1, 2)</f>
        <v>at market</v>
      </c>
      <c r="J140" s="10" t="s">
        <v>912</v>
      </c>
      <c r="L140" s="10" t="str">
        <f>Table_SourceData_Scope3_Feed[[#This Row],[Product]]</f>
        <v>Oaten hay</v>
      </c>
      <c r="M140" s="10" t="str">
        <f>Table_SourceData_Scope3_Feed[[#This Row],[Region of origin]]</f>
        <v>QLD</v>
      </c>
    </row>
    <row r="141" spans="4:17" ht="20.100000000000001" customHeight="1" x14ac:dyDescent="0.25">
      <c r="D141" s="10" t="str" cm="1">
        <f t="array" ref="D141">Common_InputFunctions.Utility_DisplayArrayInTable(Scope3_SourceData.Scope3_Feed_Data(), Table_SourceData_Scope3_Feed[[#Headers],[Category]], -1, 2)</f>
        <v>Hay</v>
      </c>
      <c r="E141" s="10" t="str" cm="1">
        <f t="array" ref="E141">Common_InputFunctions.Utility_DisplayArrayInTable(Scope3_SourceData.Scope3_Feed_Data(), Table_SourceData_Scope3_Feed[[#Headers],[Category]], -1, 2)</f>
        <v>Oaten hay</v>
      </c>
      <c r="F141" s="10" t="str" cm="1">
        <f t="array" ref="F141">Common_InputFunctions.Utility_DisplayArrayInTable(Scope3_SourceData.Scope3_Feed_Data(), Table_SourceData_Scope3_Feed[[#Headers],[Category]], -1, 2)</f>
        <v>SA</v>
      </c>
      <c r="G141" s="10" t="str" cm="1">
        <f t="array" ref="G141">Common_InputFunctions.Utility_DisplayArrayInTable(Scope3_SourceData.Scope3_Feed_Data(), Table_SourceData_Scope3_Feed[[#Headers],[Category]], -1, 2)</f>
        <v>kg</v>
      </c>
      <c r="H141" s="10" cm="1">
        <f t="array" ref="H141">Common_InputFunctions.Utility_DisplayArrayInTable(Scope3_SourceData.Scope3_Feed_Data(), Table_SourceData_Scope3_Feed[[#Headers],[Category]], -1, 2)</f>
        <v>0.114</v>
      </c>
      <c r="I141" s="10" t="str" cm="1">
        <f t="array" ref="I141">Common_InputFunctions.Utility_DisplayArrayInTable(Scope3_SourceData.Scope3_Feed_Data(), Table_SourceData_Scope3_Feed[[#Headers],[Category]], -1, 2)</f>
        <v>at market</v>
      </c>
      <c r="J141" s="10" t="s">
        <v>912</v>
      </c>
      <c r="L141" s="10" t="str">
        <f>Table_SourceData_Scope3_Feed[[#This Row],[Product]]</f>
        <v>Oaten hay</v>
      </c>
      <c r="M141" s="10" t="str">
        <f>Table_SourceData_Scope3_Feed[[#This Row],[Region of origin]]</f>
        <v>SA</v>
      </c>
    </row>
    <row r="142" spans="4:17" ht="20.100000000000001" customHeight="1" x14ac:dyDescent="0.25">
      <c r="D142" s="10" t="str" cm="1">
        <f t="array" ref="D142">Common_InputFunctions.Utility_DisplayArrayInTable(Scope3_SourceData.Scope3_Feed_Data(), Table_SourceData_Scope3_Feed[[#Headers],[Category]], -1, 2)</f>
        <v>Hay</v>
      </c>
      <c r="E142" s="10" t="str" cm="1">
        <f t="array" ref="E142">Common_InputFunctions.Utility_DisplayArrayInTable(Scope3_SourceData.Scope3_Feed_Data(), Table_SourceData_Scope3_Feed[[#Headers],[Category]], -1, 2)</f>
        <v>Oaten hay</v>
      </c>
      <c r="F142" s="10" t="str" cm="1">
        <f t="array" ref="F142">Common_InputFunctions.Utility_DisplayArrayInTable(Scope3_SourceData.Scope3_Feed_Data(), Table_SourceData_Scope3_Feed[[#Headers],[Category]], -1, 2)</f>
        <v>VIC</v>
      </c>
      <c r="G142" s="10" t="str" cm="1">
        <f t="array" ref="G142">Common_InputFunctions.Utility_DisplayArrayInTable(Scope3_SourceData.Scope3_Feed_Data(), Table_SourceData_Scope3_Feed[[#Headers],[Category]], -1, 2)</f>
        <v>kg</v>
      </c>
      <c r="H142" s="10" cm="1">
        <f t="array" ref="H142">Common_InputFunctions.Utility_DisplayArrayInTable(Scope3_SourceData.Scope3_Feed_Data(), Table_SourceData_Scope3_Feed[[#Headers],[Category]], -1, 2)</f>
        <v>0.11799999999999999</v>
      </c>
      <c r="I142" s="10" t="str" cm="1">
        <f t="array" ref="I142">Common_InputFunctions.Utility_DisplayArrayInTable(Scope3_SourceData.Scope3_Feed_Data(), Table_SourceData_Scope3_Feed[[#Headers],[Category]], -1, 2)</f>
        <v>at market</v>
      </c>
      <c r="J142" s="10" t="s">
        <v>912</v>
      </c>
      <c r="L142" s="10" t="str">
        <f>Table_SourceData_Scope3_Feed[[#This Row],[Product]]</f>
        <v>Oaten hay</v>
      </c>
      <c r="M142" s="10" t="str">
        <f>Table_SourceData_Scope3_Feed[[#This Row],[Region of origin]]</f>
        <v>VIC</v>
      </c>
    </row>
    <row r="143" spans="4:17" ht="20.100000000000001" customHeight="1" x14ac:dyDescent="0.25">
      <c r="D143" s="10" t="str" cm="1">
        <f t="array" ref="D143">Common_InputFunctions.Utility_DisplayArrayInTable(Scope3_SourceData.Scope3_Feed_Data(), Table_SourceData_Scope3_Feed[[#Headers],[Category]], -1, 2)</f>
        <v>Hay</v>
      </c>
      <c r="E143" s="10" t="str" cm="1">
        <f t="array" ref="E143">Common_InputFunctions.Utility_DisplayArrayInTable(Scope3_SourceData.Scope3_Feed_Data(), Table_SourceData_Scope3_Feed[[#Headers],[Category]], -1, 2)</f>
        <v>Oaten hay</v>
      </c>
      <c r="F143" s="10" t="str" cm="1">
        <f t="array" ref="F143">Common_InputFunctions.Utility_DisplayArrayInTable(Scope3_SourceData.Scope3_Feed_Data(), Table_SourceData_Scope3_Feed[[#Headers],[Category]], -1, 2)</f>
        <v>WA</v>
      </c>
      <c r="G143" s="10" t="str" cm="1">
        <f t="array" ref="G143">Common_InputFunctions.Utility_DisplayArrayInTable(Scope3_SourceData.Scope3_Feed_Data(), Table_SourceData_Scope3_Feed[[#Headers],[Category]], -1, 2)</f>
        <v>kg</v>
      </c>
      <c r="H143" s="10" cm="1">
        <f t="array" ref="H143">Common_InputFunctions.Utility_DisplayArrayInTable(Scope3_SourceData.Scope3_Feed_Data(), Table_SourceData_Scope3_Feed[[#Headers],[Category]], -1, 2)</f>
        <v>0.124</v>
      </c>
      <c r="I143" s="10" t="str" cm="1">
        <f t="array" ref="I143">Common_InputFunctions.Utility_DisplayArrayInTable(Scope3_SourceData.Scope3_Feed_Data(), Table_SourceData_Scope3_Feed[[#Headers],[Category]], -1, 2)</f>
        <v>at market</v>
      </c>
      <c r="J143" s="10" t="s">
        <v>912</v>
      </c>
      <c r="L143" s="10" t="str">
        <f>Table_SourceData_Scope3_Feed[[#This Row],[Product]]</f>
        <v>Oaten hay</v>
      </c>
      <c r="M143" s="10" t="str">
        <f>Table_SourceData_Scope3_Feed[[#This Row],[Region of origin]]</f>
        <v>WA</v>
      </c>
      <c r="O143" s="10" t="s">
        <v>212</v>
      </c>
      <c r="P143" s="10" t="s">
        <v>380</v>
      </c>
      <c r="Q143" s="8" t="str">
        <f>"Table_ProductRegions_" &amp; SUBSTITUTE(SUBSTITUTE(SUBSTITUTE(SUBSTITUTE(O144, " ", ""), ",", ""), "(", ""), ")", "")</f>
        <v>Table_ProductRegions_Pasturehay</v>
      </c>
    </row>
    <row r="144" spans="4:17" ht="20.100000000000001" customHeight="1" x14ac:dyDescent="0.25">
      <c r="D144" s="10" t="str" cm="1">
        <f t="array" ref="D144">Common_InputFunctions.Utility_DisplayArrayInTable(Scope3_SourceData.Scope3_Feed_Data(), Table_SourceData_Scope3_Feed[[#Headers],[Category]], -1, 2)</f>
        <v>Hay</v>
      </c>
      <c r="E144" s="10" t="str" cm="1">
        <f t="array" ref="E144">Common_InputFunctions.Utility_DisplayArrayInTable(Scope3_SourceData.Scope3_Feed_Data(), Table_SourceData_Scope3_Feed[[#Headers],[Category]], -1, 2)</f>
        <v>Pasture hay</v>
      </c>
      <c r="F144" s="10" t="str" cm="1">
        <f t="array" ref="F144">Common_InputFunctions.Utility_DisplayArrayInTable(Scope3_SourceData.Scope3_Feed_Data(), Table_SourceData_Scope3_Feed[[#Headers],[Category]], -1, 2)</f>
        <v>Australia</v>
      </c>
      <c r="G144" s="10" t="str" cm="1">
        <f t="array" ref="G144">Common_InputFunctions.Utility_DisplayArrayInTable(Scope3_SourceData.Scope3_Feed_Data(), Table_SourceData_Scope3_Feed[[#Headers],[Category]], -1, 2)</f>
        <v>kg</v>
      </c>
      <c r="H144" s="10" cm="1">
        <f t="array" ref="H144">Common_InputFunctions.Utility_DisplayArrayInTable(Scope3_SourceData.Scope3_Feed_Data(), Table_SourceData_Scope3_Feed[[#Headers],[Category]], -1, 2)</f>
        <v>0.33900000000000002</v>
      </c>
      <c r="I144" s="10" t="str" cm="1">
        <f t="array" ref="I144">Common_InputFunctions.Utility_DisplayArrayInTable(Scope3_SourceData.Scope3_Feed_Data(), Table_SourceData_Scope3_Feed[[#Headers],[Category]], -1, 2)</f>
        <v>at market</v>
      </c>
      <c r="J144" s="10" t="s">
        <v>912</v>
      </c>
      <c r="O144" s="10" t="str">
        <f>Table_SourceData_Scope3_Feed[[#This Row],[Product]]</f>
        <v>Pasture hay</v>
      </c>
      <c r="P144" s="10" t="str">
        <f>Table_SourceData_Scope3_Feed[[#This Row],[Region of origin]]</f>
        <v>Australia</v>
      </c>
    </row>
    <row r="145" spans="4:17" ht="20.100000000000001" customHeight="1" x14ac:dyDescent="0.25">
      <c r="D145" s="10" t="str" cm="1">
        <f t="array" ref="D145">Common_InputFunctions.Utility_DisplayArrayInTable(Scope3_SourceData.Scope3_Feed_Data(), Table_SourceData_Scope3_Feed[[#Headers],[Category]], -1, 2)</f>
        <v>Hay</v>
      </c>
      <c r="E145" s="10" t="str" cm="1">
        <f t="array" ref="E145">Common_InputFunctions.Utility_DisplayArrayInTable(Scope3_SourceData.Scope3_Feed_Data(), Table_SourceData_Scope3_Feed[[#Headers],[Category]], -1, 2)</f>
        <v>Pasture hay</v>
      </c>
      <c r="F145" s="10" t="str" cm="1">
        <f t="array" ref="F145">Common_InputFunctions.Utility_DisplayArrayInTable(Scope3_SourceData.Scope3_Feed_Data(), Table_SourceData_Scope3_Feed[[#Headers],[Category]], -1, 2)</f>
        <v>NSW</v>
      </c>
      <c r="G145" s="10" t="str" cm="1">
        <f t="array" ref="G145">Common_InputFunctions.Utility_DisplayArrayInTable(Scope3_SourceData.Scope3_Feed_Data(), Table_SourceData_Scope3_Feed[[#Headers],[Category]], -1, 2)</f>
        <v>kg</v>
      </c>
      <c r="H145" s="10" cm="1">
        <f t="array" ref="H145">Common_InputFunctions.Utility_DisplayArrayInTable(Scope3_SourceData.Scope3_Feed_Data(), Table_SourceData_Scope3_Feed[[#Headers],[Category]], -1, 2)</f>
        <v>0.311</v>
      </c>
      <c r="I145" s="10" t="str" cm="1">
        <f t="array" ref="I145">Common_InputFunctions.Utility_DisplayArrayInTable(Scope3_SourceData.Scope3_Feed_Data(), Table_SourceData_Scope3_Feed[[#Headers],[Category]], -1, 2)</f>
        <v>at market</v>
      </c>
      <c r="J145" s="10" t="s">
        <v>912</v>
      </c>
      <c r="O145" s="10" t="str">
        <f>Table_SourceData_Scope3_Feed[[#This Row],[Product]]</f>
        <v>Pasture hay</v>
      </c>
      <c r="P145" s="10" t="str">
        <f>Table_SourceData_Scope3_Feed[[#This Row],[Region of origin]]</f>
        <v>NSW</v>
      </c>
    </row>
    <row r="146" spans="4:17" ht="20.100000000000001" customHeight="1" x14ac:dyDescent="0.25">
      <c r="D146" s="10" t="str" cm="1">
        <f t="array" ref="D146">Common_InputFunctions.Utility_DisplayArrayInTable(Scope3_SourceData.Scope3_Feed_Data(), Table_SourceData_Scope3_Feed[[#Headers],[Category]], -1, 2)</f>
        <v>Hay</v>
      </c>
      <c r="E146" s="10" t="str" cm="1">
        <f t="array" ref="E146">Common_InputFunctions.Utility_DisplayArrayInTable(Scope3_SourceData.Scope3_Feed_Data(), Table_SourceData_Scope3_Feed[[#Headers],[Category]], -1, 2)</f>
        <v>Pasture hay</v>
      </c>
      <c r="F146" s="10" t="str" cm="1">
        <f t="array" ref="F146">Common_InputFunctions.Utility_DisplayArrayInTable(Scope3_SourceData.Scope3_Feed_Data(), Table_SourceData_Scope3_Feed[[#Headers],[Category]], -1, 2)</f>
        <v>QLD</v>
      </c>
      <c r="G146" s="10" t="str" cm="1">
        <f t="array" ref="G146">Common_InputFunctions.Utility_DisplayArrayInTable(Scope3_SourceData.Scope3_Feed_Data(), Table_SourceData_Scope3_Feed[[#Headers],[Category]], -1, 2)</f>
        <v>kg</v>
      </c>
      <c r="H146" s="10" cm="1">
        <f t="array" ref="H146">Common_InputFunctions.Utility_DisplayArrayInTable(Scope3_SourceData.Scope3_Feed_Data(), Table_SourceData_Scope3_Feed[[#Headers],[Category]], -1, 2)</f>
        <v>0.254</v>
      </c>
      <c r="I146" s="10" t="str" cm="1">
        <f t="array" ref="I146">Common_InputFunctions.Utility_DisplayArrayInTable(Scope3_SourceData.Scope3_Feed_Data(), Table_SourceData_Scope3_Feed[[#Headers],[Category]], -1, 2)</f>
        <v>at market</v>
      </c>
      <c r="J146" s="10" t="s">
        <v>912</v>
      </c>
      <c r="O146" s="10" t="str">
        <f>Table_SourceData_Scope3_Feed[[#This Row],[Product]]</f>
        <v>Pasture hay</v>
      </c>
      <c r="P146" s="10" t="str">
        <f>Table_SourceData_Scope3_Feed[[#This Row],[Region of origin]]</f>
        <v>QLD</v>
      </c>
    </row>
    <row r="147" spans="4:17" ht="20.100000000000001" customHeight="1" x14ac:dyDescent="0.25">
      <c r="D147" s="10" t="str" cm="1">
        <f t="array" ref="D147">Common_InputFunctions.Utility_DisplayArrayInTable(Scope3_SourceData.Scope3_Feed_Data(), Table_SourceData_Scope3_Feed[[#Headers],[Category]], -1, 2)</f>
        <v>Hay</v>
      </c>
      <c r="E147" s="10" t="str" cm="1">
        <f t="array" ref="E147">Common_InputFunctions.Utility_DisplayArrayInTable(Scope3_SourceData.Scope3_Feed_Data(), Table_SourceData_Scope3_Feed[[#Headers],[Category]], -1, 2)</f>
        <v>Pasture hay</v>
      </c>
      <c r="F147" s="10" t="str" cm="1">
        <f t="array" ref="F147">Common_InputFunctions.Utility_DisplayArrayInTable(Scope3_SourceData.Scope3_Feed_Data(), Table_SourceData_Scope3_Feed[[#Headers],[Category]], -1, 2)</f>
        <v>SA</v>
      </c>
      <c r="G147" s="10" t="str" cm="1">
        <f t="array" ref="G147">Common_InputFunctions.Utility_DisplayArrayInTable(Scope3_SourceData.Scope3_Feed_Data(), Table_SourceData_Scope3_Feed[[#Headers],[Category]], -1, 2)</f>
        <v>kg</v>
      </c>
      <c r="H147" s="10" cm="1">
        <f t="array" ref="H147">Common_InputFunctions.Utility_DisplayArrayInTable(Scope3_SourceData.Scope3_Feed_Data(), Table_SourceData_Scope3_Feed[[#Headers],[Category]], -1, 2)</f>
        <v>0.313</v>
      </c>
      <c r="I147" s="10" t="str" cm="1">
        <f t="array" ref="I147">Common_InputFunctions.Utility_DisplayArrayInTable(Scope3_SourceData.Scope3_Feed_Data(), Table_SourceData_Scope3_Feed[[#Headers],[Category]], -1, 2)</f>
        <v>at market</v>
      </c>
      <c r="J147" s="10" t="s">
        <v>912</v>
      </c>
      <c r="O147" s="10" t="str">
        <f>Table_SourceData_Scope3_Feed[[#This Row],[Product]]</f>
        <v>Pasture hay</v>
      </c>
      <c r="P147" s="10" t="str">
        <f>Table_SourceData_Scope3_Feed[[#This Row],[Region of origin]]</f>
        <v>SA</v>
      </c>
    </row>
    <row r="148" spans="4:17" ht="20.100000000000001" customHeight="1" x14ac:dyDescent="0.25">
      <c r="D148" s="10" t="str" cm="1">
        <f t="array" ref="D148">Common_InputFunctions.Utility_DisplayArrayInTable(Scope3_SourceData.Scope3_Feed_Data(), Table_SourceData_Scope3_Feed[[#Headers],[Category]], -1, 2)</f>
        <v>Hay</v>
      </c>
      <c r="E148" s="10" t="str" cm="1">
        <f t="array" ref="E148">Common_InputFunctions.Utility_DisplayArrayInTable(Scope3_SourceData.Scope3_Feed_Data(), Table_SourceData_Scope3_Feed[[#Headers],[Category]], -1, 2)</f>
        <v>Pasture hay</v>
      </c>
      <c r="F148" s="10" t="str" cm="1">
        <f t="array" ref="F148">Common_InputFunctions.Utility_DisplayArrayInTable(Scope3_SourceData.Scope3_Feed_Data(), Table_SourceData_Scope3_Feed[[#Headers],[Category]], -1, 2)</f>
        <v>TAS</v>
      </c>
      <c r="G148" s="10" t="str" cm="1">
        <f t="array" ref="G148">Common_InputFunctions.Utility_DisplayArrayInTable(Scope3_SourceData.Scope3_Feed_Data(), Table_SourceData_Scope3_Feed[[#Headers],[Category]], -1, 2)</f>
        <v>kg</v>
      </c>
      <c r="H148" s="10" cm="1">
        <f t="array" ref="H148">Common_InputFunctions.Utility_DisplayArrayInTable(Scope3_SourceData.Scope3_Feed_Data(), Table_SourceData_Scope3_Feed[[#Headers],[Category]], -1, 2)</f>
        <v>0.39800000000000002</v>
      </c>
      <c r="I148" s="10" t="str" cm="1">
        <f t="array" ref="I148">Common_InputFunctions.Utility_DisplayArrayInTable(Scope3_SourceData.Scope3_Feed_Data(), Table_SourceData_Scope3_Feed[[#Headers],[Category]], -1, 2)</f>
        <v>at market</v>
      </c>
      <c r="J148" s="10" t="s">
        <v>912</v>
      </c>
      <c r="O148" s="10" t="str">
        <f>Table_SourceData_Scope3_Feed[[#This Row],[Product]]</f>
        <v>Pasture hay</v>
      </c>
      <c r="P148" s="10" t="str">
        <f>Table_SourceData_Scope3_Feed[[#This Row],[Region of origin]]</f>
        <v>TAS</v>
      </c>
    </row>
    <row r="149" spans="4:17" ht="20.100000000000001" customHeight="1" x14ac:dyDescent="0.25">
      <c r="D149" s="10" t="str" cm="1">
        <f t="array" ref="D149">Common_InputFunctions.Utility_DisplayArrayInTable(Scope3_SourceData.Scope3_Feed_Data(), Table_SourceData_Scope3_Feed[[#Headers],[Category]], -1, 2)</f>
        <v>Hay</v>
      </c>
      <c r="E149" s="10" t="str" cm="1">
        <f t="array" ref="E149">Common_InputFunctions.Utility_DisplayArrayInTable(Scope3_SourceData.Scope3_Feed_Data(), Table_SourceData_Scope3_Feed[[#Headers],[Category]], -1, 2)</f>
        <v>Pasture hay</v>
      </c>
      <c r="F149" s="10" t="str" cm="1">
        <f t="array" ref="F149">Common_InputFunctions.Utility_DisplayArrayInTable(Scope3_SourceData.Scope3_Feed_Data(), Table_SourceData_Scope3_Feed[[#Headers],[Category]], -1, 2)</f>
        <v>VIC</v>
      </c>
      <c r="G149" s="10" t="str" cm="1">
        <f t="array" ref="G149">Common_InputFunctions.Utility_DisplayArrayInTable(Scope3_SourceData.Scope3_Feed_Data(), Table_SourceData_Scope3_Feed[[#Headers],[Category]], -1, 2)</f>
        <v>kg</v>
      </c>
      <c r="H149" s="10" cm="1">
        <f t="array" ref="H149">Common_InputFunctions.Utility_DisplayArrayInTable(Scope3_SourceData.Scope3_Feed_Data(), Table_SourceData_Scope3_Feed[[#Headers],[Category]], -1, 2)</f>
        <v>0.34499999999999997</v>
      </c>
      <c r="I149" s="10" t="str" cm="1">
        <f t="array" ref="I149">Common_InputFunctions.Utility_DisplayArrayInTable(Scope3_SourceData.Scope3_Feed_Data(), Table_SourceData_Scope3_Feed[[#Headers],[Category]], -1, 2)</f>
        <v>at market</v>
      </c>
      <c r="J149" s="10" t="s">
        <v>912</v>
      </c>
      <c r="O149" s="10" t="str">
        <f>Table_SourceData_Scope3_Feed[[#This Row],[Product]]</f>
        <v>Pasture hay</v>
      </c>
      <c r="P149" s="10" t="str">
        <f>Table_SourceData_Scope3_Feed[[#This Row],[Region of origin]]</f>
        <v>VIC</v>
      </c>
    </row>
    <row r="150" spans="4:17" ht="20.100000000000001" customHeight="1" x14ac:dyDescent="0.25">
      <c r="D150" s="10" t="str" cm="1">
        <f t="array" ref="D150">Common_InputFunctions.Utility_DisplayArrayInTable(Scope3_SourceData.Scope3_Feed_Data(), Table_SourceData_Scope3_Feed[[#Headers],[Category]], -1, 2)</f>
        <v>Hay</v>
      </c>
      <c r="E150" s="10" t="str" cm="1">
        <f t="array" ref="E150">Common_InputFunctions.Utility_DisplayArrayInTable(Scope3_SourceData.Scope3_Feed_Data(), Table_SourceData_Scope3_Feed[[#Headers],[Category]], -1, 2)</f>
        <v>Pasture hay</v>
      </c>
      <c r="F150" s="10" t="str" cm="1">
        <f t="array" ref="F150">Common_InputFunctions.Utility_DisplayArrayInTable(Scope3_SourceData.Scope3_Feed_Data(), Table_SourceData_Scope3_Feed[[#Headers],[Category]], -1, 2)</f>
        <v>WA</v>
      </c>
      <c r="G150" s="10" t="str" cm="1">
        <f t="array" ref="G150">Common_InputFunctions.Utility_DisplayArrayInTable(Scope3_SourceData.Scope3_Feed_Data(), Table_SourceData_Scope3_Feed[[#Headers],[Category]], -1, 2)</f>
        <v>kg</v>
      </c>
      <c r="H150" s="10" cm="1">
        <f t="array" ref="H150">Common_InputFunctions.Utility_DisplayArrayInTable(Scope3_SourceData.Scope3_Feed_Data(), Table_SourceData_Scope3_Feed[[#Headers],[Category]], -1, 2)</f>
        <v>0.36799999999999999</v>
      </c>
      <c r="I150" s="10" t="str" cm="1">
        <f t="array" ref="I150">Common_InputFunctions.Utility_DisplayArrayInTable(Scope3_SourceData.Scope3_Feed_Data(), Table_SourceData_Scope3_Feed[[#Headers],[Category]], -1, 2)</f>
        <v>at market</v>
      </c>
      <c r="J150" s="10" t="s">
        <v>912</v>
      </c>
      <c r="L150" s="144" t="s">
        <v>212</v>
      </c>
      <c r="M150" s="144" t="s">
        <v>380</v>
      </c>
      <c r="N150" s="8" t="str">
        <f>"Table_ProductRegions_" &amp; SUBSTITUTE(SUBSTITUTE(SUBSTITUTE(SUBSTITUTE(L151, " ", ""), ",", ""), "(", ""), ")", "")</f>
        <v>Table_ProductRegions_Canolameal</v>
      </c>
      <c r="O150" s="10" t="str">
        <f>Table_SourceData_Scope3_Feed[[#This Row],[Product]]</f>
        <v>Pasture hay</v>
      </c>
      <c r="P150" s="10" t="str">
        <f>Table_SourceData_Scope3_Feed[[#This Row],[Region of origin]]</f>
        <v>WA</v>
      </c>
    </row>
    <row r="151" spans="4:17" ht="20.100000000000001" customHeight="1" x14ac:dyDescent="0.25">
      <c r="D151" s="10" t="str" cm="1">
        <f t="array" ref="D151">Common_InputFunctions.Utility_DisplayArrayInTable(Scope3_SourceData.Scope3_Feed_Data(), Table_SourceData_Scope3_Feed[[#Headers],[Category]], -1, 2)</f>
        <v>Meal</v>
      </c>
      <c r="E151" s="10" t="str" cm="1">
        <f t="array" ref="E151">Common_InputFunctions.Utility_DisplayArrayInTable(Scope3_SourceData.Scope3_Feed_Data(), Table_SourceData_Scope3_Feed[[#Headers],[Category]], -1, 2)</f>
        <v>Canola meal</v>
      </c>
      <c r="F151" s="10" t="str" cm="1">
        <f t="array" ref="F151">Common_InputFunctions.Utility_DisplayArrayInTable(Scope3_SourceData.Scope3_Feed_Data(), Table_SourceData_Scope3_Feed[[#Headers],[Category]], -1, 2)</f>
        <v>Australia</v>
      </c>
      <c r="G151" s="10" t="str" cm="1">
        <f t="array" ref="G151">Common_InputFunctions.Utility_DisplayArrayInTable(Scope3_SourceData.Scope3_Feed_Data(), Table_SourceData_Scope3_Feed[[#Headers],[Category]], -1, 2)</f>
        <v>kg</v>
      </c>
      <c r="H151" s="10" cm="1">
        <f t="array" ref="H151">Common_InputFunctions.Utility_DisplayArrayInTable(Scope3_SourceData.Scope3_Feed_Data(), Table_SourceData_Scope3_Feed[[#Headers],[Category]], -1, 2)</f>
        <v>0.24399999999999999</v>
      </c>
      <c r="I151" s="10" t="str" cm="1">
        <f t="array" ref="I151">Common_InputFunctions.Utility_DisplayArrayInTable(Scope3_SourceData.Scope3_Feed_Data(), Table_SourceData_Scope3_Feed[[#Headers],[Category]], -1, 2)</f>
        <v>at market</v>
      </c>
      <c r="J151" s="10" t="s">
        <v>912</v>
      </c>
      <c r="L151" s="8" t="str">
        <f>Table_SourceData_Scope3_Feed[[#This Row],[Product]]</f>
        <v>Canola meal</v>
      </c>
      <c r="M151" s="8" t="str">
        <f>Table_SourceData_Scope3_Feed[[#This Row],[Region of origin]]</f>
        <v>Australia</v>
      </c>
      <c r="O151" s="10" t="s">
        <v>212</v>
      </c>
      <c r="P151" s="10" t="s">
        <v>380</v>
      </c>
      <c r="Q151" s="8" t="str">
        <f>"Table_ProductRegions_" &amp; SUBSTITUTE(SUBSTITUTE(SUBSTITUTE(SUBSTITUTE(O152, " ", ""), ",", ""), "(", ""), ")", "")</f>
        <v>Table_ProductRegions_Meatmeal</v>
      </c>
    </row>
    <row r="152" spans="4:17" ht="20.100000000000001" customHeight="1" x14ac:dyDescent="0.25">
      <c r="D152" s="10" t="str" cm="1">
        <f t="array" ref="D152">Common_InputFunctions.Utility_DisplayArrayInTable(Scope3_SourceData.Scope3_Feed_Data(), Table_SourceData_Scope3_Feed[[#Headers],[Category]], -1, 2)</f>
        <v>Meal</v>
      </c>
      <c r="E152" s="10" t="str" cm="1">
        <f t="array" ref="E152">Common_InputFunctions.Utility_DisplayArrayInTable(Scope3_SourceData.Scope3_Feed_Data(), Table_SourceData_Scope3_Feed[[#Headers],[Category]], -1, 2)</f>
        <v>Meat meal</v>
      </c>
      <c r="F152" s="10" t="str" cm="1">
        <f t="array" ref="F152">Common_InputFunctions.Utility_DisplayArrayInTable(Scope3_SourceData.Scope3_Feed_Data(), Table_SourceData_Scope3_Feed[[#Headers],[Category]], -1, 2)</f>
        <v>Australia</v>
      </c>
      <c r="G152" s="10" t="str" cm="1">
        <f t="array" ref="G152">Common_InputFunctions.Utility_DisplayArrayInTable(Scope3_SourceData.Scope3_Feed_Data(), Table_SourceData_Scope3_Feed[[#Headers],[Category]], -1, 2)</f>
        <v>kg</v>
      </c>
      <c r="H152" s="10" cm="1">
        <f t="array" ref="H152">Common_InputFunctions.Utility_DisplayArrayInTable(Scope3_SourceData.Scope3_Feed_Data(), Table_SourceData_Scope3_Feed[[#Headers],[Category]], -1, 2)</f>
        <v>0.40799999999999997</v>
      </c>
      <c r="I152" s="10" t="str" cm="1">
        <f t="array" ref="I152">Common_InputFunctions.Utility_DisplayArrayInTable(Scope3_SourceData.Scope3_Feed_Data(), Table_SourceData_Scope3_Feed[[#Headers],[Category]], -1, 2)</f>
        <v>at market</v>
      </c>
      <c r="J152" s="10" t="s">
        <v>912</v>
      </c>
      <c r="L152" s="10" t="s">
        <v>212</v>
      </c>
      <c r="M152" s="10" t="s">
        <v>380</v>
      </c>
      <c r="N152" s="8" t="str">
        <f>"Table_ProductRegions_" &amp; SUBSTITUTE(SUBSTITUTE(SUBSTITUTE(SUBSTITUTE(L153, " ", ""), ",", ""), "(", ""), ")", "")</f>
        <v>Table_ProductRegions_Soybeanmeal</v>
      </c>
      <c r="O152" s="10" t="str">
        <f>Table_SourceData_Scope3_Feed[[#This Row],[Product]]</f>
        <v>Meat meal</v>
      </c>
      <c r="P152" s="10" t="str">
        <f>Table_SourceData_Scope3_Feed[[#This Row],[Region of origin]]</f>
        <v>Australia</v>
      </c>
    </row>
    <row r="153" spans="4:17" ht="20.100000000000001" customHeight="1" x14ac:dyDescent="0.25">
      <c r="D153" s="10" t="str" cm="1">
        <f t="array" ref="D153">Common_InputFunctions.Utility_DisplayArrayInTable(Scope3_SourceData.Scope3_Feed_Data(), Table_SourceData_Scope3_Feed[[#Headers],[Category]], -1, 2)</f>
        <v>Meal</v>
      </c>
      <c r="E153" s="10" t="str" cm="1">
        <f t="array" ref="E153">Common_InputFunctions.Utility_DisplayArrayInTable(Scope3_SourceData.Scope3_Feed_Data(), Table_SourceData_Scope3_Feed[[#Headers],[Category]], -1, 2)</f>
        <v>Soybean meal</v>
      </c>
      <c r="F153" s="10" t="str" cm="1">
        <f t="array" ref="F153">Common_InputFunctions.Utility_DisplayArrayInTable(Scope3_SourceData.Scope3_Feed_Data(), Table_SourceData_Scope3_Feed[[#Headers],[Category]], -1, 2)</f>
        <v>Brazil</v>
      </c>
      <c r="G153" s="10" t="str" cm="1">
        <f t="array" ref="G153">Common_InputFunctions.Utility_DisplayArrayInTable(Scope3_SourceData.Scope3_Feed_Data(), Table_SourceData_Scope3_Feed[[#Headers],[Category]], -1, 2)</f>
        <v>kg</v>
      </c>
      <c r="H153" s="10" cm="1">
        <f t="array" ref="H153">Common_InputFunctions.Utility_DisplayArrayInTable(Scope3_SourceData.Scope3_Feed_Data(), Table_SourceData_Scope3_Feed[[#Headers],[Category]], -1, 2)</f>
        <v>0.42599999999999999</v>
      </c>
      <c r="I153" s="10" t="str" cm="1">
        <f t="array" ref="I153">Common_InputFunctions.Utility_DisplayArrayInTable(Scope3_SourceData.Scope3_Feed_Data(), Table_SourceData_Scope3_Feed[[#Headers],[Category]], -1, 2)</f>
        <v>at market</v>
      </c>
      <c r="J153" s="10" t="s">
        <v>912</v>
      </c>
      <c r="L153" s="10" t="str">
        <f>Table_SourceData_Scope3_Feed[[#This Row],[Product]]</f>
        <v>Soybean meal</v>
      </c>
      <c r="M153" s="10" t="str">
        <f>Table_SourceData_Scope3_Feed[[#This Row],[Region of origin]]</f>
        <v>Brazil</v>
      </c>
      <c r="O153" s="10" t="s">
        <v>212</v>
      </c>
      <c r="P153" s="10" t="s">
        <v>380</v>
      </c>
      <c r="Q153" s="8" t="str">
        <f>"Table_ProductRegions_" &amp; SUBSTITUTE(SUBSTITUTE(SUBSTITUTE(SUBSTITUTE(O154, " ", ""), ",", ""), "(", ""), ")", "")</f>
        <v>Table_ProductRegions_Wheatbran</v>
      </c>
    </row>
    <row r="154" spans="4:17" ht="20.100000000000001" customHeight="1" x14ac:dyDescent="0.25">
      <c r="D154" s="10" t="str" cm="1">
        <f t="array" ref="D154">Common_InputFunctions.Utility_DisplayArrayInTable(Scope3_SourceData.Scope3_Feed_Data(), Table_SourceData_Scope3_Feed[[#Headers],[Category]], -1, 2)</f>
        <v>Meal</v>
      </c>
      <c r="E154" s="10" t="str" cm="1">
        <f t="array" ref="E154">Common_InputFunctions.Utility_DisplayArrayInTable(Scope3_SourceData.Scope3_Feed_Data(), Table_SourceData_Scope3_Feed[[#Headers],[Category]], -1, 2)</f>
        <v>Wheat bran</v>
      </c>
      <c r="F154" s="10" t="str" cm="1">
        <f t="array" ref="F154">Common_InputFunctions.Utility_DisplayArrayInTable(Scope3_SourceData.Scope3_Feed_Data(), Table_SourceData_Scope3_Feed[[#Headers],[Category]], -1, 2)</f>
        <v>Australia</v>
      </c>
      <c r="G154" s="10" t="str" cm="1">
        <f t="array" ref="G154">Common_InputFunctions.Utility_DisplayArrayInTable(Scope3_SourceData.Scope3_Feed_Data(), Table_SourceData_Scope3_Feed[[#Headers],[Category]], -1, 2)</f>
        <v>kg</v>
      </c>
      <c r="H154" s="10" cm="1">
        <f t="array" ref="H154">Common_InputFunctions.Utility_DisplayArrayInTable(Scope3_SourceData.Scope3_Feed_Data(), Table_SourceData_Scope3_Feed[[#Headers],[Category]], -1, 2)</f>
        <v>0.19600000000000001</v>
      </c>
      <c r="I154" s="10" t="str" cm="1">
        <f t="array" ref="I154">Common_InputFunctions.Utility_DisplayArrayInTable(Scope3_SourceData.Scope3_Feed_Data(), Table_SourceData_Scope3_Feed[[#Headers],[Category]], -1, 2)</f>
        <v>at market</v>
      </c>
      <c r="J154" s="10" t="s">
        <v>912</v>
      </c>
      <c r="L154" s="10" t="s">
        <v>212</v>
      </c>
      <c r="M154" s="10" t="s">
        <v>380</v>
      </c>
      <c r="N154" s="8" t="str">
        <f>"Table_ProductRegions_" &amp; SUBSTITUTE(SUBSTITUTE(SUBSTITUTE(SUBSTITUTE(L155, " ", ""), ",", ""), "(", ""), ")", "")</f>
        <v>Table_ProductRegions_Bentonite</v>
      </c>
      <c r="O154" s="10" t="str">
        <f>Table_SourceData_Scope3_Feed[[#This Row],[Product]]</f>
        <v>Wheat bran</v>
      </c>
      <c r="P154" s="10" t="str">
        <f>Table_SourceData_Scope3_Feed[[#This Row],[Region of origin]]</f>
        <v>Australia</v>
      </c>
    </row>
    <row r="155" spans="4:17" ht="20.100000000000001" customHeight="1" x14ac:dyDescent="0.25">
      <c r="D155" s="8" t="str" cm="1">
        <f t="array" ref="D155">Common_InputFunctions.Utility_DisplayArrayInTable(Scope3_SourceData.Scope3_Feed_Data(), Table_SourceData_Scope3_Feed[[#Headers],[Category]], -5, 2)</f>
        <v>Other</v>
      </c>
      <c r="E155" s="8" t="str" cm="1">
        <f t="array" ref="E155">Common_InputFunctions.Utility_DisplayArrayInTable(Scope3_SourceData.Scope3_Feed_Data(), Table_SourceData_Scope3_Feed[[#Headers],[Category]], -5, 2)</f>
        <v>Bentonite</v>
      </c>
      <c r="F155" s="8" t="str" cm="1">
        <f t="array" ref="F155">Common_InputFunctions.Utility_DisplayArrayInTable(Scope3_SourceData.Scope3_Feed_Data(), Table_SourceData_Scope3_Feed[[#Headers],[Category]], -5, 2)</f>
        <v>Australia</v>
      </c>
      <c r="G155" s="8" t="str" cm="1">
        <f t="array" ref="G155">Common_InputFunctions.Utility_DisplayArrayInTable(Scope3_SourceData.Scope3_Feed_Data(), Table_SourceData_Scope3_Feed[[#Headers],[Category]], -5, 2)</f>
        <v>kg</v>
      </c>
      <c r="H155" s="8" cm="1">
        <f t="array" ref="H155">Common_InputFunctions.Utility_DisplayArrayInTable(Scope3_SourceData.Scope3_Feed_Data(), Table_SourceData_Scope3_Feed[[#Headers],[Category]], -5, 2)</f>
        <v>6.5199999999999994E-2</v>
      </c>
      <c r="I155" s="8" t="str" cm="1">
        <f t="array" ref="I155">Common_InputFunctions.Utility_DisplayArrayInTable(Scope3_SourceData.Scope3_Feed_Data(), Table_SourceData_Scope3_Feed[[#Headers],[Category]], -5, 2)</f>
        <v>at market</v>
      </c>
      <c r="J155" s="10" t="s">
        <v>912</v>
      </c>
      <c r="L155" s="10" t="str">
        <f>Table_SourceData_Scope3_Feed[[#This Row],[Product]]</f>
        <v>Bentonite</v>
      </c>
      <c r="M155" s="10" t="str">
        <f>Table_SourceData_Scope3_Feed[[#This Row],[Region of origin]]</f>
        <v>Australia</v>
      </c>
      <c r="O155" s="10" t="s">
        <v>212</v>
      </c>
      <c r="P155" s="10" t="s">
        <v>380</v>
      </c>
      <c r="Q155" s="8" t="str">
        <f>"Table_ProductRegions_" &amp; SUBSTITUTE(SUBSTITUTE(SUBSTITUTE(SUBSTITUTE(O156, " ", ""), ",", ""), "(", ""), ")", "")</f>
        <v>Table_ProductRegions_Canolaoil</v>
      </c>
    </row>
    <row r="156" spans="4:17" ht="20.100000000000001" customHeight="1" x14ac:dyDescent="0.25">
      <c r="D156" s="8" t="str" cm="1">
        <f t="array" ref="D156">Common_InputFunctions.Utility_DisplayArrayInTable(Scope3_SourceData.Scope3_Feed_Data(), Table_SourceData_Scope3_Feed[[#Headers],[Category]], -5, 2)</f>
        <v>Other</v>
      </c>
      <c r="E156" s="8" t="str" cm="1">
        <f t="array" ref="E156">Common_InputFunctions.Utility_DisplayArrayInTable(Scope3_SourceData.Scope3_Feed_Data(), Table_SourceData_Scope3_Feed[[#Headers],[Category]], -5, 2)</f>
        <v>Canola oil</v>
      </c>
      <c r="F156" s="8" t="str" cm="1">
        <f t="array" ref="F156">Common_InputFunctions.Utility_DisplayArrayInTable(Scope3_SourceData.Scope3_Feed_Data(), Table_SourceData_Scope3_Feed[[#Headers],[Category]], -5, 2)</f>
        <v>Australia</v>
      </c>
      <c r="G156" s="8" t="str" cm="1">
        <f t="array" ref="G156">Common_InputFunctions.Utility_DisplayArrayInTable(Scope3_SourceData.Scope3_Feed_Data(), Table_SourceData_Scope3_Feed[[#Headers],[Category]], -5, 2)</f>
        <v>kg</v>
      </c>
      <c r="H156" s="8" cm="1">
        <f t="array" ref="H156">Common_InputFunctions.Utility_DisplayArrayInTable(Scope3_SourceData.Scope3_Feed_Data(), Table_SourceData_Scope3_Feed[[#Headers],[Category]], -5, 2)</f>
        <v>0.87</v>
      </c>
      <c r="I156" s="8" t="str" cm="1">
        <f t="array" ref="I156">Common_InputFunctions.Utility_DisplayArrayInTable(Scope3_SourceData.Scope3_Feed_Data(), Table_SourceData_Scope3_Feed[[#Headers],[Category]], -5, 2)</f>
        <v>at market</v>
      </c>
      <c r="J156" s="10" t="s">
        <v>912</v>
      </c>
      <c r="L156" s="10" t="s">
        <v>212</v>
      </c>
      <c r="M156" s="10" t="s">
        <v>380</v>
      </c>
      <c r="N156" s="8" t="str">
        <f>"Table_ProductRegions_" &amp; SUBSTITUTE(SUBSTITUTE(SUBSTITUTE(SUBSTITUTE(L157, " ", ""), ",", ""), "(", ""), ")", "")</f>
        <v>Table_ProductRegions_Cottonseed</v>
      </c>
      <c r="O156" s="10" t="str">
        <f>Table_SourceData_Scope3_Feed[[#This Row],[Product]]</f>
        <v>Canola oil</v>
      </c>
      <c r="P156" s="10" t="str">
        <f>Table_SourceData_Scope3_Feed[[#This Row],[Region of origin]]</f>
        <v>Australia</v>
      </c>
    </row>
    <row r="157" spans="4:17" ht="20.100000000000001" customHeight="1" x14ac:dyDescent="0.25">
      <c r="D157" s="8" t="str" cm="1">
        <f t="array" ref="D157">Common_InputFunctions.Utility_DisplayArrayInTable(Scope3_SourceData.Scope3_Feed_Data(), Table_SourceData_Scope3_Feed[[#Headers],[Category]], -5, 2)</f>
        <v>Other</v>
      </c>
      <c r="E157" s="8" t="str" cm="1">
        <f t="array" ref="E157">Common_InputFunctions.Utility_DisplayArrayInTable(Scope3_SourceData.Scope3_Feed_Data(), Table_SourceData_Scope3_Feed[[#Headers],[Category]], -5, 2)</f>
        <v>Cotton seed</v>
      </c>
      <c r="F157" s="8" t="str" cm="1">
        <f t="array" ref="F157">Common_InputFunctions.Utility_DisplayArrayInTable(Scope3_SourceData.Scope3_Feed_Data(), Table_SourceData_Scope3_Feed[[#Headers],[Category]], -5, 2)</f>
        <v>Australia</v>
      </c>
      <c r="G157" s="8" t="str" cm="1">
        <f t="array" ref="G157">Common_InputFunctions.Utility_DisplayArrayInTable(Scope3_SourceData.Scope3_Feed_Data(), Table_SourceData_Scope3_Feed[[#Headers],[Category]], -5, 2)</f>
        <v>kg</v>
      </c>
      <c r="H157" s="8" cm="1">
        <f t="array" ref="H157">Common_InputFunctions.Utility_DisplayArrayInTable(Scope3_SourceData.Scope3_Feed_Data(), Table_SourceData_Scope3_Feed[[#Headers],[Category]], -5, 2)</f>
        <v>0.19700000000000001</v>
      </c>
      <c r="I157" s="8" t="str" cm="1">
        <f t="array" ref="I157">Common_InputFunctions.Utility_DisplayArrayInTable(Scope3_SourceData.Scope3_Feed_Data(), Table_SourceData_Scope3_Feed[[#Headers],[Category]], -5, 2)</f>
        <v>at market</v>
      </c>
      <c r="J157" s="10" t="s">
        <v>912</v>
      </c>
      <c r="L157" s="10" t="str">
        <f>Table_SourceData_Scope3_Feed[[#This Row],[Product]]</f>
        <v>Cotton seed</v>
      </c>
      <c r="M157" s="10" t="str">
        <f>Table_SourceData_Scope3_Feed[[#This Row],[Region of origin]]</f>
        <v>Australia</v>
      </c>
      <c r="O157" s="10" t="s">
        <v>212</v>
      </c>
      <c r="P157" s="10" t="s">
        <v>380</v>
      </c>
      <c r="Q157" s="8" t="str">
        <f>"Table_ProductRegions_" &amp; SUBSTITUTE(SUBSTITUTE(SUBSTITUTE(SUBSTITUTE(O158, " ", ""), ",", ""), "(", ""), ")", "")</f>
        <v>Table_ProductRegions_Molasses</v>
      </c>
    </row>
    <row r="158" spans="4:17" ht="20.100000000000001" customHeight="1" x14ac:dyDescent="0.25">
      <c r="D158" s="10" t="str" cm="1">
        <f t="array" ref="D158">Common_InputFunctions.Utility_DisplayArrayInTable(Scope3_SourceData.Scope3_Feed_Data(), Table_SourceData_Scope3_Feed[[#Headers],[Category]], -8, 2)</f>
        <v>Other</v>
      </c>
      <c r="E158" s="10" t="str" cm="1">
        <f t="array" ref="E158">Common_InputFunctions.Utility_DisplayArrayInTable(Scope3_SourceData.Scope3_Feed_Data(), Table_SourceData_Scope3_Feed[[#Headers],[Category]], -8, 2)</f>
        <v>Molasses</v>
      </c>
      <c r="F158" s="10" t="str" cm="1">
        <f t="array" ref="F158">Common_InputFunctions.Utility_DisplayArrayInTable(Scope3_SourceData.Scope3_Feed_Data(), Table_SourceData_Scope3_Feed[[#Headers],[Category]], -8, 2)</f>
        <v>QLD</v>
      </c>
      <c r="G158" s="10" t="str" cm="1">
        <f t="array" ref="G158">Common_InputFunctions.Utility_DisplayArrayInTable(Scope3_SourceData.Scope3_Feed_Data(), Table_SourceData_Scope3_Feed[[#Headers],[Category]], -8, 2)</f>
        <v>kg</v>
      </c>
      <c r="H158" s="10" cm="1">
        <f t="array" ref="H158">Common_InputFunctions.Utility_DisplayArrayInTable(Scope3_SourceData.Scope3_Feed_Data(), Table_SourceData_Scope3_Feed[[#Headers],[Category]], -8, 2)</f>
        <v>0.184</v>
      </c>
      <c r="I158" s="10" t="str" cm="1">
        <f t="array" ref="I158">Common_InputFunctions.Utility_DisplayArrayInTable(Scope3_SourceData.Scope3_Feed_Data(), Table_SourceData_Scope3_Feed[[#Headers],[Category]], -8, 2)</f>
        <v>at market</v>
      </c>
      <c r="J158" s="10"/>
      <c r="O158" s="10" t="str">
        <f>Table_SourceData_Scope3_Feed[[#This Row],[Product]]</f>
        <v>Molasses</v>
      </c>
      <c r="P158" s="10" t="str">
        <f>Table_SourceData_Scope3_Feed[[#This Row],[Region of origin]]</f>
        <v>QLD</v>
      </c>
    </row>
    <row r="159" spans="4:17" ht="20.100000000000001" customHeight="1" x14ac:dyDescent="0.25"/>
    <row r="160" spans="4:17" ht="20.100000000000001" customHeight="1" x14ac:dyDescent="0.25"/>
    <row r="161" spans="4:14" ht="20.100000000000001" customHeight="1" x14ac:dyDescent="0.25">
      <c r="D161" s="10" t="s">
        <v>312</v>
      </c>
      <c r="E161" s="10" t="s">
        <v>212</v>
      </c>
      <c r="F161" s="10" t="s">
        <v>313</v>
      </c>
      <c r="G161" s="10" t="s">
        <v>279</v>
      </c>
      <c r="H161" s="10" t="s">
        <v>913</v>
      </c>
      <c r="I161" s="10" t="s">
        <v>356</v>
      </c>
      <c r="J161" s="10" t="s">
        <v>140</v>
      </c>
    </row>
    <row r="162" spans="4:14"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c r="J162" s="10" t="s">
        <v>912</v>
      </c>
    </row>
    <row r="163" spans="4:14"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c r="J163" s="10" t="s">
        <v>912</v>
      </c>
    </row>
    <row r="164" spans="4:14"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c r="J164" s="10" t="s">
        <v>912</v>
      </c>
    </row>
    <row r="165" spans="4:14"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c r="J165" s="10" t="s">
        <v>912</v>
      </c>
    </row>
    <row r="166" spans="4:14" ht="20.100000000000001" customHeight="1" x14ac:dyDescent="0.25"/>
    <row r="167" spans="4:14" ht="20.100000000000001" customHeight="1" x14ac:dyDescent="0.25">
      <c r="D167" s="10" t="s">
        <v>312</v>
      </c>
      <c r="E167" s="10" t="s">
        <v>212</v>
      </c>
      <c r="F167" s="10" t="s">
        <v>313</v>
      </c>
      <c r="G167" s="10" t="s">
        <v>279</v>
      </c>
      <c r="H167" s="10" t="s">
        <v>913</v>
      </c>
      <c r="I167" s="10" t="s">
        <v>356</v>
      </c>
      <c r="J167" s="10" t="s">
        <v>140</v>
      </c>
    </row>
    <row r="168" spans="4:14"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c r="J168" s="10" t="s">
        <v>912</v>
      </c>
    </row>
    <row r="169" spans="4:14"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c r="J169" s="10" t="s">
        <v>912</v>
      </c>
    </row>
    <row r="170" spans="4:14"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c r="J170" s="10" t="s">
        <v>912</v>
      </c>
    </row>
    <row r="171" spans="4:14" ht="20.100000000000001" customHeight="1" x14ac:dyDescent="0.25"/>
    <row r="172" spans="4:14" ht="20.100000000000001" customHeight="1" x14ac:dyDescent="0.25">
      <c r="D172" s="9" t="s">
        <v>344</v>
      </c>
    </row>
    <row r="173" spans="4:14" ht="20.100000000000001" customHeight="1" x14ac:dyDescent="0.25">
      <c r="D173" s="10" t="s">
        <v>312</v>
      </c>
      <c r="E173" s="10" t="s">
        <v>212</v>
      </c>
      <c r="F173" s="10" t="s">
        <v>313</v>
      </c>
      <c r="G173" s="10" t="s">
        <v>277</v>
      </c>
      <c r="H173" s="10" t="s">
        <v>169</v>
      </c>
      <c r="I173" s="10" t="s">
        <v>170</v>
      </c>
      <c r="J173" s="10" t="s">
        <v>278</v>
      </c>
      <c r="K173" s="10" t="s">
        <v>279</v>
      </c>
      <c r="L173" s="10" t="s">
        <v>913</v>
      </c>
      <c r="M173" s="10" t="s">
        <v>356</v>
      </c>
      <c r="N173" s="10" t="s">
        <v>140</v>
      </c>
    </row>
    <row r="174" spans="4:14"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c r="N174" s="10" t="s">
        <v>912</v>
      </c>
    </row>
    <row r="175" spans="4:14"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c r="N175" s="10" t="s">
        <v>912</v>
      </c>
    </row>
    <row r="176" spans="4:14"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c r="N176" s="10" t="s">
        <v>912</v>
      </c>
    </row>
    <row r="177" spans="4:14"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c r="N177" s="10" t="s">
        <v>912</v>
      </c>
    </row>
    <row r="178" spans="4:14"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c r="N178" s="10" t="s">
        <v>912</v>
      </c>
    </row>
    <row r="179" spans="4:14"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c r="N179" s="10" t="s">
        <v>912</v>
      </c>
    </row>
    <row r="180" spans="4:14"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c r="N180" s="10" t="s">
        <v>912</v>
      </c>
    </row>
    <row r="181" spans="4:14"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c r="N181" s="10" t="s">
        <v>912</v>
      </c>
    </row>
    <row r="182" spans="4:14"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c r="N182" s="10" t="s">
        <v>912</v>
      </c>
    </row>
    <row r="183" spans="4:14"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c r="N183" s="10" t="s">
        <v>912</v>
      </c>
    </row>
    <row r="184" spans="4:14"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c r="N184" s="10" t="s">
        <v>912</v>
      </c>
    </row>
    <row r="185" spans="4:14"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t="s">
        <v>912</v>
      </c>
    </row>
    <row r="186" spans="4:14"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t="s">
        <v>912</v>
      </c>
    </row>
    <row r="187" spans="4:14"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t="s">
        <v>912</v>
      </c>
    </row>
    <row r="188" spans="4:14"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t="s">
        <v>912</v>
      </c>
    </row>
    <row r="189" spans="4:14"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t="s">
        <v>912</v>
      </c>
    </row>
    <row r="190" spans="4:14"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t="s">
        <v>912</v>
      </c>
    </row>
    <row r="191" spans="4:14"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t="s">
        <v>912</v>
      </c>
    </row>
    <row r="192" spans="4:14"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t="s">
        <v>912</v>
      </c>
    </row>
    <row r="193" spans="4:14"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t="s">
        <v>912</v>
      </c>
    </row>
    <row r="194" spans="4:14"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t="s">
        <v>912</v>
      </c>
    </row>
    <row r="195" spans="4:14"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t="s">
        <v>912</v>
      </c>
    </row>
    <row r="196" spans="4:14"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t="s">
        <v>912</v>
      </c>
    </row>
    <row r="197" spans="4:14"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t="s">
        <v>912</v>
      </c>
    </row>
    <row r="198" spans="4:14"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t="s">
        <v>912</v>
      </c>
    </row>
    <row r="199" spans="4:14" ht="20.100000000000001" customHeight="1" x14ac:dyDescent="0.25"/>
    <row r="200" spans="4:14" ht="20.100000000000001" customHeight="1" x14ac:dyDescent="0.25">
      <c r="D200" s="9" t="s">
        <v>360</v>
      </c>
    </row>
    <row r="201" spans="4:14" ht="20.100000000000001" customHeight="1" x14ac:dyDescent="0.25">
      <c r="D201" s="10" t="s">
        <v>312</v>
      </c>
      <c r="E201" s="10" t="s">
        <v>212</v>
      </c>
      <c r="F201" s="10" t="s">
        <v>313</v>
      </c>
      <c r="G201" s="10" t="s">
        <v>279</v>
      </c>
      <c r="H201" s="10" t="s">
        <v>913</v>
      </c>
      <c r="I201" s="10" t="s">
        <v>356</v>
      </c>
      <c r="J201" s="10" t="s">
        <v>140</v>
      </c>
    </row>
    <row r="202" spans="4:14"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J202" s="10" t="s">
        <v>912</v>
      </c>
    </row>
    <row r="203" spans="4:14"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J203" s="10" t="s">
        <v>912</v>
      </c>
    </row>
    <row r="204" spans="4:14"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J204" s="10" t="s">
        <v>912</v>
      </c>
    </row>
    <row r="205" spans="4:14"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J205" s="10" t="s">
        <v>912</v>
      </c>
    </row>
    <row r="206" spans="4:14"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J206" s="10" t="s">
        <v>912</v>
      </c>
    </row>
    <row r="207" spans="4:14"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J207" s="10" t="s">
        <v>912</v>
      </c>
    </row>
    <row r="208" spans="4:14"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J208" s="10" t="s">
        <v>912</v>
      </c>
    </row>
    <row r="209" spans="4:10"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J209" s="10" t="s">
        <v>912</v>
      </c>
    </row>
    <row r="210" spans="4:10" ht="20.100000000000001" customHeight="1" x14ac:dyDescent="0.25"/>
    <row r="211" spans="4:10" ht="20.100000000000001" customHeight="1" x14ac:dyDescent="0.25">
      <c r="D211" s="9" t="s">
        <v>361</v>
      </c>
    </row>
    <row r="212" spans="4:10" ht="20.100000000000001" customHeight="1" x14ac:dyDescent="0.25">
      <c r="D212" s="10" t="s">
        <v>312</v>
      </c>
      <c r="E212" s="10" t="s">
        <v>212</v>
      </c>
      <c r="F212" s="10" t="s">
        <v>313</v>
      </c>
      <c r="G212" s="10" t="s">
        <v>279</v>
      </c>
      <c r="H212" s="10" t="s">
        <v>913</v>
      </c>
      <c r="I212" s="10" t="s">
        <v>356</v>
      </c>
      <c r="J212" s="10" t="s">
        <v>140</v>
      </c>
    </row>
    <row r="213" spans="4:10"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c r="J213" s="10" t="s">
        <v>912</v>
      </c>
    </row>
    <row r="214" spans="4:10"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c r="J214" s="10" t="s">
        <v>912</v>
      </c>
    </row>
    <row r="215" spans="4:10"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c r="J215" s="10" t="s">
        <v>912</v>
      </c>
    </row>
    <row r="216" spans="4:10"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c r="J216" s="10" t="s">
        <v>912</v>
      </c>
    </row>
    <row r="217" spans="4:10" ht="20.100000000000001" customHeight="1" x14ac:dyDescent="0.25"/>
    <row r="218" spans="4:10" ht="20.100000000000001" customHeight="1" x14ac:dyDescent="0.25">
      <c r="D218" s="9" t="s">
        <v>362</v>
      </c>
    </row>
    <row r="219" spans="4:10" ht="20.100000000000001" customHeight="1" x14ac:dyDescent="0.25">
      <c r="D219" s="10" t="s">
        <v>312</v>
      </c>
      <c r="E219" s="10" t="s">
        <v>212</v>
      </c>
      <c r="F219" s="10" t="s">
        <v>313</v>
      </c>
      <c r="G219" s="10" t="s">
        <v>279</v>
      </c>
      <c r="H219" s="10" t="s">
        <v>913</v>
      </c>
      <c r="I219" s="10" t="s">
        <v>356</v>
      </c>
      <c r="J219" s="10" t="s">
        <v>140</v>
      </c>
    </row>
    <row r="220" spans="4:10"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c r="J220" s="10" t="s">
        <v>912</v>
      </c>
    </row>
    <row r="221" spans="4:10"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c r="J221" s="10" t="s">
        <v>912</v>
      </c>
    </row>
    <row r="222" spans="4:10"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c r="J222" s="10" t="s">
        <v>912</v>
      </c>
    </row>
    <row r="223" spans="4:10"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c r="J223" s="10" t="s">
        <v>912</v>
      </c>
    </row>
    <row r="224" spans="4:10"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c r="J224" s="10" t="s">
        <v>912</v>
      </c>
    </row>
    <row r="225" spans="4:10"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c r="J225" s="10" t="s">
        <v>912</v>
      </c>
    </row>
    <row r="226" spans="4:10"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c r="J226" s="10" t="s">
        <v>912</v>
      </c>
    </row>
    <row r="227" spans="4:10"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c r="J227" s="10" t="s">
        <v>912</v>
      </c>
    </row>
    <row r="228" spans="4:10"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c r="J228" s="10" t="s">
        <v>912</v>
      </c>
    </row>
    <row r="229" spans="4:10"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c r="J229" s="10" t="s">
        <v>912</v>
      </c>
    </row>
    <row r="230" spans="4:10"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c r="J230" s="10" t="s">
        <v>912</v>
      </c>
    </row>
    <row r="231" spans="4:10"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c r="J231" s="10" t="s">
        <v>912</v>
      </c>
    </row>
    <row r="232" spans="4:10" ht="20.100000000000001" customHeight="1" x14ac:dyDescent="0.25"/>
    <row r="233" spans="4:10" ht="20.100000000000001" customHeight="1" x14ac:dyDescent="0.25">
      <c r="D233" s="9" t="s">
        <v>363</v>
      </c>
    </row>
    <row r="234" spans="4:10" ht="20.100000000000001" customHeight="1" x14ac:dyDescent="0.25">
      <c r="D234" s="10" t="s">
        <v>312</v>
      </c>
      <c r="E234" s="10" t="s">
        <v>212</v>
      </c>
      <c r="F234" s="10" t="s">
        <v>313</v>
      </c>
      <c r="G234" s="10" t="s">
        <v>279</v>
      </c>
      <c r="H234" s="10" t="s">
        <v>913</v>
      </c>
      <c r="I234" s="10" t="s">
        <v>356</v>
      </c>
      <c r="J234" s="10" t="s">
        <v>140</v>
      </c>
    </row>
    <row r="235" spans="4:10"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c r="J235" s="10" t="s">
        <v>912</v>
      </c>
    </row>
    <row r="236" spans="4:10"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c r="J236" s="10" t="s">
        <v>912</v>
      </c>
    </row>
    <row r="237" spans="4:10"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c r="J237" s="10" t="s">
        <v>912</v>
      </c>
    </row>
    <row r="238" spans="4:10" ht="20.100000000000001" customHeight="1" x14ac:dyDescent="0.25"/>
    <row r="240" spans="4:10" ht="23.25" x14ac:dyDescent="0.25">
      <c r="D240" s="9" t="s">
        <v>911</v>
      </c>
    </row>
    <row r="241" spans="4:18" x14ac:dyDescent="0.25">
      <c r="D241" s="10" t="s">
        <v>312</v>
      </c>
      <c r="E241" s="10" t="s">
        <v>212</v>
      </c>
      <c r="F241" s="10" t="s">
        <v>313</v>
      </c>
      <c r="G241" s="10" t="s">
        <v>279</v>
      </c>
      <c r="H241" s="10" t="s">
        <v>913</v>
      </c>
      <c r="I241" s="10" t="s">
        <v>356</v>
      </c>
      <c r="J241" s="10" t="s">
        <v>140</v>
      </c>
      <c r="L241" s="10" t="s">
        <v>212</v>
      </c>
      <c r="M241" s="10" t="s">
        <v>380</v>
      </c>
      <c r="N241" s="8" t="str">
        <f>"Table_ProductRegions_" &amp; SUBSTITUTE(SUBSTITUTE(SUBSTITUTE(SUBSTITUTE(L242, " ", ""), ",", ""), "(", ""), ")", "")</f>
        <v>Table_ProductRegions_Sardineswhole</v>
      </c>
      <c r="R241" s="8"/>
    </row>
    <row r="242" spans="4:18" x14ac:dyDescent="0.25">
      <c r="D242" s="10" t="str" cm="1">
        <f t="array" ref="D242">Common_InputFunctions.Utility_DisplayArrayInTable(Scope3_SourceData.Scope3_Feed_Data(), Table_SourceData_Scope3_FishFeedAndBait[[#Headers],[Category]], 0, 2)</f>
        <v>Aquaculture feed</v>
      </c>
      <c r="E242" s="10" t="str" cm="1">
        <f t="array" ref="E242">Common_InputFunctions.Utility_DisplayArrayInTable(Scope3_SourceData.Scope3_Feed_Data(), Table_SourceData_Scope3_FishFeedAndBait[[#Headers],[Category]], 0, 2)</f>
        <v>Sardines (whole)</v>
      </c>
      <c r="F242" s="10" t="str" cm="1">
        <f t="array" ref="F242">Common_InputFunctions.Utility_DisplayArrayInTable(Scope3_SourceData.Scope3_Feed_Data(), Table_SourceData_Scope3_FishFeedAndBait[[#Headers],[Category]], 0, 2)</f>
        <v>SA</v>
      </c>
      <c r="G242" s="10" t="str" cm="1">
        <f t="array" ref="G242">Common_InputFunctions.Utility_DisplayArrayInTable(Scope3_SourceData.Scope3_Feed_Data(), Table_SourceData_Scope3_FishFeedAndBait[[#Headers],[Category]], 0, 2)</f>
        <v>kg</v>
      </c>
      <c r="H242" s="10" cm="1">
        <f t="array" ref="H242">Common_InputFunctions.Utility_DisplayArrayInTable(Scope3_SourceData.Scope3_Feed_Data(), Table_SourceData_Scope3_FishFeedAndBait[[#Headers],[Category]], 0, 2)</f>
        <v>0.376</v>
      </c>
      <c r="I242" s="10" t="str" cm="1">
        <f t="array" ref="I242">Common_InputFunctions.Utility_DisplayArrayInTable(Scope3_SourceData.Scope3_Feed_Data(), Table_SourceData_Scope3_FishFeedAndBait[[#Headers],[Category]], 0, 2)</f>
        <v>at market</v>
      </c>
      <c r="J242" s="10" t="s">
        <v>912</v>
      </c>
      <c r="L242" s="10" t="str">
        <f>Table_SourceData_Scope3_FishFeedAndBait[[#This Row],[Product]]</f>
        <v>Sardines (whole)</v>
      </c>
      <c r="M242" s="10" t="str">
        <f>Table_SourceData_Scope3_FishFeedAndBait[[#This Row],[Region of origin]]</f>
        <v>SA</v>
      </c>
      <c r="R242" s="8"/>
    </row>
    <row r="243" spans="4:18" x14ac:dyDescent="0.25">
      <c r="D243" s="10" t="str" cm="1">
        <f t="array" ref="D243">Common_InputFunctions.Utility_DisplayArrayInTable(Scope3_SourceData.Scope3_FishFeedAndBait_Data(), Table_SourceData_Scope3_FishFeedAndBait[[#Headers],[Category]], 1, 1)</f>
        <v>Fish feed and bait</v>
      </c>
      <c r="E243" s="10" t="str" cm="1">
        <f t="array" ref="E243">Common_InputFunctions.Utility_DisplayArrayInTable(Scope3_SourceData.Scope3_FishFeedAndBait_Data(), Table_SourceData_Scope3_FishFeedAndBait[[#Headers],[Category]], 1, 1)</f>
        <v>Sardines (whole)</v>
      </c>
      <c r="F243" s="10" t="str" cm="1">
        <f t="array" ref="F243">Common_InputFunctions.Utility_DisplayArrayInTable(Scope3_SourceData.Scope3_FishFeedAndBait_Data(), Table_SourceData_Scope3_FishFeedAndBait[[#Headers],[Category]], 1, 1)</f>
        <v>Australia</v>
      </c>
      <c r="G243" s="10" t="str" cm="1">
        <f t="array" ref="G243">Common_InputFunctions.Utility_DisplayArrayInTable(Scope3_SourceData.Scope3_FishFeedAndBait_Data(), Table_SourceData_Scope3_FishFeedAndBait[[#Headers],[Category]], 1, 1)</f>
        <v>kg</v>
      </c>
      <c r="H243" s="10" cm="1">
        <f t="array" ref="H243">Common_InputFunctions.Utility_DisplayArrayInTable(Scope3_SourceData.Scope3_FishFeedAndBait_Data(), Table_SourceData_Scope3_FishFeedAndBait[[#Headers],[Category]], 1, 1)</f>
        <v>0.3</v>
      </c>
      <c r="I243" s="10" t="str" cm="1">
        <f t="array" ref="I243">Common_InputFunctions.Utility_DisplayArrayInTable(Scope3_SourceData.Scope3_FishFeedAndBait_Data(), Table_SourceData_Scope3_FishFeedAndBait[[#Headers],[Category]], 1, 1)</f>
        <v>Not specified</v>
      </c>
      <c r="J243" s="10" t="s">
        <v>914</v>
      </c>
      <c r="L243" s="8" t="str">
        <f>Table_SourceData_Scope3_FishFeedAndBait[[#This Row],[Product]]</f>
        <v>Sardines (whole)</v>
      </c>
      <c r="M243" s="8" t="str">
        <f>Table_SourceData_Scope3_FishFeedAndBait[[#This Row],[Region of origin]]</f>
        <v>Australia</v>
      </c>
      <c r="R243" s="8"/>
    </row>
    <row r="244" spans="4:18" x14ac:dyDescent="0.25">
      <c r="D244" s="10" t="str" cm="1">
        <f t="array" ref="D244">Common_InputFunctions.Utility_DisplayArrayInTable(Scope3_SourceData.Scope3_FishFeedAndBait_Data(), Table_SourceData_Scope3_FishFeedAndBait[[#Headers],[Category]], 1, 1)</f>
        <v>Fish feed and bait</v>
      </c>
      <c r="E244" s="10" t="str" cm="1">
        <f t="array" ref="E244">Common_InputFunctions.Utility_DisplayArrayInTable(Scope3_SourceData.Scope3_FishFeedAndBait_Data(), Table_SourceData_Scope3_FishFeedAndBait[[#Headers],[Category]], 1, 1)</f>
        <v>Low Animal Protein Formulated Feed</v>
      </c>
      <c r="F244" s="10" t="str" cm="1">
        <f t="array" ref="F244">Common_InputFunctions.Utility_DisplayArrayInTable(Scope3_SourceData.Scope3_FishFeedAndBait_Data(), Table_SourceData_Scope3_FishFeedAndBait[[#Headers],[Category]], 1, 1)</f>
        <v>Australia</v>
      </c>
      <c r="G244" s="10" t="str" cm="1">
        <f t="array" ref="G244">Common_InputFunctions.Utility_DisplayArrayInTable(Scope3_SourceData.Scope3_FishFeedAndBait_Data(), Table_SourceData_Scope3_FishFeedAndBait[[#Headers],[Category]], 1, 1)</f>
        <v>kg</v>
      </c>
      <c r="H244" s="10" cm="1">
        <f t="array" ref="H244">Common_InputFunctions.Utility_DisplayArrayInTable(Scope3_SourceData.Scope3_FishFeedAndBait_Data(), Table_SourceData_Scope3_FishFeedAndBait[[#Headers],[Category]], 1, 1)</f>
        <v>2.2000000000000002</v>
      </c>
      <c r="I244" s="10" t="str" cm="1">
        <f t="array" ref="I244">Common_InputFunctions.Utility_DisplayArrayInTable(Scope3_SourceData.Scope3_FishFeedAndBait_Data(), Table_SourceData_Scope3_FishFeedAndBait[[#Headers],[Category]], 1, 1)</f>
        <v>Not specified</v>
      </c>
      <c r="J244" s="10" t="s">
        <v>914</v>
      </c>
      <c r="R244" s="8"/>
    </row>
    <row r="245" spans="4:18" x14ac:dyDescent="0.25">
      <c r="D245" s="10" t="str" cm="1">
        <f t="array" ref="D245">Common_InputFunctions.Utility_DisplayArrayInTable(Scope3_SourceData.Scope3_FishFeedAndBait_Data(), Table_SourceData_Scope3_FishFeedAndBait[[#Headers],[Category]], 1, 1)</f>
        <v>Fish feed and bait</v>
      </c>
      <c r="E245" s="10" t="str" cm="1">
        <f t="array" ref="E245">Common_InputFunctions.Utility_DisplayArrayInTable(Scope3_SourceData.Scope3_FishFeedAndBait_Data(), Table_SourceData_Scope3_FishFeedAndBait[[#Headers],[Category]], 1, 1)</f>
        <v>Squid</v>
      </c>
      <c r="F245" s="10" t="str" cm="1">
        <f t="array" ref="F245">Common_InputFunctions.Utility_DisplayArrayInTable(Scope3_SourceData.Scope3_FishFeedAndBait_Data(), Table_SourceData_Scope3_FishFeedAndBait[[#Headers],[Category]], 1, 1)</f>
        <v>Australia</v>
      </c>
      <c r="G245" s="10" t="str" cm="1">
        <f t="array" ref="G245">Common_InputFunctions.Utility_DisplayArrayInTable(Scope3_SourceData.Scope3_FishFeedAndBait_Data(), Table_SourceData_Scope3_FishFeedAndBait[[#Headers],[Category]], 1, 1)</f>
        <v>kg</v>
      </c>
      <c r="H245" s="10" cm="1">
        <f t="array" ref="H245">Common_InputFunctions.Utility_DisplayArrayInTable(Scope3_SourceData.Scope3_FishFeedAndBait_Data(), Table_SourceData_Scope3_FishFeedAndBait[[#Headers],[Category]], 1, 1)</f>
        <v>0.3</v>
      </c>
      <c r="I245" s="10" t="str" cm="1">
        <f t="array" ref="I245">Common_InputFunctions.Utility_DisplayArrayInTable(Scope3_SourceData.Scope3_FishFeedAndBait_Data(), Table_SourceData_Scope3_FishFeedAndBait[[#Headers],[Category]], 1, 1)</f>
        <v>Not specified</v>
      </c>
      <c r="J245" s="10" t="s">
        <v>914</v>
      </c>
      <c r="R245" s="8"/>
    </row>
    <row r="246" spans="4:18" x14ac:dyDescent="0.25">
      <c r="D246" s="10" t="str" cm="1">
        <f t="array" ref="D246">Common_InputFunctions.Utility_DisplayArrayInTable(Scope3_SourceData.Scope3_FishFeedAndBait_Data(), Table_SourceData_Scope3_FishFeedAndBait[[#Headers],[Category]], 1, 1)</f>
        <v>Fish feed and bait</v>
      </c>
      <c r="E246" s="10" t="str" cm="1">
        <f t="array" ref="E246">Common_InputFunctions.Utility_DisplayArrayInTable(Scope3_SourceData.Scope3_FishFeedAndBait_Data(), Table_SourceData_Scope3_FishFeedAndBait[[#Headers],[Category]], 1, 1)</f>
        <v>Whole fish</v>
      </c>
      <c r="F246" s="10" t="str" cm="1">
        <f t="array" ref="F246">Common_InputFunctions.Utility_DisplayArrayInTable(Scope3_SourceData.Scope3_FishFeedAndBait_Data(), Table_SourceData_Scope3_FishFeedAndBait[[#Headers],[Category]], 1, 1)</f>
        <v>Australia</v>
      </c>
      <c r="G246" s="10" t="str" cm="1">
        <f t="array" ref="G246">Common_InputFunctions.Utility_DisplayArrayInTable(Scope3_SourceData.Scope3_FishFeedAndBait_Data(), Table_SourceData_Scope3_FishFeedAndBait[[#Headers],[Category]], 1, 1)</f>
        <v>kg</v>
      </c>
      <c r="H246" s="10" cm="1">
        <f t="array" ref="H246">Common_InputFunctions.Utility_DisplayArrayInTable(Scope3_SourceData.Scope3_FishFeedAndBait_Data(), Table_SourceData_Scope3_FishFeedAndBait[[#Headers],[Category]], 1, 1)</f>
        <v>0.3</v>
      </c>
      <c r="I246" s="10" t="str" cm="1">
        <f t="array" ref="I246">Common_InputFunctions.Utility_DisplayArrayInTable(Scope3_SourceData.Scope3_FishFeedAndBait_Data(), Table_SourceData_Scope3_FishFeedAndBait[[#Headers],[Category]], 1, 1)</f>
        <v>Not specified</v>
      </c>
      <c r="J246" s="10" t="s">
        <v>914</v>
      </c>
      <c r="R246" s="8"/>
    </row>
    <row r="247" spans="4:18" x14ac:dyDescent="0.25">
      <c r="D247" s="10" t="str" cm="1">
        <f t="array" ref="D247">Common_InputFunctions.Utility_DisplayArrayInTable(Scope3_SourceData.Scope3_FishFeedAndBait_Data(), Table_SourceData_Scope3_FishFeedAndBait[[#Headers],[Category]], 1, 1)</f>
        <v>Fish feed and bait</v>
      </c>
      <c r="E247" s="10" t="str" cm="1">
        <f t="array" ref="E247">Common_InputFunctions.Utility_DisplayArrayInTable(Scope3_SourceData.Scope3_FishFeedAndBait_Data(), Table_SourceData_Scope3_FishFeedAndBait[[#Headers],[Category]], 1, 1)</f>
        <v>Custom Bait</v>
      </c>
      <c r="F247" s="10" t="str" cm="1">
        <f t="array" ref="F247">Common_InputFunctions.Utility_DisplayArrayInTable(Scope3_SourceData.Scope3_FishFeedAndBait_Data(), Table_SourceData_Scope3_FishFeedAndBait[[#Headers],[Category]], 1, 1)</f>
        <v>Australia</v>
      </c>
      <c r="G247" s="10" t="str" cm="1">
        <f t="array" ref="G247">Common_InputFunctions.Utility_DisplayArrayInTable(Scope3_SourceData.Scope3_FishFeedAndBait_Data(), Table_SourceData_Scope3_FishFeedAndBait[[#Headers],[Category]], 1, 1)</f>
        <v>kg</v>
      </c>
      <c r="H247" s="10" cm="1">
        <f t="array" ref="H247">Common_InputFunctions.Utility_DisplayArrayInTable(Scope3_SourceData.Scope3_FishFeedAndBait_Data(), Table_SourceData_Scope3_FishFeedAndBait[[#Headers],[Category]], 1, 1)</f>
        <v>0.08</v>
      </c>
      <c r="I247" s="10" t="str" cm="1">
        <f t="array" ref="I247">Common_InputFunctions.Utility_DisplayArrayInTable(Scope3_SourceData.Scope3_FishFeedAndBait_Data(), Table_SourceData_Scope3_FishFeedAndBait[[#Headers],[Category]], 1, 1)</f>
        <v>Not specified</v>
      </c>
      <c r="J247" s="10" t="s">
        <v>914</v>
      </c>
    </row>
  </sheetData>
  <phoneticPr fontId="53" type="noConversion"/>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763</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Electricity'!A1", "Electricity")</f>
        <v>Electricity</v>
      </c>
      <c r="D16" s="10" t="s">
        <v>768</v>
      </c>
      <c r="E16" s="10" t="s">
        <v>769</v>
      </c>
      <c r="F16" s="10" t="s">
        <v>770</v>
      </c>
      <c r="G16" s="10" t="s">
        <v>771</v>
      </c>
      <c r="I16" s="10" t="s">
        <v>769</v>
      </c>
      <c r="K16" s="151" t="s">
        <v>769</v>
      </c>
      <c r="M16" s="151" t="s">
        <v>769</v>
      </c>
      <c r="O16" s="151" t="s">
        <v>769</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13"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1"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1"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1"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769</v>
      </c>
      <c r="E57" s="10" t="s">
        <v>772</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13"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703</v>
      </c>
      <c r="F112" s="20" t="s">
        <v>704</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572</v>
      </c>
      <c r="E19" s="10" t="s">
        <v>573</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574</v>
      </c>
      <c r="G26" s="9" t="s">
        <v>575</v>
      </c>
      <c r="J26" s="9" t="s">
        <v>576</v>
      </c>
      <c r="M26" s="8"/>
    </row>
    <row r="27" spans="1:13" ht="20.100000000000001" customHeight="1" x14ac:dyDescent="0.25">
      <c r="A27" s="213" t="s">
        <v>78</v>
      </c>
      <c r="M27" s="8"/>
    </row>
    <row r="28" spans="1:13" ht="20.100000000000001" customHeight="1" x14ac:dyDescent="0.25">
      <c r="A28" s="16" t="str">
        <f>HYPERLINK("#'Constants - Scope 3'!A1", "Constants - Scope 3")</f>
        <v>Constants - Scope 3</v>
      </c>
      <c r="D28" s="150" t="s">
        <v>517</v>
      </c>
      <c r="E28" s="10" t="s">
        <v>324</v>
      </c>
      <c r="G28" s="150" t="s">
        <v>517</v>
      </c>
      <c r="H28" s="10" t="s">
        <v>324</v>
      </c>
      <c r="J28" s="150" t="s">
        <v>517</v>
      </c>
      <c r="K28" s="10" t="s">
        <v>324</v>
      </c>
      <c r="M28" s="8"/>
    </row>
    <row r="29" spans="1:13" ht="20.100000000000001" customHeight="1" x14ac:dyDescent="0.25">
      <c r="A29" s="16" t="str">
        <f>HYPERLINK("#'Constants - Solid Waste'!A1", "Constants - Solid Waste")</f>
        <v>Constants - Solid Waste</v>
      </c>
      <c r="D29" s="10" t="s">
        <v>58</v>
      </c>
      <c r="E29" s="10" t="s">
        <v>577</v>
      </c>
      <c r="G29" s="10" t="s">
        <v>58</v>
      </c>
      <c r="H29" s="10" t="s">
        <v>577</v>
      </c>
      <c r="J29" s="10" t="s">
        <v>55</v>
      </c>
      <c r="K29" s="10" t="s">
        <v>578</v>
      </c>
      <c r="M29" s="8"/>
    </row>
    <row r="30" spans="1:13" ht="20.100000000000001" customHeight="1" x14ac:dyDescent="0.25">
      <c r="A30" s="16" t="str">
        <f>HYPERLINK("#'Constants - Fuel'!A1", "Constants - Fuel")</f>
        <v>Constants - Fuel</v>
      </c>
      <c r="D30" s="10" t="s">
        <v>579</v>
      </c>
      <c r="E30" s="10" t="s">
        <v>580</v>
      </c>
      <c r="G30" s="10" t="s">
        <v>579</v>
      </c>
      <c r="H30" s="10" t="s">
        <v>580</v>
      </c>
      <c r="J30" s="10" t="s">
        <v>54</v>
      </c>
      <c r="K30" s="10" t="s">
        <v>581</v>
      </c>
      <c r="M30" s="8"/>
    </row>
    <row r="31" spans="1:13" ht="20.100000000000001" customHeight="1" x14ac:dyDescent="0.25">
      <c r="A31" s="23" t="str">
        <f>HYPERLINK("#'Constants - Poultry'!A1", "Constants - Poultry")</f>
        <v>Constants - Poultry</v>
      </c>
      <c r="D31" s="10" t="s">
        <v>582</v>
      </c>
      <c r="E31" s="10" t="s">
        <v>583</v>
      </c>
      <c r="G31" s="10" t="s">
        <v>582</v>
      </c>
      <c r="H31" s="10" t="s">
        <v>583</v>
      </c>
      <c r="J31" s="8" t="s">
        <v>51</v>
      </c>
      <c r="K31" s="8" t="s">
        <v>584</v>
      </c>
      <c r="M31" s="8"/>
    </row>
    <row r="32" spans="1:13" ht="20.100000000000001" customHeight="1" x14ac:dyDescent="0.25">
      <c r="A32" s="16" t="str">
        <f>HYPERLINK("#'Constants - Swine'!A1", "Constants - Swine")</f>
        <v>Constants - Swine</v>
      </c>
      <c r="D32" s="10" t="s">
        <v>62</v>
      </c>
      <c r="E32" s="10" t="s">
        <v>585</v>
      </c>
      <c r="G32" s="10" t="s">
        <v>62</v>
      </c>
      <c r="H32" s="10" t="s">
        <v>585</v>
      </c>
      <c r="J32" s="10" t="s">
        <v>60</v>
      </c>
      <c r="K32" s="10" t="s">
        <v>586</v>
      </c>
      <c r="M32" s="8"/>
    </row>
    <row r="33" spans="1:13" ht="20.100000000000001" customHeight="1" x14ac:dyDescent="0.25">
      <c r="A33" s="16" t="str">
        <f>HYPERLINK("#'Constants - Dairy'!A1", "Constants - Dairy")</f>
        <v>Constants - Dairy</v>
      </c>
      <c r="D33" s="10" t="s">
        <v>55</v>
      </c>
      <c r="E33" s="10" t="s">
        <v>578</v>
      </c>
      <c r="G33" s="8" t="s">
        <v>587</v>
      </c>
      <c r="H33" s="10" t="s">
        <v>587</v>
      </c>
      <c r="J33" s="10" t="s">
        <v>61</v>
      </c>
      <c r="K33" s="10" t="s">
        <v>588</v>
      </c>
      <c r="M33" s="8"/>
    </row>
    <row r="34" spans="1:13" ht="20.100000000000001" customHeight="1" x14ac:dyDescent="0.25">
      <c r="A34" s="16" t="str">
        <f>HYPERLINK("#'Constants - Pasture Beef'!A1", "Constants - Pasture Beef")</f>
        <v>Constants - Pasture Beef</v>
      </c>
      <c r="D34" s="10" t="s">
        <v>54</v>
      </c>
      <c r="E34" s="10" t="s">
        <v>581</v>
      </c>
      <c r="J34" s="8" t="s">
        <v>587</v>
      </c>
      <c r="K34" s="10" t="s">
        <v>587</v>
      </c>
      <c r="M34" s="8"/>
    </row>
    <row r="35" spans="1:13" ht="20.100000000000001" customHeight="1" x14ac:dyDescent="0.25">
      <c r="A35" s="16" t="str">
        <f>HYPERLINK("#'Constants - Common Livestock'!A1", "Constants - Common Livestock")</f>
        <v>Constants - Common Livestock</v>
      </c>
      <c r="D35" s="8" t="s">
        <v>51</v>
      </c>
      <c r="E35" s="8" t="s">
        <v>584</v>
      </c>
      <c r="M35" s="8"/>
    </row>
    <row r="36" spans="1:13" ht="20.100000000000001" customHeight="1" x14ac:dyDescent="0.25">
      <c r="A36" s="16" t="str">
        <f>HYPERLINK("#'Constants - Fertiliser'!A1", "Constants - Fertiliser")</f>
        <v>Constants - Fertiliser</v>
      </c>
      <c r="D36" s="10" t="s">
        <v>60</v>
      </c>
      <c r="E36" s="10" t="s">
        <v>586</v>
      </c>
      <c r="M36" s="8"/>
    </row>
    <row r="37" spans="1:13" ht="20.100000000000001" customHeight="1" x14ac:dyDescent="0.25">
      <c r="A37" s="16" t="str">
        <f>HYPERLINK("#'Constants - Electricity'!A1", "Constants - Electricity")</f>
        <v>Constants - Electricity</v>
      </c>
      <c r="D37" s="10" t="s">
        <v>61</v>
      </c>
      <c r="E37" s="10" t="s">
        <v>588</v>
      </c>
      <c r="M37" s="8"/>
    </row>
    <row r="38" spans="1:13" ht="20.100000000000001" customHeight="1" x14ac:dyDescent="0.25">
      <c r="A38" s="16" t="str">
        <f>HYPERLINK("#'Constants - Common'!A1", "Constants - Common")</f>
        <v>Constants - Common</v>
      </c>
      <c r="D38" s="8" t="s">
        <v>587</v>
      </c>
      <c r="E38" s="10" t="s">
        <v>587</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589</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331</v>
      </c>
      <c r="G59" s="10" t="s">
        <v>308</v>
      </c>
      <c r="H59" s="10" t="s">
        <v>332</v>
      </c>
      <c r="I59" s="10" t="s">
        <v>427</v>
      </c>
      <c r="J59" s="10" t="s">
        <v>337</v>
      </c>
      <c r="K59" s="10" t="s">
        <v>386</v>
      </c>
      <c r="L59" s="10" t="s">
        <v>338</v>
      </c>
      <c r="M59" s="10" t="s">
        <v>384</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558</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04" zoomScaleNormal="100" workbookViewId="0">
      <selection activeCell="D120" sqref="D120:F13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48" t="s">
        <v>540</v>
      </c>
      <c r="M24" s="8"/>
    </row>
    <row r="25" spans="1:13" ht="20.100000000000001" customHeight="1" x14ac:dyDescent="0.25">
      <c r="A25"/>
      <c r="D25" s="11" t="str" cm="1">
        <f t="array" ref="D25">SourceData_Swine.SourceData_Swine_MMS_MCFs_Source()</f>
        <v>VEERG 2026: Table A.1.6.4: Swine - MCFs (MCFim)</v>
      </c>
      <c r="H25" s="148" t="s">
        <v>541</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13" t="s">
        <v>78</v>
      </c>
      <c r="M27" s="8"/>
    </row>
    <row r="28" spans="1:13" ht="20.100000000000001" customHeight="1" x14ac:dyDescent="0.25">
      <c r="A28" s="16" t="str">
        <f>HYPERLINK("#'Constants - Scope 3'!A1", "Constants - Scope 3")</f>
        <v>Constants - Scope 3</v>
      </c>
      <c r="D28" s="10" t="s">
        <v>517</v>
      </c>
      <c r="E28" s="10" t="s">
        <v>331</v>
      </c>
      <c r="F28" s="10" t="s">
        <v>308</v>
      </c>
      <c r="G28" s="10" t="s">
        <v>332</v>
      </c>
      <c r="H28" s="10" t="s">
        <v>427</v>
      </c>
      <c r="I28" s="10" t="s">
        <v>386</v>
      </c>
      <c r="J28" s="10" t="s">
        <v>384</v>
      </c>
      <c r="K28" s="10" t="s">
        <v>337</v>
      </c>
      <c r="L28" s="10" t="s">
        <v>338</v>
      </c>
      <c r="M28" s="10" t="s">
        <v>542</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543</v>
      </c>
      <c r="G38" s="9" t="s">
        <v>544</v>
      </c>
      <c r="K38" s="9" t="s">
        <v>545</v>
      </c>
      <c r="M38" s="8"/>
    </row>
    <row r="39" spans="1:13" ht="20.100000000000001" customHeight="1" x14ac:dyDescent="0.25">
      <c r="A39"/>
      <c r="M39" s="8"/>
    </row>
    <row r="40" spans="1:13" ht="20.100000000000001" customHeight="1" x14ac:dyDescent="0.25">
      <c r="A40"/>
      <c r="D40" s="150" t="s">
        <v>517</v>
      </c>
      <c r="E40" s="10" t="s">
        <v>324</v>
      </c>
      <c r="G40" s="150" t="s">
        <v>517</v>
      </c>
      <c r="H40" s="10" t="s">
        <v>324</v>
      </c>
      <c r="K40" s="150" t="s">
        <v>517</v>
      </c>
      <c r="L40" s="10" t="s">
        <v>324</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0" t="s">
        <v>517</v>
      </c>
      <c r="E53" s="10" t="s">
        <v>548</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317</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317</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317</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557</v>
      </c>
      <c r="E127" s="10" t="s">
        <v>558</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143</v>
      </c>
      <c r="M5" s="8"/>
    </row>
    <row r="6" spans="1:21" ht="20.100000000000001" customHeight="1" x14ac:dyDescent="0.25">
      <c r="A6"/>
      <c r="M6" s="8"/>
    </row>
    <row r="7" spans="1:21" ht="20.100000000000001" customHeight="1" x14ac:dyDescent="0.25">
      <c r="A7" s="19" t="s">
        <v>67</v>
      </c>
      <c r="D7" s="150" t="s">
        <v>517</v>
      </c>
      <c r="E7" s="10" t="s">
        <v>324</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496</v>
      </c>
      <c r="E21" s="10" t="s">
        <v>509</v>
      </c>
      <c r="F21" s="10" t="s">
        <v>518</v>
      </c>
      <c r="G21" s="10" t="s">
        <v>510</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13"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496</v>
      </c>
      <c r="E38" s="10" t="s">
        <v>519</v>
      </c>
      <c r="F38" s="10" t="s">
        <v>520</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1" t="s">
        <v>509</v>
      </c>
      <c r="E54" s="151" t="s">
        <v>518</v>
      </c>
      <c r="F54" s="151" t="s">
        <v>510</v>
      </c>
      <c r="G54" s="151" t="s">
        <v>519</v>
      </c>
      <c r="H54" s="151"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331</v>
      </c>
      <c r="G72" s="10" t="s">
        <v>427</v>
      </c>
      <c r="H72" s="10" t="s">
        <v>332</v>
      </c>
      <c r="I72" s="10" t="s">
        <v>386</v>
      </c>
      <c r="J72" s="10" t="s">
        <v>384</v>
      </c>
      <c r="K72" s="10" t="s">
        <v>337</v>
      </c>
      <c r="L72" s="10" t="s">
        <v>338</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147</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48"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143</v>
      </c>
      <c r="M5" s="8" t="s">
        <v>440</v>
      </c>
      <c r="O5" s="8" t="s">
        <v>441</v>
      </c>
      <c r="Q5" s="8" t="s">
        <v>442</v>
      </c>
      <c r="S5" s="8" t="s">
        <v>443</v>
      </c>
    </row>
    <row r="6" spans="1:21" ht="20.100000000000001" customHeight="1" x14ac:dyDescent="0.25">
      <c r="A6"/>
      <c r="M6" s="8"/>
    </row>
    <row r="7" spans="1:21" ht="20.100000000000001" customHeight="1" x14ac:dyDescent="0.25">
      <c r="A7" s="19" t="s">
        <v>67</v>
      </c>
      <c r="D7" s="10" t="s">
        <v>145</v>
      </c>
      <c r="G7" s="10" t="s">
        <v>43</v>
      </c>
      <c r="M7" s="3" t="s">
        <v>380</v>
      </c>
      <c r="O7" s="10" t="s">
        <v>380</v>
      </c>
      <c r="Q7" s="10" t="s">
        <v>380</v>
      </c>
      <c r="S7" s="10" t="s">
        <v>380</v>
      </c>
    </row>
    <row r="8" spans="1:21" ht="20.100000000000001" customHeight="1" x14ac:dyDescent="0.25">
      <c r="A8" s="16" t="str">
        <f>HYPERLINK("#'Input - Site'!A1", "Site")</f>
        <v>Site</v>
      </c>
      <c r="D8" s="10" t="str">
        <f>'Constants - Common'!$F$187</f>
        <v>Pasture</v>
      </c>
      <c r="G8" s="10" t="s">
        <v>148</v>
      </c>
      <c r="M8" s="10" t="s">
        <v>444</v>
      </c>
      <c r="O8" s="10" t="s">
        <v>445</v>
      </c>
      <c r="Q8" s="10" t="s">
        <v>446</v>
      </c>
      <c r="S8" s="10" t="s">
        <v>426</v>
      </c>
    </row>
    <row r="9" spans="1:21" ht="20.100000000000001" customHeight="1" x14ac:dyDescent="0.25">
      <c r="A9" s="16" t="str">
        <f>HYPERLINK("#'Input - Fuel'!A1", "Fuel")</f>
        <v>Fuel</v>
      </c>
      <c r="D9" s="8" t="str">
        <f>'Constants - Common'!$F$188</f>
        <v>Crop</v>
      </c>
      <c r="G9" s="10" t="s">
        <v>152</v>
      </c>
      <c r="M9" s="10" t="s">
        <v>447</v>
      </c>
      <c r="O9" s="10" t="s">
        <v>448</v>
      </c>
      <c r="Q9" s="10" t="s">
        <v>449</v>
      </c>
    </row>
    <row r="10" spans="1:21" ht="20.100000000000001" customHeight="1" x14ac:dyDescent="0.25">
      <c r="A10" s="16" t="str">
        <f>HYPERLINK("#'Input - Fertiliser'!A1", "Fertiliser")</f>
        <v>Fertiliser</v>
      </c>
      <c r="G10" s="8" t="s">
        <v>155</v>
      </c>
      <c r="M10" s="10" t="s">
        <v>450</v>
      </c>
      <c r="O10" s="10" t="s">
        <v>451</v>
      </c>
      <c r="Q10" s="10" t="s">
        <v>452</v>
      </c>
      <c r="S10" s="8" t="s">
        <v>453</v>
      </c>
    </row>
    <row r="11" spans="1:21" ht="20.100000000000001" customHeight="1" x14ac:dyDescent="0.25">
      <c r="A11" s="16" t="str">
        <f>HYPERLINK("#'Input - Farm Inputs'!A1", "Farm Inputs")</f>
        <v>Farm Inputs</v>
      </c>
      <c r="G11" s="8" t="s">
        <v>158</v>
      </c>
      <c r="M11" s="8"/>
      <c r="Q11" s="10" t="s">
        <v>454</v>
      </c>
    </row>
    <row r="12" spans="1:21" ht="20.100000000000001" customHeight="1" x14ac:dyDescent="0.25">
      <c r="A12" s="16" t="str">
        <f>HYPERLINK("#'Input - Livestock purchases'!A1", "Livestock purchases")</f>
        <v>Livestock purchases</v>
      </c>
      <c r="G12" s="8" t="s">
        <v>160</v>
      </c>
      <c r="M12" s="8"/>
      <c r="S12" s="10" t="s">
        <v>380</v>
      </c>
    </row>
    <row r="13" spans="1:21" ht="20.100000000000001" customHeight="1" x14ac:dyDescent="0.25">
      <c r="A13" s="16" t="str">
        <f>HYPERLINK("#'Input - Freight'!A1", "Freight")</f>
        <v>Freight</v>
      </c>
      <c r="M13" s="8"/>
      <c r="S13" s="10" t="s">
        <v>426</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455</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507</v>
      </c>
      <c r="S17" s="10" t="s">
        <v>380</v>
      </c>
    </row>
    <row r="18" spans="1:19" ht="20.100000000000001" customHeight="1" x14ac:dyDescent="0.25">
      <c r="A18"/>
      <c r="D18" s="10" t="s">
        <v>274</v>
      </c>
      <c r="E18" s="10" t="s">
        <v>380</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463</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380</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426</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464</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13"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380</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426</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274</v>
      </c>
      <c r="E53" s="10" t="s">
        <v>380</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274</v>
      </c>
      <c r="E85" s="10" t="s">
        <v>380</v>
      </c>
      <c r="F85" s="10" t="s">
        <v>47</v>
      </c>
      <c r="G85" s="147" t="s">
        <v>476</v>
      </c>
      <c r="H85" s="147" t="s">
        <v>477</v>
      </c>
      <c r="I85" s="147" t="s">
        <v>478</v>
      </c>
      <c r="J85" s="147" t="s">
        <v>479</v>
      </c>
      <c r="K85" s="147" t="s">
        <v>480</v>
      </c>
      <c r="L85" s="147" t="s">
        <v>481</v>
      </c>
      <c r="M85" s="147" t="s">
        <v>482</v>
      </c>
      <c r="N85" s="147" t="s">
        <v>483</v>
      </c>
      <c r="O85" s="147" t="s">
        <v>484</v>
      </c>
      <c r="P85" s="147"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331</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331</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331</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331</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386</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386</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386</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386</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384</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384</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384</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384</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337</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337</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337</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337</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338</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338</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338</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338</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338</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338</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338</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338</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338</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338</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338</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338</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332</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332</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332</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332</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332</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332</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332</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332</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332</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332</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332</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332</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332</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332</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332</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332</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330</v>
      </c>
      <c r="E146" s="8" t="s">
        <v>426</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330</v>
      </c>
      <c r="E147" s="8" t="s">
        <v>426</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330</v>
      </c>
      <c r="E148" s="8" t="s">
        <v>426</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330</v>
      </c>
      <c r="E149" s="8" t="s">
        <v>426</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274</v>
      </c>
      <c r="E154" s="10" t="s">
        <v>380</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274</v>
      </c>
      <c r="E189" s="10" t="s">
        <v>380</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274</v>
      </c>
      <c r="E222" s="10" t="s">
        <v>380</v>
      </c>
      <c r="F222" s="10" t="s">
        <v>47</v>
      </c>
      <c r="G222" s="147" t="s">
        <v>476</v>
      </c>
      <c r="H222" s="147" t="s">
        <v>477</v>
      </c>
      <c r="I222" s="147" t="s">
        <v>478</v>
      </c>
      <c r="J222" s="147" t="s">
        <v>479</v>
      </c>
      <c r="K222" s="147" t="s">
        <v>480</v>
      </c>
      <c r="L222" s="147" t="s">
        <v>481</v>
      </c>
      <c r="M222" s="147" t="s">
        <v>482</v>
      </c>
      <c r="N222" s="147" t="s">
        <v>483</v>
      </c>
      <c r="O222" s="147" t="s">
        <v>484</v>
      </c>
      <c r="P222" s="147" t="s">
        <v>485</v>
      </c>
    </row>
    <row r="223" spans="4:16" x14ac:dyDescent="0.25">
      <c r="D223" s="10" t="s">
        <v>308</v>
      </c>
      <c r="E223" s="10" t="s">
        <v>426</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308</v>
      </c>
      <c r="E225" s="10" t="s">
        <v>426</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308</v>
      </c>
      <c r="E226" s="10" t="s">
        <v>426</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331</v>
      </c>
      <c r="E227" s="10" t="s">
        <v>426</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331</v>
      </c>
      <c r="E228" s="10" t="s">
        <v>426</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331</v>
      </c>
      <c r="E229" s="10" t="s">
        <v>426</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331</v>
      </c>
      <c r="E230" s="10" t="s">
        <v>426</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386</v>
      </c>
      <c r="E231" s="10" t="s">
        <v>426</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386</v>
      </c>
      <c r="E232" s="10" t="s">
        <v>426</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386</v>
      </c>
      <c r="E233" s="10" t="s">
        <v>426</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386</v>
      </c>
      <c r="E234" s="10" t="s">
        <v>426</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384</v>
      </c>
      <c r="E235" s="10" t="s">
        <v>426</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384</v>
      </c>
      <c r="E236" s="10" t="s">
        <v>426</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384</v>
      </c>
      <c r="E237" s="10" t="s">
        <v>426</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384</v>
      </c>
      <c r="E238" s="10" t="s">
        <v>426</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337</v>
      </c>
      <c r="E239" s="10" t="s">
        <v>426</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337</v>
      </c>
      <c r="E240" s="10" t="s">
        <v>426</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337</v>
      </c>
      <c r="E241" s="10" t="s">
        <v>426</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337</v>
      </c>
      <c r="E242" s="10" t="s">
        <v>426</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338</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338</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338</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338</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338</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338</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338</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338</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338</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338</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338</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338</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427</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427</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427</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427</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427</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427</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427</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427</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427</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427</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427</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427</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332</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332</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332</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332</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332</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332</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332</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332</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332</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332</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332</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332</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332</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332</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332</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332</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274</v>
      </c>
      <c r="E290" s="10" t="s">
        <v>380</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274</v>
      </c>
      <c r="E313" s="10" t="s">
        <v>380</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274</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274</v>
      </c>
      <c r="E361" s="147" t="s">
        <v>476</v>
      </c>
      <c r="F361" s="147" t="s">
        <v>477</v>
      </c>
      <c r="G361" s="147" t="s">
        <v>478</v>
      </c>
      <c r="H361" s="147" t="s">
        <v>479</v>
      </c>
      <c r="I361" s="147" t="s">
        <v>480</v>
      </c>
      <c r="J361" s="147" t="s">
        <v>481</v>
      </c>
      <c r="K361" s="147" t="s">
        <v>482</v>
      </c>
      <c r="L361" s="147" t="s">
        <v>483</v>
      </c>
      <c r="M361" s="147" t="s">
        <v>484</v>
      </c>
      <c r="N361" s="147" t="s">
        <v>485</v>
      </c>
      <c r="O361" s="10" t="s">
        <v>504</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48"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274</v>
      </c>
      <c r="E377" s="10" t="s">
        <v>380</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274</v>
      </c>
      <c r="E400" s="10" t="s">
        <v>380</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322</v>
      </c>
      <c r="E6" s="10" t="s">
        <v>323</v>
      </c>
      <c r="F6" s="10" t="s">
        <v>324</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13"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212</v>
      </c>
      <c r="E28" s="10" t="s">
        <v>325</v>
      </c>
      <c r="F28" s="8" t="s">
        <v>326</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212</v>
      </c>
      <c r="E40" s="10" t="s">
        <v>325</v>
      </c>
      <c r="F40" s="8" t="s">
        <v>327</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212</v>
      </c>
      <c r="E51" s="10" t="s">
        <v>325</v>
      </c>
      <c r="F51" s="8" t="s">
        <v>333</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212</v>
      </c>
      <c r="E56" s="10" t="s">
        <v>325</v>
      </c>
      <c r="F56" s="8" t="s">
        <v>334</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212</v>
      </c>
      <c r="E61" s="10" t="s">
        <v>325</v>
      </c>
      <c r="F61" s="8" t="s">
        <v>335</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223"/>
  <sheetViews>
    <sheetView showGridLines="0" topLeftCell="A85" zoomScaleNormal="100" workbookViewId="0">
      <selection activeCell="E91" sqref="E91"/>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13"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4" ht="20.100000000000001" customHeight="1" x14ac:dyDescent="0.25">
      <c r="A81"/>
      <c r="D81" s="9" t="str" cm="1">
        <f t="array" ref="D81">Fertiliser_SourceData.Fertiliser_EFLeach_Title()</f>
        <v>Emission factor for nitrogen leaching and runoff</v>
      </c>
    </row>
    <row r="82" spans="1:34" ht="20.100000000000001" customHeight="1" x14ac:dyDescent="0.25">
      <c r="A82"/>
      <c r="D82" s="11" t="str" cm="1">
        <f t="array" ref="D82">Fertiliser_SourceData.Fertiliser_EFLeach_Source()</f>
        <v>VEERG 2026: 5.5.2.3 Constant Parameters</v>
      </c>
    </row>
    <row r="83" spans="1:34"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4" ht="20.100000000000001" customHeight="1" x14ac:dyDescent="0.25">
      <c r="A84"/>
    </row>
    <row r="85" spans="1:34" ht="20.100000000000001" customHeight="1" x14ac:dyDescent="0.25">
      <c r="A85"/>
    </row>
    <row r="86" spans="1:34" ht="20.100000000000001" customHeight="1" x14ac:dyDescent="0.25">
      <c r="A86"/>
    </row>
    <row r="87" spans="1:34" ht="20.100000000000001" customHeight="1" x14ac:dyDescent="0.25">
      <c r="A87"/>
      <c r="D87" s="9" t="s">
        <v>166</v>
      </c>
      <c r="E87" s="17"/>
      <c r="F87" s="17"/>
      <c r="G87" s="17"/>
      <c r="H87" s="17"/>
      <c r="I87" s="17"/>
      <c r="J87" s="17"/>
      <c r="K87" s="17"/>
      <c r="L87" s="17"/>
      <c r="N87" s="17"/>
      <c r="O87" s="17"/>
      <c r="P87" s="17"/>
      <c r="Q87" s="17"/>
      <c r="R87" s="17"/>
      <c r="S87" s="17"/>
      <c r="T87" s="17"/>
      <c r="U87" s="17"/>
    </row>
    <row r="88" spans="1:34" ht="20.100000000000001" customHeight="1" x14ac:dyDescent="0.25">
      <c r="A88"/>
      <c r="D88" s="17"/>
    </row>
    <row r="89" spans="1:34" ht="20.100000000000001" customHeight="1" x14ac:dyDescent="0.25">
      <c r="A89"/>
      <c r="D89" s="214" t="s">
        <v>167</v>
      </c>
      <c r="E89" s="10" t="s">
        <v>212</v>
      </c>
      <c r="F89" s="10" t="s">
        <v>97</v>
      </c>
      <c r="G89" s="145" t="s">
        <v>311</v>
      </c>
      <c r="H89" s="145" t="s">
        <v>926</v>
      </c>
      <c r="I89" s="145" t="s">
        <v>169</v>
      </c>
      <c r="J89" s="145" t="s">
        <v>170</v>
      </c>
      <c r="K89" s="145" t="s">
        <v>927</v>
      </c>
      <c r="L89" s="145" t="s">
        <v>928</v>
      </c>
      <c r="M89" s="145" t="s">
        <v>929</v>
      </c>
      <c r="N89" s="145" t="s">
        <v>930</v>
      </c>
      <c r="O89" s="145" t="s">
        <v>171</v>
      </c>
      <c r="P89" s="145" t="s">
        <v>172</v>
      </c>
      <c r="Q89" s="10" t="s">
        <v>173</v>
      </c>
      <c r="R89" s="10" t="s">
        <v>174</v>
      </c>
      <c r="S89" s="10" t="s">
        <v>175</v>
      </c>
      <c r="T89" s="10" t="s">
        <v>176</v>
      </c>
      <c r="U89" s="145" t="s">
        <v>177</v>
      </c>
      <c r="V89" s="145" t="s">
        <v>178</v>
      </c>
      <c r="W89" s="10" t="s">
        <v>179</v>
      </c>
      <c r="X89" s="145" t="s">
        <v>180</v>
      </c>
      <c r="Y89" s="145" t="s">
        <v>181</v>
      </c>
      <c r="Z89" s="145" t="s">
        <v>182</v>
      </c>
      <c r="AA89" s="145" t="s">
        <v>183</v>
      </c>
      <c r="AB89" s="145" t="s">
        <v>184</v>
      </c>
      <c r="AC89" s="10" t="s">
        <v>185</v>
      </c>
      <c r="AD89" s="10" t="s">
        <v>186</v>
      </c>
      <c r="AE89" s="10" t="s">
        <v>187</v>
      </c>
      <c r="AF89" s="10" t="s">
        <v>188</v>
      </c>
      <c r="AG89" s="10" t="s">
        <v>931</v>
      </c>
      <c r="AH89" s="10" t="s">
        <v>189</v>
      </c>
    </row>
    <row r="90" spans="1:34" ht="20.100000000000001" customHeight="1" x14ac:dyDescent="0.25">
      <c r="A90"/>
      <c r="D90" s="215" t="str" cm="1">
        <f t="array" ref="D90">Common_InputFunctions.Utility_DisplayArrayInTable(Fertiliser_SourceData.Fertiliser_Products_Data1(), FertiliserProducts[[#Headers],[Company]],1)</f>
        <v>Campbells fertilisers Australia</v>
      </c>
      <c r="E90" s="215" t="str" cm="1">
        <f t="array" ref="E90">Common_InputFunctions.Utility_DisplayArrayInTable(Fertiliser_SourceData.Fertiliser_Products_Data1(), FertiliserProducts[[#Headers],[Company]],1)</f>
        <v>Aqua Finish</v>
      </c>
      <c r="F90" s="215" t="str" cm="1">
        <f t="array" ref="F90">Common_InputFunctions.Utility_DisplayArrayInTable(Fertiliser_SourceData.Fertiliser_Products_Data1(), FertiliserProducts[[#Headers],[Company]],1)</f>
        <v>L</v>
      </c>
      <c r="G90" s="215" cm="1">
        <f t="array" ref="G90">Common_InputFunctions.Utility_DisplayArrayInTable(Fertiliser_SourceData.Fertiliser_Products_Data1(), FertiliserProducts[[#Headers],[Company]],1)</f>
        <v>1.26</v>
      </c>
      <c r="H90" s="215" t="str" cm="1">
        <f t="array" ref="H90">Common_InputFunctions.Utility_DisplayArrayInTable(Fertiliser_SourceData.Fertiliser_Products_Data1(), FertiliserProducts[[#Headers],[Company]],1)</f>
        <v/>
      </c>
      <c r="I90" s="215" t="str" cm="1">
        <f t="array" ref="I90">Common_InputFunctions.Utility_DisplayArrayInTable(Fertiliser_SourceData.Fertiliser_Products_Data1(), FertiliserProducts[[#Headers],[Company]],1)</f>
        <v/>
      </c>
      <c r="J90" s="215" t="str" cm="1">
        <f t="array" ref="J90">Common_InputFunctions.Utility_DisplayArrayInTable(Fertiliser_SourceData.Fertiliser_Products_Data1(), FertiliserProducts[[#Headers],[Company]],1)</f>
        <v/>
      </c>
      <c r="K90" s="215" cm="1">
        <f t="array" ref="K90">Common_InputFunctions.Utility_DisplayArrayInTable(Fertiliser_SourceData.Fertiliser_Products_Data1(), FertiliserProducts[[#Headers],[Company]],1)</f>
        <v>2.6</v>
      </c>
      <c r="L90" s="215" cm="1">
        <f t="array" ref="L90">Common_InputFunctions.Utility_DisplayArrayInTable(Fertiliser_SourceData.Fertiliser_Products_Data1(), FertiliserProducts[[#Headers],[Company]],1)</f>
        <v>4</v>
      </c>
      <c r="M90" s="215" cm="1">
        <f t="array" ref="M90">Common_InputFunctions.Utility_DisplayArrayInTable(Fertiliser_SourceData.Fertiliser_Products_Data1(), FertiliserProducts[[#Headers],[Company]],1)</f>
        <v>22.5</v>
      </c>
      <c r="N90" s="215" t="str" cm="1">
        <f t="array" ref="N90">Common_InputFunctions.Utility_DisplayArrayInTable(Fertiliser_SourceData.Fertiliser_Products_Data1(), FertiliserProducts[[#Headers],[Company]],1)</f>
        <v/>
      </c>
      <c r="O90" s="215" t="str" cm="1">
        <f t="array" ref="O90">Common_InputFunctions.Utility_DisplayArrayInTable(Fertiliser_SourceData.Fertiliser_Products_Data1(), FertiliserProducts[[#Headers],[Company]],1)</f>
        <v>Potassium - Generic</v>
      </c>
      <c r="P90" s="215" cm="1">
        <f t="array" ref="P90">Common_InputFunctions.Utility_DisplayArrayInTable(Fertiliser_SourceData.Fertiliser_Products_Data1(), FertiliserProducts[[#Headers],[Company]],1)</f>
        <v>0.22500000000000001</v>
      </c>
      <c r="Q90" s="215" t="str" cm="1">
        <f t="array" ref="Q90">Common_InputFunctions.Utility_DisplayArrayInTable(Fertiliser_SourceData.Fertiliser_Products_Data1(), FertiliserProducts[[#Headers],[Company]],1)</f>
        <v>Phosphorus - Generic</v>
      </c>
      <c r="R90" s="215" cm="1">
        <f t="array" ref="R90">Common_InputFunctions.Utility_DisplayArrayInTable(Fertiliser_SourceData.Fertiliser_Products_Data1(), FertiliserProducts[[#Headers],[Company]],1)</f>
        <v>0.04</v>
      </c>
      <c r="S90" s="215" t="str" cm="1">
        <f t="array" ref="S90">Common_InputFunctions.Utility_DisplayArrayInTable(Fertiliser_SourceData.Fertiliser_Products_Data1(), FertiliserProducts[[#Headers],[Company]],1)</f>
        <v>Nitrogen - Generic</v>
      </c>
      <c r="T90" s="215" cm="1">
        <f t="array" ref="T90">Common_InputFunctions.Utility_DisplayArrayInTable(Fertiliser_SourceData.Fertiliser_Products_Data1(), FertiliserProducts[[#Headers],[Company]],1)</f>
        <v>2.5999999999999999E-2</v>
      </c>
      <c r="U90" s="215" t="str" cm="1">
        <f t="array" ref="U90">Common_InputFunctions.Utility_DisplayArrayInTable(Fertiliser_SourceData.Fertiliser_Products_Data1(), FertiliserProducts[[#Headers],[Company]],1)</f>
        <v/>
      </c>
      <c r="V90" s="215" t="str" cm="1">
        <f t="array" ref="V90">Common_InputFunctions.Utility_DisplayArrayInTable(Fertiliser_SourceData.Fertiliser_Products_Data1(), FertiliserProducts[[#Headers],[Company]],1)</f>
        <v/>
      </c>
      <c r="W90" s="215" t="str" cm="1">
        <f t="array" ref="W90">Common_InputFunctions.Utility_DisplayArrayInTable(Fertiliser_SourceData.Fertiliser_Products_Data1(), FertiliserProducts[[#Headers],[Company]],1)</f>
        <v/>
      </c>
      <c r="X90" s="215" t="str" cm="1">
        <f t="array" ref="X90">Common_InputFunctions.Utility_DisplayArrayInTable(Fertiliser_SourceData.Fertiliser_Products_Data1(), FertiliserProducts[[#Headers],[Company]],1)</f>
        <v/>
      </c>
      <c r="Y90" s="215" t="str" cm="1">
        <f t="array" ref="Y90">Common_InputFunctions.Utility_DisplayArrayInTable(Fertiliser_SourceData.Fertiliser_Products_Data1(), FertiliserProducts[[#Headers],[Company]],1)</f>
        <v/>
      </c>
      <c r="Z90" s="215" t="str" cm="1">
        <f t="array" ref="Z90">Common_InputFunctions.Utility_DisplayArrayInTable(Fertiliser_SourceData.Fertiliser_Products_Data1(), FertiliserProducts[[#Headers],[Company]],1)</f>
        <v/>
      </c>
      <c r="AA90" s="215" t="str" cm="1">
        <f t="array" ref="AA90">Common_InputFunctions.Utility_DisplayArrayInTable(Fertiliser_SourceData.Fertiliser_Products_Data1(), FertiliserProducts[[#Headers],[Company]],1)</f>
        <v/>
      </c>
      <c r="AB90" s="215" t="str" cm="1">
        <f t="array" ref="AB90">Common_InputFunctions.Utility_DisplayArrayInTable(Fertiliser_SourceData.Fertiliser_Products_Data1(), FertiliserProducts[[#Headers],[Company]],1)</f>
        <v/>
      </c>
      <c r="AC90" s="215" t="str" cm="1">
        <f t="array" ref="AC90">Common_InputFunctions.Utility_DisplayArrayInTable(Fertiliser_SourceData.Fertiliser_Products_Data1(), FertiliserProducts[[#Headers],[Company]],1)</f>
        <v/>
      </c>
      <c r="AD90" s="215" t="str" cm="1">
        <f t="array" ref="AD90">Common_InputFunctions.Utility_DisplayArrayInTable(Fertiliser_SourceData.Fertiliser_Products_Data1(), FertiliserProducts[[#Headers],[Company]],1)</f>
        <v/>
      </c>
      <c r="AE90" s="215" t="str" cm="1">
        <f t="array" ref="AE90">Common_InputFunctions.Utility_DisplayArrayInTable(Fertiliser_SourceData.Fertiliser_Products_Data1(), FertiliserProducts[[#Headers],[Company]],1)</f>
        <v/>
      </c>
      <c r="AF90" s="215" t="str" cm="1">
        <f t="array" ref="AF90">Common_InputFunctions.Utility_DisplayArrayInTable(Fertiliser_SourceData.Fertiliser_Products_Data1(), FertiliserProducts[[#Headers],[Company]],1)</f>
        <v/>
      </c>
      <c r="AG90" s="215" t="str" cm="1">
        <f t="array" ref="AG90">Common_InputFunctions.Utility_DisplayArrayInTable(Fertiliser_SourceData.Fertiliser_Products_Data1(), FertiliserProducts[[#Headers],[Company]],1)</f>
        <v/>
      </c>
      <c r="AH90" s="215" t="str" cm="1">
        <f t="array" ref="AH90">Common_InputFunctions.Utility_DisplayArrayInTable(Fertiliser_SourceData.Fertiliser_Products_Data1(), FertiliserProducts[[#Headers],[Company]],1)</f>
        <v/>
      </c>
    </row>
    <row r="91" spans="1:34" ht="20.100000000000001" customHeight="1" x14ac:dyDescent="0.25">
      <c r="A91"/>
      <c r="D91" s="215" t="str" cm="1">
        <f t="array" ref="D91">Common_InputFunctions.Utility_DisplayArrayInTable(Fertiliser_SourceData.Fertiliser_Products_Data1(), FertiliserProducts[[#Headers],[Company]],1)</f>
        <v>Campbells fertilisers Australia</v>
      </c>
      <c r="E91" s="215" t="str" cm="1">
        <f t="array" ref="E91">Common_InputFunctions.Utility_DisplayArrayInTable(Fertiliser_SourceData.Fertiliser_Products_Data1(), FertiliserProducts[[#Headers],[Company]],1)</f>
        <v>Aqua Grow</v>
      </c>
      <c r="F91" s="215" t="str" cm="1">
        <f t="array" ref="F91">Common_InputFunctions.Utility_DisplayArrayInTable(Fertiliser_SourceData.Fertiliser_Products_Data1(), FertiliserProducts[[#Headers],[Company]],1)</f>
        <v>L</v>
      </c>
      <c r="G91" s="215" cm="1">
        <f t="array" ref="G91">Common_InputFunctions.Utility_DisplayArrayInTable(Fertiliser_SourceData.Fertiliser_Products_Data1(), FertiliserProducts[[#Headers],[Company]],1)</f>
        <v>1.26</v>
      </c>
      <c r="H91" s="215" t="str" cm="1">
        <f t="array" ref="H91">Common_InputFunctions.Utility_DisplayArrayInTable(Fertiliser_SourceData.Fertiliser_Products_Data1(), FertiliserProducts[[#Headers],[Company]],1)</f>
        <v/>
      </c>
      <c r="I91" s="215" t="str" cm="1">
        <f t="array" ref="I91">Common_InputFunctions.Utility_DisplayArrayInTable(Fertiliser_SourceData.Fertiliser_Products_Data1(), FertiliserProducts[[#Headers],[Company]],1)</f>
        <v/>
      </c>
      <c r="J91" s="215" t="str" cm="1">
        <f t="array" ref="J91">Common_InputFunctions.Utility_DisplayArrayInTable(Fertiliser_SourceData.Fertiliser_Products_Data1(), FertiliserProducts[[#Headers],[Company]],1)</f>
        <v/>
      </c>
      <c r="K91" s="215" cm="1">
        <f t="array" ref="K91">Common_InputFunctions.Utility_DisplayArrayInTable(Fertiliser_SourceData.Fertiliser_Products_Data1(), FertiliserProducts[[#Headers],[Company]],1)</f>
        <v>9.6</v>
      </c>
      <c r="L91" s="215" cm="1">
        <f t="array" ref="L91">Common_InputFunctions.Utility_DisplayArrayInTable(Fertiliser_SourceData.Fertiliser_Products_Data1(), FertiliserProducts[[#Headers],[Company]],1)</f>
        <v>5</v>
      </c>
      <c r="M91" s="215" cm="1">
        <f t="array" ref="M91">Common_InputFunctions.Utility_DisplayArrayInTable(Fertiliser_SourceData.Fertiliser_Products_Data1(), FertiliserProducts[[#Headers],[Company]],1)</f>
        <v>10.5</v>
      </c>
      <c r="N91" s="215" t="str" cm="1">
        <f t="array" ref="N91">Common_InputFunctions.Utility_DisplayArrayInTable(Fertiliser_SourceData.Fertiliser_Products_Data1(), FertiliserProducts[[#Headers],[Company]],1)</f>
        <v/>
      </c>
      <c r="O91" s="215" t="str" cm="1">
        <f t="array" ref="O91">Common_InputFunctions.Utility_DisplayArrayInTable(Fertiliser_SourceData.Fertiliser_Products_Data1(), FertiliserProducts[[#Headers],[Company]],1)</f>
        <v>Potassium - Generic</v>
      </c>
      <c r="P91" s="215" cm="1">
        <f t="array" ref="P91">Common_InputFunctions.Utility_DisplayArrayInTable(Fertiliser_SourceData.Fertiliser_Products_Data1(), FertiliserProducts[[#Headers],[Company]],1)</f>
        <v>0.105</v>
      </c>
      <c r="Q91" s="215" t="str" cm="1">
        <f t="array" ref="Q91">Common_InputFunctions.Utility_DisplayArrayInTable(Fertiliser_SourceData.Fertiliser_Products_Data1(), FertiliserProducts[[#Headers],[Company]],1)</f>
        <v>Nitrogen - Generic</v>
      </c>
      <c r="R91" s="215" cm="1">
        <f t="array" ref="R91">Common_InputFunctions.Utility_DisplayArrayInTable(Fertiliser_SourceData.Fertiliser_Products_Data1(), FertiliserProducts[[#Headers],[Company]],1)</f>
        <v>9.6000000000000002E-2</v>
      </c>
      <c r="S91" s="215" t="str" cm="1">
        <f t="array" ref="S91">Common_InputFunctions.Utility_DisplayArrayInTable(Fertiliser_SourceData.Fertiliser_Products_Data1(), FertiliserProducts[[#Headers],[Company]],1)</f>
        <v>Phosphorus - Generic</v>
      </c>
      <c r="T91" s="215" cm="1">
        <f t="array" ref="T91">Common_InputFunctions.Utility_DisplayArrayInTable(Fertiliser_SourceData.Fertiliser_Products_Data1(), FertiliserProducts[[#Headers],[Company]],1)</f>
        <v>0.05</v>
      </c>
      <c r="U91" s="215" t="str" cm="1">
        <f t="array" ref="U91">Common_InputFunctions.Utility_DisplayArrayInTable(Fertiliser_SourceData.Fertiliser_Products_Data1(), FertiliserProducts[[#Headers],[Company]],1)</f>
        <v/>
      </c>
      <c r="V91" s="215" t="str" cm="1">
        <f t="array" ref="V91">Common_InputFunctions.Utility_DisplayArrayInTable(Fertiliser_SourceData.Fertiliser_Products_Data1(), FertiliserProducts[[#Headers],[Company]],1)</f>
        <v/>
      </c>
      <c r="W91" s="215" t="str" cm="1">
        <f t="array" ref="W91">Common_InputFunctions.Utility_DisplayArrayInTable(Fertiliser_SourceData.Fertiliser_Products_Data1(), FertiliserProducts[[#Headers],[Company]],1)</f>
        <v/>
      </c>
      <c r="X91" s="215" t="str" cm="1">
        <f t="array" ref="X91">Common_InputFunctions.Utility_DisplayArrayInTable(Fertiliser_SourceData.Fertiliser_Products_Data1(), FertiliserProducts[[#Headers],[Company]],1)</f>
        <v/>
      </c>
      <c r="Y91" s="215" t="str" cm="1">
        <f t="array" ref="Y91">Common_InputFunctions.Utility_DisplayArrayInTable(Fertiliser_SourceData.Fertiliser_Products_Data1(), FertiliserProducts[[#Headers],[Company]],1)</f>
        <v/>
      </c>
      <c r="Z91" s="215" t="str" cm="1">
        <f t="array" ref="Z91">Common_InputFunctions.Utility_DisplayArrayInTable(Fertiliser_SourceData.Fertiliser_Products_Data1(), FertiliserProducts[[#Headers],[Company]],1)</f>
        <v/>
      </c>
      <c r="AA91" s="215" t="str" cm="1">
        <f t="array" ref="AA91">Common_InputFunctions.Utility_DisplayArrayInTable(Fertiliser_SourceData.Fertiliser_Products_Data1(), FertiliserProducts[[#Headers],[Company]],1)</f>
        <v/>
      </c>
      <c r="AB91" s="215" t="str" cm="1">
        <f t="array" ref="AB91">Common_InputFunctions.Utility_DisplayArrayInTable(Fertiliser_SourceData.Fertiliser_Products_Data1(), FertiliserProducts[[#Headers],[Company]],1)</f>
        <v/>
      </c>
      <c r="AC91" s="215" t="str" cm="1">
        <f t="array" ref="AC91">Common_InputFunctions.Utility_DisplayArrayInTable(Fertiliser_SourceData.Fertiliser_Products_Data1(), FertiliserProducts[[#Headers],[Company]],1)</f>
        <v/>
      </c>
      <c r="AD91" s="215" t="str" cm="1">
        <f t="array" ref="AD91">Common_InputFunctions.Utility_DisplayArrayInTable(Fertiliser_SourceData.Fertiliser_Products_Data1(), FertiliserProducts[[#Headers],[Company]],1)</f>
        <v/>
      </c>
      <c r="AE91" s="215" t="str" cm="1">
        <f t="array" ref="AE91">Common_InputFunctions.Utility_DisplayArrayInTable(Fertiliser_SourceData.Fertiliser_Products_Data1(), FertiliserProducts[[#Headers],[Company]],1)</f>
        <v/>
      </c>
      <c r="AF91" s="215" t="str" cm="1">
        <f t="array" ref="AF91">Common_InputFunctions.Utility_DisplayArrayInTable(Fertiliser_SourceData.Fertiliser_Products_Data1(), FertiliserProducts[[#Headers],[Company]],1)</f>
        <v/>
      </c>
      <c r="AG91" s="215" t="str" cm="1">
        <f t="array" ref="AG91">Common_InputFunctions.Utility_DisplayArrayInTable(Fertiliser_SourceData.Fertiliser_Products_Data1(), FertiliserProducts[[#Headers],[Company]],1)</f>
        <v/>
      </c>
      <c r="AH91" s="215" t="str" cm="1">
        <f t="array" ref="AH91">Common_InputFunctions.Utility_DisplayArrayInTable(Fertiliser_SourceData.Fertiliser_Products_Data1(), FertiliserProducts[[#Headers],[Company]],1)</f>
        <v/>
      </c>
    </row>
    <row r="92" spans="1:34" ht="20.100000000000001" customHeight="1" x14ac:dyDescent="0.25">
      <c r="A92"/>
      <c r="D92" s="215" t="str" cm="1">
        <f t="array" ref="D92">Common_InputFunctions.Utility_DisplayArrayInTable(Fertiliser_SourceData.Fertiliser_Products_Data1(), FertiliserProducts[[#Headers],[Company]],1)</f>
        <v>Campbells fertilisers Australia</v>
      </c>
      <c r="E92" s="215" t="str" cm="1">
        <f t="array" ref="E92">Common_InputFunctions.Utility_DisplayArrayInTable(Fertiliser_SourceData.Fertiliser_Products_Data1(), FertiliserProducts[[#Headers],[Company]],1)</f>
        <v>Aqua Nitro AN</v>
      </c>
      <c r="F92" s="215" t="str" cm="1">
        <f t="array" ref="F92">Common_InputFunctions.Utility_DisplayArrayInTable(Fertiliser_SourceData.Fertiliser_Products_Data1(), FertiliserProducts[[#Headers],[Company]],1)</f>
        <v>L</v>
      </c>
      <c r="G92" s="215" cm="1">
        <f t="array" ref="G92">Common_InputFunctions.Utility_DisplayArrayInTable(Fertiliser_SourceData.Fertiliser_Products_Data1(), FertiliserProducts[[#Headers],[Company]],1)</f>
        <v>1.24</v>
      </c>
      <c r="H92" s="215" t="str" cm="1">
        <f t="array" ref="H92">Common_InputFunctions.Utility_DisplayArrayInTable(Fertiliser_SourceData.Fertiliser_Products_Data1(), FertiliserProducts[[#Headers],[Company]],1)</f>
        <v/>
      </c>
      <c r="I92" s="215" t="str" cm="1">
        <f t="array" ref="I92">Common_InputFunctions.Utility_DisplayArrayInTable(Fertiliser_SourceData.Fertiliser_Products_Data1(), FertiliserProducts[[#Headers],[Company]],1)</f>
        <v/>
      </c>
      <c r="J92" s="215" t="str" cm="1">
        <f t="array" ref="J92">Common_InputFunctions.Utility_DisplayArrayInTable(Fertiliser_SourceData.Fertiliser_Products_Data1(), FertiliserProducts[[#Headers],[Company]],1)</f>
        <v/>
      </c>
      <c r="K92" s="215" cm="1">
        <f t="array" ref="K92">Common_InputFunctions.Utility_DisplayArrayInTable(Fertiliser_SourceData.Fertiliser_Products_Data1(), FertiliserProducts[[#Headers],[Company]],1)</f>
        <v>22.3</v>
      </c>
      <c r="L92" s="215" t="str" cm="1">
        <f t="array" ref="L92">Common_InputFunctions.Utility_DisplayArrayInTable(Fertiliser_SourceData.Fertiliser_Products_Data1(), FertiliserProducts[[#Headers],[Company]],1)</f>
        <v/>
      </c>
      <c r="M92" s="215" t="str" cm="1">
        <f t="array" ref="M92">Common_InputFunctions.Utility_DisplayArrayInTable(Fertiliser_SourceData.Fertiliser_Products_Data1(), FertiliserProducts[[#Headers],[Company]],1)</f>
        <v/>
      </c>
      <c r="N92" s="215" t="str" cm="1">
        <f t="array" ref="N92">Common_InputFunctions.Utility_DisplayArrayInTable(Fertiliser_SourceData.Fertiliser_Products_Data1(), FertiliserProducts[[#Headers],[Company]],1)</f>
        <v/>
      </c>
      <c r="O92" s="215" t="str" cm="1">
        <f t="array" ref="O92">Common_InputFunctions.Utility_DisplayArrayInTable(Fertiliser_SourceData.Fertiliser_Products_Data1(), FertiliserProducts[[#Headers],[Company]],1)</f>
        <v>Nitrogen - Ammoniacal</v>
      </c>
      <c r="P92" s="215" cm="1">
        <f t="array" ref="P92">Common_InputFunctions.Utility_DisplayArrayInTable(Fertiliser_SourceData.Fertiliser_Products_Data1(), FertiliserProducts[[#Headers],[Company]],1)</f>
        <v>0.223</v>
      </c>
      <c r="Q92" s="215" t="str" cm="1">
        <f t="array" ref="Q92">Common_InputFunctions.Utility_DisplayArrayInTable(Fertiliser_SourceData.Fertiliser_Products_Data1(), FertiliserProducts[[#Headers],[Company]],1)</f>
        <v/>
      </c>
      <c r="R92" s="215" t="str" cm="1">
        <f t="array" ref="R92">Common_InputFunctions.Utility_DisplayArrayInTable(Fertiliser_SourceData.Fertiliser_Products_Data1(), FertiliserProducts[[#Headers],[Company]],1)</f>
        <v/>
      </c>
      <c r="S92" s="215" t="str" cm="1">
        <f t="array" ref="S92">Common_InputFunctions.Utility_DisplayArrayInTable(Fertiliser_SourceData.Fertiliser_Products_Data1(), FertiliserProducts[[#Headers],[Company]],1)</f>
        <v/>
      </c>
      <c r="T92" s="215" t="str" cm="1">
        <f t="array" ref="T92">Common_InputFunctions.Utility_DisplayArrayInTable(Fertiliser_SourceData.Fertiliser_Products_Data1(), FertiliserProducts[[#Headers],[Company]],1)</f>
        <v/>
      </c>
      <c r="U92" s="215" t="str" cm="1">
        <f t="array" ref="U92">Common_InputFunctions.Utility_DisplayArrayInTable(Fertiliser_SourceData.Fertiliser_Products_Data1(), FertiliserProducts[[#Headers],[Company]],1)</f>
        <v/>
      </c>
      <c r="V92" s="215" t="str" cm="1">
        <f t="array" ref="V92">Common_InputFunctions.Utility_DisplayArrayInTable(Fertiliser_SourceData.Fertiliser_Products_Data1(), FertiliserProducts[[#Headers],[Company]],1)</f>
        <v/>
      </c>
      <c r="W92" s="215" t="str" cm="1">
        <f t="array" ref="W92">Common_InputFunctions.Utility_DisplayArrayInTable(Fertiliser_SourceData.Fertiliser_Products_Data1(), FertiliserProducts[[#Headers],[Company]],1)</f>
        <v/>
      </c>
      <c r="X92" s="215" t="str" cm="1">
        <f t="array" ref="X92">Common_InputFunctions.Utility_DisplayArrayInTable(Fertiliser_SourceData.Fertiliser_Products_Data1(), FertiliserProducts[[#Headers],[Company]],1)</f>
        <v/>
      </c>
      <c r="Y92" s="215" t="str" cm="1">
        <f t="array" ref="Y92">Common_InputFunctions.Utility_DisplayArrayInTable(Fertiliser_SourceData.Fertiliser_Products_Data1(), FertiliserProducts[[#Headers],[Company]],1)</f>
        <v/>
      </c>
      <c r="Z92" s="215" t="str" cm="1">
        <f t="array" ref="Z92">Common_InputFunctions.Utility_DisplayArrayInTable(Fertiliser_SourceData.Fertiliser_Products_Data1(), FertiliserProducts[[#Headers],[Company]],1)</f>
        <v/>
      </c>
      <c r="AA92" s="215" t="str" cm="1">
        <f t="array" ref="AA92">Common_InputFunctions.Utility_DisplayArrayInTable(Fertiliser_SourceData.Fertiliser_Products_Data1(), FertiliserProducts[[#Headers],[Company]],1)</f>
        <v/>
      </c>
      <c r="AB92" s="215" t="str" cm="1">
        <f t="array" ref="AB92">Common_InputFunctions.Utility_DisplayArrayInTable(Fertiliser_SourceData.Fertiliser_Products_Data1(), FertiliserProducts[[#Headers],[Company]],1)</f>
        <v/>
      </c>
      <c r="AC92" s="215" t="str" cm="1">
        <f t="array" ref="AC92">Common_InputFunctions.Utility_DisplayArrayInTable(Fertiliser_SourceData.Fertiliser_Products_Data1(), FertiliserProducts[[#Headers],[Company]],1)</f>
        <v/>
      </c>
      <c r="AD92" s="215" t="str" cm="1">
        <f t="array" ref="AD92">Common_InputFunctions.Utility_DisplayArrayInTable(Fertiliser_SourceData.Fertiliser_Products_Data1(), FertiliserProducts[[#Headers],[Company]],1)</f>
        <v/>
      </c>
      <c r="AE92" s="215" t="str" cm="1">
        <f t="array" ref="AE92">Common_InputFunctions.Utility_DisplayArrayInTable(Fertiliser_SourceData.Fertiliser_Products_Data1(), FertiliserProducts[[#Headers],[Company]],1)</f>
        <v/>
      </c>
      <c r="AF92" s="215" t="str" cm="1">
        <f t="array" ref="AF92">Common_InputFunctions.Utility_DisplayArrayInTable(Fertiliser_SourceData.Fertiliser_Products_Data1(), FertiliserProducts[[#Headers],[Company]],1)</f>
        <v/>
      </c>
      <c r="AG92" s="215" t="str" cm="1">
        <f t="array" ref="AG92">Common_InputFunctions.Utility_DisplayArrayInTable(Fertiliser_SourceData.Fertiliser_Products_Data1(), FertiliserProducts[[#Headers],[Company]],1)</f>
        <v/>
      </c>
      <c r="AH92" s="215" t="str" cm="1">
        <f t="array" ref="AH92">Common_InputFunctions.Utility_DisplayArrayInTable(Fertiliser_SourceData.Fertiliser_Products_Data1(), FertiliserProducts[[#Headers],[Company]],1)</f>
        <v/>
      </c>
    </row>
    <row r="93" spans="1:34" ht="20.100000000000001" customHeight="1" x14ac:dyDescent="0.25">
      <c r="A93"/>
      <c r="D93" s="215" t="str" cm="1">
        <f t="array" ref="D93">Common_InputFunctions.Utility_DisplayArrayInTable(Fertiliser_SourceData.Fertiliser_Products_Data1(), FertiliserProducts[[#Headers],[Company]],1)</f>
        <v>Campbells fertilisers Australia</v>
      </c>
      <c r="E93" s="215" t="str" cm="1">
        <f t="array" ref="E93">Common_InputFunctions.Utility_DisplayArrayInTable(Fertiliser_SourceData.Fertiliser_Products_Data1(), FertiliserProducts[[#Headers],[Company]],1)</f>
        <v>Aqua NitroCal</v>
      </c>
      <c r="F93" s="215" t="str" cm="1">
        <f t="array" ref="F93">Common_InputFunctions.Utility_DisplayArrayInTable(Fertiliser_SourceData.Fertiliser_Products_Data1(), FertiliserProducts[[#Headers],[Company]],1)</f>
        <v>L</v>
      </c>
      <c r="G93" s="215" cm="1">
        <f t="array" ref="G93">Common_InputFunctions.Utility_DisplayArrayInTable(Fertiliser_SourceData.Fertiliser_Products_Data1(), FertiliserProducts[[#Headers],[Company]],1)</f>
        <v>1.5</v>
      </c>
      <c r="H93" s="215" t="str" cm="1">
        <f t="array" ref="H93">Common_InputFunctions.Utility_DisplayArrayInTable(Fertiliser_SourceData.Fertiliser_Products_Data1(), FertiliserProducts[[#Headers],[Company]],1)</f>
        <v/>
      </c>
      <c r="I93" s="215" t="str" cm="1">
        <f t="array" ref="I93">Common_InputFunctions.Utility_DisplayArrayInTable(Fertiliser_SourceData.Fertiliser_Products_Data1(), FertiliserProducts[[#Headers],[Company]],1)</f>
        <v/>
      </c>
      <c r="J93" s="215" t="str" cm="1">
        <f t="array" ref="J93">Common_InputFunctions.Utility_DisplayArrayInTable(Fertiliser_SourceData.Fertiliser_Products_Data1(), FertiliserProducts[[#Headers],[Company]],1)</f>
        <v/>
      </c>
      <c r="K93" s="215" cm="1">
        <f t="array" ref="K93">Common_InputFunctions.Utility_DisplayArrayInTable(Fertiliser_SourceData.Fertiliser_Products_Data1(), FertiliserProducts[[#Headers],[Company]],1)</f>
        <v>13.2</v>
      </c>
      <c r="L93" s="215" t="str" cm="1">
        <f t="array" ref="L93">Common_InputFunctions.Utility_DisplayArrayInTable(Fertiliser_SourceData.Fertiliser_Products_Data1(), FertiliserProducts[[#Headers],[Company]],1)</f>
        <v/>
      </c>
      <c r="M93" s="215" t="str" cm="1">
        <f t="array" ref="M93">Common_InputFunctions.Utility_DisplayArrayInTable(Fertiliser_SourceData.Fertiliser_Products_Data1(), FertiliserProducts[[#Headers],[Company]],1)</f>
        <v/>
      </c>
      <c r="N93" s="215" t="str" cm="1">
        <f t="array" ref="N93">Common_InputFunctions.Utility_DisplayArrayInTable(Fertiliser_SourceData.Fertiliser_Products_Data1(), FertiliserProducts[[#Headers],[Company]],1)</f>
        <v/>
      </c>
      <c r="O93" s="215" t="str" cm="1">
        <f t="array" ref="O93">Common_InputFunctions.Utility_DisplayArrayInTable(Fertiliser_SourceData.Fertiliser_Products_Data1(), FertiliserProducts[[#Headers],[Company]],1)</f>
        <v>Calcium</v>
      </c>
      <c r="P93" s="215" cm="1">
        <f t="array" ref="P93">Common_InputFunctions.Utility_DisplayArrayInTable(Fertiliser_SourceData.Fertiliser_Products_Data1(), FertiliserProducts[[#Headers],[Company]],1)</f>
        <v>0.16200000000000001</v>
      </c>
      <c r="Q93" s="215" t="str" cm="1">
        <f t="array" ref="Q93">Common_InputFunctions.Utility_DisplayArrayInTable(Fertiliser_SourceData.Fertiliser_Products_Data1(), FertiliserProducts[[#Headers],[Company]],1)</f>
        <v>Nitrogen - Nitrate</v>
      </c>
      <c r="R93" s="215" cm="1">
        <f t="array" ref="R93">Common_InputFunctions.Utility_DisplayArrayInTable(Fertiliser_SourceData.Fertiliser_Products_Data1(), FertiliserProducts[[#Headers],[Company]],1)</f>
        <v>0.13200000000000001</v>
      </c>
      <c r="S93" s="215" t="str" cm="1">
        <f t="array" ref="S93">Common_InputFunctions.Utility_DisplayArrayInTable(Fertiliser_SourceData.Fertiliser_Products_Data1(), FertiliserProducts[[#Headers],[Company]],1)</f>
        <v/>
      </c>
      <c r="T93" s="215" t="str" cm="1">
        <f t="array" ref="T93">Common_InputFunctions.Utility_DisplayArrayInTable(Fertiliser_SourceData.Fertiliser_Products_Data1(), FertiliserProducts[[#Headers],[Company]],1)</f>
        <v/>
      </c>
      <c r="U93" s="215" t="str" cm="1">
        <f t="array" ref="U93">Common_InputFunctions.Utility_DisplayArrayInTable(Fertiliser_SourceData.Fertiliser_Products_Data1(), FertiliserProducts[[#Headers],[Company]],1)</f>
        <v/>
      </c>
      <c r="V93" s="215" t="str" cm="1">
        <f t="array" ref="V93">Common_InputFunctions.Utility_DisplayArrayInTable(Fertiliser_SourceData.Fertiliser_Products_Data1(), FertiliserProducts[[#Headers],[Company]],1)</f>
        <v/>
      </c>
      <c r="W93" s="215" t="str" cm="1">
        <f t="array" ref="W93">Common_InputFunctions.Utility_DisplayArrayInTable(Fertiliser_SourceData.Fertiliser_Products_Data1(), FertiliserProducts[[#Headers],[Company]],1)</f>
        <v/>
      </c>
      <c r="X93" s="215" t="str" cm="1">
        <f t="array" ref="X93">Common_InputFunctions.Utility_DisplayArrayInTable(Fertiliser_SourceData.Fertiliser_Products_Data1(), FertiliserProducts[[#Headers],[Company]],1)</f>
        <v/>
      </c>
      <c r="Y93" s="215" t="str" cm="1">
        <f t="array" ref="Y93">Common_InputFunctions.Utility_DisplayArrayInTable(Fertiliser_SourceData.Fertiliser_Products_Data1(), FertiliserProducts[[#Headers],[Company]],1)</f>
        <v/>
      </c>
      <c r="Z93" s="215" t="str" cm="1">
        <f t="array" ref="Z93">Common_InputFunctions.Utility_DisplayArrayInTable(Fertiliser_SourceData.Fertiliser_Products_Data1(), FertiliserProducts[[#Headers],[Company]],1)</f>
        <v/>
      </c>
      <c r="AA93" s="215" t="str" cm="1">
        <f t="array" ref="AA93">Common_InputFunctions.Utility_DisplayArrayInTable(Fertiliser_SourceData.Fertiliser_Products_Data1(), FertiliserProducts[[#Headers],[Company]],1)</f>
        <v/>
      </c>
      <c r="AB93" s="215" t="str" cm="1">
        <f t="array" ref="AB93">Common_InputFunctions.Utility_DisplayArrayInTable(Fertiliser_SourceData.Fertiliser_Products_Data1(), FertiliserProducts[[#Headers],[Company]],1)</f>
        <v/>
      </c>
      <c r="AC93" s="215" t="str" cm="1">
        <f t="array" ref="AC93">Common_InputFunctions.Utility_DisplayArrayInTable(Fertiliser_SourceData.Fertiliser_Products_Data1(), FertiliserProducts[[#Headers],[Company]],1)</f>
        <v/>
      </c>
      <c r="AD93" s="215" t="str" cm="1">
        <f t="array" ref="AD93">Common_InputFunctions.Utility_DisplayArrayInTable(Fertiliser_SourceData.Fertiliser_Products_Data1(), FertiliserProducts[[#Headers],[Company]],1)</f>
        <v/>
      </c>
      <c r="AE93" s="215" t="str" cm="1">
        <f t="array" ref="AE93">Common_InputFunctions.Utility_DisplayArrayInTable(Fertiliser_SourceData.Fertiliser_Products_Data1(), FertiliserProducts[[#Headers],[Company]],1)</f>
        <v/>
      </c>
      <c r="AF93" s="215" t="str" cm="1">
        <f t="array" ref="AF93">Common_InputFunctions.Utility_DisplayArrayInTable(Fertiliser_SourceData.Fertiliser_Products_Data1(), FertiliserProducts[[#Headers],[Company]],1)</f>
        <v/>
      </c>
      <c r="AG93" s="215" t="str" cm="1">
        <f t="array" ref="AG93">Common_InputFunctions.Utility_DisplayArrayInTable(Fertiliser_SourceData.Fertiliser_Products_Data1(), FertiliserProducts[[#Headers],[Company]],1)</f>
        <v/>
      </c>
      <c r="AH93" s="215" t="str" cm="1">
        <f t="array" ref="AH93">Common_InputFunctions.Utility_DisplayArrayInTable(Fertiliser_SourceData.Fertiliser_Products_Data1(), FertiliserProducts[[#Headers],[Company]],1)</f>
        <v/>
      </c>
    </row>
    <row r="94" spans="1:34" ht="20.100000000000001" customHeight="1" x14ac:dyDescent="0.25">
      <c r="A94"/>
      <c r="D94" s="215" t="str" cm="1">
        <f t="array" ref="D94">Common_InputFunctions.Utility_DisplayArrayInTable(Fertiliser_SourceData.Fertiliser_Products_Data1(), FertiliserProducts[[#Headers],[Company]],1)</f>
        <v>Campbells fertilisers Australia</v>
      </c>
      <c r="E94" s="215" t="str" cm="1">
        <f t="array" ref="E94">Common_InputFunctions.Utility_DisplayArrayInTable(Fertiliser_SourceData.Fertiliser_Products_Data1(), FertiliserProducts[[#Headers],[Company]],1)</f>
        <v>Aqua NitroCal (VI)</v>
      </c>
      <c r="F94" s="215" t="str" cm="1">
        <f t="array" ref="F94">Common_InputFunctions.Utility_DisplayArrayInTable(Fertiliser_SourceData.Fertiliser_Products_Data1(), FertiliserProducts[[#Headers],[Company]],1)</f>
        <v>L</v>
      </c>
      <c r="G94" s="215" cm="1">
        <f t="array" ref="G94">Common_InputFunctions.Utility_DisplayArrayInTable(Fertiliser_SourceData.Fertiliser_Products_Data1(), FertiliserProducts[[#Headers],[Company]],1)</f>
        <v>1.5</v>
      </c>
      <c r="H94" s="215" t="str" cm="1">
        <f t="array" ref="H94">Common_InputFunctions.Utility_DisplayArrayInTable(Fertiliser_SourceData.Fertiliser_Products_Data1(), FertiliserProducts[[#Headers],[Company]],1)</f>
        <v/>
      </c>
      <c r="I94" s="215" t="str" cm="1">
        <f t="array" ref="I94">Common_InputFunctions.Utility_DisplayArrayInTable(Fertiliser_SourceData.Fertiliser_Products_Data1(), FertiliserProducts[[#Headers],[Company]],1)</f>
        <v/>
      </c>
      <c r="J94" s="215" t="str" cm="1">
        <f t="array" ref="J94">Common_InputFunctions.Utility_DisplayArrayInTable(Fertiliser_SourceData.Fertiliser_Products_Data1(), FertiliserProducts[[#Headers],[Company]],1)</f>
        <v/>
      </c>
      <c r="K94" s="215" cm="1">
        <f t="array" ref="K94">Common_InputFunctions.Utility_DisplayArrayInTable(Fertiliser_SourceData.Fertiliser_Products_Data1(), FertiliserProducts[[#Headers],[Company]],1)</f>
        <v>13.2</v>
      </c>
      <c r="L94" s="215" t="str" cm="1">
        <f t="array" ref="L94">Common_InputFunctions.Utility_DisplayArrayInTable(Fertiliser_SourceData.Fertiliser_Products_Data1(), FertiliserProducts[[#Headers],[Company]],1)</f>
        <v/>
      </c>
      <c r="M94" s="215" t="str" cm="1">
        <f t="array" ref="M94">Common_InputFunctions.Utility_DisplayArrayInTable(Fertiliser_SourceData.Fertiliser_Products_Data1(), FertiliserProducts[[#Headers],[Company]],1)</f>
        <v/>
      </c>
      <c r="N94" s="215" t="str" cm="1">
        <f t="array" ref="N94">Common_InputFunctions.Utility_DisplayArrayInTable(Fertiliser_SourceData.Fertiliser_Products_Data1(), FertiliserProducts[[#Headers],[Company]],1)</f>
        <v/>
      </c>
      <c r="O94" s="215" t="str" cm="1">
        <f t="array" ref="O94">Common_InputFunctions.Utility_DisplayArrayInTable(Fertiliser_SourceData.Fertiliser_Products_Data1(), FertiliserProducts[[#Headers],[Company]],1)</f>
        <v>Calcium</v>
      </c>
      <c r="P94" s="215" cm="1">
        <f t="array" ref="P94">Common_InputFunctions.Utility_DisplayArrayInTable(Fertiliser_SourceData.Fertiliser_Products_Data1(), FertiliserProducts[[#Headers],[Company]],1)</f>
        <v>0.187</v>
      </c>
      <c r="Q94" s="215" t="str" cm="1">
        <f t="array" ref="Q94">Common_InputFunctions.Utility_DisplayArrayInTable(Fertiliser_SourceData.Fertiliser_Products_Data1(), FertiliserProducts[[#Headers],[Company]],1)</f>
        <v>Nitrogen - Nitrate</v>
      </c>
      <c r="R94" s="215" cm="1">
        <f t="array" ref="R94">Common_InputFunctions.Utility_DisplayArrayInTable(Fertiliser_SourceData.Fertiliser_Products_Data1(), FertiliserProducts[[#Headers],[Company]],1)</f>
        <v>0.13200000000000001</v>
      </c>
      <c r="S94" s="215" t="str" cm="1">
        <f t="array" ref="S94">Common_InputFunctions.Utility_DisplayArrayInTable(Fertiliser_SourceData.Fertiliser_Products_Data1(), FertiliserProducts[[#Headers],[Company]],1)</f>
        <v/>
      </c>
      <c r="T94" s="215" t="str" cm="1">
        <f t="array" ref="T94">Common_InputFunctions.Utility_DisplayArrayInTable(Fertiliser_SourceData.Fertiliser_Products_Data1(), FertiliserProducts[[#Headers],[Company]],1)</f>
        <v/>
      </c>
      <c r="U94" s="215" t="str" cm="1">
        <f t="array" ref="U94">Common_InputFunctions.Utility_DisplayArrayInTable(Fertiliser_SourceData.Fertiliser_Products_Data1(), FertiliserProducts[[#Headers],[Company]],1)</f>
        <v/>
      </c>
      <c r="V94" s="215" t="str" cm="1">
        <f t="array" ref="V94">Common_InputFunctions.Utility_DisplayArrayInTable(Fertiliser_SourceData.Fertiliser_Products_Data1(), FertiliserProducts[[#Headers],[Company]],1)</f>
        <v/>
      </c>
      <c r="W94" s="215" t="str" cm="1">
        <f t="array" ref="W94">Common_InputFunctions.Utility_DisplayArrayInTable(Fertiliser_SourceData.Fertiliser_Products_Data1(), FertiliserProducts[[#Headers],[Company]],1)</f>
        <v/>
      </c>
      <c r="X94" s="215" t="str" cm="1">
        <f t="array" ref="X94">Common_InputFunctions.Utility_DisplayArrayInTable(Fertiliser_SourceData.Fertiliser_Products_Data1(), FertiliserProducts[[#Headers],[Company]],1)</f>
        <v/>
      </c>
      <c r="Y94" s="215" t="str" cm="1">
        <f t="array" ref="Y94">Common_InputFunctions.Utility_DisplayArrayInTable(Fertiliser_SourceData.Fertiliser_Products_Data1(), FertiliserProducts[[#Headers],[Company]],1)</f>
        <v/>
      </c>
      <c r="Z94" s="215" t="str" cm="1">
        <f t="array" ref="Z94">Common_InputFunctions.Utility_DisplayArrayInTable(Fertiliser_SourceData.Fertiliser_Products_Data1(), FertiliserProducts[[#Headers],[Company]],1)</f>
        <v/>
      </c>
      <c r="AA94" s="215" t="str" cm="1">
        <f t="array" ref="AA94">Common_InputFunctions.Utility_DisplayArrayInTable(Fertiliser_SourceData.Fertiliser_Products_Data1(), FertiliserProducts[[#Headers],[Company]],1)</f>
        <v/>
      </c>
      <c r="AB94" s="215" t="str" cm="1">
        <f t="array" ref="AB94">Common_InputFunctions.Utility_DisplayArrayInTable(Fertiliser_SourceData.Fertiliser_Products_Data1(), FertiliserProducts[[#Headers],[Company]],1)</f>
        <v/>
      </c>
      <c r="AC94" s="215" t="str" cm="1">
        <f t="array" ref="AC94">Common_InputFunctions.Utility_DisplayArrayInTable(Fertiliser_SourceData.Fertiliser_Products_Data1(), FertiliserProducts[[#Headers],[Company]],1)</f>
        <v/>
      </c>
      <c r="AD94" s="215" t="str" cm="1">
        <f t="array" ref="AD94">Common_InputFunctions.Utility_DisplayArrayInTable(Fertiliser_SourceData.Fertiliser_Products_Data1(), FertiliserProducts[[#Headers],[Company]],1)</f>
        <v/>
      </c>
      <c r="AE94" s="215" t="str" cm="1">
        <f t="array" ref="AE94">Common_InputFunctions.Utility_DisplayArrayInTable(Fertiliser_SourceData.Fertiliser_Products_Data1(), FertiliserProducts[[#Headers],[Company]],1)</f>
        <v/>
      </c>
      <c r="AF94" s="215" t="str" cm="1">
        <f t="array" ref="AF94">Common_InputFunctions.Utility_DisplayArrayInTable(Fertiliser_SourceData.Fertiliser_Products_Data1(), FertiliserProducts[[#Headers],[Company]],1)</f>
        <v/>
      </c>
      <c r="AG94" s="215" t="str" cm="1">
        <f t="array" ref="AG94">Common_InputFunctions.Utility_DisplayArrayInTable(Fertiliser_SourceData.Fertiliser_Products_Data1(), FertiliserProducts[[#Headers],[Company]],1)</f>
        <v/>
      </c>
      <c r="AH94" s="215" t="str" cm="1">
        <f t="array" ref="AH94">Common_InputFunctions.Utility_DisplayArrayInTable(Fertiliser_SourceData.Fertiliser_Products_Data1(), FertiliserProducts[[#Headers],[Company]],1)</f>
        <v/>
      </c>
    </row>
    <row r="95" spans="1:34" ht="20.100000000000001" customHeight="1" x14ac:dyDescent="0.25">
      <c r="A95"/>
      <c r="D95" s="215" t="str" cm="1">
        <f t="array" ref="D95">Common_InputFunctions.Utility_DisplayArrayInTable(Fertiliser_SourceData.Fertiliser_Products_Data1(), FertiliserProducts[[#Headers],[Company]],1)</f>
        <v>Campbells fertilisers Australia</v>
      </c>
      <c r="E95" s="215" t="str" cm="1">
        <f t="array" ref="E95">Common_InputFunctions.Utility_DisplayArrayInTable(Fertiliser_SourceData.Fertiliser_Products_Data1(), FertiliserProducts[[#Headers],[Company]],1)</f>
        <v>Aqua NitroCal Ultimate</v>
      </c>
      <c r="F95" s="215" t="str" cm="1">
        <f t="array" ref="F95">Common_InputFunctions.Utility_DisplayArrayInTable(Fertiliser_SourceData.Fertiliser_Products_Data1(), FertiliserProducts[[#Headers],[Company]],1)</f>
        <v>L</v>
      </c>
      <c r="G95" s="215" cm="1">
        <f t="array" ref="G95">Common_InputFunctions.Utility_DisplayArrayInTable(Fertiliser_SourceData.Fertiliser_Products_Data1(), FertiliserProducts[[#Headers],[Company]],1)</f>
        <v>1.5</v>
      </c>
      <c r="H95" s="215" t="str" cm="1">
        <f t="array" ref="H95">Common_InputFunctions.Utility_DisplayArrayInTable(Fertiliser_SourceData.Fertiliser_Products_Data1(), FertiliserProducts[[#Headers],[Company]],1)</f>
        <v/>
      </c>
      <c r="I95" s="215" t="str" cm="1">
        <f t="array" ref="I95">Common_InputFunctions.Utility_DisplayArrayInTable(Fertiliser_SourceData.Fertiliser_Products_Data1(), FertiliserProducts[[#Headers],[Company]],1)</f>
        <v/>
      </c>
      <c r="J95" s="215" t="str" cm="1">
        <f t="array" ref="J95">Common_InputFunctions.Utility_DisplayArrayInTable(Fertiliser_SourceData.Fertiliser_Products_Data1(), FertiliserProducts[[#Headers],[Company]],1)</f>
        <v/>
      </c>
      <c r="K95" s="215" cm="1">
        <f t="array" ref="K95">Common_InputFunctions.Utility_DisplayArrayInTable(Fertiliser_SourceData.Fertiliser_Products_Data1(), FertiliserProducts[[#Headers],[Company]],1)</f>
        <v>13.2</v>
      </c>
      <c r="L95" s="215" t="str" cm="1">
        <f t="array" ref="L95">Common_InputFunctions.Utility_DisplayArrayInTable(Fertiliser_SourceData.Fertiliser_Products_Data1(), FertiliserProducts[[#Headers],[Company]],1)</f>
        <v/>
      </c>
      <c r="M95" s="215" t="str" cm="1">
        <f t="array" ref="M95">Common_InputFunctions.Utility_DisplayArrayInTable(Fertiliser_SourceData.Fertiliser_Products_Data1(), FertiliserProducts[[#Headers],[Company]],1)</f>
        <v/>
      </c>
      <c r="N95" s="215" t="str" cm="1">
        <f t="array" ref="N95">Common_InputFunctions.Utility_DisplayArrayInTable(Fertiliser_SourceData.Fertiliser_Products_Data1(), FertiliserProducts[[#Headers],[Company]],1)</f>
        <v/>
      </c>
      <c r="O95" s="215" t="str" cm="1">
        <f t="array" ref="O95">Common_InputFunctions.Utility_DisplayArrayInTable(Fertiliser_SourceData.Fertiliser_Products_Data1(), FertiliserProducts[[#Headers],[Company]],1)</f>
        <v>Calcium</v>
      </c>
      <c r="P95" s="215" cm="1">
        <f t="array" ref="P95">Common_InputFunctions.Utility_DisplayArrayInTable(Fertiliser_SourceData.Fertiliser_Products_Data1(), FertiliserProducts[[#Headers],[Company]],1)</f>
        <v>0.183</v>
      </c>
      <c r="Q95" s="215" t="str" cm="1">
        <f t="array" ref="Q95">Common_InputFunctions.Utility_DisplayArrayInTable(Fertiliser_SourceData.Fertiliser_Products_Data1(), FertiliserProducts[[#Headers],[Company]],1)</f>
        <v>Nitrogen - Nitrate</v>
      </c>
      <c r="R95" s="215" cm="1">
        <f t="array" ref="R95">Common_InputFunctions.Utility_DisplayArrayInTable(Fertiliser_SourceData.Fertiliser_Products_Data1(), FertiliserProducts[[#Headers],[Company]],1)</f>
        <v>0.13200000000000001</v>
      </c>
      <c r="S95" s="215" t="str" cm="1">
        <f t="array" ref="S95">Common_InputFunctions.Utility_DisplayArrayInTable(Fertiliser_SourceData.Fertiliser_Products_Data1(), FertiliserProducts[[#Headers],[Company]],1)</f>
        <v/>
      </c>
      <c r="T95" s="215" t="str" cm="1">
        <f t="array" ref="T95">Common_InputFunctions.Utility_DisplayArrayInTable(Fertiliser_SourceData.Fertiliser_Products_Data1(), FertiliserProducts[[#Headers],[Company]],1)</f>
        <v/>
      </c>
      <c r="U95" s="215" t="str" cm="1">
        <f t="array" ref="U95">Common_InputFunctions.Utility_DisplayArrayInTable(Fertiliser_SourceData.Fertiliser_Products_Data1(), FertiliserProducts[[#Headers],[Company]],1)</f>
        <v/>
      </c>
      <c r="V95" s="215" t="str" cm="1">
        <f t="array" ref="V95">Common_InputFunctions.Utility_DisplayArrayInTable(Fertiliser_SourceData.Fertiliser_Products_Data1(), FertiliserProducts[[#Headers],[Company]],1)</f>
        <v/>
      </c>
      <c r="W95" s="215" t="str" cm="1">
        <f t="array" ref="W95">Common_InputFunctions.Utility_DisplayArrayInTable(Fertiliser_SourceData.Fertiliser_Products_Data1(), FertiliserProducts[[#Headers],[Company]],1)</f>
        <v/>
      </c>
      <c r="X95" s="215" t="str" cm="1">
        <f t="array" ref="X95">Common_InputFunctions.Utility_DisplayArrayInTable(Fertiliser_SourceData.Fertiliser_Products_Data1(), FertiliserProducts[[#Headers],[Company]],1)</f>
        <v/>
      </c>
      <c r="Y95" s="215" t="str" cm="1">
        <f t="array" ref="Y95">Common_InputFunctions.Utility_DisplayArrayInTable(Fertiliser_SourceData.Fertiliser_Products_Data1(), FertiliserProducts[[#Headers],[Company]],1)</f>
        <v/>
      </c>
      <c r="Z95" s="215" t="str" cm="1">
        <f t="array" ref="Z95">Common_InputFunctions.Utility_DisplayArrayInTable(Fertiliser_SourceData.Fertiliser_Products_Data1(), FertiliserProducts[[#Headers],[Company]],1)</f>
        <v/>
      </c>
      <c r="AA95" s="215" t="str" cm="1">
        <f t="array" ref="AA95">Common_InputFunctions.Utility_DisplayArrayInTable(Fertiliser_SourceData.Fertiliser_Products_Data1(), FertiliserProducts[[#Headers],[Company]],1)</f>
        <v/>
      </c>
      <c r="AB95" s="215" t="str" cm="1">
        <f t="array" ref="AB95">Common_InputFunctions.Utility_DisplayArrayInTable(Fertiliser_SourceData.Fertiliser_Products_Data1(), FertiliserProducts[[#Headers],[Company]],1)</f>
        <v/>
      </c>
      <c r="AC95" s="215" t="str" cm="1">
        <f t="array" ref="AC95">Common_InputFunctions.Utility_DisplayArrayInTable(Fertiliser_SourceData.Fertiliser_Products_Data1(), FertiliserProducts[[#Headers],[Company]],1)</f>
        <v/>
      </c>
      <c r="AD95" s="215" t="str" cm="1">
        <f t="array" ref="AD95">Common_InputFunctions.Utility_DisplayArrayInTable(Fertiliser_SourceData.Fertiliser_Products_Data1(), FertiliserProducts[[#Headers],[Company]],1)</f>
        <v/>
      </c>
      <c r="AE95" s="215" t="str" cm="1">
        <f t="array" ref="AE95">Common_InputFunctions.Utility_DisplayArrayInTable(Fertiliser_SourceData.Fertiliser_Products_Data1(), FertiliserProducts[[#Headers],[Company]],1)</f>
        <v/>
      </c>
      <c r="AF95" s="215" t="str" cm="1">
        <f t="array" ref="AF95">Common_InputFunctions.Utility_DisplayArrayInTable(Fertiliser_SourceData.Fertiliser_Products_Data1(), FertiliserProducts[[#Headers],[Company]],1)</f>
        <v/>
      </c>
      <c r="AG95" s="215" t="str" cm="1">
        <f t="array" ref="AG95">Common_InputFunctions.Utility_DisplayArrayInTable(Fertiliser_SourceData.Fertiliser_Products_Data1(), FertiliserProducts[[#Headers],[Company]],1)</f>
        <v/>
      </c>
      <c r="AH95" s="215" t="str" cm="1">
        <f t="array" ref="AH95">Common_InputFunctions.Utility_DisplayArrayInTable(Fertiliser_SourceData.Fertiliser_Products_Data1(), FertiliserProducts[[#Headers],[Company]],1)</f>
        <v/>
      </c>
    </row>
    <row r="96" spans="1:34" ht="20.100000000000001" customHeight="1" x14ac:dyDescent="0.25">
      <c r="A96"/>
      <c r="D96" s="215" t="str" cm="1">
        <f t="array" ref="D96">Common_InputFunctions.Utility_DisplayArrayInTable(Fertiliser_SourceData.Fertiliser_Products_Data1(), FertiliserProducts[[#Headers],[Company]],1)</f>
        <v>Campbells fertilisers Australia</v>
      </c>
      <c r="E96" s="215" t="str" cm="1">
        <f t="array" ref="E96">Common_InputFunctions.Utility_DisplayArrayInTable(Fertiliser_SourceData.Fertiliser_Products_Data1(), FertiliserProducts[[#Headers],[Company]],1)</f>
        <v>Aqua Start</v>
      </c>
      <c r="F96" s="215" t="str" cm="1">
        <f t="array" ref="F96">Common_InputFunctions.Utility_DisplayArrayInTable(Fertiliser_SourceData.Fertiliser_Products_Data1(), FertiliserProducts[[#Headers],[Company]],1)</f>
        <v>L</v>
      </c>
      <c r="G96" s="215" cm="1">
        <f t="array" ref="G96">Common_InputFunctions.Utility_DisplayArrayInTable(Fertiliser_SourceData.Fertiliser_Products_Data1(), FertiliserProducts[[#Headers],[Company]],1)</f>
        <v>1.25</v>
      </c>
      <c r="H96" s="215" t="str" cm="1">
        <f t="array" ref="H96">Common_InputFunctions.Utility_DisplayArrayInTable(Fertiliser_SourceData.Fertiliser_Products_Data1(), FertiliserProducts[[#Headers],[Company]],1)</f>
        <v/>
      </c>
      <c r="I96" s="215" t="str" cm="1">
        <f t="array" ref="I96">Common_InputFunctions.Utility_DisplayArrayInTable(Fertiliser_SourceData.Fertiliser_Products_Data1(), FertiliserProducts[[#Headers],[Company]],1)</f>
        <v/>
      </c>
      <c r="J96" s="215" t="str" cm="1">
        <f t="array" ref="J96">Common_InputFunctions.Utility_DisplayArrayInTable(Fertiliser_SourceData.Fertiliser_Products_Data1(), FertiliserProducts[[#Headers],[Company]],1)</f>
        <v/>
      </c>
      <c r="K96" s="215" cm="1">
        <f t="array" ref="K96">Common_InputFunctions.Utility_DisplayArrayInTable(Fertiliser_SourceData.Fertiliser_Products_Data1(), FertiliserProducts[[#Headers],[Company]],1)</f>
        <v>10.3</v>
      </c>
      <c r="L96" s="215" cm="1">
        <f t="array" ref="L96">Common_InputFunctions.Utility_DisplayArrayInTable(Fertiliser_SourceData.Fertiliser_Products_Data1(), FertiliserProducts[[#Headers],[Company]],1)</f>
        <v>10</v>
      </c>
      <c r="M96" s="215" cm="1">
        <f t="array" ref="M96">Common_InputFunctions.Utility_DisplayArrayInTable(Fertiliser_SourceData.Fertiliser_Products_Data1(), FertiliserProducts[[#Headers],[Company]],1)</f>
        <v>3.4</v>
      </c>
      <c r="N96" s="215" t="str" cm="1">
        <f t="array" ref="N96">Common_InputFunctions.Utility_DisplayArrayInTable(Fertiliser_SourceData.Fertiliser_Products_Data1(), FertiliserProducts[[#Headers],[Company]],1)</f>
        <v/>
      </c>
      <c r="O96" s="215" t="str" cm="1">
        <f t="array" ref="O96">Common_InputFunctions.Utility_DisplayArrayInTable(Fertiliser_SourceData.Fertiliser_Products_Data1(), FertiliserProducts[[#Headers],[Company]],1)</f>
        <v>Nitrogen - Generic</v>
      </c>
      <c r="P96" s="215" cm="1">
        <f t="array" ref="P96">Common_InputFunctions.Utility_DisplayArrayInTable(Fertiliser_SourceData.Fertiliser_Products_Data1(), FertiliserProducts[[#Headers],[Company]],1)</f>
        <v>0.10299999999999999</v>
      </c>
      <c r="Q96" s="215" t="str" cm="1">
        <f t="array" ref="Q96">Common_InputFunctions.Utility_DisplayArrayInTable(Fertiliser_SourceData.Fertiliser_Products_Data1(), FertiliserProducts[[#Headers],[Company]],1)</f>
        <v>Phosphorus - Generic</v>
      </c>
      <c r="R96" s="215" cm="1">
        <f t="array" ref="R96">Common_InputFunctions.Utility_DisplayArrayInTable(Fertiliser_SourceData.Fertiliser_Products_Data1(), FertiliserProducts[[#Headers],[Company]],1)</f>
        <v>0.1</v>
      </c>
      <c r="S96" s="215" t="str" cm="1">
        <f t="array" ref="S96">Common_InputFunctions.Utility_DisplayArrayInTable(Fertiliser_SourceData.Fertiliser_Products_Data1(), FertiliserProducts[[#Headers],[Company]],1)</f>
        <v>Potassium - Generic</v>
      </c>
      <c r="T96" s="215" cm="1">
        <f t="array" ref="T96">Common_InputFunctions.Utility_DisplayArrayInTable(Fertiliser_SourceData.Fertiliser_Products_Data1(), FertiliserProducts[[#Headers],[Company]],1)</f>
        <v>3.4000000000000002E-2</v>
      </c>
      <c r="U96" s="215" t="str" cm="1">
        <f t="array" ref="U96">Common_InputFunctions.Utility_DisplayArrayInTable(Fertiliser_SourceData.Fertiliser_Products_Data1(), FertiliserProducts[[#Headers],[Company]],1)</f>
        <v/>
      </c>
      <c r="V96" s="215" t="str" cm="1">
        <f t="array" ref="V96">Common_InputFunctions.Utility_DisplayArrayInTable(Fertiliser_SourceData.Fertiliser_Products_Data1(), FertiliserProducts[[#Headers],[Company]],1)</f>
        <v/>
      </c>
      <c r="W96" s="215" t="str" cm="1">
        <f t="array" ref="W96">Common_InputFunctions.Utility_DisplayArrayInTable(Fertiliser_SourceData.Fertiliser_Products_Data1(), FertiliserProducts[[#Headers],[Company]],1)</f>
        <v/>
      </c>
      <c r="X96" s="215" t="str" cm="1">
        <f t="array" ref="X96">Common_InputFunctions.Utility_DisplayArrayInTable(Fertiliser_SourceData.Fertiliser_Products_Data1(), FertiliserProducts[[#Headers],[Company]],1)</f>
        <v/>
      </c>
      <c r="Y96" s="215" t="str" cm="1">
        <f t="array" ref="Y96">Common_InputFunctions.Utility_DisplayArrayInTable(Fertiliser_SourceData.Fertiliser_Products_Data1(), FertiliserProducts[[#Headers],[Company]],1)</f>
        <v/>
      </c>
      <c r="Z96" s="215" t="str" cm="1">
        <f t="array" ref="Z96">Common_InputFunctions.Utility_DisplayArrayInTable(Fertiliser_SourceData.Fertiliser_Products_Data1(), FertiliserProducts[[#Headers],[Company]],1)</f>
        <v/>
      </c>
      <c r="AA96" s="215" t="str" cm="1">
        <f t="array" ref="AA96">Common_InputFunctions.Utility_DisplayArrayInTable(Fertiliser_SourceData.Fertiliser_Products_Data1(), FertiliserProducts[[#Headers],[Company]],1)</f>
        <v/>
      </c>
      <c r="AB96" s="215" t="str" cm="1">
        <f t="array" ref="AB96">Common_InputFunctions.Utility_DisplayArrayInTable(Fertiliser_SourceData.Fertiliser_Products_Data1(), FertiliserProducts[[#Headers],[Company]],1)</f>
        <v/>
      </c>
      <c r="AC96" s="215" t="str" cm="1">
        <f t="array" ref="AC96">Common_InputFunctions.Utility_DisplayArrayInTable(Fertiliser_SourceData.Fertiliser_Products_Data1(), FertiliserProducts[[#Headers],[Company]],1)</f>
        <v/>
      </c>
      <c r="AD96" s="215" t="str" cm="1">
        <f t="array" ref="AD96">Common_InputFunctions.Utility_DisplayArrayInTable(Fertiliser_SourceData.Fertiliser_Products_Data1(), FertiliserProducts[[#Headers],[Company]],1)</f>
        <v/>
      </c>
      <c r="AE96" s="215" t="str" cm="1">
        <f t="array" ref="AE96">Common_InputFunctions.Utility_DisplayArrayInTable(Fertiliser_SourceData.Fertiliser_Products_Data1(), FertiliserProducts[[#Headers],[Company]],1)</f>
        <v/>
      </c>
      <c r="AF96" s="215" t="str" cm="1">
        <f t="array" ref="AF96">Common_InputFunctions.Utility_DisplayArrayInTable(Fertiliser_SourceData.Fertiliser_Products_Data1(), FertiliserProducts[[#Headers],[Company]],1)</f>
        <v/>
      </c>
      <c r="AG96" s="215" t="str" cm="1">
        <f t="array" ref="AG96">Common_InputFunctions.Utility_DisplayArrayInTable(Fertiliser_SourceData.Fertiliser_Products_Data1(), FertiliserProducts[[#Headers],[Company]],1)</f>
        <v/>
      </c>
      <c r="AH96" s="215" t="str" cm="1">
        <f t="array" ref="AH96">Common_InputFunctions.Utility_DisplayArrayInTable(Fertiliser_SourceData.Fertiliser_Products_Data1(), FertiliserProducts[[#Headers],[Company]],1)</f>
        <v/>
      </c>
    </row>
    <row r="97" spans="1:34" ht="20.100000000000001" customHeight="1" x14ac:dyDescent="0.25">
      <c r="A97"/>
      <c r="D97" s="215" t="str" cm="1">
        <f t="array" ref="D97">Common_InputFunctions.Utility_DisplayArrayInTable(Fertiliser_SourceData.Fertiliser_Products_Data1(), FertiliserProducts[[#Headers],[Company]],1)</f>
        <v>Campbells fertilisers Australia</v>
      </c>
      <c r="E97" s="215" t="str" cm="1">
        <f t="array" ref="E97">Common_InputFunctions.Utility_DisplayArrayInTable(Fertiliser_SourceData.Fertiliser_Products_Data1(), FertiliserProducts[[#Headers],[Company]],1)</f>
        <v>Aqua Thio-Complete</v>
      </c>
      <c r="F97" s="215" t="str" cm="1">
        <f t="array" ref="F97">Common_InputFunctions.Utility_DisplayArrayInTable(Fertiliser_SourceData.Fertiliser_Products_Data1(), FertiliserProducts[[#Headers],[Company]],1)</f>
        <v>L</v>
      </c>
      <c r="G97" s="215" cm="1">
        <f t="array" ref="G97">Common_InputFunctions.Utility_DisplayArrayInTable(Fertiliser_SourceData.Fertiliser_Products_Data1(), FertiliserProducts[[#Headers],[Company]],1)</f>
        <v>1.43</v>
      </c>
      <c r="H97" s="215" t="str" cm="1">
        <f t="array" ref="H97">Common_InputFunctions.Utility_DisplayArrayInTable(Fertiliser_SourceData.Fertiliser_Products_Data1(), FertiliserProducts[[#Headers],[Company]],1)</f>
        <v/>
      </c>
      <c r="I97" s="215" t="str" cm="1">
        <f t="array" ref="I97">Common_InputFunctions.Utility_DisplayArrayInTable(Fertiliser_SourceData.Fertiliser_Products_Data1(), FertiliserProducts[[#Headers],[Company]],1)</f>
        <v/>
      </c>
      <c r="J97" s="215" t="str" cm="1">
        <f t="array" ref="J97">Common_InputFunctions.Utility_DisplayArrayInTable(Fertiliser_SourceData.Fertiliser_Products_Data1(), FertiliserProducts[[#Headers],[Company]],1)</f>
        <v/>
      </c>
      <c r="K97" s="215" cm="1">
        <f t="array" ref="K97">Common_InputFunctions.Utility_DisplayArrayInTable(Fertiliser_SourceData.Fertiliser_Products_Data1(), FertiliserProducts[[#Headers],[Company]],1)</f>
        <v>2.5</v>
      </c>
      <c r="L97" s="215" cm="1">
        <f t="array" ref="L97">Common_InputFunctions.Utility_DisplayArrayInTable(Fertiliser_SourceData.Fertiliser_Products_Data1(), FertiliserProducts[[#Headers],[Company]],1)</f>
        <v>3.8</v>
      </c>
      <c r="M97" s="215" cm="1">
        <f t="array" ref="M97">Common_InputFunctions.Utility_DisplayArrayInTable(Fertiliser_SourceData.Fertiliser_Products_Data1(), FertiliserProducts[[#Headers],[Company]],1)</f>
        <v>22.5</v>
      </c>
      <c r="N97" s="215" t="str" cm="1">
        <f t="array" ref="N97">Common_InputFunctions.Utility_DisplayArrayInTable(Fertiliser_SourceData.Fertiliser_Products_Data1(), FertiliserProducts[[#Headers],[Company]],1)</f>
        <v/>
      </c>
      <c r="O97" s="215" t="str" cm="1">
        <f t="array" ref="O97">Common_InputFunctions.Utility_DisplayArrayInTable(Fertiliser_SourceData.Fertiliser_Products_Data1(), FertiliserProducts[[#Headers],[Company]],1)</f>
        <v>Potassium - Generic</v>
      </c>
      <c r="P97" s="215" cm="1">
        <f t="array" ref="P97">Common_InputFunctions.Utility_DisplayArrayInTable(Fertiliser_SourceData.Fertiliser_Products_Data1(), FertiliserProducts[[#Headers],[Company]],1)</f>
        <v>0.22500000000000001</v>
      </c>
      <c r="Q97" s="215" t="str" cm="1">
        <f t="array" ref="Q97">Common_InputFunctions.Utility_DisplayArrayInTable(Fertiliser_SourceData.Fertiliser_Products_Data1(), FertiliserProducts[[#Headers],[Company]],1)</f>
        <v>Phosphorus - Generic</v>
      </c>
      <c r="R97" s="215" cm="1">
        <f t="array" ref="R97">Common_InputFunctions.Utility_DisplayArrayInTable(Fertiliser_SourceData.Fertiliser_Products_Data1(), FertiliserProducts[[#Headers],[Company]],1)</f>
        <v>3.7999999999999999E-2</v>
      </c>
      <c r="S97" s="215" t="str" cm="1">
        <f t="array" ref="S97">Common_InputFunctions.Utility_DisplayArrayInTable(Fertiliser_SourceData.Fertiliser_Products_Data1(), FertiliserProducts[[#Headers],[Company]],1)</f>
        <v>Nitrogen - Generic</v>
      </c>
      <c r="T97" s="215" cm="1">
        <f t="array" ref="T97">Common_InputFunctions.Utility_DisplayArrayInTable(Fertiliser_SourceData.Fertiliser_Products_Data1(), FertiliserProducts[[#Headers],[Company]],1)</f>
        <v>2.5000000000000001E-2</v>
      </c>
      <c r="U97" s="215" t="str" cm="1">
        <f t="array" ref="U97">Common_InputFunctions.Utility_DisplayArrayInTable(Fertiliser_SourceData.Fertiliser_Products_Data1(), FertiliserProducts[[#Headers],[Company]],1)</f>
        <v/>
      </c>
      <c r="V97" s="215" t="str" cm="1">
        <f t="array" ref="V97">Common_InputFunctions.Utility_DisplayArrayInTable(Fertiliser_SourceData.Fertiliser_Products_Data1(), FertiliserProducts[[#Headers],[Company]],1)</f>
        <v/>
      </c>
      <c r="W97" s="215" t="str" cm="1">
        <f t="array" ref="W97">Common_InputFunctions.Utility_DisplayArrayInTable(Fertiliser_SourceData.Fertiliser_Products_Data1(), FertiliserProducts[[#Headers],[Company]],1)</f>
        <v/>
      </c>
      <c r="X97" s="215" t="str" cm="1">
        <f t="array" ref="X97">Common_InputFunctions.Utility_DisplayArrayInTable(Fertiliser_SourceData.Fertiliser_Products_Data1(), FertiliserProducts[[#Headers],[Company]],1)</f>
        <v/>
      </c>
      <c r="Y97" s="215" t="str" cm="1">
        <f t="array" ref="Y97">Common_InputFunctions.Utility_DisplayArrayInTable(Fertiliser_SourceData.Fertiliser_Products_Data1(), FertiliserProducts[[#Headers],[Company]],1)</f>
        <v/>
      </c>
      <c r="Z97" s="215" t="str" cm="1">
        <f t="array" ref="Z97">Common_InputFunctions.Utility_DisplayArrayInTable(Fertiliser_SourceData.Fertiliser_Products_Data1(), FertiliserProducts[[#Headers],[Company]],1)</f>
        <v/>
      </c>
      <c r="AA97" s="215" t="str" cm="1">
        <f t="array" ref="AA97">Common_InputFunctions.Utility_DisplayArrayInTable(Fertiliser_SourceData.Fertiliser_Products_Data1(), FertiliserProducts[[#Headers],[Company]],1)</f>
        <v/>
      </c>
      <c r="AB97" s="215" t="str" cm="1">
        <f t="array" ref="AB97">Common_InputFunctions.Utility_DisplayArrayInTable(Fertiliser_SourceData.Fertiliser_Products_Data1(), FertiliserProducts[[#Headers],[Company]],1)</f>
        <v/>
      </c>
      <c r="AC97" s="215" t="str" cm="1">
        <f t="array" ref="AC97">Common_InputFunctions.Utility_DisplayArrayInTable(Fertiliser_SourceData.Fertiliser_Products_Data1(), FertiliserProducts[[#Headers],[Company]],1)</f>
        <v/>
      </c>
      <c r="AD97" s="215" t="str" cm="1">
        <f t="array" ref="AD97">Common_InputFunctions.Utility_DisplayArrayInTable(Fertiliser_SourceData.Fertiliser_Products_Data1(), FertiliserProducts[[#Headers],[Company]],1)</f>
        <v/>
      </c>
      <c r="AE97" s="215" t="str" cm="1">
        <f t="array" ref="AE97">Common_InputFunctions.Utility_DisplayArrayInTable(Fertiliser_SourceData.Fertiliser_Products_Data1(), FertiliserProducts[[#Headers],[Company]],1)</f>
        <v/>
      </c>
      <c r="AF97" s="215" t="str" cm="1">
        <f t="array" ref="AF97">Common_InputFunctions.Utility_DisplayArrayInTable(Fertiliser_SourceData.Fertiliser_Products_Data1(), FertiliserProducts[[#Headers],[Company]],1)</f>
        <v/>
      </c>
      <c r="AG97" s="215" t="str" cm="1">
        <f t="array" ref="AG97">Common_InputFunctions.Utility_DisplayArrayInTable(Fertiliser_SourceData.Fertiliser_Products_Data1(), FertiliserProducts[[#Headers],[Company]],1)</f>
        <v/>
      </c>
      <c r="AH97" s="215" t="str" cm="1">
        <f t="array" ref="AH97">Common_InputFunctions.Utility_DisplayArrayInTable(Fertiliser_SourceData.Fertiliser_Products_Data1(), FertiliserProducts[[#Headers],[Company]],1)</f>
        <v/>
      </c>
    </row>
    <row r="98" spans="1:34" ht="20.100000000000001" customHeight="1" x14ac:dyDescent="0.25">
      <c r="A98"/>
      <c r="D98" s="215" t="str" cm="1">
        <f t="array" ref="D98">Common_InputFunctions.Utility_DisplayArrayInTable(Fertiliser_SourceData.Fertiliser_Products_Data1(), FertiliserProducts[[#Headers],[Company]],1)</f>
        <v>Campbells fertilisers Australia</v>
      </c>
      <c r="E98" s="215" t="str" cm="1">
        <f t="array" ref="E98">Common_InputFunctions.Utility_DisplayArrayInTable(Fertiliser_SourceData.Fertiliser_Products_Data1(), FertiliserProducts[[#Headers],[Company]],1)</f>
        <v>Aqua Thio-Emerge</v>
      </c>
      <c r="F98" s="215" t="str" cm="1">
        <f t="array" ref="F98">Common_InputFunctions.Utility_DisplayArrayInTable(Fertiliser_SourceData.Fertiliser_Products_Data1(), FertiliserProducts[[#Headers],[Company]],1)</f>
        <v>L</v>
      </c>
      <c r="G98" s="215" cm="1">
        <f t="array" ref="G98">Common_InputFunctions.Utility_DisplayArrayInTable(Fertiliser_SourceData.Fertiliser_Products_Data1(), FertiliserProducts[[#Headers],[Company]],1)</f>
        <v>1.29</v>
      </c>
      <c r="H98" s="215" t="str" cm="1">
        <f t="array" ref="H98">Common_InputFunctions.Utility_DisplayArrayInTable(Fertiliser_SourceData.Fertiliser_Products_Data1(), FertiliserProducts[[#Headers],[Company]],1)</f>
        <v/>
      </c>
      <c r="I98" s="215" t="str" cm="1">
        <f t="array" ref="I98">Common_InputFunctions.Utility_DisplayArrayInTable(Fertiliser_SourceData.Fertiliser_Products_Data1(), FertiliserProducts[[#Headers],[Company]],1)</f>
        <v/>
      </c>
      <c r="J98" s="215" t="str" cm="1">
        <f t="array" ref="J98">Common_InputFunctions.Utility_DisplayArrayInTable(Fertiliser_SourceData.Fertiliser_Products_Data1(), FertiliserProducts[[#Headers],[Company]],1)</f>
        <v/>
      </c>
      <c r="K98" s="215" cm="1">
        <f t="array" ref="K98">Common_InputFunctions.Utility_DisplayArrayInTable(Fertiliser_SourceData.Fertiliser_Products_Data1(), FertiliserProducts[[#Headers],[Company]],1)</f>
        <v>10.5</v>
      </c>
      <c r="L98" s="215" cm="1">
        <f t="array" ref="L98">Common_InputFunctions.Utility_DisplayArrayInTable(Fertiliser_SourceData.Fertiliser_Products_Data1(), FertiliserProducts[[#Headers],[Company]],1)</f>
        <v>9.4</v>
      </c>
      <c r="M98" s="215" cm="1">
        <f t="array" ref="M98">Common_InputFunctions.Utility_DisplayArrayInTable(Fertiliser_SourceData.Fertiliser_Products_Data1(), FertiliserProducts[[#Headers],[Company]],1)</f>
        <v>4</v>
      </c>
      <c r="N98" s="215" cm="1">
        <f t="array" ref="N98">Common_InputFunctions.Utility_DisplayArrayInTable(Fertiliser_SourceData.Fertiliser_Products_Data1(), FertiliserProducts[[#Headers],[Company]],1)</f>
        <v>3</v>
      </c>
      <c r="O98" s="215" t="str" cm="1">
        <f t="array" ref="O98">Common_InputFunctions.Utility_DisplayArrayInTable(Fertiliser_SourceData.Fertiliser_Products_Data1(), FertiliserProducts[[#Headers],[Company]],1)</f>
        <v>Nitrogen - Generic</v>
      </c>
      <c r="P98" s="215" cm="1">
        <f t="array" ref="P98">Common_InputFunctions.Utility_DisplayArrayInTable(Fertiliser_SourceData.Fertiliser_Products_Data1(), FertiliserProducts[[#Headers],[Company]],1)</f>
        <v>0.105</v>
      </c>
      <c r="Q98" s="215" t="str" cm="1">
        <f t="array" ref="Q98">Common_InputFunctions.Utility_DisplayArrayInTable(Fertiliser_SourceData.Fertiliser_Products_Data1(), FertiliserProducts[[#Headers],[Company]],1)</f>
        <v>Phosphorus - Generic</v>
      </c>
      <c r="R98" s="215" cm="1">
        <f t="array" ref="R98">Common_InputFunctions.Utility_DisplayArrayInTable(Fertiliser_SourceData.Fertiliser_Products_Data1(), FertiliserProducts[[#Headers],[Company]],1)</f>
        <v>9.4E-2</v>
      </c>
      <c r="S98" s="215" t="str" cm="1">
        <f t="array" ref="S98">Common_InputFunctions.Utility_DisplayArrayInTable(Fertiliser_SourceData.Fertiliser_Products_Data1(), FertiliserProducts[[#Headers],[Company]],1)</f>
        <v>Potassium - Generic</v>
      </c>
      <c r="T98" s="215" cm="1">
        <f t="array" ref="T98">Common_InputFunctions.Utility_DisplayArrayInTable(Fertiliser_SourceData.Fertiliser_Products_Data1(), FertiliserProducts[[#Headers],[Company]],1)</f>
        <v>0.04</v>
      </c>
      <c r="U98" s="215" t="str" cm="1">
        <f t="array" ref="U98">Common_InputFunctions.Utility_DisplayArrayInTable(Fertiliser_SourceData.Fertiliser_Products_Data1(), FertiliserProducts[[#Headers],[Company]],1)</f>
        <v>Sulfur - Generic</v>
      </c>
      <c r="V98" s="215" cm="1">
        <f t="array" ref="V98">Common_InputFunctions.Utility_DisplayArrayInTable(Fertiliser_SourceData.Fertiliser_Products_Data1(), FertiliserProducts[[#Headers],[Company]],1)</f>
        <v>0.03</v>
      </c>
      <c r="W98" s="215" t="str" cm="1">
        <f t="array" ref="W98">Common_InputFunctions.Utility_DisplayArrayInTable(Fertiliser_SourceData.Fertiliser_Products_Data1(), FertiliserProducts[[#Headers],[Company]],1)</f>
        <v/>
      </c>
      <c r="X98" s="215" t="str" cm="1">
        <f t="array" ref="X98">Common_InputFunctions.Utility_DisplayArrayInTable(Fertiliser_SourceData.Fertiliser_Products_Data1(), FertiliserProducts[[#Headers],[Company]],1)</f>
        <v/>
      </c>
      <c r="Y98" s="215" t="str" cm="1">
        <f t="array" ref="Y98">Common_InputFunctions.Utility_DisplayArrayInTable(Fertiliser_SourceData.Fertiliser_Products_Data1(), FertiliserProducts[[#Headers],[Company]],1)</f>
        <v/>
      </c>
      <c r="Z98" s="215" t="str" cm="1">
        <f t="array" ref="Z98">Common_InputFunctions.Utility_DisplayArrayInTable(Fertiliser_SourceData.Fertiliser_Products_Data1(), FertiliserProducts[[#Headers],[Company]],1)</f>
        <v/>
      </c>
      <c r="AA98" s="215" t="str" cm="1">
        <f t="array" ref="AA98">Common_InputFunctions.Utility_DisplayArrayInTable(Fertiliser_SourceData.Fertiliser_Products_Data1(), FertiliserProducts[[#Headers],[Company]],1)</f>
        <v/>
      </c>
      <c r="AB98" s="215" t="str" cm="1">
        <f t="array" ref="AB98">Common_InputFunctions.Utility_DisplayArrayInTable(Fertiliser_SourceData.Fertiliser_Products_Data1(), FertiliserProducts[[#Headers],[Company]],1)</f>
        <v/>
      </c>
      <c r="AC98" s="215" t="str" cm="1">
        <f t="array" ref="AC98">Common_InputFunctions.Utility_DisplayArrayInTable(Fertiliser_SourceData.Fertiliser_Products_Data1(), FertiliserProducts[[#Headers],[Company]],1)</f>
        <v/>
      </c>
      <c r="AD98" s="215" t="str" cm="1">
        <f t="array" ref="AD98">Common_InputFunctions.Utility_DisplayArrayInTable(Fertiliser_SourceData.Fertiliser_Products_Data1(), FertiliserProducts[[#Headers],[Company]],1)</f>
        <v/>
      </c>
      <c r="AE98" s="215" t="str" cm="1">
        <f t="array" ref="AE98">Common_InputFunctions.Utility_DisplayArrayInTable(Fertiliser_SourceData.Fertiliser_Products_Data1(), FertiliserProducts[[#Headers],[Company]],1)</f>
        <v/>
      </c>
      <c r="AF98" s="215" t="str" cm="1">
        <f t="array" ref="AF98">Common_InputFunctions.Utility_DisplayArrayInTable(Fertiliser_SourceData.Fertiliser_Products_Data1(), FertiliserProducts[[#Headers],[Company]],1)</f>
        <v/>
      </c>
      <c r="AG98" s="215" t="str" cm="1">
        <f t="array" ref="AG98">Common_InputFunctions.Utility_DisplayArrayInTable(Fertiliser_SourceData.Fertiliser_Products_Data1(), FertiliserProducts[[#Headers],[Company]],1)</f>
        <v/>
      </c>
      <c r="AH98" s="215" t="str" cm="1">
        <f t="array" ref="AH98">Common_InputFunctions.Utility_DisplayArrayInTable(Fertiliser_SourceData.Fertiliser_Products_Data1(), FertiliserProducts[[#Headers],[Company]],1)</f>
        <v/>
      </c>
    </row>
    <row r="99" spans="1:34" ht="20.100000000000001" customHeight="1" x14ac:dyDescent="0.25">
      <c r="A99"/>
      <c r="D99" s="215" t="str" cm="1">
        <f t="array" ref="D99">Common_InputFunctions.Utility_DisplayArrayInTable(Fertiliser_SourceData.Fertiliser_Products_Data1(), FertiliserProducts[[#Headers],[Company]],1)</f>
        <v>Campbells fertilisers Australia</v>
      </c>
      <c r="E99" s="215" t="str" cm="1">
        <f t="array" ref="E99">Common_InputFunctions.Utility_DisplayArrayInTable(Fertiliser_SourceData.Fertiliser_Products_Data1(), FertiliserProducts[[#Headers],[Company]],1)</f>
        <v>Aqua Thio-Flourish</v>
      </c>
      <c r="F99" s="215" t="str" cm="1">
        <f t="array" ref="F99">Common_InputFunctions.Utility_DisplayArrayInTable(Fertiliser_SourceData.Fertiliser_Products_Data1(), FertiliserProducts[[#Headers],[Company]],1)</f>
        <v>L</v>
      </c>
      <c r="G99" s="215" cm="1">
        <f t="array" ref="G99">Common_InputFunctions.Utility_DisplayArrayInTable(Fertiliser_SourceData.Fertiliser_Products_Data1(), FertiliserProducts[[#Headers],[Company]],1)</f>
        <v>1.32</v>
      </c>
      <c r="H99" s="215" t="str" cm="1">
        <f t="array" ref="H99">Common_InputFunctions.Utility_DisplayArrayInTable(Fertiliser_SourceData.Fertiliser_Products_Data1(), FertiliserProducts[[#Headers],[Company]],1)</f>
        <v/>
      </c>
      <c r="I99" s="215" t="str" cm="1">
        <f t="array" ref="I99">Common_InputFunctions.Utility_DisplayArrayInTable(Fertiliser_SourceData.Fertiliser_Products_Data1(), FertiliserProducts[[#Headers],[Company]],1)</f>
        <v/>
      </c>
      <c r="J99" s="215" t="str" cm="1">
        <f t="array" ref="J99">Common_InputFunctions.Utility_DisplayArrayInTable(Fertiliser_SourceData.Fertiliser_Products_Data1(), FertiliserProducts[[#Headers],[Company]],1)</f>
        <v/>
      </c>
      <c r="K99" s="215" cm="1">
        <f t="array" ref="K99">Common_InputFunctions.Utility_DisplayArrayInTable(Fertiliser_SourceData.Fertiliser_Products_Data1(), FertiliserProducts[[#Headers],[Company]],1)</f>
        <v>9.5</v>
      </c>
      <c r="L99" s="215" cm="1">
        <f t="array" ref="L99">Common_InputFunctions.Utility_DisplayArrayInTable(Fertiliser_SourceData.Fertiliser_Products_Data1(), FertiliserProducts[[#Headers],[Company]],1)</f>
        <v>4.7</v>
      </c>
      <c r="M99" s="215" cm="1">
        <f t="array" ref="M99">Common_InputFunctions.Utility_DisplayArrayInTable(Fertiliser_SourceData.Fertiliser_Products_Data1(), FertiliserProducts[[#Headers],[Company]],1)</f>
        <v>10.8</v>
      </c>
      <c r="N99" s="215" cm="1">
        <f t="array" ref="N99">Common_InputFunctions.Utility_DisplayArrayInTable(Fertiliser_SourceData.Fertiliser_Products_Data1(), FertiliserProducts[[#Headers],[Company]],1)</f>
        <v>8.1</v>
      </c>
      <c r="O99" s="215" t="str" cm="1">
        <f t="array" ref="O99">Common_InputFunctions.Utility_DisplayArrayInTable(Fertiliser_SourceData.Fertiliser_Products_Data1(), FertiliserProducts[[#Headers],[Company]],1)</f>
        <v>Potassium - Generic</v>
      </c>
      <c r="P99" s="215" cm="1">
        <f t="array" ref="P99">Common_InputFunctions.Utility_DisplayArrayInTable(Fertiliser_SourceData.Fertiliser_Products_Data1(), FertiliserProducts[[#Headers],[Company]],1)</f>
        <v>0.108</v>
      </c>
      <c r="Q99" s="215" t="str" cm="1">
        <f t="array" ref="Q99">Common_InputFunctions.Utility_DisplayArrayInTable(Fertiliser_SourceData.Fertiliser_Products_Data1(), FertiliserProducts[[#Headers],[Company]],1)</f>
        <v>Nitrogen - Generic</v>
      </c>
      <c r="R99" s="215" cm="1">
        <f t="array" ref="R99">Common_InputFunctions.Utility_DisplayArrayInTable(Fertiliser_SourceData.Fertiliser_Products_Data1(), FertiliserProducts[[#Headers],[Company]],1)</f>
        <v>9.5000000000000001E-2</v>
      </c>
      <c r="S99" s="215" t="str" cm="1">
        <f t="array" ref="S99">Common_InputFunctions.Utility_DisplayArrayInTable(Fertiliser_SourceData.Fertiliser_Products_Data1(), FertiliserProducts[[#Headers],[Company]],1)</f>
        <v>Sulfur - Generic</v>
      </c>
      <c r="T99" s="215" cm="1">
        <f t="array" ref="T99">Common_InputFunctions.Utility_DisplayArrayInTable(Fertiliser_SourceData.Fertiliser_Products_Data1(), FertiliserProducts[[#Headers],[Company]],1)</f>
        <v>8.1000000000000003E-2</v>
      </c>
      <c r="U99" s="215" t="str" cm="1">
        <f t="array" ref="U99">Common_InputFunctions.Utility_DisplayArrayInTable(Fertiliser_SourceData.Fertiliser_Products_Data1(), FertiliserProducts[[#Headers],[Company]],1)</f>
        <v>Phosphorus - Generic</v>
      </c>
      <c r="V99" s="215" cm="1">
        <f t="array" ref="V99">Common_InputFunctions.Utility_DisplayArrayInTable(Fertiliser_SourceData.Fertiliser_Products_Data1(), FertiliserProducts[[#Headers],[Company]],1)</f>
        <v>4.7E-2</v>
      </c>
      <c r="W99" s="215" t="str" cm="1">
        <f t="array" ref="W99">Common_InputFunctions.Utility_DisplayArrayInTable(Fertiliser_SourceData.Fertiliser_Products_Data1(), FertiliserProducts[[#Headers],[Company]],1)</f>
        <v/>
      </c>
      <c r="X99" s="215" t="str" cm="1">
        <f t="array" ref="X99">Common_InputFunctions.Utility_DisplayArrayInTable(Fertiliser_SourceData.Fertiliser_Products_Data1(), FertiliserProducts[[#Headers],[Company]],1)</f>
        <v/>
      </c>
      <c r="Y99" s="215" t="str" cm="1">
        <f t="array" ref="Y99">Common_InputFunctions.Utility_DisplayArrayInTable(Fertiliser_SourceData.Fertiliser_Products_Data1(), FertiliserProducts[[#Headers],[Company]],1)</f>
        <v/>
      </c>
      <c r="Z99" s="215" t="str" cm="1">
        <f t="array" ref="Z99">Common_InputFunctions.Utility_DisplayArrayInTable(Fertiliser_SourceData.Fertiliser_Products_Data1(), FertiliserProducts[[#Headers],[Company]],1)</f>
        <v/>
      </c>
      <c r="AA99" s="215" t="str" cm="1">
        <f t="array" ref="AA99">Common_InputFunctions.Utility_DisplayArrayInTable(Fertiliser_SourceData.Fertiliser_Products_Data1(), FertiliserProducts[[#Headers],[Company]],1)</f>
        <v/>
      </c>
      <c r="AB99" s="215" t="str" cm="1">
        <f t="array" ref="AB99">Common_InputFunctions.Utility_DisplayArrayInTable(Fertiliser_SourceData.Fertiliser_Products_Data1(), FertiliserProducts[[#Headers],[Company]],1)</f>
        <v/>
      </c>
      <c r="AC99" s="215" t="str" cm="1">
        <f t="array" ref="AC99">Common_InputFunctions.Utility_DisplayArrayInTable(Fertiliser_SourceData.Fertiliser_Products_Data1(), FertiliserProducts[[#Headers],[Company]],1)</f>
        <v/>
      </c>
      <c r="AD99" s="215" t="str" cm="1">
        <f t="array" ref="AD99">Common_InputFunctions.Utility_DisplayArrayInTable(Fertiliser_SourceData.Fertiliser_Products_Data1(), FertiliserProducts[[#Headers],[Company]],1)</f>
        <v/>
      </c>
      <c r="AE99" s="215" t="str" cm="1">
        <f t="array" ref="AE99">Common_InputFunctions.Utility_DisplayArrayInTable(Fertiliser_SourceData.Fertiliser_Products_Data1(), FertiliserProducts[[#Headers],[Company]],1)</f>
        <v/>
      </c>
      <c r="AF99" s="215" t="str" cm="1">
        <f t="array" ref="AF99">Common_InputFunctions.Utility_DisplayArrayInTable(Fertiliser_SourceData.Fertiliser_Products_Data1(), FertiliserProducts[[#Headers],[Company]],1)</f>
        <v/>
      </c>
      <c r="AG99" s="215" t="str" cm="1">
        <f t="array" ref="AG99">Common_InputFunctions.Utility_DisplayArrayInTable(Fertiliser_SourceData.Fertiliser_Products_Data1(), FertiliserProducts[[#Headers],[Company]],1)</f>
        <v/>
      </c>
      <c r="AH99" s="215" t="str" cm="1">
        <f t="array" ref="AH99">Common_InputFunctions.Utility_DisplayArrayInTable(Fertiliser_SourceData.Fertiliser_Products_Data1(), FertiliserProducts[[#Headers],[Company]],1)</f>
        <v/>
      </c>
    </row>
    <row r="100" spans="1:34" ht="20.100000000000001" customHeight="1" x14ac:dyDescent="0.25">
      <c r="A100"/>
      <c r="D100" s="215" t="str" cm="1">
        <f t="array" ref="D100">Common_InputFunctions.Utility_DisplayArrayInTable(Fertiliser_SourceData.Fertiliser_Products_Data1(), FertiliserProducts[[#Headers],[Company]],1)</f>
        <v>Campbells fertilisers Australia</v>
      </c>
      <c r="E100" s="215" t="str" cm="1">
        <f t="array" ref="E100">Common_InputFunctions.Utility_DisplayArrayInTable(Fertiliser_SourceData.Fertiliser_Products_Data1(), FertiliserProducts[[#Headers],[Company]],1)</f>
        <v>Boost-It</v>
      </c>
      <c r="F100" s="215" t="str" cm="1">
        <f t="array" ref="F100">Common_InputFunctions.Utility_DisplayArrayInTable(Fertiliser_SourceData.Fertiliser_Products_Data1(), FertiliserProducts[[#Headers],[Company]],1)</f>
        <v>kg</v>
      </c>
      <c r="G100" s="215" cm="1">
        <f t="array" ref="G100">Common_InputFunctions.Utility_DisplayArrayInTable(Fertiliser_SourceData.Fertiliser_Products_Data1(), FertiliserProducts[[#Headers],[Company]],1)</f>
        <v>1</v>
      </c>
      <c r="H100" s="215" t="str" cm="1">
        <f t="array" ref="H100">Common_InputFunctions.Utility_DisplayArrayInTable(Fertiliser_SourceData.Fertiliser_Products_Data1(), FertiliserProducts[[#Headers],[Company]],1)</f>
        <v/>
      </c>
      <c r="I100" s="215" t="str" cm="1">
        <f t="array" ref="I100">Common_InputFunctions.Utility_DisplayArrayInTable(Fertiliser_SourceData.Fertiliser_Products_Data1(), FertiliserProducts[[#Headers],[Company]],1)</f>
        <v/>
      </c>
      <c r="J100" s="215" t="str" cm="1">
        <f t="array" ref="J100">Common_InputFunctions.Utility_DisplayArrayInTable(Fertiliser_SourceData.Fertiliser_Products_Data1(), FertiliserProducts[[#Headers],[Company]],1)</f>
        <v/>
      </c>
      <c r="K100" s="215" cm="1">
        <f t="array" ref="K100">Common_InputFunctions.Utility_DisplayArrayInTable(Fertiliser_SourceData.Fertiliser_Products_Data1(), FertiliserProducts[[#Headers],[Company]],1)</f>
        <v>24</v>
      </c>
      <c r="L100" s="215" cm="1">
        <f t="array" ref="L100">Common_InputFunctions.Utility_DisplayArrayInTable(Fertiliser_SourceData.Fertiliser_Products_Data1(), FertiliserProducts[[#Headers],[Company]],1)</f>
        <v>5.2</v>
      </c>
      <c r="M100" s="215" cm="1">
        <f t="array" ref="M100">Common_InputFunctions.Utility_DisplayArrayInTable(Fertiliser_SourceData.Fertiliser_Products_Data1(), FertiliserProducts[[#Headers],[Company]],1)</f>
        <v>8</v>
      </c>
      <c r="N100" s="215" cm="1">
        <f t="array" ref="N100">Common_InputFunctions.Utility_DisplayArrayInTable(Fertiliser_SourceData.Fertiliser_Products_Data1(), FertiliserProducts[[#Headers],[Company]],1)</f>
        <v>5.3</v>
      </c>
      <c r="O100" s="215" t="str" cm="1">
        <f t="array" ref="O100">Common_InputFunctions.Utility_DisplayArrayInTable(Fertiliser_SourceData.Fertiliser_Products_Data1(), FertiliserProducts[[#Headers],[Company]],1)</f>
        <v>Urea</v>
      </c>
      <c r="P100" s="215" cm="1">
        <f t="array" ref="P100">Common_InputFunctions.Utility_DisplayArrayInTable(Fertiliser_SourceData.Fertiliser_Products_Data1(), FertiliserProducts[[#Headers],[Company]],1)</f>
        <v>0.52173899999999995</v>
      </c>
      <c r="Q100" s="215" t="str" cm="1">
        <f t="array" ref="Q100">Common_InputFunctions.Utility_DisplayArrayInTable(Fertiliser_SourceData.Fertiliser_Products_Data1(), FertiliserProducts[[#Headers],[Company]],1)</f>
        <v>Potassium - Generic</v>
      </c>
      <c r="R100" s="215" cm="1">
        <f t="array" ref="R100">Common_InputFunctions.Utility_DisplayArrayInTable(Fertiliser_SourceData.Fertiliser_Products_Data1(), FertiliserProducts[[#Headers],[Company]],1)</f>
        <v>0.08</v>
      </c>
      <c r="S100" s="215" t="str" cm="1">
        <f t="array" ref="S100">Common_InputFunctions.Utility_DisplayArrayInTable(Fertiliser_SourceData.Fertiliser_Products_Data1(), FertiliserProducts[[#Headers],[Company]],1)</f>
        <v>Sulfur - Generic</v>
      </c>
      <c r="T100" s="215" cm="1">
        <f t="array" ref="T100">Common_InputFunctions.Utility_DisplayArrayInTable(Fertiliser_SourceData.Fertiliser_Products_Data1(), FertiliserProducts[[#Headers],[Company]],1)</f>
        <v>5.2999999999999999E-2</v>
      </c>
      <c r="U100" s="215" t="str" cm="1">
        <f t="array" ref="U100">Common_InputFunctions.Utility_DisplayArrayInTable(Fertiliser_SourceData.Fertiliser_Products_Data1(), FertiliserProducts[[#Headers],[Company]],1)</f>
        <v>Phosphorus - Generic</v>
      </c>
      <c r="V100" s="215" cm="1">
        <f t="array" ref="V100">Common_InputFunctions.Utility_DisplayArrayInTable(Fertiliser_SourceData.Fertiliser_Products_Data1(), FertiliserProducts[[#Headers],[Company]],1)</f>
        <v>5.1999999999999998E-2</v>
      </c>
      <c r="W100" s="215" t="str" cm="1">
        <f t="array" ref="W100">Common_InputFunctions.Utility_DisplayArrayInTable(Fertiliser_SourceData.Fertiliser_Products_Data1(), FertiliserProducts[[#Headers],[Company]],1)</f>
        <v>Magnesium</v>
      </c>
      <c r="X100" s="215" cm="1">
        <f t="array" ref="X100">Common_InputFunctions.Utility_DisplayArrayInTable(Fertiliser_SourceData.Fertiliser_Products_Data1(), FertiliserProducts[[#Headers],[Company]],1)</f>
        <v>1.2999999999999999E-2</v>
      </c>
      <c r="Y100" s="215" t="str" cm="1">
        <f t="array" ref="Y100">Common_InputFunctions.Utility_DisplayArrayInTable(Fertiliser_SourceData.Fertiliser_Products_Data1(), FertiliserProducts[[#Headers],[Company]],1)</f>
        <v>Zinc</v>
      </c>
      <c r="Z100" s="215" cm="1">
        <f t="array" ref="Z100">Common_InputFunctions.Utility_DisplayArrayInTable(Fertiliser_SourceData.Fertiliser_Products_Data1(), FertiliserProducts[[#Headers],[Company]],1)</f>
        <v>2E-3</v>
      </c>
      <c r="AA100" s="215" t="str" cm="1">
        <f t="array" ref="AA100">Common_InputFunctions.Utility_DisplayArrayInTable(Fertiliser_SourceData.Fertiliser_Products_Data1(), FertiliserProducts[[#Headers],[Company]],1)</f>
        <v>Manganese</v>
      </c>
      <c r="AB100" s="215" cm="1">
        <f t="array" ref="AB100">Common_InputFunctions.Utility_DisplayArrayInTable(Fertiliser_SourceData.Fertiliser_Products_Data1(), FertiliserProducts[[#Headers],[Company]],1)</f>
        <v>3.5000000000000001E-3</v>
      </c>
      <c r="AC100" s="215" t="str" cm="1">
        <f t="array" ref="AC100">Common_InputFunctions.Utility_DisplayArrayInTable(Fertiliser_SourceData.Fertiliser_Products_Data1(), FertiliserProducts[[#Headers],[Company]],1)</f>
        <v>Iron</v>
      </c>
      <c r="AD100" s="215" cm="1">
        <f t="array" ref="AD100">Common_InputFunctions.Utility_DisplayArrayInTable(Fertiliser_SourceData.Fertiliser_Products_Data1(), FertiliserProducts[[#Headers],[Company]],1)</f>
        <v>1.2999999999999999E-3</v>
      </c>
      <c r="AE100" s="215" t="str" cm="1">
        <f t="array" ref="AE100">Common_InputFunctions.Utility_DisplayArrayInTable(Fertiliser_SourceData.Fertiliser_Products_Data1(), FertiliserProducts[[#Headers],[Company]],1)</f>
        <v>Copper</v>
      </c>
      <c r="AF100" s="215" cm="1">
        <f t="array" ref="AF100">Common_InputFunctions.Utility_DisplayArrayInTable(Fertiliser_SourceData.Fertiliser_Products_Data1(), FertiliserProducts[[#Headers],[Company]],1)</f>
        <v>6.9999999999999999E-4</v>
      </c>
      <c r="AG100" s="215" t="str" cm="1">
        <f t="array" ref="AG100">Common_InputFunctions.Utility_DisplayArrayInTable(Fertiliser_SourceData.Fertiliser_Products_Data1(), FertiliserProducts[[#Headers],[Company]],1)</f>
        <v>Boron</v>
      </c>
      <c r="AH100" s="215" cm="1">
        <f t="array" ref="AH100">Common_InputFunctions.Utility_DisplayArrayInTable(Fertiliser_SourceData.Fertiliser_Products_Data1(), FertiliserProducts[[#Headers],[Company]],1)</f>
        <v>6.9999999999999999E-4</v>
      </c>
    </row>
    <row r="101" spans="1:34" ht="20.100000000000001" customHeight="1" x14ac:dyDescent="0.25">
      <c r="A101"/>
      <c r="D101" s="215" t="str" cm="1">
        <f t="array" ref="D101">Common_InputFunctions.Utility_DisplayArrayInTable(Fertiliser_SourceData.Fertiliser_Products_Data1(), FertiliserProducts[[#Headers],[Company]],1)</f>
        <v>Campbells fertilisers Australia</v>
      </c>
      <c r="E101" s="215" t="str" cm="1">
        <f t="array" ref="E101">Common_InputFunctions.Utility_DisplayArrayInTable(Fertiliser_SourceData.Fertiliser_Products_Data1(), FertiliserProducts[[#Headers],[Company]],1)</f>
        <v>Bronze</v>
      </c>
      <c r="F101" s="215" t="str" cm="1">
        <f t="array" ref="F101">Common_InputFunctions.Utility_DisplayArrayInTable(Fertiliser_SourceData.Fertiliser_Products_Data1(), FertiliserProducts[[#Headers],[Company]],1)</f>
        <v>kg</v>
      </c>
      <c r="G101" s="215" cm="1">
        <f t="array" ref="G101">Common_InputFunctions.Utility_DisplayArrayInTable(Fertiliser_SourceData.Fertiliser_Products_Data1(), FertiliserProducts[[#Headers],[Company]],1)</f>
        <v>1</v>
      </c>
      <c r="H101" s="215" t="str" cm="1">
        <f t="array" ref="H101">Common_InputFunctions.Utility_DisplayArrayInTable(Fertiliser_SourceData.Fertiliser_Products_Data1(), FertiliserProducts[[#Headers],[Company]],1)</f>
        <v/>
      </c>
      <c r="I101" s="215" t="str" cm="1">
        <f t="array" ref="I101">Common_InputFunctions.Utility_DisplayArrayInTable(Fertiliser_SourceData.Fertiliser_Products_Data1(), FertiliserProducts[[#Headers],[Company]],1)</f>
        <v/>
      </c>
      <c r="J101" s="215" t="str" cm="1">
        <f t="array" ref="J101">Common_InputFunctions.Utility_DisplayArrayInTable(Fertiliser_SourceData.Fertiliser_Products_Data1(), FertiliserProducts[[#Headers],[Company]],1)</f>
        <v/>
      </c>
      <c r="K101" s="215" cm="1">
        <f t="array" ref="K101">Common_InputFunctions.Utility_DisplayArrayInTable(Fertiliser_SourceData.Fertiliser_Products_Data1(), FertiliserProducts[[#Headers],[Company]],1)</f>
        <v>17</v>
      </c>
      <c r="L101" s="215" cm="1">
        <f t="array" ref="L101">Common_InputFunctions.Utility_DisplayArrayInTable(Fertiliser_SourceData.Fertiliser_Products_Data1(), FertiliserProducts[[#Headers],[Company]],1)</f>
        <v>0.04</v>
      </c>
      <c r="M101" s="215" cm="1">
        <f t="array" ref="M101">Common_InputFunctions.Utility_DisplayArrayInTable(Fertiliser_SourceData.Fertiliser_Products_Data1(), FertiliserProducts[[#Headers],[Company]],1)</f>
        <v>11.6</v>
      </c>
      <c r="N101" s="215" cm="1">
        <f t="array" ref="N101">Common_InputFunctions.Utility_DisplayArrayInTable(Fertiliser_SourceData.Fertiliser_Products_Data1(), FertiliserProducts[[#Headers],[Company]],1)</f>
        <v>0.5</v>
      </c>
      <c r="O101" s="215" t="str" cm="1">
        <f t="array" ref="O101">Common_InputFunctions.Utility_DisplayArrayInTable(Fertiliser_SourceData.Fertiliser_Products_Data1(), FertiliserProducts[[#Headers],[Company]],1)</f>
        <v>Muriate of potash (MOP)</v>
      </c>
      <c r="P101" s="215" cm="1">
        <f t="array" ref="P101">Common_InputFunctions.Utility_DisplayArrayInTable(Fertiliser_SourceData.Fertiliser_Products_Data1(), FertiliserProducts[[#Headers],[Company]],1)</f>
        <v>0.23200000000000001</v>
      </c>
      <c r="Q101" s="215" t="str" cm="1">
        <f t="array" ref="Q101">Common_InputFunctions.Utility_DisplayArrayInTable(Fertiliser_SourceData.Fertiliser_Products_Data1(), FertiliserProducts[[#Headers],[Company]],1)</f>
        <v>Nitrogen - Generic</v>
      </c>
      <c r="R101" s="215" cm="1">
        <f t="array" ref="R101">Common_InputFunctions.Utility_DisplayArrayInTable(Fertiliser_SourceData.Fertiliser_Products_Data1(), FertiliserProducts[[#Headers],[Company]],1)</f>
        <v>0.17</v>
      </c>
      <c r="S101" s="215" t="str" cm="1">
        <f t="array" ref="S101">Common_InputFunctions.Utility_DisplayArrayInTable(Fertiliser_SourceData.Fertiliser_Products_Data1(), FertiliserProducts[[#Headers],[Company]],1)</f>
        <v>Sulfur - Generic</v>
      </c>
      <c r="T101" s="215" cm="1">
        <f t="array" ref="T101">Common_InputFunctions.Utility_DisplayArrayInTable(Fertiliser_SourceData.Fertiliser_Products_Data1(), FertiliserProducts[[#Headers],[Company]],1)</f>
        <v>5.0000000000000001E-3</v>
      </c>
      <c r="U101" s="215" t="str" cm="1">
        <f t="array" ref="U101">Common_InputFunctions.Utility_DisplayArrayInTable(Fertiliser_SourceData.Fertiliser_Products_Data1(), FertiliserProducts[[#Headers],[Company]],1)</f>
        <v>Magnesium</v>
      </c>
      <c r="V101" s="215" cm="1">
        <f t="array" ref="V101">Common_InputFunctions.Utility_DisplayArrayInTable(Fertiliser_SourceData.Fertiliser_Products_Data1(), FertiliserProducts[[#Headers],[Company]],1)</f>
        <v>2.3999999999999998E-3</v>
      </c>
      <c r="W101" s="215" t="str" cm="1">
        <f t="array" ref="W101">Common_InputFunctions.Utility_DisplayArrayInTable(Fertiliser_SourceData.Fertiliser_Products_Data1(), FertiliserProducts[[#Headers],[Company]],1)</f>
        <v>Phosphorus - Generic</v>
      </c>
      <c r="X101" s="215" cm="1">
        <f t="array" ref="X101">Common_InputFunctions.Utility_DisplayArrayInTable(Fertiliser_SourceData.Fertiliser_Products_Data1(), FertiliserProducts[[#Headers],[Company]],1)</f>
        <v>4.0000000000000002E-4</v>
      </c>
      <c r="Y101" s="215" t="str" cm="1">
        <f t="array" ref="Y101">Common_InputFunctions.Utility_DisplayArrayInTable(Fertiliser_SourceData.Fertiliser_Products_Data1(), FertiliserProducts[[#Headers],[Company]],1)</f>
        <v/>
      </c>
      <c r="Z101" s="215" t="str" cm="1">
        <f t="array" ref="Z101">Common_InputFunctions.Utility_DisplayArrayInTable(Fertiliser_SourceData.Fertiliser_Products_Data1(), FertiliserProducts[[#Headers],[Company]],1)</f>
        <v/>
      </c>
      <c r="AA101" s="215" t="str" cm="1">
        <f t="array" ref="AA101">Common_InputFunctions.Utility_DisplayArrayInTable(Fertiliser_SourceData.Fertiliser_Products_Data1(), FertiliserProducts[[#Headers],[Company]],1)</f>
        <v/>
      </c>
      <c r="AB101" s="215" t="str" cm="1">
        <f t="array" ref="AB101">Common_InputFunctions.Utility_DisplayArrayInTable(Fertiliser_SourceData.Fertiliser_Products_Data1(), FertiliserProducts[[#Headers],[Company]],1)</f>
        <v/>
      </c>
      <c r="AC101" s="215" t="str" cm="1">
        <f t="array" ref="AC101">Common_InputFunctions.Utility_DisplayArrayInTable(Fertiliser_SourceData.Fertiliser_Products_Data1(), FertiliserProducts[[#Headers],[Company]],1)</f>
        <v/>
      </c>
      <c r="AD101" s="215" t="str" cm="1">
        <f t="array" ref="AD101">Common_InputFunctions.Utility_DisplayArrayInTable(Fertiliser_SourceData.Fertiliser_Products_Data1(), FertiliserProducts[[#Headers],[Company]],1)</f>
        <v/>
      </c>
      <c r="AE101" s="215" t="str" cm="1">
        <f t="array" ref="AE101">Common_InputFunctions.Utility_DisplayArrayInTable(Fertiliser_SourceData.Fertiliser_Products_Data1(), FertiliserProducts[[#Headers],[Company]],1)</f>
        <v/>
      </c>
      <c r="AF101" s="215" t="str" cm="1">
        <f t="array" ref="AF101">Common_InputFunctions.Utility_DisplayArrayInTable(Fertiliser_SourceData.Fertiliser_Products_Data1(), FertiliserProducts[[#Headers],[Company]],1)</f>
        <v/>
      </c>
      <c r="AG101" s="215" t="str" cm="1">
        <f t="array" ref="AG101">Common_InputFunctions.Utility_DisplayArrayInTable(Fertiliser_SourceData.Fertiliser_Products_Data1(), FertiliserProducts[[#Headers],[Company]],1)</f>
        <v/>
      </c>
      <c r="AH101" s="215" t="str" cm="1">
        <f t="array" ref="AH101">Common_InputFunctions.Utility_DisplayArrayInTable(Fertiliser_SourceData.Fertiliser_Products_Data1(), FertiliserProducts[[#Headers],[Company]],1)</f>
        <v/>
      </c>
    </row>
    <row r="102" spans="1:34" ht="20.100000000000001" customHeight="1" x14ac:dyDescent="0.25">
      <c r="A102"/>
      <c r="D102" s="215" t="str" cm="1">
        <f t="array" ref="D102">Common_InputFunctions.Utility_DisplayArrayInTable(Fertiliser_SourceData.Fertiliser_Products_Data1(), FertiliserProducts[[#Headers],[Company]],1)</f>
        <v>Campbells fertilisers Australia</v>
      </c>
      <c r="E102" s="215" t="str" cm="1">
        <f t="array" ref="E102">Common_InputFunctions.Utility_DisplayArrayInTable(Fertiliser_SourceData.Fertiliser_Products_Data1(), FertiliserProducts[[#Headers],[Company]],1)</f>
        <v>Calbit C</v>
      </c>
      <c r="F102" s="215" t="str" cm="1">
        <f t="array" ref="F102">Common_InputFunctions.Utility_DisplayArrayInTable(Fertiliser_SourceData.Fertiliser_Products_Data1(), FertiliserProducts[[#Headers],[Company]],1)</f>
        <v>L</v>
      </c>
      <c r="G102" s="215" cm="1">
        <f t="array" ref="G102">Common_InputFunctions.Utility_DisplayArrayInTable(Fertiliser_SourceData.Fertiliser_Products_Data1(), FertiliserProducts[[#Headers],[Company]],1)</f>
        <v>1.45</v>
      </c>
      <c r="H102" s="215" t="str" cm="1">
        <f t="array" ref="H102">Common_InputFunctions.Utility_DisplayArrayInTable(Fertiliser_SourceData.Fertiliser_Products_Data1(), FertiliserProducts[[#Headers],[Company]],1)</f>
        <v/>
      </c>
      <c r="I102" s="215" t="str" cm="1">
        <f t="array" ref="I102">Common_InputFunctions.Utility_DisplayArrayInTable(Fertiliser_SourceData.Fertiliser_Products_Data1(), FertiliserProducts[[#Headers],[Company]],1)</f>
        <v/>
      </c>
      <c r="J102" s="215" t="str" cm="1">
        <f t="array" ref="J102">Common_InputFunctions.Utility_DisplayArrayInTable(Fertiliser_SourceData.Fertiliser_Products_Data1(), FertiliserProducts[[#Headers],[Company]],1)</f>
        <v/>
      </c>
      <c r="K102" s="215" t="str" cm="1">
        <f t="array" ref="K102">Common_InputFunctions.Utility_DisplayArrayInTable(Fertiliser_SourceData.Fertiliser_Products_Data1(), FertiliserProducts[[#Headers],[Company]],1)</f>
        <v/>
      </c>
      <c r="L102" s="215" t="str" cm="1">
        <f t="array" ref="L102">Common_InputFunctions.Utility_DisplayArrayInTable(Fertiliser_SourceData.Fertiliser_Products_Data1(), FertiliserProducts[[#Headers],[Company]],1)</f>
        <v/>
      </c>
      <c r="M102" s="215" t="str" cm="1">
        <f t="array" ref="M102">Common_InputFunctions.Utility_DisplayArrayInTable(Fertiliser_SourceData.Fertiliser_Products_Data1(), FertiliserProducts[[#Headers],[Company]],1)</f>
        <v/>
      </c>
      <c r="N102" s="215" t="str" cm="1">
        <f t="array" ref="N102">Common_InputFunctions.Utility_DisplayArrayInTable(Fertiliser_SourceData.Fertiliser_Products_Data1(), FertiliserProducts[[#Headers],[Company]],1)</f>
        <v/>
      </c>
      <c r="O102" s="215" t="str" cm="1">
        <f t="array" ref="O102">Common_InputFunctions.Utility_DisplayArrayInTable(Fertiliser_SourceData.Fertiliser_Products_Data1(), FertiliserProducts[[#Headers],[Company]],1)</f>
        <v>Calcium</v>
      </c>
      <c r="P102" s="215" cm="1">
        <f t="array" ref="P102">Common_InputFunctions.Utility_DisplayArrayInTable(Fertiliser_SourceData.Fertiliser_Products_Data1(), FertiliserProducts[[#Headers],[Company]],1)</f>
        <v>0.107</v>
      </c>
      <c r="Q102" s="215" t="str" cm="1">
        <f t="array" ref="Q102">Common_InputFunctions.Utility_DisplayArrayInTable(Fertiliser_SourceData.Fertiliser_Products_Data1(), FertiliserProducts[[#Headers],[Company]],1)</f>
        <v/>
      </c>
      <c r="R102" s="215" t="str" cm="1">
        <f t="array" ref="R102">Common_InputFunctions.Utility_DisplayArrayInTable(Fertiliser_SourceData.Fertiliser_Products_Data1(), FertiliserProducts[[#Headers],[Company]],1)</f>
        <v/>
      </c>
      <c r="S102" s="215" t="str" cm="1">
        <f t="array" ref="S102">Common_InputFunctions.Utility_DisplayArrayInTable(Fertiliser_SourceData.Fertiliser_Products_Data1(), FertiliserProducts[[#Headers],[Company]],1)</f>
        <v/>
      </c>
      <c r="T102" s="215" t="str" cm="1">
        <f t="array" ref="T102">Common_InputFunctions.Utility_DisplayArrayInTable(Fertiliser_SourceData.Fertiliser_Products_Data1(), FertiliserProducts[[#Headers],[Company]],1)</f>
        <v/>
      </c>
      <c r="U102" s="215" t="str" cm="1">
        <f t="array" ref="U102">Common_InputFunctions.Utility_DisplayArrayInTable(Fertiliser_SourceData.Fertiliser_Products_Data1(), FertiliserProducts[[#Headers],[Company]],1)</f>
        <v/>
      </c>
      <c r="V102" s="215" t="str" cm="1">
        <f t="array" ref="V102">Common_InputFunctions.Utility_DisplayArrayInTable(Fertiliser_SourceData.Fertiliser_Products_Data1(), FertiliserProducts[[#Headers],[Company]],1)</f>
        <v/>
      </c>
      <c r="W102" s="215" t="str" cm="1">
        <f t="array" ref="W102">Common_InputFunctions.Utility_DisplayArrayInTable(Fertiliser_SourceData.Fertiliser_Products_Data1(), FertiliserProducts[[#Headers],[Company]],1)</f>
        <v/>
      </c>
      <c r="X102" s="215" t="str" cm="1">
        <f t="array" ref="X102">Common_InputFunctions.Utility_DisplayArrayInTable(Fertiliser_SourceData.Fertiliser_Products_Data1(), FertiliserProducts[[#Headers],[Company]],1)</f>
        <v/>
      </c>
      <c r="Y102" s="215" t="str" cm="1">
        <f t="array" ref="Y102">Common_InputFunctions.Utility_DisplayArrayInTable(Fertiliser_SourceData.Fertiliser_Products_Data1(), FertiliserProducts[[#Headers],[Company]],1)</f>
        <v/>
      </c>
      <c r="Z102" s="215" t="str" cm="1">
        <f t="array" ref="Z102">Common_InputFunctions.Utility_DisplayArrayInTable(Fertiliser_SourceData.Fertiliser_Products_Data1(), FertiliserProducts[[#Headers],[Company]],1)</f>
        <v/>
      </c>
      <c r="AA102" s="215" t="str" cm="1">
        <f t="array" ref="AA102">Common_InputFunctions.Utility_DisplayArrayInTable(Fertiliser_SourceData.Fertiliser_Products_Data1(), FertiliserProducts[[#Headers],[Company]],1)</f>
        <v/>
      </c>
      <c r="AB102" s="215" t="str" cm="1">
        <f t="array" ref="AB102">Common_InputFunctions.Utility_DisplayArrayInTable(Fertiliser_SourceData.Fertiliser_Products_Data1(), FertiliserProducts[[#Headers],[Company]],1)</f>
        <v/>
      </c>
      <c r="AC102" s="215" t="str" cm="1">
        <f t="array" ref="AC102">Common_InputFunctions.Utility_DisplayArrayInTable(Fertiliser_SourceData.Fertiliser_Products_Data1(), FertiliserProducts[[#Headers],[Company]],1)</f>
        <v/>
      </c>
      <c r="AD102" s="215" t="str" cm="1">
        <f t="array" ref="AD102">Common_InputFunctions.Utility_DisplayArrayInTable(Fertiliser_SourceData.Fertiliser_Products_Data1(), FertiliserProducts[[#Headers],[Company]],1)</f>
        <v/>
      </c>
      <c r="AE102" s="215" t="str" cm="1">
        <f t="array" ref="AE102">Common_InputFunctions.Utility_DisplayArrayInTable(Fertiliser_SourceData.Fertiliser_Products_Data1(), FertiliserProducts[[#Headers],[Company]],1)</f>
        <v/>
      </c>
      <c r="AF102" s="215" t="str" cm="1">
        <f t="array" ref="AF102">Common_InputFunctions.Utility_DisplayArrayInTable(Fertiliser_SourceData.Fertiliser_Products_Data1(), FertiliserProducts[[#Headers],[Company]],1)</f>
        <v/>
      </c>
      <c r="AG102" s="215" t="str" cm="1">
        <f t="array" ref="AG102">Common_InputFunctions.Utility_DisplayArrayInTable(Fertiliser_SourceData.Fertiliser_Products_Data1(), FertiliserProducts[[#Headers],[Company]],1)</f>
        <v/>
      </c>
      <c r="AH102" s="215" t="str" cm="1">
        <f t="array" ref="AH102">Common_InputFunctions.Utility_DisplayArrayInTable(Fertiliser_SourceData.Fertiliser_Products_Data1(), FertiliserProducts[[#Headers],[Company]],1)</f>
        <v/>
      </c>
    </row>
    <row r="103" spans="1:34" ht="20.100000000000001" customHeight="1" x14ac:dyDescent="0.25">
      <c r="A103"/>
      <c r="D103" s="215" t="str" cm="1">
        <f t="array" ref="D103">Common_InputFunctions.Utility_DisplayArrayInTable(Fertiliser_SourceData.Fertiliser_Products_Data1(), FertiliserProducts[[#Headers],[Company]],1)</f>
        <v>Campbells fertilisers Australia</v>
      </c>
      <c r="E103" s="215" t="str" cm="1">
        <f t="array" ref="E103">Common_InputFunctions.Utility_DisplayArrayInTable(Fertiliser_SourceData.Fertiliser_Products_Data1(), FertiliserProducts[[#Headers],[Company]],1)</f>
        <v>Compass</v>
      </c>
      <c r="F103" s="215" t="str" cm="1">
        <f t="array" ref="F103">Common_InputFunctions.Utility_DisplayArrayInTable(Fertiliser_SourceData.Fertiliser_Products_Data1(), FertiliserProducts[[#Headers],[Company]],1)</f>
        <v>kg</v>
      </c>
      <c r="G103" s="215" cm="1">
        <f t="array" ref="G103">Common_InputFunctions.Utility_DisplayArrayInTable(Fertiliser_SourceData.Fertiliser_Products_Data1(), FertiliserProducts[[#Headers],[Company]],1)</f>
        <v>1</v>
      </c>
      <c r="H103" s="215" t="str" cm="1">
        <f t="array" ref="H103">Common_InputFunctions.Utility_DisplayArrayInTable(Fertiliser_SourceData.Fertiliser_Products_Data1(), FertiliserProducts[[#Headers],[Company]],1)</f>
        <v/>
      </c>
      <c r="I103" s="215" t="str" cm="1">
        <f t="array" ref="I103">Common_InputFunctions.Utility_DisplayArrayInTable(Fertiliser_SourceData.Fertiliser_Products_Data1(), FertiliserProducts[[#Headers],[Company]],1)</f>
        <v/>
      </c>
      <c r="J103" s="215" t="str" cm="1">
        <f t="array" ref="J103">Common_InputFunctions.Utility_DisplayArrayInTable(Fertiliser_SourceData.Fertiliser_Products_Data1(), FertiliserProducts[[#Headers],[Company]],1)</f>
        <v/>
      </c>
      <c r="K103" s="215" cm="1">
        <f t="array" ref="K103">Common_InputFunctions.Utility_DisplayArrayInTable(Fertiliser_SourceData.Fertiliser_Products_Data1(), FertiliserProducts[[#Headers],[Company]],1)</f>
        <v>15</v>
      </c>
      <c r="L103" s="215" cm="1">
        <f t="array" ref="L103">Common_InputFunctions.Utility_DisplayArrayInTable(Fertiliser_SourceData.Fertiliser_Products_Data1(), FertiliserProducts[[#Headers],[Company]],1)</f>
        <v>6.5</v>
      </c>
      <c r="M103" s="215" cm="1">
        <f t="array" ref="M103">Common_InputFunctions.Utility_DisplayArrayInTable(Fertiliser_SourceData.Fertiliser_Products_Data1(), FertiliserProducts[[#Headers],[Company]],1)</f>
        <v>12.5</v>
      </c>
      <c r="N103" s="215" cm="1">
        <f t="array" ref="N103">Common_InputFunctions.Utility_DisplayArrayInTable(Fertiliser_SourceData.Fertiliser_Products_Data1(), FertiliserProducts[[#Headers],[Company]],1)</f>
        <v>6</v>
      </c>
      <c r="O103" s="215" t="str" cm="1">
        <f t="array" ref="O103">Common_InputFunctions.Utility_DisplayArrayInTable(Fertiliser_SourceData.Fertiliser_Products_Data1(), FertiliserProducts[[#Headers],[Company]],1)</f>
        <v>Nitrogen - Ammoniacal</v>
      </c>
      <c r="P103" s="215" cm="1">
        <f t="array" ref="P103">Common_InputFunctions.Utility_DisplayArrayInTable(Fertiliser_SourceData.Fertiliser_Products_Data1(), FertiliserProducts[[#Headers],[Company]],1)</f>
        <v>7.4999999999999997E-2</v>
      </c>
      <c r="Q103" s="215" t="str" cm="1">
        <f t="array" ref="Q103">Common_InputFunctions.Utility_DisplayArrayInTable(Fertiliser_SourceData.Fertiliser_Products_Data1(), FertiliserProducts[[#Headers],[Company]],1)</f>
        <v>Nitrogen - Nitrate</v>
      </c>
      <c r="R103" s="215" cm="1">
        <f t="array" ref="R103">Common_InputFunctions.Utility_DisplayArrayInTable(Fertiliser_SourceData.Fertiliser_Products_Data1(), FertiliserProducts[[#Headers],[Company]],1)</f>
        <v>7.4999999999999997E-2</v>
      </c>
      <c r="S103" s="215" t="str" cm="1">
        <f t="array" ref="S103">Common_InputFunctions.Utility_DisplayArrayInTable(Fertiliser_SourceData.Fertiliser_Products_Data1(), FertiliserProducts[[#Headers],[Company]],1)</f>
        <v>Potassium - Generic</v>
      </c>
      <c r="T103" s="215" cm="1">
        <f t="array" ref="T103">Common_InputFunctions.Utility_DisplayArrayInTable(Fertiliser_SourceData.Fertiliser_Products_Data1(), FertiliserProducts[[#Headers],[Company]],1)</f>
        <v>0.125</v>
      </c>
      <c r="U103" s="215" t="str" cm="1">
        <f t="array" ref="U103">Common_InputFunctions.Utility_DisplayArrayInTable(Fertiliser_SourceData.Fertiliser_Products_Data1(), FertiliserProducts[[#Headers],[Company]],1)</f>
        <v>Phosphorus - Generic</v>
      </c>
      <c r="V103" s="215" cm="1">
        <f t="array" ref="V103">Common_InputFunctions.Utility_DisplayArrayInTable(Fertiliser_SourceData.Fertiliser_Products_Data1(), FertiliserProducts[[#Headers],[Company]],1)</f>
        <v>6.5000000000000002E-2</v>
      </c>
      <c r="W103" s="215" t="str" cm="1">
        <f t="array" ref="W103">Common_InputFunctions.Utility_DisplayArrayInTable(Fertiliser_SourceData.Fertiliser_Products_Data1(), FertiliserProducts[[#Headers],[Company]],1)</f>
        <v>Sulfur - Generic</v>
      </c>
      <c r="X103" s="215" cm="1">
        <f t="array" ref="X103">Common_InputFunctions.Utility_DisplayArrayInTable(Fertiliser_SourceData.Fertiliser_Products_Data1(), FertiliserProducts[[#Headers],[Company]],1)</f>
        <v>0.06</v>
      </c>
      <c r="Y103" s="215" t="str" cm="1">
        <f t="array" ref="Y103">Common_InputFunctions.Utility_DisplayArrayInTable(Fertiliser_SourceData.Fertiliser_Products_Data1(), FertiliserProducts[[#Headers],[Company]],1)</f>
        <v/>
      </c>
      <c r="Z103" s="215" t="str" cm="1">
        <f t="array" ref="Z103">Common_InputFunctions.Utility_DisplayArrayInTable(Fertiliser_SourceData.Fertiliser_Products_Data1(), FertiliserProducts[[#Headers],[Company]],1)</f>
        <v/>
      </c>
      <c r="AA103" s="215" t="str" cm="1">
        <f t="array" ref="AA103">Common_InputFunctions.Utility_DisplayArrayInTable(Fertiliser_SourceData.Fertiliser_Products_Data1(), FertiliserProducts[[#Headers],[Company]],1)</f>
        <v/>
      </c>
      <c r="AB103" s="215" t="str" cm="1">
        <f t="array" ref="AB103">Common_InputFunctions.Utility_DisplayArrayInTable(Fertiliser_SourceData.Fertiliser_Products_Data1(), FertiliserProducts[[#Headers],[Company]],1)</f>
        <v/>
      </c>
      <c r="AC103" s="215" t="str" cm="1">
        <f t="array" ref="AC103">Common_InputFunctions.Utility_DisplayArrayInTable(Fertiliser_SourceData.Fertiliser_Products_Data1(), FertiliserProducts[[#Headers],[Company]],1)</f>
        <v/>
      </c>
      <c r="AD103" s="215" t="str" cm="1">
        <f t="array" ref="AD103">Common_InputFunctions.Utility_DisplayArrayInTable(Fertiliser_SourceData.Fertiliser_Products_Data1(), FertiliserProducts[[#Headers],[Company]],1)</f>
        <v/>
      </c>
      <c r="AE103" s="215" t="str" cm="1">
        <f t="array" ref="AE103">Common_InputFunctions.Utility_DisplayArrayInTable(Fertiliser_SourceData.Fertiliser_Products_Data1(), FertiliserProducts[[#Headers],[Company]],1)</f>
        <v/>
      </c>
      <c r="AF103" s="215" t="str" cm="1">
        <f t="array" ref="AF103">Common_InputFunctions.Utility_DisplayArrayInTable(Fertiliser_SourceData.Fertiliser_Products_Data1(), FertiliserProducts[[#Headers],[Company]],1)</f>
        <v/>
      </c>
      <c r="AG103" s="215" t="str" cm="1">
        <f t="array" ref="AG103">Common_InputFunctions.Utility_DisplayArrayInTable(Fertiliser_SourceData.Fertiliser_Products_Data1(), FertiliserProducts[[#Headers],[Company]],1)</f>
        <v/>
      </c>
      <c r="AH103" s="215" t="str" cm="1">
        <f t="array" ref="AH103">Common_InputFunctions.Utility_DisplayArrayInTable(Fertiliser_SourceData.Fertiliser_Products_Data1(), FertiliserProducts[[#Headers],[Company]],1)</f>
        <v/>
      </c>
    </row>
    <row r="104" spans="1:34" ht="20.100000000000001" customHeight="1" x14ac:dyDescent="0.25">
      <c r="A104"/>
      <c r="D104" s="215" t="str" cm="1">
        <f t="array" ref="D104">Common_InputFunctions.Utility_DisplayArrayInTable(Fertiliser_SourceData.Fertiliser_Products_Data1(), FertiliserProducts[[#Headers],[Company]],1)</f>
        <v>Campbells fertilisers Australia</v>
      </c>
      <c r="E104" s="215" t="str" cm="1">
        <f t="array" ref="E104">Common_InputFunctions.Utility_DisplayArrayInTable(Fertiliser_SourceData.Fertiliser_Products_Data1(), FertiliserProducts[[#Headers],[Company]],1)</f>
        <v>CoRoN 12-0-10</v>
      </c>
      <c r="F104" s="215" t="str" cm="1">
        <f t="array" ref="F104">Common_InputFunctions.Utility_DisplayArrayInTable(Fertiliser_SourceData.Fertiliser_Products_Data1(), FertiliserProducts[[#Headers],[Company]],1)</f>
        <v>L</v>
      </c>
      <c r="G104" s="215" cm="1">
        <f t="array" ref="G104">Common_InputFunctions.Utility_DisplayArrayInTable(Fertiliser_SourceData.Fertiliser_Products_Data1(), FertiliserProducts[[#Headers],[Company]],1)</f>
        <v>1.2150000000000001</v>
      </c>
      <c r="H104" s="215" t="str" cm="1">
        <f t="array" ref="H104">Common_InputFunctions.Utility_DisplayArrayInTable(Fertiliser_SourceData.Fertiliser_Products_Data1(), FertiliserProducts[[#Headers],[Company]],1)</f>
        <v/>
      </c>
      <c r="I104" s="215" t="str" cm="1">
        <f t="array" ref="I104">Common_InputFunctions.Utility_DisplayArrayInTable(Fertiliser_SourceData.Fertiliser_Products_Data1(), FertiliserProducts[[#Headers],[Company]],1)</f>
        <v/>
      </c>
      <c r="J104" s="215" t="str" cm="1">
        <f t="array" ref="J104">Common_InputFunctions.Utility_DisplayArrayInTable(Fertiliser_SourceData.Fertiliser_Products_Data1(), FertiliserProducts[[#Headers],[Company]],1)</f>
        <v/>
      </c>
      <c r="K104" s="215" cm="1">
        <f t="array" ref="K104">Common_InputFunctions.Utility_DisplayArrayInTable(Fertiliser_SourceData.Fertiliser_Products_Data1(), FertiliserProducts[[#Headers],[Company]],1)</f>
        <v>12</v>
      </c>
      <c r="L104" s="215" t="str" cm="1">
        <f t="array" ref="L104">Common_InputFunctions.Utility_DisplayArrayInTable(Fertiliser_SourceData.Fertiliser_Products_Data1(), FertiliserProducts[[#Headers],[Company]],1)</f>
        <v/>
      </c>
      <c r="M104" s="215" cm="1">
        <f t="array" ref="M104">Common_InputFunctions.Utility_DisplayArrayInTable(Fertiliser_SourceData.Fertiliser_Products_Data1(), FertiliserProducts[[#Headers],[Company]],1)</f>
        <v>10</v>
      </c>
      <c r="N104" s="215" t="str" cm="1">
        <f t="array" ref="N104">Common_InputFunctions.Utility_DisplayArrayInTable(Fertiliser_SourceData.Fertiliser_Products_Data1(), FertiliserProducts[[#Headers],[Company]],1)</f>
        <v/>
      </c>
      <c r="O104" s="215" t="str" cm="1">
        <f t="array" ref="O104">Common_InputFunctions.Utility_DisplayArrayInTable(Fertiliser_SourceData.Fertiliser_Products_Data1(), FertiliserProducts[[#Headers],[Company]],1)</f>
        <v>Urea</v>
      </c>
      <c r="P104" s="215" cm="1">
        <f t="array" ref="P104">Common_InputFunctions.Utility_DisplayArrayInTable(Fertiliser_SourceData.Fertiliser_Products_Data1(), FertiliserProducts[[#Headers],[Company]],1)</f>
        <v>0.19565199999999999</v>
      </c>
      <c r="Q104" s="215" t="str" cm="1">
        <f t="array" ref="Q104">Common_InputFunctions.Utility_DisplayArrayInTable(Fertiliser_SourceData.Fertiliser_Products_Data1(), FertiliserProducts[[#Headers],[Company]],1)</f>
        <v>Potassium - Generic</v>
      </c>
      <c r="R104" s="215" cm="1">
        <f t="array" ref="R104">Common_InputFunctions.Utility_DisplayArrayInTable(Fertiliser_SourceData.Fertiliser_Products_Data1(), FertiliserProducts[[#Headers],[Company]],1)</f>
        <v>0.1</v>
      </c>
      <c r="S104" s="215" t="str" cm="1">
        <f t="array" ref="S104">Common_InputFunctions.Utility_DisplayArrayInTable(Fertiliser_SourceData.Fertiliser_Products_Data1(), FertiliserProducts[[#Headers],[Company]],1)</f>
        <v>Nitrogen - Generic</v>
      </c>
      <c r="T104" s="215" cm="1">
        <f t="array" ref="T104">Common_InputFunctions.Utility_DisplayArrayInTable(Fertiliser_SourceData.Fertiliser_Products_Data1(), FertiliserProducts[[#Headers],[Company]],1)</f>
        <v>0.03</v>
      </c>
      <c r="U104" s="215" t="str" cm="1">
        <f t="array" ref="U104">Common_InputFunctions.Utility_DisplayArrayInTable(Fertiliser_SourceData.Fertiliser_Products_Data1(), FertiliserProducts[[#Headers],[Company]],1)</f>
        <v>Boron</v>
      </c>
      <c r="V104" s="215" cm="1">
        <f t="array" ref="V104">Common_InputFunctions.Utility_DisplayArrayInTable(Fertiliser_SourceData.Fertiliser_Products_Data1(), FertiliserProducts[[#Headers],[Company]],1)</f>
        <v>5.0000000000000001E-3</v>
      </c>
      <c r="W104" s="215" t="str" cm="1">
        <f t="array" ref="W104">Common_InputFunctions.Utility_DisplayArrayInTable(Fertiliser_SourceData.Fertiliser_Products_Data1(), FertiliserProducts[[#Headers],[Company]],1)</f>
        <v/>
      </c>
      <c r="X104" s="215" t="str" cm="1">
        <f t="array" ref="X104">Common_InputFunctions.Utility_DisplayArrayInTable(Fertiliser_SourceData.Fertiliser_Products_Data1(), FertiliserProducts[[#Headers],[Company]],1)</f>
        <v/>
      </c>
      <c r="Y104" s="215" t="str" cm="1">
        <f t="array" ref="Y104">Common_InputFunctions.Utility_DisplayArrayInTable(Fertiliser_SourceData.Fertiliser_Products_Data1(), FertiliserProducts[[#Headers],[Company]],1)</f>
        <v/>
      </c>
      <c r="Z104" s="215" t="str" cm="1">
        <f t="array" ref="Z104">Common_InputFunctions.Utility_DisplayArrayInTable(Fertiliser_SourceData.Fertiliser_Products_Data1(), FertiliserProducts[[#Headers],[Company]],1)</f>
        <v/>
      </c>
      <c r="AA104" s="215" t="str" cm="1">
        <f t="array" ref="AA104">Common_InputFunctions.Utility_DisplayArrayInTable(Fertiliser_SourceData.Fertiliser_Products_Data1(), FertiliserProducts[[#Headers],[Company]],1)</f>
        <v/>
      </c>
      <c r="AB104" s="215" t="str" cm="1">
        <f t="array" ref="AB104">Common_InputFunctions.Utility_DisplayArrayInTable(Fertiliser_SourceData.Fertiliser_Products_Data1(), FertiliserProducts[[#Headers],[Company]],1)</f>
        <v/>
      </c>
      <c r="AC104" s="215" t="str" cm="1">
        <f t="array" ref="AC104">Common_InputFunctions.Utility_DisplayArrayInTable(Fertiliser_SourceData.Fertiliser_Products_Data1(), FertiliserProducts[[#Headers],[Company]],1)</f>
        <v/>
      </c>
      <c r="AD104" s="215" t="str" cm="1">
        <f t="array" ref="AD104">Common_InputFunctions.Utility_DisplayArrayInTable(Fertiliser_SourceData.Fertiliser_Products_Data1(), FertiliserProducts[[#Headers],[Company]],1)</f>
        <v/>
      </c>
      <c r="AE104" s="215" t="str" cm="1">
        <f t="array" ref="AE104">Common_InputFunctions.Utility_DisplayArrayInTable(Fertiliser_SourceData.Fertiliser_Products_Data1(), FertiliserProducts[[#Headers],[Company]],1)</f>
        <v/>
      </c>
      <c r="AF104" s="215" t="str" cm="1">
        <f t="array" ref="AF104">Common_InputFunctions.Utility_DisplayArrayInTable(Fertiliser_SourceData.Fertiliser_Products_Data1(), FertiliserProducts[[#Headers],[Company]],1)</f>
        <v/>
      </c>
      <c r="AG104" s="215" t="str" cm="1">
        <f t="array" ref="AG104">Common_InputFunctions.Utility_DisplayArrayInTable(Fertiliser_SourceData.Fertiliser_Products_Data1(), FertiliserProducts[[#Headers],[Company]],1)</f>
        <v/>
      </c>
      <c r="AH104" s="215" t="str" cm="1">
        <f t="array" ref="AH104">Common_InputFunctions.Utility_DisplayArrayInTable(Fertiliser_SourceData.Fertiliser_Products_Data1(), FertiliserProducts[[#Headers],[Company]],1)</f>
        <v/>
      </c>
    </row>
    <row r="105" spans="1:34" ht="20.100000000000001" customHeight="1" x14ac:dyDescent="0.25">
      <c r="A105"/>
      <c r="D105" s="215" t="str" cm="1">
        <f t="array" ref="D105">Common_InputFunctions.Utility_DisplayArrayInTable(Fertiliser_SourceData.Fertiliser_Products_Data1(), FertiliserProducts[[#Headers],[Company]],1)</f>
        <v>Campbells fertilisers Australia</v>
      </c>
      <c r="E105" s="215" t="str" cm="1">
        <f t="array" ref="E105">Common_InputFunctions.Utility_DisplayArrayInTable(Fertiliser_SourceData.Fertiliser_Products_Data1(), FertiliserProducts[[#Headers],[Company]],1)</f>
        <v>Maximum Quick-N</v>
      </c>
      <c r="F105" s="215" t="str" cm="1">
        <f t="array" ref="F105">Common_InputFunctions.Utility_DisplayArrayInTable(Fertiliser_SourceData.Fertiliser_Products_Data1(), FertiliserProducts[[#Headers],[Company]],1)</f>
        <v>kg</v>
      </c>
      <c r="G105" s="215" cm="1">
        <f t="array" ref="G105">Common_InputFunctions.Utility_DisplayArrayInTable(Fertiliser_SourceData.Fertiliser_Products_Data1(), FertiliserProducts[[#Headers],[Company]],1)</f>
        <v>1</v>
      </c>
      <c r="H105" s="215" t="str" cm="1">
        <f t="array" ref="H105">Common_InputFunctions.Utility_DisplayArrayInTable(Fertiliser_SourceData.Fertiliser_Products_Data1(), FertiliserProducts[[#Headers],[Company]],1)</f>
        <v/>
      </c>
      <c r="I105" s="215" t="str" cm="1">
        <f t="array" ref="I105">Common_InputFunctions.Utility_DisplayArrayInTable(Fertiliser_SourceData.Fertiliser_Products_Data1(), FertiliserProducts[[#Headers],[Company]],1)</f>
        <v/>
      </c>
      <c r="J105" s="215" t="str" cm="1">
        <f t="array" ref="J105">Common_InputFunctions.Utility_DisplayArrayInTable(Fertiliser_SourceData.Fertiliser_Products_Data1(), FertiliserProducts[[#Headers],[Company]],1)</f>
        <v/>
      </c>
      <c r="K105" s="215" cm="1">
        <f t="array" ref="K105">Common_InputFunctions.Utility_DisplayArrayInTable(Fertiliser_SourceData.Fertiliser_Products_Data1(), FertiliserProducts[[#Headers],[Company]],1)</f>
        <v>21.66</v>
      </c>
      <c r="L105" s="215" t="str" cm="1">
        <f t="array" ref="L105">Common_InputFunctions.Utility_DisplayArrayInTable(Fertiliser_SourceData.Fertiliser_Products_Data1(), FertiliserProducts[[#Headers],[Company]],1)</f>
        <v/>
      </c>
      <c r="M105" s="215" t="str" cm="1">
        <f t="array" ref="M105">Common_InputFunctions.Utility_DisplayArrayInTable(Fertiliser_SourceData.Fertiliser_Products_Data1(), FertiliserProducts[[#Headers],[Company]],1)</f>
        <v/>
      </c>
      <c r="N105" s="215" cm="1">
        <f t="array" ref="N105">Common_InputFunctions.Utility_DisplayArrayInTable(Fertiliser_SourceData.Fertiliser_Products_Data1(), FertiliserProducts[[#Headers],[Company]],1)</f>
        <v>13.2</v>
      </c>
      <c r="O105" s="215" t="str" cm="1">
        <f t="array" ref="O105">Common_InputFunctions.Utility_DisplayArrayInTable(Fertiliser_SourceData.Fertiliser_Products_Data1(), FertiliserProducts[[#Headers],[Company]],1)</f>
        <v>Sulphate of ammonia (SOA)</v>
      </c>
      <c r="P105" s="215" cm="1">
        <f t="array" ref="P105">Common_InputFunctions.Utility_DisplayArrayInTable(Fertiliser_SourceData.Fertiliser_Products_Data1(), FertiliserProducts[[#Headers],[Company]],1)</f>
        <v>0.55000000000000004</v>
      </c>
      <c r="Q105" s="215" t="str" cm="1">
        <f t="array" ref="Q105">Common_InputFunctions.Utility_DisplayArrayInTable(Fertiliser_SourceData.Fertiliser_Products_Data1(), FertiliserProducts[[#Headers],[Company]],1)</f>
        <v>Ammonium nitrate (AN)</v>
      </c>
      <c r="R105" s="215" cm="1">
        <f t="array" ref="R105">Common_InputFunctions.Utility_DisplayArrayInTable(Fertiliser_SourceData.Fertiliser_Products_Data1(), FertiliserProducts[[#Headers],[Company]],1)</f>
        <v>0.3</v>
      </c>
      <c r="S105" s="215" t="str" cm="1">
        <f t="array" ref="S105">Common_InputFunctions.Utility_DisplayArrayInTable(Fertiliser_SourceData.Fertiliser_Products_Data1(), FertiliserProducts[[#Headers],[Company]],1)</f>
        <v/>
      </c>
      <c r="T105" s="215" t="str" cm="1">
        <f t="array" ref="T105">Common_InputFunctions.Utility_DisplayArrayInTable(Fertiliser_SourceData.Fertiliser_Products_Data1(), FertiliserProducts[[#Headers],[Company]],1)</f>
        <v/>
      </c>
      <c r="U105" s="215" t="str" cm="1">
        <f t="array" ref="U105">Common_InputFunctions.Utility_DisplayArrayInTable(Fertiliser_SourceData.Fertiliser_Products_Data1(), FertiliserProducts[[#Headers],[Company]],1)</f>
        <v/>
      </c>
      <c r="V105" s="215" t="str" cm="1">
        <f t="array" ref="V105">Common_InputFunctions.Utility_DisplayArrayInTable(Fertiliser_SourceData.Fertiliser_Products_Data1(), FertiliserProducts[[#Headers],[Company]],1)</f>
        <v/>
      </c>
      <c r="W105" s="215" t="str" cm="1">
        <f t="array" ref="W105">Common_InputFunctions.Utility_DisplayArrayInTable(Fertiliser_SourceData.Fertiliser_Products_Data1(), FertiliserProducts[[#Headers],[Company]],1)</f>
        <v/>
      </c>
      <c r="X105" s="215" t="str" cm="1">
        <f t="array" ref="X105">Common_InputFunctions.Utility_DisplayArrayInTable(Fertiliser_SourceData.Fertiliser_Products_Data1(), FertiliserProducts[[#Headers],[Company]],1)</f>
        <v/>
      </c>
      <c r="Y105" s="215" t="str" cm="1">
        <f t="array" ref="Y105">Common_InputFunctions.Utility_DisplayArrayInTable(Fertiliser_SourceData.Fertiliser_Products_Data1(), FertiliserProducts[[#Headers],[Company]],1)</f>
        <v/>
      </c>
      <c r="Z105" s="215" t="str" cm="1">
        <f t="array" ref="Z105">Common_InputFunctions.Utility_DisplayArrayInTable(Fertiliser_SourceData.Fertiliser_Products_Data1(), FertiliserProducts[[#Headers],[Company]],1)</f>
        <v/>
      </c>
      <c r="AA105" s="215" t="str" cm="1">
        <f t="array" ref="AA105">Common_InputFunctions.Utility_DisplayArrayInTable(Fertiliser_SourceData.Fertiliser_Products_Data1(), FertiliserProducts[[#Headers],[Company]],1)</f>
        <v/>
      </c>
      <c r="AB105" s="215" t="str" cm="1">
        <f t="array" ref="AB105">Common_InputFunctions.Utility_DisplayArrayInTable(Fertiliser_SourceData.Fertiliser_Products_Data1(), FertiliserProducts[[#Headers],[Company]],1)</f>
        <v/>
      </c>
      <c r="AC105" s="215" t="str" cm="1">
        <f t="array" ref="AC105">Common_InputFunctions.Utility_DisplayArrayInTable(Fertiliser_SourceData.Fertiliser_Products_Data1(), FertiliserProducts[[#Headers],[Company]],1)</f>
        <v/>
      </c>
      <c r="AD105" s="215" t="str" cm="1">
        <f t="array" ref="AD105">Common_InputFunctions.Utility_DisplayArrayInTable(Fertiliser_SourceData.Fertiliser_Products_Data1(), FertiliserProducts[[#Headers],[Company]],1)</f>
        <v/>
      </c>
      <c r="AE105" s="215" t="str" cm="1">
        <f t="array" ref="AE105">Common_InputFunctions.Utility_DisplayArrayInTable(Fertiliser_SourceData.Fertiliser_Products_Data1(), FertiliserProducts[[#Headers],[Company]],1)</f>
        <v/>
      </c>
      <c r="AF105" s="215" t="str" cm="1">
        <f t="array" ref="AF105">Common_InputFunctions.Utility_DisplayArrayInTable(Fertiliser_SourceData.Fertiliser_Products_Data1(), FertiliserProducts[[#Headers],[Company]],1)</f>
        <v/>
      </c>
      <c r="AG105" s="215" t="str" cm="1">
        <f t="array" ref="AG105">Common_InputFunctions.Utility_DisplayArrayInTable(Fertiliser_SourceData.Fertiliser_Products_Data1(), FertiliserProducts[[#Headers],[Company]],1)</f>
        <v/>
      </c>
      <c r="AH105" s="215" t="str" cm="1">
        <f t="array" ref="AH105">Common_InputFunctions.Utility_DisplayArrayInTable(Fertiliser_SourceData.Fertiliser_Products_Data1(), FertiliserProducts[[#Headers],[Company]],1)</f>
        <v/>
      </c>
    </row>
    <row r="106" spans="1:34" ht="20.100000000000001" customHeight="1" x14ac:dyDescent="0.25">
      <c r="A106"/>
      <c r="D106" s="215" t="str" cm="1">
        <f t="array" ref="D106">Common_InputFunctions.Utility_DisplayArrayInTable(Fertiliser_SourceData.Fertiliser_Products_Data1(), FertiliserProducts[[#Headers],[Company]],1)</f>
        <v>SL Tec</v>
      </c>
      <c r="E106" s="215" t="str" cm="1">
        <f t="array" ref="E106">Common_InputFunctions.Utility_DisplayArrayInTable(Fertiliser_SourceData.Fertiliser_Products_Data1(), FertiliserProducts[[#Headers],[Company]],1)</f>
        <v>Crop Booster PLUS</v>
      </c>
      <c r="F106" s="215" t="str" cm="1">
        <f t="array" ref="F106">Common_InputFunctions.Utility_DisplayArrayInTable(Fertiliser_SourceData.Fertiliser_Products_Data1(), FertiliserProducts[[#Headers],[Company]],1)</f>
        <v>L</v>
      </c>
      <c r="G106" s="215" cm="1">
        <f t="array" ref="G106">Common_InputFunctions.Utility_DisplayArrayInTable(Fertiliser_SourceData.Fertiliser_Products_Data1(), FertiliserProducts[[#Headers],[Company]],1)</f>
        <v>1.319</v>
      </c>
      <c r="H106" s="215" t="str" cm="1">
        <f t="array" ref="H106">Common_InputFunctions.Utility_DisplayArrayInTable(Fertiliser_SourceData.Fertiliser_Products_Data1(), FertiliserProducts[[#Headers],[Company]],1)</f>
        <v/>
      </c>
      <c r="I106" s="215" t="str" cm="1">
        <f t="array" ref="I106">Common_InputFunctions.Utility_DisplayArrayInTable(Fertiliser_SourceData.Fertiliser_Products_Data1(), FertiliserProducts[[#Headers],[Company]],1)</f>
        <v/>
      </c>
      <c r="J106" s="215" t="str" cm="1">
        <f t="array" ref="J106">Common_InputFunctions.Utility_DisplayArrayInTable(Fertiliser_SourceData.Fertiliser_Products_Data1(), FertiliserProducts[[#Headers],[Company]],1)</f>
        <v/>
      </c>
      <c r="K106" s="215" cm="1">
        <f t="array" ref="K106">Common_InputFunctions.Utility_DisplayArrayInTable(Fertiliser_SourceData.Fertiliser_Products_Data1(), FertiliserProducts[[#Headers],[Company]],1)</f>
        <v>5</v>
      </c>
      <c r="L106" s="215" cm="1">
        <f t="array" ref="L106">Common_InputFunctions.Utility_DisplayArrayInTable(Fertiliser_SourceData.Fertiliser_Products_Data1(), FertiliserProducts[[#Headers],[Company]],1)</f>
        <v>15</v>
      </c>
      <c r="M106" s="215" cm="1">
        <f t="array" ref="M106">Common_InputFunctions.Utility_DisplayArrayInTable(Fertiliser_SourceData.Fertiliser_Products_Data1(), FertiliserProducts[[#Headers],[Company]],1)</f>
        <v>2.1</v>
      </c>
      <c r="N106" s="215" t="str" cm="1">
        <f t="array" ref="N106">Common_InputFunctions.Utility_DisplayArrayInTable(Fertiliser_SourceData.Fertiliser_Products_Data1(), FertiliserProducts[[#Headers],[Company]],1)</f>
        <v/>
      </c>
      <c r="O106" s="215" t="str" cm="1">
        <f t="array" ref="O106">Common_InputFunctions.Utility_DisplayArrayInTable(Fertiliser_SourceData.Fertiliser_Products_Data1(), FertiliserProducts[[#Headers],[Company]],1)</f>
        <v>Phosphorus - Generic</v>
      </c>
      <c r="P106" s="215" cm="1">
        <f t="array" ref="P106">Common_InputFunctions.Utility_DisplayArrayInTable(Fertiliser_SourceData.Fertiliser_Products_Data1(), FertiliserProducts[[#Headers],[Company]],1)</f>
        <v>0.15</v>
      </c>
      <c r="Q106" s="215" t="str" cm="1">
        <f t="array" ref="Q106">Common_InputFunctions.Utility_DisplayArrayInTable(Fertiliser_SourceData.Fertiliser_Products_Data1(), FertiliserProducts[[#Headers],[Company]],1)</f>
        <v>Calcium</v>
      </c>
      <c r="R106" s="215" cm="1">
        <f t="array" ref="R106">Common_InputFunctions.Utility_DisplayArrayInTable(Fertiliser_SourceData.Fertiliser_Products_Data1(), FertiliserProducts[[#Headers],[Company]],1)</f>
        <v>0.04</v>
      </c>
      <c r="S106" s="215" t="str" cm="1">
        <f t="array" ref="S106">Common_InputFunctions.Utility_DisplayArrayInTable(Fertiliser_SourceData.Fertiliser_Products_Data1(), FertiliserProducts[[#Headers],[Company]],1)</f>
        <v>Nitrogen - Ammoniacal</v>
      </c>
      <c r="T106" s="215" cm="1">
        <f t="array" ref="T106">Common_InputFunctions.Utility_DisplayArrayInTable(Fertiliser_SourceData.Fertiliser_Products_Data1(), FertiliserProducts[[#Headers],[Company]],1)</f>
        <v>2.9000000000000001E-2</v>
      </c>
      <c r="U106" s="215" t="str" cm="1">
        <f t="array" ref="U106">Common_InputFunctions.Utility_DisplayArrayInTable(Fertiliser_SourceData.Fertiliser_Products_Data1(), FertiliserProducts[[#Headers],[Company]],1)</f>
        <v>Nitrogen - Nitrate</v>
      </c>
      <c r="V106" s="215" cm="1">
        <f t="array" ref="V106">Common_InputFunctions.Utility_DisplayArrayInTable(Fertiliser_SourceData.Fertiliser_Products_Data1(), FertiliserProducts[[#Headers],[Company]],1)</f>
        <v>2.1000000000000001E-2</v>
      </c>
      <c r="W106" s="215" t="str" cm="1">
        <f t="array" ref="W106">Common_InputFunctions.Utility_DisplayArrayInTable(Fertiliser_SourceData.Fertiliser_Products_Data1(), FertiliserProducts[[#Headers],[Company]],1)</f>
        <v>Potassium - Generic</v>
      </c>
      <c r="X106" s="215" cm="1">
        <f t="array" ref="X106">Common_InputFunctions.Utility_DisplayArrayInTable(Fertiliser_SourceData.Fertiliser_Products_Data1(), FertiliserProducts[[#Headers],[Company]],1)</f>
        <v>2.1000000000000001E-2</v>
      </c>
      <c r="Y106" s="215" t="str" cm="1">
        <f t="array" ref="Y106">Common_InputFunctions.Utility_DisplayArrayInTable(Fertiliser_SourceData.Fertiliser_Products_Data1(), FertiliserProducts[[#Headers],[Company]],1)</f>
        <v>Copper</v>
      </c>
      <c r="Z106" s="215" cm="1">
        <f t="array" ref="Z106">Common_InputFunctions.Utility_DisplayArrayInTable(Fertiliser_SourceData.Fertiliser_Products_Data1(), FertiliserProducts[[#Headers],[Company]],1)</f>
        <v>5.0000000000000001E-3</v>
      </c>
      <c r="AA106" s="215" t="str" cm="1">
        <f t="array" ref="AA106">Common_InputFunctions.Utility_DisplayArrayInTable(Fertiliser_SourceData.Fertiliser_Products_Data1(), FertiliserProducts[[#Headers],[Company]],1)</f>
        <v>Zinc</v>
      </c>
      <c r="AB106" s="215" cm="1">
        <f t="array" ref="AB106">Common_InputFunctions.Utility_DisplayArrayInTable(Fertiliser_SourceData.Fertiliser_Products_Data1(), FertiliserProducts[[#Headers],[Company]],1)</f>
        <v>4.0000000000000001E-3</v>
      </c>
      <c r="AC106" s="215" t="str" cm="1">
        <f t="array" ref="AC106">Common_InputFunctions.Utility_DisplayArrayInTable(Fertiliser_SourceData.Fertiliser_Products_Data1(), FertiliserProducts[[#Headers],[Company]],1)</f>
        <v>Manganese</v>
      </c>
      <c r="AD106" s="215" cm="1">
        <f t="array" ref="AD106">Common_InputFunctions.Utility_DisplayArrayInTable(Fertiliser_SourceData.Fertiliser_Products_Data1(), FertiliserProducts[[#Headers],[Company]],1)</f>
        <v>4.0000000000000001E-3</v>
      </c>
      <c r="AE106" s="215" t="str" cm="1">
        <f t="array" ref="AE106">Common_InputFunctions.Utility_DisplayArrayInTable(Fertiliser_SourceData.Fertiliser_Products_Data1(), FertiliserProducts[[#Headers],[Company]],1)</f>
        <v>Magnesium</v>
      </c>
      <c r="AF106" s="215" cm="1">
        <f t="array" ref="AF106">Common_InputFunctions.Utility_DisplayArrayInTable(Fertiliser_SourceData.Fertiliser_Products_Data1(), FertiliserProducts[[#Headers],[Company]],1)</f>
        <v>2E-3</v>
      </c>
      <c r="AG106" s="215" t="str" cm="1">
        <f t="array" ref="AG106">Common_InputFunctions.Utility_DisplayArrayInTable(Fertiliser_SourceData.Fertiliser_Products_Data1(), FertiliserProducts[[#Headers],[Company]],1)</f>
        <v/>
      </c>
      <c r="AH106" s="215" t="str" cm="1">
        <f t="array" ref="AH106">Common_InputFunctions.Utility_DisplayArrayInTable(Fertiliser_SourceData.Fertiliser_Products_Data1(), FertiliserProducts[[#Headers],[Company]],1)</f>
        <v/>
      </c>
    </row>
    <row r="107" spans="1:34" ht="20.100000000000001" customHeight="1" x14ac:dyDescent="0.25">
      <c r="A107"/>
      <c r="D107" s="215" t="str" cm="1">
        <f t="array" ref="D107">Common_InputFunctions.Utility_DisplayArrayInTable(Fertiliser_SourceData.Fertiliser_Products_Data1(), FertiliserProducts[[#Headers],[Company]],1)</f>
        <v>Risso-Chemical</v>
      </c>
      <c r="E107" s="215" t="str" cm="1">
        <f t="array" ref="E107">Common_InputFunctions.Utility_DisplayArrayInTable(Fertiliser_SourceData.Fertiliser_Products_Data1(), FertiliserProducts[[#Headers],[Company]],1)</f>
        <v>Ammonium Bicarbonate</v>
      </c>
      <c r="F107" s="215" t="str" cm="1">
        <f t="array" ref="F107">Common_InputFunctions.Utility_DisplayArrayInTable(Fertiliser_SourceData.Fertiliser_Products_Data1(), FertiliserProducts[[#Headers],[Company]],1)</f>
        <v>kg</v>
      </c>
      <c r="G107" s="215" cm="1">
        <f t="array" ref="G107">Common_InputFunctions.Utility_DisplayArrayInTable(Fertiliser_SourceData.Fertiliser_Products_Data1(), FertiliserProducts[[#Headers],[Company]],1)</f>
        <v>1</v>
      </c>
      <c r="H107" s="215" t="str" cm="1">
        <f t="array" ref="H107">Common_InputFunctions.Utility_DisplayArrayInTable(Fertiliser_SourceData.Fertiliser_Products_Data1(), FertiliserProducts[[#Headers],[Company]],1)</f>
        <v/>
      </c>
      <c r="I107" s="215" t="str" cm="1">
        <f t="array" ref="I107">Common_InputFunctions.Utility_DisplayArrayInTable(Fertiliser_SourceData.Fertiliser_Products_Data1(), FertiliserProducts[[#Headers],[Company]],1)</f>
        <v/>
      </c>
      <c r="J107" s="215" t="str" cm="1">
        <f t="array" ref="J107">Common_InputFunctions.Utility_DisplayArrayInTable(Fertiliser_SourceData.Fertiliser_Products_Data1(), FertiliserProducts[[#Headers],[Company]],1)</f>
        <v>China</v>
      </c>
      <c r="K107" s="215" cm="1">
        <f t="array" ref="K107">Common_InputFunctions.Utility_DisplayArrayInTable(Fertiliser_SourceData.Fertiliser_Products_Data1(), FertiliserProducts[[#Headers],[Company]],1)</f>
        <v>17.7</v>
      </c>
      <c r="L107" s="215" t="str" cm="1">
        <f t="array" ref="L107">Common_InputFunctions.Utility_DisplayArrayInTable(Fertiliser_SourceData.Fertiliser_Products_Data1(), FertiliserProducts[[#Headers],[Company]],1)</f>
        <v/>
      </c>
      <c r="M107" s="215" t="str" cm="1">
        <f t="array" ref="M107">Common_InputFunctions.Utility_DisplayArrayInTable(Fertiliser_SourceData.Fertiliser_Products_Data1(), FertiliserProducts[[#Headers],[Company]],1)</f>
        <v/>
      </c>
      <c r="N107" s="215" t="str" cm="1">
        <f t="array" ref="N107">Common_InputFunctions.Utility_DisplayArrayInTable(Fertiliser_SourceData.Fertiliser_Products_Data1(), FertiliserProducts[[#Headers],[Company]],1)</f>
        <v/>
      </c>
      <c r="O107" s="215" t="str" cm="1">
        <f t="array" ref="O107">Common_InputFunctions.Utility_DisplayArrayInTable(Fertiliser_SourceData.Fertiliser_Products_Data1(), FertiliserProducts[[#Headers],[Company]],1)</f>
        <v>Nitrogen - Ammoniacal</v>
      </c>
      <c r="P107" s="215" cm="1">
        <f t="array" ref="P107">Common_InputFunctions.Utility_DisplayArrayInTable(Fertiliser_SourceData.Fertiliser_Products_Data1(), FertiliserProducts[[#Headers],[Company]],1)</f>
        <v>0.17699999999999999</v>
      </c>
      <c r="Q107" s="215" t="str" cm="1">
        <f t="array" ref="Q107">Common_InputFunctions.Utility_DisplayArrayInTable(Fertiliser_SourceData.Fertiliser_Products_Data1(), FertiliserProducts[[#Headers],[Company]],1)</f>
        <v/>
      </c>
      <c r="R107" s="215" t="str" cm="1">
        <f t="array" ref="R107">Common_InputFunctions.Utility_DisplayArrayInTable(Fertiliser_SourceData.Fertiliser_Products_Data1(), FertiliserProducts[[#Headers],[Company]],1)</f>
        <v/>
      </c>
      <c r="S107" s="215" t="str" cm="1">
        <f t="array" ref="S107">Common_InputFunctions.Utility_DisplayArrayInTable(Fertiliser_SourceData.Fertiliser_Products_Data1(), FertiliserProducts[[#Headers],[Company]],1)</f>
        <v/>
      </c>
      <c r="T107" s="215" t="str" cm="1">
        <f t="array" ref="T107">Common_InputFunctions.Utility_DisplayArrayInTable(Fertiliser_SourceData.Fertiliser_Products_Data1(), FertiliserProducts[[#Headers],[Company]],1)</f>
        <v/>
      </c>
      <c r="U107" s="215" t="str" cm="1">
        <f t="array" ref="U107">Common_InputFunctions.Utility_DisplayArrayInTable(Fertiliser_SourceData.Fertiliser_Products_Data1(), FertiliserProducts[[#Headers],[Company]],1)</f>
        <v/>
      </c>
      <c r="V107" s="215" t="str" cm="1">
        <f t="array" ref="V107">Common_InputFunctions.Utility_DisplayArrayInTable(Fertiliser_SourceData.Fertiliser_Products_Data1(), FertiliserProducts[[#Headers],[Company]],1)</f>
        <v/>
      </c>
      <c r="W107" s="215" t="str" cm="1">
        <f t="array" ref="W107">Common_InputFunctions.Utility_DisplayArrayInTable(Fertiliser_SourceData.Fertiliser_Products_Data1(), FertiliserProducts[[#Headers],[Company]],1)</f>
        <v/>
      </c>
      <c r="X107" s="215" t="str" cm="1">
        <f t="array" ref="X107">Common_InputFunctions.Utility_DisplayArrayInTable(Fertiliser_SourceData.Fertiliser_Products_Data1(), FertiliserProducts[[#Headers],[Company]],1)</f>
        <v/>
      </c>
      <c r="Y107" s="215" t="str" cm="1">
        <f t="array" ref="Y107">Common_InputFunctions.Utility_DisplayArrayInTable(Fertiliser_SourceData.Fertiliser_Products_Data1(), FertiliserProducts[[#Headers],[Company]],1)</f>
        <v/>
      </c>
      <c r="Z107" s="215" t="str" cm="1">
        <f t="array" ref="Z107">Common_InputFunctions.Utility_DisplayArrayInTable(Fertiliser_SourceData.Fertiliser_Products_Data1(), FertiliserProducts[[#Headers],[Company]],1)</f>
        <v/>
      </c>
      <c r="AA107" s="215" t="str" cm="1">
        <f t="array" ref="AA107">Common_InputFunctions.Utility_DisplayArrayInTable(Fertiliser_SourceData.Fertiliser_Products_Data1(), FertiliserProducts[[#Headers],[Company]],1)</f>
        <v/>
      </c>
      <c r="AB107" s="215" t="str" cm="1">
        <f t="array" ref="AB107">Common_InputFunctions.Utility_DisplayArrayInTable(Fertiliser_SourceData.Fertiliser_Products_Data1(), FertiliserProducts[[#Headers],[Company]],1)</f>
        <v/>
      </c>
      <c r="AC107" s="215" t="str" cm="1">
        <f t="array" ref="AC107">Common_InputFunctions.Utility_DisplayArrayInTable(Fertiliser_SourceData.Fertiliser_Products_Data1(), FertiliserProducts[[#Headers],[Company]],1)</f>
        <v/>
      </c>
      <c r="AD107" s="215" t="str" cm="1">
        <f t="array" ref="AD107">Common_InputFunctions.Utility_DisplayArrayInTable(Fertiliser_SourceData.Fertiliser_Products_Data1(), FertiliserProducts[[#Headers],[Company]],1)</f>
        <v/>
      </c>
      <c r="AE107" s="215" t="str" cm="1">
        <f t="array" ref="AE107">Common_InputFunctions.Utility_DisplayArrayInTable(Fertiliser_SourceData.Fertiliser_Products_Data1(), FertiliserProducts[[#Headers],[Company]],1)</f>
        <v/>
      </c>
      <c r="AF107" s="215" t="str" cm="1">
        <f t="array" ref="AF107">Common_InputFunctions.Utility_DisplayArrayInTable(Fertiliser_SourceData.Fertiliser_Products_Data1(), FertiliserProducts[[#Headers],[Company]],1)</f>
        <v/>
      </c>
      <c r="AG107" s="215" t="str" cm="1">
        <f t="array" ref="AG107">Common_InputFunctions.Utility_DisplayArrayInTable(Fertiliser_SourceData.Fertiliser_Products_Data1(), FertiliserProducts[[#Headers],[Company]],1)</f>
        <v/>
      </c>
      <c r="AH107" s="215" t="str" cm="1">
        <f t="array" ref="AH107">Common_InputFunctions.Utility_DisplayArrayInTable(Fertiliser_SourceData.Fertiliser_Products_Data1(), FertiliserProducts[[#Headers],[Company]],1)</f>
        <v/>
      </c>
    </row>
    <row r="108" spans="1:34" ht="20.100000000000001" customHeight="1" x14ac:dyDescent="0.25">
      <c r="A108"/>
      <c r="D108" s="215" t="str" cm="1">
        <f t="array" ref="D108">Common_InputFunctions.Utility_DisplayArrayInTable(Fertiliser_SourceData.Fertiliser_Products_Data1(), FertiliserProducts[[#Headers],[Company]],1)</f>
        <v>Risso-Chemical</v>
      </c>
      <c r="E108" s="215" t="str" cm="1">
        <f t="array" ref="E108">Common_InputFunctions.Utility_DisplayArrayInTable(Fertiliser_SourceData.Fertiliser_Products_Data1(), FertiliserProducts[[#Headers],[Company]],1)</f>
        <v>Ammonium Sulfate</v>
      </c>
      <c r="F108" s="215" t="str" cm="1">
        <f t="array" ref="F108">Common_InputFunctions.Utility_DisplayArrayInTable(Fertiliser_SourceData.Fertiliser_Products_Data1(), FertiliserProducts[[#Headers],[Company]],1)</f>
        <v>kg</v>
      </c>
      <c r="G108" s="215" cm="1">
        <f t="array" ref="G108">Common_InputFunctions.Utility_DisplayArrayInTable(Fertiliser_SourceData.Fertiliser_Products_Data1(), FertiliserProducts[[#Headers],[Company]],1)</f>
        <v>1</v>
      </c>
      <c r="H108" s="215" t="str" cm="1">
        <f t="array" ref="H108">Common_InputFunctions.Utility_DisplayArrayInTable(Fertiliser_SourceData.Fertiliser_Products_Data1(), FertiliserProducts[[#Headers],[Company]],1)</f>
        <v/>
      </c>
      <c r="I108" s="215" t="str" cm="1">
        <f t="array" ref="I108">Common_InputFunctions.Utility_DisplayArrayInTable(Fertiliser_SourceData.Fertiliser_Products_Data1(), FertiliserProducts[[#Headers],[Company]],1)</f>
        <v/>
      </c>
      <c r="J108" s="215" t="str" cm="1">
        <f t="array" ref="J108">Common_InputFunctions.Utility_DisplayArrayInTable(Fertiliser_SourceData.Fertiliser_Products_Data1(), FertiliserProducts[[#Headers],[Company]],1)</f>
        <v>China</v>
      </c>
      <c r="K108" s="215" cm="1">
        <f t="array" ref="K108">Common_InputFunctions.Utility_DisplayArrayInTable(Fertiliser_SourceData.Fertiliser_Products_Data1(), FertiliserProducts[[#Headers],[Company]],1)</f>
        <v>21</v>
      </c>
      <c r="L108" s="215" t="str" cm="1">
        <f t="array" ref="L108">Common_InputFunctions.Utility_DisplayArrayInTable(Fertiliser_SourceData.Fertiliser_Products_Data1(), FertiliserProducts[[#Headers],[Company]],1)</f>
        <v/>
      </c>
      <c r="M108" s="215" t="str" cm="1">
        <f t="array" ref="M108">Common_InputFunctions.Utility_DisplayArrayInTable(Fertiliser_SourceData.Fertiliser_Products_Data1(), FertiliserProducts[[#Headers],[Company]],1)</f>
        <v/>
      </c>
      <c r="N108" s="215" cm="1">
        <f t="array" ref="N108">Common_InputFunctions.Utility_DisplayArrayInTable(Fertiliser_SourceData.Fertiliser_Products_Data1(), FertiliserProducts[[#Headers],[Company]],1)</f>
        <v>24</v>
      </c>
      <c r="O108" s="215" t="str" cm="1">
        <f t="array" ref="O108">Common_InputFunctions.Utility_DisplayArrayInTable(Fertiliser_SourceData.Fertiliser_Products_Data1(), FertiliserProducts[[#Headers],[Company]],1)</f>
        <v>Sulfur - Generic</v>
      </c>
      <c r="P108" s="215" cm="1">
        <f t="array" ref="P108">Common_InputFunctions.Utility_DisplayArrayInTable(Fertiliser_SourceData.Fertiliser_Products_Data1(), FertiliserProducts[[#Headers],[Company]],1)</f>
        <v>0.24</v>
      </c>
      <c r="Q108" s="215" t="str" cm="1">
        <f t="array" ref="Q108">Common_InputFunctions.Utility_DisplayArrayInTable(Fertiliser_SourceData.Fertiliser_Products_Data1(), FertiliserProducts[[#Headers],[Company]],1)</f>
        <v>Nitrogen - Ammoniacal</v>
      </c>
      <c r="R108" s="215" cm="1">
        <f t="array" ref="R108">Common_InputFunctions.Utility_DisplayArrayInTable(Fertiliser_SourceData.Fertiliser_Products_Data1(), FertiliserProducts[[#Headers],[Company]],1)</f>
        <v>0.21</v>
      </c>
      <c r="S108" s="215" t="str" cm="1">
        <f t="array" ref="S108">Common_InputFunctions.Utility_DisplayArrayInTable(Fertiliser_SourceData.Fertiliser_Products_Data1(), FertiliserProducts[[#Headers],[Company]],1)</f>
        <v/>
      </c>
      <c r="T108" s="215" t="str" cm="1">
        <f t="array" ref="T108">Common_InputFunctions.Utility_DisplayArrayInTable(Fertiliser_SourceData.Fertiliser_Products_Data1(), FertiliserProducts[[#Headers],[Company]],1)</f>
        <v/>
      </c>
      <c r="U108" s="215" t="str" cm="1">
        <f t="array" ref="U108">Common_InputFunctions.Utility_DisplayArrayInTable(Fertiliser_SourceData.Fertiliser_Products_Data1(), FertiliserProducts[[#Headers],[Company]],1)</f>
        <v/>
      </c>
      <c r="V108" s="215" t="str" cm="1">
        <f t="array" ref="V108">Common_InputFunctions.Utility_DisplayArrayInTable(Fertiliser_SourceData.Fertiliser_Products_Data1(), FertiliserProducts[[#Headers],[Company]],1)</f>
        <v/>
      </c>
      <c r="W108" s="215" t="str" cm="1">
        <f t="array" ref="W108">Common_InputFunctions.Utility_DisplayArrayInTable(Fertiliser_SourceData.Fertiliser_Products_Data1(), FertiliserProducts[[#Headers],[Company]],1)</f>
        <v/>
      </c>
      <c r="X108" s="215" t="str" cm="1">
        <f t="array" ref="X108">Common_InputFunctions.Utility_DisplayArrayInTable(Fertiliser_SourceData.Fertiliser_Products_Data1(), FertiliserProducts[[#Headers],[Company]],1)</f>
        <v/>
      </c>
      <c r="Y108" s="215" t="str" cm="1">
        <f t="array" ref="Y108">Common_InputFunctions.Utility_DisplayArrayInTable(Fertiliser_SourceData.Fertiliser_Products_Data1(), FertiliserProducts[[#Headers],[Company]],1)</f>
        <v/>
      </c>
      <c r="Z108" s="215" t="str" cm="1">
        <f t="array" ref="Z108">Common_InputFunctions.Utility_DisplayArrayInTable(Fertiliser_SourceData.Fertiliser_Products_Data1(), FertiliserProducts[[#Headers],[Company]],1)</f>
        <v/>
      </c>
      <c r="AA108" s="215" t="str" cm="1">
        <f t="array" ref="AA108">Common_InputFunctions.Utility_DisplayArrayInTable(Fertiliser_SourceData.Fertiliser_Products_Data1(), FertiliserProducts[[#Headers],[Company]],1)</f>
        <v/>
      </c>
      <c r="AB108" s="215" t="str" cm="1">
        <f t="array" ref="AB108">Common_InputFunctions.Utility_DisplayArrayInTable(Fertiliser_SourceData.Fertiliser_Products_Data1(), FertiliserProducts[[#Headers],[Company]],1)</f>
        <v/>
      </c>
      <c r="AC108" s="215" t="str" cm="1">
        <f t="array" ref="AC108">Common_InputFunctions.Utility_DisplayArrayInTable(Fertiliser_SourceData.Fertiliser_Products_Data1(), FertiliserProducts[[#Headers],[Company]],1)</f>
        <v/>
      </c>
      <c r="AD108" s="215" t="str" cm="1">
        <f t="array" ref="AD108">Common_InputFunctions.Utility_DisplayArrayInTable(Fertiliser_SourceData.Fertiliser_Products_Data1(), FertiliserProducts[[#Headers],[Company]],1)</f>
        <v/>
      </c>
      <c r="AE108" s="215" t="str" cm="1">
        <f t="array" ref="AE108">Common_InputFunctions.Utility_DisplayArrayInTable(Fertiliser_SourceData.Fertiliser_Products_Data1(), FertiliserProducts[[#Headers],[Company]],1)</f>
        <v/>
      </c>
      <c r="AF108" s="215" t="str" cm="1">
        <f t="array" ref="AF108">Common_InputFunctions.Utility_DisplayArrayInTable(Fertiliser_SourceData.Fertiliser_Products_Data1(), FertiliserProducts[[#Headers],[Company]],1)</f>
        <v/>
      </c>
      <c r="AG108" s="215" t="str" cm="1">
        <f t="array" ref="AG108">Common_InputFunctions.Utility_DisplayArrayInTable(Fertiliser_SourceData.Fertiliser_Products_Data1(), FertiliserProducts[[#Headers],[Company]],1)</f>
        <v/>
      </c>
      <c r="AH108" s="215" t="str" cm="1">
        <f t="array" ref="AH108">Common_InputFunctions.Utility_DisplayArrayInTable(Fertiliser_SourceData.Fertiliser_Products_Data1(), FertiliserProducts[[#Headers],[Company]],1)</f>
        <v/>
      </c>
    </row>
    <row r="109" spans="1:34" ht="20.100000000000001" customHeight="1" x14ac:dyDescent="0.25">
      <c r="A109"/>
      <c r="D109" s="215" t="str" cm="1">
        <f t="array" ref="D109">Common_InputFunctions.Utility_DisplayArrayInTable(Fertiliser_SourceData.Fertiliser_Products_Data1(), FertiliserProducts[[#Headers],[Company]],1)</f>
        <v>Ravensdown</v>
      </c>
      <c r="E109" s="215" t="str" cm="1">
        <f t="array" ref="E109">Common_InputFunctions.Utility_DisplayArrayInTable(Fertiliser_SourceData.Fertiliser_Products_Data1(), FertiliserProducts[[#Headers],[Company]],1)</f>
        <v>Ammonium Sulphate - Granular</v>
      </c>
      <c r="F109" s="215" t="str" cm="1">
        <f t="array" ref="F109">Common_InputFunctions.Utility_DisplayArrayInTable(Fertiliser_SourceData.Fertiliser_Products_Data1(), FertiliserProducts[[#Headers],[Company]],1)</f>
        <v>kg</v>
      </c>
      <c r="G109" s="215" cm="1">
        <f t="array" ref="G109">Common_InputFunctions.Utility_DisplayArrayInTable(Fertiliser_SourceData.Fertiliser_Products_Data1(), FertiliserProducts[[#Headers],[Company]],1)</f>
        <v>1</v>
      </c>
      <c r="H109" s="215" t="str" cm="1">
        <f t="array" ref="H109">Common_InputFunctions.Utility_DisplayArrayInTable(Fertiliser_SourceData.Fertiliser_Products_Data1(), FertiliserProducts[[#Headers],[Company]],1)</f>
        <v/>
      </c>
      <c r="I109" s="215" t="str" cm="1">
        <f t="array" ref="I109">Common_InputFunctions.Utility_DisplayArrayInTable(Fertiliser_SourceData.Fertiliser_Products_Data1(), FertiliserProducts[[#Headers],[Company]],1)</f>
        <v/>
      </c>
      <c r="J109" s="215" t="str" cm="1">
        <f t="array" ref="J109">Common_InputFunctions.Utility_DisplayArrayInTable(Fertiliser_SourceData.Fertiliser_Products_Data1(), FertiliserProducts[[#Headers],[Company]],1)</f>
        <v/>
      </c>
      <c r="K109" s="215" cm="1">
        <f t="array" ref="K109">Common_InputFunctions.Utility_DisplayArrayInTable(Fertiliser_SourceData.Fertiliser_Products_Data1(), FertiliserProducts[[#Headers],[Company]],1)</f>
        <v>21</v>
      </c>
      <c r="L109" s="215" t="str" cm="1">
        <f t="array" ref="L109">Common_InputFunctions.Utility_DisplayArrayInTable(Fertiliser_SourceData.Fertiliser_Products_Data1(), FertiliserProducts[[#Headers],[Company]],1)</f>
        <v/>
      </c>
      <c r="M109" s="215" t="str" cm="1">
        <f t="array" ref="M109">Common_InputFunctions.Utility_DisplayArrayInTable(Fertiliser_SourceData.Fertiliser_Products_Data1(), FertiliserProducts[[#Headers],[Company]],1)</f>
        <v/>
      </c>
      <c r="N109" s="215" cm="1">
        <f t="array" ref="N109">Common_InputFunctions.Utility_DisplayArrayInTable(Fertiliser_SourceData.Fertiliser_Products_Data1(), FertiliserProducts[[#Headers],[Company]],1)</f>
        <v>24</v>
      </c>
      <c r="O109" s="215" t="str" cm="1">
        <f t="array" ref="O109">Common_InputFunctions.Utility_DisplayArrayInTable(Fertiliser_SourceData.Fertiliser_Products_Data1(), FertiliserProducts[[#Headers],[Company]],1)</f>
        <v>Sulphate of ammonia (SOA)</v>
      </c>
      <c r="P109" s="215" cm="1">
        <f t="array" ref="P109">Common_InputFunctions.Utility_DisplayArrayInTable(Fertiliser_SourceData.Fertiliser_Products_Data1(), FertiliserProducts[[#Headers],[Company]],1)</f>
        <v>1</v>
      </c>
      <c r="Q109" s="215" t="str" cm="1">
        <f t="array" ref="Q109">Common_InputFunctions.Utility_DisplayArrayInTable(Fertiliser_SourceData.Fertiliser_Products_Data1(), FertiliserProducts[[#Headers],[Company]],1)</f>
        <v/>
      </c>
      <c r="R109" s="215" t="str" cm="1">
        <f t="array" ref="R109">Common_InputFunctions.Utility_DisplayArrayInTable(Fertiliser_SourceData.Fertiliser_Products_Data1(), FertiliserProducts[[#Headers],[Company]],1)</f>
        <v/>
      </c>
      <c r="S109" s="215" t="str" cm="1">
        <f t="array" ref="S109">Common_InputFunctions.Utility_DisplayArrayInTable(Fertiliser_SourceData.Fertiliser_Products_Data1(), FertiliserProducts[[#Headers],[Company]],1)</f>
        <v/>
      </c>
      <c r="T109" s="215" t="str" cm="1">
        <f t="array" ref="T109">Common_InputFunctions.Utility_DisplayArrayInTable(Fertiliser_SourceData.Fertiliser_Products_Data1(), FertiliserProducts[[#Headers],[Company]],1)</f>
        <v/>
      </c>
      <c r="U109" s="215" t="str" cm="1">
        <f t="array" ref="U109">Common_InputFunctions.Utility_DisplayArrayInTable(Fertiliser_SourceData.Fertiliser_Products_Data1(), FertiliserProducts[[#Headers],[Company]],1)</f>
        <v/>
      </c>
      <c r="V109" s="215" t="str" cm="1">
        <f t="array" ref="V109">Common_InputFunctions.Utility_DisplayArrayInTable(Fertiliser_SourceData.Fertiliser_Products_Data1(), FertiliserProducts[[#Headers],[Company]],1)</f>
        <v/>
      </c>
      <c r="W109" s="215" t="str" cm="1">
        <f t="array" ref="W109">Common_InputFunctions.Utility_DisplayArrayInTable(Fertiliser_SourceData.Fertiliser_Products_Data1(), FertiliserProducts[[#Headers],[Company]],1)</f>
        <v/>
      </c>
      <c r="X109" s="215" t="str" cm="1">
        <f t="array" ref="X109">Common_InputFunctions.Utility_DisplayArrayInTable(Fertiliser_SourceData.Fertiliser_Products_Data1(), FertiliserProducts[[#Headers],[Company]],1)</f>
        <v/>
      </c>
      <c r="Y109" s="215" t="str" cm="1">
        <f t="array" ref="Y109">Common_InputFunctions.Utility_DisplayArrayInTable(Fertiliser_SourceData.Fertiliser_Products_Data1(), FertiliserProducts[[#Headers],[Company]],1)</f>
        <v/>
      </c>
      <c r="Z109" s="215" t="str" cm="1">
        <f t="array" ref="Z109">Common_InputFunctions.Utility_DisplayArrayInTable(Fertiliser_SourceData.Fertiliser_Products_Data1(), FertiliserProducts[[#Headers],[Company]],1)</f>
        <v/>
      </c>
      <c r="AA109" s="215" t="str" cm="1">
        <f t="array" ref="AA109">Common_InputFunctions.Utility_DisplayArrayInTable(Fertiliser_SourceData.Fertiliser_Products_Data1(), FertiliserProducts[[#Headers],[Company]],1)</f>
        <v/>
      </c>
      <c r="AB109" s="215" t="str" cm="1">
        <f t="array" ref="AB109">Common_InputFunctions.Utility_DisplayArrayInTable(Fertiliser_SourceData.Fertiliser_Products_Data1(), FertiliserProducts[[#Headers],[Company]],1)</f>
        <v/>
      </c>
      <c r="AC109" s="215" t="str" cm="1">
        <f t="array" ref="AC109">Common_InputFunctions.Utility_DisplayArrayInTable(Fertiliser_SourceData.Fertiliser_Products_Data1(), FertiliserProducts[[#Headers],[Company]],1)</f>
        <v/>
      </c>
      <c r="AD109" s="215" t="str" cm="1">
        <f t="array" ref="AD109">Common_InputFunctions.Utility_DisplayArrayInTable(Fertiliser_SourceData.Fertiliser_Products_Data1(), FertiliserProducts[[#Headers],[Company]],1)</f>
        <v/>
      </c>
      <c r="AE109" s="215" t="str" cm="1">
        <f t="array" ref="AE109">Common_InputFunctions.Utility_DisplayArrayInTable(Fertiliser_SourceData.Fertiliser_Products_Data1(), FertiliserProducts[[#Headers],[Company]],1)</f>
        <v/>
      </c>
      <c r="AF109" s="215" t="str" cm="1">
        <f t="array" ref="AF109">Common_InputFunctions.Utility_DisplayArrayInTable(Fertiliser_SourceData.Fertiliser_Products_Data1(), FertiliserProducts[[#Headers],[Company]],1)</f>
        <v/>
      </c>
      <c r="AG109" s="215" t="str" cm="1">
        <f t="array" ref="AG109">Common_InputFunctions.Utility_DisplayArrayInTable(Fertiliser_SourceData.Fertiliser_Products_Data1(), FertiliserProducts[[#Headers],[Company]],1)</f>
        <v/>
      </c>
      <c r="AH109" s="215" t="str" cm="1">
        <f t="array" ref="AH109">Common_InputFunctions.Utility_DisplayArrayInTable(Fertiliser_SourceData.Fertiliser_Products_Data1(), FertiliserProducts[[#Headers],[Company]],1)</f>
        <v/>
      </c>
    </row>
    <row r="110" spans="1:34" ht="20.100000000000001" customHeight="1" x14ac:dyDescent="0.25">
      <c r="A110"/>
      <c r="D110" s="215" t="str" cm="1">
        <f t="array" ref="D110">Common_InputFunctions.Utility_DisplayArrayInTable(Fertiliser_SourceData.Fertiliser_Products_Data1(), FertiliserProducts[[#Headers],[Company]],1)</f>
        <v>Impact Fertilisers</v>
      </c>
      <c r="E110" s="215" t="str" cm="1">
        <f t="array" ref="E110">Common_InputFunctions.Utility_DisplayArrayInTable(Fertiliser_SourceData.Fertiliser_Products_Data1(), FertiliserProducts[[#Headers],[Company]],1)</f>
        <v>Di-Ammonium Phosphate (DAP)</v>
      </c>
      <c r="F110" s="215" t="str" cm="1">
        <f t="array" ref="F110">Common_InputFunctions.Utility_DisplayArrayInTable(Fertiliser_SourceData.Fertiliser_Products_Data1(), FertiliserProducts[[#Headers],[Company]],1)</f>
        <v>kg</v>
      </c>
      <c r="G110" s="215" cm="1">
        <f t="array" ref="G110">Common_InputFunctions.Utility_DisplayArrayInTable(Fertiliser_SourceData.Fertiliser_Products_Data1(), FertiliserProducts[[#Headers],[Company]],1)</f>
        <v>1</v>
      </c>
      <c r="H110" s="215" t="str" cm="1">
        <f t="array" ref="H110">Common_InputFunctions.Utility_DisplayArrayInTable(Fertiliser_SourceData.Fertiliser_Products_Data1(), FertiliserProducts[[#Headers],[Company]],1)</f>
        <v/>
      </c>
      <c r="I110" s="215" t="str" cm="1">
        <f t="array" ref="I110">Common_InputFunctions.Utility_DisplayArrayInTable(Fertiliser_SourceData.Fertiliser_Products_Data1(), FertiliserProducts[[#Headers],[Company]],1)</f>
        <v/>
      </c>
      <c r="J110" s="215" t="str" cm="1">
        <f t="array" ref="J110">Common_InputFunctions.Utility_DisplayArrayInTable(Fertiliser_SourceData.Fertiliser_Products_Data1(), FertiliserProducts[[#Headers],[Company]],1)</f>
        <v/>
      </c>
      <c r="K110" s="215" cm="1">
        <f t="array" ref="K110">Common_InputFunctions.Utility_DisplayArrayInTable(Fertiliser_SourceData.Fertiliser_Products_Data1(), FertiliserProducts[[#Headers],[Company]],1)</f>
        <v>18</v>
      </c>
      <c r="L110" s="215" cm="1">
        <f t="array" ref="L110">Common_InputFunctions.Utility_DisplayArrayInTable(Fertiliser_SourceData.Fertiliser_Products_Data1(), FertiliserProducts[[#Headers],[Company]],1)</f>
        <v>20</v>
      </c>
      <c r="M110" s="215" t="str" cm="1">
        <f t="array" ref="M110">Common_InputFunctions.Utility_DisplayArrayInTable(Fertiliser_SourceData.Fertiliser_Products_Data1(), FertiliserProducts[[#Headers],[Company]],1)</f>
        <v/>
      </c>
      <c r="N110" s="215" t="str" cm="1">
        <f t="array" ref="N110">Common_InputFunctions.Utility_DisplayArrayInTable(Fertiliser_SourceData.Fertiliser_Products_Data1(), FertiliserProducts[[#Headers],[Company]],1)</f>
        <v/>
      </c>
      <c r="O110" s="215" t="str" cm="1">
        <f t="array" ref="O110">Common_InputFunctions.Utility_DisplayArrayInTable(Fertiliser_SourceData.Fertiliser_Products_Data1(), FertiliserProducts[[#Headers],[Company]],1)</f>
        <v>Diammonium phosphate (DAP)</v>
      </c>
      <c r="P110" s="215" cm="1">
        <f t="array" ref="P110">Common_InputFunctions.Utility_DisplayArrayInTable(Fertiliser_SourceData.Fertiliser_Products_Data1(), FertiliserProducts[[#Headers],[Company]],1)</f>
        <v>1</v>
      </c>
      <c r="Q110" s="215" t="str" cm="1">
        <f t="array" ref="Q110">Common_InputFunctions.Utility_DisplayArrayInTable(Fertiliser_SourceData.Fertiliser_Products_Data1(), FertiliserProducts[[#Headers],[Company]],1)</f>
        <v/>
      </c>
      <c r="R110" s="215" t="str" cm="1">
        <f t="array" ref="R110">Common_InputFunctions.Utility_DisplayArrayInTable(Fertiliser_SourceData.Fertiliser_Products_Data1(), FertiliserProducts[[#Headers],[Company]],1)</f>
        <v/>
      </c>
      <c r="S110" s="215" t="str" cm="1">
        <f t="array" ref="S110">Common_InputFunctions.Utility_DisplayArrayInTable(Fertiliser_SourceData.Fertiliser_Products_Data1(), FertiliserProducts[[#Headers],[Company]],1)</f>
        <v/>
      </c>
      <c r="T110" s="215" t="str" cm="1">
        <f t="array" ref="T110">Common_InputFunctions.Utility_DisplayArrayInTable(Fertiliser_SourceData.Fertiliser_Products_Data1(), FertiliserProducts[[#Headers],[Company]],1)</f>
        <v/>
      </c>
      <c r="U110" s="215" t="str" cm="1">
        <f t="array" ref="U110">Common_InputFunctions.Utility_DisplayArrayInTable(Fertiliser_SourceData.Fertiliser_Products_Data1(), FertiliserProducts[[#Headers],[Company]],1)</f>
        <v/>
      </c>
      <c r="V110" s="215" t="str" cm="1">
        <f t="array" ref="V110">Common_InputFunctions.Utility_DisplayArrayInTable(Fertiliser_SourceData.Fertiliser_Products_Data1(), FertiliserProducts[[#Headers],[Company]],1)</f>
        <v/>
      </c>
      <c r="W110" s="215" t="str" cm="1">
        <f t="array" ref="W110">Common_InputFunctions.Utility_DisplayArrayInTable(Fertiliser_SourceData.Fertiliser_Products_Data1(), FertiliserProducts[[#Headers],[Company]],1)</f>
        <v/>
      </c>
      <c r="X110" s="215" t="str" cm="1">
        <f t="array" ref="X110">Common_InputFunctions.Utility_DisplayArrayInTable(Fertiliser_SourceData.Fertiliser_Products_Data1(), FertiliserProducts[[#Headers],[Company]],1)</f>
        <v/>
      </c>
      <c r="Y110" s="215" t="str" cm="1">
        <f t="array" ref="Y110">Common_InputFunctions.Utility_DisplayArrayInTable(Fertiliser_SourceData.Fertiliser_Products_Data1(), FertiliserProducts[[#Headers],[Company]],1)</f>
        <v/>
      </c>
      <c r="Z110" s="215" t="str" cm="1">
        <f t="array" ref="Z110">Common_InputFunctions.Utility_DisplayArrayInTable(Fertiliser_SourceData.Fertiliser_Products_Data1(), FertiliserProducts[[#Headers],[Company]],1)</f>
        <v/>
      </c>
      <c r="AA110" s="215" t="str" cm="1">
        <f t="array" ref="AA110">Common_InputFunctions.Utility_DisplayArrayInTable(Fertiliser_SourceData.Fertiliser_Products_Data1(), FertiliserProducts[[#Headers],[Company]],1)</f>
        <v/>
      </c>
      <c r="AB110" s="215" t="str" cm="1">
        <f t="array" ref="AB110">Common_InputFunctions.Utility_DisplayArrayInTable(Fertiliser_SourceData.Fertiliser_Products_Data1(), FertiliserProducts[[#Headers],[Company]],1)</f>
        <v/>
      </c>
      <c r="AC110" s="215" t="str" cm="1">
        <f t="array" ref="AC110">Common_InputFunctions.Utility_DisplayArrayInTable(Fertiliser_SourceData.Fertiliser_Products_Data1(), FertiliserProducts[[#Headers],[Company]],1)</f>
        <v/>
      </c>
      <c r="AD110" s="215" t="str" cm="1">
        <f t="array" ref="AD110">Common_InputFunctions.Utility_DisplayArrayInTable(Fertiliser_SourceData.Fertiliser_Products_Data1(), FertiliserProducts[[#Headers],[Company]],1)</f>
        <v/>
      </c>
      <c r="AE110" s="215" t="str" cm="1">
        <f t="array" ref="AE110">Common_InputFunctions.Utility_DisplayArrayInTable(Fertiliser_SourceData.Fertiliser_Products_Data1(), FertiliserProducts[[#Headers],[Company]],1)</f>
        <v/>
      </c>
      <c r="AF110" s="215" t="str" cm="1">
        <f t="array" ref="AF110">Common_InputFunctions.Utility_DisplayArrayInTable(Fertiliser_SourceData.Fertiliser_Products_Data1(), FertiliserProducts[[#Headers],[Company]],1)</f>
        <v/>
      </c>
      <c r="AG110" s="215" t="str" cm="1">
        <f t="array" ref="AG110">Common_InputFunctions.Utility_DisplayArrayInTable(Fertiliser_SourceData.Fertiliser_Products_Data1(), FertiliserProducts[[#Headers],[Company]],1)</f>
        <v/>
      </c>
      <c r="AH110" s="215" t="str" cm="1">
        <f t="array" ref="AH110">Common_InputFunctions.Utility_DisplayArrayInTable(Fertiliser_SourceData.Fertiliser_Products_Data1(), FertiliserProducts[[#Headers],[Company]],1)</f>
        <v/>
      </c>
    </row>
    <row r="111" spans="1:34" ht="20.100000000000001" customHeight="1" x14ac:dyDescent="0.25">
      <c r="A111"/>
      <c r="D111" s="215" t="str" cm="1">
        <f t="array" ref="D111">Common_InputFunctions.Utility_DisplayArrayInTable(Fertiliser_SourceData.Fertiliser_Products_Data1(), FertiliserProducts[[#Headers],[Company]],1)</f>
        <v>Incitec Pivot Fertilisers</v>
      </c>
      <c r="E111" s="215" t="str" cm="1">
        <f t="array" ref="E111">Common_InputFunctions.Utility_DisplayArrayInTable(Fertiliser_SourceData.Fertiliser_Products_Data1(), FertiliserProducts[[#Headers],[Company]],1)</f>
        <v>Basalt BooSSta</v>
      </c>
      <c r="F111" s="215" t="str" cm="1">
        <f t="array" ref="F111">Common_InputFunctions.Utility_DisplayArrayInTable(Fertiliser_SourceData.Fertiliser_Products_Data1(), FertiliserProducts[[#Headers],[Company]],1)</f>
        <v>kg</v>
      </c>
      <c r="G111" s="215" cm="1">
        <f t="array" ref="G111">Common_InputFunctions.Utility_DisplayArrayInTable(Fertiliser_SourceData.Fertiliser_Products_Data1(), FertiliserProducts[[#Headers],[Company]],1)</f>
        <v>1</v>
      </c>
      <c r="H111" s="215" t="str" cm="1">
        <f t="array" ref="H111">Common_InputFunctions.Utility_DisplayArrayInTable(Fertiliser_SourceData.Fertiliser_Products_Data1(), FertiliserProducts[[#Headers],[Company]],1)</f>
        <v/>
      </c>
      <c r="I111" s="215" t="str" cm="1">
        <f t="array" ref="I111">Common_InputFunctions.Utility_DisplayArrayInTable(Fertiliser_SourceData.Fertiliser_Products_Data1(), FertiliserProducts[[#Headers],[Company]],1)</f>
        <v/>
      </c>
      <c r="J111" s="215" t="str" cm="1">
        <f t="array" ref="J111">Common_InputFunctions.Utility_DisplayArrayInTable(Fertiliser_SourceData.Fertiliser_Products_Data1(), FertiliserProducts[[#Headers],[Company]],1)</f>
        <v/>
      </c>
      <c r="K111" s="215" cm="1">
        <f t="array" ref="K111">Common_InputFunctions.Utility_DisplayArrayInTable(Fertiliser_SourceData.Fertiliser_Products_Data1(), FertiliserProducts[[#Headers],[Company]],1)</f>
        <v>8</v>
      </c>
      <c r="L111" s="215" cm="1">
        <f t="array" ref="L111">Common_InputFunctions.Utility_DisplayArrayInTable(Fertiliser_SourceData.Fertiliser_Products_Data1(), FertiliserProducts[[#Headers],[Company]],1)</f>
        <v>14</v>
      </c>
      <c r="M111" s="215" t="str" cm="1">
        <f t="array" ref="M111">Common_InputFunctions.Utility_DisplayArrayInTable(Fertiliser_SourceData.Fertiliser_Products_Data1(), FertiliserProducts[[#Headers],[Company]],1)</f>
        <v/>
      </c>
      <c r="N111" s="215" cm="1">
        <f t="array" ref="N111">Common_InputFunctions.Utility_DisplayArrayInTable(Fertiliser_SourceData.Fertiliser_Products_Data1(), FertiliserProducts[[#Headers],[Company]],1)</f>
        <v>27.6</v>
      </c>
      <c r="O111" s="215" t="str" cm="1">
        <f t="array" ref="O111">Common_InputFunctions.Utility_DisplayArrayInTable(Fertiliser_SourceData.Fertiliser_Products_Data1(), FertiliserProducts[[#Headers],[Company]],1)</f>
        <v>Sulfur - Generic</v>
      </c>
      <c r="P111" s="215" cm="1">
        <f t="array" ref="P111">Common_InputFunctions.Utility_DisplayArrayInTable(Fertiliser_SourceData.Fertiliser_Products_Data1(), FertiliserProducts[[#Headers],[Company]],1)</f>
        <v>0.27600000000000002</v>
      </c>
      <c r="Q111" s="215" t="str" cm="1">
        <f t="array" ref="Q111">Common_InputFunctions.Utility_DisplayArrayInTable(Fertiliser_SourceData.Fertiliser_Products_Data1(), FertiliserProducts[[#Headers],[Company]],1)</f>
        <v>Phosphorus - Generic</v>
      </c>
      <c r="R111" s="215" cm="1">
        <f t="array" ref="R111">Common_InputFunctions.Utility_DisplayArrayInTable(Fertiliser_SourceData.Fertiliser_Products_Data1(), FertiliserProducts[[#Headers],[Company]],1)</f>
        <v>0.14000000000000001</v>
      </c>
      <c r="S111" s="215" t="str" cm="1">
        <f t="array" ref="S111">Common_InputFunctions.Utility_DisplayArrayInTable(Fertiliser_SourceData.Fertiliser_Products_Data1(), FertiliserProducts[[#Headers],[Company]],1)</f>
        <v>Nitrogen - Generic</v>
      </c>
      <c r="T111" s="215" cm="1">
        <f t="array" ref="T111">Common_InputFunctions.Utility_DisplayArrayInTable(Fertiliser_SourceData.Fertiliser_Products_Data1(), FertiliserProducts[[#Headers],[Company]],1)</f>
        <v>0.08</v>
      </c>
      <c r="U111" s="215" t="str" cm="1">
        <f t="array" ref="U111">Common_InputFunctions.Utility_DisplayArrayInTable(Fertiliser_SourceData.Fertiliser_Products_Data1(), FertiliserProducts[[#Headers],[Company]],1)</f>
        <v>Fluoride</v>
      </c>
      <c r="V111" s="215" cm="1">
        <f t="array" ref="V111">Common_InputFunctions.Utility_DisplayArrayInTable(Fertiliser_SourceData.Fertiliser_Products_Data1(), FertiliserProducts[[#Headers],[Company]],1)</f>
        <v>2.4E-2</v>
      </c>
      <c r="W111" s="215" t="str" cm="1">
        <f t="array" ref="W111">Common_InputFunctions.Utility_DisplayArrayInTable(Fertiliser_SourceData.Fertiliser_Products_Data1(), FertiliserProducts[[#Headers],[Company]],1)</f>
        <v/>
      </c>
      <c r="X111" s="215" t="str" cm="1">
        <f t="array" ref="X111">Common_InputFunctions.Utility_DisplayArrayInTable(Fertiliser_SourceData.Fertiliser_Products_Data1(), FertiliserProducts[[#Headers],[Company]],1)</f>
        <v/>
      </c>
      <c r="Y111" s="215" t="str" cm="1">
        <f t="array" ref="Y111">Common_InputFunctions.Utility_DisplayArrayInTable(Fertiliser_SourceData.Fertiliser_Products_Data1(), FertiliserProducts[[#Headers],[Company]],1)</f>
        <v/>
      </c>
      <c r="Z111" s="215" t="str" cm="1">
        <f t="array" ref="Z111">Common_InputFunctions.Utility_DisplayArrayInTable(Fertiliser_SourceData.Fertiliser_Products_Data1(), FertiliserProducts[[#Headers],[Company]],1)</f>
        <v/>
      </c>
      <c r="AA111" s="215" t="str" cm="1">
        <f t="array" ref="AA111">Common_InputFunctions.Utility_DisplayArrayInTable(Fertiliser_SourceData.Fertiliser_Products_Data1(), FertiliserProducts[[#Headers],[Company]],1)</f>
        <v/>
      </c>
      <c r="AB111" s="215" t="str" cm="1">
        <f t="array" ref="AB111">Common_InputFunctions.Utility_DisplayArrayInTable(Fertiliser_SourceData.Fertiliser_Products_Data1(), FertiliserProducts[[#Headers],[Company]],1)</f>
        <v/>
      </c>
      <c r="AC111" s="215" t="str" cm="1">
        <f t="array" ref="AC111">Common_InputFunctions.Utility_DisplayArrayInTable(Fertiliser_SourceData.Fertiliser_Products_Data1(), FertiliserProducts[[#Headers],[Company]],1)</f>
        <v/>
      </c>
      <c r="AD111" s="215" t="str" cm="1">
        <f t="array" ref="AD111">Common_InputFunctions.Utility_DisplayArrayInTable(Fertiliser_SourceData.Fertiliser_Products_Data1(), FertiliserProducts[[#Headers],[Company]],1)</f>
        <v/>
      </c>
      <c r="AE111" s="215" t="str" cm="1">
        <f t="array" ref="AE111">Common_InputFunctions.Utility_DisplayArrayInTable(Fertiliser_SourceData.Fertiliser_Products_Data1(), FertiliserProducts[[#Headers],[Company]],1)</f>
        <v/>
      </c>
      <c r="AF111" s="215" t="str" cm="1">
        <f t="array" ref="AF111">Common_InputFunctions.Utility_DisplayArrayInTable(Fertiliser_SourceData.Fertiliser_Products_Data1(), FertiliserProducts[[#Headers],[Company]],1)</f>
        <v/>
      </c>
      <c r="AG111" s="215" t="str" cm="1">
        <f t="array" ref="AG111">Common_InputFunctions.Utility_DisplayArrayInTable(Fertiliser_SourceData.Fertiliser_Products_Data1(), FertiliserProducts[[#Headers],[Company]],1)</f>
        <v/>
      </c>
      <c r="AH111" s="215" t="str" cm="1">
        <f t="array" ref="AH111">Common_InputFunctions.Utility_DisplayArrayInTable(Fertiliser_SourceData.Fertiliser_Products_Data1(), FertiliserProducts[[#Headers],[Company]],1)</f>
        <v/>
      </c>
    </row>
    <row r="112" spans="1:34" ht="20.100000000000001" customHeight="1" x14ac:dyDescent="0.25">
      <c r="A112"/>
      <c r="D112" s="215" t="str" cm="1">
        <f t="array" ref="D112">Common_InputFunctions.Utility_DisplayArrayInTable(Fertiliser_SourceData.Fertiliser_Products_Data1(), FertiliserProducts[[#Headers],[Company]],1)</f>
        <v>Summit Fertilizers</v>
      </c>
      <c r="E112" s="215" t="str" cm="1">
        <f t="array" ref="E112">Common_InputFunctions.Utility_DisplayArrayInTable(Fertiliser_SourceData.Fertiliser_Products_Data1(), FertiliserProducts[[#Headers],[Company]],1)</f>
        <v>DAPSZC</v>
      </c>
      <c r="F112" s="215" t="str" cm="1">
        <f t="array" ref="F112">Common_InputFunctions.Utility_DisplayArrayInTable(Fertiliser_SourceData.Fertiliser_Products_Data1(), FertiliserProducts[[#Headers],[Company]],1)</f>
        <v>kg</v>
      </c>
      <c r="G112" s="215" cm="1">
        <f t="array" ref="G112">Common_InputFunctions.Utility_DisplayArrayInTable(Fertiliser_SourceData.Fertiliser_Products_Data1(), FertiliserProducts[[#Headers],[Company]],1)</f>
        <v>1</v>
      </c>
      <c r="H112" s="215" t="str" cm="1">
        <f t="array" ref="H112">Common_InputFunctions.Utility_DisplayArrayInTable(Fertiliser_SourceData.Fertiliser_Products_Data1(), FertiliserProducts[[#Headers],[Company]],1)</f>
        <v/>
      </c>
      <c r="I112" s="215" t="str" cm="1">
        <f t="array" ref="I112">Common_InputFunctions.Utility_DisplayArrayInTable(Fertiliser_SourceData.Fertiliser_Products_Data1(), FertiliserProducts[[#Headers],[Company]],1)</f>
        <v/>
      </c>
      <c r="J112" s="215" t="str" cm="1">
        <f t="array" ref="J112">Common_InputFunctions.Utility_DisplayArrayInTable(Fertiliser_SourceData.Fertiliser_Products_Data1(), FertiliserProducts[[#Headers],[Company]],1)</f>
        <v/>
      </c>
      <c r="K112" s="215" cm="1">
        <f t="array" ref="K112">Common_InputFunctions.Utility_DisplayArrayInTable(Fertiliser_SourceData.Fertiliser_Products_Data1(), FertiliserProducts[[#Headers],[Company]],1)</f>
        <v>16.899999999999999</v>
      </c>
      <c r="L112" s="215" cm="1">
        <f t="array" ref="L112">Common_InputFunctions.Utility_DisplayArrayInTable(Fertiliser_SourceData.Fertiliser_Products_Data1(), FertiliserProducts[[#Headers],[Company]],1)</f>
        <v>18.2</v>
      </c>
      <c r="M112" s="215" t="str" cm="1">
        <f t="array" ref="M112">Common_InputFunctions.Utility_DisplayArrayInTable(Fertiliser_SourceData.Fertiliser_Products_Data1(), FertiliserProducts[[#Headers],[Company]],1)</f>
        <v/>
      </c>
      <c r="N112" s="215" cm="1">
        <f t="array" ref="N112">Common_InputFunctions.Utility_DisplayArrayInTable(Fertiliser_SourceData.Fertiliser_Products_Data1(), FertiliserProducts[[#Headers],[Company]],1)</f>
        <v>8</v>
      </c>
      <c r="O112" s="215" t="str" cm="1">
        <f t="array" ref="O112">Common_InputFunctions.Utility_DisplayArrayInTable(Fertiliser_SourceData.Fertiliser_Products_Data1(), FertiliserProducts[[#Headers],[Company]],1)</f>
        <v>Phosphorus - Generic</v>
      </c>
      <c r="P112" s="215" cm="1">
        <f t="array" ref="P112">Common_InputFunctions.Utility_DisplayArrayInTable(Fertiliser_SourceData.Fertiliser_Products_Data1(), FertiliserProducts[[#Headers],[Company]],1)</f>
        <v>0.182</v>
      </c>
      <c r="Q112" s="215" t="str" cm="1">
        <f t="array" ref="Q112">Common_InputFunctions.Utility_DisplayArrayInTable(Fertiliser_SourceData.Fertiliser_Products_Data1(), FertiliserProducts[[#Headers],[Company]],1)</f>
        <v>Nitrogen - Generic</v>
      </c>
      <c r="R112" s="215" cm="1">
        <f t="array" ref="R112">Common_InputFunctions.Utility_DisplayArrayInTable(Fertiliser_SourceData.Fertiliser_Products_Data1(), FertiliserProducts[[#Headers],[Company]],1)</f>
        <v>0.16900000000000001</v>
      </c>
      <c r="S112" s="215" t="str" cm="1">
        <f t="array" ref="S112">Common_InputFunctions.Utility_DisplayArrayInTable(Fertiliser_SourceData.Fertiliser_Products_Data1(), FertiliserProducts[[#Headers],[Company]],1)</f>
        <v>Sulfur - Generic</v>
      </c>
      <c r="T112" s="215" cm="1">
        <f t="array" ref="T112">Common_InputFunctions.Utility_DisplayArrayInTable(Fertiliser_SourceData.Fertiliser_Products_Data1(), FertiliserProducts[[#Headers],[Company]],1)</f>
        <v>0.08</v>
      </c>
      <c r="U112" s="215" t="str" cm="1">
        <f t="array" ref="U112">Common_InputFunctions.Utility_DisplayArrayInTable(Fertiliser_SourceData.Fertiliser_Products_Data1(), FertiliserProducts[[#Headers],[Company]],1)</f>
        <v>Zinc</v>
      </c>
      <c r="V112" s="215" cm="1">
        <f t="array" ref="V112">Common_InputFunctions.Utility_DisplayArrayInTable(Fertiliser_SourceData.Fertiliser_Products_Data1(), FertiliserProducts[[#Headers],[Company]],1)</f>
        <v>2E-3</v>
      </c>
      <c r="W112" s="215" t="str" cm="1">
        <f t="array" ref="W112">Common_InputFunctions.Utility_DisplayArrayInTable(Fertiliser_SourceData.Fertiliser_Products_Data1(), FertiliserProducts[[#Headers],[Company]],1)</f>
        <v>Copper</v>
      </c>
      <c r="X112" s="215" cm="1">
        <f t="array" ref="X112">Common_InputFunctions.Utility_DisplayArrayInTable(Fertiliser_SourceData.Fertiliser_Products_Data1(), FertiliserProducts[[#Headers],[Company]],1)</f>
        <v>1E-3</v>
      </c>
      <c r="Y112" s="215" t="str" cm="1">
        <f t="array" ref="Y112">Common_InputFunctions.Utility_DisplayArrayInTable(Fertiliser_SourceData.Fertiliser_Products_Data1(), FertiliserProducts[[#Headers],[Company]],1)</f>
        <v/>
      </c>
      <c r="Z112" s="215" t="str" cm="1">
        <f t="array" ref="Z112">Common_InputFunctions.Utility_DisplayArrayInTable(Fertiliser_SourceData.Fertiliser_Products_Data1(), FertiliserProducts[[#Headers],[Company]],1)</f>
        <v/>
      </c>
      <c r="AA112" s="215" t="str" cm="1">
        <f t="array" ref="AA112">Common_InputFunctions.Utility_DisplayArrayInTable(Fertiliser_SourceData.Fertiliser_Products_Data1(), FertiliserProducts[[#Headers],[Company]],1)</f>
        <v/>
      </c>
      <c r="AB112" s="215" t="str" cm="1">
        <f t="array" ref="AB112">Common_InputFunctions.Utility_DisplayArrayInTable(Fertiliser_SourceData.Fertiliser_Products_Data1(), FertiliserProducts[[#Headers],[Company]],1)</f>
        <v/>
      </c>
      <c r="AC112" s="215" t="str" cm="1">
        <f t="array" ref="AC112">Common_InputFunctions.Utility_DisplayArrayInTable(Fertiliser_SourceData.Fertiliser_Products_Data1(), FertiliserProducts[[#Headers],[Company]],1)</f>
        <v/>
      </c>
      <c r="AD112" s="215" t="str" cm="1">
        <f t="array" ref="AD112">Common_InputFunctions.Utility_DisplayArrayInTable(Fertiliser_SourceData.Fertiliser_Products_Data1(), FertiliserProducts[[#Headers],[Company]],1)</f>
        <v/>
      </c>
      <c r="AE112" s="215" t="str" cm="1">
        <f t="array" ref="AE112">Common_InputFunctions.Utility_DisplayArrayInTable(Fertiliser_SourceData.Fertiliser_Products_Data1(), FertiliserProducts[[#Headers],[Company]],1)</f>
        <v/>
      </c>
      <c r="AF112" s="215" t="str" cm="1">
        <f t="array" ref="AF112">Common_InputFunctions.Utility_DisplayArrayInTable(Fertiliser_SourceData.Fertiliser_Products_Data1(), FertiliserProducts[[#Headers],[Company]],1)</f>
        <v/>
      </c>
      <c r="AG112" s="215" t="str" cm="1">
        <f t="array" ref="AG112">Common_InputFunctions.Utility_DisplayArrayInTable(Fertiliser_SourceData.Fertiliser_Products_Data1(), FertiliserProducts[[#Headers],[Company]],1)</f>
        <v/>
      </c>
      <c r="AH112" s="215" t="str" cm="1">
        <f t="array" ref="AH112">Common_InputFunctions.Utility_DisplayArrayInTable(Fertiliser_SourceData.Fertiliser_Products_Data1(), FertiliserProducts[[#Headers],[Company]],1)</f>
        <v/>
      </c>
    </row>
    <row r="113" spans="1:34" ht="20.100000000000001" customHeight="1" x14ac:dyDescent="0.25">
      <c r="A113"/>
      <c r="D113" s="215" t="str" cm="1">
        <f t="array" ref="D113">Common_InputFunctions.Utility_DisplayArrayInTable(Fertiliser_SourceData.Fertiliser_Products_Data1(), FertiliserProducts[[#Headers],[Company]],1)</f>
        <v>Incitec Pivot Fertilisers</v>
      </c>
      <c r="E113" s="215" t="str" cm="1">
        <f t="array" ref="E113">Common_InputFunctions.Utility_DisplayArrayInTable(Fertiliser_SourceData.Fertiliser_Products_Data1(), FertiliserProducts[[#Headers],[Company]],1)</f>
        <v>Easy N</v>
      </c>
      <c r="F113" s="215" t="str" cm="1">
        <f t="array" ref="F113">Common_InputFunctions.Utility_DisplayArrayInTable(Fertiliser_SourceData.Fertiliser_Products_Data1(), FertiliserProducts[[#Headers],[Company]],1)</f>
        <v>L</v>
      </c>
      <c r="G113" s="215" cm="1">
        <f t="array" ref="G113">Common_InputFunctions.Utility_DisplayArrayInTable(Fertiliser_SourceData.Fertiliser_Products_Data1(), FertiliserProducts[[#Headers],[Company]],1)</f>
        <v>1.32</v>
      </c>
      <c r="H113" s="215" t="str" cm="1">
        <f t="array" ref="H113">Common_InputFunctions.Utility_DisplayArrayInTable(Fertiliser_SourceData.Fertiliser_Products_Data1(), FertiliserProducts[[#Headers],[Company]],1)</f>
        <v/>
      </c>
      <c r="I113" s="215" t="str" cm="1">
        <f t="array" ref="I113">Common_InputFunctions.Utility_DisplayArrayInTable(Fertiliser_SourceData.Fertiliser_Products_Data1(), FertiliserProducts[[#Headers],[Company]],1)</f>
        <v/>
      </c>
      <c r="J113" s="215" t="str" cm="1">
        <f t="array" ref="J113">Common_InputFunctions.Utility_DisplayArrayInTable(Fertiliser_SourceData.Fertiliser_Products_Data1(), FertiliserProducts[[#Headers],[Company]],1)</f>
        <v/>
      </c>
      <c r="K113" s="215" cm="1">
        <f t="array" ref="K113">Common_InputFunctions.Utility_DisplayArrayInTable(Fertiliser_SourceData.Fertiliser_Products_Data1(), FertiliserProducts[[#Headers],[Company]],1)</f>
        <v>42.5</v>
      </c>
      <c r="L113" s="215" t="str" cm="1">
        <f t="array" ref="L113">Common_InputFunctions.Utility_DisplayArrayInTable(Fertiliser_SourceData.Fertiliser_Products_Data1(), FertiliserProducts[[#Headers],[Company]],1)</f>
        <v/>
      </c>
      <c r="M113" s="215" t="str" cm="1">
        <f t="array" ref="M113">Common_InputFunctions.Utility_DisplayArrayInTable(Fertiliser_SourceData.Fertiliser_Products_Data1(), FertiliserProducts[[#Headers],[Company]],1)</f>
        <v/>
      </c>
      <c r="N113" s="215" t="str" cm="1">
        <f t="array" ref="N113">Common_InputFunctions.Utility_DisplayArrayInTable(Fertiliser_SourceData.Fertiliser_Products_Data1(), FertiliserProducts[[#Headers],[Company]],1)</f>
        <v/>
      </c>
      <c r="O113" s="215" t="str" cm="1">
        <f t="array" ref="O113">Common_InputFunctions.Utility_DisplayArrayInTable(Fertiliser_SourceData.Fertiliser_Products_Data1(), FertiliserProducts[[#Headers],[Company]],1)</f>
        <v>Urea</v>
      </c>
      <c r="P113" s="215" cm="1">
        <f t="array" ref="P113">Common_InputFunctions.Utility_DisplayArrayInTable(Fertiliser_SourceData.Fertiliser_Products_Data1(), FertiliserProducts[[#Headers],[Company]],1)</f>
        <v>0.467391</v>
      </c>
      <c r="Q113" s="215" t="str" cm="1">
        <f t="array" ref="Q113">Common_InputFunctions.Utility_DisplayArrayInTable(Fertiliser_SourceData.Fertiliser_Products_Data1(), FertiliserProducts[[#Headers],[Company]],1)</f>
        <v>Nitrogen - Nitrate</v>
      </c>
      <c r="R113" s="215" cm="1">
        <f t="array" ref="R113">Common_InputFunctions.Utility_DisplayArrayInTable(Fertiliser_SourceData.Fertiliser_Products_Data1(), FertiliserProducts[[#Headers],[Company]],1)</f>
        <v>0.105</v>
      </c>
      <c r="S113" s="215" t="str" cm="1">
        <f t="array" ref="S113">Common_InputFunctions.Utility_DisplayArrayInTable(Fertiliser_SourceData.Fertiliser_Products_Data1(), FertiliserProducts[[#Headers],[Company]],1)</f>
        <v>Nitrogen - Ammoniacal</v>
      </c>
      <c r="T113" s="215" cm="1">
        <f t="array" ref="T113">Common_InputFunctions.Utility_DisplayArrayInTable(Fertiliser_SourceData.Fertiliser_Products_Data1(), FertiliserProducts[[#Headers],[Company]],1)</f>
        <v>0.105</v>
      </c>
      <c r="U113" s="215" t="str" cm="1">
        <f t="array" ref="U113">Common_InputFunctions.Utility_DisplayArrayInTable(Fertiliser_SourceData.Fertiliser_Products_Data1(), FertiliserProducts[[#Headers],[Company]],1)</f>
        <v>Biuret</v>
      </c>
      <c r="V113" s="215" cm="1">
        <f t="array" ref="V113">Common_InputFunctions.Utility_DisplayArrayInTable(Fertiliser_SourceData.Fertiliser_Products_Data1(), FertiliserProducts[[#Headers],[Company]],1)</f>
        <v>6.0000000000000001E-3</v>
      </c>
      <c r="W113" s="215" t="str" cm="1">
        <f t="array" ref="W113">Common_InputFunctions.Utility_DisplayArrayInTable(Fertiliser_SourceData.Fertiliser_Products_Data1(), FertiliserProducts[[#Headers],[Company]],1)</f>
        <v/>
      </c>
      <c r="X113" s="215" t="str" cm="1">
        <f t="array" ref="X113">Common_InputFunctions.Utility_DisplayArrayInTable(Fertiliser_SourceData.Fertiliser_Products_Data1(), FertiliserProducts[[#Headers],[Company]],1)</f>
        <v/>
      </c>
      <c r="Y113" s="215" t="str" cm="1">
        <f t="array" ref="Y113">Common_InputFunctions.Utility_DisplayArrayInTable(Fertiliser_SourceData.Fertiliser_Products_Data1(), FertiliserProducts[[#Headers],[Company]],1)</f>
        <v/>
      </c>
      <c r="Z113" s="215" t="str" cm="1">
        <f t="array" ref="Z113">Common_InputFunctions.Utility_DisplayArrayInTable(Fertiliser_SourceData.Fertiliser_Products_Data1(), FertiliserProducts[[#Headers],[Company]],1)</f>
        <v/>
      </c>
      <c r="AA113" s="215" t="str" cm="1">
        <f t="array" ref="AA113">Common_InputFunctions.Utility_DisplayArrayInTable(Fertiliser_SourceData.Fertiliser_Products_Data1(), FertiliserProducts[[#Headers],[Company]],1)</f>
        <v/>
      </c>
      <c r="AB113" s="215" t="str" cm="1">
        <f t="array" ref="AB113">Common_InputFunctions.Utility_DisplayArrayInTable(Fertiliser_SourceData.Fertiliser_Products_Data1(), FertiliserProducts[[#Headers],[Company]],1)</f>
        <v/>
      </c>
      <c r="AC113" s="215" t="str" cm="1">
        <f t="array" ref="AC113">Common_InputFunctions.Utility_DisplayArrayInTable(Fertiliser_SourceData.Fertiliser_Products_Data1(), FertiliserProducts[[#Headers],[Company]],1)</f>
        <v/>
      </c>
      <c r="AD113" s="215" t="str" cm="1">
        <f t="array" ref="AD113">Common_InputFunctions.Utility_DisplayArrayInTable(Fertiliser_SourceData.Fertiliser_Products_Data1(), FertiliserProducts[[#Headers],[Company]],1)</f>
        <v/>
      </c>
      <c r="AE113" s="215" t="str" cm="1">
        <f t="array" ref="AE113">Common_InputFunctions.Utility_DisplayArrayInTable(Fertiliser_SourceData.Fertiliser_Products_Data1(), FertiliserProducts[[#Headers],[Company]],1)</f>
        <v/>
      </c>
      <c r="AF113" s="215" t="str" cm="1">
        <f t="array" ref="AF113">Common_InputFunctions.Utility_DisplayArrayInTable(Fertiliser_SourceData.Fertiliser_Products_Data1(), FertiliserProducts[[#Headers],[Company]],1)</f>
        <v/>
      </c>
      <c r="AG113" s="215" t="str" cm="1">
        <f t="array" ref="AG113">Common_InputFunctions.Utility_DisplayArrayInTable(Fertiliser_SourceData.Fertiliser_Products_Data1(), FertiliserProducts[[#Headers],[Company]],1)</f>
        <v/>
      </c>
      <c r="AH113" s="215" t="str" cm="1">
        <f t="array" ref="AH113">Common_InputFunctions.Utility_DisplayArrayInTable(Fertiliser_SourceData.Fertiliser_Products_Data1(), FertiliserProducts[[#Headers],[Company]],1)</f>
        <v/>
      </c>
    </row>
    <row r="114" spans="1:34" ht="20.100000000000001" customHeight="1" x14ac:dyDescent="0.25">
      <c r="A114"/>
      <c r="D114" s="215" t="str" cm="1">
        <f t="array" ref="D114">Common_InputFunctions.Utility_DisplayArrayInTable(Fertiliser_SourceData.Fertiliser_Products_Data1(), FertiliserProducts[[#Headers],[Company]],1)</f>
        <v>Risso-Chemical</v>
      </c>
      <c r="E114" s="215" t="str" cm="1">
        <f t="array" ref="E114">Common_InputFunctions.Utility_DisplayArrayInTable(Fertiliser_SourceData.Fertiliser_Products_Data1(), FertiliserProducts[[#Headers],[Company]],1)</f>
        <v>Calcium Ammonium nitrate</v>
      </c>
      <c r="F114" s="215" t="str" cm="1">
        <f t="array" ref="F114">Common_InputFunctions.Utility_DisplayArrayInTable(Fertiliser_SourceData.Fertiliser_Products_Data1(), FertiliserProducts[[#Headers],[Company]],1)</f>
        <v>kg</v>
      </c>
      <c r="G114" s="215" cm="1">
        <f t="array" ref="G114">Common_InputFunctions.Utility_DisplayArrayInTable(Fertiliser_SourceData.Fertiliser_Products_Data1(), FertiliserProducts[[#Headers],[Company]],1)</f>
        <v>1</v>
      </c>
      <c r="H114" s="215" t="str" cm="1">
        <f t="array" ref="H114">Common_InputFunctions.Utility_DisplayArrayInTable(Fertiliser_SourceData.Fertiliser_Products_Data1(), FertiliserProducts[[#Headers],[Company]],1)</f>
        <v/>
      </c>
      <c r="I114" s="215" t="str" cm="1">
        <f t="array" ref="I114">Common_InputFunctions.Utility_DisplayArrayInTable(Fertiliser_SourceData.Fertiliser_Products_Data1(), FertiliserProducts[[#Headers],[Company]],1)</f>
        <v/>
      </c>
      <c r="J114" s="215" t="str" cm="1">
        <f t="array" ref="J114">Common_InputFunctions.Utility_DisplayArrayInTable(Fertiliser_SourceData.Fertiliser_Products_Data1(), FertiliserProducts[[#Headers],[Company]],1)</f>
        <v>China</v>
      </c>
      <c r="K114" s="215" cm="1">
        <f t="array" ref="K114">Common_InputFunctions.Utility_DisplayArrayInTable(Fertiliser_SourceData.Fertiliser_Products_Data1(), FertiliserProducts[[#Headers],[Company]],1)</f>
        <v>40.5</v>
      </c>
      <c r="L114" s="215" t="str" cm="1">
        <f t="array" ref="L114">Common_InputFunctions.Utility_DisplayArrayInTable(Fertiliser_SourceData.Fertiliser_Products_Data1(), FertiliserProducts[[#Headers],[Company]],1)</f>
        <v/>
      </c>
      <c r="M114" s="215" t="str" cm="1">
        <f t="array" ref="M114">Common_InputFunctions.Utility_DisplayArrayInTable(Fertiliser_SourceData.Fertiliser_Products_Data1(), FertiliserProducts[[#Headers],[Company]],1)</f>
        <v/>
      </c>
      <c r="N114" s="215" t="str" cm="1">
        <f t="array" ref="N114">Common_InputFunctions.Utility_DisplayArrayInTable(Fertiliser_SourceData.Fertiliser_Products_Data1(), FertiliserProducts[[#Headers],[Company]],1)</f>
        <v/>
      </c>
      <c r="O114" s="215" t="str" cm="1">
        <f t="array" ref="O114">Common_InputFunctions.Utility_DisplayArrayInTable(Fertiliser_SourceData.Fertiliser_Products_Data1(), FertiliserProducts[[#Headers],[Company]],1)</f>
        <v>Nitrogen - Ammoniacal</v>
      </c>
      <c r="P114" s="215" cm="1">
        <f t="array" ref="P114">Common_InputFunctions.Utility_DisplayArrayInTable(Fertiliser_SourceData.Fertiliser_Products_Data1(), FertiliserProducts[[#Headers],[Company]],1)</f>
        <v>0.27</v>
      </c>
      <c r="Q114" s="215" t="str" cm="1">
        <f t="array" ref="Q114">Common_InputFunctions.Utility_DisplayArrayInTable(Fertiliser_SourceData.Fertiliser_Products_Data1(), FertiliserProducts[[#Headers],[Company]],1)</f>
        <v>Nitrogen - Nitrate</v>
      </c>
      <c r="R114" s="215" cm="1">
        <f t="array" ref="R114">Common_InputFunctions.Utility_DisplayArrayInTable(Fertiliser_SourceData.Fertiliser_Products_Data1(), FertiliserProducts[[#Headers],[Company]],1)</f>
        <v>0.13500000000000001</v>
      </c>
      <c r="S114" s="215" t="str" cm="1">
        <f t="array" ref="S114">Common_InputFunctions.Utility_DisplayArrayInTable(Fertiliser_SourceData.Fertiliser_Products_Data1(), FertiliserProducts[[#Headers],[Company]],1)</f>
        <v>Calcium</v>
      </c>
      <c r="T114" s="215" cm="1">
        <f t="array" ref="T114">Common_InputFunctions.Utility_DisplayArrayInTable(Fertiliser_SourceData.Fertiliser_Products_Data1(), FertiliserProducts[[#Headers],[Company]],1)</f>
        <v>0.12</v>
      </c>
      <c r="U114" s="215" t="str" cm="1">
        <f t="array" ref="U114">Common_InputFunctions.Utility_DisplayArrayInTable(Fertiliser_SourceData.Fertiliser_Products_Data1(), FertiliserProducts[[#Headers],[Company]],1)</f>
        <v/>
      </c>
      <c r="V114" s="215" t="str" cm="1">
        <f t="array" ref="V114">Common_InputFunctions.Utility_DisplayArrayInTable(Fertiliser_SourceData.Fertiliser_Products_Data1(), FertiliserProducts[[#Headers],[Company]],1)</f>
        <v/>
      </c>
      <c r="W114" s="215" t="str" cm="1">
        <f t="array" ref="W114">Common_InputFunctions.Utility_DisplayArrayInTable(Fertiliser_SourceData.Fertiliser_Products_Data1(), FertiliserProducts[[#Headers],[Company]],1)</f>
        <v/>
      </c>
      <c r="X114" s="215" t="str" cm="1">
        <f t="array" ref="X114">Common_InputFunctions.Utility_DisplayArrayInTable(Fertiliser_SourceData.Fertiliser_Products_Data1(), FertiliserProducts[[#Headers],[Company]],1)</f>
        <v/>
      </c>
      <c r="Y114" s="215" t="str" cm="1">
        <f t="array" ref="Y114">Common_InputFunctions.Utility_DisplayArrayInTable(Fertiliser_SourceData.Fertiliser_Products_Data1(), FertiliserProducts[[#Headers],[Company]],1)</f>
        <v/>
      </c>
      <c r="Z114" s="215" t="str" cm="1">
        <f t="array" ref="Z114">Common_InputFunctions.Utility_DisplayArrayInTable(Fertiliser_SourceData.Fertiliser_Products_Data1(), FertiliserProducts[[#Headers],[Company]],1)</f>
        <v/>
      </c>
      <c r="AA114" s="215" t="str" cm="1">
        <f t="array" ref="AA114">Common_InputFunctions.Utility_DisplayArrayInTable(Fertiliser_SourceData.Fertiliser_Products_Data1(), FertiliserProducts[[#Headers],[Company]],1)</f>
        <v/>
      </c>
      <c r="AB114" s="215" t="str" cm="1">
        <f t="array" ref="AB114">Common_InputFunctions.Utility_DisplayArrayInTable(Fertiliser_SourceData.Fertiliser_Products_Data1(), FertiliserProducts[[#Headers],[Company]],1)</f>
        <v/>
      </c>
      <c r="AC114" s="215" t="str" cm="1">
        <f t="array" ref="AC114">Common_InputFunctions.Utility_DisplayArrayInTable(Fertiliser_SourceData.Fertiliser_Products_Data1(), FertiliserProducts[[#Headers],[Company]],1)</f>
        <v/>
      </c>
      <c r="AD114" s="215" t="str" cm="1">
        <f t="array" ref="AD114">Common_InputFunctions.Utility_DisplayArrayInTable(Fertiliser_SourceData.Fertiliser_Products_Data1(), FertiliserProducts[[#Headers],[Company]],1)</f>
        <v/>
      </c>
      <c r="AE114" s="215" t="str" cm="1">
        <f t="array" ref="AE114">Common_InputFunctions.Utility_DisplayArrayInTable(Fertiliser_SourceData.Fertiliser_Products_Data1(), FertiliserProducts[[#Headers],[Company]],1)</f>
        <v/>
      </c>
      <c r="AF114" s="215" t="str" cm="1">
        <f t="array" ref="AF114">Common_InputFunctions.Utility_DisplayArrayInTable(Fertiliser_SourceData.Fertiliser_Products_Data1(), FertiliserProducts[[#Headers],[Company]],1)</f>
        <v/>
      </c>
      <c r="AG114" s="215" t="str" cm="1">
        <f t="array" ref="AG114">Common_InputFunctions.Utility_DisplayArrayInTable(Fertiliser_SourceData.Fertiliser_Products_Data1(), FertiliserProducts[[#Headers],[Company]],1)</f>
        <v/>
      </c>
      <c r="AH114" s="215" t="str" cm="1">
        <f t="array" ref="AH114">Common_InputFunctions.Utility_DisplayArrayInTable(Fertiliser_SourceData.Fertiliser_Products_Data1(), FertiliserProducts[[#Headers],[Company]],1)</f>
        <v/>
      </c>
    </row>
    <row r="115" spans="1:34" ht="20.100000000000001" customHeight="1" x14ac:dyDescent="0.25">
      <c r="A115"/>
      <c r="D115" s="215" t="str" cm="1">
        <f t="array" ref="D115">Common_InputFunctions.Utility_DisplayArrayInTable(Fertiliser_SourceData.Fertiliser_Products_Data1(), FertiliserProducts[[#Headers],[Company]],1)</f>
        <v>SL Tec</v>
      </c>
      <c r="E115" s="215" t="str" cm="1">
        <f t="array" ref="E115">Common_InputFunctions.Utility_DisplayArrayInTable(Fertiliser_SourceData.Fertiliser_Products_Data1(), FertiliserProducts[[#Headers],[Company]],1)</f>
        <v>CellCAL Plus</v>
      </c>
      <c r="F115" s="215" t="str" cm="1">
        <f t="array" ref="F115">Common_InputFunctions.Utility_DisplayArrayInTable(Fertiliser_SourceData.Fertiliser_Products_Data1(), FertiliserProducts[[#Headers],[Company]],1)</f>
        <v>L</v>
      </c>
      <c r="G115" s="215" cm="1">
        <f t="array" ref="G115">Common_InputFunctions.Utility_DisplayArrayInTable(Fertiliser_SourceData.Fertiliser_Products_Data1(), FertiliserProducts[[#Headers],[Company]],1)</f>
        <v>1.1379999999999999</v>
      </c>
      <c r="H115" s="215" t="str" cm="1">
        <f t="array" ref="H115">Common_InputFunctions.Utility_DisplayArrayInTable(Fertiliser_SourceData.Fertiliser_Products_Data1(), FertiliserProducts[[#Headers],[Company]],1)</f>
        <v/>
      </c>
      <c r="I115" s="215" t="str" cm="1">
        <f t="array" ref="I115">Common_InputFunctions.Utility_DisplayArrayInTable(Fertiliser_SourceData.Fertiliser_Products_Data1(), FertiliserProducts[[#Headers],[Company]],1)</f>
        <v/>
      </c>
      <c r="J115" s="215" t="str" cm="1">
        <f t="array" ref="J115">Common_InputFunctions.Utility_DisplayArrayInTable(Fertiliser_SourceData.Fertiliser_Products_Data1(), FertiliserProducts[[#Headers],[Company]],1)</f>
        <v/>
      </c>
      <c r="K115" s="215" t="str" cm="1">
        <f t="array" ref="K115">Common_InputFunctions.Utility_DisplayArrayInTable(Fertiliser_SourceData.Fertiliser_Products_Data1(), FertiliserProducts[[#Headers],[Company]],1)</f>
        <v/>
      </c>
      <c r="L115" s="215" t="str" cm="1">
        <f t="array" ref="L115">Common_InputFunctions.Utility_DisplayArrayInTable(Fertiliser_SourceData.Fertiliser_Products_Data1(), FertiliserProducts[[#Headers],[Company]],1)</f>
        <v/>
      </c>
      <c r="M115" s="215" t="str" cm="1">
        <f t="array" ref="M115">Common_InputFunctions.Utility_DisplayArrayInTable(Fertiliser_SourceData.Fertiliser_Products_Data1(), FertiliserProducts[[#Headers],[Company]],1)</f>
        <v/>
      </c>
      <c r="N115" s="215" t="str" cm="1">
        <f t="array" ref="N115">Common_InputFunctions.Utility_DisplayArrayInTable(Fertiliser_SourceData.Fertiliser_Products_Data1(), FertiliserProducts[[#Headers],[Company]],1)</f>
        <v/>
      </c>
      <c r="O115" s="215" t="str" cm="1">
        <f t="array" ref="O115">Common_InputFunctions.Utility_DisplayArrayInTable(Fertiliser_SourceData.Fertiliser_Products_Data1(), FertiliserProducts[[#Headers],[Company]],1)</f>
        <v>Calcium</v>
      </c>
      <c r="P115" s="215" cm="1">
        <f t="array" ref="P115">Common_InputFunctions.Utility_DisplayArrayInTable(Fertiliser_SourceData.Fertiliser_Products_Data1(), FertiliserProducts[[#Headers],[Company]],1)</f>
        <v>5.8999999999999997E-2</v>
      </c>
      <c r="Q115" s="215" t="str" cm="1">
        <f t="array" ref="Q115">Common_InputFunctions.Utility_DisplayArrayInTable(Fertiliser_SourceData.Fertiliser_Products_Data1(), FertiliserProducts[[#Headers],[Company]],1)</f>
        <v>Copper</v>
      </c>
      <c r="R115" s="215" cm="1">
        <f t="array" ref="R115">Common_InputFunctions.Utility_DisplayArrayInTable(Fertiliser_SourceData.Fertiliser_Products_Data1(), FertiliserProducts[[#Headers],[Company]],1)</f>
        <v>3.0000000000000001E-3</v>
      </c>
      <c r="S115" s="215" t="str" cm="1">
        <f t="array" ref="S115">Common_InputFunctions.Utility_DisplayArrayInTable(Fertiliser_SourceData.Fertiliser_Products_Data1(), FertiliserProducts[[#Headers],[Company]],1)</f>
        <v>Boron</v>
      </c>
      <c r="T115" s="215" cm="1">
        <f t="array" ref="T115">Common_InputFunctions.Utility_DisplayArrayInTable(Fertiliser_SourceData.Fertiliser_Products_Data1(), FertiliserProducts[[#Headers],[Company]],1)</f>
        <v>1E-3</v>
      </c>
      <c r="U115" s="215" t="str" cm="1">
        <f t="array" ref="U115">Common_InputFunctions.Utility_DisplayArrayInTable(Fertiliser_SourceData.Fertiliser_Products_Data1(), FertiliserProducts[[#Headers],[Company]],1)</f>
        <v/>
      </c>
      <c r="V115" s="215" t="str" cm="1">
        <f t="array" ref="V115">Common_InputFunctions.Utility_DisplayArrayInTable(Fertiliser_SourceData.Fertiliser_Products_Data1(), FertiliserProducts[[#Headers],[Company]],1)</f>
        <v/>
      </c>
      <c r="W115" s="215" t="str" cm="1">
        <f t="array" ref="W115">Common_InputFunctions.Utility_DisplayArrayInTable(Fertiliser_SourceData.Fertiliser_Products_Data1(), FertiliserProducts[[#Headers],[Company]],1)</f>
        <v/>
      </c>
      <c r="X115" s="215" t="str" cm="1">
        <f t="array" ref="X115">Common_InputFunctions.Utility_DisplayArrayInTable(Fertiliser_SourceData.Fertiliser_Products_Data1(), FertiliserProducts[[#Headers],[Company]],1)</f>
        <v/>
      </c>
      <c r="Y115" s="215" t="str" cm="1">
        <f t="array" ref="Y115">Common_InputFunctions.Utility_DisplayArrayInTable(Fertiliser_SourceData.Fertiliser_Products_Data1(), FertiliserProducts[[#Headers],[Company]],1)</f>
        <v/>
      </c>
      <c r="Z115" s="215" t="str" cm="1">
        <f t="array" ref="Z115">Common_InputFunctions.Utility_DisplayArrayInTable(Fertiliser_SourceData.Fertiliser_Products_Data1(), FertiliserProducts[[#Headers],[Company]],1)</f>
        <v/>
      </c>
      <c r="AA115" s="215" t="str" cm="1">
        <f t="array" ref="AA115">Common_InputFunctions.Utility_DisplayArrayInTable(Fertiliser_SourceData.Fertiliser_Products_Data1(), FertiliserProducts[[#Headers],[Company]],1)</f>
        <v/>
      </c>
      <c r="AB115" s="215" t="str" cm="1">
        <f t="array" ref="AB115">Common_InputFunctions.Utility_DisplayArrayInTable(Fertiliser_SourceData.Fertiliser_Products_Data1(), FertiliserProducts[[#Headers],[Company]],1)</f>
        <v/>
      </c>
      <c r="AC115" s="215" t="str" cm="1">
        <f t="array" ref="AC115">Common_InputFunctions.Utility_DisplayArrayInTable(Fertiliser_SourceData.Fertiliser_Products_Data1(), FertiliserProducts[[#Headers],[Company]],1)</f>
        <v/>
      </c>
      <c r="AD115" s="215" t="str" cm="1">
        <f t="array" ref="AD115">Common_InputFunctions.Utility_DisplayArrayInTable(Fertiliser_SourceData.Fertiliser_Products_Data1(), FertiliserProducts[[#Headers],[Company]],1)</f>
        <v/>
      </c>
      <c r="AE115" s="215" t="str" cm="1">
        <f t="array" ref="AE115">Common_InputFunctions.Utility_DisplayArrayInTable(Fertiliser_SourceData.Fertiliser_Products_Data1(), FertiliserProducts[[#Headers],[Company]],1)</f>
        <v/>
      </c>
      <c r="AF115" s="215" t="str" cm="1">
        <f t="array" ref="AF115">Common_InputFunctions.Utility_DisplayArrayInTable(Fertiliser_SourceData.Fertiliser_Products_Data1(), FertiliserProducts[[#Headers],[Company]],1)</f>
        <v/>
      </c>
      <c r="AG115" s="215" t="str" cm="1">
        <f t="array" ref="AG115">Common_InputFunctions.Utility_DisplayArrayInTable(Fertiliser_SourceData.Fertiliser_Products_Data1(), FertiliserProducts[[#Headers],[Company]],1)</f>
        <v/>
      </c>
      <c r="AH115" s="215" t="str" cm="1">
        <f t="array" ref="AH115">Common_InputFunctions.Utility_DisplayArrayInTable(Fertiliser_SourceData.Fertiliser_Products_Data1(), FertiliserProducts[[#Headers],[Company]],1)</f>
        <v/>
      </c>
    </row>
    <row r="116" spans="1:34" ht="20.100000000000001" customHeight="1" x14ac:dyDescent="0.25">
      <c r="A116"/>
      <c r="D116" s="215" t="str" cm="1">
        <f t="array" ref="D116">Common_InputFunctions.Utility_DisplayArrayInTable(Fertiliser_SourceData.Fertiliser_Products_Data1(), FertiliserProducts[[#Headers],[Company]],1)</f>
        <v>Incitec Pivot Fertilisers</v>
      </c>
      <c r="E116" s="215" t="str" cm="1">
        <f t="array" ref="E116">Common_InputFunctions.Utility_DisplayArrayInTable(Fertiliser_SourceData.Fertiliser_Products_Data1(), FertiliserProducts[[#Headers],[Company]],1)</f>
        <v>CK55</v>
      </c>
      <c r="F116" s="215" t="str" cm="1">
        <f t="array" ref="F116">Common_InputFunctions.Utility_DisplayArrayInTable(Fertiliser_SourceData.Fertiliser_Products_Data1(), FertiliserProducts[[#Headers],[Company]],1)</f>
        <v>kg</v>
      </c>
      <c r="G116" s="215" cm="1">
        <f t="array" ref="G116">Common_InputFunctions.Utility_DisplayArrayInTable(Fertiliser_SourceData.Fertiliser_Products_Data1(), FertiliserProducts[[#Headers],[Company]],1)</f>
        <v>1</v>
      </c>
      <c r="H116" s="215" t="str" cm="1">
        <f t="array" ref="H116">Common_InputFunctions.Utility_DisplayArrayInTable(Fertiliser_SourceData.Fertiliser_Products_Data1(), FertiliserProducts[[#Headers],[Company]],1)</f>
        <v/>
      </c>
      <c r="I116" s="215" t="str" cm="1">
        <f t="array" ref="I116">Common_InputFunctions.Utility_DisplayArrayInTable(Fertiliser_SourceData.Fertiliser_Products_Data1(), FertiliserProducts[[#Headers],[Company]],1)</f>
        <v/>
      </c>
      <c r="J116" s="215" t="str" cm="1">
        <f t="array" ref="J116">Common_InputFunctions.Utility_DisplayArrayInTable(Fertiliser_SourceData.Fertiliser_Products_Data1(), FertiliserProducts[[#Headers],[Company]],1)</f>
        <v/>
      </c>
      <c r="K116" s="215" cm="1">
        <f t="array" ref="K116">Common_InputFunctions.Utility_DisplayArrayInTable(Fertiliser_SourceData.Fertiliser_Products_Data1(), FertiliserProducts[[#Headers],[Company]],1)</f>
        <v>13.5</v>
      </c>
      <c r="L116" s="215" cm="1">
        <f t="array" ref="L116">Common_InputFunctions.Utility_DisplayArrayInTable(Fertiliser_SourceData.Fertiliser_Products_Data1(), FertiliserProducts[[#Headers],[Company]],1)</f>
        <v>15</v>
      </c>
      <c r="M116" s="215" cm="1">
        <f t="array" ref="M116">Common_InputFunctions.Utility_DisplayArrayInTable(Fertiliser_SourceData.Fertiliser_Products_Data1(), FertiliserProducts[[#Headers],[Company]],1)</f>
        <v>6.25</v>
      </c>
      <c r="N116" s="215" cm="1">
        <f t="array" ref="N116">Common_InputFunctions.Utility_DisplayArrayInTable(Fertiliser_SourceData.Fertiliser_Products_Data1(), FertiliserProducts[[#Headers],[Company]],1)</f>
        <v>1.2</v>
      </c>
      <c r="O116" s="215" t="str" cm="1">
        <f t="array" ref="O116">Common_InputFunctions.Utility_DisplayArrayInTable(Fertiliser_SourceData.Fertiliser_Products_Data1(), FertiliserProducts[[#Headers],[Company]],1)</f>
        <v>Phosphorus - Generic</v>
      </c>
      <c r="P116" s="215" cm="1">
        <f t="array" ref="P116">Common_InputFunctions.Utility_DisplayArrayInTable(Fertiliser_SourceData.Fertiliser_Products_Data1(), FertiliserProducts[[#Headers],[Company]],1)</f>
        <v>0.15</v>
      </c>
      <c r="Q116" s="215" t="str" cm="1">
        <f t="array" ref="Q116">Common_InputFunctions.Utility_DisplayArrayInTable(Fertiliser_SourceData.Fertiliser_Products_Data1(), FertiliserProducts[[#Headers],[Company]],1)</f>
        <v>Nitrogen - Ammoniacal</v>
      </c>
      <c r="R116" s="215" cm="1">
        <f t="array" ref="R116">Common_InputFunctions.Utility_DisplayArrayInTable(Fertiliser_SourceData.Fertiliser_Products_Data1(), FertiliserProducts[[#Headers],[Company]],1)</f>
        <v>0.13500000000000001</v>
      </c>
      <c r="S116" s="215" t="str" cm="1">
        <f t="array" ref="S116">Common_InputFunctions.Utility_DisplayArrayInTable(Fertiliser_SourceData.Fertiliser_Products_Data1(), FertiliserProducts[[#Headers],[Company]],1)</f>
        <v>Muriate of potash (MOP)</v>
      </c>
      <c r="T116" s="215" cm="1">
        <f t="array" ref="T116">Common_InputFunctions.Utility_DisplayArrayInTable(Fertiliser_SourceData.Fertiliser_Products_Data1(), FertiliserProducts[[#Headers],[Company]],1)</f>
        <v>0.125</v>
      </c>
      <c r="U116" s="215" t="str" cm="1">
        <f t="array" ref="U116">Common_InputFunctions.Utility_DisplayArrayInTable(Fertiliser_SourceData.Fertiliser_Products_Data1(), FertiliserProducts[[#Headers],[Company]],1)</f>
        <v>Fluoride</v>
      </c>
      <c r="V116" s="215" cm="1">
        <f t="array" ref="V116">Common_InputFunctions.Utility_DisplayArrayInTable(Fertiliser_SourceData.Fertiliser_Products_Data1(), FertiliserProducts[[#Headers],[Company]],1)</f>
        <v>2.3E-2</v>
      </c>
      <c r="W116" s="215" t="str" cm="1">
        <f t="array" ref="W116">Common_InputFunctions.Utility_DisplayArrayInTable(Fertiliser_SourceData.Fertiliser_Products_Data1(), FertiliserProducts[[#Headers],[Company]],1)</f>
        <v>Sulfur - Generic</v>
      </c>
      <c r="X116" s="215" cm="1">
        <f t="array" ref="X116">Common_InputFunctions.Utility_DisplayArrayInTable(Fertiliser_SourceData.Fertiliser_Products_Data1(), FertiliserProducts[[#Headers],[Company]],1)</f>
        <v>1.2E-2</v>
      </c>
      <c r="Y116" s="215" t="str" cm="1">
        <f t="array" ref="Y116">Common_InputFunctions.Utility_DisplayArrayInTable(Fertiliser_SourceData.Fertiliser_Products_Data1(), FertiliserProducts[[#Headers],[Company]],1)</f>
        <v/>
      </c>
      <c r="Z116" s="215" t="str" cm="1">
        <f t="array" ref="Z116">Common_InputFunctions.Utility_DisplayArrayInTable(Fertiliser_SourceData.Fertiliser_Products_Data1(), FertiliserProducts[[#Headers],[Company]],1)</f>
        <v/>
      </c>
      <c r="AA116" s="215" t="str" cm="1">
        <f t="array" ref="AA116">Common_InputFunctions.Utility_DisplayArrayInTable(Fertiliser_SourceData.Fertiliser_Products_Data1(), FertiliserProducts[[#Headers],[Company]],1)</f>
        <v/>
      </c>
      <c r="AB116" s="215" t="str" cm="1">
        <f t="array" ref="AB116">Common_InputFunctions.Utility_DisplayArrayInTable(Fertiliser_SourceData.Fertiliser_Products_Data1(), FertiliserProducts[[#Headers],[Company]],1)</f>
        <v/>
      </c>
      <c r="AC116" s="215" t="str" cm="1">
        <f t="array" ref="AC116">Common_InputFunctions.Utility_DisplayArrayInTable(Fertiliser_SourceData.Fertiliser_Products_Data1(), FertiliserProducts[[#Headers],[Company]],1)</f>
        <v/>
      </c>
      <c r="AD116" s="215" t="str" cm="1">
        <f t="array" ref="AD116">Common_InputFunctions.Utility_DisplayArrayInTable(Fertiliser_SourceData.Fertiliser_Products_Data1(), FertiliserProducts[[#Headers],[Company]],1)</f>
        <v/>
      </c>
      <c r="AE116" s="215" t="str" cm="1">
        <f t="array" ref="AE116">Common_InputFunctions.Utility_DisplayArrayInTable(Fertiliser_SourceData.Fertiliser_Products_Data1(), FertiliserProducts[[#Headers],[Company]],1)</f>
        <v/>
      </c>
      <c r="AF116" s="215" t="str" cm="1">
        <f t="array" ref="AF116">Common_InputFunctions.Utility_DisplayArrayInTable(Fertiliser_SourceData.Fertiliser_Products_Data1(), FertiliserProducts[[#Headers],[Company]],1)</f>
        <v/>
      </c>
      <c r="AG116" s="215" t="str" cm="1">
        <f t="array" ref="AG116">Common_InputFunctions.Utility_DisplayArrayInTable(Fertiliser_SourceData.Fertiliser_Products_Data1(), FertiliserProducts[[#Headers],[Company]],1)</f>
        <v/>
      </c>
      <c r="AH116" s="215" t="str" cm="1">
        <f t="array" ref="AH116">Common_InputFunctions.Utility_DisplayArrayInTable(Fertiliser_SourceData.Fertiliser_Products_Data1(), FertiliserProducts[[#Headers],[Company]],1)</f>
        <v/>
      </c>
    </row>
    <row r="117" spans="1:34" ht="20.100000000000001" customHeight="1" x14ac:dyDescent="0.25">
      <c r="A117"/>
      <c r="D117" s="215" t="str" cm="1">
        <f t="array" ref="D117">Common_InputFunctions.Utility_DisplayArrayInTable(Fertiliser_SourceData.Fertiliser_Products_Data1(), FertiliserProducts[[#Headers],[Company]],1)</f>
        <v>Switch Ag</v>
      </c>
      <c r="E117" s="215" t="str" cm="1">
        <f t="array" ref="E117">Common_InputFunctions.Utility_DisplayArrayInTable(Fertiliser_SourceData.Fertiliser_Products_Data1(), FertiliserProducts[[#Headers],[Company]],1)</f>
        <v>Crop K</v>
      </c>
      <c r="F117" s="215" t="str" cm="1">
        <f t="array" ref="F117">Common_InputFunctions.Utility_DisplayArrayInTable(Fertiliser_SourceData.Fertiliser_Products_Data1(), FertiliserProducts[[#Headers],[Company]],1)</f>
        <v>L</v>
      </c>
      <c r="G117" s="215" cm="1">
        <f t="array" ref="G117">Common_InputFunctions.Utility_DisplayArrayInTable(Fertiliser_SourceData.Fertiliser_Products_Data1(), FertiliserProducts[[#Headers],[Company]],1)</f>
        <v>1.25</v>
      </c>
      <c r="H117" s="215" t="str" cm="1">
        <f t="array" ref="H117">Common_InputFunctions.Utility_DisplayArrayInTable(Fertiliser_SourceData.Fertiliser_Products_Data1(), FertiliserProducts[[#Headers],[Company]],1)</f>
        <v/>
      </c>
      <c r="I117" s="215" t="str" cm="1">
        <f t="array" ref="I117">Common_InputFunctions.Utility_DisplayArrayInTable(Fertiliser_SourceData.Fertiliser_Products_Data1(), FertiliserProducts[[#Headers],[Company]],1)</f>
        <v/>
      </c>
      <c r="J117" s="215" t="str" cm="1">
        <f t="array" ref="J117">Common_InputFunctions.Utility_DisplayArrayInTable(Fertiliser_SourceData.Fertiliser_Products_Data1(), FertiliserProducts[[#Headers],[Company]],1)</f>
        <v/>
      </c>
      <c r="K117" s="215" cm="1">
        <f t="array" ref="K117">Common_InputFunctions.Utility_DisplayArrayInTable(Fertiliser_SourceData.Fertiliser_Products_Data1(), FertiliserProducts[[#Headers],[Company]],1)</f>
        <v>3</v>
      </c>
      <c r="L117" s="215" t="str" cm="1">
        <f t="array" ref="L117">Common_InputFunctions.Utility_DisplayArrayInTable(Fertiliser_SourceData.Fertiliser_Products_Data1(), FertiliserProducts[[#Headers],[Company]],1)</f>
        <v/>
      </c>
      <c r="M117" s="215" cm="1">
        <f t="array" ref="M117">Common_InputFunctions.Utility_DisplayArrayInTable(Fertiliser_SourceData.Fertiliser_Products_Data1(), FertiliserProducts[[#Headers],[Company]],1)</f>
        <v>21</v>
      </c>
      <c r="N117" s="215" t="str" cm="1">
        <f t="array" ref="N117">Common_InputFunctions.Utility_DisplayArrayInTable(Fertiliser_SourceData.Fertiliser_Products_Data1(), FertiliserProducts[[#Headers],[Company]],1)</f>
        <v/>
      </c>
      <c r="O117" s="215" t="str" cm="1">
        <f t="array" ref="O117">Common_InputFunctions.Utility_DisplayArrayInTable(Fertiliser_SourceData.Fertiliser_Products_Data1(), FertiliserProducts[[#Headers],[Company]],1)</f>
        <v>Potassium - Generic</v>
      </c>
      <c r="P117" s="215" cm="1">
        <f t="array" ref="P117">Common_InputFunctions.Utility_DisplayArrayInTable(Fertiliser_SourceData.Fertiliser_Products_Data1(), FertiliserProducts[[#Headers],[Company]],1)</f>
        <v>0.21</v>
      </c>
      <c r="Q117" s="215" t="str" cm="1">
        <f t="array" ref="Q117">Common_InputFunctions.Utility_DisplayArrayInTable(Fertiliser_SourceData.Fertiliser_Products_Data1(), FertiliserProducts[[#Headers],[Company]],1)</f>
        <v>Nitrogen - Generic</v>
      </c>
      <c r="R117" s="215" cm="1">
        <f t="array" ref="R117">Common_InputFunctions.Utility_DisplayArrayInTable(Fertiliser_SourceData.Fertiliser_Products_Data1(), FertiliserProducts[[#Headers],[Company]],1)</f>
        <v>0.03</v>
      </c>
      <c r="S117" s="215" t="str" cm="1">
        <f t="array" ref="S117">Common_InputFunctions.Utility_DisplayArrayInTable(Fertiliser_SourceData.Fertiliser_Products_Data1(), FertiliserProducts[[#Headers],[Company]],1)</f>
        <v/>
      </c>
      <c r="T117" s="215" t="str" cm="1">
        <f t="array" ref="T117">Common_InputFunctions.Utility_DisplayArrayInTable(Fertiliser_SourceData.Fertiliser_Products_Data1(), FertiliserProducts[[#Headers],[Company]],1)</f>
        <v/>
      </c>
      <c r="U117" s="215" t="str" cm="1">
        <f t="array" ref="U117">Common_InputFunctions.Utility_DisplayArrayInTable(Fertiliser_SourceData.Fertiliser_Products_Data1(), FertiliserProducts[[#Headers],[Company]],1)</f>
        <v/>
      </c>
      <c r="V117" s="215" t="str" cm="1">
        <f t="array" ref="V117">Common_InputFunctions.Utility_DisplayArrayInTable(Fertiliser_SourceData.Fertiliser_Products_Data1(), FertiliserProducts[[#Headers],[Company]],1)</f>
        <v/>
      </c>
      <c r="W117" s="215" t="str" cm="1">
        <f t="array" ref="W117">Common_InputFunctions.Utility_DisplayArrayInTable(Fertiliser_SourceData.Fertiliser_Products_Data1(), FertiliserProducts[[#Headers],[Company]],1)</f>
        <v/>
      </c>
      <c r="X117" s="215" t="str" cm="1">
        <f t="array" ref="X117">Common_InputFunctions.Utility_DisplayArrayInTable(Fertiliser_SourceData.Fertiliser_Products_Data1(), FertiliserProducts[[#Headers],[Company]],1)</f>
        <v/>
      </c>
      <c r="Y117" s="215" t="str" cm="1">
        <f t="array" ref="Y117">Common_InputFunctions.Utility_DisplayArrayInTable(Fertiliser_SourceData.Fertiliser_Products_Data1(), FertiliserProducts[[#Headers],[Company]],1)</f>
        <v/>
      </c>
      <c r="Z117" s="215" t="str" cm="1">
        <f t="array" ref="Z117">Common_InputFunctions.Utility_DisplayArrayInTable(Fertiliser_SourceData.Fertiliser_Products_Data1(), FertiliserProducts[[#Headers],[Company]],1)</f>
        <v/>
      </c>
      <c r="AA117" s="215" t="str" cm="1">
        <f t="array" ref="AA117">Common_InputFunctions.Utility_DisplayArrayInTable(Fertiliser_SourceData.Fertiliser_Products_Data1(), FertiliserProducts[[#Headers],[Company]],1)</f>
        <v/>
      </c>
      <c r="AB117" s="215" t="str" cm="1">
        <f t="array" ref="AB117">Common_InputFunctions.Utility_DisplayArrayInTable(Fertiliser_SourceData.Fertiliser_Products_Data1(), FertiliserProducts[[#Headers],[Company]],1)</f>
        <v/>
      </c>
      <c r="AC117" s="215" t="str" cm="1">
        <f t="array" ref="AC117">Common_InputFunctions.Utility_DisplayArrayInTable(Fertiliser_SourceData.Fertiliser_Products_Data1(), FertiliserProducts[[#Headers],[Company]],1)</f>
        <v/>
      </c>
      <c r="AD117" s="215" t="str" cm="1">
        <f t="array" ref="AD117">Common_InputFunctions.Utility_DisplayArrayInTable(Fertiliser_SourceData.Fertiliser_Products_Data1(), FertiliserProducts[[#Headers],[Company]],1)</f>
        <v/>
      </c>
      <c r="AE117" s="215" t="str" cm="1">
        <f t="array" ref="AE117">Common_InputFunctions.Utility_DisplayArrayInTable(Fertiliser_SourceData.Fertiliser_Products_Data1(), FertiliserProducts[[#Headers],[Company]],1)</f>
        <v/>
      </c>
      <c r="AF117" s="215" t="str" cm="1">
        <f t="array" ref="AF117">Common_InputFunctions.Utility_DisplayArrayInTable(Fertiliser_SourceData.Fertiliser_Products_Data1(), FertiliserProducts[[#Headers],[Company]],1)</f>
        <v/>
      </c>
      <c r="AG117" s="215" t="str" cm="1">
        <f t="array" ref="AG117">Common_InputFunctions.Utility_DisplayArrayInTable(Fertiliser_SourceData.Fertiliser_Products_Data1(), FertiliserProducts[[#Headers],[Company]],1)</f>
        <v/>
      </c>
      <c r="AH117" s="215" t="str" cm="1">
        <f t="array" ref="AH117">Common_InputFunctions.Utility_DisplayArrayInTable(Fertiliser_SourceData.Fertiliser_Products_Data1(), FertiliserProducts[[#Headers],[Company]],1)</f>
        <v/>
      </c>
    </row>
    <row r="118" spans="1:34" ht="20.100000000000001" customHeight="1" x14ac:dyDescent="0.25">
      <c r="A118"/>
      <c r="D118" s="215" t="str" cm="1">
        <f t="array" ref="D118">Common_InputFunctions.Utility_DisplayArrayInTable(Fertiliser_SourceData.Fertiliser_Products_Data1(), FertiliserProducts[[#Headers],[Company]],1)</f>
        <v>Switch Ag</v>
      </c>
      <c r="E118" s="215" t="str" cm="1">
        <f t="array" ref="E118">Common_InputFunctions.Utility_DisplayArrayInTable(Fertiliser_SourceData.Fertiliser_Products_Data1(), FertiliserProducts[[#Headers],[Company]],1)</f>
        <v>Crop Starter</v>
      </c>
      <c r="F118" s="215" t="str" cm="1">
        <f t="array" ref="F118">Common_InputFunctions.Utility_DisplayArrayInTable(Fertiliser_SourceData.Fertiliser_Products_Data1(), FertiliserProducts[[#Headers],[Company]],1)</f>
        <v>L</v>
      </c>
      <c r="G118" s="215" cm="1">
        <f t="array" ref="G118">Common_InputFunctions.Utility_DisplayArrayInTable(Fertiliser_SourceData.Fertiliser_Products_Data1(), FertiliserProducts[[#Headers],[Company]],1)</f>
        <v>1.2</v>
      </c>
      <c r="H118" s="215" t="str" cm="1">
        <f t="array" ref="H118">Common_InputFunctions.Utility_DisplayArrayInTable(Fertiliser_SourceData.Fertiliser_Products_Data1(), FertiliserProducts[[#Headers],[Company]],1)</f>
        <v/>
      </c>
      <c r="I118" s="215" t="str" cm="1">
        <f t="array" ref="I118">Common_InputFunctions.Utility_DisplayArrayInTable(Fertiliser_SourceData.Fertiliser_Products_Data1(), FertiliserProducts[[#Headers],[Company]],1)</f>
        <v/>
      </c>
      <c r="J118" s="215" t="str" cm="1">
        <f t="array" ref="J118">Common_InputFunctions.Utility_DisplayArrayInTable(Fertiliser_SourceData.Fertiliser_Products_Data1(), FertiliserProducts[[#Headers],[Company]],1)</f>
        <v/>
      </c>
      <c r="K118" s="215" cm="1">
        <f t="array" ref="K118">Common_InputFunctions.Utility_DisplayArrayInTable(Fertiliser_SourceData.Fertiliser_Products_Data1(), FertiliserProducts[[#Headers],[Company]],1)</f>
        <v>5</v>
      </c>
      <c r="L118" s="215" cm="1">
        <f t="array" ref="L118">Common_InputFunctions.Utility_DisplayArrayInTable(Fertiliser_SourceData.Fertiliser_Products_Data1(), FertiliserProducts[[#Headers],[Company]],1)</f>
        <v>3</v>
      </c>
      <c r="M118" s="215" cm="1">
        <f t="array" ref="M118">Common_InputFunctions.Utility_DisplayArrayInTable(Fertiliser_SourceData.Fertiliser_Products_Data1(), FertiliserProducts[[#Headers],[Company]],1)</f>
        <v>8</v>
      </c>
      <c r="N118" s="215" t="str" cm="1">
        <f t="array" ref="N118">Common_InputFunctions.Utility_DisplayArrayInTable(Fertiliser_SourceData.Fertiliser_Products_Data1(), FertiliserProducts[[#Headers],[Company]],1)</f>
        <v/>
      </c>
      <c r="O118" s="215" t="str" cm="1">
        <f t="array" ref="O118">Common_InputFunctions.Utility_DisplayArrayInTable(Fertiliser_SourceData.Fertiliser_Products_Data1(), FertiliserProducts[[#Headers],[Company]],1)</f>
        <v>Potassium - Generic</v>
      </c>
      <c r="P118" s="215" cm="1">
        <f t="array" ref="P118">Common_InputFunctions.Utility_DisplayArrayInTable(Fertiliser_SourceData.Fertiliser_Products_Data1(), FertiliserProducts[[#Headers],[Company]],1)</f>
        <v>0.08</v>
      </c>
      <c r="Q118" s="215" t="str" cm="1">
        <f t="array" ref="Q118">Common_InputFunctions.Utility_DisplayArrayInTable(Fertiliser_SourceData.Fertiliser_Products_Data1(), FertiliserProducts[[#Headers],[Company]],1)</f>
        <v>Nitrogen - Generic</v>
      </c>
      <c r="R118" s="215" cm="1">
        <f t="array" ref="R118">Common_InputFunctions.Utility_DisplayArrayInTable(Fertiliser_SourceData.Fertiliser_Products_Data1(), FertiliserProducts[[#Headers],[Company]],1)</f>
        <v>0.05</v>
      </c>
      <c r="S118" s="215" t="str" cm="1">
        <f t="array" ref="S118">Common_InputFunctions.Utility_DisplayArrayInTable(Fertiliser_SourceData.Fertiliser_Products_Data1(), FertiliserProducts[[#Headers],[Company]],1)</f>
        <v>Phosphorus - Generic</v>
      </c>
      <c r="T118" s="215" cm="1">
        <f t="array" ref="T118">Common_InputFunctions.Utility_DisplayArrayInTable(Fertiliser_SourceData.Fertiliser_Products_Data1(), FertiliserProducts[[#Headers],[Company]],1)</f>
        <v>0.03</v>
      </c>
      <c r="U118" s="215" t="str" cm="1">
        <f t="array" ref="U118">Common_InputFunctions.Utility_DisplayArrayInTable(Fertiliser_SourceData.Fertiliser_Products_Data1(), FertiliserProducts[[#Headers],[Company]],1)</f>
        <v/>
      </c>
      <c r="V118" s="215" t="str" cm="1">
        <f t="array" ref="V118">Common_InputFunctions.Utility_DisplayArrayInTable(Fertiliser_SourceData.Fertiliser_Products_Data1(), FertiliserProducts[[#Headers],[Company]],1)</f>
        <v/>
      </c>
      <c r="W118" s="215" t="str" cm="1">
        <f t="array" ref="W118">Common_InputFunctions.Utility_DisplayArrayInTable(Fertiliser_SourceData.Fertiliser_Products_Data1(), FertiliserProducts[[#Headers],[Company]],1)</f>
        <v/>
      </c>
      <c r="X118" s="215" t="str" cm="1">
        <f t="array" ref="X118">Common_InputFunctions.Utility_DisplayArrayInTable(Fertiliser_SourceData.Fertiliser_Products_Data1(), FertiliserProducts[[#Headers],[Company]],1)</f>
        <v/>
      </c>
      <c r="Y118" s="215" t="str" cm="1">
        <f t="array" ref="Y118">Common_InputFunctions.Utility_DisplayArrayInTable(Fertiliser_SourceData.Fertiliser_Products_Data1(), FertiliserProducts[[#Headers],[Company]],1)</f>
        <v/>
      </c>
      <c r="Z118" s="215" t="str" cm="1">
        <f t="array" ref="Z118">Common_InputFunctions.Utility_DisplayArrayInTable(Fertiliser_SourceData.Fertiliser_Products_Data1(), FertiliserProducts[[#Headers],[Company]],1)</f>
        <v/>
      </c>
      <c r="AA118" s="215" t="str" cm="1">
        <f t="array" ref="AA118">Common_InputFunctions.Utility_DisplayArrayInTable(Fertiliser_SourceData.Fertiliser_Products_Data1(), FertiliserProducts[[#Headers],[Company]],1)</f>
        <v/>
      </c>
      <c r="AB118" s="215" t="str" cm="1">
        <f t="array" ref="AB118">Common_InputFunctions.Utility_DisplayArrayInTable(Fertiliser_SourceData.Fertiliser_Products_Data1(), FertiliserProducts[[#Headers],[Company]],1)</f>
        <v/>
      </c>
      <c r="AC118" s="215" t="str" cm="1">
        <f t="array" ref="AC118">Common_InputFunctions.Utility_DisplayArrayInTable(Fertiliser_SourceData.Fertiliser_Products_Data1(), FertiliserProducts[[#Headers],[Company]],1)</f>
        <v/>
      </c>
      <c r="AD118" s="215" t="str" cm="1">
        <f t="array" ref="AD118">Common_InputFunctions.Utility_DisplayArrayInTable(Fertiliser_SourceData.Fertiliser_Products_Data1(), FertiliserProducts[[#Headers],[Company]],1)</f>
        <v/>
      </c>
      <c r="AE118" s="215" t="str" cm="1">
        <f t="array" ref="AE118">Common_InputFunctions.Utility_DisplayArrayInTable(Fertiliser_SourceData.Fertiliser_Products_Data1(), FertiliserProducts[[#Headers],[Company]],1)</f>
        <v/>
      </c>
      <c r="AF118" s="215" t="str" cm="1">
        <f t="array" ref="AF118">Common_InputFunctions.Utility_DisplayArrayInTable(Fertiliser_SourceData.Fertiliser_Products_Data1(), FertiliserProducts[[#Headers],[Company]],1)</f>
        <v/>
      </c>
      <c r="AG118" s="215" t="str" cm="1">
        <f t="array" ref="AG118">Common_InputFunctions.Utility_DisplayArrayInTable(Fertiliser_SourceData.Fertiliser_Products_Data1(), FertiliserProducts[[#Headers],[Company]],1)</f>
        <v/>
      </c>
      <c r="AH118" s="215" t="str" cm="1">
        <f t="array" ref="AH118">Common_InputFunctions.Utility_DisplayArrayInTable(Fertiliser_SourceData.Fertiliser_Products_Data1(), FertiliserProducts[[#Headers],[Company]],1)</f>
        <v/>
      </c>
    </row>
    <row r="119" spans="1:34" ht="20.100000000000001" customHeight="1" x14ac:dyDescent="0.25">
      <c r="A119"/>
      <c r="D119" s="215" t="str" cm="1">
        <f t="array" ref="D119">Common_InputFunctions.Utility_DisplayArrayInTable(Fertiliser_SourceData.Fertiliser_Products_Data1(), FertiliserProducts[[#Headers],[Company]],1)</f>
        <v>Incitec Pivot Fertilisers</v>
      </c>
      <c r="E119" s="215" t="str" cm="1">
        <f t="array" ref="E119">Common_InputFunctions.Utility_DisplayArrayInTable(Fertiliser_SourceData.Fertiliser_Products_Data1(), FertiliserProducts[[#Headers],[Company]],1)</f>
        <v>Gran-Am</v>
      </c>
      <c r="F119" s="215" t="str" cm="1">
        <f t="array" ref="F119">Common_InputFunctions.Utility_DisplayArrayInTable(Fertiliser_SourceData.Fertiliser_Products_Data1(), FertiliserProducts[[#Headers],[Company]],1)</f>
        <v>kg</v>
      </c>
      <c r="G119" s="215" cm="1">
        <f t="array" ref="G119">Common_InputFunctions.Utility_DisplayArrayInTable(Fertiliser_SourceData.Fertiliser_Products_Data1(), FertiliserProducts[[#Headers],[Company]],1)</f>
        <v>1</v>
      </c>
      <c r="H119" s="215" t="str" cm="1">
        <f t="array" ref="H119">Common_InputFunctions.Utility_DisplayArrayInTable(Fertiliser_SourceData.Fertiliser_Products_Data1(), FertiliserProducts[[#Headers],[Company]],1)</f>
        <v/>
      </c>
      <c r="I119" s="215" t="str" cm="1">
        <f t="array" ref="I119">Common_InputFunctions.Utility_DisplayArrayInTable(Fertiliser_SourceData.Fertiliser_Products_Data1(), FertiliserProducts[[#Headers],[Company]],1)</f>
        <v/>
      </c>
      <c r="J119" s="215" t="str" cm="1">
        <f t="array" ref="J119">Common_InputFunctions.Utility_DisplayArrayInTable(Fertiliser_SourceData.Fertiliser_Products_Data1(), FertiliserProducts[[#Headers],[Company]],1)</f>
        <v/>
      </c>
      <c r="K119" s="215" cm="1">
        <f t="array" ref="K119">Common_InputFunctions.Utility_DisplayArrayInTable(Fertiliser_SourceData.Fertiliser_Products_Data1(), FertiliserProducts[[#Headers],[Company]],1)</f>
        <v>21</v>
      </c>
      <c r="L119" s="215" t="str" cm="1">
        <f t="array" ref="L119">Common_InputFunctions.Utility_DisplayArrayInTable(Fertiliser_SourceData.Fertiliser_Products_Data1(), FertiliserProducts[[#Headers],[Company]],1)</f>
        <v/>
      </c>
      <c r="M119" s="215" t="str" cm="1">
        <f t="array" ref="M119">Common_InputFunctions.Utility_DisplayArrayInTable(Fertiliser_SourceData.Fertiliser_Products_Data1(), FertiliserProducts[[#Headers],[Company]],1)</f>
        <v/>
      </c>
      <c r="N119" s="215" cm="1">
        <f t="array" ref="N119">Common_InputFunctions.Utility_DisplayArrayInTable(Fertiliser_SourceData.Fertiliser_Products_Data1(), FertiliserProducts[[#Headers],[Company]],1)</f>
        <v>24</v>
      </c>
      <c r="O119" s="215" t="str" cm="1">
        <f t="array" ref="O119">Common_InputFunctions.Utility_DisplayArrayInTable(Fertiliser_SourceData.Fertiliser_Products_Data1(), FertiliserProducts[[#Headers],[Company]],1)</f>
        <v>Sulphate of ammonia (SOA)</v>
      </c>
      <c r="P119" s="215" cm="1">
        <f t="array" ref="P119">Common_InputFunctions.Utility_DisplayArrayInTable(Fertiliser_SourceData.Fertiliser_Products_Data1(), FertiliserProducts[[#Headers],[Company]],1)</f>
        <v>1</v>
      </c>
      <c r="Q119" s="215" t="str" cm="1">
        <f t="array" ref="Q119">Common_InputFunctions.Utility_DisplayArrayInTable(Fertiliser_SourceData.Fertiliser_Products_Data1(), FertiliserProducts[[#Headers],[Company]],1)</f>
        <v/>
      </c>
      <c r="R119" s="215" t="str" cm="1">
        <f t="array" ref="R119">Common_InputFunctions.Utility_DisplayArrayInTable(Fertiliser_SourceData.Fertiliser_Products_Data1(), FertiliserProducts[[#Headers],[Company]],1)</f>
        <v/>
      </c>
      <c r="S119" s="215" t="str" cm="1">
        <f t="array" ref="S119">Common_InputFunctions.Utility_DisplayArrayInTable(Fertiliser_SourceData.Fertiliser_Products_Data1(), FertiliserProducts[[#Headers],[Company]],1)</f>
        <v/>
      </c>
      <c r="T119" s="215" t="str" cm="1">
        <f t="array" ref="T119">Common_InputFunctions.Utility_DisplayArrayInTable(Fertiliser_SourceData.Fertiliser_Products_Data1(), FertiliserProducts[[#Headers],[Company]],1)</f>
        <v/>
      </c>
      <c r="U119" s="215" t="str" cm="1">
        <f t="array" ref="U119">Common_InputFunctions.Utility_DisplayArrayInTable(Fertiliser_SourceData.Fertiliser_Products_Data1(), FertiliserProducts[[#Headers],[Company]],1)</f>
        <v/>
      </c>
      <c r="V119" s="215" t="str" cm="1">
        <f t="array" ref="V119">Common_InputFunctions.Utility_DisplayArrayInTable(Fertiliser_SourceData.Fertiliser_Products_Data1(), FertiliserProducts[[#Headers],[Company]],1)</f>
        <v/>
      </c>
      <c r="W119" s="215" t="str" cm="1">
        <f t="array" ref="W119">Common_InputFunctions.Utility_DisplayArrayInTable(Fertiliser_SourceData.Fertiliser_Products_Data1(), FertiliserProducts[[#Headers],[Company]],1)</f>
        <v/>
      </c>
      <c r="X119" s="215" t="str" cm="1">
        <f t="array" ref="X119">Common_InputFunctions.Utility_DisplayArrayInTable(Fertiliser_SourceData.Fertiliser_Products_Data1(), FertiliserProducts[[#Headers],[Company]],1)</f>
        <v/>
      </c>
      <c r="Y119" s="215" t="str" cm="1">
        <f t="array" ref="Y119">Common_InputFunctions.Utility_DisplayArrayInTable(Fertiliser_SourceData.Fertiliser_Products_Data1(), FertiliserProducts[[#Headers],[Company]],1)</f>
        <v/>
      </c>
      <c r="Z119" s="215" t="str" cm="1">
        <f t="array" ref="Z119">Common_InputFunctions.Utility_DisplayArrayInTable(Fertiliser_SourceData.Fertiliser_Products_Data1(), FertiliserProducts[[#Headers],[Company]],1)</f>
        <v/>
      </c>
      <c r="AA119" s="215" t="str" cm="1">
        <f t="array" ref="AA119">Common_InputFunctions.Utility_DisplayArrayInTable(Fertiliser_SourceData.Fertiliser_Products_Data1(), FertiliserProducts[[#Headers],[Company]],1)</f>
        <v/>
      </c>
      <c r="AB119" s="215" t="str" cm="1">
        <f t="array" ref="AB119">Common_InputFunctions.Utility_DisplayArrayInTable(Fertiliser_SourceData.Fertiliser_Products_Data1(), FertiliserProducts[[#Headers],[Company]],1)</f>
        <v/>
      </c>
      <c r="AC119" s="215" t="str" cm="1">
        <f t="array" ref="AC119">Common_InputFunctions.Utility_DisplayArrayInTable(Fertiliser_SourceData.Fertiliser_Products_Data1(), FertiliserProducts[[#Headers],[Company]],1)</f>
        <v/>
      </c>
      <c r="AD119" s="215" t="str" cm="1">
        <f t="array" ref="AD119">Common_InputFunctions.Utility_DisplayArrayInTable(Fertiliser_SourceData.Fertiliser_Products_Data1(), FertiliserProducts[[#Headers],[Company]],1)</f>
        <v/>
      </c>
      <c r="AE119" s="215" t="str" cm="1">
        <f t="array" ref="AE119">Common_InputFunctions.Utility_DisplayArrayInTable(Fertiliser_SourceData.Fertiliser_Products_Data1(), FertiliserProducts[[#Headers],[Company]],1)</f>
        <v/>
      </c>
      <c r="AF119" s="215" t="str" cm="1">
        <f t="array" ref="AF119">Common_InputFunctions.Utility_DisplayArrayInTable(Fertiliser_SourceData.Fertiliser_Products_Data1(), FertiliserProducts[[#Headers],[Company]],1)</f>
        <v/>
      </c>
      <c r="AG119" s="215" t="str" cm="1">
        <f t="array" ref="AG119">Common_InputFunctions.Utility_DisplayArrayInTable(Fertiliser_SourceData.Fertiliser_Products_Data1(), FertiliserProducts[[#Headers],[Company]],1)</f>
        <v/>
      </c>
      <c r="AH119" s="215" t="str" cm="1">
        <f t="array" ref="AH119">Common_InputFunctions.Utility_DisplayArrayInTable(Fertiliser_SourceData.Fertiliser_Products_Data1(), FertiliserProducts[[#Headers],[Company]],1)</f>
        <v/>
      </c>
    </row>
    <row r="120" spans="1:34" ht="20.100000000000001" customHeight="1" x14ac:dyDescent="0.25">
      <c r="A120"/>
      <c r="D120" s="215" t="str" cm="1">
        <f t="array" ref="D120">Common_InputFunctions.Utility_DisplayArrayInTable(Fertiliser_SourceData.Fertiliser_Products_Data2(), FertiliserProducts[[#Headers],[Company]],31)</f>
        <v>Campbells fertilisers Australia</v>
      </c>
      <c r="E120" s="215" t="str" cm="1">
        <f t="array" ref="E120">Common_InputFunctions.Utility_DisplayArrayInTable(Fertiliser_SourceData.Fertiliser_Products_Data2(), FertiliserProducts[[#Headers],[Company]],31)</f>
        <v>Encal</v>
      </c>
      <c r="F120" s="215" t="str" cm="1">
        <f t="array" ref="F120">Common_InputFunctions.Utility_DisplayArrayInTable(Fertiliser_SourceData.Fertiliser_Products_Data2(), FertiliserProducts[[#Headers],[Company]],31)</f>
        <v>L</v>
      </c>
      <c r="G120" s="215" cm="1">
        <f t="array" ref="G120">Common_InputFunctions.Utility_DisplayArrayInTable(Fertiliser_SourceData.Fertiliser_Products_Data2(), FertiliserProducts[[#Headers],[Company]],31)</f>
        <v>1.5</v>
      </c>
      <c r="H120" s="215" t="str" cm="1">
        <f t="array" ref="H120">Common_InputFunctions.Utility_DisplayArrayInTable(Fertiliser_SourceData.Fertiliser_Products_Data2(), FertiliserProducts[[#Headers],[Company]],31)</f>
        <v/>
      </c>
      <c r="I120" s="215" t="str" cm="1">
        <f t="array" ref="I120">Common_InputFunctions.Utility_DisplayArrayInTable(Fertiliser_SourceData.Fertiliser_Products_Data2(), FertiliserProducts[[#Headers],[Company]],31)</f>
        <v/>
      </c>
      <c r="J120" s="215" t="str" cm="1">
        <f t="array" ref="J120">Common_InputFunctions.Utility_DisplayArrayInTable(Fertiliser_SourceData.Fertiliser_Products_Data2(), FertiliserProducts[[#Headers],[Company]],31)</f>
        <v/>
      </c>
      <c r="K120" s="215" cm="1">
        <f t="array" ref="K120">Common_InputFunctions.Utility_DisplayArrayInTable(Fertiliser_SourceData.Fertiliser_Products_Data2(), FertiliserProducts[[#Headers],[Company]],31)</f>
        <v>9</v>
      </c>
      <c r="L120" s="215" t="str" cm="1">
        <f t="array" ref="L120">Common_InputFunctions.Utility_DisplayArrayInTable(Fertiliser_SourceData.Fertiliser_Products_Data2(), FertiliserProducts[[#Headers],[Company]],31)</f>
        <v/>
      </c>
      <c r="M120" s="215" t="str" cm="1">
        <f t="array" ref="M120">Common_InputFunctions.Utility_DisplayArrayInTable(Fertiliser_SourceData.Fertiliser_Products_Data2(), FertiliserProducts[[#Headers],[Company]],31)</f>
        <v/>
      </c>
      <c r="N120" s="215" cm="1">
        <f t="array" ref="N120">Common_InputFunctions.Utility_DisplayArrayInTable(Fertiliser_SourceData.Fertiliser_Products_Data2(), FertiliserProducts[[#Headers],[Company]],31)</f>
        <v>13.94</v>
      </c>
      <c r="O120" s="215" t="str" cm="1">
        <f t="array" ref="O120">Common_InputFunctions.Utility_DisplayArrayInTable(Fertiliser_SourceData.Fertiliser_Products_Data2(), FertiliserProducts[[#Headers],[Company]],31)</f>
        <v>Sulphate of ammonia (SOA)</v>
      </c>
      <c r="P120" s="215" cm="1">
        <f t="array" ref="P120">Common_InputFunctions.Utility_DisplayArrayInTable(Fertiliser_SourceData.Fertiliser_Products_Data2(), FertiliserProducts[[#Headers],[Company]],31)</f>
        <v>0.58064499999999997</v>
      </c>
      <c r="Q120" s="215" t="str" cm="1">
        <f t="array" ref="Q120">Common_InputFunctions.Utility_DisplayArrayInTable(Fertiliser_SourceData.Fertiliser_Products_Data2(), FertiliserProducts[[#Headers],[Company]],31)</f>
        <v>Magnesium</v>
      </c>
      <c r="R120" s="215" cm="1">
        <f t="array" ref="R120">Common_InputFunctions.Utility_DisplayArrayInTable(Fertiliser_SourceData.Fertiliser_Products_Data2(), FertiliserProducts[[#Headers],[Company]],31)</f>
        <v>1.2E-2</v>
      </c>
      <c r="S120" s="215" t="str" cm="1">
        <f t="array" ref="S120">Common_InputFunctions.Utility_DisplayArrayInTable(Fertiliser_SourceData.Fertiliser_Products_Data2(), FertiliserProducts[[#Headers],[Company]],31)</f>
        <v/>
      </c>
      <c r="T120" s="215" t="str" cm="1">
        <f t="array" ref="T120">Common_InputFunctions.Utility_DisplayArrayInTable(Fertiliser_SourceData.Fertiliser_Products_Data2(), FertiliserProducts[[#Headers],[Company]],31)</f>
        <v/>
      </c>
      <c r="U120" s="215" t="str" cm="1">
        <f t="array" ref="U120">Common_InputFunctions.Utility_DisplayArrayInTable(Fertiliser_SourceData.Fertiliser_Products_Data2(), FertiliserProducts[[#Headers],[Company]],31)</f>
        <v/>
      </c>
      <c r="V120" s="215" t="str" cm="1">
        <f t="array" ref="V120">Common_InputFunctions.Utility_DisplayArrayInTable(Fertiliser_SourceData.Fertiliser_Products_Data2(), FertiliserProducts[[#Headers],[Company]],31)</f>
        <v/>
      </c>
      <c r="W120" s="215" t="str" cm="1">
        <f t="array" ref="W120">Common_InputFunctions.Utility_DisplayArrayInTable(Fertiliser_SourceData.Fertiliser_Products_Data2(), FertiliserProducts[[#Headers],[Company]],31)</f>
        <v/>
      </c>
      <c r="X120" s="215" t="str" cm="1">
        <f t="array" ref="X120">Common_InputFunctions.Utility_DisplayArrayInTable(Fertiliser_SourceData.Fertiliser_Products_Data2(), FertiliserProducts[[#Headers],[Company]],31)</f>
        <v/>
      </c>
      <c r="Y120" s="215" t="str" cm="1">
        <f t="array" ref="Y120">Common_InputFunctions.Utility_DisplayArrayInTable(Fertiliser_SourceData.Fertiliser_Products_Data2(), FertiliserProducts[[#Headers],[Company]],31)</f>
        <v/>
      </c>
      <c r="Z120" s="215" t="str" cm="1">
        <f t="array" ref="Z120">Common_InputFunctions.Utility_DisplayArrayInTable(Fertiliser_SourceData.Fertiliser_Products_Data2(), FertiliserProducts[[#Headers],[Company]],31)</f>
        <v/>
      </c>
      <c r="AA120" s="215" t="str" cm="1">
        <f t="array" ref="AA120">Common_InputFunctions.Utility_DisplayArrayInTable(Fertiliser_SourceData.Fertiliser_Products_Data2(), FertiliserProducts[[#Headers],[Company]],31)</f>
        <v/>
      </c>
      <c r="AB120" s="215" t="str" cm="1">
        <f t="array" ref="AB120">Common_InputFunctions.Utility_DisplayArrayInTable(Fertiliser_SourceData.Fertiliser_Products_Data2(), FertiliserProducts[[#Headers],[Company]],31)</f>
        <v/>
      </c>
      <c r="AC120" s="215" t="str" cm="1">
        <f t="array" ref="AC120">Common_InputFunctions.Utility_DisplayArrayInTable(Fertiliser_SourceData.Fertiliser_Products_Data2(), FertiliserProducts[[#Headers],[Company]],31)</f>
        <v/>
      </c>
      <c r="AD120" s="215" t="str" cm="1">
        <f t="array" ref="AD120">Common_InputFunctions.Utility_DisplayArrayInTable(Fertiliser_SourceData.Fertiliser_Products_Data2(), FertiliserProducts[[#Headers],[Company]],31)</f>
        <v/>
      </c>
      <c r="AE120" s="215" t="str" cm="1">
        <f t="array" ref="AE120">Common_InputFunctions.Utility_DisplayArrayInTable(Fertiliser_SourceData.Fertiliser_Products_Data2(), FertiliserProducts[[#Headers],[Company]],31)</f>
        <v/>
      </c>
      <c r="AF120" s="215" t="str" cm="1">
        <f t="array" ref="AF120">Common_InputFunctions.Utility_DisplayArrayInTable(Fertiliser_SourceData.Fertiliser_Products_Data2(), FertiliserProducts[[#Headers],[Company]],31)</f>
        <v/>
      </c>
      <c r="AG120" s="215" t="str" cm="1">
        <f t="array" ref="AG120">Common_InputFunctions.Utility_DisplayArrayInTable(Fertiliser_SourceData.Fertiliser_Products_Data2(), FertiliserProducts[[#Headers],[Company]],31)</f>
        <v/>
      </c>
      <c r="AH120" s="215" t="str" cm="1">
        <f t="array" ref="AH120">Common_InputFunctions.Utility_DisplayArrayInTable(Fertiliser_SourceData.Fertiliser_Products_Data2(), FertiliserProducts[[#Headers],[Company]],31)</f>
        <v/>
      </c>
    </row>
    <row r="121" spans="1:34" ht="20.100000000000001" customHeight="1" x14ac:dyDescent="0.25">
      <c r="A121"/>
      <c r="D121" s="215" t="str" cm="1">
        <f t="array" ref="D121">Common_InputFunctions.Utility_DisplayArrayInTable(Fertiliser_SourceData.Fertiliser_Products_Data2(), FertiliserProducts[[#Headers],[Company]],31)</f>
        <v>Incitec Pivot Fertilisers</v>
      </c>
      <c r="E121" s="215" t="str" cm="1">
        <f t="array" ref="E121">Common_InputFunctions.Utility_DisplayArrayInTable(Fertiliser_SourceData.Fertiliser_Products_Data2(), FertiliserProducts[[#Headers],[Company]],31)</f>
        <v>Granulock SS</v>
      </c>
      <c r="F121" s="215" t="str" cm="1">
        <f t="array" ref="F121">Common_InputFunctions.Utility_DisplayArrayInTable(Fertiliser_SourceData.Fertiliser_Products_Data2(), FertiliserProducts[[#Headers],[Company]],31)</f>
        <v>kg</v>
      </c>
      <c r="G121" s="215" cm="1">
        <f t="array" ref="G121">Common_InputFunctions.Utility_DisplayArrayInTable(Fertiliser_SourceData.Fertiliser_Products_Data2(), FertiliserProducts[[#Headers],[Company]],31)</f>
        <v>1</v>
      </c>
      <c r="H121" s="215" t="str" cm="1">
        <f t="array" ref="H121">Common_InputFunctions.Utility_DisplayArrayInTable(Fertiliser_SourceData.Fertiliser_Products_Data2(), FertiliserProducts[[#Headers],[Company]],31)</f>
        <v/>
      </c>
      <c r="I121" s="215" t="str" cm="1">
        <f t="array" ref="I121">Common_InputFunctions.Utility_DisplayArrayInTable(Fertiliser_SourceData.Fertiliser_Products_Data2(), FertiliserProducts[[#Headers],[Company]],31)</f>
        <v/>
      </c>
      <c r="J121" s="215" t="str" cm="1">
        <f t="array" ref="J121">Common_InputFunctions.Utility_DisplayArrayInTable(Fertiliser_SourceData.Fertiliser_Products_Data2(), FertiliserProducts[[#Headers],[Company]],31)</f>
        <v/>
      </c>
      <c r="K121" s="215" cm="1">
        <f t="array" ref="K121">Common_InputFunctions.Utility_DisplayArrayInTable(Fertiliser_SourceData.Fertiliser_Products_Data2(), FertiliserProducts[[#Headers],[Company]],31)</f>
        <v>10</v>
      </c>
      <c r="L121" s="215" cm="1">
        <f t="array" ref="L121">Common_InputFunctions.Utility_DisplayArrayInTable(Fertiliser_SourceData.Fertiliser_Products_Data2(), FertiliserProducts[[#Headers],[Company]],31)</f>
        <v>17.5</v>
      </c>
      <c r="M121" s="215" t="str" cm="1">
        <f t="array" ref="M121">Common_InputFunctions.Utility_DisplayArrayInTable(Fertiliser_SourceData.Fertiliser_Products_Data2(), FertiliserProducts[[#Headers],[Company]],31)</f>
        <v/>
      </c>
      <c r="N121" s="215" cm="1">
        <f t="array" ref="N121">Common_InputFunctions.Utility_DisplayArrayInTable(Fertiliser_SourceData.Fertiliser_Products_Data2(), FertiliserProducts[[#Headers],[Company]],31)</f>
        <v>12</v>
      </c>
      <c r="O121" s="215" t="str" cm="1">
        <f t="array" ref="O121">Common_InputFunctions.Utility_DisplayArrayInTable(Fertiliser_SourceData.Fertiliser_Products_Data2(), FertiliserProducts[[#Headers],[Company]],31)</f>
        <v>Phosphorus - Generic</v>
      </c>
      <c r="P121" s="215" cm="1">
        <f t="array" ref="P121">Common_InputFunctions.Utility_DisplayArrayInTable(Fertiliser_SourceData.Fertiliser_Products_Data2(), FertiliserProducts[[#Headers],[Company]],31)</f>
        <v>0.17499999999999999</v>
      </c>
      <c r="Q121" s="215" t="str" cm="1">
        <f t="array" ref="Q121">Common_InputFunctions.Utility_DisplayArrayInTable(Fertiliser_SourceData.Fertiliser_Products_Data2(), FertiliserProducts[[#Headers],[Company]],31)</f>
        <v>Sulfur - Generic</v>
      </c>
      <c r="R121" s="215" cm="1">
        <f t="array" ref="R121">Common_InputFunctions.Utility_DisplayArrayInTable(Fertiliser_SourceData.Fertiliser_Products_Data2(), FertiliserProducts[[#Headers],[Company]],31)</f>
        <v>0.12</v>
      </c>
      <c r="S121" s="215" t="str" cm="1">
        <f t="array" ref="S121">Common_InputFunctions.Utility_DisplayArrayInTable(Fertiliser_SourceData.Fertiliser_Products_Data2(), FertiliserProducts[[#Headers],[Company]],31)</f>
        <v>Nitrogen - Ammoniacal</v>
      </c>
      <c r="T121" s="215" cm="1">
        <f t="array" ref="T121">Common_InputFunctions.Utility_DisplayArrayInTable(Fertiliser_SourceData.Fertiliser_Products_Data2(), FertiliserProducts[[#Headers],[Company]],31)</f>
        <v>0.1</v>
      </c>
      <c r="U121" s="215" t="str" cm="1">
        <f t="array" ref="U121">Common_InputFunctions.Utility_DisplayArrayInTable(Fertiliser_SourceData.Fertiliser_Products_Data2(), FertiliserProducts[[#Headers],[Company]],31)</f>
        <v>Fluoride</v>
      </c>
      <c r="V121" s="215" cm="1">
        <f t="array" ref="V121">Common_InputFunctions.Utility_DisplayArrayInTable(Fertiliser_SourceData.Fertiliser_Products_Data2(), FertiliserProducts[[#Headers],[Company]],31)</f>
        <v>0.03</v>
      </c>
      <c r="W121" s="215" t="str" cm="1">
        <f t="array" ref="W121">Common_InputFunctions.Utility_DisplayArrayInTable(Fertiliser_SourceData.Fertiliser_Products_Data2(), FertiliserProducts[[#Headers],[Company]],31)</f>
        <v/>
      </c>
      <c r="X121" s="215" t="str" cm="1">
        <f t="array" ref="X121">Common_InputFunctions.Utility_DisplayArrayInTable(Fertiliser_SourceData.Fertiliser_Products_Data2(), FertiliserProducts[[#Headers],[Company]],31)</f>
        <v/>
      </c>
      <c r="Y121" s="215" t="str" cm="1">
        <f t="array" ref="Y121">Common_InputFunctions.Utility_DisplayArrayInTable(Fertiliser_SourceData.Fertiliser_Products_Data2(), FertiliserProducts[[#Headers],[Company]],31)</f>
        <v/>
      </c>
      <c r="Z121" s="215" t="str" cm="1">
        <f t="array" ref="Z121">Common_InputFunctions.Utility_DisplayArrayInTable(Fertiliser_SourceData.Fertiliser_Products_Data2(), FertiliserProducts[[#Headers],[Company]],31)</f>
        <v/>
      </c>
      <c r="AA121" s="215" t="str" cm="1">
        <f t="array" ref="AA121">Common_InputFunctions.Utility_DisplayArrayInTable(Fertiliser_SourceData.Fertiliser_Products_Data2(), FertiliserProducts[[#Headers],[Company]],31)</f>
        <v/>
      </c>
      <c r="AB121" s="215" t="str" cm="1">
        <f t="array" ref="AB121">Common_InputFunctions.Utility_DisplayArrayInTable(Fertiliser_SourceData.Fertiliser_Products_Data2(), FertiliserProducts[[#Headers],[Company]],31)</f>
        <v/>
      </c>
      <c r="AC121" s="215" t="str" cm="1">
        <f t="array" ref="AC121">Common_InputFunctions.Utility_DisplayArrayInTable(Fertiliser_SourceData.Fertiliser_Products_Data2(), FertiliserProducts[[#Headers],[Company]],31)</f>
        <v/>
      </c>
      <c r="AD121" s="215" t="str" cm="1">
        <f t="array" ref="AD121">Common_InputFunctions.Utility_DisplayArrayInTable(Fertiliser_SourceData.Fertiliser_Products_Data2(), FertiliserProducts[[#Headers],[Company]],31)</f>
        <v/>
      </c>
      <c r="AE121" s="215" t="str" cm="1">
        <f t="array" ref="AE121">Common_InputFunctions.Utility_DisplayArrayInTable(Fertiliser_SourceData.Fertiliser_Products_Data2(), FertiliserProducts[[#Headers],[Company]],31)</f>
        <v/>
      </c>
      <c r="AF121" s="215" t="str" cm="1">
        <f t="array" ref="AF121">Common_InputFunctions.Utility_DisplayArrayInTable(Fertiliser_SourceData.Fertiliser_Products_Data2(), FertiliserProducts[[#Headers],[Company]],31)</f>
        <v/>
      </c>
      <c r="AG121" s="215" t="str" cm="1">
        <f t="array" ref="AG121">Common_InputFunctions.Utility_DisplayArrayInTable(Fertiliser_SourceData.Fertiliser_Products_Data2(), FertiliserProducts[[#Headers],[Company]],31)</f>
        <v/>
      </c>
      <c r="AH121" s="215" t="str" cm="1">
        <f t="array" ref="AH121">Common_InputFunctions.Utility_DisplayArrayInTable(Fertiliser_SourceData.Fertiliser_Products_Data2(), FertiliserProducts[[#Headers],[Company]],31)</f>
        <v/>
      </c>
    </row>
    <row r="122" spans="1:34" ht="20.100000000000001" customHeight="1" x14ac:dyDescent="0.25">
      <c r="A122"/>
      <c r="D122" s="215" t="str" cm="1">
        <f t="array" ref="D122">Common_InputFunctions.Utility_DisplayArrayInTable(Fertiliser_SourceData.Fertiliser_Products_Data2(), FertiliserProducts[[#Headers],[Company]],31)</f>
        <v>Incitec Pivot Fertilisers</v>
      </c>
      <c r="E122" s="215" t="str" cm="1">
        <f t="array" ref="E122">Common_InputFunctions.Utility_DisplayArrayInTable(Fertiliser_SourceData.Fertiliser_Products_Data2(), FertiliserProducts[[#Headers],[Company]],31)</f>
        <v>Granulock Z</v>
      </c>
      <c r="F122" s="215" t="str" cm="1">
        <f t="array" ref="F122">Common_InputFunctions.Utility_DisplayArrayInTable(Fertiliser_SourceData.Fertiliser_Products_Data2(), FertiliserProducts[[#Headers],[Company]],31)</f>
        <v>kg</v>
      </c>
      <c r="G122" s="215" cm="1">
        <f t="array" ref="G122">Common_InputFunctions.Utility_DisplayArrayInTable(Fertiliser_SourceData.Fertiliser_Products_Data2(), FertiliserProducts[[#Headers],[Company]],31)</f>
        <v>1</v>
      </c>
      <c r="H122" s="215" t="str" cm="1">
        <f t="array" ref="H122">Common_InputFunctions.Utility_DisplayArrayInTable(Fertiliser_SourceData.Fertiliser_Products_Data2(), FertiliserProducts[[#Headers],[Company]],31)</f>
        <v/>
      </c>
      <c r="I122" s="215" t="str" cm="1">
        <f t="array" ref="I122">Common_InputFunctions.Utility_DisplayArrayInTable(Fertiliser_SourceData.Fertiliser_Products_Data2(), FertiliserProducts[[#Headers],[Company]],31)</f>
        <v/>
      </c>
      <c r="J122" s="215" t="str" cm="1">
        <f t="array" ref="J122">Common_InputFunctions.Utility_DisplayArrayInTable(Fertiliser_SourceData.Fertiliser_Products_Data2(), FertiliserProducts[[#Headers],[Company]],31)</f>
        <v/>
      </c>
      <c r="K122" s="215" cm="1">
        <f t="array" ref="K122">Common_InputFunctions.Utility_DisplayArrayInTable(Fertiliser_SourceData.Fertiliser_Products_Data2(), FertiliserProducts[[#Headers],[Company]],31)</f>
        <v>11</v>
      </c>
      <c r="L122" s="215" cm="1">
        <f t="array" ref="L122">Common_InputFunctions.Utility_DisplayArrayInTable(Fertiliser_SourceData.Fertiliser_Products_Data2(), FertiliserProducts[[#Headers],[Company]],31)</f>
        <v>21.8</v>
      </c>
      <c r="M122" s="215" t="str" cm="1">
        <f t="array" ref="M122">Common_InputFunctions.Utility_DisplayArrayInTable(Fertiliser_SourceData.Fertiliser_Products_Data2(), FertiliserProducts[[#Headers],[Company]],31)</f>
        <v/>
      </c>
      <c r="N122" s="215" cm="1">
        <f t="array" ref="N122">Common_InputFunctions.Utility_DisplayArrayInTable(Fertiliser_SourceData.Fertiliser_Products_Data2(), FertiliserProducts[[#Headers],[Company]],31)</f>
        <v>4</v>
      </c>
      <c r="O122" s="215" t="str" cm="1">
        <f t="array" ref="O122">Common_InputFunctions.Utility_DisplayArrayInTable(Fertiliser_SourceData.Fertiliser_Products_Data2(), FertiliserProducts[[#Headers],[Company]],31)</f>
        <v>Phosphorus - Generic</v>
      </c>
      <c r="P122" s="215" cm="1">
        <f t="array" ref="P122">Common_InputFunctions.Utility_DisplayArrayInTable(Fertiliser_SourceData.Fertiliser_Products_Data2(), FertiliserProducts[[#Headers],[Company]],31)</f>
        <v>0.218</v>
      </c>
      <c r="Q122" s="215" t="str" cm="1">
        <f t="array" ref="Q122">Common_InputFunctions.Utility_DisplayArrayInTable(Fertiliser_SourceData.Fertiliser_Products_Data2(), FertiliserProducts[[#Headers],[Company]],31)</f>
        <v>Nitrogen - Generic</v>
      </c>
      <c r="R122" s="215" cm="1">
        <f t="array" ref="R122">Common_InputFunctions.Utility_DisplayArrayInTable(Fertiliser_SourceData.Fertiliser_Products_Data2(), FertiliserProducts[[#Headers],[Company]],31)</f>
        <v>0.11</v>
      </c>
      <c r="S122" s="215" t="str" cm="1">
        <f t="array" ref="S122">Common_InputFunctions.Utility_DisplayArrayInTable(Fertiliser_SourceData.Fertiliser_Products_Data2(), FertiliserProducts[[#Headers],[Company]],31)</f>
        <v>Sulfur - Generic</v>
      </c>
      <c r="T122" s="215" cm="1">
        <f t="array" ref="T122">Common_InputFunctions.Utility_DisplayArrayInTable(Fertiliser_SourceData.Fertiliser_Products_Data2(), FertiliserProducts[[#Headers],[Company]],31)</f>
        <v>0.04</v>
      </c>
      <c r="U122" s="215" t="str" cm="1">
        <f t="array" ref="U122">Common_InputFunctions.Utility_DisplayArrayInTable(Fertiliser_SourceData.Fertiliser_Products_Data2(), FertiliserProducts[[#Headers],[Company]],31)</f>
        <v>Fluoride</v>
      </c>
      <c r="V122" s="215" cm="1">
        <f t="array" ref="V122">Common_InputFunctions.Utility_DisplayArrayInTable(Fertiliser_SourceData.Fertiliser_Products_Data2(), FertiliserProducts[[#Headers],[Company]],31)</f>
        <v>0.03</v>
      </c>
      <c r="W122" s="215" t="str" cm="1">
        <f t="array" ref="W122">Common_InputFunctions.Utility_DisplayArrayInTable(Fertiliser_SourceData.Fertiliser_Products_Data2(), FertiliserProducts[[#Headers],[Company]],31)</f>
        <v>Zinc</v>
      </c>
      <c r="X122" s="215" cm="1">
        <f t="array" ref="X122">Common_InputFunctions.Utility_DisplayArrayInTable(Fertiliser_SourceData.Fertiliser_Products_Data2(), FertiliserProducts[[#Headers],[Company]],31)</f>
        <v>0.01</v>
      </c>
      <c r="Y122" s="215" t="str" cm="1">
        <f t="array" ref="Y122">Common_InputFunctions.Utility_DisplayArrayInTable(Fertiliser_SourceData.Fertiliser_Products_Data2(), FertiliserProducts[[#Headers],[Company]],31)</f>
        <v/>
      </c>
      <c r="Z122" s="215" t="str" cm="1">
        <f t="array" ref="Z122">Common_InputFunctions.Utility_DisplayArrayInTable(Fertiliser_SourceData.Fertiliser_Products_Data2(), FertiliserProducts[[#Headers],[Company]],31)</f>
        <v/>
      </c>
      <c r="AA122" s="215" t="str" cm="1">
        <f t="array" ref="AA122">Common_InputFunctions.Utility_DisplayArrayInTable(Fertiliser_SourceData.Fertiliser_Products_Data2(), FertiliserProducts[[#Headers],[Company]],31)</f>
        <v/>
      </c>
      <c r="AB122" s="215" t="str" cm="1">
        <f t="array" ref="AB122">Common_InputFunctions.Utility_DisplayArrayInTable(Fertiliser_SourceData.Fertiliser_Products_Data2(), FertiliserProducts[[#Headers],[Company]],31)</f>
        <v/>
      </c>
      <c r="AC122" s="215" t="str" cm="1">
        <f t="array" ref="AC122">Common_InputFunctions.Utility_DisplayArrayInTable(Fertiliser_SourceData.Fertiliser_Products_Data2(), FertiliserProducts[[#Headers],[Company]],31)</f>
        <v/>
      </c>
      <c r="AD122" s="215" t="str" cm="1">
        <f t="array" ref="AD122">Common_InputFunctions.Utility_DisplayArrayInTable(Fertiliser_SourceData.Fertiliser_Products_Data2(), FertiliserProducts[[#Headers],[Company]],31)</f>
        <v/>
      </c>
      <c r="AE122" s="215" t="str" cm="1">
        <f t="array" ref="AE122">Common_InputFunctions.Utility_DisplayArrayInTable(Fertiliser_SourceData.Fertiliser_Products_Data2(), FertiliserProducts[[#Headers],[Company]],31)</f>
        <v/>
      </c>
      <c r="AF122" s="215" t="str" cm="1">
        <f t="array" ref="AF122">Common_InputFunctions.Utility_DisplayArrayInTable(Fertiliser_SourceData.Fertiliser_Products_Data2(), FertiliserProducts[[#Headers],[Company]],31)</f>
        <v/>
      </c>
      <c r="AG122" s="215" t="str" cm="1">
        <f t="array" ref="AG122">Common_InputFunctions.Utility_DisplayArrayInTable(Fertiliser_SourceData.Fertiliser_Products_Data2(), FertiliserProducts[[#Headers],[Company]],31)</f>
        <v/>
      </c>
      <c r="AH122" s="215" t="str" cm="1">
        <f t="array" ref="AH122">Common_InputFunctions.Utility_DisplayArrayInTable(Fertiliser_SourceData.Fertiliser_Products_Data2(), FertiliserProducts[[#Headers],[Company]],31)</f>
        <v/>
      </c>
    </row>
    <row r="123" spans="1:34" ht="20.100000000000001" customHeight="1" x14ac:dyDescent="0.25">
      <c r="A123"/>
      <c r="D123" s="215" t="str" cm="1">
        <f t="array" ref="D123">Common_InputFunctions.Utility_DisplayArrayInTable(Fertiliser_SourceData.Fertiliser_Products_Data2(), FertiliserProducts[[#Headers],[Company]],31)</f>
        <v>Incitec Pivot Fertilisers</v>
      </c>
      <c r="E123" s="215" t="str" cm="1">
        <f t="array" ref="E123">Common_InputFunctions.Utility_DisplayArrayInTable(Fertiliser_SourceData.Fertiliser_Products_Data2(), FertiliserProducts[[#Headers],[Company]],31)</f>
        <v>Farm Ag Leichhardt</v>
      </c>
      <c r="F123" s="215" t="str" cm="1">
        <f t="array" ref="F123">Common_InputFunctions.Utility_DisplayArrayInTable(Fertiliser_SourceData.Fertiliser_Products_Data2(), FertiliserProducts[[#Headers],[Company]],31)</f>
        <v>kg</v>
      </c>
      <c r="G123" s="215" cm="1">
        <f t="array" ref="G123">Common_InputFunctions.Utility_DisplayArrayInTable(Fertiliser_SourceData.Fertiliser_Products_Data2(), FertiliserProducts[[#Headers],[Company]],31)</f>
        <v>1</v>
      </c>
      <c r="H123" s="215" t="str" cm="1">
        <f t="array" ref="H123">Common_InputFunctions.Utility_DisplayArrayInTable(Fertiliser_SourceData.Fertiliser_Products_Data2(), FertiliserProducts[[#Headers],[Company]],31)</f>
        <v/>
      </c>
      <c r="I123" s="215" t="str" cm="1">
        <f t="array" ref="I123">Common_InputFunctions.Utility_DisplayArrayInTable(Fertiliser_SourceData.Fertiliser_Products_Data2(), FertiliserProducts[[#Headers],[Company]],31)</f>
        <v/>
      </c>
      <c r="J123" s="215" t="str" cm="1">
        <f t="array" ref="J123">Common_InputFunctions.Utility_DisplayArrayInTable(Fertiliser_SourceData.Fertiliser_Products_Data2(), FertiliserProducts[[#Headers],[Company]],31)</f>
        <v/>
      </c>
      <c r="K123" s="215" cm="1">
        <f t="array" ref="K123">Common_InputFunctions.Utility_DisplayArrayInTable(Fertiliser_SourceData.Fertiliser_Products_Data2(), FertiliserProducts[[#Headers],[Company]],31)</f>
        <v>32.5</v>
      </c>
      <c r="L123" s="215" cm="1">
        <f t="array" ref="L123">Common_InputFunctions.Utility_DisplayArrayInTable(Fertiliser_SourceData.Fertiliser_Products_Data2(), FertiliserProducts[[#Headers],[Company]],31)</f>
        <v>5.4</v>
      </c>
      <c r="M123" s="215" cm="1">
        <f t="array" ref="M123">Common_InputFunctions.Utility_DisplayArrayInTable(Fertiliser_SourceData.Fertiliser_Products_Data2(), FertiliserProducts[[#Headers],[Company]],31)</f>
        <v>6.25</v>
      </c>
      <c r="N123" s="215" t="str" cm="1">
        <f t="array" ref="N123">Common_InputFunctions.Utility_DisplayArrayInTable(Fertiliser_SourceData.Fertiliser_Products_Data2(), FertiliserProducts[[#Headers],[Company]],31)</f>
        <v/>
      </c>
      <c r="O123" s="215" t="str" cm="1">
        <f t="array" ref="O123">Common_InputFunctions.Utility_DisplayArrayInTable(Fertiliser_SourceData.Fertiliser_Products_Data2(), FertiliserProducts[[#Headers],[Company]],31)</f>
        <v>Urea</v>
      </c>
      <c r="P123" s="215" cm="1">
        <f t="array" ref="P123">Common_InputFunctions.Utility_DisplayArrayInTable(Fertiliser_SourceData.Fertiliser_Products_Data2(), FertiliserProducts[[#Headers],[Company]],31)</f>
        <v>0.6</v>
      </c>
      <c r="Q123" s="215" t="str" cm="1">
        <f t="array" ref="Q123">Common_InputFunctions.Utility_DisplayArrayInTable(Fertiliser_SourceData.Fertiliser_Products_Data2(), FertiliserProducts[[#Headers],[Company]],31)</f>
        <v>Nitrogen - Ammoniacal</v>
      </c>
      <c r="R123" s="215" cm="1">
        <f t="array" ref="R123">Common_InputFunctions.Utility_DisplayArrayInTable(Fertiliser_SourceData.Fertiliser_Products_Data2(), FertiliserProducts[[#Headers],[Company]],31)</f>
        <v>4.9000000000000002E-2</v>
      </c>
      <c r="S123" s="215" t="str" cm="1">
        <f t="array" ref="S123">Common_InputFunctions.Utility_DisplayArrayInTable(Fertiliser_SourceData.Fertiliser_Products_Data2(), FertiliserProducts[[#Headers],[Company]],31)</f>
        <v>Phosphorus - Generic</v>
      </c>
      <c r="T123" s="215" cm="1">
        <f t="array" ref="T123">Common_InputFunctions.Utility_DisplayArrayInTable(Fertiliser_SourceData.Fertiliser_Products_Data2(), FertiliserProducts[[#Headers],[Company]],31)</f>
        <v>5.3999999999999999E-2</v>
      </c>
      <c r="U123" s="215" t="str" cm="1">
        <f t="array" ref="U123">Common_InputFunctions.Utility_DisplayArrayInTable(Fertiliser_SourceData.Fertiliser_Products_Data2(), FertiliserProducts[[#Headers],[Company]],31)</f>
        <v>Muriate of potash (MOP)</v>
      </c>
      <c r="V123" s="215" cm="1">
        <f t="array" ref="V123">Common_InputFunctions.Utility_DisplayArrayInTable(Fertiliser_SourceData.Fertiliser_Products_Data2(), FertiliserProducts[[#Headers],[Company]],31)</f>
        <v>0.125</v>
      </c>
      <c r="W123" s="215" t="str" cm="1">
        <f t="array" ref="W123">Common_InputFunctions.Utility_DisplayArrayInTable(Fertiliser_SourceData.Fertiliser_Products_Data2(), FertiliserProducts[[#Headers],[Company]],31)</f>
        <v/>
      </c>
      <c r="X123" s="215" t="str" cm="1">
        <f t="array" ref="X123">Common_InputFunctions.Utility_DisplayArrayInTable(Fertiliser_SourceData.Fertiliser_Products_Data2(), FertiliserProducts[[#Headers],[Company]],31)</f>
        <v/>
      </c>
      <c r="Y123" s="215" t="str" cm="1">
        <f t="array" ref="Y123">Common_InputFunctions.Utility_DisplayArrayInTable(Fertiliser_SourceData.Fertiliser_Products_Data2(), FertiliserProducts[[#Headers],[Company]],31)</f>
        <v/>
      </c>
      <c r="Z123" s="215" t="str" cm="1">
        <f t="array" ref="Z123">Common_InputFunctions.Utility_DisplayArrayInTable(Fertiliser_SourceData.Fertiliser_Products_Data2(), FertiliserProducts[[#Headers],[Company]],31)</f>
        <v/>
      </c>
      <c r="AA123" s="215" t="str" cm="1">
        <f t="array" ref="AA123">Common_InputFunctions.Utility_DisplayArrayInTable(Fertiliser_SourceData.Fertiliser_Products_Data2(), FertiliserProducts[[#Headers],[Company]],31)</f>
        <v/>
      </c>
      <c r="AB123" s="215" t="str" cm="1">
        <f t="array" ref="AB123">Common_InputFunctions.Utility_DisplayArrayInTable(Fertiliser_SourceData.Fertiliser_Products_Data2(), FertiliserProducts[[#Headers],[Company]],31)</f>
        <v/>
      </c>
      <c r="AC123" s="215" t="str" cm="1">
        <f t="array" ref="AC123">Common_InputFunctions.Utility_DisplayArrayInTable(Fertiliser_SourceData.Fertiliser_Products_Data2(), FertiliserProducts[[#Headers],[Company]],31)</f>
        <v/>
      </c>
      <c r="AD123" s="215" t="str" cm="1">
        <f t="array" ref="AD123">Common_InputFunctions.Utility_DisplayArrayInTable(Fertiliser_SourceData.Fertiliser_Products_Data2(), FertiliserProducts[[#Headers],[Company]],31)</f>
        <v/>
      </c>
      <c r="AE123" s="215" t="str" cm="1">
        <f t="array" ref="AE123">Common_InputFunctions.Utility_DisplayArrayInTable(Fertiliser_SourceData.Fertiliser_Products_Data2(), FertiliserProducts[[#Headers],[Company]],31)</f>
        <v/>
      </c>
      <c r="AF123" s="215" t="str" cm="1">
        <f t="array" ref="AF123">Common_InputFunctions.Utility_DisplayArrayInTable(Fertiliser_SourceData.Fertiliser_Products_Data2(), FertiliserProducts[[#Headers],[Company]],31)</f>
        <v/>
      </c>
      <c r="AG123" s="215" t="str" cm="1">
        <f t="array" ref="AG123">Common_InputFunctions.Utility_DisplayArrayInTable(Fertiliser_SourceData.Fertiliser_Products_Data2(), FertiliserProducts[[#Headers],[Company]],31)</f>
        <v/>
      </c>
      <c r="AH123" s="215" t="str" cm="1">
        <f t="array" ref="AH123">Common_InputFunctions.Utility_DisplayArrayInTable(Fertiliser_SourceData.Fertiliser_Products_Data2(), FertiliserProducts[[#Headers],[Company]],31)</f>
        <v/>
      </c>
    </row>
    <row r="124" spans="1:34" ht="20.100000000000001" customHeight="1" x14ac:dyDescent="0.25">
      <c r="A124"/>
      <c r="D124" s="215" t="str" cm="1">
        <f t="array" ref="D124">Common_InputFunctions.Utility_DisplayArrayInTable(Fertiliser_SourceData.Fertiliser_Products_Data2(), FertiliserProducts[[#Headers],[Company]],31)</f>
        <v>Ravensdown</v>
      </c>
      <c r="E124" s="215" t="str" cm="1">
        <f t="array" ref="E124">Common_InputFunctions.Utility_DisplayArrayInTable(Fertiliser_SourceData.Fertiliser_Products_Data2(), FertiliserProducts[[#Headers],[Company]],31)</f>
        <v>Flexi-N NBPT</v>
      </c>
      <c r="F124" s="215" t="str" cm="1">
        <f t="array" ref="F124">Common_InputFunctions.Utility_DisplayArrayInTable(Fertiliser_SourceData.Fertiliser_Products_Data2(), FertiliserProducts[[#Headers],[Company]],31)</f>
        <v>kg</v>
      </c>
      <c r="G124" s="215" cm="1">
        <f t="array" ref="G124">Common_InputFunctions.Utility_DisplayArrayInTable(Fertiliser_SourceData.Fertiliser_Products_Data2(), FertiliserProducts[[#Headers],[Company]],31)</f>
        <v>1</v>
      </c>
      <c r="H124" s="215" t="str" cm="1">
        <f t="array" ref="H124">Common_InputFunctions.Utility_DisplayArrayInTable(Fertiliser_SourceData.Fertiliser_Products_Data2(), FertiliserProducts[[#Headers],[Company]],31)</f>
        <v>Yes</v>
      </c>
      <c r="I124" s="215" t="str" cm="1">
        <f t="array" ref="I124">Common_InputFunctions.Utility_DisplayArrayInTable(Fertiliser_SourceData.Fertiliser_Products_Data2(), FertiliserProducts[[#Headers],[Company]],31)</f>
        <v/>
      </c>
      <c r="J124" s="215" t="str" cm="1">
        <f t="array" ref="J124">Common_InputFunctions.Utility_DisplayArrayInTable(Fertiliser_SourceData.Fertiliser_Products_Data2(), FertiliserProducts[[#Headers],[Company]],31)</f>
        <v/>
      </c>
      <c r="K124" s="215" cm="1">
        <f t="array" ref="K124">Common_InputFunctions.Utility_DisplayArrayInTable(Fertiliser_SourceData.Fertiliser_Products_Data2(), FertiliserProducts[[#Headers],[Company]],31)</f>
        <v>45.54</v>
      </c>
      <c r="L124" s="215" t="str" cm="1">
        <f t="array" ref="L124">Common_InputFunctions.Utility_DisplayArrayInTable(Fertiliser_SourceData.Fertiliser_Products_Data2(), FertiliserProducts[[#Headers],[Company]],31)</f>
        <v/>
      </c>
      <c r="M124" s="215" t="str" cm="1">
        <f t="array" ref="M124">Common_InputFunctions.Utility_DisplayArrayInTable(Fertiliser_SourceData.Fertiliser_Products_Data2(), FertiliserProducts[[#Headers],[Company]],31)</f>
        <v/>
      </c>
      <c r="N124" s="215" t="str" cm="1">
        <f t="array" ref="N124">Common_InputFunctions.Utility_DisplayArrayInTable(Fertiliser_SourceData.Fertiliser_Products_Data2(), FertiliserProducts[[#Headers],[Company]],31)</f>
        <v/>
      </c>
      <c r="O124" s="215" t="str" cm="1">
        <f t="array" ref="O124">Common_InputFunctions.Utility_DisplayArrayInTable(Fertiliser_SourceData.Fertiliser_Products_Data2(), FertiliserProducts[[#Headers],[Company]],31)</f>
        <v>Urea</v>
      </c>
      <c r="P124" s="215" cm="1">
        <f t="array" ref="P124">Common_InputFunctions.Utility_DisplayArrayInTable(Fertiliser_SourceData.Fertiliser_Products_Data2(), FertiliserProducts[[#Headers],[Company]],31)</f>
        <v>0.99</v>
      </c>
      <c r="Q124" s="215" t="str" cm="1">
        <f t="array" ref="Q124">Common_InputFunctions.Utility_DisplayArrayInTable(Fertiliser_SourceData.Fertiliser_Products_Data2(), FertiliserProducts[[#Headers],[Company]],31)</f>
        <v/>
      </c>
      <c r="R124" s="215" t="str" cm="1">
        <f t="array" ref="R124">Common_InputFunctions.Utility_DisplayArrayInTable(Fertiliser_SourceData.Fertiliser_Products_Data2(), FertiliserProducts[[#Headers],[Company]],31)</f>
        <v/>
      </c>
      <c r="S124" s="215" t="str" cm="1">
        <f t="array" ref="S124">Common_InputFunctions.Utility_DisplayArrayInTable(Fertiliser_SourceData.Fertiliser_Products_Data2(), FertiliserProducts[[#Headers],[Company]],31)</f>
        <v/>
      </c>
      <c r="T124" s="215" t="str" cm="1">
        <f t="array" ref="T124">Common_InputFunctions.Utility_DisplayArrayInTable(Fertiliser_SourceData.Fertiliser_Products_Data2(), FertiliserProducts[[#Headers],[Company]],31)</f>
        <v/>
      </c>
      <c r="U124" s="215" t="str" cm="1">
        <f t="array" ref="U124">Common_InputFunctions.Utility_DisplayArrayInTable(Fertiliser_SourceData.Fertiliser_Products_Data2(), FertiliserProducts[[#Headers],[Company]],31)</f>
        <v/>
      </c>
      <c r="V124" s="215" t="str" cm="1">
        <f t="array" ref="V124">Common_InputFunctions.Utility_DisplayArrayInTable(Fertiliser_SourceData.Fertiliser_Products_Data2(), FertiliserProducts[[#Headers],[Company]],31)</f>
        <v/>
      </c>
      <c r="W124" s="215" t="str" cm="1">
        <f t="array" ref="W124">Common_InputFunctions.Utility_DisplayArrayInTable(Fertiliser_SourceData.Fertiliser_Products_Data2(), FertiliserProducts[[#Headers],[Company]],31)</f>
        <v/>
      </c>
      <c r="X124" s="215" t="str" cm="1">
        <f t="array" ref="X124">Common_InputFunctions.Utility_DisplayArrayInTable(Fertiliser_SourceData.Fertiliser_Products_Data2(), FertiliserProducts[[#Headers],[Company]],31)</f>
        <v/>
      </c>
      <c r="Y124" s="215" t="str" cm="1">
        <f t="array" ref="Y124">Common_InputFunctions.Utility_DisplayArrayInTable(Fertiliser_SourceData.Fertiliser_Products_Data2(), FertiliserProducts[[#Headers],[Company]],31)</f>
        <v/>
      </c>
      <c r="Z124" s="215" t="str" cm="1">
        <f t="array" ref="Z124">Common_InputFunctions.Utility_DisplayArrayInTable(Fertiliser_SourceData.Fertiliser_Products_Data2(), FertiliserProducts[[#Headers],[Company]],31)</f>
        <v/>
      </c>
      <c r="AA124" s="215" t="str" cm="1">
        <f t="array" ref="AA124">Common_InputFunctions.Utility_DisplayArrayInTable(Fertiliser_SourceData.Fertiliser_Products_Data2(), FertiliserProducts[[#Headers],[Company]],31)</f>
        <v/>
      </c>
      <c r="AB124" s="215" t="str" cm="1">
        <f t="array" ref="AB124">Common_InputFunctions.Utility_DisplayArrayInTable(Fertiliser_SourceData.Fertiliser_Products_Data2(), FertiliserProducts[[#Headers],[Company]],31)</f>
        <v/>
      </c>
      <c r="AC124" s="215" t="str" cm="1">
        <f t="array" ref="AC124">Common_InputFunctions.Utility_DisplayArrayInTable(Fertiliser_SourceData.Fertiliser_Products_Data2(), FertiliserProducts[[#Headers],[Company]],31)</f>
        <v/>
      </c>
      <c r="AD124" s="215" t="str" cm="1">
        <f t="array" ref="AD124">Common_InputFunctions.Utility_DisplayArrayInTable(Fertiliser_SourceData.Fertiliser_Products_Data2(), FertiliserProducts[[#Headers],[Company]],31)</f>
        <v/>
      </c>
      <c r="AE124" s="215" t="str" cm="1">
        <f t="array" ref="AE124">Common_InputFunctions.Utility_DisplayArrayInTable(Fertiliser_SourceData.Fertiliser_Products_Data2(), FertiliserProducts[[#Headers],[Company]],31)</f>
        <v/>
      </c>
      <c r="AF124" s="215" t="str" cm="1">
        <f t="array" ref="AF124">Common_InputFunctions.Utility_DisplayArrayInTable(Fertiliser_SourceData.Fertiliser_Products_Data2(), FertiliserProducts[[#Headers],[Company]],31)</f>
        <v/>
      </c>
      <c r="AG124" s="215" t="str" cm="1">
        <f t="array" ref="AG124">Common_InputFunctions.Utility_DisplayArrayInTable(Fertiliser_SourceData.Fertiliser_Products_Data2(), FertiliserProducts[[#Headers],[Company]],31)</f>
        <v/>
      </c>
      <c r="AH124" s="215" t="str" cm="1">
        <f t="array" ref="AH124">Common_InputFunctions.Utility_DisplayArrayInTable(Fertiliser_SourceData.Fertiliser_Products_Data2(), FertiliserProducts[[#Headers],[Company]],31)</f>
        <v/>
      </c>
    </row>
    <row r="125" spans="1:34" ht="20.100000000000001" customHeight="1" x14ac:dyDescent="0.25">
      <c r="A125"/>
      <c r="D125" s="215" t="str" cm="1">
        <f t="array" ref="D125">Common_InputFunctions.Utility_DisplayArrayInTable(Fertiliser_SourceData.Fertiliser_Products_Data2(), FertiliserProducts[[#Headers],[Company]],31)</f>
        <v>Campbells fertilisers Australia</v>
      </c>
      <c r="E125" s="215" t="str" cm="1">
        <f t="array" ref="E125">Common_InputFunctions.Utility_DisplayArrayInTable(Fertiliser_SourceData.Fertiliser_Products_Data2(), FertiliserProducts[[#Headers],[Company]],31)</f>
        <v>Gold Premium</v>
      </c>
      <c r="F125" s="215" t="str" cm="1">
        <f t="array" ref="F125">Common_InputFunctions.Utility_DisplayArrayInTable(Fertiliser_SourceData.Fertiliser_Products_Data2(), FertiliserProducts[[#Headers],[Company]],31)</f>
        <v>kg</v>
      </c>
      <c r="G125" s="215" cm="1">
        <f t="array" ref="G125">Common_InputFunctions.Utility_DisplayArrayInTable(Fertiliser_SourceData.Fertiliser_Products_Data2(), FertiliserProducts[[#Headers],[Company]],31)</f>
        <v>1</v>
      </c>
      <c r="H125" s="215" t="str" cm="1">
        <f t="array" ref="H125">Common_InputFunctions.Utility_DisplayArrayInTable(Fertiliser_SourceData.Fertiliser_Products_Data2(), FertiliserProducts[[#Headers],[Company]],31)</f>
        <v/>
      </c>
      <c r="I125" s="215" t="str" cm="1">
        <f t="array" ref="I125">Common_InputFunctions.Utility_DisplayArrayInTable(Fertiliser_SourceData.Fertiliser_Products_Data2(), FertiliserProducts[[#Headers],[Company]],31)</f>
        <v/>
      </c>
      <c r="J125" s="215" t="str" cm="1">
        <f t="array" ref="J125">Common_InputFunctions.Utility_DisplayArrayInTable(Fertiliser_SourceData.Fertiliser_Products_Data2(), FertiliserProducts[[#Headers],[Company]],31)</f>
        <v/>
      </c>
      <c r="K125" s="215" cm="1">
        <f t="array" ref="K125">Common_InputFunctions.Utility_DisplayArrayInTable(Fertiliser_SourceData.Fertiliser_Products_Data2(), FertiliserProducts[[#Headers],[Company]],31)</f>
        <v>14.87</v>
      </c>
      <c r="L125" s="215" cm="1">
        <f t="array" ref="L125">Common_InputFunctions.Utility_DisplayArrayInTable(Fertiliser_SourceData.Fertiliser_Products_Data2(), FertiliserProducts[[#Headers],[Company]],31)</f>
        <v>2.2000000000000002</v>
      </c>
      <c r="M125" s="215" cm="1">
        <f t="array" ref="M125">Common_InputFunctions.Utility_DisplayArrayInTable(Fertiliser_SourceData.Fertiliser_Products_Data2(), FertiliserProducts[[#Headers],[Company]],31)</f>
        <v>16.600000000000001</v>
      </c>
      <c r="N125" s="215" cm="1">
        <f t="array" ref="N125">Common_InputFunctions.Utility_DisplayArrayInTable(Fertiliser_SourceData.Fertiliser_Products_Data2(), FertiliserProducts[[#Headers],[Company]],31)</f>
        <v>8</v>
      </c>
      <c r="O125" s="215" t="str" cm="1">
        <f t="array" ref="O125">Common_InputFunctions.Utility_DisplayArrayInTable(Fertiliser_SourceData.Fertiliser_Products_Data2(), FertiliserProducts[[#Headers],[Company]],31)</f>
        <v>Ammonium nitrate (AN)</v>
      </c>
      <c r="P125" s="215" cm="1">
        <f t="array" ref="P125">Common_InputFunctions.Utility_DisplayArrayInTable(Fertiliser_SourceData.Fertiliser_Products_Data2(), FertiliserProducts[[#Headers],[Company]],31)</f>
        <v>0.44117600000000001</v>
      </c>
      <c r="Q125" s="215" t="str" cm="1">
        <f t="array" ref="Q125">Common_InputFunctions.Utility_DisplayArrayInTable(Fertiliser_SourceData.Fertiliser_Products_Data2(), FertiliserProducts[[#Headers],[Company]],31)</f>
        <v>Potassium - Generic</v>
      </c>
      <c r="R125" s="215" cm="1">
        <f t="array" ref="R125">Common_InputFunctions.Utility_DisplayArrayInTable(Fertiliser_SourceData.Fertiliser_Products_Data2(), FertiliserProducts[[#Headers],[Company]],31)</f>
        <v>0.16600000000000001</v>
      </c>
      <c r="S125" s="215" t="str" cm="1">
        <f t="array" ref="S125">Common_InputFunctions.Utility_DisplayArrayInTable(Fertiliser_SourceData.Fertiliser_Products_Data2(), FertiliserProducts[[#Headers],[Company]],31)</f>
        <v>Sulfur - Generic</v>
      </c>
      <c r="T125" s="215" cm="1">
        <f t="array" ref="T125">Common_InputFunctions.Utility_DisplayArrayInTable(Fertiliser_SourceData.Fertiliser_Products_Data2(), FertiliserProducts[[#Headers],[Company]],31)</f>
        <v>0.08</v>
      </c>
      <c r="U125" s="215" t="str" cm="1">
        <f t="array" ref="U125">Common_InputFunctions.Utility_DisplayArrayInTable(Fertiliser_SourceData.Fertiliser_Products_Data2(), FertiliserProducts[[#Headers],[Company]],31)</f>
        <v>Phosphorus - Generic</v>
      </c>
      <c r="V125" s="215" cm="1">
        <f t="array" ref="V125">Common_InputFunctions.Utility_DisplayArrayInTable(Fertiliser_SourceData.Fertiliser_Products_Data2(), FertiliserProducts[[#Headers],[Company]],31)</f>
        <v>2.1999999999999999E-2</v>
      </c>
      <c r="W125" s="215" t="str" cm="1">
        <f t="array" ref="W125">Common_InputFunctions.Utility_DisplayArrayInTable(Fertiliser_SourceData.Fertiliser_Products_Data2(), FertiliserProducts[[#Headers],[Company]],31)</f>
        <v>Magnesium</v>
      </c>
      <c r="X125" s="215" cm="1">
        <f t="array" ref="X125">Common_InputFunctions.Utility_DisplayArrayInTable(Fertiliser_SourceData.Fertiliser_Products_Data2(), FertiliserProducts[[#Headers],[Company]],31)</f>
        <v>1.2E-2</v>
      </c>
      <c r="Y125" s="215" t="str" cm="1">
        <f t="array" ref="Y125">Common_InputFunctions.Utility_DisplayArrayInTable(Fertiliser_SourceData.Fertiliser_Products_Data2(), FertiliserProducts[[#Headers],[Company]],31)</f>
        <v>Boron</v>
      </c>
      <c r="Z125" s="215" cm="1">
        <f t="array" ref="Z125">Common_InputFunctions.Utility_DisplayArrayInTable(Fertiliser_SourceData.Fertiliser_Products_Data2(), FertiliserProducts[[#Headers],[Company]],31)</f>
        <v>2.0000000000000001E-4</v>
      </c>
      <c r="AA125" s="215" t="str" cm="1">
        <f t="array" ref="AA125">Common_InputFunctions.Utility_DisplayArrayInTable(Fertiliser_SourceData.Fertiliser_Products_Data2(), FertiliserProducts[[#Headers],[Company]],31)</f>
        <v>Zinc</v>
      </c>
      <c r="AB125" s="215" cm="1">
        <f t="array" ref="AB125">Common_InputFunctions.Utility_DisplayArrayInTable(Fertiliser_SourceData.Fertiliser_Products_Data2(), FertiliserProducts[[#Headers],[Company]],31)</f>
        <v>1E-4</v>
      </c>
      <c r="AC125" s="215" t="str" cm="1">
        <f t="array" ref="AC125">Common_InputFunctions.Utility_DisplayArrayInTable(Fertiliser_SourceData.Fertiliser_Products_Data2(), FertiliserProducts[[#Headers],[Company]],31)</f>
        <v/>
      </c>
      <c r="AD125" s="215" t="str" cm="1">
        <f t="array" ref="AD125">Common_InputFunctions.Utility_DisplayArrayInTable(Fertiliser_SourceData.Fertiliser_Products_Data2(), FertiliserProducts[[#Headers],[Company]],31)</f>
        <v/>
      </c>
      <c r="AE125" s="215" t="str" cm="1">
        <f t="array" ref="AE125">Common_InputFunctions.Utility_DisplayArrayInTable(Fertiliser_SourceData.Fertiliser_Products_Data2(), FertiliserProducts[[#Headers],[Company]],31)</f>
        <v/>
      </c>
      <c r="AF125" s="215" t="str" cm="1">
        <f t="array" ref="AF125">Common_InputFunctions.Utility_DisplayArrayInTable(Fertiliser_SourceData.Fertiliser_Products_Data2(), FertiliserProducts[[#Headers],[Company]],31)</f>
        <v/>
      </c>
      <c r="AG125" s="215" t="str" cm="1">
        <f t="array" ref="AG125">Common_InputFunctions.Utility_DisplayArrayInTable(Fertiliser_SourceData.Fertiliser_Products_Data2(), FertiliserProducts[[#Headers],[Company]],31)</f>
        <v/>
      </c>
      <c r="AH125" s="215" t="str" cm="1">
        <f t="array" ref="AH125">Common_InputFunctions.Utility_DisplayArrayInTable(Fertiliser_SourceData.Fertiliser_Products_Data2(), FertiliserProducts[[#Headers],[Company]],31)</f>
        <v/>
      </c>
    </row>
    <row r="126" spans="1:34" ht="20.100000000000001" customHeight="1" x14ac:dyDescent="0.25">
      <c r="A126"/>
      <c r="D126" s="215" t="str" cm="1">
        <f t="array" ref="D126">Common_InputFunctions.Utility_DisplayArrayInTable(Fertiliser_SourceData.Fertiliser_Products_Data2(), FertiliserProducts[[#Headers],[Company]],31)</f>
        <v>SL Tec</v>
      </c>
      <c r="E126" s="215" t="str" cm="1">
        <f t="array" ref="E126">Common_InputFunctions.Utility_DisplayArrayInTable(Fertiliser_SourceData.Fertiliser_Products_Data2(), FertiliserProducts[[#Headers],[Company]],31)</f>
        <v>High NS</v>
      </c>
      <c r="F126" s="215" t="str" cm="1">
        <f t="array" ref="F126">Common_InputFunctions.Utility_DisplayArrayInTable(Fertiliser_SourceData.Fertiliser_Products_Data2(), FertiliserProducts[[#Headers],[Company]],31)</f>
        <v>L</v>
      </c>
      <c r="G126" s="215" cm="1">
        <f t="array" ref="G126">Common_InputFunctions.Utility_DisplayArrayInTable(Fertiliser_SourceData.Fertiliser_Products_Data2(), FertiliserProducts[[#Headers],[Company]],31)</f>
        <v>1.2989999999999999</v>
      </c>
      <c r="H126" s="215" t="str" cm="1">
        <f t="array" ref="H126">Common_InputFunctions.Utility_DisplayArrayInTable(Fertiliser_SourceData.Fertiliser_Products_Data2(), FertiliserProducts[[#Headers],[Company]],31)</f>
        <v/>
      </c>
      <c r="I126" s="215" t="str" cm="1">
        <f t="array" ref="I126">Common_InputFunctions.Utility_DisplayArrayInTable(Fertiliser_SourceData.Fertiliser_Products_Data2(), FertiliserProducts[[#Headers],[Company]],31)</f>
        <v/>
      </c>
      <c r="J126" s="215" t="str" cm="1">
        <f t="array" ref="J126">Common_InputFunctions.Utility_DisplayArrayInTable(Fertiliser_SourceData.Fertiliser_Products_Data2(), FertiliserProducts[[#Headers],[Company]],31)</f>
        <v/>
      </c>
      <c r="K126" s="215" cm="1">
        <f t="array" ref="K126">Common_InputFunctions.Utility_DisplayArrayInTable(Fertiliser_SourceData.Fertiliser_Products_Data2(), FertiliserProducts[[#Headers],[Company]],31)</f>
        <v>38</v>
      </c>
      <c r="L126" s="215" t="str" cm="1">
        <f t="array" ref="L126">Common_InputFunctions.Utility_DisplayArrayInTable(Fertiliser_SourceData.Fertiliser_Products_Data2(), FertiliserProducts[[#Headers],[Company]],31)</f>
        <v/>
      </c>
      <c r="M126" s="215" t="str" cm="1">
        <f t="array" ref="M126">Common_InputFunctions.Utility_DisplayArrayInTable(Fertiliser_SourceData.Fertiliser_Products_Data2(), FertiliserProducts[[#Headers],[Company]],31)</f>
        <v/>
      </c>
      <c r="N126" s="215" cm="1">
        <f t="array" ref="N126">Common_InputFunctions.Utility_DisplayArrayInTable(Fertiliser_SourceData.Fertiliser_Products_Data2(), FertiliserProducts[[#Headers],[Company]],31)</f>
        <v>2</v>
      </c>
      <c r="O126" s="215" t="str" cm="1">
        <f t="array" ref="O126">Common_InputFunctions.Utility_DisplayArrayInTable(Fertiliser_SourceData.Fertiliser_Products_Data2(), FertiliserProducts[[#Headers],[Company]],31)</f>
        <v>Urea</v>
      </c>
      <c r="P126" s="215" cm="1">
        <f t="array" ref="P126">Common_InputFunctions.Utility_DisplayArrayInTable(Fertiliser_SourceData.Fertiliser_Products_Data2(), FertiliserProducts[[#Headers],[Company]],31)</f>
        <v>0.46087</v>
      </c>
      <c r="Q126" s="215" t="str" cm="1">
        <f t="array" ref="Q126">Common_InputFunctions.Utility_DisplayArrayInTable(Fertiliser_SourceData.Fertiliser_Products_Data2(), FertiliserProducts[[#Headers],[Company]],31)</f>
        <v>Nitrogen - Ammoniacal</v>
      </c>
      <c r="R126" s="215" cm="1">
        <f t="array" ref="R126">Common_InputFunctions.Utility_DisplayArrayInTable(Fertiliser_SourceData.Fertiliser_Products_Data2(), FertiliserProducts[[#Headers],[Company]],31)</f>
        <v>9.1999999999999998E-2</v>
      </c>
      <c r="S126" s="215" t="str" cm="1">
        <f t="array" ref="S126">Common_InputFunctions.Utility_DisplayArrayInTable(Fertiliser_SourceData.Fertiliser_Products_Data2(), FertiliserProducts[[#Headers],[Company]],31)</f>
        <v>Nitrogen - Nitrate</v>
      </c>
      <c r="T126" s="215" cm="1">
        <f t="array" ref="T126">Common_InputFunctions.Utility_DisplayArrayInTable(Fertiliser_SourceData.Fertiliser_Products_Data2(), FertiliserProducts[[#Headers],[Company]],31)</f>
        <v>7.5999999999999998E-2</v>
      </c>
      <c r="U126" s="215" t="str" cm="1">
        <f t="array" ref="U126">Common_InputFunctions.Utility_DisplayArrayInTable(Fertiliser_SourceData.Fertiliser_Products_Data2(), FertiliserProducts[[#Headers],[Company]],31)</f>
        <v>Sulfur - Generic</v>
      </c>
      <c r="V126" s="215" cm="1">
        <f t="array" ref="V126">Common_InputFunctions.Utility_DisplayArrayInTable(Fertiliser_SourceData.Fertiliser_Products_Data2(), FertiliserProducts[[#Headers],[Company]],31)</f>
        <v>0.02</v>
      </c>
      <c r="W126" s="215" t="str" cm="1">
        <f t="array" ref="W126">Common_InputFunctions.Utility_DisplayArrayInTable(Fertiliser_SourceData.Fertiliser_Products_Data2(), FertiliserProducts[[#Headers],[Company]],31)</f>
        <v/>
      </c>
      <c r="X126" s="215" t="str" cm="1">
        <f t="array" ref="X126">Common_InputFunctions.Utility_DisplayArrayInTable(Fertiliser_SourceData.Fertiliser_Products_Data2(), FertiliserProducts[[#Headers],[Company]],31)</f>
        <v/>
      </c>
      <c r="Y126" s="215" t="str" cm="1">
        <f t="array" ref="Y126">Common_InputFunctions.Utility_DisplayArrayInTable(Fertiliser_SourceData.Fertiliser_Products_Data2(), FertiliserProducts[[#Headers],[Company]],31)</f>
        <v/>
      </c>
      <c r="Z126" s="215" t="str" cm="1">
        <f t="array" ref="Z126">Common_InputFunctions.Utility_DisplayArrayInTable(Fertiliser_SourceData.Fertiliser_Products_Data2(), FertiliserProducts[[#Headers],[Company]],31)</f>
        <v/>
      </c>
      <c r="AA126" s="215" t="str" cm="1">
        <f t="array" ref="AA126">Common_InputFunctions.Utility_DisplayArrayInTable(Fertiliser_SourceData.Fertiliser_Products_Data2(), FertiliserProducts[[#Headers],[Company]],31)</f>
        <v/>
      </c>
      <c r="AB126" s="215" t="str" cm="1">
        <f t="array" ref="AB126">Common_InputFunctions.Utility_DisplayArrayInTable(Fertiliser_SourceData.Fertiliser_Products_Data2(), FertiliserProducts[[#Headers],[Company]],31)</f>
        <v/>
      </c>
      <c r="AC126" s="215" t="str" cm="1">
        <f t="array" ref="AC126">Common_InputFunctions.Utility_DisplayArrayInTable(Fertiliser_SourceData.Fertiliser_Products_Data2(), FertiliserProducts[[#Headers],[Company]],31)</f>
        <v/>
      </c>
      <c r="AD126" s="215" t="str" cm="1">
        <f t="array" ref="AD126">Common_InputFunctions.Utility_DisplayArrayInTable(Fertiliser_SourceData.Fertiliser_Products_Data2(), FertiliserProducts[[#Headers],[Company]],31)</f>
        <v/>
      </c>
      <c r="AE126" s="215" t="str" cm="1">
        <f t="array" ref="AE126">Common_InputFunctions.Utility_DisplayArrayInTable(Fertiliser_SourceData.Fertiliser_Products_Data2(), FertiliserProducts[[#Headers],[Company]],31)</f>
        <v/>
      </c>
      <c r="AF126" s="215" t="str" cm="1">
        <f t="array" ref="AF126">Common_InputFunctions.Utility_DisplayArrayInTable(Fertiliser_SourceData.Fertiliser_Products_Data2(), FertiliserProducts[[#Headers],[Company]],31)</f>
        <v/>
      </c>
      <c r="AG126" s="215" t="str" cm="1">
        <f t="array" ref="AG126">Common_InputFunctions.Utility_DisplayArrayInTable(Fertiliser_SourceData.Fertiliser_Products_Data2(), FertiliserProducts[[#Headers],[Company]],31)</f>
        <v/>
      </c>
      <c r="AH126" s="215" t="str" cm="1">
        <f t="array" ref="AH126">Common_InputFunctions.Utility_DisplayArrayInTable(Fertiliser_SourceData.Fertiliser_Products_Data2(), FertiliserProducts[[#Headers],[Company]],31)</f>
        <v/>
      </c>
    </row>
    <row r="127" spans="1:34" ht="20.100000000000001" customHeight="1" x14ac:dyDescent="0.25">
      <c r="A127"/>
      <c r="D127" s="215" t="str" cm="1">
        <f t="array" ref="D127">Common_InputFunctions.Utility_DisplayArrayInTable(Fertiliser_SourceData.Fertiliser_Products_Data2(), FertiliserProducts[[#Headers],[Company]],31)</f>
        <v>Impact Fertilisers</v>
      </c>
      <c r="E127" s="215" t="str" cm="1">
        <f t="array" ref="E127">Common_InputFunctions.Utility_DisplayArrayInTable(Fertiliser_SourceData.Fertiliser_Products_Data2(), FertiliserProducts[[#Headers],[Company]],31)</f>
        <v>Impact SSP</v>
      </c>
      <c r="F127" s="215" t="str" cm="1">
        <f t="array" ref="F127">Common_InputFunctions.Utility_DisplayArrayInTable(Fertiliser_SourceData.Fertiliser_Products_Data2(), FertiliserProducts[[#Headers],[Company]],31)</f>
        <v>kg</v>
      </c>
      <c r="G127" s="215" cm="1">
        <f t="array" ref="G127">Common_InputFunctions.Utility_DisplayArrayInTable(Fertiliser_SourceData.Fertiliser_Products_Data2(), FertiliserProducts[[#Headers],[Company]],31)</f>
        <v>1</v>
      </c>
      <c r="H127" s="215" t="str" cm="1">
        <f t="array" ref="H127">Common_InputFunctions.Utility_DisplayArrayInTable(Fertiliser_SourceData.Fertiliser_Products_Data2(), FertiliserProducts[[#Headers],[Company]],31)</f>
        <v/>
      </c>
      <c r="I127" s="215" t="str" cm="1">
        <f t="array" ref="I127">Common_InputFunctions.Utility_DisplayArrayInTable(Fertiliser_SourceData.Fertiliser_Products_Data2(), FertiliserProducts[[#Headers],[Company]],31)</f>
        <v/>
      </c>
      <c r="J127" s="215" t="str" cm="1">
        <f t="array" ref="J127">Common_InputFunctions.Utility_DisplayArrayInTable(Fertiliser_SourceData.Fertiliser_Products_Data2(), FertiliserProducts[[#Headers],[Company]],31)</f>
        <v/>
      </c>
      <c r="K127" s="215" t="str" cm="1">
        <f t="array" ref="K127">Common_InputFunctions.Utility_DisplayArrayInTable(Fertiliser_SourceData.Fertiliser_Products_Data2(), FertiliserProducts[[#Headers],[Company]],31)</f>
        <v/>
      </c>
      <c r="L127" s="215" cm="1">
        <f t="array" ref="L127">Common_InputFunctions.Utility_DisplayArrayInTable(Fertiliser_SourceData.Fertiliser_Products_Data2(), FertiliserProducts[[#Headers],[Company]],31)</f>
        <v>8.8000000000000007</v>
      </c>
      <c r="M127" s="215" t="str" cm="1">
        <f t="array" ref="M127">Common_InputFunctions.Utility_DisplayArrayInTable(Fertiliser_SourceData.Fertiliser_Products_Data2(), FertiliserProducts[[#Headers],[Company]],31)</f>
        <v/>
      </c>
      <c r="N127" s="215" cm="1">
        <f t="array" ref="N127">Common_InputFunctions.Utility_DisplayArrayInTable(Fertiliser_SourceData.Fertiliser_Products_Data2(), FertiliserProducts[[#Headers],[Company]],31)</f>
        <v>11</v>
      </c>
      <c r="O127" s="215" t="str" cm="1">
        <f t="array" ref="O127">Common_InputFunctions.Utility_DisplayArrayInTable(Fertiliser_SourceData.Fertiliser_Products_Data2(), FertiliserProducts[[#Headers],[Company]],31)</f>
        <v>Single superphosphate (SSP)</v>
      </c>
      <c r="P127" s="215" cm="1">
        <f t="array" ref="P127">Common_InputFunctions.Utility_DisplayArrayInTable(Fertiliser_SourceData.Fertiliser_Products_Data2(), FertiliserProducts[[#Headers],[Company]],31)</f>
        <v>1</v>
      </c>
      <c r="Q127" s="215" t="str" cm="1">
        <f t="array" ref="Q127">Common_InputFunctions.Utility_DisplayArrayInTable(Fertiliser_SourceData.Fertiliser_Products_Data2(), FertiliserProducts[[#Headers],[Company]],31)</f>
        <v/>
      </c>
      <c r="R127" s="215" t="str" cm="1">
        <f t="array" ref="R127">Common_InputFunctions.Utility_DisplayArrayInTable(Fertiliser_SourceData.Fertiliser_Products_Data2(), FertiliserProducts[[#Headers],[Company]],31)</f>
        <v/>
      </c>
      <c r="S127" s="215" t="str" cm="1">
        <f t="array" ref="S127">Common_InputFunctions.Utility_DisplayArrayInTable(Fertiliser_SourceData.Fertiliser_Products_Data2(), FertiliserProducts[[#Headers],[Company]],31)</f>
        <v/>
      </c>
      <c r="T127" s="215" t="str" cm="1">
        <f t="array" ref="T127">Common_InputFunctions.Utility_DisplayArrayInTable(Fertiliser_SourceData.Fertiliser_Products_Data2(), FertiliserProducts[[#Headers],[Company]],31)</f>
        <v/>
      </c>
      <c r="U127" s="215" t="str" cm="1">
        <f t="array" ref="U127">Common_InputFunctions.Utility_DisplayArrayInTable(Fertiliser_SourceData.Fertiliser_Products_Data2(), FertiliserProducts[[#Headers],[Company]],31)</f>
        <v/>
      </c>
      <c r="V127" s="215" t="str" cm="1">
        <f t="array" ref="V127">Common_InputFunctions.Utility_DisplayArrayInTable(Fertiliser_SourceData.Fertiliser_Products_Data2(), FertiliserProducts[[#Headers],[Company]],31)</f>
        <v/>
      </c>
      <c r="W127" s="215" t="str" cm="1">
        <f t="array" ref="W127">Common_InputFunctions.Utility_DisplayArrayInTable(Fertiliser_SourceData.Fertiliser_Products_Data2(), FertiliserProducts[[#Headers],[Company]],31)</f>
        <v/>
      </c>
      <c r="X127" s="215" t="str" cm="1">
        <f t="array" ref="X127">Common_InputFunctions.Utility_DisplayArrayInTable(Fertiliser_SourceData.Fertiliser_Products_Data2(), FertiliserProducts[[#Headers],[Company]],31)</f>
        <v/>
      </c>
      <c r="Y127" s="215" t="str" cm="1">
        <f t="array" ref="Y127">Common_InputFunctions.Utility_DisplayArrayInTable(Fertiliser_SourceData.Fertiliser_Products_Data2(), FertiliserProducts[[#Headers],[Company]],31)</f>
        <v/>
      </c>
      <c r="Z127" s="215" t="str" cm="1">
        <f t="array" ref="Z127">Common_InputFunctions.Utility_DisplayArrayInTable(Fertiliser_SourceData.Fertiliser_Products_Data2(), FertiliserProducts[[#Headers],[Company]],31)</f>
        <v/>
      </c>
      <c r="AA127" s="215" t="str" cm="1">
        <f t="array" ref="AA127">Common_InputFunctions.Utility_DisplayArrayInTable(Fertiliser_SourceData.Fertiliser_Products_Data2(), FertiliserProducts[[#Headers],[Company]],31)</f>
        <v/>
      </c>
      <c r="AB127" s="215" t="str" cm="1">
        <f t="array" ref="AB127">Common_InputFunctions.Utility_DisplayArrayInTable(Fertiliser_SourceData.Fertiliser_Products_Data2(), FertiliserProducts[[#Headers],[Company]],31)</f>
        <v/>
      </c>
      <c r="AC127" s="215" t="str" cm="1">
        <f t="array" ref="AC127">Common_InputFunctions.Utility_DisplayArrayInTable(Fertiliser_SourceData.Fertiliser_Products_Data2(), FertiliserProducts[[#Headers],[Company]],31)</f>
        <v/>
      </c>
      <c r="AD127" s="215" t="str" cm="1">
        <f t="array" ref="AD127">Common_InputFunctions.Utility_DisplayArrayInTable(Fertiliser_SourceData.Fertiliser_Products_Data2(), FertiliserProducts[[#Headers],[Company]],31)</f>
        <v/>
      </c>
      <c r="AE127" s="215" t="str" cm="1">
        <f t="array" ref="AE127">Common_InputFunctions.Utility_DisplayArrayInTable(Fertiliser_SourceData.Fertiliser_Products_Data2(), FertiliserProducts[[#Headers],[Company]],31)</f>
        <v/>
      </c>
      <c r="AF127" s="215" t="str" cm="1">
        <f t="array" ref="AF127">Common_InputFunctions.Utility_DisplayArrayInTable(Fertiliser_SourceData.Fertiliser_Products_Data2(), FertiliserProducts[[#Headers],[Company]],31)</f>
        <v/>
      </c>
      <c r="AG127" s="215" t="str" cm="1">
        <f t="array" ref="AG127">Common_InputFunctions.Utility_DisplayArrayInTable(Fertiliser_SourceData.Fertiliser_Products_Data2(), FertiliserProducts[[#Headers],[Company]],31)</f>
        <v/>
      </c>
      <c r="AH127" s="215" t="str" cm="1">
        <f t="array" ref="AH127">Common_InputFunctions.Utility_DisplayArrayInTable(Fertiliser_SourceData.Fertiliser_Products_Data2(), FertiliserProducts[[#Headers],[Company]],31)</f>
        <v/>
      </c>
    </row>
    <row r="128" spans="1:34" ht="20.100000000000001" customHeight="1" x14ac:dyDescent="0.25">
      <c r="A128"/>
      <c r="D128" s="215" t="str" cm="1">
        <f t="array" ref="D128">Common_InputFunctions.Utility_DisplayArrayInTable(Fertiliser_SourceData.Fertiliser_Products_Data2(), FertiliserProducts[[#Headers],[Company]],31)</f>
        <v>Switch Ag</v>
      </c>
      <c r="E128" s="215" t="str" cm="1">
        <f t="array" ref="E128">Common_InputFunctions.Utility_DisplayArrayInTable(Fertiliser_SourceData.Fertiliser_Products_Data2(), FertiliserProducts[[#Headers],[Company]],31)</f>
        <v>In Crop</v>
      </c>
      <c r="F128" s="215" t="str" cm="1">
        <f t="array" ref="F128">Common_InputFunctions.Utility_DisplayArrayInTable(Fertiliser_SourceData.Fertiliser_Products_Data2(), FertiliserProducts[[#Headers],[Company]],31)</f>
        <v>L</v>
      </c>
      <c r="G128" s="215" cm="1">
        <f t="array" ref="G128">Common_InputFunctions.Utility_DisplayArrayInTable(Fertiliser_SourceData.Fertiliser_Products_Data2(), FertiliserProducts[[#Headers],[Company]],31)</f>
        <v>1.2</v>
      </c>
      <c r="H128" s="215" t="str" cm="1">
        <f t="array" ref="H128">Common_InputFunctions.Utility_DisplayArrayInTable(Fertiliser_SourceData.Fertiliser_Products_Data2(), FertiliserProducts[[#Headers],[Company]],31)</f>
        <v/>
      </c>
      <c r="I128" s="215" t="str" cm="1">
        <f t="array" ref="I128">Common_InputFunctions.Utility_DisplayArrayInTable(Fertiliser_SourceData.Fertiliser_Products_Data2(), FertiliserProducts[[#Headers],[Company]],31)</f>
        <v/>
      </c>
      <c r="J128" s="215" t="str" cm="1">
        <f t="array" ref="J128">Common_InputFunctions.Utility_DisplayArrayInTable(Fertiliser_SourceData.Fertiliser_Products_Data2(), FertiliserProducts[[#Headers],[Company]],31)</f>
        <v/>
      </c>
      <c r="K128" s="215" cm="1">
        <f t="array" ref="K128">Common_InputFunctions.Utility_DisplayArrayInTable(Fertiliser_SourceData.Fertiliser_Products_Data2(), FertiliserProducts[[#Headers],[Company]],31)</f>
        <v>10</v>
      </c>
      <c r="L128" s="215" cm="1">
        <f t="array" ref="L128">Common_InputFunctions.Utility_DisplayArrayInTable(Fertiliser_SourceData.Fertiliser_Products_Data2(), FertiliserProducts[[#Headers],[Company]],31)</f>
        <v>1</v>
      </c>
      <c r="M128" s="215" cm="1">
        <f t="array" ref="M128">Common_InputFunctions.Utility_DisplayArrayInTable(Fertiliser_SourceData.Fertiliser_Products_Data2(), FertiliserProducts[[#Headers],[Company]],31)</f>
        <v>11</v>
      </c>
      <c r="N128" s="215" t="str" cm="1">
        <f t="array" ref="N128">Common_InputFunctions.Utility_DisplayArrayInTable(Fertiliser_SourceData.Fertiliser_Products_Data2(), FertiliserProducts[[#Headers],[Company]],31)</f>
        <v/>
      </c>
      <c r="O128" s="215" t="str" cm="1">
        <f t="array" ref="O128">Common_InputFunctions.Utility_DisplayArrayInTable(Fertiliser_SourceData.Fertiliser_Products_Data2(), FertiliserProducts[[#Headers],[Company]],31)</f>
        <v>Potassium - Generic</v>
      </c>
      <c r="P128" s="215" cm="1">
        <f t="array" ref="P128">Common_InputFunctions.Utility_DisplayArrayInTable(Fertiliser_SourceData.Fertiliser_Products_Data2(), FertiliserProducts[[#Headers],[Company]],31)</f>
        <v>0.11</v>
      </c>
      <c r="Q128" s="215" t="str" cm="1">
        <f t="array" ref="Q128">Common_InputFunctions.Utility_DisplayArrayInTable(Fertiliser_SourceData.Fertiliser_Products_Data2(), FertiliserProducts[[#Headers],[Company]],31)</f>
        <v>Nitrogen - Generic</v>
      </c>
      <c r="R128" s="215" cm="1">
        <f t="array" ref="R128">Common_InputFunctions.Utility_DisplayArrayInTable(Fertiliser_SourceData.Fertiliser_Products_Data2(), FertiliserProducts[[#Headers],[Company]],31)</f>
        <v>0.1</v>
      </c>
      <c r="S128" s="215" t="str" cm="1">
        <f t="array" ref="S128">Common_InputFunctions.Utility_DisplayArrayInTable(Fertiliser_SourceData.Fertiliser_Products_Data2(), FertiliserProducts[[#Headers],[Company]],31)</f>
        <v>Phosphorus - Generic</v>
      </c>
      <c r="T128" s="215" cm="1">
        <f t="array" ref="T128">Common_InputFunctions.Utility_DisplayArrayInTable(Fertiliser_SourceData.Fertiliser_Products_Data2(), FertiliserProducts[[#Headers],[Company]],31)</f>
        <v>0.01</v>
      </c>
      <c r="U128" s="215" t="str" cm="1">
        <f t="array" ref="U128">Common_InputFunctions.Utility_DisplayArrayInTable(Fertiliser_SourceData.Fertiliser_Products_Data2(), FertiliserProducts[[#Headers],[Company]],31)</f>
        <v/>
      </c>
      <c r="V128" s="215" t="str" cm="1">
        <f t="array" ref="V128">Common_InputFunctions.Utility_DisplayArrayInTable(Fertiliser_SourceData.Fertiliser_Products_Data2(), FertiliserProducts[[#Headers],[Company]],31)</f>
        <v/>
      </c>
      <c r="W128" s="215" t="str" cm="1">
        <f t="array" ref="W128">Common_InputFunctions.Utility_DisplayArrayInTable(Fertiliser_SourceData.Fertiliser_Products_Data2(), FertiliserProducts[[#Headers],[Company]],31)</f>
        <v/>
      </c>
      <c r="X128" s="215" t="str" cm="1">
        <f t="array" ref="X128">Common_InputFunctions.Utility_DisplayArrayInTable(Fertiliser_SourceData.Fertiliser_Products_Data2(), FertiliserProducts[[#Headers],[Company]],31)</f>
        <v/>
      </c>
      <c r="Y128" s="215" t="str" cm="1">
        <f t="array" ref="Y128">Common_InputFunctions.Utility_DisplayArrayInTable(Fertiliser_SourceData.Fertiliser_Products_Data2(), FertiliserProducts[[#Headers],[Company]],31)</f>
        <v/>
      </c>
      <c r="Z128" s="215" t="str" cm="1">
        <f t="array" ref="Z128">Common_InputFunctions.Utility_DisplayArrayInTable(Fertiliser_SourceData.Fertiliser_Products_Data2(), FertiliserProducts[[#Headers],[Company]],31)</f>
        <v/>
      </c>
      <c r="AA128" s="215" t="str" cm="1">
        <f t="array" ref="AA128">Common_InputFunctions.Utility_DisplayArrayInTable(Fertiliser_SourceData.Fertiliser_Products_Data2(), FertiliserProducts[[#Headers],[Company]],31)</f>
        <v/>
      </c>
      <c r="AB128" s="215" t="str" cm="1">
        <f t="array" ref="AB128">Common_InputFunctions.Utility_DisplayArrayInTable(Fertiliser_SourceData.Fertiliser_Products_Data2(), FertiliserProducts[[#Headers],[Company]],31)</f>
        <v/>
      </c>
      <c r="AC128" s="215" t="str" cm="1">
        <f t="array" ref="AC128">Common_InputFunctions.Utility_DisplayArrayInTable(Fertiliser_SourceData.Fertiliser_Products_Data2(), FertiliserProducts[[#Headers],[Company]],31)</f>
        <v/>
      </c>
      <c r="AD128" s="215" t="str" cm="1">
        <f t="array" ref="AD128">Common_InputFunctions.Utility_DisplayArrayInTable(Fertiliser_SourceData.Fertiliser_Products_Data2(), FertiliserProducts[[#Headers],[Company]],31)</f>
        <v/>
      </c>
      <c r="AE128" s="215" t="str" cm="1">
        <f t="array" ref="AE128">Common_InputFunctions.Utility_DisplayArrayInTable(Fertiliser_SourceData.Fertiliser_Products_Data2(), FertiliserProducts[[#Headers],[Company]],31)</f>
        <v/>
      </c>
      <c r="AF128" s="215" t="str" cm="1">
        <f t="array" ref="AF128">Common_InputFunctions.Utility_DisplayArrayInTable(Fertiliser_SourceData.Fertiliser_Products_Data2(), FertiliserProducts[[#Headers],[Company]],31)</f>
        <v/>
      </c>
      <c r="AG128" s="215" t="str" cm="1">
        <f t="array" ref="AG128">Common_InputFunctions.Utility_DisplayArrayInTable(Fertiliser_SourceData.Fertiliser_Products_Data2(), FertiliserProducts[[#Headers],[Company]],31)</f>
        <v/>
      </c>
      <c r="AH128" s="215" t="str" cm="1">
        <f t="array" ref="AH128">Common_InputFunctions.Utility_DisplayArrayInTable(Fertiliser_SourceData.Fertiliser_Products_Data2(), FertiliserProducts[[#Headers],[Company]],31)</f>
        <v/>
      </c>
    </row>
    <row r="129" spans="1:34" ht="20.100000000000001" customHeight="1" x14ac:dyDescent="0.25">
      <c r="A129"/>
      <c r="D129" s="215" t="str" cm="1">
        <f t="array" ref="D129">Common_InputFunctions.Utility_DisplayArrayInTable(Fertiliser_SourceData.Fertiliser_Products_Data2(), FertiliserProducts[[#Headers],[Company]],31)</f>
        <v>Switch Ag</v>
      </c>
      <c r="E129" s="215" t="str" cm="1">
        <f t="array" ref="E129">Common_InputFunctions.Utility_DisplayArrayInTable(Fertiliser_SourceData.Fertiliser_Products_Data2(), FertiliserProducts[[#Headers],[Company]],31)</f>
        <v>K20</v>
      </c>
      <c r="F129" s="215" t="str" cm="1">
        <f t="array" ref="F129">Common_InputFunctions.Utility_DisplayArrayInTable(Fertiliser_SourceData.Fertiliser_Products_Data2(), FertiliserProducts[[#Headers],[Company]],31)</f>
        <v>L</v>
      </c>
      <c r="G129" s="215" cm="1">
        <f t="array" ref="G129">Common_InputFunctions.Utility_DisplayArrayInTable(Fertiliser_SourceData.Fertiliser_Products_Data2(), FertiliserProducts[[#Headers],[Company]],31)</f>
        <v>1.3</v>
      </c>
      <c r="H129" s="215" t="str" cm="1">
        <f t="array" ref="H129">Common_InputFunctions.Utility_DisplayArrayInTable(Fertiliser_SourceData.Fertiliser_Products_Data2(), FertiliserProducts[[#Headers],[Company]],31)</f>
        <v/>
      </c>
      <c r="I129" s="215" t="str" cm="1">
        <f t="array" ref="I129">Common_InputFunctions.Utility_DisplayArrayInTable(Fertiliser_SourceData.Fertiliser_Products_Data2(), FertiliserProducts[[#Headers],[Company]],31)</f>
        <v/>
      </c>
      <c r="J129" s="215" t="str" cm="1">
        <f t="array" ref="J129">Common_InputFunctions.Utility_DisplayArrayInTable(Fertiliser_SourceData.Fertiliser_Products_Data2(), FertiliserProducts[[#Headers],[Company]],31)</f>
        <v/>
      </c>
      <c r="K129" s="215" cm="1">
        <f t="array" ref="K129">Common_InputFunctions.Utility_DisplayArrayInTable(Fertiliser_SourceData.Fertiliser_Products_Data2(), FertiliserProducts[[#Headers],[Company]],31)</f>
        <v>3</v>
      </c>
      <c r="L129" s="215" t="str" cm="1">
        <f t="array" ref="L129">Common_InputFunctions.Utility_DisplayArrayInTable(Fertiliser_SourceData.Fertiliser_Products_Data2(), FertiliserProducts[[#Headers],[Company]],31)</f>
        <v/>
      </c>
      <c r="M129" s="215" cm="1">
        <f t="array" ref="M129">Common_InputFunctions.Utility_DisplayArrayInTable(Fertiliser_SourceData.Fertiliser_Products_Data2(), FertiliserProducts[[#Headers],[Company]],31)</f>
        <v>22</v>
      </c>
      <c r="N129" s="215" t="str" cm="1">
        <f t="array" ref="N129">Common_InputFunctions.Utility_DisplayArrayInTable(Fertiliser_SourceData.Fertiliser_Products_Data2(), FertiliserProducts[[#Headers],[Company]],31)</f>
        <v/>
      </c>
      <c r="O129" s="215" t="str" cm="1">
        <f t="array" ref="O129">Common_InputFunctions.Utility_DisplayArrayInTable(Fertiliser_SourceData.Fertiliser_Products_Data2(), FertiliserProducts[[#Headers],[Company]],31)</f>
        <v>Potassium - Generic</v>
      </c>
      <c r="P129" s="215" cm="1">
        <f t="array" ref="P129">Common_InputFunctions.Utility_DisplayArrayInTable(Fertiliser_SourceData.Fertiliser_Products_Data2(), FertiliserProducts[[#Headers],[Company]],31)</f>
        <v>0.22</v>
      </c>
      <c r="Q129" s="215" t="str" cm="1">
        <f t="array" ref="Q129">Common_InputFunctions.Utility_DisplayArrayInTable(Fertiliser_SourceData.Fertiliser_Products_Data2(), FertiliserProducts[[#Headers],[Company]],31)</f>
        <v>Nitrogen - Generic</v>
      </c>
      <c r="R129" s="215" cm="1">
        <f t="array" ref="R129">Common_InputFunctions.Utility_DisplayArrayInTable(Fertiliser_SourceData.Fertiliser_Products_Data2(), FertiliserProducts[[#Headers],[Company]],31)</f>
        <v>0.03</v>
      </c>
      <c r="S129" s="215" t="str" cm="1">
        <f t="array" ref="S129">Common_InputFunctions.Utility_DisplayArrayInTable(Fertiliser_SourceData.Fertiliser_Products_Data2(), FertiliserProducts[[#Headers],[Company]],31)</f>
        <v/>
      </c>
      <c r="T129" s="215" t="str" cm="1">
        <f t="array" ref="T129">Common_InputFunctions.Utility_DisplayArrayInTable(Fertiliser_SourceData.Fertiliser_Products_Data2(), FertiliserProducts[[#Headers],[Company]],31)</f>
        <v/>
      </c>
      <c r="U129" s="215" t="str" cm="1">
        <f t="array" ref="U129">Common_InputFunctions.Utility_DisplayArrayInTable(Fertiliser_SourceData.Fertiliser_Products_Data2(), FertiliserProducts[[#Headers],[Company]],31)</f>
        <v/>
      </c>
      <c r="V129" s="215" t="str" cm="1">
        <f t="array" ref="V129">Common_InputFunctions.Utility_DisplayArrayInTable(Fertiliser_SourceData.Fertiliser_Products_Data2(), FertiliserProducts[[#Headers],[Company]],31)</f>
        <v/>
      </c>
      <c r="W129" s="215" t="str" cm="1">
        <f t="array" ref="W129">Common_InputFunctions.Utility_DisplayArrayInTable(Fertiliser_SourceData.Fertiliser_Products_Data2(), FertiliserProducts[[#Headers],[Company]],31)</f>
        <v/>
      </c>
      <c r="X129" s="215" t="str" cm="1">
        <f t="array" ref="X129">Common_InputFunctions.Utility_DisplayArrayInTable(Fertiliser_SourceData.Fertiliser_Products_Data2(), FertiliserProducts[[#Headers],[Company]],31)</f>
        <v/>
      </c>
      <c r="Y129" s="215" t="str" cm="1">
        <f t="array" ref="Y129">Common_InputFunctions.Utility_DisplayArrayInTable(Fertiliser_SourceData.Fertiliser_Products_Data2(), FertiliserProducts[[#Headers],[Company]],31)</f>
        <v/>
      </c>
      <c r="Z129" s="215" t="str" cm="1">
        <f t="array" ref="Z129">Common_InputFunctions.Utility_DisplayArrayInTable(Fertiliser_SourceData.Fertiliser_Products_Data2(), FertiliserProducts[[#Headers],[Company]],31)</f>
        <v/>
      </c>
      <c r="AA129" s="215" t="str" cm="1">
        <f t="array" ref="AA129">Common_InputFunctions.Utility_DisplayArrayInTable(Fertiliser_SourceData.Fertiliser_Products_Data2(), FertiliserProducts[[#Headers],[Company]],31)</f>
        <v/>
      </c>
      <c r="AB129" s="215" t="str" cm="1">
        <f t="array" ref="AB129">Common_InputFunctions.Utility_DisplayArrayInTable(Fertiliser_SourceData.Fertiliser_Products_Data2(), FertiliserProducts[[#Headers],[Company]],31)</f>
        <v/>
      </c>
      <c r="AC129" s="215" t="str" cm="1">
        <f t="array" ref="AC129">Common_InputFunctions.Utility_DisplayArrayInTable(Fertiliser_SourceData.Fertiliser_Products_Data2(), FertiliserProducts[[#Headers],[Company]],31)</f>
        <v/>
      </c>
      <c r="AD129" s="215" t="str" cm="1">
        <f t="array" ref="AD129">Common_InputFunctions.Utility_DisplayArrayInTable(Fertiliser_SourceData.Fertiliser_Products_Data2(), FertiliserProducts[[#Headers],[Company]],31)</f>
        <v/>
      </c>
      <c r="AE129" s="215" t="str" cm="1">
        <f t="array" ref="AE129">Common_InputFunctions.Utility_DisplayArrayInTable(Fertiliser_SourceData.Fertiliser_Products_Data2(), FertiliserProducts[[#Headers],[Company]],31)</f>
        <v/>
      </c>
      <c r="AF129" s="215" t="str" cm="1">
        <f t="array" ref="AF129">Common_InputFunctions.Utility_DisplayArrayInTable(Fertiliser_SourceData.Fertiliser_Products_Data2(), FertiliserProducts[[#Headers],[Company]],31)</f>
        <v/>
      </c>
      <c r="AG129" s="215" t="str" cm="1">
        <f t="array" ref="AG129">Common_InputFunctions.Utility_DisplayArrayInTable(Fertiliser_SourceData.Fertiliser_Products_Data2(), FertiliserProducts[[#Headers],[Company]],31)</f>
        <v/>
      </c>
      <c r="AH129" s="215" t="str" cm="1">
        <f t="array" ref="AH129">Common_InputFunctions.Utility_DisplayArrayInTable(Fertiliser_SourceData.Fertiliser_Products_Data2(), FertiliserProducts[[#Headers],[Company]],31)</f>
        <v/>
      </c>
    </row>
    <row r="130" spans="1:34" ht="20.100000000000001" customHeight="1" x14ac:dyDescent="0.25">
      <c r="A130"/>
      <c r="D130" s="215" t="str" cm="1">
        <f t="array" ref="D130">Common_InputFunctions.Utility_DisplayArrayInTable(Fertiliser_SourceData.Fertiliser_Products_Data2(), FertiliserProducts[[#Headers],[Company]],31)</f>
        <v>Loveland Agriproducts</v>
      </c>
      <c r="E130" s="215" t="str" cm="1">
        <f t="array" ref="E130">Common_InputFunctions.Utility_DisplayArrayInTable(Fertiliser_SourceData.Fertiliser_Products_Data2(), FertiliserProducts[[#Headers],[Company]],31)</f>
        <v>Maximum N-Pact</v>
      </c>
      <c r="F130" s="215" t="str" cm="1">
        <f t="array" ref="F130">Common_InputFunctions.Utility_DisplayArrayInTable(Fertiliser_SourceData.Fertiliser_Products_Data2(), FertiliserProducts[[#Headers],[Company]],31)</f>
        <v>L</v>
      </c>
      <c r="G130" s="215" cm="1">
        <f t="array" ref="G130">Common_InputFunctions.Utility_DisplayArrayInTable(Fertiliser_SourceData.Fertiliser_Products_Data2(), FertiliserProducts[[#Headers],[Company]],31)</f>
        <v>1.1850000000000001</v>
      </c>
      <c r="H130" s="215" t="str" cm="1">
        <f t="array" ref="H130">Common_InputFunctions.Utility_DisplayArrayInTable(Fertiliser_SourceData.Fertiliser_Products_Data2(), FertiliserProducts[[#Headers],[Company]],31)</f>
        <v/>
      </c>
      <c r="I130" s="215" t="str" cm="1">
        <f t="array" ref="I130">Common_InputFunctions.Utility_DisplayArrayInTable(Fertiliser_SourceData.Fertiliser_Products_Data2(), FertiliserProducts[[#Headers],[Company]],31)</f>
        <v/>
      </c>
      <c r="J130" s="215" t="str" cm="1">
        <f t="array" ref="J130">Common_InputFunctions.Utility_DisplayArrayInTable(Fertiliser_SourceData.Fertiliser_Products_Data2(), FertiliserProducts[[#Headers],[Company]],31)</f>
        <v/>
      </c>
      <c r="K130" s="215" cm="1">
        <f t="array" ref="K130">Common_InputFunctions.Utility_DisplayArrayInTable(Fertiliser_SourceData.Fertiliser_Products_Data2(), FertiliserProducts[[#Headers],[Company]],31)</f>
        <v>23.8</v>
      </c>
      <c r="L130" s="215" t="str" cm="1">
        <f t="array" ref="L130">Common_InputFunctions.Utility_DisplayArrayInTable(Fertiliser_SourceData.Fertiliser_Products_Data2(), FertiliserProducts[[#Headers],[Company]],31)</f>
        <v/>
      </c>
      <c r="M130" s="215" t="str" cm="1">
        <f t="array" ref="M130">Common_InputFunctions.Utility_DisplayArrayInTable(Fertiliser_SourceData.Fertiliser_Products_Data2(), FertiliserProducts[[#Headers],[Company]],31)</f>
        <v/>
      </c>
      <c r="N130" s="215" t="str" cm="1">
        <f t="array" ref="N130">Common_InputFunctions.Utility_DisplayArrayInTable(Fertiliser_SourceData.Fertiliser_Products_Data2(), FertiliserProducts[[#Headers],[Company]],31)</f>
        <v/>
      </c>
      <c r="O130" s="215" t="str" cm="1">
        <f t="array" ref="O130">Common_InputFunctions.Utility_DisplayArrayInTable(Fertiliser_SourceData.Fertiliser_Products_Data2(), FertiliserProducts[[#Headers],[Company]],31)</f>
        <v>Urea</v>
      </c>
      <c r="P130" s="215" cm="1">
        <f t="array" ref="P130">Common_InputFunctions.Utility_DisplayArrayInTable(Fertiliser_SourceData.Fertiliser_Products_Data2(), FertiliserProducts[[#Headers],[Company]],31)</f>
        <v>0.51739100000000005</v>
      </c>
      <c r="Q130" s="215" t="str" cm="1">
        <f t="array" ref="Q130">Common_InputFunctions.Utility_DisplayArrayInTable(Fertiliser_SourceData.Fertiliser_Products_Data2(), FertiliserProducts[[#Headers],[Company]],31)</f>
        <v/>
      </c>
      <c r="R130" s="215" t="str" cm="1">
        <f t="array" ref="R130">Common_InputFunctions.Utility_DisplayArrayInTable(Fertiliser_SourceData.Fertiliser_Products_Data2(), FertiliserProducts[[#Headers],[Company]],31)</f>
        <v/>
      </c>
      <c r="S130" s="215" t="str" cm="1">
        <f t="array" ref="S130">Common_InputFunctions.Utility_DisplayArrayInTable(Fertiliser_SourceData.Fertiliser_Products_Data2(), FertiliserProducts[[#Headers],[Company]],31)</f>
        <v/>
      </c>
      <c r="T130" s="215" t="str" cm="1">
        <f t="array" ref="T130">Common_InputFunctions.Utility_DisplayArrayInTable(Fertiliser_SourceData.Fertiliser_Products_Data2(), FertiliserProducts[[#Headers],[Company]],31)</f>
        <v/>
      </c>
      <c r="U130" s="215" t="str" cm="1">
        <f t="array" ref="U130">Common_InputFunctions.Utility_DisplayArrayInTable(Fertiliser_SourceData.Fertiliser_Products_Data2(), FertiliserProducts[[#Headers],[Company]],31)</f>
        <v/>
      </c>
      <c r="V130" s="215" t="str" cm="1">
        <f t="array" ref="V130">Common_InputFunctions.Utility_DisplayArrayInTable(Fertiliser_SourceData.Fertiliser_Products_Data2(), FertiliserProducts[[#Headers],[Company]],31)</f>
        <v/>
      </c>
      <c r="W130" s="215" t="str" cm="1">
        <f t="array" ref="W130">Common_InputFunctions.Utility_DisplayArrayInTable(Fertiliser_SourceData.Fertiliser_Products_Data2(), FertiliserProducts[[#Headers],[Company]],31)</f>
        <v/>
      </c>
      <c r="X130" s="215" t="str" cm="1">
        <f t="array" ref="X130">Common_InputFunctions.Utility_DisplayArrayInTable(Fertiliser_SourceData.Fertiliser_Products_Data2(), FertiliserProducts[[#Headers],[Company]],31)</f>
        <v/>
      </c>
      <c r="Y130" s="215" t="str" cm="1">
        <f t="array" ref="Y130">Common_InputFunctions.Utility_DisplayArrayInTable(Fertiliser_SourceData.Fertiliser_Products_Data2(), FertiliserProducts[[#Headers],[Company]],31)</f>
        <v/>
      </c>
      <c r="Z130" s="215" t="str" cm="1">
        <f t="array" ref="Z130">Common_InputFunctions.Utility_DisplayArrayInTable(Fertiliser_SourceData.Fertiliser_Products_Data2(), FertiliserProducts[[#Headers],[Company]],31)</f>
        <v/>
      </c>
      <c r="AA130" s="215" t="str" cm="1">
        <f t="array" ref="AA130">Common_InputFunctions.Utility_DisplayArrayInTable(Fertiliser_SourceData.Fertiliser_Products_Data2(), FertiliserProducts[[#Headers],[Company]],31)</f>
        <v/>
      </c>
      <c r="AB130" s="215" t="str" cm="1">
        <f t="array" ref="AB130">Common_InputFunctions.Utility_DisplayArrayInTable(Fertiliser_SourceData.Fertiliser_Products_Data2(), FertiliserProducts[[#Headers],[Company]],31)</f>
        <v/>
      </c>
      <c r="AC130" s="215" t="str" cm="1">
        <f t="array" ref="AC130">Common_InputFunctions.Utility_DisplayArrayInTable(Fertiliser_SourceData.Fertiliser_Products_Data2(), FertiliserProducts[[#Headers],[Company]],31)</f>
        <v/>
      </c>
      <c r="AD130" s="215" t="str" cm="1">
        <f t="array" ref="AD130">Common_InputFunctions.Utility_DisplayArrayInTable(Fertiliser_SourceData.Fertiliser_Products_Data2(), FertiliserProducts[[#Headers],[Company]],31)</f>
        <v/>
      </c>
      <c r="AE130" s="215" t="str" cm="1">
        <f t="array" ref="AE130">Common_InputFunctions.Utility_DisplayArrayInTable(Fertiliser_SourceData.Fertiliser_Products_Data2(), FertiliserProducts[[#Headers],[Company]],31)</f>
        <v/>
      </c>
      <c r="AF130" s="215" t="str" cm="1">
        <f t="array" ref="AF130">Common_InputFunctions.Utility_DisplayArrayInTable(Fertiliser_SourceData.Fertiliser_Products_Data2(), FertiliserProducts[[#Headers],[Company]],31)</f>
        <v/>
      </c>
      <c r="AG130" s="215" t="str" cm="1">
        <f t="array" ref="AG130">Common_InputFunctions.Utility_DisplayArrayInTable(Fertiliser_SourceData.Fertiliser_Products_Data2(), FertiliserProducts[[#Headers],[Company]],31)</f>
        <v/>
      </c>
      <c r="AH130" s="215" t="str" cm="1">
        <f t="array" ref="AH130">Common_InputFunctions.Utility_DisplayArrayInTable(Fertiliser_SourceData.Fertiliser_Products_Data2(), FertiliserProducts[[#Headers],[Company]],31)</f>
        <v/>
      </c>
    </row>
    <row r="131" spans="1:34" ht="20.100000000000001" customHeight="1" x14ac:dyDescent="0.25">
      <c r="A131"/>
      <c r="D131" s="215" t="str" cm="1">
        <f t="array" ref="D131">Common_InputFunctions.Utility_DisplayArrayInTable(Fertiliser_SourceData.Fertiliser_Products_Data2(), FertiliserProducts[[#Headers],[Company]],31)</f>
        <v>SL Tec</v>
      </c>
      <c r="E131" s="215" t="str" cm="1">
        <f t="array" ref="E131">Common_InputFunctions.Utility_DisplayArrayInTable(Fertiliser_SourceData.Fertiliser_Products_Data2(), FertiliserProducts[[#Headers],[Company]],31)</f>
        <v>Nitro Combi TE</v>
      </c>
      <c r="F131" s="215" t="str" cm="1">
        <f t="array" ref="F131">Common_InputFunctions.Utility_DisplayArrayInTable(Fertiliser_SourceData.Fertiliser_Products_Data2(), FertiliserProducts[[#Headers],[Company]],31)</f>
        <v>L</v>
      </c>
      <c r="G131" s="215" cm="1">
        <f t="array" ref="G131">Common_InputFunctions.Utility_DisplayArrayInTable(Fertiliser_SourceData.Fertiliser_Products_Data2(), FertiliserProducts[[#Headers],[Company]],31)</f>
        <v>1.2549999999999999</v>
      </c>
      <c r="H131" s="215" t="str" cm="1">
        <f t="array" ref="H131">Common_InputFunctions.Utility_DisplayArrayInTable(Fertiliser_SourceData.Fertiliser_Products_Data2(), FertiliserProducts[[#Headers],[Company]],31)</f>
        <v/>
      </c>
      <c r="I131" s="215" t="str" cm="1">
        <f t="array" ref="I131">Common_InputFunctions.Utility_DisplayArrayInTable(Fertiliser_SourceData.Fertiliser_Products_Data2(), FertiliserProducts[[#Headers],[Company]],31)</f>
        <v/>
      </c>
      <c r="J131" s="215" t="str" cm="1">
        <f t="array" ref="J131">Common_InputFunctions.Utility_DisplayArrayInTable(Fertiliser_SourceData.Fertiliser_Products_Data2(), FertiliserProducts[[#Headers],[Company]],31)</f>
        <v/>
      </c>
      <c r="K131" s="215" t="str" cm="1">
        <f t="array" ref="K131">Common_InputFunctions.Utility_DisplayArrayInTable(Fertiliser_SourceData.Fertiliser_Products_Data2(), FertiliserProducts[[#Headers],[Company]],31)</f>
        <v/>
      </c>
      <c r="L131" s="215" t="str" cm="1">
        <f t="array" ref="L131">Common_InputFunctions.Utility_DisplayArrayInTable(Fertiliser_SourceData.Fertiliser_Products_Data2(), FertiliserProducts[[#Headers],[Company]],31)</f>
        <v/>
      </c>
      <c r="M131" s="215" cm="1">
        <f t="array" ref="M131">Common_InputFunctions.Utility_DisplayArrayInTable(Fertiliser_SourceData.Fertiliser_Products_Data2(), FertiliserProducts[[#Headers],[Company]],31)</f>
        <v>0.1</v>
      </c>
      <c r="N131" s="215" cm="1">
        <f t="array" ref="N131">Common_InputFunctions.Utility_DisplayArrayInTable(Fertiliser_SourceData.Fertiliser_Products_Data2(), FertiliserProducts[[#Headers],[Company]],31)</f>
        <v>4.4000000000000004</v>
      </c>
      <c r="O131" s="215" t="str" cm="1">
        <f t="array" ref="O131">Common_InputFunctions.Utility_DisplayArrayInTable(Fertiliser_SourceData.Fertiliser_Products_Data2(), FertiliserProducts[[#Headers],[Company]],31)</f>
        <v>Sulfur - Generic</v>
      </c>
      <c r="P131" s="215" cm="1">
        <f t="array" ref="P131">Common_InputFunctions.Utility_DisplayArrayInTable(Fertiliser_SourceData.Fertiliser_Products_Data2(), FertiliserProducts[[#Headers],[Company]],31)</f>
        <v>4.3999999999999997E-2</v>
      </c>
      <c r="Q131" s="215" t="str" cm="1">
        <f t="array" ref="Q131">Common_InputFunctions.Utility_DisplayArrayInTable(Fertiliser_SourceData.Fertiliser_Products_Data2(), FertiliserProducts[[#Headers],[Company]],31)</f>
        <v>Zinc</v>
      </c>
      <c r="R131" s="215" cm="1">
        <f t="array" ref="R131">Common_InputFunctions.Utility_DisplayArrayInTable(Fertiliser_SourceData.Fertiliser_Products_Data2(), FertiliserProducts[[#Headers],[Company]],31)</f>
        <v>2.1999999999999999E-2</v>
      </c>
      <c r="S131" s="215" t="str" cm="1">
        <f t="array" ref="S131">Common_InputFunctions.Utility_DisplayArrayInTable(Fertiliser_SourceData.Fertiliser_Products_Data2(), FertiliserProducts[[#Headers],[Company]],31)</f>
        <v>Iron</v>
      </c>
      <c r="T131" s="215" cm="1">
        <f t="array" ref="T131">Common_InputFunctions.Utility_DisplayArrayInTable(Fertiliser_SourceData.Fertiliser_Products_Data2(), FertiliserProducts[[#Headers],[Company]],31)</f>
        <v>2.1999999999999999E-2</v>
      </c>
      <c r="U131" s="215" t="str" cm="1">
        <f t="array" ref="U131">Common_InputFunctions.Utility_DisplayArrayInTable(Fertiliser_SourceData.Fertiliser_Products_Data2(), FertiliserProducts[[#Headers],[Company]],31)</f>
        <v>Manganese</v>
      </c>
      <c r="V131" s="215" cm="1">
        <f t="array" ref="V131">Common_InputFunctions.Utility_DisplayArrayInTable(Fertiliser_SourceData.Fertiliser_Products_Data2(), FertiliserProducts[[#Headers],[Company]],31)</f>
        <v>1.6E-2</v>
      </c>
      <c r="W131" s="215" t="str" cm="1">
        <f t="array" ref="W131">Common_InputFunctions.Utility_DisplayArrayInTable(Fertiliser_SourceData.Fertiliser_Products_Data2(), FertiliserProducts[[#Headers],[Company]],31)</f>
        <v>Boron</v>
      </c>
      <c r="X131" s="215" cm="1">
        <f t="array" ref="X131">Common_InputFunctions.Utility_DisplayArrayInTable(Fertiliser_SourceData.Fertiliser_Products_Data2(), FertiliserProducts[[#Headers],[Company]],31)</f>
        <v>8.0000000000000002E-3</v>
      </c>
      <c r="Y131" s="215" t="str" cm="1">
        <f t="array" ref="Y131">Common_InputFunctions.Utility_DisplayArrayInTable(Fertiliser_SourceData.Fertiliser_Products_Data2(), FertiliserProducts[[#Headers],[Company]],31)</f>
        <v>Magnesium</v>
      </c>
      <c r="Z131" s="215" cm="1">
        <f t="array" ref="Z131">Common_InputFunctions.Utility_DisplayArrayInTable(Fertiliser_SourceData.Fertiliser_Products_Data2(), FertiliserProducts[[#Headers],[Company]],31)</f>
        <v>7.0000000000000001E-3</v>
      </c>
      <c r="AA131" s="215" t="str" cm="1">
        <f t="array" ref="AA131">Common_InputFunctions.Utility_DisplayArrayInTable(Fertiliser_SourceData.Fertiliser_Products_Data2(), FertiliserProducts[[#Headers],[Company]],31)</f>
        <v>Fulvic acid (organic)</v>
      </c>
      <c r="AB131" s="215" cm="1">
        <f t="array" ref="AB131">Common_InputFunctions.Utility_DisplayArrayInTable(Fertiliser_SourceData.Fertiliser_Products_Data2(), FertiliserProducts[[#Headers],[Company]],31)</f>
        <v>5.0000000000000001E-3</v>
      </c>
      <c r="AC131" s="215" t="str" cm="1">
        <f t="array" ref="AC131">Common_InputFunctions.Utility_DisplayArrayInTable(Fertiliser_SourceData.Fertiliser_Products_Data2(), FertiliserProducts[[#Headers],[Company]],31)</f>
        <v>Copper</v>
      </c>
      <c r="AD131" s="215" cm="1">
        <f t="array" ref="AD131">Common_InputFunctions.Utility_DisplayArrayInTable(Fertiliser_SourceData.Fertiliser_Products_Data2(), FertiliserProducts[[#Headers],[Company]],31)</f>
        <v>3.0000000000000001E-3</v>
      </c>
      <c r="AE131" s="215" t="str" cm="1">
        <f t="array" ref="AE131">Common_InputFunctions.Utility_DisplayArrayInTable(Fertiliser_SourceData.Fertiliser_Products_Data2(), FertiliserProducts[[#Headers],[Company]],31)</f>
        <v>Potassium - Generic</v>
      </c>
      <c r="AF131" s="215" cm="1">
        <f t="array" ref="AF131">Common_InputFunctions.Utility_DisplayArrayInTable(Fertiliser_SourceData.Fertiliser_Products_Data2(), FertiliserProducts[[#Headers],[Company]],31)</f>
        <v>1E-3</v>
      </c>
      <c r="AG131" s="215" t="str" cm="1">
        <f t="array" ref="AG131">Common_InputFunctions.Utility_DisplayArrayInTable(Fertiliser_SourceData.Fertiliser_Products_Data2(), FertiliserProducts[[#Headers],[Company]],31)</f>
        <v>Molybdenum</v>
      </c>
      <c r="AH131" s="215" cm="1">
        <f t="array" ref="AH131">Common_InputFunctions.Utility_DisplayArrayInTable(Fertiliser_SourceData.Fertiliser_Products_Data2(), FertiliserProducts[[#Headers],[Company]],31)</f>
        <v>2.9999999999999997E-4</v>
      </c>
    </row>
    <row r="132" spans="1:34" ht="20.100000000000001" customHeight="1" x14ac:dyDescent="0.25">
      <c r="A132"/>
      <c r="D132" s="215" t="str" cm="1">
        <f t="array" ref="D132">Common_InputFunctions.Utility_DisplayArrayInTable(Fertiliser_SourceData.Fertiliser_Products_Data2(), FertiliserProducts[[#Headers],[Company]],31)</f>
        <v>Switch Ag</v>
      </c>
      <c r="E132" s="215" t="str" cm="1">
        <f t="array" ref="E132">Common_InputFunctions.Utility_DisplayArrayInTable(Fertiliser_SourceData.Fertiliser_Products_Data2(), FertiliserProducts[[#Headers],[Company]],31)</f>
        <v>PastureMAXX</v>
      </c>
      <c r="F132" s="215" t="str" cm="1">
        <f t="array" ref="F132">Common_InputFunctions.Utility_DisplayArrayInTable(Fertiliser_SourceData.Fertiliser_Products_Data2(), FertiliserProducts[[#Headers],[Company]],31)</f>
        <v>L</v>
      </c>
      <c r="G132" s="215" cm="1">
        <f t="array" ref="G132">Common_InputFunctions.Utility_DisplayArrayInTable(Fertiliser_SourceData.Fertiliser_Products_Data2(), FertiliserProducts[[#Headers],[Company]],31)</f>
        <v>1.23</v>
      </c>
      <c r="H132" s="215" t="str" cm="1">
        <f t="array" ref="H132">Common_InputFunctions.Utility_DisplayArrayInTable(Fertiliser_SourceData.Fertiliser_Products_Data2(), FertiliserProducts[[#Headers],[Company]],31)</f>
        <v/>
      </c>
      <c r="I132" s="215" t="str" cm="1">
        <f t="array" ref="I132">Common_InputFunctions.Utility_DisplayArrayInTable(Fertiliser_SourceData.Fertiliser_Products_Data2(), FertiliserProducts[[#Headers],[Company]],31)</f>
        <v/>
      </c>
      <c r="J132" s="215" t="str" cm="1">
        <f t="array" ref="J132">Common_InputFunctions.Utility_DisplayArrayInTable(Fertiliser_SourceData.Fertiliser_Products_Data2(), FertiliserProducts[[#Headers],[Company]],31)</f>
        <v/>
      </c>
      <c r="K132" s="215" cm="1">
        <f t="array" ref="K132">Common_InputFunctions.Utility_DisplayArrayInTable(Fertiliser_SourceData.Fertiliser_Products_Data2(), FertiliserProducts[[#Headers],[Company]],31)</f>
        <v>9.7100000000000009</v>
      </c>
      <c r="L132" s="215" t="str" cm="1">
        <f t="array" ref="L132">Common_InputFunctions.Utility_DisplayArrayInTable(Fertiliser_SourceData.Fertiliser_Products_Data2(), FertiliserProducts[[#Headers],[Company]],31)</f>
        <v/>
      </c>
      <c r="M132" s="215" cm="1">
        <f t="array" ref="M132">Common_InputFunctions.Utility_DisplayArrayInTable(Fertiliser_SourceData.Fertiliser_Products_Data2(), FertiliserProducts[[#Headers],[Company]],31)</f>
        <v>3.25</v>
      </c>
      <c r="N132" s="215" cm="1">
        <f t="array" ref="N132">Common_InputFunctions.Utility_DisplayArrayInTable(Fertiliser_SourceData.Fertiliser_Products_Data2(), FertiliserProducts[[#Headers],[Company]],31)</f>
        <v>2.11</v>
      </c>
      <c r="O132" s="215" t="str" cm="1">
        <f t="array" ref="O132">Common_InputFunctions.Utility_DisplayArrayInTable(Fertiliser_SourceData.Fertiliser_Products_Data2(), FertiliserProducts[[#Headers],[Company]],31)</f>
        <v>Nitrogen - Generic</v>
      </c>
      <c r="P132" s="215" cm="1">
        <f t="array" ref="P132">Common_InputFunctions.Utility_DisplayArrayInTable(Fertiliser_SourceData.Fertiliser_Products_Data2(), FertiliserProducts[[#Headers],[Company]],31)</f>
        <v>9.7100000000000006E-2</v>
      </c>
      <c r="Q132" s="215" t="str" cm="1">
        <f t="array" ref="Q132">Common_InputFunctions.Utility_DisplayArrayInTable(Fertiliser_SourceData.Fertiliser_Products_Data2(), FertiliserProducts[[#Headers],[Company]],31)</f>
        <v>Potassium - Generic</v>
      </c>
      <c r="R132" s="215" cm="1">
        <f t="array" ref="R132">Common_InputFunctions.Utility_DisplayArrayInTable(Fertiliser_SourceData.Fertiliser_Products_Data2(), FertiliserProducts[[#Headers],[Company]],31)</f>
        <v>3.2500000000000001E-2</v>
      </c>
      <c r="S132" s="215" t="str" cm="1">
        <f t="array" ref="S132">Common_InputFunctions.Utility_DisplayArrayInTable(Fertiliser_SourceData.Fertiliser_Products_Data2(), FertiliserProducts[[#Headers],[Company]],31)</f>
        <v>Sulfur - Generic</v>
      </c>
      <c r="T132" s="215" cm="1">
        <f t="array" ref="T132">Common_InputFunctions.Utility_DisplayArrayInTable(Fertiliser_SourceData.Fertiliser_Products_Data2(), FertiliserProducts[[#Headers],[Company]],31)</f>
        <v>2.1100000000000001E-2</v>
      </c>
      <c r="U132" s="215" t="str" cm="1">
        <f t="array" ref="U132">Common_InputFunctions.Utility_DisplayArrayInTable(Fertiliser_SourceData.Fertiliser_Products_Data2(), FertiliserProducts[[#Headers],[Company]],31)</f>
        <v>Zinc</v>
      </c>
      <c r="V132" s="215" cm="1">
        <f t="array" ref="V132">Common_InputFunctions.Utility_DisplayArrayInTable(Fertiliser_SourceData.Fertiliser_Products_Data2(), FertiliserProducts[[#Headers],[Company]],31)</f>
        <v>1.4999999999999999E-2</v>
      </c>
      <c r="W132" s="215" t="str" cm="1">
        <f t="array" ref="W132">Common_InputFunctions.Utility_DisplayArrayInTable(Fertiliser_SourceData.Fertiliser_Products_Data2(), FertiliserProducts[[#Headers],[Company]],31)</f>
        <v>Iron</v>
      </c>
      <c r="X132" s="215" cm="1">
        <f t="array" ref="X132">Common_InputFunctions.Utility_DisplayArrayInTable(Fertiliser_SourceData.Fertiliser_Products_Data2(), FertiliserProducts[[#Headers],[Company]],31)</f>
        <v>1.11E-2</v>
      </c>
      <c r="Y132" s="215" t="str" cm="1">
        <f t="array" ref="Y132">Common_InputFunctions.Utility_DisplayArrayInTable(Fertiliser_SourceData.Fertiliser_Products_Data2(), FertiliserProducts[[#Headers],[Company]],31)</f>
        <v>Manganese</v>
      </c>
      <c r="Z132" s="215" cm="1">
        <f t="array" ref="Z132">Common_InputFunctions.Utility_DisplayArrayInTable(Fertiliser_SourceData.Fertiliser_Products_Data2(), FertiliserProducts[[#Headers],[Company]],31)</f>
        <v>1.15E-2</v>
      </c>
      <c r="AA132" s="215" t="str" cm="1">
        <f t="array" ref="AA132">Common_InputFunctions.Utility_DisplayArrayInTable(Fertiliser_SourceData.Fertiliser_Products_Data2(), FertiliserProducts[[#Headers],[Company]],31)</f>
        <v>Magnesium</v>
      </c>
      <c r="AB132" s="215" cm="1">
        <f t="array" ref="AB132">Common_InputFunctions.Utility_DisplayArrayInTable(Fertiliser_SourceData.Fertiliser_Products_Data2(), FertiliserProducts[[#Headers],[Company]],31)</f>
        <v>4.4999999999999997E-3</v>
      </c>
      <c r="AC132" s="215" t="str" cm="1">
        <f t="array" ref="AC132">Common_InputFunctions.Utility_DisplayArrayInTable(Fertiliser_SourceData.Fertiliser_Products_Data2(), FertiliserProducts[[#Headers],[Company]],31)</f>
        <v>Boron</v>
      </c>
      <c r="AD132" s="215" cm="1">
        <f t="array" ref="AD132">Common_InputFunctions.Utility_DisplayArrayInTable(Fertiliser_SourceData.Fertiliser_Products_Data2(), FertiliserProducts[[#Headers],[Company]],31)</f>
        <v>2E-3</v>
      </c>
      <c r="AE132" s="215" t="str" cm="1">
        <f t="array" ref="AE132">Common_InputFunctions.Utility_DisplayArrayInTable(Fertiliser_SourceData.Fertiliser_Products_Data2(), FertiliserProducts[[#Headers],[Company]],31)</f>
        <v/>
      </c>
      <c r="AF132" s="215" t="str" cm="1">
        <f t="array" ref="AF132">Common_InputFunctions.Utility_DisplayArrayInTable(Fertiliser_SourceData.Fertiliser_Products_Data2(), FertiliserProducts[[#Headers],[Company]],31)</f>
        <v/>
      </c>
      <c r="AG132" s="215" t="str" cm="1">
        <f t="array" ref="AG132">Common_InputFunctions.Utility_DisplayArrayInTable(Fertiliser_SourceData.Fertiliser_Products_Data2(), FertiliserProducts[[#Headers],[Company]],31)</f>
        <v/>
      </c>
      <c r="AH132" s="215" t="str" cm="1">
        <f t="array" ref="AH132">Common_InputFunctions.Utility_DisplayArrayInTable(Fertiliser_SourceData.Fertiliser_Products_Data2(), FertiliserProducts[[#Headers],[Company]],31)</f>
        <v/>
      </c>
    </row>
    <row r="133" spans="1:34" ht="20.100000000000001" customHeight="1" x14ac:dyDescent="0.25">
      <c r="A133"/>
      <c r="D133" s="215" t="str" cm="1">
        <f t="array" ref="D133">Common_InputFunctions.Utility_DisplayArrayInTable(Fertiliser_SourceData.Fertiliser_Products_Data2(), FertiliserProducts[[#Headers],[Company]],31)</f>
        <v>Campbells fertilisers Australia</v>
      </c>
      <c r="E133" s="215" t="str" cm="1">
        <f t="array" ref="E133">Common_InputFunctions.Utility_DisplayArrayInTable(Fertiliser_SourceData.Fertiliser_Products_Data2(), FertiliserProducts[[#Headers],[Company]],31)</f>
        <v>Platinum Nergetic</v>
      </c>
      <c r="F133" s="215" t="str" cm="1">
        <f t="array" ref="F133">Common_InputFunctions.Utility_DisplayArrayInTable(Fertiliser_SourceData.Fertiliser_Products_Data2(), FertiliserProducts[[#Headers],[Company]],31)</f>
        <v>kg</v>
      </c>
      <c r="G133" s="215" cm="1">
        <f t="array" ref="G133">Common_InputFunctions.Utility_DisplayArrayInTable(Fertiliser_SourceData.Fertiliser_Products_Data2(), FertiliserProducts[[#Headers],[Company]],31)</f>
        <v>1</v>
      </c>
      <c r="H133" s="215" t="str" cm="1">
        <f t="array" ref="H133">Common_InputFunctions.Utility_DisplayArrayInTable(Fertiliser_SourceData.Fertiliser_Products_Data2(), FertiliserProducts[[#Headers],[Company]],31)</f>
        <v/>
      </c>
      <c r="I133" s="215" t="str" cm="1">
        <f t="array" ref="I133">Common_InputFunctions.Utility_DisplayArrayInTable(Fertiliser_SourceData.Fertiliser_Products_Data2(), FertiliserProducts[[#Headers],[Company]],31)</f>
        <v/>
      </c>
      <c r="J133" s="215" t="str" cm="1">
        <f t="array" ref="J133">Common_InputFunctions.Utility_DisplayArrayInTable(Fertiliser_SourceData.Fertiliser_Products_Data2(), FertiliserProducts[[#Headers],[Company]],31)</f>
        <v/>
      </c>
      <c r="K133" s="215" cm="1">
        <f t="array" ref="K133">Common_InputFunctions.Utility_DisplayArrayInTable(Fertiliser_SourceData.Fertiliser_Products_Data2(), FertiliserProducts[[#Headers],[Company]],31)</f>
        <v>10</v>
      </c>
      <c r="L133" s="215" cm="1">
        <f t="array" ref="L133">Common_InputFunctions.Utility_DisplayArrayInTable(Fertiliser_SourceData.Fertiliser_Products_Data2(), FertiliserProducts[[#Headers],[Company]],31)</f>
        <v>10.9</v>
      </c>
      <c r="M133" s="215" cm="1">
        <f t="array" ref="M133">Common_InputFunctions.Utility_DisplayArrayInTable(Fertiliser_SourceData.Fertiliser_Products_Data2(), FertiliserProducts[[#Headers],[Company]],31)</f>
        <v>10</v>
      </c>
      <c r="N133" s="215" cm="1">
        <f t="array" ref="N133">Common_InputFunctions.Utility_DisplayArrayInTable(Fertiliser_SourceData.Fertiliser_Products_Data2(), FertiliserProducts[[#Headers],[Company]],31)</f>
        <v>4.34</v>
      </c>
      <c r="O133" s="215" t="str" cm="1">
        <f t="array" ref="O133">Common_InputFunctions.Utility_DisplayArrayInTable(Fertiliser_SourceData.Fertiliser_Products_Data2(), FertiliserProducts[[#Headers],[Company]],31)</f>
        <v>Monoammonium phosphate (MAP)</v>
      </c>
      <c r="P133" s="215" cm="1">
        <f t="array" ref="P133">Common_InputFunctions.Utility_DisplayArrayInTable(Fertiliser_SourceData.Fertiliser_Products_Data2(), FertiliserProducts[[#Headers],[Company]],31)</f>
        <v>0.4178</v>
      </c>
      <c r="Q133" s="215" t="str" cm="1">
        <f t="array" ref="Q133">Common_InputFunctions.Utility_DisplayArrayInTable(Fertiliser_SourceData.Fertiliser_Products_Data2(), FertiliserProducts[[#Headers],[Company]],31)</f>
        <v>Ammonium nitrate (AN)</v>
      </c>
      <c r="R133" s="215" cm="1">
        <f t="array" ref="R133">Common_InputFunctions.Utility_DisplayArrayInTable(Fertiliser_SourceData.Fertiliser_Products_Data2(), FertiliserProducts[[#Headers],[Company]],31)</f>
        <v>0.17280000000000001</v>
      </c>
      <c r="S133" s="215" t="str" cm="1">
        <f t="array" ref="S133">Common_InputFunctions.Utility_DisplayArrayInTable(Fertiliser_SourceData.Fertiliser_Products_Data2(), FertiliserProducts[[#Headers],[Company]],31)</f>
        <v>Potassium sulphate</v>
      </c>
      <c r="T133" s="215" cm="1">
        <f t="array" ref="T133">Common_InputFunctions.Utility_DisplayArrayInTable(Fertiliser_SourceData.Fertiliser_Products_Data2(), FertiliserProducts[[#Headers],[Company]],31)</f>
        <v>0.24096400000000001</v>
      </c>
      <c r="U133" s="215" t="str" cm="1">
        <f t="array" ref="U133">Common_InputFunctions.Utility_DisplayArrayInTable(Fertiliser_SourceData.Fertiliser_Products_Data2(), FertiliserProducts[[#Headers],[Company]],31)</f>
        <v>Double superphosphate</v>
      </c>
      <c r="V133" s="215" cm="1">
        <f t="array" ref="V133">Common_InputFunctions.Utility_DisplayArrayInTable(Fertiliser_SourceData.Fertiliser_Products_Data2(), FertiliserProducts[[#Headers],[Company]],31)</f>
        <v>0.1</v>
      </c>
      <c r="W133" s="215" t="str" cm="1">
        <f t="array" ref="W133">Common_InputFunctions.Utility_DisplayArrayInTable(Fertiliser_SourceData.Fertiliser_Products_Data2(), FertiliserProducts[[#Headers],[Company]],31)</f>
        <v>Magnesium</v>
      </c>
      <c r="X133" s="215" cm="1">
        <f t="array" ref="X133">Common_InputFunctions.Utility_DisplayArrayInTable(Fertiliser_SourceData.Fertiliser_Products_Data2(), FertiliserProducts[[#Headers],[Company]],31)</f>
        <v>1.2E-2</v>
      </c>
      <c r="Y133" s="215" t="str" cm="1">
        <f t="array" ref="Y133">Common_InputFunctions.Utility_DisplayArrayInTable(Fertiliser_SourceData.Fertiliser_Products_Data2(), FertiliserProducts[[#Headers],[Company]],31)</f>
        <v>Zinc</v>
      </c>
      <c r="Z133" s="215" cm="1">
        <f t="array" ref="Z133">Common_InputFunctions.Utility_DisplayArrayInTable(Fertiliser_SourceData.Fertiliser_Products_Data2(), FertiliserProducts[[#Headers],[Company]],31)</f>
        <v>3.5999999999999999E-3</v>
      </c>
      <c r="AA133" s="215" t="str" cm="1">
        <f t="array" ref="AA133">Common_InputFunctions.Utility_DisplayArrayInTable(Fertiliser_SourceData.Fertiliser_Products_Data2(), FertiliserProducts[[#Headers],[Company]],31)</f>
        <v>Boron</v>
      </c>
      <c r="AB133" s="215" cm="1">
        <f t="array" ref="AB133">Common_InputFunctions.Utility_DisplayArrayInTable(Fertiliser_SourceData.Fertiliser_Products_Data2(), FertiliserProducts[[#Headers],[Company]],31)</f>
        <v>1E-3</v>
      </c>
      <c r="AC133" s="215" t="str" cm="1">
        <f t="array" ref="AC133">Common_InputFunctions.Utility_DisplayArrayInTable(Fertiliser_SourceData.Fertiliser_Products_Data2(), FertiliserProducts[[#Headers],[Company]],31)</f>
        <v>Glaze Extend G3 Flexi</v>
      </c>
      <c r="AD133" s="215" cm="1">
        <f t="array" ref="AD133">Common_InputFunctions.Utility_DisplayArrayInTable(Fertiliser_SourceData.Fertiliser_Products_Data2(), FertiliserProducts[[#Headers],[Company]],31)</f>
        <v>5.1900000000000002E-2</v>
      </c>
      <c r="AE133" s="215" t="str" cm="1">
        <f t="array" ref="AE133">Common_InputFunctions.Utility_DisplayArrayInTable(Fertiliser_SourceData.Fertiliser_Products_Data2(), FertiliserProducts[[#Headers],[Company]],31)</f>
        <v/>
      </c>
      <c r="AF133" s="215" t="str" cm="1">
        <f t="array" ref="AF133">Common_InputFunctions.Utility_DisplayArrayInTable(Fertiliser_SourceData.Fertiliser_Products_Data2(), FertiliserProducts[[#Headers],[Company]],31)</f>
        <v/>
      </c>
      <c r="AG133" s="215" t="str" cm="1">
        <f t="array" ref="AG133">Common_InputFunctions.Utility_DisplayArrayInTable(Fertiliser_SourceData.Fertiliser_Products_Data2(), FertiliserProducts[[#Headers],[Company]],31)</f>
        <v/>
      </c>
      <c r="AH133" s="215" t="str" cm="1">
        <f t="array" ref="AH133">Common_InputFunctions.Utility_DisplayArrayInTable(Fertiliser_SourceData.Fertiliser_Products_Data2(), FertiliserProducts[[#Headers],[Company]],31)</f>
        <v/>
      </c>
    </row>
    <row r="134" spans="1:34" ht="20.100000000000001" customHeight="1" x14ac:dyDescent="0.25">
      <c r="A134"/>
      <c r="D134" s="215" t="str" cm="1">
        <f t="array" ref="D134">Common_InputFunctions.Utility_DisplayArrayInTable(Fertiliser_SourceData.Fertiliser_Products_Data2(), FertiliserProducts[[#Headers],[Company]],31)</f>
        <v>Impact Fertilisers</v>
      </c>
      <c r="E134" s="215" t="str" cm="1">
        <f t="array" ref="E134">Common_InputFunctions.Utility_DisplayArrayInTable(Fertiliser_SourceData.Fertiliser_Products_Data2(), FertiliserProducts[[#Headers],[Company]],31)</f>
        <v>Sulphate of ammonia (SOA)</v>
      </c>
      <c r="F134" s="215" t="str" cm="1">
        <f t="array" ref="F134">Common_InputFunctions.Utility_DisplayArrayInTable(Fertiliser_SourceData.Fertiliser_Products_Data2(), FertiliserProducts[[#Headers],[Company]],31)</f>
        <v>kg</v>
      </c>
      <c r="G134" s="215" cm="1">
        <f t="array" ref="G134">Common_InputFunctions.Utility_DisplayArrayInTable(Fertiliser_SourceData.Fertiliser_Products_Data2(), FertiliserProducts[[#Headers],[Company]],31)</f>
        <v>1</v>
      </c>
      <c r="H134" s="215" t="str" cm="1">
        <f t="array" ref="H134">Common_InputFunctions.Utility_DisplayArrayInTable(Fertiliser_SourceData.Fertiliser_Products_Data2(), FertiliserProducts[[#Headers],[Company]],31)</f>
        <v/>
      </c>
      <c r="I134" s="215" t="str" cm="1">
        <f t="array" ref="I134">Common_InputFunctions.Utility_DisplayArrayInTable(Fertiliser_SourceData.Fertiliser_Products_Data2(), FertiliserProducts[[#Headers],[Company]],31)</f>
        <v/>
      </c>
      <c r="J134" s="215" t="str" cm="1">
        <f t="array" ref="J134">Common_InputFunctions.Utility_DisplayArrayInTable(Fertiliser_SourceData.Fertiliser_Products_Data2(), FertiliserProducts[[#Headers],[Company]],31)</f>
        <v/>
      </c>
      <c r="K134" s="215" cm="1">
        <f t="array" ref="K134">Common_InputFunctions.Utility_DisplayArrayInTable(Fertiliser_SourceData.Fertiliser_Products_Data2(), FertiliserProducts[[#Headers],[Company]],31)</f>
        <v>21</v>
      </c>
      <c r="L134" s="215" t="str" cm="1">
        <f t="array" ref="L134">Common_InputFunctions.Utility_DisplayArrayInTable(Fertiliser_SourceData.Fertiliser_Products_Data2(), FertiliserProducts[[#Headers],[Company]],31)</f>
        <v/>
      </c>
      <c r="M134" s="215" t="str" cm="1">
        <f t="array" ref="M134">Common_InputFunctions.Utility_DisplayArrayInTable(Fertiliser_SourceData.Fertiliser_Products_Data2(), FertiliserProducts[[#Headers],[Company]],31)</f>
        <v/>
      </c>
      <c r="N134" s="215" cm="1">
        <f t="array" ref="N134">Common_InputFunctions.Utility_DisplayArrayInTable(Fertiliser_SourceData.Fertiliser_Products_Data2(), FertiliserProducts[[#Headers],[Company]],31)</f>
        <v>24</v>
      </c>
      <c r="O134" s="215" t="str" cm="1">
        <f t="array" ref="O134">Common_InputFunctions.Utility_DisplayArrayInTable(Fertiliser_SourceData.Fertiliser_Products_Data2(), FertiliserProducts[[#Headers],[Company]],31)</f>
        <v>Sulphate of ammonia (SOA)</v>
      </c>
      <c r="P134" s="215" cm="1">
        <f t="array" ref="P134">Common_InputFunctions.Utility_DisplayArrayInTable(Fertiliser_SourceData.Fertiliser_Products_Data2(), FertiliserProducts[[#Headers],[Company]],31)</f>
        <v>1</v>
      </c>
      <c r="Q134" s="215" t="str" cm="1">
        <f t="array" ref="Q134">Common_InputFunctions.Utility_DisplayArrayInTable(Fertiliser_SourceData.Fertiliser_Products_Data2(), FertiliserProducts[[#Headers],[Company]],31)</f>
        <v/>
      </c>
      <c r="R134" s="215" t="str" cm="1">
        <f t="array" ref="R134">Common_InputFunctions.Utility_DisplayArrayInTable(Fertiliser_SourceData.Fertiliser_Products_Data2(), FertiliserProducts[[#Headers],[Company]],31)</f>
        <v/>
      </c>
      <c r="S134" s="215" t="str" cm="1">
        <f t="array" ref="S134">Common_InputFunctions.Utility_DisplayArrayInTable(Fertiliser_SourceData.Fertiliser_Products_Data2(), FertiliserProducts[[#Headers],[Company]],31)</f>
        <v/>
      </c>
      <c r="T134" s="215" t="str" cm="1">
        <f t="array" ref="T134">Common_InputFunctions.Utility_DisplayArrayInTable(Fertiliser_SourceData.Fertiliser_Products_Data2(), FertiliserProducts[[#Headers],[Company]],31)</f>
        <v/>
      </c>
      <c r="U134" s="215" t="str" cm="1">
        <f t="array" ref="U134">Common_InputFunctions.Utility_DisplayArrayInTable(Fertiliser_SourceData.Fertiliser_Products_Data2(), FertiliserProducts[[#Headers],[Company]],31)</f>
        <v/>
      </c>
      <c r="V134" s="215" t="str" cm="1">
        <f t="array" ref="V134">Common_InputFunctions.Utility_DisplayArrayInTable(Fertiliser_SourceData.Fertiliser_Products_Data2(), FertiliserProducts[[#Headers],[Company]],31)</f>
        <v/>
      </c>
      <c r="W134" s="215" t="str" cm="1">
        <f t="array" ref="W134">Common_InputFunctions.Utility_DisplayArrayInTable(Fertiliser_SourceData.Fertiliser_Products_Data2(), FertiliserProducts[[#Headers],[Company]],31)</f>
        <v/>
      </c>
      <c r="X134" s="215" t="str" cm="1">
        <f t="array" ref="X134">Common_InputFunctions.Utility_DisplayArrayInTable(Fertiliser_SourceData.Fertiliser_Products_Data2(), FertiliserProducts[[#Headers],[Company]],31)</f>
        <v/>
      </c>
      <c r="Y134" s="215" t="str" cm="1">
        <f t="array" ref="Y134">Common_InputFunctions.Utility_DisplayArrayInTable(Fertiliser_SourceData.Fertiliser_Products_Data2(), FertiliserProducts[[#Headers],[Company]],31)</f>
        <v/>
      </c>
      <c r="Z134" s="215" t="str" cm="1">
        <f t="array" ref="Z134">Common_InputFunctions.Utility_DisplayArrayInTable(Fertiliser_SourceData.Fertiliser_Products_Data2(), FertiliserProducts[[#Headers],[Company]],31)</f>
        <v/>
      </c>
      <c r="AA134" s="215" t="str" cm="1">
        <f t="array" ref="AA134">Common_InputFunctions.Utility_DisplayArrayInTable(Fertiliser_SourceData.Fertiliser_Products_Data2(), FertiliserProducts[[#Headers],[Company]],31)</f>
        <v/>
      </c>
      <c r="AB134" s="215" t="str" cm="1">
        <f t="array" ref="AB134">Common_InputFunctions.Utility_DisplayArrayInTable(Fertiliser_SourceData.Fertiliser_Products_Data2(), FertiliserProducts[[#Headers],[Company]],31)</f>
        <v/>
      </c>
      <c r="AC134" s="215" t="str" cm="1">
        <f t="array" ref="AC134">Common_InputFunctions.Utility_DisplayArrayInTable(Fertiliser_SourceData.Fertiliser_Products_Data2(), FertiliserProducts[[#Headers],[Company]],31)</f>
        <v/>
      </c>
      <c r="AD134" s="215" t="str" cm="1">
        <f t="array" ref="AD134">Common_InputFunctions.Utility_DisplayArrayInTable(Fertiliser_SourceData.Fertiliser_Products_Data2(), FertiliserProducts[[#Headers],[Company]],31)</f>
        <v/>
      </c>
      <c r="AE134" s="215" t="str" cm="1">
        <f t="array" ref="AE134">Common_InputFunctions.Utility_DisplayArrayInTable(Fertiliser_SourceData.Fertiliser_Products_Data2(), FertiliserProducts[[#Headers],[Company]],31)</f>
        <v/>
      </c>
      <c r="AF134" s="215" t="str" cm="1">
        <f t="array" ref="AF134">Common_InputFunctions.Utility_DisplayArrayInTable(Fertiliser_SourceData.Fertiliser_Products_Data2(), FertiliserProducts[[#Headers],[Company]],31)</f>
        <v/>
      </c>
      <c r="AG134" s="215" t="str" cm="1">
        <f t="array" ref="AG134">Common_InputFunctions.Utility_DisplayArrayInTable(Fertiliser_SourceData.Fertiliser_Products_Data2(), FertiliserProducts[[#Headers],[Company]],31)</f>
        <v/>
      </c>
      <c r="AH134" s="215" t="str" cm="1">
        <f t="array" ref="AH134">Common_InputFunctions.Utility_DisplayArrayInTable(Fertiliser_SourceData.Fertiliser_Products_Data2(), FertiliserProducts[[#Headers],[Company]],31)</f>
        <v/>
      </c>
    </row>
    <row r="135" spans="1:34" ht="20.100000000000001" customHeight="1" x14ac:dyDescent="0.25">
      <c r="A135"/>
      <c r="D135" s="215" t="str" cm="1">
        <f t="array" ref="D135">Common_InputFunctions.Utility_DisplayArrayInTable(Fertiliser_SourceData.Fertiliser_Products_Data2(), FertiliserProducts[[#Headers],[Company]],31)</f>
        <v>Impact Fertilisers</v>
      </c>
      <c r="E135" s="215" t="str" cm="1">
        <f t="array" ref="E135">Common_InputFunctions.Utility_DisplayArrayInTable(Fertiliser_SourceData.Fertiliser_Products_Data2(), FertiliserProducts[[#Headers],[Company]],31)</f>
        <v>Mono-Ammonium Phosphate (MAP)</v>
      </c>
      <c r="F135" s="215" t="str" cm="1">
        <f t="array" ref="F135">Common_InputFunctions.Utility_DisplayArrayInTable(Fertiliser_SourceData.Fertiliser_Products_Data2(), FertiliserProducts[[#Headers],[Company]],31)</f>
        <v>kg</v>
      </c>
      <c r="G135" s="215" cm="1">
        <f t="array" ref="G135">Common_InputFunctions.Utility_DisplayArrayInTable(Fertiliser_SourceData.Fertiliser_Products_Data2(), FertiliserProducts[[#Headers],[Company]],31)</f>
        <v>1</v>
      </c>
      <c r="H135" s="215" t="str" cm="1">
        <f t="array" ref="H135">Common_InputFunctions.Utility_DisplayArrayInTable(Fertiliser_SourceData.Fertiliser_Products_Data2(), FertiliserProducts[[#Headers],[Company]],31)</f>
        <v/>
      </c>
      <c r="I135" s="215" t="str" cm="1">
        <f t="array" ref="I135">Common_InputFunctions.Utility_DisplayArrayInTable(Fertiliser_SourceData.Fertiliser_Products_Data2(), FertiliserProducts[[#Headers],[Company]],31)</f>
        <v/>
      </c>
      <c r="J135" s="215" t="str" cm="1">
        <f t="array" ref="J135">Common_InputFunctions.Utility_DisplayArrayInTable(Fertiliser_SourceData.Fertiliser_Products_Data2(), FertiliserProducts[[#Headers],[Company]],31)</f>
        <v/>
      </c>
      <c r="K135" s="215" cm="1">
        <f t="array" ref="K135">Common_InputFunctions.Utility_DisplayArrayInTable(Fertiliser_SourceData.Fertiliser_Products_Data2(), FertiliserProducts[[#Headers],[Company]],31)</f>
        <v>10</v>
      </c>
      <c r="L135" s="215" cm="1">
        <f t="array" ref="L135">Common_InputFunctions.Utility_DisplayArrayInTable(Fertiliser_SourceData.Fertiliser_Products_Data2(), FertiliserProducts[[#Headers],[Company]],31)</f>
        <v>21.9</v>
      </c>
      <c r="M135" s="215" t="str" cm="1">
        <f t="array" ref="M135">Common_InputFunctions.Utility_DisplayArrayInTable(Fertiliser_SourceData.Fertiliser_Products_Data2(), FertiliserProducts[[#Headers],[Company]],31)</f>
        <v/>
      </c>
      <c r="N135" s="215" cm="1">
        <f t="array" ref="N135">Common_InputFunctions.Utility_DisplayArrayInTable(Fertiliser_SourceData.Fertiliser_Products_Data2(), FertiliserProducts[[#Headers],[Company]],31)</f>
        <v>1.5</v>
      </c>
      <c r="O135" s="215" t="str" cm="1">
        <f t="array" ref="O135">Common_InputFunctions.Utility_DisplayArrayInTable(Fertiliser_SourceData.Fertiliser_Products_Data2(), FertiliserProducts[[#Headers],[Company]],31)</f>
        <v>Monoammonium phosphate (MAP)</v>
      </c>
      <c r="P135" s="215" cm="1">
        <f t="array" ref="P135">Common_InputFunctions.Utility_DisplayArrayInTable(Fertiliser_SourceData.Fertiliser_Products_Data2(), FertiliserProducts[[#Headers],[Company]],31)</f>
        <v>1</v>
      </c>
      <c r="Q135" s="215" t="str" cm="1">
        <f t="array" ref="Q135">Common_InputFunctions.Utility_DisplayArrayInTable(Fertiliser_SourceData.Fertiliser_Products_Data2(), FertiliserProducts[[#Headers],[Company]],31)</f>
        <v/>
      </c>
      <c r="R135" s="215" t="str" cm="1">
        <f t="array" ref="R135">Common_InputFunctions.Utility_DisplayArrayInTable(Fertiliser_SourceData.Fertiliser_Products_Data2(), FertiliserProducts[[#Headers],[Company]],31)</f>
        <v/>
      </c>
      <c r="S135" s="215" t="str" cm="1">
        <f t="array" ref="S135">Common_InputFunctions.Utility_DisplayArrayInTable(Fertiliser_SourceData.Fertiliser_Products_Data2(), FertiliserProducts[[#Headers],[Company]],31)</f>
        <v/>
      </c>
      <c r="T135" s="215" t="str" cm="1">
        <f t="array" ref="T135">Common_InputFunctions.Utility_DisplayArrayInTable(Fertiliser_SourceData.Fertiliser_Products_Data2(), FertiliserProducts[[#Headers],[Company]],31)</f>
        <v/>
      </c>
      <c r="U135" s="215" t="str" cm="1">
        <f t="array" ref="U135">Common_InputFunctions.Utility_DisplayArrayInTable(Fertiliser_SourceData.Fertiliser_Products_Data2(), FertiliserProducts[[#Headers],[Company]],31)</f>
        <v/>
      </c>
      <c r="V135" s="215" t="str" cm="1">
        <f t="array" ref="V135">Common_InputFunctions.Utility_DisplayArrayInTable(Fertiliser_SourceData.Fertiliser_Products_Data2(), FertiliserProducts[[#Headers],[Company]],31)</f>
        <v/>
      </c>
      <c r="W135" s="215" t="str" cm="1">
        <f t="array" ref="W135">Common_InputFunctions.Utility_DisplayArrayInTable(Fertiliser_SourceData.Fertiliser_Products_Data2(), FertiliserProducts[[#Headers],[Company]],31)</f>
        <v/>
      </c>
      <c r="X135" s="215" t="str" cm="1">
        <f t="array" ref="X135">Common_InputFunctions.Utility_DisplayArrayInTable(Fertiliser_SourceData.Fertiliser_Products_Data2(), FertiliserProducts[[#Headers],[Company]],31)</f>
        <v/>
      </c>
      <c r="Y135" s="215" t="str" cm="1">
        <f t="array" ref="Y135">Common_InputFunctions.Utility_DisplayArrayInTable(Fertiliser_SourceData.Fertiliser_Products_Data2(), FertiliserProducts[[#Headers],[Company]],31)</f>
        <v/>
      </c>
      <c r="Z135" s="215" t="str" cm="1">
        <f t="array" ref="Z135">Common_InputFunctions.Utility_DisplayArrayInTable(Fertiliser_SourceData.Fertiliser_Products_Data2(), FertiliserProducts[[#Headers],[Company]],31)</f>
        <v/>
      </c>
      <c r="AA135" s="215" t="str" cm="1">
        <f t="array" ref="AA135">Common_InputFunctions.Utility_DisplayArrayInTable(Fertiliser_SourceData.Fertiliser_Products_Data2(), FertiliserProducts[[#Headers],[Company]],31)</f>
        <v/>
      </c>
      <c r="AB135" s="215" t="str" cm="1">
        <f t="array" ref="AB135">Common_InputFunctions.Utility_DisplayArrayInTable(Fertiliser_SourceData.Fertiliser_Products_Data2(), FertiliserProducts[[#Headers],[Company]],31)</f>
        <v/>
      </c>
      <c r="AC135" s="215" t="str" cm="1">
        <f t="array" ref="AC135">Common_InputFunctions.Utility_DisplayArrayInTable(Fertiliser_SourceData.Fertiliser_Products_Data2(), FertiliserProducts[[#Headers],[Company]],31)</f>
        <v/>
      </c>
      <c r="AD135" s="215" t="str" cm="1">
        <f t="array" ref="AD135">Common_InputFunctions.Utility_DisplayArrayInTable(Fertiliser_SourceData.Fertiliser_Products_Data2(), FertiliserProducts[[#Headers],[Company]],31)</f>
        <v/>
      </c>
      <c r="AE135" s="215" t="str" cm="1">
        <f t="array" ref="AE135">Common_InputFunctions.Utility_DisplayArrayInTable(Fertiliser_SourceData.Fertiliser_Products_Data2(), FertiliserProducts[[#Headers],[Company]],31)</f>
        <v/>
      </c>
      <c r="AF135" s="215" t="str" cm="1">
        <f t="array" ref="AF135">Common_InputFunctions.Utility_DisplayArrayInTable(Fertiliser_SourceData.Fertiliser_Products_Data2(), FertiliserProducts[[#Headers],[Company]],31)</f>
        <v/>
      </c>
      <c r="AG135" s="215" t="str" cm="1">
        <f t="array" ref="AG135">Common_InputFunctions.Utility_DisplayArrayInTable(Fertiliser_SourceData.Fertiliser_Products_Data2(), FertiliserProducts[[#Headers],[Company]],31)</f>
        <v/>
      </c>
      <c r="AH135" s="215" t="str" cm="1">
        <f t="array" ref="AH135">Common_InputFunctions.Utility_DisplayArrayInTable(Fertiliser_SourceData.Fertiliser_Products_Data2(), FertiliserProducts[[#Headers],[Company]],31)</f>
        <v/>
      </c>
    </row>
    <row r="136" spans="1:34" ht="20.100000000000001" customHeight="1" x14ac:dyDescent="0.25">
      <c r="A136"/>
      <c r="D136" s="215" t="str" cm="1">
        <f t="array" ref="D136">Common_InputFunctions.Utility_DisplayArrayInTable(Fertiliser_SourceData.Fertiliser_Products_Data2(), FertiliserProducts[[#Headers],[Company]],31)</f>
        <v>Impact Fertilisers</v>
      </c>
      <c r="E136" s="215" t="str" cm="1">
        <f t="array" ref="E136">Common_InputFunctions.Utility_DisplayArrayInTable(Fertiliser_SourceData.Fertiliser_Products_Data2(), FertiliserProducts[[#Headers],[Company]],31)</f>
        <v>Urea</v>
      </c>
      <c r="F136" s="215" t="str" cm="1">
        <f t="array" ref="F136">Common_InputFunctions.Utility_DisplayArrayInTable(Fertiliser_SourceData.Fertiliser_Products_Data2(), FertiliserProducts[[#Headers],[Company]],31)</f>
        <v>kg</v>
      </c>
      <c r="G136" s="215" cm="1">
        <f t="array" ref="G136">Common_InputFunctions.Utility_DisplayArrayInTable(Fertiliser_SourceData.Fertiliser_Products_Data2(), FertiliserProducts[[#Headers],[Company]],31)</f>
        <v>1</v>
      </c>
      <c r="H136" s="215" t="str" cm="1">
        <f t="array" ref="H136">Common_InputFunctions.Utility_DisplayArrayInTable(Fertiliser_SourceData.Fertiliser_Products_Data2(), FertiliserProducts[[#Headers],[Company]],31)</f>
        <v/>
      </c>
      <c r="I136" s="215" t="str" cm="1">
        <f t="array" ref="I136">Common_InputFunctions.Utility_DisplayArrayInTable(Fertiliser_SourceData.Fertiliser_Products_Data2(), FertiliserProducts[[#Headers],[Company]],31)</f>
        <v/>
      </c>
      <c r="J136" s="215" t="str" cm="1">
        <f t="array" ref="J136">Common_InputFunctions.Utility_DisplayArrayInTable(Fertiliser_SourceData.Fertiliser_Products_Data2(), FertiliserProducts[[#Headers],[Company]],31)</f>
        <v/>
      </c>
      <c r="K136" s="215" cm="1">
        <f t="array" ref="K136">Common_InputFunctions.Utility_DisplayArrayInTable(Fertiliser_SourceData.Fertiliser_Products_Data2(), FertiliserProducts[[#Headers],[Company]],31)</f>
        <v>46</v>
      </c>
      <c r="L136" s="215" t="str" cm="1">
        <f t="array" ref="L136">Common_InputFunctions.Utility_DisplayArrayInTable(Fertiliser_SourceData.Fertiliser_Products_Data2(), FertiliserProducts[[#Headers],[Company]],31)</f>
        <v/>
      </c>
      <c r="M136" s="215" t="str" cm="1">
        <f t="array" ref="M136">Common_InputFunctions.Utility_DisplayArrayInTable(Fertiliser_SourceData.Fertiliser_Products_Data2(), FertiliserProducts[[#Headers],[Company]],31)</f>
        <v/>
      </c>
      <c r="N136" s="215" t="str" cm="1">
        <f t="array" ref="N136">Common_InputFunctions.Utility_DisplayArrayInTable(Fertiliser_SourceData.Fertiliser_Products_Data2(), FertiliserProducts[[#Headers],[Company]],31)</f>
        <v/>
      </c>
      <c r="O136" s="215" t="str" cm="1">
        <f t="array" ref="O136">Common_InputFunctions.Utility_DisplayArrayInTable(Fertiliser_SourceData.Fertiliser_Products_Data2(), FertiliserProducts[[#Headers],[Company]],31)</f>
        <v>Urea</v>
      </c>
      <c r="P136" s="215" cm="1">
        <f t="array" ref="P136">Common_InputFunctions.Utility_DisplayArrayInTable(Fertiliser_SourceData.Fertiliser_Products_Data2(), FertiliserProducts[[#Headers],[Company]],31)</f>
        <v>1</v>
      </c>
      <c r="Q136" s="215" t="str" cm="1">
        <f t="array" ref="Q136">Common_InputFunctions.Utility_DisplayArrayInTable(Fertiliser_SourceData.Fertiliser_Products_Data2(), FertiliserProducts[[#Headers],[Company]],31)</f>
        <v/>
      </c>
      <c r="R136" s="215" t="str" cm="1">
        <f t="array" ref="R136">Common_InputFunctions.Utility_DisplayArrayInTable(Fertiliser_SourceData.Fertiliser_Products_Data2(), FertiliserProducts[[#Headers],[Company]],31)</f>
        <v/>
      </c>
      <c r="S136" s="215" t="str" cm="1">
        <f t="array" ref="S136">Common_InputFunctions.Utility_DisplayArrayInTable(Fertiliser_SourceData.Fertiliser_Products_Data2(), FertiliserProducts[[#Headers],[Company]],31)</f>
        <v/>
      </c>
      <c r="T136" s="215" t="str" cm="1">
        <f t="array" ref="T136">Common_InputFunctions.Utility_DisplayArrayInTable(Fertiliser_SourceData.Fertiliser_Products_Data2(), FertiliserProducts[[#Headers],[Company]],31)</f>
        <v/>
      </c>
      <c r="U136" s="215" t="str" cm="1">
        <f t="array" ref="U136">Common_InputFunctions.Utility_DisplayArrayInTable(Fertiliser_SourceData.Fertiliser_Products_Data2(), FertiliserProducts[[#Headers],[Company]],31)</f>
        <v/>
      </c>
      <c r="V136" s="215" t="str" cm="1">
        <f t="array" ref="V136">Common_InputFunctions.Utility_DisplayArrayInTable(Fertiliser_SourceData.Fertiliser_Products_Data2(), FertiliserProducts[[#Headers],[Company]],31)</f>
        <v/>
      </c>
      <c r="W136" s="215" t="str" cm="1">
        <f t="array" ref="W136">Common_InputFunctions.Utility_DisplayArrayInTable(Fertiliser_SourceData.Fertiliser_Products_Data2(), FertiliserProducts[[#Headers],[Company]],31)</f>
        <v/>
      </c>
      <c r="X136" s="215" t="str" cm="1">
        <f t="array" ref="X136">Common_InputFunctions.Utility_DisplayArrayInTable(Fertiliser_SourceData.Fertiliser_Products_Data2(), FertiliserProducts[[#Headers],[Company]],31)</f>
        <v/>
      </c>
      <c r="Y136" s="215" t="str" cm="1">
        <f t="array" ref="Y136">Common_InputFunctions.Utility_DisplayArrayInTable(Fertiliser_SourceData.Fertiliser_Products_Data2(), FertiliserProducts[[#Headers],[Company]],31)</f>
        <v/>
      </c>
      <c r="Z136" s="215" t="str" cm="1">
        <f t="array" ref="Z136">Common_InputFunctions.Utility_DisplayArrayInTable(Fertiliser_SourceData.Fertiliser_Products_Data2(), FertiliserProducts[[#Headers],[Company]],31)</f>
        <v/>
      </c>
      <c r="AA136" s="215" t="str" cm="1">
        <f t="array" ref="AA136">Common_InputFunctions.Utility_DisplayArrayInTable(Fertiliser_SourceData.Fertiliser_Products_Data2(), FertiliserProducts[[#Headers],[Company]],31)</f>
        <v/>
      </c>
      <c r="AB136" s="215" t="str" cm="1">
        <f t="array" ref="AB136">Common_InputFunctions.Utility_DisplayArrayInTable(Fertiliser_SourceData.Fertiliser_Products_Data2(), FertiliserProducts[[#Headers],[Company]],31)</f>
        <v/>
      </c>
      <c r="AC136" s="215" t="str" cm="1">
        <f t="array" ref="AC136">Common_InputFunctions.Utility_DisplayArrayInTable(Fertiliser_SourceData.Fertiliser_Products_Data2(), FertiliserProducts[[#Headers],[Company]],31)</f>
        <v/>
      </c>
      <c r="AD136" s="215" t="str" cm="1">
        <f t="array" ref="AD136">Common_InputFunctions.Utility_DisplayArrayInTable(Fertiliser_SourceData.Fertiliser_Products_Data2(), FertiliserProducts[[#Headers],[Company]],31)</f>
        <v/>
      </c>
      <c r="AE136" s="215" t="str" cm="1">
        <f t="array" ref="AE136">Common_InputFunctions.Utility_DisplayArrayInTable(Fertiliser_SourceData.Fertiliser_Products_Data2(), FertiliserProducts[[#Headers],[Company]],31)</f>
        <v/>
      </c>
      <c r="AF136" s="215" t="str" cm="1">
        <f t="array" ref="AF136">Common_InputFunctions.Utility_DisplayArrayInTable(Fertiliser_SourceData.Fertiliser_Products_Data2(), FertiliserProducts[[#Headers],[Company]],31)</f>
        <v/>
      </c>
      <c r="AG136" s="215" t="str" cm="1">
        <f t="array" ref="AG136">Common_InputFunctions.Utility_DisplayArrayInTable(Fertiliser_SourceData.Fertiliser_Products_Data2(), FertiliserProducts[[#Headers],[Company]],31)</f>
        <v/>
      </c>
      <c r="AH136" s="215" t="str" cm="1">
        <f t="array" ref="AH136">Common_InputFunctions.Utility_DisplayArrayInTable(Fertiliser_SourceData.Fertiliser_Products_Data2(), FertiliserProducts[[#Headers],[Company]],31)</f>
        <v/>
      </c>
    </row>
    <row r="137" spans="1:34" ht="20.100000000000001" customHeight="1" x14ac:dyDescent="0.25">
      <c r="A137"/>
      <c r="D137" s="215" t="str" cm="1">
        <f t="array" ref="D137">Common_InputFunctions.Utility_DisplayArrayInTable(Fertiliser_SourceData.Fertiliser_Products_Data2(), FertiliserProducts[[#Headers],[Company]],31)</f>
        <v>Koch Fertiliser Australia</v>
      </c>
      <c r="E137" s="215" t="str" cm="1">
        <f t="array" ref="E137">Common_InputFunctions.Utility_DisplayArrayInTable(Fertiliser_SourceData.Fertiliser_Products_Data2(), FertiliserProducts[[#Headers],[Company]],31)</f>
        <v>Muriate of potash (MOP)</v>
      </c>
      <c r="F137" s="215" t="str" cm="1">
        <f t="array" ref="F137">Common_InputFunctions.Utility_DisplayArrayInTable(Fertiliser_SourceData.Fertiliser_Products_Data2(), FertiliserProducts[[#Headers],[Company]],31)</f>
        <v>kg</v>
      </c>
      <c r="G137" s="215" cm="1">
        <f t="array" ref="G137">Common_InputFunctions.Utility_DisplayArrayInTable(Fertiliser_SourceData.Fertiliser_Products_Data2(), FertiliserProducts[[#Headers],[Company]],31)</f>
        <v>1</v>
      </c>
      <c r="H137" s="215" t="str" cm="1">
        <f t="array" ref="H137">Common_InputFunctions.Utility_DisplayArrayInTable(Fertiliser_SourceData.Fertiliser_Products_Data2(), FertiliserProducts[[#Headers],[Company]],31)</f>
        <v/>
      </c>
      <c r="I137" s="215" t="str" cm="1">
        <f t="array" ref="I137">Common_InputFunctions.Utility_DisplayArrayInTable(Fertiliser_SourceData.Fertiliser_Products_Data2(), FertiliserProducts[[#Headers],[Company]],31)</f>
        <v/>
      </c>
      <c r="J137" s="215" t="str" cm="1">
        <f t="array" ref="J137">Common_InputFunctions.Utility_DisplayArrayInTable(Fertiliser_SourceData.Fertiliser_Products_Data2(), FertiliserProducts[[#Headers],[Company]],31)</f>
        <v/>
      </c>
      <c r="K137" s="215" t="str" cm="1">
        <f t="array" ref="K137">Common_InputFunctions.Utility_DisplayArrayInTable(Fertiliser_SourceData.Fertiliser_Products_Data2(), FertiliserProducts[[#Headers],[Company]],31)</f>
        <v/>
      </c>
      <c r="L137" s="215" t="str" cm="1">
        <f t="array" ref="L137">Common_InputFunctions.Utility_DisplayArrayInTable(Fertiliser_SourceData.Fertiliser_Products_Data2(), FertiliserProducts[[#Headers],[Company]],31)</f>
        <v/>
      </c>
      <c r="M137" s="215" cm="1">
        <f t="array" ref="M137">Common_InputFunctions.Utility_DisplayArrayInTable(Fertiliser_SourceData.Fertiliser_Products_Data2(), FertiliserProducts[[#Headers],[Company]],31)</f>
        <v>50</v>
      </c>
      <c r="N137" s="215" t="str" cm="1">
        <f t="array" ref="N137">Common_InputFunctions.Utility_DisplayArrayInTable(Fertiliser_SourceData.Fertiliser_Products_Data2(), FertiliserProducts[[#Headers],[Company]],31)</f>
        <v/>
      </c>
      <c r="O137" s="215" t="str" cm="1">
        <f t="array" ref="O137">Common_InputFunctions.Utility_DisplayArrayInTable(Fertiliser_SourceData.Fertiliser_Products_Data2(), FertiliserProducts[[#Headers],[Company]],31)</f>
        <v>Muriate of potash (MOP)</v>
      </c>
      <c r="P137" s="215" cm="1">
        <f t="array" ref="P137">Common_InputFunctions.Utility_DisplayArrayInTable(Fertiliser_SourceData.Fertiliser_Products_Data2(), FertiliserProducts[[#Headers],[Company]],31)</f>
        <v>1</v>
      </c>
      <c r="Q137" s="215" t="str" cm="1">
        <f t="array" ref="Q137">Common_InputFunctions.Utility_DisplayArrayInTable(Fertiliser_SourceData.Fertiliser_Products_Data2(), FertiliserProducts[[#Headers],[Company]],31)</f>
        <v/>
      </c>
      <c r="R137" s="215" t="str" cm="1">
        <f t="array" ref="R137">Common_InputFunctions.Utility_DisplayArrayInTable(Fertiliser_SourceData.Fertiliser_Products_Data2(), FertiliserProducts[[#Headers],[Company]],31)</f>
        <v/>
      </c>
      <c r="S137" s="215" t="str" cm="1">
        <f t="array" ref="S137">Common_InputFunctions.Utility_DisplayArrayInTable(Fertiliser_SourceData.Fertiliser_Products_Data2(), FertiliserProducts[[#Headers],[Company]],31)</f>
        <v/>
      </c>
      <c r="T137" s="215" t="str" cm="1">
        <f t="array" ref="T137">Common_InputFunctions.Utility_DisplayArrayInTable(Fertiliser_SourceData.Fertiliser_Products_Data2(), FertiliserProducts[[#Headers],[Company]],31)</f>
        <v/>
      </c>
      <c r="U137" s="215" t="str" cm="1">
        <f t="array" ref="U137">Common_InputFunctions.Utility_DisplayArrayInTable(Fertiliser_SourceData.Fertiliser_Products_Data2(), FertiliserProducts[[#Headers],[Company]],31)</f>
        <v/>
      </c>
      <c r="V137" s="215" t="str" cm="1">
        <f t="array" ref="V137">Common_InputFunctions.Utility_DisplayArrayInTable(Fertiliser_SourceData.Fertiliser_Products_Data2(), FertiliserProducts[[#Headers],[Company]],31)</f>
        <v/>
      </c>
      <c r="W137" s="215" t="str" cm="1">
        <f t="array" ref="W137">Common_InputFunctions.Utility_DisplayArrayInTable(Fertiliser_SourceData.Fertiliser_Products_Data2(), FertiliserProducts[[#Headers],[Company]],31)</f>
        <v/>
      </c>
      <c r="X137" s="215" t="str" cm="1">
        <f t="array" ref="X137">Common_InputFunctions.Utility_DisplayArrayInTable(Fertiliser_SourceData.Fertiliser_Products_Data2(), FertiliserProducts[[#Headers],[Company]],31)</f>
        <v/>
      </c>
      <c r="Y137" s="215" t="str" cm="1">
        <f t="array" ref="Y137">Common_InputFunctions.Utility_DisplayArrayInTable(Fertiliser_SourceData.Fertiliser_Products_Data2(), FertiliserProducts[[#Headers],[Company]],31)</f>
        <v/>
      </c>
      <c r="Z137" s="215" t="str" cm="1">
        <f t="array" ref="Z137">Common_InputFunctions.Utility_DisplayArrayInTable(Fertiliser_SourceData.Fertiliser_Products_Data2(), FertiliserProducts[[#Headers],[Company]],31)</f>
        <v/>
      </c>
      <c r="AA137" s="215" t="str" cm="1">
        <f t="array" ref="AA137">Common_InputFunctions.Utility_DisplayArrayInTable(Fertiliser_SourceData.Fertiliser_Products_Data2(), FertiliserProducts[[#Headers],[Company]],31)</f>
        <v/>
      </c>
      <c r="AB137" s="215" t="str" cm="1">
        <f t="array" ref="AB137">Common_InputFunctions.Utility_DisplayArrayInTable(Fertiliser_SourceData.Fertiliser_Products_Data2(), FertiliserProducts[[#Headers],[Company]],31)</f>
        <v/>
      </c>
      <c r="AC137" s="215" t="str" cm="1">
        <f t="array" ref="AC137">Common_InputFunctions.Utility_DisplayArrayInTable(Fertiliser_SourceData.Fertiliser_Products_Data2(), FertiliserProducts[[#Headers],[Company]],31)</f>
        <v/>
      </c>
      <c r="AD137" s="215" t="str" cm="1">
        <f t="array" ref="AD137">Common_InputFunctions.Utility_DisplayArrayInTable(Fertiliser_SourceData.Fertiliser_Products_Data2(), FertiliserProducts[[#Headers],[Company]],31)</f>
        <v/>
      </c>
      <c r="AE137" s="215" t="str" cm="1">
        <f t="array" ref="AE137">Common_InputFunctions.Utility_DisplayArrayInTable(Fertiliser_SourceData.Fertiliser_Products_Data2(), FertiliserProducts[[#Headers],[Company]],31)</f>
        <v/>
      </c>
      <c r="AF137" s="215" t="str" cm="1">
        <f t="array" ref="AF137">Common_InputFunctions.Utility_DisplayArrayInTable(Fertiliser_SourceData.Fertiliser_Products_Data2(), FertiliserProducts[[#Headers],[Company]],31)</f>
        <v/>
      </c>
      <c r="AG137" s="215" t="str" cm="1">
        <f t="array" ref="AG137">Common_InputFunctions.Utility_DisplayArrayInTable(Fertiliser_SourceData.Fertiliser_Products_Data2(), FertiliserProducts[[#Headers],[Company]],31)</f>
        <v/>
      </c>
      <c r="AH137" s="215" t="str" cm="1">
        <f t="array" ref="AH137">Common_InputFunctions.Utility_DisplayArrayInTable(Fertiliser_SourceData.Fertiliser_Products_Data2(), FertiliserProducts[[#Headers],[Company]],31)</f>
        <v/>
      </c>
    </row>
    <row r="138" spans="1:34" ht="20.100000000000001" customHeight="1" x14ac:dyDescent="0.25">
      <c r="A138"/>
      <c r="D138" s="215" t="str" cm="1">
        <f t="array" ref="D138">Common_InputFunctions.Utility_DisplayArrayInTable(Fertiliser_SourceData.Fertiliser_Products_Data2(), FertiliserProducts[[#Headers],[Company]],31)</f>
        <v>Risso-Chemical</v>
      </c>
      <c r="E138" s="215" t="str" cm="1">
        <f t="array" ref="E138">Common_InputFunctions.Utility_DisplayArrayInTable(Fertiliser_SourceData.Fertiliser_Products_Data2(), FertiliserProducts[[#Headers],[Company]],31)</f>
        <v>Urea Ammonium nitrate (UAN 32-0-0)</v>
      </c>
      <c r="F138" s="215" t="str" cm="1">
        <f t="array" ref="F138">Common_InputFunctions.Utility_DisplayArrayInTable(Fertiliser_SourceData.Fertiliser_Products_Data2(), FertiliserProducts[[#Headers],[Company]],31)</f>
        <v>L</v>
      </c>
      <c r="G138" s="215" cm="1">
        <f t="array" ref="G138">Common_InputFunctions.Utility_DisplayArrayInTable(Fertiliser_SourceData.Fertiliser_Products_Data2(), FertiliserProducts[[#Headers],[Company]],31)</f>
        <v>1.32</v>
      </c>
      <c r="H138" s="215" t="str" cm="1">
        <f t="array" ref="H138">Common_InputFunctions.Utility_DisplayArrayInTable(Fertiliser_SourceData.Fertiliser_Products_Data2(), FertiliserProducts[[#Headers],[Company]],31)</f>
        <v/>
      </c>
      <c r="I138" s="215" t="str" cm="1">
        <f t="array" ref="I138">Common_InputFunctions.Utility_DisplayArrayInTable(Fertiliser_SourceData.Fertiliser_Products_Data2(), FertiliserProducts[[#Headers],[Company]],31)</f>
        <v>China</v>
      </c>
      <c r="J138" s="215" t="str" cm="1">
        <f t="array" ref="J138">Common_InputFunctions.Utility_DisplayArrayInTable(Fertiliser_SourceData.Fertiliser_Products_Data2(), FertiliserProducts[[#Headers],[Company]],31)</f>
        <v>China</v>
      </c>
      <c r="K138" s="215" cm="1">
        <f t="array" ref="K138">Common_InputFunctions.Utility_DisplayArrayInTable(Fertiliser_SourceData.Fertiliser_Products_Data2(), FertiliserProducts[[#Headers],[Company]],31)</f>
        <v>32</v>
      </c>
      <c r="L138" s="215" t="str" cm="1">
        <f t="array" ref="L138">Common_InputFunctions.Utility_DisplayArrayInTable(Fertiliser_SourceData.Fertiliser_Products_Data2(), FertiliserProducts[[#Headers],[Company]],31)</f>
        <v/>
      </c>
      <c r="M138" s="215" t="str" cm="1">
        <f t="array" ref="M138">Common_InputFunctions.Utility_DisplayArrayInTable(Fertiliser_SourceData.Fertiliser_Products_Data2(), FertiliserProducts[[#Headers],[Company]],31)</f>
        <v/>
      </c>
      <c r="N138" s="215" t="str" cm="1">
        <f t="array" ref="N138">Common_InputFunctions.Utility_DisplayArrayInTable(Fertiliser_SourceData.Fertiliser_Products_Data2(), FertiliserProducts[[#Headers],[Company]],31)</f>
        <v/>
      </c>
      <c r="O138" s="215" t="str" cm="1">
        <f t="array" ref="O138">Common_InputFunctions.Utility_DisplayArrayInTable(Fertiliser_SourceData.Fertiliser_Products_Data2(), FertiliserProducts[[#Headers],[Company]],31)</f>
        <v>Urea-ammonium nitrate (UAN)</v>
      </c>
      <c r="P138" s="215" cm="1">
        <f t="array" ref="P138">Common_InputFunctions.Utility_DisplayArrayInTable(Fertiliser_SourceData.Fertiliser_Products_Data2(), FertiliserProducts[[#Headers],[Company]],31)</f>
        <v>1</v>
      </c>
      <c r="Q138" s="215" t="str" cm="1">
        <f t="array" ref="Q138">Common_InputFunctions.Utility_DisplayArrayInTable(Fertiliser_SourceData.Fertiliser_Products_Data2(), FertiliserProducts[[#Headers],[Company]],31)</f>
        <v/>
      </c>
      <c r="R138" s="215" t="str" cm="1">
        <f t="array" ref="R138">Common_InputFunctions.Utility_DisplayArrayInTable(Fertiliser_SourceData.Fertiliser_Products_Data2(), FertiliserProducts[[#Headers],[Company]],31)</f>
        <v/>
      </c>
      <c r="S138" s="215" t="str" cm="1">
        <f t="array" ref="S138">Common_InputFunctions.Utility_DisplayArrayInTable(Fertiliser_SourceData.Fertiliser_Products_Data2(), FertiliserProducts[[#Headers],[Company]],31)</f>
        <v/>
      </c>
      <c r="T138" s="215" t="str" cm="1">
        <f t="array" ref="T138">Common_InputFunctions.Utility_DisplayArrayInTable(Fertiliser_SourceData.Fertiliser_Products_Data2(), FertiliserProducts[[#Headers],[Company]],31)</f>
        <v/>
      </c>
      <c r="U138" s="215" t="str" cm="1">
        <f t="array" ref="U138">Common_InputFunctions.Utility_DisplayArrayInTable(Fertiliser_SourceData.Fertiliser_Products_Data2(), FertiliserProducts[[#Headers],[Company]],31)</f>
        <v/>
      </c>
      <c r="V138" s="215" t="str" cm="1">
        <f t="array" ref="V138">Common_InputFunctions.Utility_DisplayArrayInTable(Fertiliser_SourceData.Fertiliser_Products_Data2(), FertiliserProducts[[#Headers],[Company]],31)</f>
        <v/>
      </c>
      <c r="W138" s="215" t="str" cm="1">
        <f t="array" ref="W138">Common_InputFunctions.Utility_DisplayArrayInTable(Fertiliser_SourceData.Fertiliser_Products_Data2(), FertiliserProducts[[#Headers],[Company]],31)</f>
        <v/>
      </c>
      <c r="X138" s="215" t="str" cm="1">
        <f t="array" ref="X138">Common_InputFunctions.Utility_DisplayArrayInTable(Fertiliser_SourceData.Fertiliser_Products_Data2(), FertiliserProducts[[#Headers],[Company]],31)</f>
        <v/>
      </c>
      <c r="Y138" s="215" t="str" cm="1">
        <f t="array" ref="Y138">Common_InputFunctions.Utility_DisplayArrayInTable(Fertiliser_SourceData.Fertiliser_Products_Data2(), FertiliserProducts[[#Headers],[Company]],31)</f>
        <v/>
      </c>
      <c r="Z138" s="215" t="str" cm="1">
        <f t="array" ref="Z138">Common_InputFunctions.Utility_DisplayArrayInTable(Fertiliser_SourceData.Fertiliser_Products_Data2(), FertiliserProducts[[#Headers],[Company]],31)</f>
        <v/>
      </c>
      <c r="AA138" s="215" t="str" cm="1">
        <f t="array" ref="AA138">Common_InputFunctions.Utility_DisplayArrayInTable(Fertiliser_SourceData.Fertiliser_Products_Data2(), FertiliserProducts[[#Headers],[Company]],31)</f>
        <v/>
      </c>
      <c r="AB138" s="215" t="str" cm="1">
        <f t="array" ref="AB138">Common_InputFunctions.Utility_DisplayArrayInTable(Fertiliser_SourceData.Fertiliser_Products_Data2(), FertiliserProducts[[#Headers],[Company]],31)</f>
        <v/>
      </c>
      <c r="AC138" s="215" t="str" cm="1">
        <f t="array" ref="AC138">Common_InputFunctions.Utility_DisplayArrayInTable(Fertiliser_SourceData.Fertiliser_Products_Data2(), FertiliserProducts[[#Headers],[Company]],31)</f>
        <v/>
      </c>
      <c r="AD138" s="215" t="str" cm="1">
        <f t="array" ref="AD138">Common_InputFunctions.Utility_DisplayArrayInTable(Fertiliser_SourceData.Fertiliser_Products_Data2(), FertiliserProducts[[#Headers],[Company]],31)</f>
        <v/>
      </c>
      <c r="AE138" s="215" t="str" cm="1">
        <f t="array" ref="AE138">Common_InputFunctions.Utility_DisplayArrayInTable(Fertiliser_SourceData.Fertiliser_Products_Data2(), FertiliserProducts[[#Headers],[Company]],31)</f>
        <v/>
      </c>
      <c r="AF138" s="215" t="str" cm="1">
        <f t="array" ref="AF138">Common_InputFunctions.Utility_DisplayArrayInTable(Fertiliser_SourceData.Fertiliser_Products_Data2(), FertiliserProducts[[#Headers],[Company]],31)</f>
        <v/>
      </c>
      <c r="AG138" s="215" t="str" cm="1">
        <f t="array" ref="AG138">Common_InputFunctions.Utility_DisplayArrayInTable(Fertiliser_SourceData.Fertiliser_Products_Data2(), FertiliserProducts[[#Headers],[Company]],31)</f>
        <v/>
      </c>
      <c r="AH138" s="215" t="str" cm="1">
        <f t="array" ref="AH138">Common_InputFunctions.Utility_DisplayArrayInTable(Fertiliser_SourceData.Fertiliser_Products_Data2(), FertiliserProducts[[#Headers],[Company]],31)</f>
        <v/>
      </c>
    </row>
    <row r="139" spans="1:34" ht="20.100000000000001" customHeight="1" x14ac:dyDescent="0.25">
      <c r="A139"/>
      <c r="D139" s="215" t="str" cm="1">
        <f t="array" ref="D139">Common_InputFunctions.Utility_DisplayArrayInTable(Fertiliser_SourceData.Fertiliser_Products_Data2(), FertiliserProducts[[#Headers],[Company]],31)</f>
        <v>Risso-Chemical</v>
      </c>
      <c r="E139" s="215" t="str" cm="1">
        <f t="array" ref="E139">Common_InputFunctions.Utility_DisplayArrayInTable(Fertiliser_SourceData.Fertiliser_Products_Data2(), FertiliserProducts[[#Headers],[Company]],31)</f>
        <v>Polypeptide Urea</v>
      </c>
      <c r="F139" s="215" t="str" cm="1">
        <f t="array" ref="F139">Common_InputFunctions.Utility_DisplayArrayInTable(Fertiliser_SourceData.Fertiliser_Products_Data2(), FertiliserProducts[[#Headers],[Company]],31)</f>
        <v>kg</v>
      </c>
      <c r="G139" s="215" cm="1">
        <f t="array" ref="G139">Common_InputFunctions.Utility_DisplayArrayInTable(Fertiliser_SourceData.Fertiliser_Products_Data2(), FertiliserProducts[[#Headers],[Company]],31)</f>
        <v>1</v>
      </c>
      <c r="H139" s="215" t="str" cm="1">
        <f t="array" ref="H139">Common_InputFunctions.Utility_DisplayArrayInTable(Fertiliser_SourceData.Fertiliser_Products_Data2(), FertiliserProducts[[#Headers],[Company]],31)</f>
        <v/>
      </c>
      <c r="I139" s="215" t="str" cm="1">
        <f t="array" ref="I139">Common_InputFunctions.Utility_DisplayArrayInTable(Fertiliser_SourceData.Fertiliser_Products_Data2(), FertiliserProducts[[#Headers],[Company]],31)</f>
        <v>China</v>
      </c>
      <c r="J139" s="215" t="str" cm="1">
        <f t="array" ref="J139">Common_InputFunctions.Utility_DisplayArrayInTable(Fertiliser_SourceData.Fertiliser_Products_Data2(), FertiliserProducts[[#Headers],[Company]],31)</f>
        <v/>
      </c>
      <c r="K139" s="215" cm="1">
        <f t="array" ref="K139">Common_InputFunctions.Utility_DisplayArrayInTable(Fertiliser_SourceData.Fertiliser_Products_Data2(), FertiliserProducts[[#Headers],[Company]],31)</f>
        <v>46</v>
      </c>
      <c r="L139" s="215" t="str" cm="1">
        <f t="array" ref="L139">Common_InputFunctions.Utility_DisplayArrayInTable(Fertiliser_SourceData.Fertiliser_Products_Data2(), FertiliserProducts[[#Headers],[Company]],31)</f>
        <v/>
      </c>
      <c r="M139" s="215" t="str" cm="1">
        <f t="array" ref="M139">Common_InputFunctions.Utility_DisplayArrayInTable(Fertiliser_SourceData.Fertiliser_Products_Data2(), FertiliserProducts[[#Headers],[Company]],31)</f>
        <v/>
      </c>
      <c r="N139" s="215" t="str" cm="1">
        <f t="array" ref="N139">Common_InputFunctions.Utility_DisplayArrayInTable(Fertiliser_SourceData.Fertiliser_Products_Data2(), FertiliserProducts[[#Headers],[Company]],31)</f>
        <v/>
      </c>
      <c r="O139" s="215" t="str" cm="1">
        <f t="array" ref="O139">Common_InputFunctions.Utility_DisplayArrayInTable(Fertiliser_SourceData.Fertiliser_Products_Data2(), FertiliserProducts[[#Headers],[Company]],31)</f>
        <v>Urea</v>
      </c>
      <c r="P139" s="215" cm="1">
        <f t="array" ref="P139">Common_InputFunctions.Utility_DisplayArrayInTable(Fertiliser_SourceData.Fertiliser_Products_Data2(), FertiliserProducts[[#Headers],[Company]],31)</f>
        <v>1</v>
      </c>
      <c r="Q139" s="215" t="str" cm="1">
        <f t="array" ref="Q139">Common_InputFunctions.Utility_DisplayArrayInTable(Fertiliser_SourceData.Fertiliser_Products_Data2(), FertiliserProducts[[#Headers],[Company]],31)</f>
        <v>Polypeptide (amino acids)</v>
      </c>
      <c r="R139" s="215" cm="1">
        <f t="array" ref="R139">Common_InputFunctions.Utility_DisplayArrayInTable(Fertiliser_SourceData.Fertiliser_Products_Data2(), FertiliserProducts[[#Headers],[Company]],31)</f>
        <v>0</v>
      </c>
      <c r="S139" s="215" t="str" cm="1">
        <f t="array" ref="S139">Common_InputFunctions.Utility_DisplayArrayInTable(Fertiliser_SourceData.Fertiliser_Products_Data2(), FertiliserProducts[[#Headers],[Company]],31)</f>
        <v/>
      </c>
      <c r="T139" s="215" t="str" cm="1">
        <f t="array" ref="T139">Common_InputFunctions.Utility_DisplayArrayInTable(Fertiliser_SourceData.Fertiliser_Products_Data2(), FertiliserProducts[[#Headers],[Company]],31)</f>
        <v/>
      </c>
      <c r="U139" s="215" t="str" cm="1">
        <f t="array" ref="U139">Common_InputFunctions.Utility_DisplayArrayInTable(Fertiliser_SourceData.Fertiliser_Products_Data2(), FertiliserProducts[[#Headers],[Company]],31)</f>
        <v/>
      </c>
      <c r="V139" s="215" t="str" cm="1">
        <f t="array" ref="V139">Common_InputFunctions.Utility_DisplayArrayInTable(Fertiliser_SourceData.Fertiliser_Products_Data2(), FertiliserProducts[[#Headers],[Company]],31)</f>
        <v/>
      </c>
      <c r="W139" s="215" t="str" cm="1">
        <f t="array" ref="W139">Common_InputFunctions.Utility_DisplayArrayInTable(Fertiliser_SourceData.Fertiliser_Products_Data2(), FertiliserProducts[[#Headers],[Company]],31)</f>
        <v/>
      </c>
      <c r="X139" s="215" t="str" cm="1">
        <f t="array" ref="X139">Common_InputFunctions.Utility_DisplayArrayInTable(Fertiliser_SourceData.Fertiliser_Products_Data2(), FertiliserProducts[[#Headers],[Company]],31)</f>
        <v/>
      </c>
      <c r="Y139" s="215" t="str" cm="1">
        <f t="array" ref="Y139">Common_InputFunctions.Utility_DisplayArrayInTable(Fertiliser_SourceData.Fertiliser_Products_Data2(), FertiliserProducts[[#Headers],[Company]],31)</f>
        <v/>
      </c>
      <c r="Z139" s="215" t="str" cm="1">
        <f t="array" ref="Z139">Common_InputFunctions.Utility_DisplayArrayInTable(Fertiliser_SourceData.Fertiliser_Products_Data2(), FertiliserProducts[[#Headers],[Company]],31)</f>
        <v/>
      </c>
      <c r="AA139" s="215" t="str" cm="1">
        <f t="array" ref="AA139">Common_InputFunctions.Utility_DisplayArrayInTable(Fertiliser_SourceData.Fertiliser_Products_Data2(), FertiliserProducts[[#Headers],[Company]],31)</f>
        <v/>
      </c>
      <c r="AB139" s="215" t="str" cm="1">
        <f t="array" ref="AB139">Common_InputFunctions.Utility_DisplayArrayInTable(Fertiliser_SourceData.Fertiliser_Products_Data2(), FertiliserProducts[[#Headers],[Company]],31)</f>
        <v/>
      </c>
      <c r="AC139" s="215" t="str" cm="1">
        <f t="array" ref="AC139">Common_InputFunctions.Utility_DisplayArrayInTable(Fertiliser_SourceData.Fertiliser_Products_Data2(), FertiliserProducts[[#Headers],[Company]],31)</f>
        <v/>
      </c>
      <c r="AD139" s="215" t="str" cm="1">
        <f t="array" ref="AD139">Common_InputFunctions.Utility_DisplayArrayInTable(Fertiliser_SourceData.Fertiliser_Products_Data2(), FertiliserProducts[[#Headers],[Company]],31)</f>
        <v/>
      </c>
      <c r="AE139" s="215" t="str" cm="1">
        <f t="array" ref="AE139">Common_InputFunctions.Utility_DisplayArrayInTable(Fertiliser_SourceData.Fertiliser_Products_Data2(), FertiliserProducts[[#Headers],[Company]],31)</f>
        <v/>
      </c>
      <c r="AF139" s="215" t="str" cm="1">
        <f t="array" ref="AF139">Common_InputFunctions.Utility_DisplayArrayInTable(Fertiliser_SourceData.Fertiliser_Products_Data2(), FertiliserProducts[[#Headers],[Company]],31)</f>
        <v/>
      </c>
      <c r="AG139" s="215" t="str" cm="1">
        <f t="array" ref="AG139">Common_InputFunctions.Utility_DisplayArrayInTable(Fertiliser_SourceData.Fertiliser_Products_Data2(), FertiliserProducts[[#Headers],[Company]],31)</f>
        <v/>
      </c>
      <c r="AH139" s="215" t="str" cm="1">
        <f t="array" ref="AH139">Common_InputFunctions.Utility_DisplayArrayInTable(Fertiliser_SourceData.Fertiliser_Products_Data2(), FertiliserProducts[[#Headers],[Company]],31)</f>
        <v/>
      </c>
    </row>
    <row r="140" spans="1:34" ht="20.100000000000001" customHeight="1" x14ac:dyDescent="0.25">
      <c r="A140"/>
      <c r="D140" s="215" t="str" cm="1">
        <f t="array" ref="D140">Common_InputFunctions.Utility_DisplayArrayInTable(Fertiliser_SourceData.Fertiliser_Products_Data2(), FertiliserProducts[[#Headers],[Company]],31)</f>
        <v>Yara Australia</v>
      </c>
      <c r="E140" s="215" t="str" cm="1">
        <f t="array" ref="E140">Common_InputFunctions.Utility_DisplayArrayInTable(Fertiliser_SourceData.Fertiliser_Products_Data2(), FertiliserProducts[[#Headers],[Company]],31)</f>
        <v>YaraTera CALCINIT</v>
      </c>
      <c r="F140" s="215" t="str" cm="1">
        <f t="array" ref="F140">Common_InputFunctions.Utility_DisplayArrayInTable(Fertiliser_SourceData.Fertiliser_Products_Data2(), FertiliserProducts[[#Headers],[Company]],31)</f>
        <v>kg</v>
      </c>
      <c r="G140" s="215" cm="1">
        <f t="array" ref="G140">Common_InputFunctions.Utility_DisplayArrayInTable(Fertiliser_SourceData.Fertiliser_Products_Data2(), FertiliserProducts[[#Headers],[Company]],31)</f>
        <v>1</v>
      </c>
      <c r="H140" s="215" t="str" cm="1">
        <f t="array" ref="H140">Common_InputFunctions.Utility_DisplayArrayInTable(Fertiliser_SourceData.Fertiliser_Products_Data2(), FertiliserProducts[[#Headers],[Company]],31)</f>
        <v/>
      </c>
      <c r="I140" s="215" t="str" cm="1">
        <f t="array" ref="I140">Common_InputFunctions.Utility_DisplayArrayInTable(Fertiliser_SourceData.Fertiliser_Products_Data2(), FertiliserProducts[[#Headers],[Company]],31)</f>
        <v/>
      </c>
      <c r="J140" s="215" t="str" cm="1">
        <f t="array" ref="J140">Common_InputFunctions.Utility_DisplayArrayInTable(Fertiliser_SourceData.Fertiliser_Products_Data2(), FertiliserProducts[[#Headers],[Company]],31)</f>
        <v/>
      </c>
      <c r="K140" s="215" cm="1">
        <f t="array" ref="K140">Common_InputFunctions.Utility_DisplayArrayInTable(Fertiliser_SourceData.Fertiliser_Products_Data2(), FertiliserProducts[[#Headers],[Company]],31)</f>
        <v>15.5</v>
      </c>
      <c r="L140" s="215" t="str" cm="1">
        <f t="array" ref="L140">Common_InputFunctions.Utility_DisplayArrayInTable(Fertiliser_SourceData.Fertiliser_Products_Data2(), FertiliserProducts[[#Headers],[Company]],31)</f>
        <v/>
      </c>
      <c r="M140" s="215" t="str" cm="1">
        <f t="array" ref="M140">Common_InputFunctions.Utility_DisplayArrayInTable(Fertiliser_SourceData.Fertiliser_Products_Data2(), FertiliserProducts[[#Headers],[Company]],31)</f>
        <v/>
      </c>
      <c r="N140" s="215" t="str" cm="1">
        <f t="array" ref="N140">Common_InputFunctions.Utility_DisplayArrayInTable(Fertiliser_SourceData.Fertiliser_Products_Data2(), FertiliserProducts[[#Headers],[Company]],31)</f>
        <v/>
      </c>
      <c r="O140" s="215" t="str" cm="1">
        <f t="array" ref="O140">Common_InputFunctions.Utility_DisplayArrayInTable(Fertiliser_SourceData.Fertiliser_Products_Data2(), FertiliserProducts[[#Headers],[Company]],31)</f>
        <v>Calcium nitrate</v>
      </c>
      <c r="P140" s="215" cm="1">
        <f t="array" ref="P140">Common_InputFunctions.Utility_DisplayArrayInTable(Fertiliser_SourceData.Fertiliser_Products_Data2(), FertiliserProducts[[#Headers],[Company]],31)</f>
        <v>1</v>
      </c>
      <c r="Q140" s="215" t="str" cm="1">
        <f t="array" ref="Q140">Common_InputFunctions.Utility_DisplayArrayInTable(Fertiliser_SourceData.Fertiliser_Products_Data2(), FertiliserProducts[[#Headers],[Company]],31)</f>
        <v/>
      </c>
      <c r="R140" s="215" t="str" cm="1">
        <f t="array" ref="R140">Common_InputFunctions.Utility_DisplayArrayInTable(Fertiliser_SourceData.Fertiliser_Products_Data2(), FertiliserProducts[[#Headers],[Company]],31)</f>
        <v/>
      </c>
      <c r="S140" s="215" t="str" cm="1">
        <f t="array" ref="S140">Common_InputFunctions.Utility_DisplayArrayInTable(Fertiliser_SourceData.Fertiliser_Products_Data2(), FertiliserProducts[[#Headers],[Company]],31)</f>
        <v/>
      </c>
      <c r="T140" s="215" t="str" cm="1">
        <f t="array" ref="T140">Common_InputFunctions.Utility_DisplayArrayInTable(Fertiliser_SourceData.Fertiliser_Products_Data2(), FertiliserProducts[[#Headers],[Company]],31)</f>
        <v/>
      </c>
      <c r="U140" s="215" t="str" cm="1">
        <f t="array" ref="U140">Common_InputFunctions.Utility_DisplayArrayInTable(Fertiliser_SourceData.Fertiliser_Products_Data2(), FertiliserProducts[[#Headers],[Company]],31)</f>
        <v/>
      </c>
      <c r="V140" s="215" t="str" cm="1">
        <f t="array" ref="V140">Common_InputFunctions.Utility_DisplayArrayInTable(Fertiliser_SourceData.Fertiliser_Products_Data2(), FertiliserProducts[[#Headers],[Company]],31)</f>
        <v/>
      </c>
      <c r="W140" s="215" t="str" cm="1">
        <f t="array" ref="W140">Common_InputFunctions.Utility_DisplayArrayInTable(Fertiliser_SourceData.Fertiliser_Products_Data2(), FertiliserProducts[[#Headers],[Company]],31)</f>
        <v/>
      </c>
      <c r="X140" s="215" t="str" cm="1">
        <f t="array" ref="X140">Common_InputFunctions.Utility_DisplayArrayInTable(Fertiliser_SourceData.Fertiliser_Products_Data2(), FertiliserProducts[[#Headers],[Company]],31)</f>
        <v/>
      </c>
      <c r="Y140" s="215" t="str" cm="1">
        <f t="array" ref="Y140">Common_InputFunctions.Utility_DisplayArrayInTable(Fertiliser_SourceData.Fertiliser_Products_Data2(), FertiliserProducts[[#Headers],[Company]],31)</f>
        <v/>
      </c>
      <c r="Z140" s="215" t="str" cm="1">
        <f t="array" ref="Z140">Common_InputFunctions.Utility_DisplayArrayInTable(Fertiliser_SourceData.Fertiliser_Products_Data2(), FertiliserProducts[[#Headers],[Company]],31)</f>
        <v/>
      </c>
      <c r="AA140" s="215" t="str" cm="1">
        <f t="array" ref="AA140">Common_InputFunctions.Utility_DisplayArrayInTable(Fertiliser_SourceData.Fertiliser_Products_Data2(), FertiliserProducts[[#Headers],[Company]],31)</f>
        <v/>
      </c>
      <c r="AB140" s="215" t="str" cm="1">
        <f t="array" ref="AB140">Common_InputFunctions.Utility_DisplayArrayInTable(Fertiliser_SourceData.Fertiliser_Products_Data2(), FertiliserProducts[[#Headers],[Company]],31)</f>
        <v/>
      </c>
      <c r="AC140" s="215" t="str" cm="1">
        <f t="array" ref="AC140">Common_InputFunctions.Utility_DisplayArrayInTable(Fertiliser_SourceData.Fertiliser_Products_Data2(), FertiliserProducts[[#Headers],[Company]],31)</f>
        <v/>
      </c>
      <c r="AD140" s="215" t="str" cm="1">
        <f t="array" ref="AD140">Common_InputFunctions.Utility_DisplayArrayInTable(Fertiliser_SourceData.Fertiliser_Products_Data2(), FertiliserProducts[[#Headers],[Company]],31)</f>
        <v/>
      </c>
      <c r="AE140" s="215" t="str" cm="1">
        <f t="array" ref="AE140">Common_InputFunctions.Utility_DisplayArrayInTable(Fertiliser_SourceData.Fertiliser_Products_Data2(), FertiliserProducts[[#Headers],[Company]],31)</f>
        <v/>
      </c>
      <c r="AF140" s="215" t="str" cm="1">
        <f t="array" ref="AF140">Common_InputFunctions.Utility_DisplayArrayInTable(Fertiliser_SourceData.Fertiliser_Products_Data2(), FertiliserProducts[[#Headers],[Company]],31)</f>
        <v/>
      </c>
      <c r="AG140" s="215" t="str" cm="1">
        <f t="array" ref="AG140">Common_InputFunctions.Utility_DisplayArrayInTable(Fertiliser_SourceData.Fertiliser_Products_Data2(), FertiliserProducts[[#Headers],[Company]],31)</f>
        <v/>
      </c>
      <c r="AH140" s="215" t="str" cm="1">
        <f t="array" ref="AH140">Common_InputFunctions.Utility_DisplayArrayInTable(Fertiliser_SourceData.Fertiliser_Products_Data2(), FertiliserProducts[[#Headers],[Company]],31)</f>
        <v/>
      </c>
    </row>
    <row r="141" spans="1:34" ht="20.100000000000001" customHeight="1" x14ac:dyDescent="0.25">
      <c r="A141"/>
      <c r="D141" s="215" t="str" cm="1">
        <f t="array" ref="D141">Common_InputFunctions.Utility_DisplayArrayInTable(Fertiliser_SourceData.Fertiliser_Products_Data2(), FertiliserProducts[[#Headers],[Company]],31)</f>
        <v>Yara Australia</v>
      </c>
      <c r="E141" s="215" t="str" cm="1">
        <f t="array" ref="E141">Common_InputFunctions.Utility_DisplayArrayInTable(Fertiliser_SourceData.Fertiliser_Products_Data2(), FertiliserProducts[[#Headers],[Company]],31)</f>
        <v>YaraLiva NITRABOR</v>
      </c>
      <c r="F141" s="215" t="str" cm="1">
        <f t="array" ref="F141">Common_InputFunctions.Utility_DisplayArrayInTable(Fertiliser_SourceData.Fertiliser_Products_Data2(), FertiliserProducts[[#Headers],[Company]],31)</f>
        <v>kg</v>
      </c>
      <c r="G141" s="215" cm="1">
        <f t="array" ref="G141">Common_InputFunctions.Utility_DisplayArrayInTable(Fertiliser_SourceData.Fertiliser_Products_Data2(), FertiliserProducts[[#Headers],[Company]],31)</f>
        <v>1</v>
      </c>
      <c r="H141" s="215" t="str" cm="1">
        <f t="array" ref="H141">Common_InputFunctions.Utility_DisplayArrayInTable(Fertiliser_SourceData.Fertiliser_Products_Data2(), FertiliserProducts[[#Headers],[Company]],31)</f>
        <v/>
      </c>
      <c r="I141" s="215" t="str" cm="1">
        <f t="array" ref="I141">Common_InputFunctions.Utility_DisplayArrayInTable(Fertiliser_SourceData.Fertiliser_Products_Data2(), FertiliserProducts[[#Headers],[Company]],31)</f>
        <v/>
      </c>
      <c r="J141" s="215" t="str" cm="1">
        <f t="array" ref="J141">Common_InputFunctions.Utility_DisplayArrayInTable(Fertiliser_SourceData.Fertiliser_Products_Data2(), FertiliserProducts[[#Headers],[Company]],31)</f>
        <v/>
      </c>
      <c r="K141" s="215" cm="1">
        <f t="array" ref="K141">Common_InputFunctions.Utility_DisplayArrayInTable(Fertiliser_SourceData.Fertiliser_Products_Data2(), FertiliserProducts[[#Headers],[Company]],31)</f>
        <v>15.4</v>
      </c>
      <c r="L141" s="215" t="str" cm="1">
        <f t="array" ref="L141">Common_InputFunctions.Utility_DisplayArrayInTable(Fertiliser_SourceData.Fertiliser_Products_Data2(), FertiliserProducts[[#Headers],[Company]],31)</f>
        <v/>
      </c>
      <c r="M141" s="215" t="str" cm="1">
        <f t="array" ref="M141">Common_InputFunctions.Utility_DisplayArrayInTable(Fertiliser_SourceData.Fertiliser_Products_Data2(), FertiliserProducts[[#Headers],[Company]],31)</f>
        <v/>
      </c>
      <c r="N141" s="215" t="str" cm="1">
        <f t="array" ref="N141">Common_InputFunctions.Utility_DisplayArrayInTable(Fertiliser_SourceData.Fertiliser_Products_Data2(), FertiliserProducts[[#Headers],[Company]],31)</f>
        <v/>
      </c>
      <c r="O141" s="215" t="str" cm="1">
        <f t="array" ref="O141">Common_InputFunctions.Utility_DisplayArrayInTable(Fertiliser_SourceData.Fertiliser_Products_Data2(), FertiliserProducts[[#Headers],[Company]],31)</f>
        <v>Calcium nitrate</v>
      </c>
      <c r="P141" s="215" cm="1">
        <f t="array" ref="P141">Common_InputFunctions.Utility_DisplayArrayInTable(Fertiliser_SourceData.Fertiliser_Products_Data2(), FertiliserProducts[[#Headers],[Company]],31)</f>
        <v>0.99354799999999999</v>
      </c>
      <c r="Q141" s="215" t="str" cm="1">
        <f t="array" ref="Q141">Common_InputFunctions.Utility_DisplayArrayInTable(Fertiliser_SourceData.Fertiliser_Products_Data2(), FertiliserProducts[[#Headers],[Company]],31)</f>
        <v>Boron</v>
      </c>
      <c r="R141" s="215" cm="1">
        <f t="array" ref="R141">Common_InputFunctions.Utility_DisplayArrayInTable(Fertiliser_SourceData.Fertiliser_Products_Data2(), FertiliserProducts[[#Headers],[Company]],31)</f>
        <v>3.0000000000000001E-3</v>
      </c>
      <c r="S141" s="215" t="str" cm="1">
        <f t="array" ref="S141">Common_InputFunctions.Utility_DisplayArrayInTable(Fertiliser_SourceData.Fertiliser_Products_Data2(), FertiliserProducts[[#Headers],[Company]],31)</f>
        <v/>
      </c>
      <c r="T141" s="215" t="str" cm="1">
        <f t="array" ref="T141">Common_InputFunctions.Utility_DisplayArrayInTable(Fertiliser_SourceData.Fertiliser_Products_Data2(), FertiliserProducts[[#Headers],[Company]],31)</f>
        <v/>
      </c>
      <c r="U141" s="215" t="str" cm="1">
        <f t="array" ref="U141">Common_InputFunctions.Utility_DisplayArrayInTable(Fertiliser_SourceData.Fertiliser_Products_Data2(), FertiliserProducts[[#Headers],[Company]],31)</f>
        <v/>
      </c>
      <c r="V141" s="215" t="str" cm="1">
        <f t="array" ref="V141">Common_InputFunctions.Utility_DisplayArrayInTable(Fertiliser_SourceData.Fertiliser_Products_Data2(), FertiliserProducts[[#Headers],[Company]],31)</f>
        <v/>
      </c>
      <c r="W141" s="215" t="str" cm="1">
        <f t="array" ref="W141">Common_InputFunctions.Utility_DisplayArrayInTable(Fertiliser_SourceData.Fertiliser_Products_Data2(), FertiliserProducts[[#Headers],[Company]],31)</f>
        <v/>
      </c>
      <c r="X141" s="215" t="str" cm="1">
        <f t="array" ref="X141">Common_InputFunctions.Utility_DisplayArrayInTable(Fertiliser_SourceData.Fertiliser_Products_Data2(), FertiliserProducts[[#Headers],[Company]],31)</f>
        <v/>
      </c>
      <c r="Y141" s="215" t="str" cm="1">
        <f t="array" ref="Y141">Common_InputFunctions.Utility_DisplayArrayInTable(Fertiliser_SourceData.Fertiliser_Products_Data2(), FertiliserProducts[[#Headers],[Company]],31)</f>
        <v/>
      </c>
      <c r="Z141" s="215" t="str" cm="1">
        <f t="array" ref="Z141">Common_InputFunctions.Utility_DisplayArrayInTable(Fertiliser_SourceData.Fertiliser_Products_Data2(), FertiliserProducts[[#Headers],[Company]],31)</f>
        <v/>
      </c>
      <c r="AA141" s="215" t="str" cm="1">
        <f t="array" ref="AA141">Common_InputFunctions.Utility_DisplayArrayInTable(Fertiliser_SourceData.Fertiliser_Products_Data2(), FertiliserProducts[[#Headers],[Company]],31)</f>
        <v/>
      </c>
      <c r="AB141" s="215" t="str" cm="1">
        <f t="array" ref="AB141">Common_InputFunctions.Utility_DisplayArrayInTable(Fertiliser_SourceData.Fertiliser_Products_Data2(), FertiliserProducts[[#Headers],[Company]],31)</f>
        <v/>
      </c>
      <c r="AC141" s="215" t="str" cm="1">
        <f t="array" ref="AC141">Common_InputFunctions.Utility_DisplayArrayInTable(Fertiliser_SourceData.Fertiliser_Products_Data2(), FertiliserProducts[[#Headers],[Company]],31)</f>
        <v/>
      </c>
      <c r="AD141" s="215" t="str" cm="1">
        <f t="array" ref="AD141">Common_InputFunctions.Utility_DisplayArrayInTable(Fertiliser_SourceData.Fertiliser_Products_Data2(), FertiliserProducts[[#Headers],[Company]],31)</f>
        <v/>
      </c>
      <c r="AE141" s="215" t="str" cm="1">
        <f t="array" ref="AE141">Common_InputFunctions.Utility_DisplayArrayInTable(Fertiliser_SourceData.Fertiliser_Products_Data2(), FertiliserProducts[[#Headers],[Company]],31)</f>
        <v/>
      </c>
      <c r="AF141" s="215" t="str" cm="1">
        <f t="array" ref="AF141">Common_InputFunctions.Utility_DisplayArrayInTable(Fertiliser_SourceData.Fertiliser_Products_Data2(), FertiliserProducts[[#Headers],[Company]],31)</f>
        <v/>
      </c>
      <c r="AG141" s="215" t="str" cm="1">
        <f t="array" ref="AG141">Common_InputFunctions.Utility_DisplayArrayInTable(Fertiliser_SourceData.Fertiliser_Products_Data2(), FertiliserProducts[[#Headers],[Company]],31)</f>
        <v/>
      </c>
      <c r="AH141" s="215" t="str" cm="1">
        <f t="array" ref="AH141">Common_InputFunctions.Utility_DisplayArrayInTable(Fertiliser_SourceData.Fertiliser_Products_Data2(), FertiliserProducts[[#Headers],[Company]],31)</f>
        <v/>
      </c>
    </row>
    <row r="142" spans="1:34" ht="20.100000000000001" customHeight="1" x14ac:dyDescent="0.25">
      <c r="A142"/>
      <c r="D142" s="215" t="str" cm="1">
        <f t="array" ref="D142">Common_InputFunctions.Utility_DisplayArrayInTable(Fertiliser_SourceData.Fertiliser_Products_Data2(), FertiliserProducts[[#Headers],[Company]],31)</f>
        <v>Yara Australia</v>
      </c>
      <c r="E142" s="215" t="str" cm="1">
        <f t="array" ref="E142">Common_InputFunctions.Utility_DisplayArrayInTable(Fertiliser_SourceData.Fertiliser_Products_Data2(), FertiliserProducts[[#Headers],[Company]],31)</f>
        <v>YaraMila COMPLEX</v>
      </c>
      <c r="F142" s="215" t="str" cm="1">
        <f t="array" ref="F142">Common_InputFunctions.Utility_DisplayArrayInTable(Fertiliser_SourceData.Fertiliser_Products_Data2(), FertiliserProducts[[#Headers],[Company]],31)</f>
        <v>kg</v>
      </c>
      <c r="G142" s="215" cm="1">
        <f t="array" ref="G142">Common_InputFunctions.Utility_DisplayArrayInTable(Fertiliser_SourceData.Fertiliser_Products_Data2(), FertiliserProducts[[#Headers],[Company]],31)</f>
        <v>1</v>
      </c>
      <c r="H142" s="215" t="str" cm="1">
        <f t="array" ref="H142">Common_InputFunctions.Utility_DisplayArrayInTable(Fertiliser_SourceData.Fertiliser_Products_Data2(), FertiliserProducts[[#Headers],[Company]],31)</f>
        <v/>
      </c>
      <c r="I142" s="215" t="str" cm="1">
        <f t="array" ref="I142">Common_InputFunctions.Utility_DisplayArrayInTable(Fertiliser_SourceData.Fertiliser_Products_Data2(), FertiliserProducts[[#Headers],[Company]],31)</f>
        <v/>
      </c>
      <c r="J142" s="215" t="str" cm="1">
        <f t="array" ref="J142">Common_InputFunctions.Utility_DisplayArrayInTable(Fertiliser_SourceData.Fertiliser_Products_Data2(), FertiliserProducts[[#Headers],[Company]],31)</f>
        <v/>
      </c>
      <c r="K142" s="215" cm="1">
        <f t="array" ref="K142">Common_InputFunctions.Utility_DisplayArrayInTable(Fertiliser_SourceData.Fertiliser_Products_Data2(), FertiliserProducts[[#Headers],[Company]],31)</f>
        <v>12</v>
      </c>
      <c r="L142" s="215" cm="1">
        <f t="array" ref="L142">Common_InputFunctions.Utility_DisplayArrayInTable(Fertiliser_SourceData.Fertiliser_Products_Data2(), FertiliserProducts[[#Headers],[Company]],31)</f>
        <v>5</v>
      </c>
      <c r="M142" s="215" cm="1">
        <f t="array" ref="M142">Common_InputFunctions.Utility_DisplayArrayInTable(Fertiliser_SourceData.Fertiliser_Products_Data2(), FertiliserProducts[[#Headers],[Company]],31)</f>
        <v>15</v>
      </c>
      <c r="N142" s="215" cm="1">
        <f t="array" ref="N142">Common_InputFunctions.Utility_DisplayArrayInTable(Fertiliser_SourceData.Fertiliser_Products_Data2(), FertiliserProducts[[#Headers],[Company]],31)</f>
        <v>8</v>
      </c>
      <c r="O142" s="215" t="str" cm="1">
        <f t="array" ref="O142">Common_InputFunctions.Utility_DisplayArrayInTable(Fertiliser_SourceData.Fertiliser_Products_Data2(), FertiliserProducts[[#Headers],[Company]],31)</f>
        <v>Nitrogen - Nitrate</v>
      </c>
      <c r="P142" s="215" cm="1">
        <f t="array" ref="P142">Common_InputFunctions.Utility_DisplayArrayInTable(Fertiliser_SourceData.Fertiliser_Products_Data2(), FertiliserProducts[[#Headers],[Company]],31)</f>
        <v>0.05</v>
      </c>
      <c r="Q142" s="215" t="str" cm="1">
        <f t="array" ref="Q142">Common_InputFunctions.Utility_DisplayArrayInTable(Fertiliser_SourceData.Fertiliser_Products_Data2(), FertiliserProducts[[#Headers],[Company]],31)</f>
        <v>Nitrogen - Ammoniacal</v>
      </c>
      <c r="R142" s="215" cm="1">
        <f t="array" ref="R142">Common_InputFunctions.Utility_DisplayArrayInTable(Fertiliser_SourceData.Fertiliser_Products_Data2(), FertiliserProducts[[#Headers],[Company]],31)</f>
        <v>7.0000000000000007E-2</v>
      </c>
      <c r="S142" s="215" t="str" cm="1">
        <f t="array" ref="S142">Common_InputFunctions.Utility_DisplayArrayInTable(Fertiliser_SourceData.Fertiliser_Products_Data2(), FertiliserProducts[[#Headers],[Company]],31)</f>
        <v>Phosphorus - Generic</v>
      </c>
      <c r="T142" s="215" cm="1">
        <f t="array" ref="T142">Common_InputFunctions.Utility_DisplayArrayInTable(Fertiliser_SourceData.Fertiliser_Products_Data2(), FertiliserProducts[[#Headers],[Company]],31)</f>
        <v>0.05</v>
      </c>
      <c r="U142" s="215" t="str" cm="1">
        <f t="array" ref="U142">Common_InputFunctions.Utility_DisplayArrayInTable(Fertiliser_SourceData.Fertiliser_Products_Data2(), FertiliserProducts[[#Headers],[Company]],31)</f>
        <v>Potassium - Generic</v>
      </c>
      <c r="V142" s="215" cm="1">
        <f t="array" ref="V142">Common_InputFunctions.Utility_DisplayArrayInTable(Fertiliser_SourceData.Fertiliser_Products_Data2(), FertiliserProducts[[#Headers],[Company]],31)</f>
        <v>0.15</v>
      </c>
      <c r="W142" s="215" t="str" cm="1">
        <f t="array" ref="W142">Common_InputFunctions.Utility_DisplayArrayInTable(Fertiliser_SourceData.Fertiliser_Products_Data2(), FertiliserProducts[[#Headers],[Company]],31)</f>
        <v>Sulfur - Generic</v>
      </c>
      <c r="X142" s="215" cm="1">
        <f t="array" ref="X142">Common_InputFunctions.Utility_DisplayArrayInTable(Fertiliser_SourceData.Fertiliser_Products_Data2(), FertiliserProducts[[#Headers],[Company]],31)</f>
        <v>0.08</v>
      </c>
      <c r="Y142" s="215" t="str" cm="1">
        <f t="array" ref="Y142">Common_InputFunctions.Utility_DisplayArrayInTable(Fertiliser_SourceData.Fertiliser_Products_Data2(), FertiliserProducts[[#Headers],[Company]],31)</f>
        <v>Magnesium</v>
      </c>
      <c r="Z142" s="215" cm="1">
        <f t="array" ref="Z142">Common_InputFunctions.Utility_DisplayArrayInTable(Fertiliser_SourceData.Fertiliser_Products_Data2(), FertiliserProducts[[#Headers],[Company]],31)</f>
        <v>1.6E-2</v>
      </c>
      <c r="AA142" s="215" t="str" cm="1">
        <f t="array" ref="AA142">Common_InputFunctions.Utility_DisplayArrayInTable(Fertiliser_SourceData.Fertiliser_Products_Data2(), FertiliserProducts[[#Headers],[Company]],31)</f>
        <v>Zinc</v>
      </c>
      <c r="AB142" s="215" cm="1">
        <f t="array" ref="AB142">Common_InputFunctions.Utility_DisplayArrayInTable(Fertiliser_SourceData.Fertiliser_Products_Data2(), FertiliserProducts[[#Headers],[Company]],31)</f>
        <v>2.0000000000000001E-4</v>
      </c>
      <c r="AC142" s="215" t="str" cm="1">
        <f t="array" ref="AC142">Common_InputFunctions.Utility_DisplayArrayInTable(Fertiliser_SourceData.Fertiliser_Products_Data2(), FertiliserProducts[[#Headers],[Company]],31)</f>
        <v>Boron</v>
      </c>
      <c r="AD142" s="215" cm="1">
        <f t="array" ref="AD142">Common_InputFunctions.Utility_DisplayArrayInTable(Fertiliser_SourceData.Fertiliser_Products_Data2(), FertiliserProducts[[#Headers],[Company]],31)</f>
        <v>1.4999999999999999E-4</v>
      </c>
      <c r="AE142" s="215" t="str" cm="1">
        <f t="array" ref="AE142">Common_InputFunctions.Utility_DisplayArrayInTable(Fertiliser_SourceData.Fertiliser_Products_Data2(), FertiliserProducts[[#Headers],[Company]],31)</f>
        <v/>
      </c>
      <c r="AF142" s="215" t="str" cm="1">
        <f t="array" ref="AF142">Common_InputFunctions.Utility_DisplayArrayInTable(Fertiliser_SourceData.Fertiliser_Products_Data2(), FertiliserProducts[[#Headers],[Company]],31)</f>
        <v/>
      </c>
      <c r="AG142" s="215" t="str" cm="1">
        <f t="array" ref="AG142">Common_InputFunctions.Utility_DisplayArrayInTable(Fertiliser_SourceData.Fertiliser_Products_Data2(), FertiliserProducts[[#Headers],[Company]],31)</f>
        <v/>
      </c>
      <c r="AH142" s="215" t="str" cm="1">
        <f t="array" ref="AH142">Common_InputFunctions.Utility_DisplayArrayInTable(Fertiliser_SourceData.Fertiliser_Products_Data2(), FertiliserProducts[[#Headers],[Company]],31)</f>
        <v/>
      </c>
    </row>
    <row r="143" spans="1:34" ht="20.100000000000001" customHeight="1" x14ac:dyDescent="0.25">
      <c r="A143"/>
      <c r="D143" s="215" t="str" cm="1">
        <f t="array" ref="D143">Common_InputFunctions.Utility_DisplayArrayInTable(Fertiliser_SourceData.Fertiliser_Products_Data2(), FertiliserProducts[[#Headers],[Company]],31)</f>
        <v>Yara Australia</v>
      </c>
      <c r="E143" s="215" t="str" cm="1">
        <f t="array" ref="E143">Common_InputFunctions.Utility_DisplayArrayInTable(Fertiliser_SourceData.Fertiliser_Products_Data2(), FertiliserProducts[[#Headers],[Company]],31)</f>
        <v>YaraRega 9-0-30 (14)</v>
      </c>
      <c r="F143" s="215" t="str" cm="1">
        <f t="array" ref="F143">Common_InputFunctions.Utility_DisplayArrayInTable(Fertiliser_SourceData.Fertiliser_Products_Data2(), FertiliserProducts[[#Headers],[Company]],31)</f>
        <v>kg</v>
      </c>
      <c r="G143" s="215" cm="1">
        <f t="array" ref="G143">Common_InputFunctions.Utility_DisplayArrayInTable(Fertiliser_SourceData.Fertiliser_Products_Data2(), FertiliserProducts[[#Headers],[Company]],31)</f>
        <v>1</v>
      </c>
      <c r="H143" s="215" t="str" cm="1">
        <f t="array" ref="H143">Common_InputFunctions.Utility_DisplayArrayInTable(Fertiliser_SourceData.Fertiliser_Products_Data2(), FertiliserProducts[[#Headers],[Company]],31)</f>
        <v/>
      </c>
      <c r="I143" s="215" t="str" cm="1">
        <f t="array" ref="I143">Common_InputFunctions.Utility_DisplayArrayInTable(Fertiliser_SourceData.Fertiliser_Products_Data2(), FertiliserProducts[[#Headers],[Company]],31)</f>
        <v/>
      </c>
      <c r="J143" s="215" t="str" cm="1">
        <f t="array" ref="J143">Common_InputFunctions.Utility_DisplayArrayInTable(Fertiliser_SourceData.Fertiliser_Products_Data2(), FertiliserProducts[[#Headers],[Company]],31)</f>
        <v/>
      </c>
      <c r="K143" s="215" cm="1">
        <f t="array" ref="K143">Common_InputFunctions.Utility_DisplayArrayInTable(Fertiliser_SourceData.Fertiliser_Products_Data2(), FertiliserProducts[[#Headers],[Company]],31)</f>
        <v>9</v>
      </c>
      <c r="L143" s="215" t="str" cm="1">
        <f t="array" ref="L143">Common_InputFunctions.Utility_DisplayArrayInTable(Fertiliser_SourceData.Fertiliser_Products_Data2(), FertiliserProducts[[#Headers],[Company]],31)</f>
        <v/>
      </c>
      <c r="M143" s="215" cm="1">
        <f t="array" ref="M143">Common_InputFunctions.Utility_DisplayArrayInTable(Fertiliser_SourceData.Fertiliser_Products_Data2(), FertiliserProducts[[#Headers],[Company]],31)</f>
        <v>30</v>
      </c>
      <c r="N143" s="215" cm="1">
        <f t="array" ref="N143">Common_InputFunctions.Utility_DisplayArrayInTable(Fertiliser_SourceData.Fertiliser_Products_Data2(), FertiliserProducts[[#Headers],[Company]],31)</f>
        <v>14</v>
      </c>
      <c r="O143" s="215" t="str" cm="1">
        <f t="array" ref="O143">Common_InputFunctions.Utility_DisplayArrayInTable(Fertiliser_SourceData.Fertiliser_Products_Data2(), FertiliserProducts[[#Headers],[Company]],31)</f>
        <v>Potassium - Generic</v>
      </c>
      <c r="P143" s="215" cm="1">
        <f t="array" ref="P143">Common_InputFunctions.Utility_DisplayArrayInTable(Fertiliser_SourceData.Fertiliser_Products_Data2(), FertiliserProducts[[#Headers],[Company]],31)</f>
        <v>0.3</v>
      </c>
      <c r="Q143" s="215" t="str" cm="1">
        <f t="array" ref="Q143">Common_InputFunctions.Utility_DisplayArrayInTable(Fertiliser_SourceData.Fertiliser_Products_Data2(), FertiliserProducts[[#Headers],[Company]],31)</f>
        <v>Sulfur - Generic</v>
      </c>
      <c r="R143" s="215" cm="1">
        <f t="array" ref="R143">Common_InputFunctions.Utility_DisplayArrayInTable(Fertiliser_SourceData.Fertiliser_Products_Data2(), FertiliserProducts[[#Headers],[Company]],31)</f>
        <v>0.14000000000000001</v>
      </c>
      <c r="S143" s="215" t="str" cm="1">
        <f t="array" ref="S143">Common_InputFunctions.Utility_DisplayArrayInTable(Fertiliser_SourceData.Fertiliser_Products_Data2(), FertiliserProducts[[#Headers],[Company]],31)</f>
        <v>Nitrogen - Nitrate</v>
      </c>
      <c r="T143" s="215" cm="1">
        <f t="array" ref="T143">Common_InputFunctions.Utility_DisplayArrayInTable(Fertiliser_SourceData.Fertiliser_Products_Data2(), FertiliserProducts[[#Headers],[Company]],31)</f>
        <v>4.4999999999999998E-2</v>
      </c>
      <c r="U143" s="215" t="str" cm="1">
        <f t="array" ref="U143">Common_InputFunctions.Utility_DisplayArrayInTable(Fertiliser_SourceData.Fertiliser_Products_Data2(), FertiliserProducts[[#Headers],[Company]],31)</f>
        <v>Nitrogen - Ammoniacal</v>
      </c>
      <c r="V143" s="215" cm="1">
        <f t="array" ref="V143">Common_InputFunctions.Utility_DisplayArrayInTable(Fertiliser_SourceData.Fertiliser_Products_Data2(), FertiliserProducts[[#Headers],[Company]],31)</f>
        <v>4.4999999999999998E-2</v>
      </c>
      <c r="W143" s="215" t="str" cm="1">
        <f t="array" ref="W143">Common_InputFunctions.Utility_DisplayArrayInTable(Fertiliser_SourceData.Fertiliser_Products_Data2(), FertiliserProducts[[#Headers],[Company]],31)</f>
        <v/>
      </c>
      <c r="X143" s="215" t="str" cm="1">
        <f t="array" ref="X143">Common_InputFunctions.Utility_DisplayArrayInTable(Fertiliser_SourceData.Fertiliser_Products_Data2(), FertiliserProducts[[#Headers],[Company]],31)</f>
        <v/>
      </c>
      <c r="Y143" s="215" t="str" cm="1">
        <f t="array" ref="Y143">Common_InputFunctions.Utility_DisplayArrayInTable(Fertiliser_SourceData.Fertiliser_Products_Data2(), FertiliserProducts[[#Headers],[Company]],31)</f>
        <v/>
      </c>
      <c r="Z143" s="215" t="str" cm="1">
        <f t="array" ref="Z143">Common_InputFunctions.Utility_DisplayArrayInTable(Fertiliser_SourceData.Fertiliser_Products_Data2(), FertiliserProducts[[#Headers],[Company]],31)</f>
        <v/>
      </c>
      <c r="AA143" s="215" t="str" cm="1">
        <f t="array" ref="AA143">Common_InputFunctions.Utility_DisplayArrayInTable(Fertiliser_SourceData.Fertiliser_Products_Data2(), FertiliserProducts[[#Headers],[Company]],31)</f>
        <v/>
      </c>
      <c r="AB143" s="215" t="str" cm="1">
        <f t="array" ref="AB143">Common_InputFunctions.Utility_DisplayArrayInTable(Fertiliser_SourceData.Fertiliser_Products_Data2(), FertiliserProducts[[#Headers],[Company]],31)</f>
        <v/>
      </c>
      <c r="AC143" s="215" t="str" cm="1">
        <f t="array" ref="AC143">Common_InputFunctions.Utility_DisplayArrayInTable(Fertiliser_SourceData.Fertiliser_Products_Data2(), FertiliserProducts[[#Headers],[Company]],31)</f>
        <v/>
      </c>
      <c r="AD143" s="215" t="str" cm="1">
        <f t="array" ref="AD143">Common_InputFunctions.Utility_DisplayArrayInTable(Fertiliser_SourceData.Fertiliser_Products_Data2(), FertiliserProducts[[#Headers],[Company]],31)</f>
        <v/>
      </c>
      <c r="AE143" s="215" t="str" cm="1">
        <f t="array" ref="AE143">Common_InputFunctions.Utility_DisplayArrayInTable(Fertiliser_SourceData.Fertiliser_Products_Data2(), FertiliserProducts[[#Headers],[Company]],31)</f>
        <v/>
      </c>
      <c r="AF143" s="215" t="str" cm="1">
        <f t="array" ref="AF143">Common_InputFunctions.Utility_DisplayArrayInTable(Fertiliser_SourceData.Fertiliser_Products_Data2(), FertiliserProducts[[#Headers],[Company]],31)</f>
        <v/>
      </c>
      <c r="AG143" s="215" t="str" cm="1">
        <f t="array" ref="AG143">Common_InputFunctions.Utility_DisplayArrayInTable(Fertiliser_SourceData.Fertiliser_Products_Data2(), FertiliserProducts[[#Headers],[Company]],31)</f>
        <v/>
      </c>
      <c r="AH143" s="215" t="str" cm="1">
        <f t="array" ref="AH143">Common_InputFunctions.Utility_DisplayArrayInTable(Fertiliser_SourceData.Fertiliser_Products_Data2(), FertiliserProducts[[#Headers],[Company]],31)</f>
        <v/>
      </c>
    </row>
    <row r="144" spans="1:34" ht="20.100000000000001" customHeight="1" x14ac:dyDescent="0.25">
      <c r="A144"/>
      <c r="D144" s="215" t="str" cm="1">
        <f t="array" ref="D144">Common_InputFunctions.Utility_DisplayArrayInTable(Fertiliser_SourceData.Fertiliser_Products_Data2(), FertiliserProducts[[#Headers],[Company]],31)</f>
        <v>Yara Australia</v>
      </c>
      <c r="E144" s="215" t="str" cm="1">
        <f t="array" ref="E144">Common_InputFunctions.Utility_DisplayArrayInTable(Fertiliser_SourceData.Fertiliser_Products_Data2(), FertiliserProducts[[#Headers],[Company]],31)</f>
        <v>YaraRega 13-2-21</v>
      </c>
      <c r="F144" s="215" t="str" cm="1">
        <f t="array" ref="F144">Common_InputFunctions.Utility_DisplayArrayInTable(Fertiliser_SourceData.Fertiliser_Products_Data2(), FertiliserProducts[[#Headers],[Company]],31)</f>
        <v>kg</v>
      </c>
      <c r="G144" s="215" cm="1">
        <f t="array" ref="G144">Common_InputFunctions.Utility_DisplayArrayInTable(Fertiliser_SourceData.Fertiliser_Products_Data2(), FertiliserProducts[[#Headers],[Company]],31)</f>
        <v>1</v>
      </c>
      <c r="H144" s="215" t="str" cm="1">
        <f t="array" ref="H144">Common_InputFunctions.Utility_DisplayArrayInTable(Fertiliser_SourceData.Fertiliser_Products_Data2(), FertiliserProducts[[#Headers],[Company]],31)</f>
        <v/>
      </c>
      <c r="I144" s="215" t="str" cm="1">
        <f t="array" ref="I144">Common_InputFunctions.Utility_DisplayArrayInTable(Fertiliser_SourceData.Fertiliser_Products_Data2(), FertiliserProducts[[#Headers],[Company]],31)</f>
        <v/>
      </c>
      <c r="J144" s="215" t="str" cm="1">
        <f t="array" ref="J144">Common_InputFunctions.Utility_DisplayArrayInTable(Fertiliser_SourceData.Fertiliser_Products_Data2(), FertiliserProducts[[#Headers],[Company]],31)</f>
        <v/>
      </c>
      <c r="K144" s="215" cm="1">
        <f t="array" ref="K144">Common_InputFunctions.Utility_DisplayArrayInTable(Fertiliser_SourceData.Fertiliser_Products_Data2(), FertiliserProducts[[#Headers],[Company]],31)</f>
        <v>13</v>
      </c>
      <c r="L144" s="215" cm="1">
        <f t="array" ref="L144">Common_InputFunctions.Utility_DisplayArrayInTable(Fertiliser_SourceData.Fertiliser_Products_Data2(), FertiliserProducts[[#Headers],[Company]],31)</f>
        <v>1.75</v>
      </c>
      <c r="M144" s="215" cm="1">
        <f t="array" ref="M144">Common_InputFunctions.Utility_DisplayArrayInTable(Fertiliser_SourceData.Fertiliser_Products_Data2(), FertiliserProducts[[#Headers],[Company]],31)</f>
        <v>21</v>
      </c>
      <c r="N144" s="215" cm="1">
        <f t="array" ref="N144">Common_InputFunctions.Utility_DisplayArrayInTable(Fertiliser_SourceData.Fertiliser_Products_Data2(), FertiliserProducts[[#Headers],[Company]],31)</f>
        <v>10.8</v>
      </c>
      <c r="O144" s="215" t="str" cm="1">
        <f t="array" ref="O144">Common_InputFunctions.Utility_DisplayArrayInTable(Fertiliser_SourceData.Fertiliser_Products_Data2(), FertiliserProducts[[#Headers],[Company]],31)</f>
        <v>Potassium - Generic</v>
      </c>
      <c r="P144" s="215" cm="1">
        <f t="array" ref="P144">Common_InputFunctions.Utility_DisplayArrayInTable(Fertiliser_SourceData.Fertiliser_Products_Data2(), FertiliserProducts[[#Headers],[Company]],31)</f>
        <v>0.21</v>
      </c>
      <c r="Q144" s="215" t="str" cm="1">
        <f t="array" ref="Q144">Common_InputFunctions.Utility_DisplayArrayInTable(Fertiliser_SourceData.Fertiliser_Products_Data2(), FertiliserProducts[[#Headers],[Company]],31)</f>
        <v>Sulfur - Generic</v>
      </c>
      <c r="R144" s="215" cm="1">
        <f t="array" ref="R144">Common_InputFunctions.Utility_DisplayArrayInTable(Fertiliser_SourceData.Fertiliser_Products_Data2(), FertiliserProducts[[#Headers],[Company]],31)</f>
        <v>0.108</v>
      </c>
      <c r="S144" s="215" t="str" cm="1">
        <f t="array" ref="S144">Common_InputFunctions.Utility_DisplayArrayInTable(Fertiliser_SourceData.Fertiliser_Products_Data2(), FertiliserProducts[[#Headers],[Company]],31)</f>
        <v>Nitrogen - Ammoniacal</v>
      </c>
      <c r="T144" s="215" cm="1">
        <f t="array" ref="T144">Common_InputFunctions.Utility_DisplayArrayInTable(Fertiliser_SourceData.Fertiliser_Products_Data2(), FertiliserProducts[[#Headers],[Company]],31)</f>
        <v>7.6999999999999999E-2</v>
      </c>
      <c r="U144" s="215" t="str" cm="1">
        <f t="array" ref="U144">Common_InputFunctions.Utility_DisplayArrayInTable(Fertiliser_SourceData.Fertiliser_Products_Data2(), FertiliserProducts[[#Headers],[Company]],31)</f>
        <v>Nitrogen - Nitrate</v>
      </c>
      <c r="V144" s="215" cm="1">
        <f t="array" ref="V144">Common_InputFunctions.Utility_DisplayArrayInTable(Fertiliser_SourceData.Fertiliser_Products_Data2(), FertiliserProducts[[#Headers],[Company]],31)</f>
        <v>5.2999999999999999E-2</v>
      </c>
      <c r="W144" s="215" t="str" cm="1">
        <f t="array" ref="W144">Common_InputFunctions.Utility_DisplayArrayInTable(Fertiliser_SourceData.Fertiliser_Products_Data2(), FertiliserProducts[[#Headers],[Company]],31)</f>
        <v>Phosphorus - Generic</v>
      </c>
      <c r="X144" s="215" cm="1">
        <f t="array" ref="X144">Common_InputFunctions.Utility_DisplayArrayInTable(Fertiliser_SourceData.Fertiliser_Products_Data2(), FertiliserProducts[[#Headers],[Company]],31)</f>
        <v>1.7500000000000002E-2</v>
      </c>
      <c r="Y144" s="215" t="str" cm="1">
        <f t="array" ref="Y144">Common_InputFunctions.Utility_DisplayArrayInTable(Fertiliser_SourceData.Fertiliser_Products_Data2(), FertiliserProducts[[#Headers],[Company]],31)</f>
        <v>Magnesium</v>
      </c>
      <c r="Z144" s="215" cm="1">
        <f t="array" ref="Z144">Common_InputFunctions.Utility_DisplayArrayInTable(Fertiliser_SourceData.Fertiliser_Products_Data2(), FertiliserProducts[[#Headers],[Company]],31)</f>
        <v>4.0000000000000001E-3</v>
      </c>
      <c r="AA144" s="215" t="str" cm="1">
        <f t="array" ref="AA144">Common_InputFunctions.Utility_DisplayArrayInTable(Fertiliser_SourceData.Fertiliser_Products_Data2(), FertiliserProducts[[#Headers],[Company]],31)</f>
        <v>Zinc</v>
      </c>
      <c r="AB144" s="215" cm="1">
        <f t="array" ref="AB144">Common_InputFunctions.Utility_DisplayArrayInTable(Fertiliser_SourceData.Fertiliser_Products_Data2(), FertiliserProducts[[#Headers],[Company]],31)</f>
        <v>8.0000000000000004E-4</v>
      </c>
      <c r="AC144" s="215" t="str" cm="1">
        <f t="array" ref="AC144">Common_InputFunctions.Utility_DisplayArrayInTable(Fertiliser_SourceData.Fertiliser_Products_Data2(), FertiliserProducts[[#Headers],[Company]],31)</f>
        <v>Boron</v>
      </c>
      <c r="AD144" s="215" cm="1">
        <f t="array" ref="AD144">Common_InputFunctions.Utility_DisplayArrayInTable(Fertiliser_SourceData.Fertiliser_Products_Data2(), FertiliserProducts[[#Headers],[Company]],31)</f>
        <v>8.0000000000000004E-4</v>
      </c>
      <c r="AE144" s="215" t="str" cm="1">
        <f t="array" ref="AE144">Common_InputFunctions.Utility_DisplayArrayInTable(Fertiliser_SourceData.Fertiliser_Products_Data2(), FertiliserProducts[[#Headers],[Company]],31)</f>
        <v/>
      </c>
      <c r="AF144" s="215" t="str" cm="1">
        <f t="array" ref="AF144">Common_InputFunctions.Utility_DisplayArrayInTable(Fertiliser_SourceData.Fertiliser_Products_Data2(), FertiliserProducts[[#Headers],[Company]],31)</f>
        <v/>
      </c>
      <c r="AG144" s="215" t="str" cm="1">
        <f t="array" ref="AG144">Common_InputFunctions.Utility_DisplayArrayInTable(Fertiliser_SourceData.Fertiliser_Products_Data2(), FertiliserProducts[[#Headers],[Company]],31)</f>
        <v/>
      </c>
      <c r="AH144" s="215" t="str" cm="1">
        <f t="array" ref="AH144">Common_InputFunctions.Utility_DisplayArrayInTable(Fertiliser_SourceData.Fertiliser_Products_Data2(), FertiliserProducts[[#Headers],[Company]],31)</f>
        <v/>
      </c>
    </row>
    <row r="145" spans="1:34" ht="20.100000000000001" customHeight="1" x14ac:dyDescent="0.25">
      <c r="A145"/>
      <c r="D145" s="215" t="str" cm="1">
        <f t="array" ref="D145">Common_InputFunctions.Utility_DisplayArrayInTable(Fertiliser_SourceData.Fertiliser_Products_Data2(), FertiliserProducts[[#Headers],[Company]],31)</f>
        <v>Yara Australia</v>
      </c>
      <c r="E145" s="215" t="str" cm="1">
        <f t="array" ref="E145">Common_InputFunctions.Utility_DisplayArrayInTable(Fertiliser_SourceData.Fertiliser_Products_Data2(), FertiliserProducts[[#Headers],[Company]],31)</f>
        <v>YaraRega 15-7-13 (7S)</v>
      </c>
      <c r="F145" s="215" t="str" cm="1">
        <f t="array" ref="F145">Common_InputFunctions.Utility_DisplayArrayInTable(Fertiliser_SourceData.Fertiliser_Products_Data2(), FertiliserProducts[[#Headers],[Company]],31)</f>
        <v>kg</v>
      </c>
      <c r="G145" s="215" cm="1">
        <f t="array" ref="G145">Common_InputFunctions.Utility_DisplayArrayInTable(Fertiliser_SourceData.Fertiliser_Products_Data2(), FertiliserProducts[[#Headers],[Company]],31)</f>
        <v>1</v>
      </c>
      <c r="H145" s="215" t="str" cm="1">
        <f t="array" ref="H145">Common_InputFunctions.Utility_DisplayArrayInTable(Fertiliser_SourceData.Fertiliser_Products_Data2(), FertiliserProducts[[#Headers],[Company]],31)</f>
        <v/>
      </c>
      <c r="I145" s="215" t="str" cm="1">
        <f t="array" ref="I145">Common_InputFunctions.Utility_DisplayArrayInTable(Fertiliser_SourceData.Fertiliser_Products_Data2(), FertiliserProducts[[#Headers],[Company]],31)</f>
        <v/>
      </c>
      <c r="J145" s="215" t="str" cm="1">
        <f t="array" ref="J145">Common_InputFunctions.Utility_DisplayArrayInTable(Fertiliser_SourceData.Fertiliser_Products_Data2(), FertiliserProducts[[#Headers],[Company]],31)</f>
        <v/>
      </c>
      <c r="K145" s="215" cm="1">
        <f t="array" ref="K145">Common_InputFunctions.Utility_DisplayArrayInTable(Fertiliser_SourceData.Fertiliser_Products_Data2(), FertiliserProducts[[#Headers],[Company]],31)</f>
        <v>15</v>
      </c>
      <c r="L145" s="215" cm="1">
        <f t="array" ref="L145">Common_InputFunctions.Utility_DisplayArrayInTable(Fertiliser_SourceData.Fertiliser_Products_Data2(), FertiliserProducts[[#Headers],[Company]],31)</f>
        <v>6.5</v>
      </c>
      <c r="M145" s="215" cm="1">
        <f t="array" ref="M145">Common_InputFunctions.Utility_DisplayArrayInTable(Fertiliser_SourceData.Fertiliser_Products_Data2(), FertiliserProducts[[#Headers],[Company]],31)</f>
        <v>12.5</v>
      </c>
      <c r="N145" s="215" cm="1">
        <f t="array" ref="N145">Common_InputFunctions.Utility_DisplayArrayInTable(Fertiliser_SourceData.Fertiliser_Products_Data2(), FertiliserProducts[[#Headers],[Company]],31)</f>
        <v>7.2</v>
      </c>
      <c r="O145" s="215" t="str" cm="1">
        <f t="array" ref="O145">Common_InputFunctions.Utility_DisplayArrayInTable(Fertiliser_SourceData.Fertiliser_Products_Data2(), FertiliserProducts[[#Headers],[Company]],31)</f>
        <v>Nitrogen - Nitrate</v>
      </c>
      <c r="P145" s="215" cm="1">
        <f t="array" ref="P145">Common_InputFunctions.Utility_DisplayArrayInTable(Fertiliser_SourceData.Fertiliser_Products_Data2(), FertiliserProducts[[#Headers],[Company]],31)</f>
        <v>9.5000000000000001E-2</v>
      </c>
      <c r="Q145" s="215" t="str" cm="1">
        <f t="array" ref="Q145">Common_InputFunctions.Utility_DisplayArrayInTable(Fertiliser_SourceData.Fertiliser_Products_Data2(), FertiliserProducts[[#Headers],[Company]],31)</f>
        <v>Potassium - Generic</v>
      </c>
      <c r="R145" s="215" cm="1">
        <f t="array" ref="R145">Common_InputFunctions.Utility_DisplayArrayInTable(Fertiliser_SourceData.Fertiliser_Products_Data2(), FertiliserProducts[[#Headers],[Company]],31)</f>
        <v>0.125</v>
      </c>
      <c r="S145" s="215" t="str" cm="1">
        <f t="array" ref="S145">Common_InputFunctions.Utility_DisplayArrayInTable(Fertiliser_SourceData.Fertiliser_Products_Data2(), FertiliserProducts[[#Headers],[Company]],31)</f>
        <v>Sulfur - Generic</v>
      </c>
      <c r="T145" s="215" cm="1">
        <f t="array" ref="T145">Common_InputFunctions.Utility_DisplayArrayInTable(Fertiliser_SourceData.Fertiliser_Products_Data2(), FertiliserProducts[[#Headers],[Company]],31)</f>
        <v>7.1999999999999995E-2</v>
      </c>
      <c r="U145" s="215" t="str" cm="1">
        <f t="array" ref="U145">Common_InputFunctions.Utility_DisplayArrayInTable(Fertiliser_SourceData.Fertiliser_Products_Data2(), FertiliserProducts[[#Headers],[Company]],31)</f>
        <v>Phosphorus - Generic</v>
      </c>
      <c r="V145" s="215" cm="1">
        <f t="array" ref="V145">Common_InputFunctions.Utility_DisplayArrayInTable(Fertiliser_SourceData.Fertiliser_Products_Data2(), FertiliserProducts[[#Headers],[Company]],31)</f>
        <v>6.5000000000000002E-2</v>
      </c>
      <c r="W145" s="215" t="str" cm="1">
        <f t="array" ref="W145">Common_InputFunctions.Utility_DisplayArrayInTable(Fertiliser_SourceData.Fertiliser_Products_Data2(), FertiliserProducts[[#Headers],[Company]],31)</f>
        <v>Nitrogen - Ammoniacal</v>
      </c>
      <c r="X145" s="215" cm="1">
        <f t="array" ref="X145">Common_InputFunctions.Utility_DisplayArrayInTable(Fertiliser_SourceData.Fertiliser_Products_Data2(), FertiliserProducts[[#Headers],[Company]],31)</f>
        <v>5.5E-2</v>
      </c>
      <c r="Y145" s="215" t="str" cm="1">
        <f t="array" ref="Y145">Common_InputFunctions.Utility_DisplayArrayInTable(Fertiliser_SourceData.Fertiliser_Products_Data2(), FertiliserProducts[[#Headers],[Company]],31)</f>
        <v>Magnesium</v>
      </c>
      <c r="Z145" s="215" cm="1">
        <f t="array" ref="Z145">Common_InputFunctions.Utility_DisplayArrayInTable(Fertiliser_SourceData.Fertiliser_Products_Data2(), FertiliserProducts[[#Headers],[Company]],31)</f>
        <v>6.6E-3</v>
      </c>
      <c r="AA145" s="215" t="str" cm="1">
        <f t="array" ref="AA145">Common_InputFunctions.Utility_DisplayArrayInTable(Fertiliser_SourceData.Fertiliser_Products_Data2(), FertiliserProducts[[#Headers],[Company]],31)</f>
        <v>Boron</v>
      </c>
      <c r="AB145" s="215" cm="1">
        <f t="array" ref="AB145">Common_InputFunctions.Utility_DisplayArrayInTable(Fertiliser_SourceData.Fertiliser_Products_Data2(), FertiliserProducts[[#Headers],[Company]],31)</f>
        <v>1E-3</v>
      </c>
      <c r="AC145" s="215" t="str" cm="1">
        <f t="array" ref="AC145">Common_InputFunctions.Utility_DisplayArrayInTable(Fertiliser_SourceData.Fertiliser_Products_Data2(), FertiliserProducts[[#Headers],[Company]],31)</f>
        <v>Zinc</v>
      </c>
      <c r="AD145" s="215" cm="1">
        <f t="array" ref="AD145">Common_InputFunctions.Utility_DisplayArrayInTable(Fertiliser_SourceData.Fertiliser_Products_Data2(), FertiliserProducts[[#Headers],[Company]],31)</f>
        <v>5.9999999999999995E-4</v>
      </c>
      <c r="AE145" s="215" t="str" cm="1">
        <f t="array" ref="AE145">Common_InputFunctions.Utility_DisplayArrayInTable(Fertiliser_SourceData.Fertiliser_Products_Data2(), FertiliserProducts[[#Headers],[Company]],31)</f>
        <v/>
      </c>
      <c r="AF145" s="215" t="str" cm="1">
        <f t="array" ref="AF145">Common_InputFunctions.Utility_DisplayArrayInTable(Fertiliser_SourceData.Fertiliser_Products_Data2(), FertiliserProducts[[#Headers],[Company]],31)</f>
        <v/>
      </c>
      <c r="AG145" s="215" t="str" cm="1">
        <f t="array" ref="AG145">Common_InputFunctions.Utility_DisplayArrayInTable(Fertiliser_SourceData.Fertiliser_Products_Data2(), FertiliserProducts[[#Headers],[Company]],31)</f>
        <v/>
      </c>
      <c r="AH145" s="215" t="str" cm="1">
        <f t="array" ref="AH145">Common_InputFunctions.Utility_DisplayArrayInTable(Fertiliser_SourceData.Fertiliser_Products_Data2(), FertiliserProducts[[#Headers],[Company]],31)</f>
        <v/>
      </c>
    </row>
    <row r="146" spans="1:34" ht="20.100000000000001" customHeight="1" x14ac:dyDescent="0.25">
      <c r="A146"/>
      <c r="D146" s="215" t="str" cm="1">
        <f t="array" ref="D146">Common_InputFunctions.Utility_DisplayArrayInTable(Fertiliser_SourceData.Fertiliser_Products_Data2(), FertiliserProducts[[#Headers],[Company]],31)</f>
        <v>Yara Australia</v>
      </c>
      <c r="E146" s="215" t="str" cm="1">
        <f t="array" ref="E146">Common_InputFunctions.Utility_DisplayArrayInTable(Fertiliser_SourceData.Fertiliser_Products_Data2(), FertiliserProducts[[#Headers],[Company]],31)</f>
        <v>YaraTera CALCINIT B</v>
      </c>
      <c r="F146" s="215" t="str" cm="1">
        <f t="array" ref="F146">Common_InputFunctions.Utility_DisplayArrayInTable(Fertiliser_SourceData.Fertiliser_Products_Data2(), FertiliserProducts[[#Headers],[Company]],31)</f>
        <v>kg</v>
      </c>
      <c r="G146" s="215" cm="1">
        <f t="array" ref="G146">Common_InputFunctions.Utility_DisplayArrayInTable(Fertiliser_SourceData.Fertiliser_Products_Data2(), FertiliserProducts[[#Headers],[Company]],31)</f>
        <v>1</v>
      </c>
      <c r="H146" s="215" t="str" cm="1">
        <f t="array" ref="H146">Common_InputFunctions.Utility_DisplayArrayInTable(Fertiliser_SourceData.Fertiliser_Products_Data2(), FertiliserProducts[[#Headers],[Company]],31)</f>
        <v/>
      </c>
      <c r="I146" s="215" t="str" cm="1">
        <f t="array" ref="I146">Common_InputFunctions.Utility_DisplayArrayInTable(Fertiliser_SourceData.Fertiliser_Products_Data2(), FertiliserProducts[[#Headers],[Company]],31)</f>
        <v/>
      </c>
      <c r="J146" s="215" t="str" cm="1">
        <f t="array" ref="J146">Common_InputFunctions.Utility_DisplayArrayInTable(Fertiliser_SourceData.Fertiliser_Products_Data2(), FertiliserProducts[[#Headers],[Company]],31)</f>
        <v/>
      </c>
      <c r="K146" s="215" cm="1">
        <f t="array" ref="K146">Common_InputFunctions.Utility_DisplayArrayInTable(Fertiliser_SourceData.Fertiliser_Products_Data2(), FertiliserProducts[[#Headers],[Company]],31)</f>
        <v>15.5</v>
      </c>
      <c r="L146" s="215" t="str" cm="1">
        <f t="array" ref="L146">Common_InputFunctions.Utility_DisplayArrayInTable(Fertiliser_SourceData.Fertiliser_Products_Data2(), FertiliserProducts[[#Headers],[Company]],31)</f>
        <v/>
      </c>
      <c r="M146" s="215" t="str" cm="1">
        <f t="array" ref="M146">Common_InputFunctions.Utility_DisplayArrayInTable(Fertiliser_SourceData.Fertiliser_Products_Data2(), FertiliserProducts[[#Headers],[Company]],31)</f>
        <v/>
      </c>
      <c r="N146" s="215" t="str" cm="1">
        <f t="array" ref="N146">Common_InputFunctions.Utility_DisplayArrayInTable(Fertiliser_SourceData.Fertiliser_Products_Data2(), FertiliserProducts[[#Headers],[Company]],31)</f>
        <v/>
      </c>
      <c r="O146" s="215" t="str" cm="1">
        <f t="array" ref="O146">Common_InputFunctions.Utility_DisplayArrayInTable(Fertiliser_SourceData.Fertiliser_Products_Data2(), FertiliserProducts[[#Headers],[Company]],31)</f>
        <v>Calcium nitrate</v>
      </c>
      <c r="P146" s="215" cm="1">
        <f t="array" ref="P146">Common_InputFunctions.Utility_DisplayArrayInTable(Fertiliser_SourceData.Fertiliser_Products_Data2(), FertiliserProducts[[#Headers],[Company]],31)</f>
        <v>1</v>
      </c>
      <c r="Q146" s="215" t="str" cm="1">
        <f t="array" ref="Q146">Common_InputFunctions.Utility_DisplayArrayInTable(Fertiliser_SourceData.Fertiliser_Products_Data2(), FertiliserProducts[[#Headers],[Company]],31)</f>
        <v>Boron</v>
      </c>
      <c r="R146" s="215" cm="1">
        <f t="array" ref="R146">Common_InputFunctions.Utility_DisplayArrayInTable(Fertiliser_SourceData.Fertiliser_Products_Data2(), FertiliserProducts[[#Headers],[Company]],31)</f>
        <v>1E-3</v>
      </c>
      <c r="S146" s="215" t="str" cm="1">
        <f t="array" ref="S146">Common_InputFunctions.Utility_DisplayArrayInTable(Fertiliser_SourceData.Fertiliser_Products_Data2(), FertiliserProducts[[#Headers],[Company]],31)</f>
        <v/>
      </c>
      <c r="T146" s="215" t="str" cm="1">
        <f t="array" ref="T146">Common_InputFunctions.Utility_DisplayArrayInTable(Fertiliser_SourceData.Fertiliser_Products_Data2(), FertiliserProducts[[#Headers],[Company]],31)</f>
        <v/>
      </c>
      <c r="U146" s="215" t="str" cm="1">
        <f t="array" ref="U146">Common_InputFunctions.Utility_DisplayArrayInTable(Fertiliser_SourceData.Fertiliser_Products_Data2(), FertiliserProducts[[#Headers],[Company]],31)</f>
        <v/>
      </c>
      <c r="V146" s="215" t="str" cm="1">
        <f t="array" ref="V146">Common_InputFunctions.Utility_DisplayArrayInTable(Fertiliser_SourceData.Fertiliser_Products_Data2(), FertiliserProducts[[#Headers],[Company]],31)</f>
        <v/>
      </c>
      <c r="W146" s="215" t="str" cm="1">
        <f t="array" ref="W146">Common_InputFunctions.Utility_DisplayArrayInTable(Fertiliser_SourceData.Fertiliser_Products_Data2(), FertiliserProducts[[#Headers],[Company]],31)</f>
        <v/>
      </c>
      <c r="X146" s="215" t="str" cm="1">
        <f t="array" ref="X146">Common_InputFunctions.Utility_DisplayArrayInTable(Fertiliser_SourceData.Fertiliser_Products_Data2(), FertiliserProducts[[#Headers],[Company]],31)</f>
        <v/>
      </c>
      <c r="Y146" s="215" t="str" cm="1">
        <f t="array" ref="Y146">Common_InputFunctions.Utility_DisplayArrayInTable(Fertiliser_SourceData.Fertiliser_Products_Data2(), FertiliserProducts[[#Headers],[Company]],31)</f>
        <v/>
      </c>
      <c r="Z146" s="215" t="str" cm="1">
        <f t="array" ref="Z146">Common_InputFunctions.Utility_DisplayArrayInTable(Fertiliser_SourceData.Fertiliser_Products_Data2(), FertiliserProducts[[#Headers],[Company]],31)</f>
        <v/>
      </c>
      <c r="AA146" s="215" t="str" cm="1">
        <f t="array" ref="AA146">Common_InputFunctions.Utility_DisplayArrayInTable(Fertiliser_SourceData.Fertiliser_Products_Data2(), FertiliserProducts[[#Headers],[Company]],31)</f>
        <v/>
      </c>
      <c r="AB146" s="215" t="str" cm="1">
        <f t="array" ref="AB146">Common_InputFunctions.Utility_DisplayArrayInTable(Fertiliser_SourceData.Fertiliser_Products_Data2(), FertiliserProducts[[#Headers],[Company]],31)</f>
        <v/>
      </c>
      <c r="AC146" s="215" t="str" cm="1">
        <f t="array" ref="AC146">Common_InputFunctions.Utility_DisplayArrayInTable(Fertiliser_SourceData.Fertiliser_Products_Data2(), FertiliserProducts[[#Headers],[Company]],31)</f>
        <v/>
      </c>
      <c r="AD146" s="215" t="str" cm="1">
        <f t="array" ref="AD146">Common_InputFunctions.Utility_DisplayArrayInTable(Fertiliser_SourceData.Fertiliser_Products_Data2(), FertiliserProducts[[#Headers],[Company]],31)</f>
        <v/>
      </c>
      <c r="AE146" s="215" t="str" cm="1">
        <f t="array" ref="AE146">Common_InputFunctions.Utility_DisplayArrayInTable(Fertiliser_SourceData.Fertiliser_Products_Data2(), FertiliserProducts[[#Headers],[Company]],31)</f>
        <v/>
      </c>
      <c r="AF146" s="215" t="str" cm="1">
        <f t="array" ref="AF146">Common_InputFunctions.Utility_DisplayArrayInTable(Fertiliser_SourceData.Fertiliser_Products_Data2(), FertiliserProducts[[#Headers],[Company]],31)</f>
        <v/>
      </c>
      <c r="AG146" s="215" t="str" cm="1">
        <f t="array" ref="AG146">Common_InputFunctions.Utility_DisplayArrayInTable(Fertiliser_SourceData.Fertiliser_Products_Data2(), FertiliserProducts[[#Headers],[Company]],31)</f>
        <v/>
      </c>
      <c r="AH146" s="215" t="str" cm="1">
        <f t="array" ref="AH146">Common_InputFunctions.Utility_DisplayArrayInTable(Fertiliser_SourceData.Fertiliser_Products_Data2(), FertiliserProducts[[#Headers],[Company]],31)</f>
        <v/>
      </c>
    </row>
    <row r="147" spans="1:34" ht="20.100000000000001" customHeight="1" x14ac:dyDescent="0.25">
      <c r="A147"/>
      <c r="D147" s="215" t="str" cm="1">
        <f t="array" ref="D147">Common_InputFunctions.Utility_DisplayArrayInTable(Fertiliser_SourceData.Fertiliser_Products_Data2(), FertiliserProducts[[#Headers],[Company]],31)</f>
        <v>Yara Australia</v>
      </c>
      <c r="E147" s="215" t="str" cm="1">
        <f t="array" ref="E147">Common_InputFunctions.Utility_DisplayArrayInTable(Fertiliser_SourceData.Fertiliser_Products_Data2(), FertiliserProducts[[#Headers],[Company]],31)</f>
        <v>YaraTera KRISTA MAP</v>
      </c>
      <c r="F147" s="215" t="str" cm="1">
        <f t="array" ref="F147">Common_InputFunctions.Utility_DisplayArrayInTable(Fertiliser_SourceData.Fertiliser_Products_Data2(), FertiliserProducts[[#Headers],[Company]],31)</f>
        <v>kg</v>
      </c>
      <c r="G147" s="215" cm="1">
        <f t="array" ref="G147">Common_InputFunctions.Utility_DisplayArrayInTable(Fertiliser_SourceData.Fertiliser_Products_Data2(), FertiliserProducts[[#Headers],[Company]],31)</f>
        <v>1</v>
      </c>
      <c r="H147" s="215" t="str" cm="1">
        <f t="array" ref="H147">Common_InputFunctions.Utility_DisplayArrayInTable(Fertiliser_SourceData.Fertiliser_Products_Data2(), FertiliserProducts[[#Headers],[Company]],31)</f>
        <v/>
      </c>
      <c r="I147" s="215" t="str" cm="1">
        <f t="array" ref="I147">Common_InputFunctions.Utility_DisplayArrayInTable(Fertiliser_SourceData.Fertiliser_Products_Data2(), FertiliserProducts[[#Headers],[Company]],31)</f>
        <v/>
      </c>
      <c r="J147" s="215" t="str" cm="1">
        <f t="array" ref="J147">Common_InputFunctions.Utility_DisplayArrayInTable(Fertiliser_SourceData.Fertiliser_Products_Data2(), FertiliserProducts[[#Headers],[Company]],31)</f>
        <v/>
      </c>
      <c r="K147" s="215" cm="1">
        <f t="array" ref="K147">Common_InputFunctions.Utility_DisplayArrayInTable(Fertiliser_SourceData.Fertiliser_Products_Data2(), FertiliserProducts[[#Headers],[Company]],31)</f>
        <v>10</v>
      </c>
      <c r="L147" s="215" cm="1">
        <f t="array" ref="L147">Common_InputFunctions.Utility_DisplayArrayInTable(Fertiliser_SourceData.Fertiliser_Products_Data2(), FertiliserProducts[[#Headers],[Company]],31)</f>
        <v>21.9</v>
      </c>
      <c r="M147" s="215" t="str" cm="1">
        <f t="array" ref="M147">Common_InputFunctions.Utility_DisplayArrayInTable(Fertiliser_SourceData.Fertiliser_Products_Data2(), FertiliserProducts[[#Headers],[Company]],31)</f>
        <v/>
      </c>
      <c r="N147" s="215" t="str" cm="1">
        <f t="array" ref="N147">Common_InputFunctions.Utility_DisplayArrayInTable(Fertiliser_SourceData.Fertiliser_Products_Data2(), FertiliserProducts[[#Headers],[Company]],31)</f>
        <v/>
      </c>
      <c r="O147" s="215" t="str" cm="1">
        <f t="array" ref="O147">Common_InputFunctions.Utility_DisplayArrayInTable(Fertiliser_SourceData.Fertiliser_Products_Data2(), FertiliserProducts[[#Headers],[Company]],31)</f>
        <v>Monoammonium phosphate (MAP)</v>
      </c>
      <c r="P147" s="215" cm="1">
        <f t="array" ref="P147">Common_InputFunctions.Utility_DisplayArrayInTable(Fertiliser_SourceData.Fertiliser_Products_Data2(), FertiliserProducts[[#Headers],[Company]],31)</f>
        <v>1</v>
      </c>
      <c r="Q147" s="215" t="str" cm="1">
        <f t="array" ref="Q147">Common_InputFunctions.Utility_DisplayArrayInTable(Fertiliser_SourceData.Fertiliser_Products_Data2(), FertiliserProducts[[#Headers],[Company]],31)</f>
        <v/>
      </c>
      <c r="R147" s="215" t="str" cm="1">
        <f t="array" ref="R147">Common_InputFunctions.Utility_DisplayArrayInTable(Fertiliser_SourceData.Fertiliser_Products_Data2(), FertiliserProducts[[#Headers],[Company]],31)</f>
        <v/>
      </c>
      <c r="S147" s="215" t="str" cm="1">
        <f t="array" ref="S147">Common_InputFunctions.Utility_DisplayArrayInTable(Fertiliser_SourceData.Fertiliser_Products_Data2(), FertiliserProducts[[#Headers],[Company]],31)</f>
        <v/>
      </c>
      <c r="T147" s="215" t="str" cm="1">
        <f t="array" ref="T147">Common_InputFunctions.Utility_DisplayArrayInTable(Fertiliser_SourceData.Fertiliser_Products_Data2(), FertiliserProducts[[#Headers],[Company]],31)</f>
        <v/>
      </c>
      <c r="U147" s="215" t="str" cm="1">
        <f t="array" ref="U147">Common_InputFunctions.Utility_DisplayArrayInTable(Fertiliser_SourceData.Fertiliser_Products_Data2(), FertiliserProducts[[#Headers],[Company]],31)</f>
        <v/>
      </c>
      <c r="V147" s="215" t="str" cm="1">
        <f t="array" ref="V147">Common_InputFunctions.Utility_DisplayArrayInTable(Fertiliser_SourceData.Fertiliser_Products_Data2(), FertiliserProducts[[#Headers],[Company]],31)</f>
        <v/>
      </c>
      <c r="W147" s="215" t="str" cm="1">
        <f t="array" ref="W147">Common_InputFunctions.Utility_DisplayArrayInTable(Fertiliser_SourceData.Fertiliser_Products_Data2(), FertiliserProducts[[#Headers],[Company]],31)</f>
        <v/>
      </c>
      <c r="X147" s="215" t="str" cm="1">
        <f t="array" ref="X147">Common_InputFunctions.Utility_DisplayArrayInTable(Fertiliser_SourceData.Fertiliser_Products_Data2(), FertiliserProducts[[#Headers],[Company]],31)</f>
        <v/>
      </c>
      <c r="Y147" s="215" t="str" cm="1">
        <f t="array" ref="Y147">Common_InputFunctions.Utility_DisplayArrayInTable(Fertiliser_SourceData.Fertiliser_Products_Data2(), FertiliserProducts[[#Headers],[Company]],31)</f>
        <v/>
      </c>
      <c r="Z147" s="215" t="str" cm="1">
        <f t="array" ref="Z147">Common_InputFunctions.Utility_DisplayArrayInTable(Fertiliser_SourceData.Fertiliser_Products_Data2(), FertiliserProducts[[#Headers],[Company]],31)</f>
        <v/>
      </c>
      <c r="AA147" s="215" t="str" cm="1">
        <f t="array" ref="AA147">Common_InputFunctions.Utility_DisplayArrayInTable(Fertiliser_SourceData.Fertiliser_Products_Data2(), FertiliserProducts[[#Headers],[Company]],31)</f>
        <v/>
      </c>
      <c r="AB147" s="215" t="str" cm="1">
        <f t="array" ref="AB147">Common_InputFunctions.Utility_DisplayArrayInTable(Fertiliser_SourceData.Fertiliser_Products_Data2(), FertiliserProducts[[#Headers],[Company]],31)</f>
        <v/>
      </c>
      <c r="AC147" s="215" t="str" cm="1">
        <f t="array" ref="AC147">Common_InputFunctions.Utility_DisplayArrayInTable(Fertiliser_SourceData.Fertiliser_Products_Data2(), FertiliserProducts[[#Headers],[Company]],31)</f>
        <v/>
      </c>
      <c r="AD147" s="215" t="str" cm="1">
        <f t="array" ref="AD147">Common_InputFunctions.Utility_DisplayArrayInTable(Fertiliser_SourceData.Fertiliser_Products_Data2(), FertiliserProducts[[#Headers],[Company]],31)</f>
        <v/>
      </c>
      <c r="AE147" s="215" t="str" cm="1">
        <f t="array" ref="AE147">Common_InputFunctions.Utility_DisplayArrayInTable(Fertiliser_SourceData.Fertiliser_Products_Data2(), FertiliserProducts[[#Headers],[Company]],31)</f>
        <v/>
      </c>
      <c r="AF147" s="215" t="str" cm="1">
        <f t="array" ref="AF147">Common_InputFunctions.Utility_DisplayArrayInTable(Fertiliser_SourceData.Fertiliser_Products_Data2(), FertiliserProducts[[#Headers],[Company]],31)</f>
        <v/>
      </c>
      <c r="AG147" s="215" t="str" cm="1">
        <f t="array" ref="AG147">Common_InputFunctions.Utility_DisplayArrayInTable(Fertiliser_SourceData.Fertiliser_Products_Data2(), FertiliserProducts[[#Headers],[Company]],31)</f>
        <v/>
      </c>
      <c r="AH147" s="215" t="str" cm="1">
        <f t="array" ref="AH147">Common_InputFunctions.Utility_DisplayArrayInTable(Fertiliser_SourceData.Fertiliser_Products_Data2(), FertiliserProducts[[#Headers],[Company]],31)</f>
        <v/>
      </c>
    </row>
    <row r="148" spans="1:34" ht="20.100000000000001" customHeight="1" x14ac:dyDescent="0.25">
      <c r="A148"/>
      <c r="D148" s="215" t="str" cm="1">
        <f t="array" ref="D148">Common_InputFunctions.Utility_DisplayArrayInTable(Fertiliser_SourceData.Fertiliser_Products_Data2(), FertiliserProducts[[#Headers],[Company]],31)</f>
        <v>Yara Australia</v>
      </c>
      <c r="E148" s="215" t="str" cm="1">
        <f t="array" ref="E148">Common_InputFunctions.Utility_DisplayArrayInTable(Fertiliser_SourceData.Fertiliser_Products_Data2(), FertiliserProducts[[#Headers],[Company]],31)</f>
        <v>YaraTera KRISTALON RED</v>
      </c>
      <c r="F148" s="215" t="str" cm="1">
        <f t="array" ref="F148">Common_InputFunctions.Utility_DisplayArrayInTable(Fertiliser_SourceData.Fertiliser_Products_Data2(), FertiliserProducts[[#Headers],[Company]],31)</f>
        <v>kg</v>
      </c>
      <c r="G148" s="215" cm="1">
        <f t="array" ref="G148">Common_InputFunctions.Utility_DisplayArrayInTable(Fertiliser_SourceData.Fertiliser_Products_Data2(), FertiliserProducts[[#Headers],[Company]],31)</f>
        <v>1</v>
      </c>
      <c r="H148" s="215" t="str" cm="1">
        <f t="array" ref="H148">Common_InputFunctions.Utility_DisplayArrayInTable(Fertiliser_SourceData.Fertiliser_Products_Data2(), FertiliserProducts[[#Headers],[Company]],31)</f>
        <v/>
      </c>
      <c r="I148" s="215" t="str" cm="1">
        <f t="array" ref="I148">Common_InputFunctions.Utility_DisplayArrayInTable(Fertiliser_SourceData.Fertiliser_Products_Data2(), FertiliserProducts[[#Headers],[Company]],31)</f>
        <v/>
      </c>
      <c r="J148" s="215" t="str" cm="1">
        <f t="array" ref="J148">Common_InputFunctions.Utility_DisplayArrayInTable(Fertiliser_SourceData.Fertiliser_Products_Data2(), FertiliserProducts[[#Headers],[Company]],31)</f>
        <v/>
      </c>
      <c r="K148" s="215" cm="1">
        <f t="array" ref="K148">Common_InputFunctions.Utility_DisplayArrayInTable(Fertiliser_SourceData.Fertiliser_Products_Data2(), FertiliserProducts[[#Headers],[Company]],31)</f>
        <v>12</v>
      </c>
      <c r="L148" s="215" cm="1">
        <f t="array" ref="L148">Common_InputFunctions.Utility_DisplayArrayInTable(Fertiliser_SourceData.Fertiliser_Products_Data2(), FertiliserProducts[[#Headers],[Company]],31)</f>
        <v>5.2</v>
      </c>
      <c r="M148" s="215" cm="1">
        <f t="array" ref="M148">Common_InputFunctions.Utility_DisplayArrayInTable(Fertiliser_SourceData.Fertiliser_Products_Data2(), FertiliserProducts[[#Headers],[Company]],31)</f>
        <v>29.9</v>
      </c>
      <c r="N148" s="215" cm="1">
        <f t="array" ref="N148">Common_InputFunctions.Utility_DisplayArrayInTable(Fertiliser_SourceData.Fertiliser_Products_Data2(), FertiliserProducts[[#Headers],[Company]],31)</f>
        <v>1</v>
      </c>
      <c r="O148" s="215" t="str" cm="1">
        <f t="array" ref="O148">Common_InputFunctions.Utility_DisplayArrayInTable(Fertiliser_SourceData.Fertiliser_Products_Data2(), FertiliserProducts[[#Headers],[Company]],31)</f>
        <v>Potassium - Generic</v>
      </c>
      <c r="P148" s="215" cm="1">
        <f t="array" ref="P148">Common_InputFunctions.Utility_DisplayArrayInTable(Fertiliser_SourceData.Fertiliser_Products_Data2(), FertiliserProducts[[#Headers],[Company]],31)</f>
        <v>0.29899999999999999</v>
      </c>
      <c r="Q148" s="215" t="str" cm="1">
        <f t="array" ref="Q148">Common_InputFunctions.Utility_DisplayArrayInTable(Fertiliser_SourceData.Fertiliser_Products_Data2(), FertiliserProducts[[#Headers],[Company]],31)</f>
        <v>Nitrogen - Nitrate</v>
      </c>
      <c r="R148" s="215" cm="1">
        <f t="array" ref="R148">Common_InputFunctions.Utility_DisplayArrayInTable(Fertiliser_SourceData.Fertiliser_Products_Data2(), FertiliserProducts[[#Headers],[Company]],31)</f>
        <v>0.10100000000000001</v>
      </c>
      <c r="S148" s="215" t="str" cm="1">
        <f t="array" ref="S148">Common_InputFunctions.Utility_DisplayArrayInTable(Fertiliser_SourceData.Fertiliser_Products_Data2(), FertiliserProducts[[#Headers],[Company]],31)</f>
        <v>Phosphorus - Generic</v>
      </c>
      <c r="T148" s="215" cm="1">
        <f t="array" ref="T148">Common_InputFunctions.Utility_DisplayArrayInTable(Fertiliser_SourceData.Fertiliser_Products_Data2(), FertiliserProducts[[#Headers],[Company]],31)</f>
        <v>5.1999999999999998E-2</v>
      </c>
      <c r="U148" s="215" t="str" cm="1">
        <f t="array" ref="U148">Common_InputFunctions.Utility_DisplayArrayInTable(Fertiliser_SourceData.Fertiliser_Products_Data2(), FertiliserProducts[[#Headers],[Company]],31)</f>
        <v>Nitrogen - Ammoniacal</v>
      </c>
      <c r="V148" s="215" cm="1">
        <f t="array" ref="V148">Common_InputFunctions.Utility_DisplayArrayInTable(Fertiliser_SourceData.Fertiliser_Products_Data2(), FertiliserProducts[[#Headers],[Company]],31)</f>
        <v>1.9E-2</v>
      </c>
      <c r="W148" s="215" t="str" cm="1">
        <f t="array" ref="W148">Common_InputFunctions.Utility_DisplayArrayInTable(Fertiliser_SourceData.Fertiliser_Products_Data2(), FertiliserProducts[[#Headers],[Company]],31)</f>
        <v>Sulfur - Generic</v>
      </c>
      <c r="X148" s="215" cm="1">
        <f t="array" ref="X148">Common_InputFunctions.Utility_DisplayArrayInTable(Fertiliser_SourceData.Fertiliser_Products_Data2(), FertiliserProducts[[#Headers],[Company]],31)</f>
        <v>0.01</v>
      </c>
      <c r="Y148" s="215" t="str" cm="1">
        <f t="array" ref="Y148">Common_InputFunctions.Utility_DisplayArrayInTable(Fertiliser_SourceData.Fertiliser_Products_Data2(), FertiliserProducts[[#Headers],[Company]],31)</f>
        <v>Magnesium</v>
      </c>
      <c r="Z148" s="215" cm="1">
        <f t="array" ref="Z148">Common_InputFunctions.Utility_DisplayArrayInTable(Fertiliser_SourceData.Fertiliser_Products_Data2(), FertiliserProducts[[#Headers],[Company]],31)</f>
        <v>6.0000000000000001E-3</v>
      </c>
      <c r="AA148" s="215" t="str" cm="1">
        <f t="array" ref="AA148">Common_InputFunctions.Utility_DisplayArrayInTable(Fertiliser_SourceData.Fertiliser_Products_Data2(), FertiliserProducts[[#Headers],[Company]],31)</f>
        <v>Iron</v>
      </c>
      <c r="AB148" s="215" cm="1">
        <f t="array" ref="AB148">Common_InputFunctions.Utility_DisplayArrayInTable(Fertiliser_SourceData.Fertiliser_Products_Data2(), FertiliserProducts[[#Headers],[Company]],31)</f>
        <v>6.9999999999999999E-4</v>
      </c>
      <c r="AC148" s="215" t="str" cm="1">
        <f t="array" ref="AC148">Common_InputFunctions.Utility_DisplayArrayInTable(Fertiliser_SourceData.Fertiliser_Products_Data2(), FertiliserProducts[[#Headers],[Company]],31)</f>
        <v>Manganese</v>
      </c>
      <c r="AD148" s="215" cm="1">
        <f t="array" ref="AD148">Common_InputFunctions.Utility_DisplayArrayInTable(Fertiliser_SourceData.Fertiliser_Products_Data2(), FertiliserProducts[[#Headers],[Company]],31)</f>
        <v>4.0000000000000002E-4</v>
      </c>
      <c r="AE148" s="215" t="str" cm="1">
        <f t="array" ref="AE148">Common_InputFunctions.Utility_DisplayArrayInTable(Fertiliser_SourceData.Fertiliser_Products_Data2(), FertiliserProducts[[#Headers],[Company]],31)</f>
        <v>Zinc</v>
      </c>
      <c r="AF148" s="215" cm="1">
        <f t="array" ref="AF148">Common_InputFunctions.Utility_DisplayArrayInTable(Fertiliser_SourceData.Fertiliser_Products_Data2(), FertiliserProducts[[#Headers],[Company]],31)</f>
        <v>2.5000000000000001E-4</v>
      </c>
      <c r="AG148" s="215" t="str" cm="1">
        <f t="array" ref="AG148">Common_InputFunctions.Utility_DisplayArrayInTable(Fertiliser_SourceData.Fertiliser_Products_Data2(), FertiliserProducts[[#Headers],[Company]],31)</f>
        <v>Boron</v>
      </c>
      <c r="AH148" s="215" cm="1">
        <f t="array" ref="AH148">Common_InputFunctions.Utility_DisplayArrayInTable(Fertiliser_SourceData.Fertiliser_Products_Data2(), FertiliserProducts[[#Headers],[Company]],31)</f>
        <v>2.5000000000000001E-4</v>
      </c>
    </row>
    <row r="149" spans="1:34" ht="20.100000000000001" customHeight="1" x14ac:dyDescent="0.25">
      <c r="A149"/>
      <c r="D149" s="215" t="str" cm="1">
        <f t="array" ref="D149">Common_InputFunctions.Utility_DisplayArrayInTable(Fertiliser_SourceData.Fertiliser_Products_Data2(), FertiliserProducts[[#Headers],[Company]],31)</f>
        <v>Yara Australia</v>
      </c>
      <c r="E149" s="215" t="str" cm="1">
        <f t="array" ref="E149">Common_InputFunctions.Utility_DisplayArrayInTable(Fertiliser_SourceData.Fertiliser_Products_Data2(), FertiliserProducts[[#Headers],[Company]],31)</f>
        <v>YaraTera KRISTALON SPECIAL</v>
      </c>
      <c r="F149" s="215" t="str" cm="1">
        <f t="array" ref="F149">Common_InputFunctions.Utility_DisplayArrayInTable(Fertiliser_SourceData.Fertiliser_Products_Data2(), FertiliserProducts[[#Headers],[Company]],31)</f>
        <v>kg</v>
      </c>
      <c r="G149" s="215" cm="1">
        <f t="array" ref="G149">Common_InputFunctions.Utility_DisplayArrayInTable(Fertiliser_SourceData.Fertiliser_Products_Data2(), FertiliserProducts[[#Headers],[Company]],31)</f>
        <v>1</v>
      </c>
      <c r="H149" s="215" t="str" cm="1">
        <f t="array" ref="H149">Common_InputFunctions.Utility_DisplayArrayInTable(Fertiliser_SourceData.Fertiliser_Products_Data2(), FertiliserProducts[[#Headers],[Company]],31)</f>
        <v/>
      </c>
      <c r="I149" s="215" t="str" cm="1">
        <f t="array" ref="I149">Common_InputFunctions.Utility_DisplayArrayInTable(Fertiliser_SourceData.Fertiliser_Products_Data2(), FertiliserProducts[[#Headers],[Company]],31)</f>
        <v/>
      </c>
      <c r="J149" s="215" t="str" cm="1">
        <f t="array" ref="J149">Common_InputFunctions.Utility_DisplayArrayInTable(Fertiliser_SourceData.Fertiliser_Products_Data2(), FertiliserProducts[[#Headers],[Company]],31)</f>
        <v/>
      </c>
      <c r="K149" s="215" cm="1">
        <f t="array" ref="K149">Common_InputFunctions.Utility_DisplayArrayInTable(Fertiliser_SourceData.Fertiliser_Products_Data2(), FertiliserProducts[[#Headers],[Company]],31)</f>
        <v>18</v>
      </c>
      <c r="L149" s="215" cm="1">
        <f t="array" ref="L149">Common_InputFunctions.Utility_DisplayArrayInTable(Fertiliser_SourceData.Fertiliser_Products_Data2(), FertiliserProducts[[#Headers],[Company]],31)</f>
        <v>7.9</v>
      </c>
      <c r="M149" s="215" cm="1">
        <f t="array" ref="M149">Common_InputFunctions.Utility_DisplayArrayInTable(Fertiliser_SourceData.Fertiliser_Products_Data2(), FertiliserProducts[[#Headers],[Company]],31)</f>
        <v>14.9</v>
      </c>
      <c r="N149" s="215" cm="1">
        <f t="array" ref="N149">Common_InputFunctions.Utility_DisplayArrayInTable(Fertiliser_SourceData.Fertiliser_Products_Data2(), FertiliserProducts[[#Headers],[Company]],31)</f>
        <v>2</v>
      </c>
      <c r="O149" s="215" t="str" cm="1">
        <f t="array" ref="O149">Common_InputFunctions.Utility_DisplayArrayInTable(Fertiliser_SourceData.Fertiliser_Products_Data2(), FertiliserProducts[[#Headers],[Company]],31)</f>
        <v>Potassium - Generic</v>
      </c>
      <c r="P149" s="215" cm="1">
        <f t="array" ref="P149">Common_InputFunctions.Utility_DisplayArrayInTable(Fertiliser_SourceData.Fertiliser_Products_Data2(), FertiliserProducts[[#Headers],[Company]],31)</f>
        <v>0.14899999999999999</v>
      </c>
      <c r="Q149" s="215" t="str" cm="1">
        <f t="array" ref="Q149">Common_InputFunctions.Utility_DisplayArrayInTable(Fertiliser_SourceData.Fertiliser_Products_Data2(), FertiliserProducts[[#Headers],[Company]],31)</f>
        <v>Urea</v>
      </c>
      <c r="R149" s="215" cm="1">
        <f t="array" ref="R149">Common_InputFunctions.Utility_DisplayArrayInTable(Fertiliser_SourceData.Fertiliser_Products_Data2(), FertiliserProducts[[#Headers],[Company]],31)</f>
        <v>0.21304300000000001</v>
      </c>
      <c r="S149" s="215" t="str" cm="1">
        <f t="array" ref="S149">Common_InputFunctions.Utility_DisplayArrayInTable(Fertiliser_SourceData.Fertiliser_Products_Data2(), FertiliserProducts[[#Headers],[Company]],31)</f>
        <v>Phosphorus - Generic</v>
      </c>
      <c r="T149" s="215" cm="1">
        <f t="array" ref="T149">Common_InputFunctions.Utility_DisplayArrayInTable(Fertiliser_SourceData.Fertiliser_Products_Data2(), FertiliserProducts[[#Headers],[Company]],31)</f>
        <v>7.9000000000000001E-2</v>
      </c>
      <c r="U149" s="215" t="str" cm="1">
        <f t="array" ref="U149">Common_InputFunctions.Utility_DisplayArrayInTable(Fertiliser_SourceData.Fertiliser_Products_Data2(), FertiliserProducts[[#Headers],[Company]],31)</f>
        <v>Nitrogen - Nitrate</v>
      </c>
      <c r="V149" s="215" cm="1">
        <f t="array" ref="V149">Common_InputFunctions.Utility_DisplayArrayInTable(Fertiliser_SourceData.Fertiliser_Products_Data2(), FertiliserProducts[[#Headers],[Company]],31)</f>
        <v>4.9000000000000002E-2</v>
      </c>
      <c r="W149" s="215" t="str" cm="1">
        <f t="array" ref="W149">Common_InputFunctions.Utility_DisplayArrayInTable(Fertiliser_SourceData.Fertiliser_Products_Data2(), FertiliserProducts[[#Headers],[Company]],31)</f>
        <v>Nitrogen - Ammoniacal</v>
      </c>
      <c r="X149" s="215" cm="1">
        <f t="array" ref="X149">Common_InputFunctions.Utility_DisplayArrayInTable(Fertiliser_SourceData.Fertiliser_Products_Data2(), FertiliserProducts[[#Headers],[Company]],31)</f>
        <v>3.3000000000000002E-2</v>
      </c>
      <c r="Y149" s="215" t="str" cm="1">
        <f t="array" ref="Y149">Common_InputFunctions.Utility_DisplayArrayInTable(Fertiliser_SourceData.Fertiliser_Products_Data2(), FertiliserProducts[[#Headers],[Company]],31)</f>
        <v>Sulfur - Generic</v>
      </c>
      <c r="Z149" s="215" cm="1">
        <f t="array" ref="Z149">Common_InputFunctions.Utility_DisplayArrayInTable(Fertiliser_SourceData.Fertiliser_Products_Data2(), FertiliserProducts[[#Headers],[Company]],31)</f>
        <v>0.02</v>
      </c>
      <c r="AA149" s="215" t="str" cm="1">
        <f t="array" ref="AA149">Common_InputFunctions.Utility_DisplayArrayInTable(Fertiliser_SourceData.Fertiliser_Products_Data2(), FertiliserProducts[[#Headers],[Company]],31)</f>
        <v>Magnesium</v>
      </c>
      <c r="AB149" s="215" cm="1">
        <f t="array" ref="AB149">Common_InputFunctions.Utility_DisplayArrayInTable(Fertiliser_SourceData.Fertiliser_Products_Data2(), FertiliserProducts[[#Headers],[Company]],31)</f>
        <v>1.7999999999999999E-2</v>
      </c>
      <c r="AC149" s="215" t="str" cm="1">
        <f t="array" ref="AC149">Common_InputFunctions.Utility_DisplayArrayInTable(Fertiliser_SourceData.Fertiliser_Products_Data2(), FertiliserProducts[[#Headers],[Company]],31)</f>
        <v>Iron</v>
      </c>
      <c r="AD149" s="215" cm="1">
        <f t="array" ref="AD149">Common_InputFunctions.Utility_DisplayArrayInTable(Fertiliser_SourceData.Fertiliser_Products_Data2(), FertiliserProducts[[#Headers],[Company]],31)</f>
        <v>6.9999999999999999E-4</v>
      </c>
      <c r="AE149" s="215" t="str" cm="1">
        <f t="array" ref="AE149">Common_InputFunctions.Utility_DisplayArrayInTable(Fertiliser_SourceData.Fertiliser_Products_Data2(), FertiliserProducts[[#Headers],[Company]],31)</f>
        <v>Manganese</v>
      </c>
      <c r="AF149" s="215" cm="1">
        <f t="array" ref="AF149">Common_InputFunctions.Utility_DisplayArrayInTable(Fertiliser_SourceData.Fertiliser_Products_Data2(), FertiliserProducts[[#Headers],[Company]],31)</f>
        <v>4.0000000000000002E-4</v>
      </c>
      <c r="AG149" s="215" t="str" cm="1">
        <f t="array" ref="AG149">Common_InputFunctions.Utility_DisplayArrayInTable(Fertiliser_SourceData.Fertiliser_Products_Data2(), FertiliserProducts[[#Headers],[Company]],31)</f>
        <v>Zinc</v>
      </c>
      <c r="AH149" s="215" cm="1">
        <f t="array" ref="AH149">Common_InputFunctions.Utility_DisplayArrayInTable(Fertiliser_SourceData.Fertiliser_Products_Data2(), FertiliserProducts[[#Headers],[Company]],31)</f>
        <v>2.5000000000000001E-4</v>
      </c>
    </row>
    <row r="150" spans="1:34" ht="20.100000000000001" customHeight="1" x14ac:dyDescent="0.25">
      <c r="A150"/>
      <c r="D150" s="215" t="str" cm="1">
        <f t="array" ref="D150">Common_InputFunctions.Utility_DisplayArrayInTable(Fertiliser_SourceData.Fertiliser_Products_Data3(), FertiliserProducts[[#Headers],[Company]],61)</f>
        <v>Yara Australia</v>
      </c>
      <c r="E150" s="215" t="str" cm="1">
        <f t="array" ref="E150">Common_InputFunctions.Utility_DisplayArrayInTable(Fertiliser_SourceData.Fertiliser_Products_Data3(), FertiliserProducts[[#Headers],[Company]],61)</f>
        <v>YaraMila 21-7-3(4)</v>
      </c>
      <c r="F150" s="215" t="str" cm="1">
        <f t="array" ref="F150">Common_InputFunctions.Utility_DisplayArrayInTable(Fertiliser_SourceData.Fertiliser_Products_Data3(), FertiliserProducts[[#Headers],[Company]],61)</f>
        <v>kg</v>
      </c>
      <c r="G150" s="215" cm="1">
        <f t="array" ref="G150">Common_InputFunctions.Utility_DisplayArrayInTable(Fertiliser_SourceData.Fertiliser_Products_Data3(), FertiliserProducts[[#Headers],[Company]],61)</f>
        <v>1</v>
      </c>
      <c r="H150" s="215" t="str" cm="1">
        <f t="array" ref="H150">Common_InputFunctions.Utility_DisplayArrayInTable(Fertiliser_SourceData.Fertiliser_Products_Data3(), FertiliserProducts[[#Headers],[Company]],61)</f>
        <v/>
      </c>
      <c r="I150" s="215" t="str" cm="1">
        <f t="array" ref="I150">Common_InputFunctions.Utility_DisplayArrayInTable(Fertiliser_SourceData.Fertiliser_Products_Data3(), FertiliserProducts[[#Headers],[Company]],61)</f>
        <v/>
      </c>
      <c r="J150" s="215" t="str" cm="1">
        <f t="array" ref="J150">Common_InputFunctions.Utility_DisplayArrayInTable(Fertiliser_SourceData.Fertiliser_Products_Data3(), FertiliserProducts[[#Headers],[Company]],61)</f>
        <v/>
      </c>
      <c r="K150" s="215" cm="1">
        <f t="array" ref="K150">Common_InputFunctions.Utility_DisplayArrayInTable(Fertiliser_SourceData.Fertiliser_Products_Data3(), FertiliserProducts[[#Headers],[Company]],61)</f>
        <v>21</v>
      </c>
      <c r="L150" s="215" cm="1">
        <f t="array" ref="L150">Common_InputFunctions.Utility_DisplayArrayInTable(Fertiliser_SourceData.Fertiliser_Products_Data3(), FertiliserProducts[[#Headers],[Company]],61)</f>
        <v>7.4</v>
      </c>
      <c r="M150" s="215" cm="1">
        <f t="array" ref="M150">Common_InputFunctions.Utility_DisplayArrayInTable(Fertiliser_SourceData.Fertiliser_Products_Data3(), FertiliserProducts[[#Headers],[Company]],61)</f>
        <v>2.5</v>
      </c>
      <c r="N150" s="215" cm="1">
        <f t="array" ref="N150">Common_InputFunctions.Utility_DisplayArrayInTable(Fertiliser_SourceData.Fertiliser_Products_Data3(), FertiliserProducts[[#Headers],[Company]],61)</f>
        <v>4</v>
      </c>
      <c r="O150" s="215" t="str" cm="1">
        <f t="array" ref="O150">Common_InputFunctions.Utility_DisplayArrayInTable(Fertiliser_SourceData.Fertiliser_Products_Data3(), FertiliserProducts[[#Headers],[Company]],61)</f>
        <v>Nitrogen - Nitrate</v>
      </c>
      <c r="P150" s="215" cm="1">
        <f t="array" ref="P150">Common_InputFunctions.Utility_DisplayArrayInTable(Fertiliser_SourceData.Fertiliser_Products_Data3(), FertiliserProducts[[#Headers],[Company]],61)</f>
        <v>0.105</v>
      </c>
      <c r="Q150" s="215" t="str" cm="1">
        <f t="array" ref="Q150">Common_InputFunctions.Utility_DisplayArrayInTable(Fertiliser_SourceData.Fertiliser_Products_Data3(), FertiliserProducts[[#Headers],[Company]],61)</f>
        <v>Nitrogen - Ammoniacal</v>
      </c>
      <c r="R150" s="215" cm="1">
        <f t="array" ref="R150">Common_InputFunctions.Utility_DisplayArrayInTable(Fertiliser_SourceData.Fertiliser_Products_Data3(), FertiliserProducts[[#Headers],[Company]],61)</f>
        <v>0.105</v>
      </c>
      <c r="S150" s="215" t="str" cm="1">
        <f t="array" ref="S150">Common_InputFunctions.Utility_DisplayArrayInTable(Fertiliser_SourceData.Fertiliser_Products_Data3(), FertiliserProducts[[#Headers],[Company]],61)</f>
        <v>Phosphorus - Generic</v>
      </c>
      <c r="T150" s="215" cm="1">
        <f t="array" ref="T150">Common_InputFunctions.Utility_DisplayArrayInTable(Fertiliser_SourceData.Fertiliser_Products_Data3(), FertiliserProducts[[#Headers],[Company]],61)</f>
        <v>7.3999999999999996E-2</v>
      </c>
      <c r="U150" s="215" t="str" cm="1">
        <f t="array" ref="U150">Common_InputFunctions.Utility_DisplayArrayInTable(Fertiliser_SourceData.Fertiliser_Products_Data3(), FertiliserProducts[[#Headers],[Company]],61)</f>
        <v>Sulfur - Generic</v>
      </c>
      <c r="V150" s="215" cm="1">
        <f t="array" ref="V150">Common_InputFunctions.Utility_DisplayArrayInTable(Fertiliser_SourceData.Fertiliser_Products_Data3(), FertiliserProducts[[#Headers],[Company]],61)</f>
        <v>0.04</v>
      </c>
      <c r="W150" s="215" t="str" cm="1">
        <f t="array" ref="W150">Common_InputFunctions.Utility_DisplayArrayInTable(Fertiliser_SourceData.Fertiliser_Products_Data3(), FertiliserProducts[[#Headers],[Company]],61)</f>
        <v>Potassium - Generic</v>
      </c>
      <c r="X150" s="215" cm="1">
        <f t="array" ref="X150">Common_InputFunctions.Utility_DisplayArrayInTable(Fertiliser_SourceData.Fertiliser_Products_Data3(), FertiliserProducts[[#Headers],[Company]],61)</f>
        <v>2.5000000000000001E-2</v>
      </c>
      <c r="Y150" s="215" t="str" cm="1">
        <f t="array" ref="Y150">Common_InputFunctions.Utility_DisplayArrayInTable(Fertiliser_SourceData.Fertiliser_Products_Data3(), FertiliserProducts[[#Headers],[Company]],61)</f>
        <v>Magnesium</v>
      </c>
      <c r="Z150" s="215" cm="1">
        <f t="array" ref="Z150">Common_InputFunctions.Utility_DisplayArrayInTable(Fertiliser_SourceData.Fertiliser_Products_Data3(), FertiliserProducts[[#Headers],[Company]],61)</f>
        <v>4.0000000000000001E-3</v>
      </c>
      <c r="AA150" s="215" t="str" cm="1">
        <f t="array" ref="AA150">Common_InputFunctions.Utility_DisplayArrayInTable(Fertiliser_SourceData.Fertiliser_Products_Data3(), FertiliserProducts[[#Headers],[Company]],61)</f>
        <v>Zinc</v>
      </c>
      <c r="AB150" s="215" cm="1">
        <f t="array" ref="AB150">Common_InputFunctions.Utility_DisplayArrayInTable(Fertiliser_SourceData.Fertiliser_Products_Data3(), FertiliserProducts[[#Headers],[Company]],61)</f>
        <v>1.5E-3</v>
      </c>
      <c r="AC150" s="215" t="str" cm="1">
        <f t="array" ref="AC150">Common_InputFunctions.Utility_DisplayArrayInTable(Fertiliser_SourceData.Fertiliser_Products_Data3(), FertiliserProducts[[#Headers],[Company]],61)</f>
        <v/>
      </c>
      <c r="AD150" s="215" t="str" cm="1">
        <f t="array" ref="AD150">Common_InputFunctions.Utility_DisplayArrayInTable(Fertiliser_SourceData.Fertiliser_Products_Data3(), FertiliserProducts[[#Headers],[Company]],61)</f>
        <v/>
      </c>
      <c r="AE150" s="215" t="str" cm="1">
        <f t="array" ref="AE150">Common_InputFunctions.Utility_DisplayArrayInTable(Fertiliser_SourceData.Fertiliser_Products_Data3(), FertiliserProducts[[#Headers],[Company]],61)</f>
        <v/>
      </c>
      <c r="AF150" s="215" t="str" cm="1">
        <f t="array" ref="AF150">Common_InputFunctions.Utility_DisplayArrayInTable(Fertiliser_SourceData.Fertiliser_Products_Data3(), FertiliserProducts[[#Headers],[Company]],61)</f>
        <v/>
      </c>
      <c r="AG150" s="215" t="str" cm="1">
        <f t="array" ref="AG150">Common_InputFunctions.Utility_DisplayArrayInTable(Fertiliser_SourceData.Fertiliser_Products_Data3(), FertiliserProducts[[#Headers],[Company]],61)</f>
        <v/>
      </c>
      <c r="AH150" s="215" t="str" cm="1">
        <f t="array" ref="AH150">Common_InputFunctions.Utility_DisplayArrayInTable(Fertiliser_SourceData.Fertiliser_Products_Data3(), FertiliserProducts[[#Headers],[Company]],61)</f>
        <v/>
      </c>
    </row>
    <row r="151" spans="1:34" ht="20.100000000000001" customHeight="1" x14ac:dyDescent="0.25">
      <c r="A151"/>
      <c r="D151" s="215" t="str" cm="1">
        <f t="array" ref="D151">Common_InputFunctions.Utility_DisplayArrayInTable(Fertiliser_SourceData.Fertiliser_Products_Data3(), FertiliserProducts[[#Headers],[Company]],61)</f>
        <v>Yara Australia</v>
      </c>
      <c r="E151" s="215" t="str" cm="1">
        <f t="array" ref="E151">Common_InputFunctions.Utility_DisplayArrayInTable(Fertiliser_SourceData.Fertiliser_Products_Data3(), FertiliserProducts[[#Headers],[Company]],61)</f>
        <v>YaraTera KRISTALON SCARLET</v>
      </c>
      <c r="F151" s="215" t="str" cm="1">
        <f t="array" ref="F151">Common_InputFunctions.Utility_DisplayArrayInTable(Fertiliser_SourceData.Fertiliser_Products_Data3(), FertiliserProducts[[#Headers],[Company]],61)</f>
        <v>kg</v>
      </c>
      <c r="G151" s="215" cm="1">
        <f t="array" ref="G151">Common_InputFunctions.Utility_DisplayArrayInTable(Fertiliser_SourceData.Fertiliser_Products_Data3(), FertiliserProducts[[#Headers],[Company]],61)</f>
        <v>1</v>
      </c>
      <c r="H151" s="215" t="str" cm="1">
        <f t="array" ref="H151">Common_InputFunctions.Utility_DisplayArrayInTable(Fertiliser_SourceData.Fertiliser_Products_Data3(), FertiliserProducts[[#Headers],[Company]],61)</f>
        <v/>
      </c>
      <c r="I151" s="215" t="str" cm="1">
        <f t="array" ref="I151">Common_InputFunctions.Utility_DisplayArrayInTable(Fertiliser_SourceData.Fertiliser_Products_Data3(), FertiliserProducts[[#Headers],[Company]],61)</f>
        <v/>
      </c>
      <c r="J151" s="215" t="str" cm="1">
        <f t="array" ref="J151">Common_InputFunctions.Utility_DisplayArrayInTable(Fertiliser_SourceData.Fertiliser_Products_Data3(), FertiliserProducts[[#Headers],[Company]],61)</f>
        <v/>
      </c>
      <c r="K151" s="215" cm="1">
        <f t="array" ref="K151">Common_InputFunctions.Utility_DisplayArrayInTable(Fertiliser_SourceData.Fertiliser_Products_Data3(), FertiliserProducts[[#Headers],[Company]],61)</f>
        <v>7.5</v>
      </c>
      <c r="L151" s="215" t="str" cm="1">
        <f t="array" ref="L151">Common_InputFunctions.Utility_DisplayArrayInTable(Fertiliser_SourceData.Fertiliser_Products_Data3(), FertiliserProducts[[#Headers],[Company]],61)</f>
        <v/>
      </c>
      <c r="M151" s="215" cm="1">
        <f t="array" ref="M151">Common_InputFunctions.Utility_DisplayArrayInTable(Fertiliser_SourceData.Fertiliser_Products_Data3(), FertiliserProducts[[#Headers],[Company]],61)</f>
        <v>29.9</v>
      </c>
      <c r="N151" s="215" cm="1">
        <f t="array" ref="N151">Common_InputFunctions.Utility_DisplayArrayInTable(Fertiliser_SourceData.Fertiliser_Products_Data3(), FertiliserProducts[[#Headers],[Company]],61)</f>
        <v>4</v>
      </c>
      <c r="O151" s="215" t="str" cm="1">
        <f t="array" ref="O151">Common_InputFunctions.Utility_DisplayArrayInTable(Fertiliser_SourceData.Fertiliser_Products_Data3(), FertiliserProducts[[#Headers],[Company]],61)</f>
        <v>Potassium - Generic</v>
      </c>
      <c r="P151" s="215" cm="1">
        <f t="array" ref="P151">Common_InputFunctions.Utility_DisplayArrayInTable(Fertiliser_SourceData.Fertiliser_Products_Data3(), FertiliserProducts[[#Headers],[Company]],61)</f>
        <v>0.29899999999999999</v>
      </c>
      <c r="Q151" s="215" t="str" cm="1">
        <f t="array" ref="Q151">Common_InputFunctions.Utility_DisplayArrayInTable(Fertiliser_SourceData.Fertiliser_Products_Data3(), FertiliserProducts[[#Headers],[Company]],61)</f>
        <v>Nitrogen - Nitrate</v>
      </c>
      <c r="R151" s="215" cm="1">
        <f t="array" ref="R151">Common_InputFunctions.Utility_DisplayArrayInTable(Fertiliser_SourceData.Fertiliser_Products_Data3(), FertiliserProducts[[#Headers],[Company]],61)</f>
        <v>5.1999999999999998E-2</v>
      </c>
      <c r="S151" s="215" t="str" cm="1">
        <f t="array" ref="S151">Common_InputFunctions.Utility_DisplayArrayInTable(Fertiliser_SourceData.Fertiliser_Products_Data3(), FertiliserProducts[[#Headers],[Company]],61)</f>
        <v>Sulfur - Generic</v>
      </c>
      <c r="T151" s="215" cm="1">
        <f t="array" ref="T151">Common_InputFunctions.Utility_DisplayArrayInTable(Fertiliser_SourceData.Fertiliser_Products_Data3(), FertiliserProducts[[#Headers],[Company]],61)</f>
        <v>0.04</v>
      </c>
      <c r="U151" s="215" t="str" cm="1">
        <f t="array" ref="U151">Common_InputFunctions.Utility_DisplayArrayInTable(Fertiliser_SourceData.Fertiliser_Products_Data3(), FertiliserProducts[[#Headers],[Company]],61)</f>
        <v>Magnesium</v>
      </c>
      <c r="V151" s="215" cm="1">
        <f t="array" ref="V151">Common_InputFunctions.Utility_DisplayArrayInTable(Fertiliser_SourceData.Fertiliser_Products_Data3(), FertiliserProducts[[#Headers],[Company]],61)</f>
        <v>2.7E-2</v>
      </c>
      <c r="W151" s="215" t="str" cm="1">
        <f t="array" ref="W151">Common_InputFunctions.Utility_DisplayArrayInTable(Fertiliser_SourceData.Fertiliser_Products_Data3(), FertiliserProducts[[#Headers],[Company]],61)</f>
        <v>Nitrogen - Ammoniacal</v>
      </c>
      <c r="X151" s="215" cm="1">
        <f t="array" ref="X151">Common_InputFunctions.Utility_DisplayArrayInTable(Fertiliser_SourceData.Fertiliser_Products_Data3(), FertiliserProducts[[#Headers],[Company]],61)</f>
        <v>2.3E-2</v>
      </c>
      <c r="Y151" s="215" t="str" cm="1">
        <f t="array" ref="Y151">Common_InputFunctions.Utility_DisplayArrayInTable(Fertiliser_SourceData.Fertiliser_Products_Data3(), FertiliserProducts[[#Headers],[Company]],61)</f>
        <v/>
      </c>
      <c r="Z151" s="215" t="str" cm="1">
        <f t="array" ref="Z151">Common_InputFunctions.Utility_DisplayArrayInTable(Fertiliser_SourceData.Fertiliser_Products_Data3(), FertiliserProducts[[#Headers],[Company]],61)</f>
        <v/>
      </c>
      <c r="AA151" s="215" t="str" cm="1">
        <f t="array" ref="AA151">Common_InputFunctions.Utility_DisplayArrayInTable(Fertiliser_SourceData.Fertiliser_Products_Data3(), FertiliserProducts[[#Headers],[Company]],61)</f>
        <v/>
      </c>
      <c r="AB151" s="215" t="str" cm="1">
        <f t="array" ref="AB151">Common_InputFunctions.Utility_DisplayArrayInTable(Fertiliser_SourceData.Fertiliser_Products_Data3(), FertiliserProducts[[#Headers],[Company]],61)</f>
        <v/>
      </c>
      <c r="AC151" s="215" t="str" cm="1">
        <f t="array" ref="AC151">Common_InputFunctions.Utility_DisplayArrayInTable(Fertiliser_SourceData.Fertiliser_Products_Data3(), FertiliserProducts[[#Headers],[Company]],61)</f>
        <v/>
      </c>
      <c r="AD151" s="215" t="str" cm="1">
        <f t="array" ref="AD151">Common_InputFunctions.Utility_DisplayArrayInTable(Fertiliser_SourceData.Fertiliser_Products_Data3(), FertiliserProducts[[#Headers],[Company]],61)</f>
        <v/>
      </c>
      <c r="AE151" s="215" t="str" cm="1">
        <f t="array" ref="AE151">Common_InputFunctions.Utility_DisplayArrayInTable(Fertiliser_SourceData.Fertiliser_Products_Data3(), FertiliserProducts[[#Headers],[Company]],61)</f>
        <v/>
      </c>
      <c r="AF151" s="215" t="str" cm="1">
        <f t="array" ref="AF151">Common_InputFunctions.Utility_DisplayArrayInTable(Fertiliser_SourceData.Fertiliser_Products_Data3(), FertiliserProducts[[#Headers],[Company]],61)</f>
        <v/>
      </c>
      <c r="AG151" s="215" t="str" cm="1">
        <f t="array" ref="AG151">Common_InputFunctions.Utility_DisplayArrayInTable(Fertiliser_SourceData.Fertiliser_Products_Data3(), FertiliserProducts[[#Headers],[Company]],61)</f>
        <v/>
      </c>
      <c r="AH151" s="215" t="str" cm="1">
        <f t="array" ref="AH151">Common_InputFunctions.Utility_DisplayArrayInTable(Fertiliser_SourceData.Fertiliser_Products_Data3(), FertiliserProducts[[#Headers],[Company]],61)</f>
        <v/>
      </c>
    </row>
    <row r="152" spans="1:34" ht="20.100000000000001" customHeight="1" x14ac:dyDescent="0.25">
      <c r="A152"/>
      <c r="D152" s="215" t="str" cm="1">
        <f t="array" ref="D152">Common_InputFunctions.Utility_DisplayArrayInTable(Fertiliser_SourceData.Fertiliser_Products_Data3(), FertiliserProducts[[#Headers],[Company]],61)</f>
        <v>Campbells fertilisers Australia</v>
      </c>
      <c r="E152" s="215" t="str" cm="1">
        <f t="array" ref="E152">Common_InputFunctions.Utility_DisplayArrayInTable(Fertiliser_SourceData.Fertiliser_Products_Data3(), FertiliserProducts[[#Headers],[Company]],61)</f>
        <v>Solu-MAP</v>
      </c>
      <c r="F152" s="215" t="str" cm="1">
        <f t="array" ref="F152">Common_InputFunctions.Utility_DisplayArrayInTable(Fertiliser_SourceData.Fertiliser_Products_Data3(), FertiliserProducts[[#Headers],[Company]],61)</f>
        <v>kg</v>
      </c>
      <c r="G152" s="215" cm="1">
        <f t="array" ref="G152">Common_InputFunctions.Utility_DisplayArrayInTable(Fertiliser_SourceData.Fertiliser_Products_Data3(), FertiliserProducts[[#Headers],[Company]],61)</f>
        <v>1</v>
      </c>
      <c r="H152" s="215" t="str" cm="1">
        <f t="array" ref="H152">Common_InputFunctions.Utility_DisplayArrayInTable(Fertiliser_SourceData.Fertiliser_Products_Data3(), FertiliserProducts[[#Headers],[Company]],61)</f>
        <v/>
      </c>
      <c r="I152" s="215" t="str" cm="1">
        <f t="array" ref="I152">Common_InputFunctions.Utility_DisplayArrayInTable(Fertiliser_SourceData.Fertiliser_Products_Data3(), FertiliserProducts[[#Headers],[Company]],61)</f>
        <v/>
      </c>
      <c r="J152" s="215" t="str" cm="1">
        <f t="array" ref="J152">Common_InputFunctions.Utility_DisplayArrayInTable(Fertiliser_SourceData.Fertiliser_Products_Data3(), FertiliserProducts[[#Headers],[Company]],61)</f>
        <v/>
      </c>
      <c r="K152" s="215" cm="1">
        <f t="array" ref="K152">Common_InputFunctions.Utility_DisplayArrayInTable(Fertiliser_SourceData.Fertiliser_Products_Data3(), FertiliserProducts[[#Headers],[Company]],61)</f>
        <v>10</v>
      </c>
      <c r="L152" s="215" cm="1">
        <f t="array" ref="L152">Common_InputFunctions.Utility_DisplayArrayInTable(Fertiliser_SourceData.Fertiliser_Products_Data3(), FertiliserProducts[[#Headers],[Company]],61)</f>
        <v>21.9</v>
      </c>
      <c r="M152" s="215" t="str" cm="1">
        <f t="array" ref="M152">Common_InputFunctions.Utility_DisplayArrayInTable(Fertiliser_SourceData.Fertiliser_Products_Data3(), FertiliserProducts[[#Headers],[Company]],61)</f>
        <v/>
      </c>
      <c r="N152" s="215" t="str" cm="1">
        <f t="array" ref="N152">Common_InputFunctions.Utility_DisplayArrayInTable(Fertiliser_SourceData.Fertiliser_Products_Data3(), FertiliserProducts[[#Headers],[Company]],61)</f>
        <v/>
      </c>
      <c r="O152" s="215" t="str" cm="1">
        <f t="array" ref="O152">Common_InputFunctions.Utility_DisplayArrayInTable(Fertiliser_SourceData.Fertiliser_Products_Data3(), FertiliserProducts[[#Headers],[Company]],61)</f>
        <v>Monoammonium phosphate (MAP)</v>
      </c>
      <c r="P152" s="215" cm="1">
        <f t="array" ref="P152">Common_InputFunctions.Utility_DisplayArrayInTable(Fertiliser_SourceData.Fertiliser_Products_Data3(), FertiliserProducts[[#Headers],[Company]],61)</f>
        <v>1</v>
      </c>
      <c r="Q152" s="215" t="str" cm="1">
        <f t="array" ref="Q152">Common_InputFunctions.Utility_DisplayArrayInTable(Fertiliser_SourceData.Fertiliser_Products_Data3(), FertiliserProducts[[#Headers],[Company]],61)</f>
        <v/>
      </c>
      <c r="R152" s="215" t="str" cm="1">
        <f t="array" ref="R152">Common_InputFunctions.Utility_DisplayArrayInTable(Fertiliser_SourceData.Fertiliser_Products_Data3(), FertiliserProducts[[#Headers],[Company]],61)</f>
        <v/>
      </c>
      <c r="S152" s="215" t="str" cm="1">
        <f t="array" ref="S152">Common_InputFunctions.Utility_DisplayArrayInTable(Fertiliser_SourceData.Fertiliser_Products_Data3(), FertiliserProducts[[#Headers],[Company]],61)</f>
        <v/>
      </c>
      <c r="T152" s="215" t="str" cm="1">
        <f t="array" ref="T152">Common_InputFunctions.Utility_DisplayArrayInTable(Fertiliser_SourceData.Fertiliser_Products_Data3(), FertiliserProducts[[#Headers],[Company]],61)</f>
        <v/>
      </c>
      <c r="U152" s="215" t="str" cm="1">
        <f t="array" ref="U152">Common_InputFunctions.Utility_DisplayArrayInTable(Fertiliser_SourceData.Fertiliser_Products_Data3(), FertiliserProducts[[#Headers],[Company]],61)</f>
        <v/>
      </c>
      <c r="V152" s="215" t="str" cm="1">
        <f t="array" ref="V152">Common_InputFunctions.Utility_DisplayArrayInTable(Fertiliser_SourceData.Fertiliser_Products_Data3(), FertiliserProducts[[#Headers],[Company]],61)</f>
        <v/>
      </c>
      <c r="W152" s="215" t="str" cm="1">
        <f t="array" ref="W152">Common_InputFunctions.Utility_DisplayArrayInTable(Fertiliser_SourceData.Fertiliser_Products_Data3(), FertiliserProducts[[#Headers],[Company]],61)</f>
        <v/>
      </c>
      <c r="X152" s="215" t="str" cm="1">
        <f t="array" ref="X152">Common_InputFunctions.Utility_DisplayArrayInTable(Fertiliser_SourceData.Fertiliser_Products_Data3(), FertiliserProducts[[#Headers],[Company]],61)</f>
        <v/>
      </c>
      <c r="Y152" s="215" t="str" cm="1">
        <f t="array" ref="Y152">Common_InputFunctions.Utility_DisplayArrayInTable(Fertiliser_SourceData.Fertiliser_Products_Data3(), FertiliserProducts[[#Headers],[Company]],61)</f>
        <v/>
      </c>
      <c r="Z152" s="215" t="str" cm="1">
        <f t="array" ref="Z152">Common_InputFunctions.Utility_DisplayArrayInTable(Fertiliser_SourceData.Fertiliser_Products_Data3(), FertiliserProducts[[#Headers],[Company]],61)</f>
        <v/>
      </c>
      <c r="AA152" s="215" t="str" cm="1">
        <f t="array" ref="AA152">Common_InputFunctions.Utility_DisplayArrayInTable(Fertiliser_SourceData.Fertiliser_Products_Data3(), FertiliserProducts[[#Headers],[Company]],61)</f>
        <v/>
      </c>
      <c r="AB152" s="215" t="str" cm="1">
        <f t="array" ref="AB152">Common_InputFunctions.Utility_DisplayArrayInTable(Fertiliser_SourceData.Fertiliser_Products_Data3(), FertiliserProducts[[#Headers],[Company]],61)</f>
        <v/>
      </c>
      <c r="AC152" s="215" t="str" cm="1">
        <f t="array" ref="AC152">Common_InputFunctions.Utility_DisplayArrayInTable(Fertiliser_SourceData.Fertiliser_Products_Data3(), FertiliserProducts[[#Headers],[Company]],61)</f>
        <v/>
      </c>
      <c r="AD152" s="215" t="str" cm="1">
        <f t="array" ref="AD152">Common_InputFunctions.Utility_DisplayArrayInTable(Fertiliser_SourceData.Fertiliser_Products_Data3(), FertiliserProducts[[#Headers],[Company]],61)</f>
        <v/>
      </c>
      <c r="AE152" s="215" t="str" cm="1">
        <f t="array" ref="AE152">Common_InputFunctions.Utility_DisplayArrayInTable(Fertiliser_SourceData.Fertiliser_Products_Data3(), FertiliserProducts[[#Headers],[Company]],61)</f>
        <v/>
      </c>
      <c r="AF152" s="215" t="str" cm="1">
        <f t="array" ref="AF152">Common_InputFunctions.Utility_DisplayArrayInTable(Fertiliser_SourceData.Fertiliser_Products_Data3(), FertiliserProducts[[#Headers],[Company]],61)</f>
        <v/>
      </c>
      <c r="AG152" s="215" t="str" cm="1">
        <f t="array" ref="AG152">Common_InputFunctions.Utility_DisplayArrayInTable(Fertiliser_SourceData.Fertiliser_Products_Data3(), FertiliserProducts[[#Headers],[Company]],61)</f>
        <v/>
      </c>
      <c r="AH152" s="215" t="str" cm="1">
        <f t="array" ref="AH152">Common_InputFunctions.Utility_DisplayArrayInTable(Fertiliser_SourceData.Fertiliser_Products_Data3(), FertiliserProducts[[#Headers],[Company]],61)</f>
        <v/>
      </c>
    </row>
    <row r="153" spans="1:34" ht="20.100000000000001" customHeight="1" x14ac:dyDescent="0.25">
      <c r="A153"/>
      <c r="D153" s="215" t="str" cm="1">
        <f t="array" ref="D153">Common_InputFunctions.Utility_DisplayArrayInTable(Fertiliser_SourceData.Fertiliser_Products_Data3(), FertiliserProducts[[#Headers],[Company]],61)</f>
        <v>Campbells fertilisers Australia</v>
      </c>
      <c r="E153" s="215" t="str" cm="1">
        <f t="array" ref="E153">Common_InputFunctions.Utility_DisplayArrayInTable(Fertiliser_SourceData.Fertiliser_Products_Data3(), FertiliserProducts[[#Headers],[Company]],61)</f>
        <v>Solu-Sam</v>
      </c>
      <c r="F153" s="215" t="str" cm="1">
        <f t="array" ref="F153">Common_InputFunctions.Utility_DisplayArrayInTable(Fertiliser_SourceData.Fertiliser_Products_Data3(), FertiliserProducts[[#Headers],[Company]],61)</f>
        <v>kg</v>
      </c>
      <c r="G153" s="215" cm="1">
        <f t="array" ref="G153">Common_InputFunctions.Utility_DisplayArrayInTable(Fertiliser_SourceData.Fertiliser_Products_Data3(), FertiliserProducts[[#Headers],[Company]],61)</f>
        <v>1</v>
      </c>
      <c r="H153" s="215" t="str" cm="1">
        <f t="array" ref="H153">Common_InputFunctions.Utility_DisplayArrayInTable(Fertiliser_SourceData.Fertiliser_Products_Data3(), FertiliserProducts[[#Headers],[Company]],61)</f>
        <v/>
      </c>
      <c r="I153" s="215" t="str" cm="1">
        <f t="array" ref="I153">Common_InputFunctions.Utility_DisplayArrayInTable(Fertiliser_SourceData.Fertiliser_Products_Data3(), FertiliserProducts[[#Headers],[Company]],61)</f>
        <v/>
      </c>
      <c r="J153" s="215" t="str" cm="1">
        <f t="array" ref="J153">Common_InputFunctions.Utility_DisplayArrayInTable(Fertiliser_SourceData.Fertiliser_Products_Data3(), FertiliserProducts[[#Headers],[Company]],61)</f>
        <v/>
      </c>
      <c r="K153" s="215" cm="1">
        <f t="array" ref="K153">Common_InputFunctions.Utility_DisplayArrayInTable(Fertiliser_SourceData.Fertiliser_Products_Data3(), FertiliserProducts[[#Headers],[Company]],61)</f>
        <v>21</v>
      </c>
      <c r="L153" s="215" t="str" cm="1">
        <f t="array" ref="L153">Common_InputFunctions.Utility_DisplayArrayInTable(Fertiliser_SourceData.Fertiliser_Products_Data3(), FertiliserProducts[[#Headers],[Company]],61)</f>
        <v/>
      </c>
      <c r="M153" s="215" t="str" cm="1">
        <f t="array" ref="M153">Common_InputFunctions.Utility_DisplayArrayInTable(Fertiliser_SourceData.Fertiliser_Products_Data3(), FertiliserProducts[[#Headers],[Company]],61)</f>
        <v/>
      </c>
      <c r="N153" s="215" cm="1">
        <f t="array" ref="N153">Common_InputFunctions.Utility_DisplayArrayInTable(Fertiliser_SourceData.Fertiliser_Products_Data3(), FertiliserProducts[[#Headers],[Company]],61)</f>
        <v>24</v>
      </c>
      <c r="O153" s="215" t="str" cm="1">
        <f t="array" ref="O153">Common_InputFunctions.Utility_DisplayArrayInTable(Fertiliser_SourceData.Fertiliser_Products_Data3(), FertiliserProducts[[#Headers],[Company]],61)</f>
        <v>Sulphate of ammonia (SOA)</v>
      </c>
      <c r="P153" s="215" cm="1">
        <f t="array" ref="P153">Common_InputFunctions.Utility_DisplayArrayInTable(Fertiliser_SourceData.Fertiliser_Products_Data3(), FertiliserProducts[[#Headers],[Company]],61)</f>
        <v>1</v>
      </c>
      <c r="Q153" s="215" t="str" cm="1">
        <f t="array" ref="Q153">Common_InputFunctions.Utility_DisplayArrayInTable(Fertiliser_SourceData.Fertiliser_Products_Data3(), FertiliserProducts[[#Headers],[Company]],61)</f>
        <v/>
      </c>
      <c r="R153" s="215" t="str" cm="1">
        <f t="array" ref="R153">Common_InputFunctions.Utility_DisplayArrayInTable(Fertiliser_SourceData.Fertiliser_Products_Data3(), FertiliserProducts[[#Headers],[Company]],61)</f>
        <v/>
      </c>
      <c r="S153" s="215" t="str" cm="1">
        <f t="array" ref="S153">Common_InputFunctions.Utility_DisplayArrayInTable(Fertiliser_SourceData.Fertiliser_Products_Data3(), FertiliserProducts[[#Headers],[Company]],61)</f>
        <v/>
      </c>
      <c r="T153" s="215" t="str" cm="1">
        <f t="array" ref="T153">Common_InputFunctions.Utility_DisplayArrayInTable(Fertiliser_SourceData.Fertiliser_Products_Data3(), FertiliserProducts[[#Headers],[Company]],61)</f>
        <v/>
      </c>
      <c r="U153" s="215" t="str" cm="1">
        <f t="array" ref="U153">Common_InputFunctions.Utility_DisplayArrayInTable(Fertiliser_SourceData.Fertiliser_Products_Data3(), FertiliserProducts[[#Headers],[Company]],61)</f>
        <v/>
      </c>
      <c r="V153" s="215" t="str" cm="1">
        <f t="array" ref="V153">Common_InputFunctions.Utility_DisplayArrayInTable(Fertiliser_SourceData.Fertiliser_Products_Data3(), FertiliserProducts[[#Headers],[Company]],61)</f>
        <v/>
      </c>
      <c r="W153" s="215" t="str" cm="1">
        <f t="array" ref="W153">Common_InputFunctions.Utility_DisplayArrayInTable(Fertiliser_SourceData.Fertiliser_Products_Data3(), FertiliserProducts[[#Headers],[Company]],61)</f>
        <v/>
      </c>
      <c r="X153" s="215" t="str" cm="1">
        <f t="array" ref="X153">Common_InputFunctions.Utility_DisplayArrayInTable(Fertiliser_SourceData.Fertiliser_Products_Data3(), FertiliserProducts[[#Headers],[Company]],61)</f>
        <v/>
      </c>
      <c r="Y153" s="215" t="str" cm="1">
        <f t="array" ref="Y153">Common_InputFunctions.Utility_DisplayArrayInTable(Fertiliser_SourceData.Fertiliser_Products_Data3(), FertiliserProducts[[#Headers],[Company]],61)</f>
        <v/>
      </c>
      <c r="Z153" s="215" t="str" cm="1">
        <f t="array" ref="Z153">Common_InputFunctions.Utility_DisplayArrayInTable(Fertiliser_SourceData.Fertiliser_Products_Data3(), FertiliserProducts[[#Headers],[Company]],61)</f>
        <v/>
      </c>
      <c r="AA153" s="215" t="str" cm="1">
        <f t="array" ref="AA153">Common_InputFunctions.Utility_DisplayArrayInTable(Fertiliser_SourceData.Fertiliser_Products_Data3(), FertiliserProducts[[#Headers],[Company]],61)</f>
        <v/>
      </c>
      <c r="AB153" s="215" t="str" cm="1">
        <f t="array" ref="AB153">Common_InputFunctions.Utility_DisplayArrayInTable(Fertiliser_SourceData.Fertiliser_Products_Data3(), FertiliserProducts[[#Headers],[Company]],61)</f>
        <v/>
      </c>
      <c r="AC153" s="215" t="str" cm="1">
        <f t="array" ref="AC153">Common_InputFunctions.Utility_DisplayArrayInTable(Fertiliser_SourceData.Fertiliser_Products_Data3(), FertiliserProducts[[#Headers],[Company]],61)</f>
        <v/>
      </c>
      <c r="AD153" s="215" t="str" cm="1">
        <f t="array" ref="AD153">Common_InputFunctions.Utility_DisplayArrayInTable(Fertiliser_SourceData.Fertiliser_Products_Data3(), FertiliserProducts[[#Headers],[Company]],61)</f>
        <v/>
      </c>
      <c r="AE153" s="215" t="str" cm="1">
        <f t="array" ref="AE153">Common_InputFunctions.Utility_DisplayArrayInTable(Fertiliser_SourceData.Fertiliser_Products_Data3(), FertiliserProducts[[#Headers],[Company]],61)</f>
        <v/>
      </c>
      <c r="AF153" s="215" t="str" cm="1">
        <f t="array" ref="AF153">Common_InputFunctions.Utility_DisplayArrayInTable(Fertiliser_SourceData.Fertiliser_Products_Data3(), FertiliserProducts[[#Headers],[Company]],61)</f>
        <v/>
      </c>
      <c r="AG153" s="215" t="str" cm="1">
        <f t="array" ref="AG153">Common_InputFunctions.Utility_DisplayArrayInTable(Fertiliser_SourceData.Fertiliser_Products_Data3(), FertiliserProducts[[#Headers],[Company]],61)</f>
        <v/>
      </c>
      <c r="AH153" s="215" t="str" cm="1">
        <f t="array" ref="AH153">Common_InputFunctions.Utility_DisplayArrayInTable(Fertiliser_SourceData.Fertiliser_Products_Data3(), FertiliserProducts[[#Headers],[Company]],61)</f>
        <v/>
      </c>
    </row>
    <row r="154" spans="1:34" ht="20.100000000000001" customHeight="1" x14ac:dyDescent="0.25">
      <c r="A154"/>
      <c r="D154" s="215" t="str" cm="1">
        <f t="array" ref="D154">Common_InputFunctions.Utility_DisplayArrayInTable(Fertiliser_SourceData.Fertiliser_Products_Data3(), FertiliserProducts[[#Headers],[Company]],61)</f>
        <v>Campbells fertilisers Australia</v>
      </c>
      <c r="E154" s="215" t="str" cm="1">
        <f t="array" ref="E154">Common_InputFunctions.Utility_DisplayArrayInTable(Fertiliser_SourceData.Fertiliser_Products_Data3(), FertiliserProducts[[#Headers],[Company]],61)</f>
        <v>Rustica Plus</v>
      </c>
      <c r="F154" s="215" t="str" cm="1">
        <f t="array" ref="F154">Common_InputFunctions.Utility_DisplayArrayInTable(Fertiliser_SourceData.Fertiliser_Products_Data3(), FertiliserProducts[[#Headers],[Company]],61)</f>
        <v>kg</v>
      </c>
      <c r="G154" s="215" cm="1">
        <f t="array" ref="G154">Common_InputFunctions.Utility_DisplayArrayInTable(Fertiliser_SourceData.Fertiliser_Products_Data3(), FertiliserProducts[[#Headers],[Company]],61)</f>
        <v>1</v>
      </c>
      <c r="H154" s="215" t="str" cm="1">
        <f t="array" ref="H154">Common_InputFunctions.Utility_DisplayArrayInTable(Fertiliser_SourceData.Fertiliser_Products_Data3(), FertiliserProducts[[#Headers],[Company]],61)</f>
        <v/>
      </c>
      <c r="I154" s="215" t="str" cm="1">
        <f t="array" ref="I154">Common_InputFunctions.Utility_DisplayArrayInTable(Fertiliser_SourceData.Fertiliser_Products_Data3(), FertiliserProducts[[#Headers],[Company]],61)</f>
        <v/>
      </c>
      <c r="J154" s="215" t="str" cm="1">
        <f t="array" ref="J154">Common_InputFunctions.Utility_DisplayArrayInTable(Fertiliser_SourceData.Fertiliser_Products_Data3(), FertiliserProducts[[#Headers],[Company]],61)</f>
        <v/>
      </c>
      <c r="K154" s="215" cm="1">
        <f t="array" ref="K154">Common_InputFunctions.Utility_DisplayArrayInTable(Fertiliser_SourceData.Fertiliser_Products_Data3(), FertiliserProducts[[#Headers],[Company]],61)</f>
        <v>12</v>
      </c>
      <c r="L154" s="215" cm="1">
        <f t="array" ref="L154">Common_InputFunctions.Utility_DisplayArrayInTable(Fertiliser_SourceData.Fertiliser_Products_Data3(), FertiliserProducts[[#Headers],[Company]],61)</f>
        <v>5</v>
      </c>
      <c r="M154" s="215" cm="1">
        <f t="array" ref="M154">Common_InputFunctions.Utility_DisplayArrayInTable(Fertiliser_SourceData.Fertiliser_Products_Data3(), FertiliserProducts[[#Headers],[Company]],61)</f>
        <v>14</v>
      </c>
      <c r="N154" s="215" cm="1">
        <f t="array" ref="N154">Common_InputFunctions.Utility_DisplayArrayInTable(Fertiliser_SourceData.Fertiliser_Products_Data3(), FertiliserProducts[[#Headers],[Company]],61)</f>
        <v>9.6999999999999993</v>
      </c>
      <c r="O154" s="215" t="str" cm="1">
        <f t="array" ref="O154">Common_InputFunctions.Utility_DisplayArrayInTable(Fertiliser_SourceData.Fertiliser_Products_Data3(), FertiliserProducts[[#Headers],[Company]],61)</f>
        <v>Potassium - Generic</v>
      </c>
      <c r="P154" s="215" cm="1">
        <f t="array" ref="P154">Common_InputFunctions.Utility_DisplayArrayInTable(Fertiliser_SourceData.Fertiliser_Products_Data3(), FertiliserProducts[[#Headers],[Company]],61)</f>
        <v>0.14000000000000001</v>
      </c>
      <c r="Q154" s="215" t="str" cm="1">
        <f t="array" ref="Q154">Common_InputFunctions.Utility_DisplayArrayInTable(Fertiliser_SourceData.Fertiliser_Products_Data3(), FertiliserProducts[[#Headers],[Company]],61)</f>
        <v>Sulfur - Generic</v>
      </c>
      <c r="R154" s="215" cm="1">
        <f t="array" ref="R154">Common_InputFunctions.Utility_DisplayArrayInTable(Fertiliser_SourceData.Fertiliser_Products_Data3(), FertiliserProducts[[#Headers],[Company]],61)</f>
        <v>9.7000000000000003E-2</v>
      </c>
      <c r="S154" s="215" t="str" cm="1">
        <f t="array" ref="S154">Common_InputFunctions.Utility_DisplayArrayInTable(Fertiliser_SourceData.Fertiliser_Products_Data3(), FertiliserProducts[[#Headers],[Company]],61)</f>
        <v>Nitrogen - Nitrate</v>
      </c>
      <c r="T154" s="215" cm="1">
        <f t="array" ref="T154">Common_InputFunctions.Utility_DisplayArrayInTable(Fertiliser_SourceData.Fertiliser_Products_Data3(), FertiliserProducts[[#Headers],[Company]],61)</f>
        <v>0.06</v>
      </c>
      <c r="U154" s="215" t="str" cm="1">
        <f t="array" ref="U154">Common_InputFunctions.Utility_DisplayArrayInTable(Fertiliser_SourceData.Fertiliser_Products_Data3(), FertiliserProducts[[#Headers],[Company]],61)</f>
        <v>Nitrogen - Ammoniacal</v>
      </c>
      <c r="V154" s="215" cm="1">
        <f t="array" ref="V154">Common_InputFunctions.Utility_DisplayArrayInTable(Fertiliser_SourceData.Fertiliser_Products_Data3(), FertiliserProducts[[#Headers],[Company]],61)</f>
        <v>0.06</v>
      </c>
      <c r="W154" s="215" t="str" cm="1">
        <f t="array" ref="W154">Common_InputFunctions.Utility_DisplayArrayInTable(Fertiliser_SourceData.Fertiliser_Products_Data3(), FertiliserProducts[[#Headers],[Company]],61)</f>
        <v>Phosphorus - Generic</v>
      </c>
      <c r="X154" s="215" cm="1">
        <f t="array" ref="X154">Common_InputFunctions.Utility_DisplayArrayInTable(Fertiliser_SourceData.Fertiliser_Products_Data3(), FertiliserProducts[[#Headers],[Company]],61)</f>
        <v>0.05</v>
      </c>
      <c r="Y154" s="215" t="str" cm="1">
        <f t="array" ref="Y154">Common_InputFunctions.Utility_DisplayArrayInTable(Fertiliser_SourceData.Fertiliser_Products_Data3(), FertiliserProducts[[#Headers],[Company]],61)</f>
        <v>Calcium</v>
      </c>
      <c r="Z154" s="215" cm="1">
        <f t="array" ref="Z154">Common_InputFunctions.Utility_DisplayArrayInTable(Fertiliser_SourceData.Fertiliser_Products_Data3(), FertiliserProducts[[#Headers],[Company]],61)</f>
        <v>3.1E-2</v>
      </c>
      <c r="AA154" s="215" t="str" cm="1">
        <f t="array" ref="AA154">Common_InputFunctions.Utility_DisplayArrayInTable(Fertiliser_SourceData.Fertiliser_Products_Data3(), FertiliserProducts[[#Headers],[Company]],61)</f>
        <v>Magnesium</v>
      </c>
      <c r="AB154" s="215" cm="1">
        <f t="array" ref="AB154">Common_InputFunctions.Utility_DisplayArrayInTable(Fertiliser_SourceData.Fertiliser_Products_Data3(), FertiliserProducts[[#Headers],[Company]],61)</f>
        <v>1.2E-2</v>
      </c>
      <c r="AC154" s="215" t="str" cm="1">
        <f t="array" ref="AC154">Common_InputFunctions.Utility_DisplayArrayInTable(Fertiliser_SourceData.Fertiliser_Products_Data3(), FertiliserProducts[[#Headers],[Company]],61)</f>
        <v>Zinc</v>
      </c>
      <c r="AD154" s="215" cm="1">
        <f t="array" ref="AD154">Common_InputFunctions.Utility_DisplayArrayInTable(Fertiliser_SourceData.Fertiliser_Products_Data3(), FertiliserProducts[[#Headers],[Company]],61)</f>
        <v>1E-3</v>
      </c>
      <c r="AE154" s="215" t="str" cm="1">
        <f t="array" ref="AE154">Common_InputFunctions.Utility_DisplayArrayInTable(Fertiliser_SourceData.Fertiliser_Products_Data3(), FertiliserProducts[[#Headers],[Company]],61)</f>
        <v>Boron</v>
      </c>
      <c r="AF154" s="215" cm="1">
        <f t="array" ref="AF154">Common_InputFunctions.Utility_DisplayArrayInTable(Fertiliser_SourceData.Fertiliser_Products_Data3(), FertiliserProducts[[#Headers],[Company]],61)</f>
        <v>2.0000000000000001E-4</v>
      </c>
      <c r="AG154" s="215" t="str" cm="1">
        <f t="array" ref="AG154">Common_InputFunctions.Utility_DisplayArrayInTable(Fertiliser_SourceData.Fertiliser_Products_Data3(), FertiliserProducts[[#Headers],[Company]],61)</f>
        <v/>
      </c>
      <c r="AH154" s="215" t="str" cm="1">
        <f t="array" ref="AH154">Common_InputFunctions.Utility_DisplayArrayInTable(Fertiliser_SourceData.Fertiliser_Products_Data3(), FertiliserProducts[[#Headers],[Company]],61)</f>
        <v/>
      </c>
    </row>
    <row r="155" spans="1:34" ht="20.100000000000001" customHeight="1" x14ac:dyDescent="0.25">
      <c r="A155"/>
      <c r="D155" s="215" t="str" cm="1">
        <f t="array" ref="D155">Common_InputFunctions.Utility_DisplayArrayInTable(Fertiliser_SourceData.Fertiliser_Products_Data3(), FertiliserProducts[[#Headers],[Company]],61)</f>
        <v>Campbells fertilisers Australia</v>
      </c>
      <c r="E155" s="215" t="str" cm="1">
        <f t="array" ref="E155">Common_InputFunctions.Utility_DisplayArrayInTable(Fertiliser_SourceData.Fertiliser_Products_Data3(), FertiliserProducts[[#Headers],[Company]],61)</f>
        <v>Platinum Plus</v>
      </c>
      <c r="F155" s="215" t="str" cm="1">
        <f t="array" ref="F155">Common_InputFunctions.Utility_DisplayArrayInTable(Fertiliser_SourceData.Fertiliser_Products_Data3(), FertiliserProducts[[#Headers],[Company]],61)</f>
        <v>kg</v>
      </c>
      <c r="G155" s="215" cm="1">
        <f t="array" ref="G155">Common_InputFunctions.Utility_DisplayArrayInTable(Fertiliser_SourceData.Fertiliser_Products_Data3(), FertiliserProducts[[#Headers],[Company]],61)</f>
        <v>1</v>
      </c>
      <c r="H155" s="215" t="str" cm="1">
        <f t="array" ref="H155">Common_InputFunctions.Utility_DisplayArrayInTable(Fertiliser_SourceData.Fertiliser_Products_Data3(), FertiliserProducts[[#Headers],[Company]],61)</f>
        <v/>
      </c>
      <c r="I155" s="215" t="str" cm="1">
        <f t="array" ref="I155">Common_InputFunctions.Utility_DisplayArrayInTable(Fertiliser_SourceData.Fertiliser_Products_Data3(), FertiliserProducts[[#Headers],[Company]],61)</f>
        <v/>
      </c>
      <c r="J155" s="215" t="str" cm="1">
        <f t="array" ref="J155">Common_InputFunctions.Utility_DisplayArrayInTable(Fertiliser_SourceData.Fertiliser_Products_Data3(), FertiliserProducts[[#Headers],[Company]],61)</f>
        <v/>
      </c>
      <c r="K155" s="215" cm="1">
        <f t="array" ref="K155">Common_InputFunctions.Utility_DisplayArrayInTable(Fertiliser_SourceData.Fertiliser_Products_Data3(), FertiliserProducts[[#Headers],[Company]],61)</f>
        <v>10</v>
      </c>
      <c r="L155" s="215" cm="1">
        <f t="array" ref="L155">Common_InputFunctions.Utility_DisplayArrayInTable(Fertiliser_SourceData.Fertiliser_Products_Data3(), FertiliserProducts[[#Headers],[Company]],61)</f>
        <v>11</v>
      </c>
      <c r="M155" s="215" cm="1">
        <f t="array" ref="M155">Common_InputFunctions.Utility_DisplayArrayInTable(Fertiliser_SourceData.Fertiliser_Products_Data3(), FertiliserProducts[[#Headers],[Company]],61)</f>
        <v>10</v>
      </c>
      <c r="N155" s="215" cm="1">
        <f t="array" ref="N155">Common_InputFunctions.Utility_DisplayArrayInTable(Fertiliser_SourceData.Fertiliser_Products_Data3(), FertiliserProducts[[#Headers],[Company]],61)</f>
        <v>6</v>
      </c>
      <c r="O155" s="215" t="str" cm="1">
        <f t="array" ref="O155">Common_InputFunctions.Utility_DisplayArrayInTable(Fertiliser_SourceData.Fertiliser_Products_Data3(), FertiliserProducts[[#Headers],[Company]],61)</f>
        <v>Phosphorus - Generic</v>
      </c>
      <c r="P155" s="215" cm="1">
        <f t="array" ref="P155">Common_InputFunctions.Utility_DisplayArrayInTable(Fertiliser_SourceData.Fertiliser_Products_Data3(), FertiliserProducts[[#Headers],[Company]],61)</f>
        <v>0.11</v>
      </c>
      <c r="Q155" s="215" t="str" cm="1">
        <f t="array" ref="Q155">Common_InputFunctions.Utility_DisplayArrayInTable(Fertiliser_SourceData.Fertiliser_Products_Data3(), FertiliserProducts[[#Headers],[Company]],61)</f>
        <v>Potassium - Generic</v>
      </c>
      <c r="R155" s="215" cm="1">
        <f t="array" ref="R155">Common_InputFunctions.Utility_DisplayArrayInTable(Fertiliser_SourceData.Fertiliser_Products_Data3(), FertiliserProducts[[#Headers],[Company]],61)</f>
        <v>0.1</v>
      </c>
      <c r="S155" s="215" t="str" cm="1">
        <f t="array" ref="S155">Common_InputFunctions.Utility_DisplayArrayInTable(Fertiliser_SourceData.Fertiliser_Products_Data3(), FertiliserProducts[[#Headers],[Company]],61)</f>
        <v>Sulfur - Generic</v>
      </c>
      <c r="T155" s="215" cm="1">
        <f t="array" ref="T155">Common_InputFunctions.Utility_DisplayArrayInTable(Fertiliser_SourceData.Fertiliser_Products_Data3(), FertiliserProducts[[#Headers],[Company]],61)</f>
        <v>0.06</v>
      </c>
      <c r="U155" s="215" t="str" cm="1">
        <f t="array" ref="U155">Common_InputFunctions.Utility_DisplayArrayInTable(Fertiliser_SourceData.Fertiliser_Products_Data3(), FertiliserProducts[[#Headers],[Company]],61)</f>
        <v>Nitrogen - Nitrate</v>
      </c>
      <c r="V155" s="215" cm="1">
        <f t="array" ref="V155">Common_InputFunctions.Utility_DisplayArrayInTable(Fertiliser_SourceData.Fertiliser_Products_Data3(), FertiliserProducts[[#Headers],[Company]],61)</f>
        <v>0.05</v>
      </c>
      <c r="W155" s="215" t="str" cm="1">
        <f t="array" ref="W155">Common_InputFunctions.Utility_DisplayArrayInTable(Fertiliser_SourceData.Fertiliser_Products_Data3(), FertiliserProducts[[#Headers],[Company]],61)</f>
        <v>Nitrogen - Ammoniacal</v>
      </c>
      <c r="X155" s="215" cm="1">
        <f t="array" ref="X155">Common_InputFunctions.Utility_DisplayArrayInTable(Fertiliser_SourceData.Fertiliser_Products_Data3(), FertiliserProducts[[#Headers],[Company]],61)</f>
        <v>0.05</v>
      </c>
      <c r="Y155" s="215" t="str" cm="1">
        <f t="array" ref="Y155">Common_InputFunctions.Utility_DisplayArrayInTable(Fertiliser_SourceData.Fertiliser_Products_Data3(), FertiliserProducts[[#Headers],[Company]],61)</f>
        <v>Calcium</v>
      </c>
      <c r="Z155" s="215" cm="1">
        <f t="array" ref="Z155">Common_InputFunctions.Utility_DisplayArrayInTable(Fertiliser_SourceData.Fertiliser_Products_Data3(), FertiliserProducts[[#Headers],[Company]],61)</f>
        <v>4.2999999999999997E-2</v>
      </c>
      <c r="AA155" s="215" t="str" cm="1">
        <f t="array" ref="AA155">Common_InputFunctions.Utility_DisplayArrayInTable(Fertiliser_SourceData.Fertiliser_Products_Data3(), FertiliserProducts[[#Headers],[Company]],61)</f>
        <v>Magnesium</v>
      </c>
      <c r="AB155" s="215" cm="1">
        <f t="array" ref="AB155">Common_InputFunctions.Utility_DisplayArrayInTable(Fertiliser_SourceData.Fertiliser_Products_Data3(), FertiliserProducts[[#Headers],[Company]],61)</f>
        <v>1.2E-2</v>
      </c>
      <c r="AC155" s="215" t="str" cm="1">
        <f t="array" ref="AC155">Common_InputFunctions.Utility_DisplayArrayInTable(Fertiliser_SourceData.Fertiliser_Products_Data3(), FertiliserProducts[[#Headers],[Company]],61)</f>
        <v>Zinc</v>
      </c>
      <c r="AD155" s="215" cm="1">
        <f t="array" ref="AD155">Common_InputFunctions.Utility_DisplayArrayInTable(Fertiliser_SourceData.Fertiliser_Products_Data3(), FertiliserProducts[[#Headers],[Company]],61)</f>
        <v>3.5999999999999999E-3</v>
      </c>
      <c r="AE155" s="215" t="str" cm="1">
        <f t="array" ref="AE155">Common_InputFunctions.Utility_DisplayArrayInTable(Fertiliser_SourceData.Fertiliser_Products_Data3(), FertiliserProducts[[#Headers],[Company]],61)</f>
        <v>Boron</v>
      </c>
      <c r="AF155" s="215" cm="1">
        <f t="array" ref="AF155">Common_InputFunctions.Utility_DisplayArrayInTable(Fertiliser_SourceData.Fertiliser_Products_Data3(), FertiliserProducts[[#Headers],[Company]],61)</f>
        <v>1E-3</v>
      </c>
      <c r="AG155" s="215" t="str" cm="1">
        <f t="array" ref="AG155">Common_InputFunctions.Utility_DisplayArrayInTable(Fertiliser_SourceData.Fertiliser_Products_Data3(), FertiliserProducts[[#Headers],[Company]],61)</f>
        <v/>
      </c>
      <c r="AH155" s="215" t="str" cm="1">
        <f t="array" ref="AH155">Common_InputFunctions.Utility_DisplayArrayInTable(Fertiliser_SourceData.Fertiliser_Products_Data3(), FertiliserProducts[[#Headers],[Company]],61)</f>
        <v/>
      </c>
    </row>
    <row r="156" spans="1:34" ht="20.100000000000001" customHeight="1" x14ac:dyDescent="0.25">
      <c r="A156"/>
      <c r="D156" s="215" t="str" cm="1">
        <f t="array" ref="D156">Common_InputFunctions.Utility_DisplayArrayInTable(Fertiliser_SourceData.Fertiliser_Products_Data3(), FertiliserProducts[[#Headers],[Company]],61)</f>
        <v>Campbells fertilisers Australia</v>
      </c>
      <c r="E156" s="215" t="str" cm="1">
        <f t="array" ref="E156">Common_InputFunctions.Utility_DisplayArrayInTable(Fertiliser_SourceData.Fertiliser_Products_Data3(), FertiliserProducts[[#Headers],[Company]],61)</f>
        <v>Tropika</v>
      </c>
      <c r="F156" s="215" t="str" cm="1">
        <f t="array" ref="F156">Common_InputFunctions.Utility_DisplayArrayInTable(Fertiliser_SourceData.Fertiliser_Products_Data3(), FertiliserProducts[[#Headers],[Company]],61)</f>
        <v>kg</v>
      </c>
      <c r="G156" s="215" cm="1">
        <f t="array" ref="G156">Common_InputFunctions.Utility_DisplayArrayInTable(Fertiliser_SourceData.Fertiliser_Products_Data3(), FertiliserProducts[[#Headers],[Company]],61)</f>
        <v>1</v>
      </c>
      <c r="H156" s="215" t="str" cm="1">
        <f t="array" ref="H156">Common_InputFunctions.Utility_DisplayArrayInTable(Fertiliser_SourceData.Fertiliser_Products_Data3(), FertiliserProducts[[#Headers],[Company]],61)</f>
        <v/>
      </c>
      <c r="I156" s="215" t="str" cm="1">
        <f t="array" ref="I156">Common_InputFunctions.Utility_DisplayArrayInTable(Fertiliser_SourceData.Fertiliser_Products_Data3(), FertiliserProducts[[#Headers],[Company]],61)</f>
        <v/>
      </c>
      <c r="J156" s="215" t="str" cm="1">
        <f t="array" ref="J156">Common_InputFunctions.Utility_DisplayArrayInTable(Fertiliser_SourceData.Fertiliser_Products_Data3(), FertiliserProducts[[#Headers],[Company]],61)</f>
        <v/>
      </c>
      <c r="K156" s="215" cm="1">
        <f t="array" ref="K156">Common_InputFunctions.Utility_DisplayArrayInTable(Fertiliser_SourceData.Fertiliser_Products_Data3(), FertiliserProducts[[#Headers],[Company]],61)</f>
        <v>11</v>
      </c>
      <c r="L156" s="215" cm="1">
        <f t="array" ref="L156">Common_InputFunctions.Utility_DisplayArrayInTable(Fertiliser_SourceData.Fertiliser_Products_Data3(), FertiliserProducts[[#Headers],[Company]],61)</f>
        <v>2.6</v>
      </c>
      <c r="M156" s="215" cm="1">
        <f t="array" ref="M156">Common_InputFunctions.Utility_DisplayArrayInTable(Fertiliser_SourceData.Fertiliser_Products_Data3(), FertiliserProducts[[#Headers],[Company]],61)</f>
        <v>20.8</v>
      </c>
      <c r="N156" s="215" cm="1">
        <f t="array" ref="N156">Common_InputFunctions.Utility_DisplayArrayInTable(Fertiliser_SourceData.Fertiliser_Products_Data3(), FertiliserProducts[[#Headers],[Company]],61)</f>
        <v>4</v>
      </c>
      <c r="O156" s="215" t="str" cm="1">
        <f t="array" ref="O156">Common_InputFunctions.Utility_DisplayArrayInTable(Fertiliser_SourceData.Fertiliser_Products_Data3(), FertiliserProducts[[#Headers],[Company]],61)</f>
        <v>Nitrogen - Nitrate</v>
      </c>
      <c r="P156" s="215" cm="1">
        <f t="array" ref="P156">Common_InputFunctions.Utility_DisplayArrayInTable(Fertiliser_SourceData.Fertiliser_Products_Data3(), FertiliserProducts[[#Headers],[Company]],61)</f>
        <v>5.5E-2</v>
      </c>
      <c r="Q156" s="215" t="str" cm="1">
        <f t="array" ref="Q156">Common_InputFunctions.Utility_DisplayArrayInTable(Fertiliser_SourceData.Fertiliser_Products_Data3(), FertiliserProducts[[#Headers],[Company]],61)</f>
        <v>Nitrogen - Ammoniacal</v>
      </c>
      <c r="R156" s="215" cm="1">
        <f t="array" ref="R156">Common_InputFunctions.Utility_DisplayArrayInTable(Fertiliser_SourceData.Fertiliser_Products_Data3(), FertiliserProducts[[#Headers],[Company]],61)</f>
        <v>5.5E-2</v>
      </c>
      <c r="S156" s="215" t="str" cm="1">
        <f t="array" ref="S156">Common_InputFunctions.Utility_DisplayArrayInTable(Fertiliser_SourceData.Fertiliser_Products_Data3(), FertiliserProducts[[#Headers],[Company]],61)</f>
        <v>Phosphorus - Generic</v>
      </c>
      <c r="T156" s="215" cm="1">
        <f t="array" ref="T156">Common_InputFunctions.Utility_DisplayArrayInTable(Fertiliser_SourceData.Fertiliser_Products_Data3(), FertiliserProducts[[#Headers],[Company]],61)</f>
        <v>2.5999999999999999E-2</v>
      </c>
      <c r="U156" s="215" t="str" cm="1">
        <f t="array" ref="U156">Common_InputFunctions.Utility_DisplayArrayInTable(Fertiliser_SourceData.Fertiliser_Products_Data3(), FertiliserProducts[[#Headers],[Company]],61)</f>
        <v>Potassium - Generic</v>
      </c>
      <c r="V156" s="215" cm="1">
        <f t="array" ref="V156">Common_InputFunctions.Utility_DisplayArrayInTable(Fertiliser_SourceData.Fertiliser_Products_Data3(), FertiliserProducts[[#Headers],[Company]],61)</f>
        <v>0.20799999999999999</v>
      </c>
      <c r="W156" s="215" t="str" cm="1">
        <f t="array" ref="W156">Common_InputFunctions.Utility_DisplayArrayInTable(Fertiliser_SourceData.Fertiliser_Products_Data3(), FertiliserProducts[[#Headers],[Company]],61)</f>
        <v>Sulfur - Generic</v>
      </c>
      <c r="X156" s="215" cm="1">
        <f t="array" ref="X156">Common_InputFunctions.Utility_DisplayArrayInTable(Fertiliser_SourceData.Fertiliser_Products_Data3(), FertiliserProducts[[#Headers],[Company]],61)</f>
        <v>0.04</v>
      </c>
      <c r="Y156" s="215" t="str" cm="1">
        <f t="array" ref="Y156">Common_InputFunctions.Utility_DisplayArrayInTable(Fertiliser_SourceData.Fertiliser_Products_Data3(), FertiliserProducts[[#Headers],[Company]],61)</f>
        <v>Magnesium</v>
      </c>
      <c r="Z156" s="215" cm="1">
        <f t="array" ref="Z156">Common_InputFunctions.Utility_DisplayArrayInTable(Fertiliser_SourceData.Fertiliser_Products_Data3(), FertiliserProducts[[#Headers],[Company]],61)</f>
        <v>2.4E-2</v>
      </c>
      <c r="AA156" s="215" t="str" cm="1">
        <f t="array" ref="AA156">Common_InputFunctions.Utility_DisplayArrayInTable(Fertiliser_SourceData.Fertiliser_Products_Data3(), FertiliserProducts[[#Headers],[Company]],61)</f>
        <v/>
      </c>
      <c r="AB156" s="215" t="str" cm="1">
        <f t="array" ref="AB156">Common_InputFunctions.Utility_DisplayArrayInTable(Fertiliser_SourceData.Fertiliser_Products_Data3(), FertiliserProducts[[#Headers],[Company]],61)</f>
        <v/>
      </c>
      <c r="AC156" s="215" t="str" cm="1">
        <f t="array" ref="AC156">Common_InputFunctions.Utility_DisplayArrayInTable(Fertiliser_SourceData.Fertiliser_Products_Data3(), FertiliserProducts[[#Headers],[Company]],61)</f>
        <v/>
      </c>
      <c r="AD156" s="215" t="str" cm="1">
        <f t="array" ref="AD156">Common_InputFunctions.Utility_DisplayArrayInTable(Fertiliser_SourceData.Fertiliser_Products_Data3(), FertiliserProducts[[#Headers],[Company]],61)</f>
        <v/>
      </c>
      <c r="AE156" s="215" t="str" cm="1">
        <f t="array" ref="AE156">Common_InputFunctions.Utility_DisplayArrayInTable(Fertiliser_SourceData.Fertiliser_Products_Data3(), FertiliserProducts[[#Headers],[Company]],61)</f>
        <v/>
      </c>
      <c r="AF156" s="215" t="str" cm="1">
        <f t="array" ref="AF156">Common_InputFunctions.Utility_DisplayArrayInTable(Fertiliser_SourceData.Fertiliser_Products_Data3(), FertiliserProducts[[#Headers],[Company]],61)</f>
        <v/>
      </c>
      <c r="AG156" s="215" t="str" cm="1">
        <f t="array" ref="AG156">Common_InputFunctions.Utility_DisplayArrayInTable(Fertiliser_SourceData.Fertiliser_Products_Data3(), FertiliserProducts[[#Headers],[Company]],61)</f>
        <v/>
      </c>
      <c r="AH156" s="215" t="str" cm="1">
        <f t="array" ref="AH156">Common_InputFunctions.Utility_DisplayArrayInTable(Fertiliser_SourceData.Fertiliser_Products_Data3(), FertiliserProducts[[#Headers],[Company]],61)</f>
        <v/>
      </c>
    </row>
    <row r="157" spans="1:34" ht="20.100000000000001" customHeight="1" x14ac:dyDescent="0.25">
      <c r="A157"/>
      <c r="D157" s="215" t="str" cm="1">
        <f t="array" ref="D157">Common_InputFunctions.Utility_DisplayArrayInTable(Fertiliser_SourceData.Fertiliser_Products_Data3(), FertiliserProducts[[#Headers],[Company]],61)</f>
        <v>Campbells fertilisers Australia</v>
      </c>
      <c r="E157" s="215" t="str" cm="1">
        <f t="array" ref="E157">Common_InputFunctions.Utility_DisplayArrayInTable(Fertiliser_SourceData.Fertiliser_Products_Data3(), FertiliserProducts[[#Headers],[Company]],61)</f>
        <v>Rustica Nergetic</v>
      </c>
      <c r="F157" s="215" t="str" cm="1">
        <f t="array" ref="F157">Common_InputFunctions.Utility_DisplayArrayInTable(Fertiliser_SourceData.Fertiliser_Products_Data3(), FertiliserProducts[[#Headers],[Company]],61)</f>
        <v>kg</v>
      </c>
      <c r="G157" s="215" cm="1">
        <f t="array" ref="G157">Common_InputFunctions.Utility_DisplayArrayInTable(Fertiliser_SourceData.Fertiliser_Products_Data3(), FertiliserProducts[[#Headers],[Company]],61)</f>
        <v>1</v>
      </c>
      <c r="H157" s="215" t="str" cm="1">
        <f t="array" ref="H157">Common_InputFunctions.Utility_DisplayArrayInTable(Fertiliser_SourceData.Fertiliser_Products_Data3(), FertiliserProducts[[#Headers],[Company]],61)</f>
        <v/>
      </c>
      <c r="I157" s="215" t="str" cm="1">
        <f t="array" ref="I157">Common_InputFunctions.Utility_DisplayArrayInTable(Fertiliser_SourceData.Fertiliser_Products_Data3(), FertiliserProducts[[#Headers],[Company]],61)</f>
        <v/>
      </c>
      <c r="J157" s="215" t="str" cm="1">
        <f t="array" ref="J157">Common_InputFunctions.Utility_DisplayArrayInTable(Fertiliser_SourceData.Fertiliser_Products_Data3(), FertiliserProducts[[#Headers],[Company]],61)</f>
        <v/>
      </c>
      <c r="K157" s="215" cm="1">
        <f t="array" ref="K157">Common_InputFunctions.Utility_DisplayArrayInTable(Fertiliser_SourceData.Fertiliser_Products_Data3(), FertiliserProducts[[#Headers],[Company]],61)</f>
        <v>12</v>
      </c>
      <c r="L157" s="215" cm="1">
        <f t="array" ref="L157">Common_InputFunctions.Utility_DisplayArrayInTable(Fertiliser_SourceData.Fertiliser_Products_Data3(), FertiliserProducts[[#Headers],[Company]],61)</f>
        <v>5.2</v>
      </c>
      <c r="M157" s="215" cm="1">
        <f t="array" ref="M157">Common_InputFunctions.Utility_DisplayArrayInTable(Fertiliser_SourceData.Fertiliser_Products_Data3(), FertiliserProducts[[#Headers],[Company]],61)</f>
        <v>14.1</v>
      </c>
      <c r="N157" s="215" cm="1">
        <f t="array" ref="N157">Common_InputFunctions.Utility_DisplayArrayInTable(Fertiliser_SourceData.Fertiliser_Products_Data3(), FertiliserProducts[[#Headers],[Company]],61)</f>
        <v>9.6</v>
      </c>
      <c r="O157" s="215" t="str" cm="1">
        <f t="array" ref="O157">Common_InputFunctions.Utility_DisplayArrayInTable(Fertiliser_SourceData.Fertiliser_Products_Data3(), FertiliserProducts[[#Headers],[Company]],61)</f>
        <v>Potassium - Generic</v>
      </c>
      <c r="P157" s="215" cm="1">
        <f t="array" ref="P157">Common_InputFunctions.Utility_DisplayArrayInTable(Fertiliser_SourceData.Fertiliser_Products_Data3(), FertiliserProducts[[#Headers],[Company]],61)</f>
        <v>0.14099999999999999</v>
      </c>
      <c r="Q157" s="215" t="str" cm="1">
        <f t="array" ref="Q157">Common_InputFunctions.Utility_DisplayArrayInTable(Fertiliser_SourceData.Fertiliser_Products_Data3(), FertiliserProducts[[#Headers],[Company]],61)</f>
        <v>Sulfur - Generic</v>
      </c>
      <c r="R157" s="215" cm="1">
        <f t="array" ref="R157">Common_InputFunctions.Utility_DisplayArrayInTable(Fertiliser_SourceData.Fertiliser_Products_Data3(), FertiliserProducts[[#Headers],[Company]],61)</f>
        <v>9.6000000000000002E-2</v>
      </c>
      <c r="S157" s="215" t="str" cm="1">
        <f t="array" ref="S157">Common_InputFunctions.Utility_DisplayArrayInTable(Fertiliser_SourceData.Fertiliser_Products_Data3(), FertiliserProducts[[#Headers],[Company]],61)</f>
        <v>Nitrogen - Nitrate</v>
      </c>
      <c r="T157" s="215" cm="1">
        <f t="array" ref="T157">Common_InputFunctions.Utility_DisplayArrayInTable(Fertiliser_SourceData.Fertiliser_Products_Data3(), FertiliserProducts[[#Headers],[Company]],61)</f>
        <v>0.06</v>
      </c>
      <c r="U157" s="215" t="str" cm="1">
        <f t="array" ref="U157">Common_InputFunctions.Utility_DisplayArrayInTable(Fertiliser_SourceData.Fertiliser_Products_Data3(), FertiliserProducts[[#Headers],[Company]],61)</f>
        <v>Nitrogen - Ammoniacal</v>
      </c>
      <c r="V157" s="215" cm="1">
        <f t="array" ref="V157">Common_InputFunctions.Utility_DisplayArrayInTable(Fertiliser_SourceData.Fertiliser_Products_Data3(), FertiliserProducts[[#Headers],[Company]],61)</f>
        <v>0.06</v>
      </c>
      <c r="W157" s="215" t="str" cm="1">
        <f t="array" ref="W157">Common_InputFunctions.Utility_DisplayArrayInTable(Fertiliser_SourceData.Fertiliser_Products_Data3(), FertiliserProducts[[#Headers],[Company]],61)</f>
        <v>Phosphorus - Generic</v>
      </c>
      <c r="X157" s="215" cm="1">
        <f t="array" ref="X157">Common_InputFunctions.Utility_DisplayArrayInTable(Fertiliser_SourceData.Fertiliser_Products_Data3(), FertiliserProducts[[#Headers],[Company]],61)</f>
        <v>5.1999999999999998E-2</v>
      </c>
      <c r="Y157" s="215" t="str" cm="1">
        <f t="array" ref="Y157">Common_InputFunctions.Utility_DisplayArrayInTable(Fertiliser_SourceData.Fertiliser_Products_Data3(), FertiliserProducts[[#Headers],[Company]],61)</f>
        <v>Magnesium</v>
      </c>
      <c r="Z157" s="215" cm="1">
        <f t="array" ref="Z157">Common_InputFunctions.Utility_DisplayArrayInTable(Fertiliser_SourceData.Fertiliser_Products_Data3(), FertiliserProducts[[#Headers],[Company]],61)</f>
        <v>1.2E-2</v>
      </c>
      <c r="AA157" s="215" t="str" cm="1">
        <f t="array" ref="AA157">Common_InputFunctions.Utility_DisplayArrayInTable(Fertiliser_SourceData.Fertiliser_Products_Data3(), FertiliserProducts[[#Headers],[Company]],61)</f>
        <v>Zinc</v>
      </c>
      <c r="AB157" s="215" cm="1">
        <f t="array" ref="AB157">Common_InputFunctions.Utility_DisplayArrayInTable(Fertiliser_SourceData.Fertiliser_Products_Data3(), FertiliserProducts[[#Headers],[Company]],61)</f>
        <v>8.0000000000000004E-4</v>
      </c>
      <c r="AC157" s="215" t="str" cm="1">
        <f t="array" ref="AC157">Common_InputFunctions.Utility_DisplayArrayInTable(Fertiliser_SourceData.Fertiliser_Products_Data3(), FertiliserProducts[[#Headers],[Company]],61)</f>
        <v>Iron</v>
      </c>
      <c r="AD157" s="215" cm="1">
        <f t="array" ref="AD157">Common_InputFunctions.Utility_DisplayArrayInTable(Fertiliser_SourceData.Fertiliser_Products_Data3(), FertiliserProducts[[#Headers],[Company]],61)</f>
        <v>6.9999999999999999E-4</v>
      </c>
      <c r="AE157" s="215" t="str" cm="1">
        <f t="array" ref="AE157">Common_InputFunctions.Utility_DisplayArrayInTable(Fertiliser_SourceData.Fertiliser_Products_Data3(), FertiliserProducts[[#Headers],[Company]],61)</f>
        <v>Manganese</v>
      </c>
      <c r="AF157" s="215" cm="1">
        <f t="array" ref="AF157">Common_InputFunctions.Utility_DisplayArrayInTable(Fertiliser_SourceData.Fertiliser_Products_Data3(), FertiliserProducts[[#Headers],[Company]],61)</f>
        <v>5.9999999999999995E-4</v>
      </c>
      <c r="AG157" s="215" t="str" cm="1">
        <f t="array" ref="AG157">Common_InputFunctions.Utility_DisplayArrayInTable(Fertiliser_SourceData.Fertiliser_Products_Data3(), FertiliserProducts[[#Headers],[Company]],61)</f>
        <v>Boron</v>
      </c>
      <c r="AH157" s="215" cm="1">
        <f t="array" ref="AH157">Common_InputFunctions.Utility_DisplayArrayInTable(Fertiliser_SourceData.Fertiliser_Products_Data3(), FertiliserProducts[[#Headers],[Company]],61)</f>
        <v>2.0000000000000001E-4</v>
      </c>
    </row>
    <row r="158" spans="1:34" ht="20.100000000000001" customHeight="1" x14ac:dyDescent="0.25">
      <c r="A158"/>
      <c r="D158" s="215" t="str" cm="1">
        <f t="array" ref="D158">Common_InputFunctions.Utility_DisplayArrayInTable(Fertiliser_SourceData.Fertiliser_Products_Data3(), FertiliserProducts[[#Headers],[Company]],61)</f>
        <v>Campbells fertilisers Australia</v>
      </c>
      <c r="E158" s="215" t="str" cm="1">
        <f t="array" ref="E158">Common_InputFunctions.Utility_DisplayArrayInTable(Fertiliser_SourceData.Fertiliser_Products_Data3(), FertiliserProducts[[#Headers],[Company]],61)</f>
        <v>Quick-N Nergetic</v>
      </c>
      <c r="F158" s="215" t="str" cm="1">
        <f t="array" ref="F158">Common_InputFunctions.Utility_DisplayArrayInTable(Fertiliser_SourceData.Fertiliser_Products_Data3(), FertiliserProducts[[#Headers],[Company]],61)</f>
        <v>kg</v>
      </c>
      <c r="G158" s="215" cm="1">
        <f t="array" ref="G158">Common_InputFunctions.Utility_DisplayArrayInTable(Fertiliser_SourceData.Fertiliser_Products_Data3(), FertiliserProducts[[#Headers],[Company]],61)</f>
        <v>1</v>
      </c>
      <c r="H158" s="215" t="str" cm="1">
        <f t="array" ref="H158">Common_InputFunctions.Utility_DisplayArrayInTable(Fertiliser_SourceData.Fertiliser_Products_Data3(), FertiliserProducts[[#Headers],[Company]],61)</f>
        <v/>
      </c>
      <c r="I158" s="215" t="str" cm="1">
        <f t="array" ref="I158">Common_InputFunctions.Utility_DisplayArrayInTable(Fertiliser_SourceData.Fertiliser_Products_Data3(), FertiliserProducts[[#Headers],[Company]],61)</f>
        <v/>
      </c>
      <c r="J158" s="215" t="str" cm="1">
        <f t="array" ref="J158">Common_InputFunctions.Utility_DisplayArrayInTable(Fertiliser_SourceData.Fertiliser_Products_Data3(), FertiliserProducts[[#Headers],[Company]],61)</f>
        <v/>
      </c>
      <c r="K158" s="215" cm="1">
        <f t="array" ref="K158">Common_InputFunctions.Utility_DisplayArrayInTable(Fertiliser_SourceData.Fertiliser_Products_Data3(), FertiliserProducts[[#Headers],[Company]],61)</f>
        <v>25</v>
      </c>
      <c r="L158" s="215" t="str" cm="1">
        <f t="array" ref="L158">Common_InputFunctions.Utility_DisplayArrayInTable(Fertiliser_SourceData.Fertiliser_Products_Data3(), FertiliserProducts[[#Headers],[Company]],61)</f>
        <v/>
      </c>
      <c r="M158" s="215" t="str" cm="1">
        <f t="array" ref="M158">Common_InputFunctions.Utility_DisplayArrayInTable(Fertiliser_SourceData.Fertiliser_Products_Data3(), FertiliserProducts[[#Headers],[Company]],61)</f>
        <v/>
      </c>
      <c r="N158" s="215" cm="1">
        <f t="array" ref="N158">Common_InputFunctions.Utility_DisplayArrayInTable(Fertiliser_SourceData.Fertiliser_Products_Data3(), FertiliserProducts[[#Headers],[Company]],61)</f>
        <v>12.8</v>
      </c>
      <c r="O158" s="215" t="str" cm="1">
        <f t="array" ref="O158">Common_InputFunctions.Utility_DisplayArrayInTable(Fertiliser_SourceData.Fertiliser_Products_Data3(), FertiliserProducts[[#Headers],[Company]],61)</f>
        <v>Sulphate of ammonia (SOA)</v>
      </c>
      <c r="P158" s="215" cm="1">
        <f t="array" ref="P158">Common_InputFunctions.Utility_DisplayArrayInTable(Fertiliser_SourceData.Fertiliser_Products_Data3(), FertiliserProducts[[#Headers],[Company]],61)</f>
        <v>0.53333299999999995</v>
      </c>
      <c r="Q158" s="215" t="str" cm="1">
        <f t="array" ref="Q158">Common_InputFunctions.Utility_DisplayArrayInTable(Fertiliser_SourceData.Fertiliser_Products_Data3(), FertiliserProducts[[#Headers],[Company]],61)</f>
        <v>Ammonium nitrate (AN)</v>
      </c>
      <c r="R158" s="215" cm="1">
        <f t="array" ref="R158">Common_InputFunctions.Utility_DisplayArrayInTable(Fertiliser_SourceData.Fertiliser_Products_Data3(), FertiliserProducts[[#Headers],[Company]],61)</f>
        <v>0.40949600000000003</v>
      </c>
      <c r="S158" s="215" t="str" cm="1">
        <f t="array" ref="S158">Common_InputFunctions.Utility_DisplayArrayInTable(Fertiliser_SourceData.Fertiliser_Products_Data3(), FertiliserProducts[[#Headers],[Company]],61)</f>
        <v>Zinc</v>
      </c>
      <c r="T158" s="215" cm="1">
        <f t="array" ref="T158">Common_InputFunctions.Utility_DisplayArrayInTable(Fertiliser_SourceData.Fertiliser_Products_Data3(), FertiliserProducts[[#Headers],[Company]],61)</f>
        <v>1E-3</v>
      </c>
      <c r="U158" s="215" t="str" cm="1">
        <f t="array" ref="U158">Common_InputFunctions.Utility_DisplayArrayInTable(Fertiliser_SourceData.Fertiliser_Products_Data3(), FertiliserProducts[[#Headers],[Company]],61)</f>
        <v>Manganese</v>
      </c>
      <c r="V158" s="215" cm="1">
        <f t="array" ref="V158">Common_InputFunctions.Utility_DisplayArrayInTable(Fertiliser_SourceData.Fertiliser_Products_Data3(), FertiliserProducts[[#Headers],[Company]],61)</f>
        <v>1E-3</v>
      </c>
      <c r="W158" s="215" t="str" cm="1">
        <f t="array" ref="W158">Common_InputFunctions.Utility_DisplayArrayInTable(Fertiliser_SourceData.Fertiliser_Products_Data3(), FertiliserProducts[[#Headers],[Company]],61)</f>
        <v>Boron</v>
      </c>
      <c r="X158" s="215" cm="1">
        <f t="array" ref="X158">Common_InputFunctions.Utility_DisplayArrayInTable(Fertiliser_SourceData.Fertiliser_Products_Data3(), FertiliserProducts[[#Headers],[Company]],61)</f>
        <v>1E-4</v>
      </c>
      <c r="Y158" s="215" t="str" cm="1">
        <f t="array" ref="Y158">Common_InputFunctions.Utility_DisplayArrayInTable(Fertiliser_SourceData.Fertiliser_Products_Data3(), FertiliserProducts[[#Headers],[Company]],61)</f>
        <v>Molybdenum</v>
      </c>
      <c r="Z158" s="215" cm="1">
        <f t="array" ref="Z158">Common_InputFunctions.Utility_DisplayArrayInTable(Fertiliser_SourceData.Fertiliser_Products_Data3(), FertiliserProducts[[#Headers],[Company]],61)</f>
        <v>1.0000000000000001E-5</v>
      </c>
      <c r="AA158" s="215" t="str" cm="1">
        <f t="array" ref="AA158">Common_InputFunctions.Utility_DisplayArrayInTable(Fertiliser_SourceData.Fertiliser_Products_Data3(), FertiliserProducts[[#Headers],[Company]],61)</f>
        <v/>
      </c>
      <c r="AB158" s="215" t="str" cm="1">
        <f t="array" ref="AB158">Common_InputFunctions.Utility_DisplayArrayInTable(Fertiliser_SourceData.Fertiliser_Products_Data3(), FertiliserProducts[[#Headers],[Company]],61)</f>
        <v/>
      </c>
      <c r="AC158" s="215" t="str" cm="1">
        <f t="array" ref="AC158">Common_InputFunctions.Utility_DisplayArrayInTable(Fertiliser_SourceData.Fertiliser_Products_Data3(), FertiliserProducts[[#Headers],[Company]],61)</f>
        <v/>
      </c>
      <c r="AD158" s="215" t="str" cm="1">
        <f t="array" ref="AD158">Common_InputFunctions.Utility_DisplayArrayInTable(Fertiliser_SourceData.Fertiliser_Products_Data3(), FertiliserProducts[[#Headers],[Company]],61)</f>
        <v/>
      </c>
      <c r="AE158" s="215" t="str" cm="1">
        <f t="array" ref="AE158">Common_InputFunctions.Utility_DisplayArrayInTable(Fertiliser_SourceData.Fertiliser_Products_Data3(), FertiliserProducts[[#Headers],[Company]],61)</f>
        <v/>
      </c>
      <c r="AF158" s="215" t="str" cm="1">
        <f t="array" ref="AF158">Common_InputFunctions.Utility_DisplayArrayInTable(Fertiliser_SourceData.Fertiliser_Products_Data3(), FertiliserProducts[[#Headers],[Company]],61)</f>
        <v/>
      </c>
      <c r="AG158" s="215" t="str" cm="1">
        <f t="array" ref="AG158">Common_InputFunctions.Utility_DisplayArrayInTable(Fertiliser_SourceData.Fertiliser_Products_Data3(), FertiliserProducts[[#Headers],[Company]],61)</f>
        <v/>
      </c>
      <c r="AH158" s="215" t="str" cm="1">
        <f t="array" ref="AH158">Common_InputFunctions.Utility_DisplayArrayInTable(Fertiliser_SourceData.Fertiliser_Products_Data3(), FertiliserProducts[[#Headers],[Company]],61)</f>
        <v/>
      </c>
    </row>
    <row r="159" spans="1:34" ht="20.100000000000001" customHeight="1" x14ac:dyDescent="0.25">
      <c r="A159"/>
      <c r="D159" s="215" t="str" cm="1">
        <f t="array" ref="D159">Common_InputFunctions.Utility_DisplayArrayInTable(Fertiliser_SourceData.Fertiliser_Products_Data3(), FertiliserProducts[[#Headers],[Company]],61)</f>
        <v>FertPro Manufacturing Pty. Ltd.</v>
      </c>
      <c r="E159" s="215" t="str" cm="1">
        <f t="array" ref="E159">Common_InputFunctions.Utility_DisplayArrayInTable(Fertiliser_SourceData.Fertiliser_Products_Data3(), FertiliserProducts[[#Headers],[Company]],61)</f>
        <v>(SSP) Single Super Fertiliser</v>
      </c>
      <c r="F159" s="215" t="str" cm="1">
        <f t="array" ref="F159">Common_InputFunctions.Utility_DisplayArrayInTable(Fertiliser_SourceData.Fertiliser_Products_Data3(), FertiliserProducts[[#Headers],[Company]],61)</f>
        <v>kg</v>
      </c>
      <c r="G159" s="215" cm="1">
        <f t="array" ref="G159">Common_InputFunctions.Utility_DisplayArrayInTable(Fertiliser_SourceData.Fertiliser_Products_Data3(), FertiliserProducts[[#Headers],[Company]],61)</f>
        <v>1</v>
      </c>
      <c r="H159" s="215" t="str" cm="1">
        <f t="array" ref="H159">Common_InputFunctions.Utility_DisplayArrayInTable(Fertiliser_SourceData.Fertiliser_Products_Data3(), FertiliserProducts[[#Headers],[Company]],61)</f>
        <v/>
      </c>
      <c r="I159" s="215" t="str" cm="1">
        <f t="array" ref="I159">Common_InputFunctions.Utility_DisplayArrayInTable(Fertiliser_SourceData.Fertiliser_Products_Data3(), FertiliserProducts[[#Headers],[Company]],61)</f>
        <v/>
      </c>
      <c r="J159" s="215" t="str" cm="1">
        <f t="array" ref="J159">Common_InputFunctions.Utility_DisplayArrayInTable(Fertiliser_SourceData.Fertiliser_Products_Data3(), FertiliserProducts[[#Headers],[Company]],61)</f>
        <v/>
      </c>
      <c r="K159" s="215" t="str" cm="1">
        <f t="array" ref="K159">Common_InputFunctions.Utility_DisplayArrayInTable(Fertiliser_SourceData.Fertiliser_Products_Data3(), FertiliserProducts[[#Headers],[Company]],61)</f>
        <v/>
      </c>
      <c r="L159" s="215" cm="1">
        <f t="array" ref="L159">Common_InputFunctions.Utility_DisplayArrayInTable(Fertiliser_SourceData.Fertiliser_Products_Data3(), FertiliserProducts[[#Headers],[Company]],61)</f>
        <v>8.8000000000000007</v>
      </c>
      <c r="M159" s="215" t="str" cm="1">
        <f t="array" ref="M159">Common_InputFunctions.Utility_DisplayArrayInTable(Fertiliser_SourceData.Fertiliser_Products_Data3(), FertiliserProducts[[#Headers],[Company]],61)</f>
        <v/>
      </c>
      <c r="N159" s="215" cm="1">
        <f t="array" ref="N159">Common_InputFunctions.Utility_DisplayArrayInTable(Fertiliser_SourceData.Fertiliser_Products_Data3(), FertiliserProducts[[#Headers],[Company]],61)</f>
        <v>11</v>
      </c>
      <c r="O159" s="215" t="str" cm="1">
        <f t="array" ref="O159">Common_InputFunctions.Utility_DisplayArrayInTable(Fertiliser_SourceData.Fertiliser_Products_Data3(), FertiliserProducts[[#Headers],[Company]],61)</f>
        <v>Single superphosphate (SSP)</v>
      </c>
      <c r="P159" s="215" cm="1">
        <f t="array" ref="P159">Common_InputFunctions.Utility_DisplayArrayInTable(Fertiliser_SourceData.Fertiliser_Products_Data3(), FertiliserProducts[[#Headers],[Company]],61)</f>
        <v>1</v>
      </c>
      <c r="Q159" s="215" t="str" cm="1">
        <f t="array" ref="Q159">Common_InputFunctions.Utility_DisplayArrayInTable(Fertiliser_SourceData.Fertiliser_Products_Data3(), FertiliserProducts[[#Headers],[Company]],61)</f>
        <v/>
      </c>
      <c r="R159" s="215" t="str" cm="1">
        <f t="array" ref="R159">Common_InputFunctions.Utility_DisplayArrayInTable(Fertiliser_SourceData.Fertiliser_Products_Data3(), FertiliserProducts[[#Headers],[Company]],61)</f>
        <v/>
      </c>
      <c r="S159" s="215" t="str" cm="1">
        <f t="array" ref="S159">Common_InputFunctions.Utility_DisplayArrayInTable(Fertiliser_SourceData.Fertiliser_Products_Data3(), FertiliserProducts[[#Headers],[Company]],61)</f>
        <v/>
      </c>
      <c r="T159" s="215" t="str" cm="1">
        <f t="array" ref="T159">Common_InputFunctions.Utility_DisplayArrayInTable(Fertiliser_SourceData.Fertiliser_Products_Data3(), FertiliserProducts[[#Headers],[Company]],61)</f>
        <v/>
      </c>
      <c r="U159" s="215" t="str" cm="1">
        <f t="array" ref="U159">Common_InputFunctions.Utility_DisplayArrayInTable(Fertiliser_SourceData.Fertiliser_Products_Data3(), FertiliserProducts[[#Headers],[Company]],61)</f>
        <v/>
      </c>
      <c r="V159" s="215" t="str" cm="1">
        <f t="array" ref="V159">Common_InputFunctions.Utility_DisplayArrayInTable(Fertiliser_SourceData.Fertiliser_Products_Data3(), FertiliserProducts[[#Headers],[Company]],61)</f>
        <v/>
      </c>
      <c r="W159" s="215" t="str" cm="1">
        <f t="array" ref="W159">Common_InputFunctions.Utility_DisplayArrayInTable(Fertiliser_SourceData.Fertiliser_Products_Data3(), FertiliserProducts[[#Headers],[Company]],61)</f>
        <v/>
      </c>
      <c r="X159" s="215" t="str" cm="1">
        <f t="array" ref="X159">Common_InputFunctions.Utility_DisplayArrayInTable(Fertiliser_SourceData.Fertiliser_Products_Data3(), FertiliserProducts[[#Headers],[Company]],61)</f>
        <v/>
      </c>
      <c r="Y159" s="215" t="str" cm="1">
        <f t="array" ref="Y159">Common_InputFunctions.Utility_DisplayArrayInTable(Fertiliser_SourceData.Fertiliser_Products_Data3(), FertiliserProducts[[#Headers],[Company]],61)</f>
        <v/>
      </c>
      <c r="Z159" s="215" t="str" cm="1">
        <f t="array" ref="Z159">Common_InputFunctions.Utility_DisplayArrayInTable(Fertiliser_SourceData.Fertiliser_Products_Data3(), FertiliserProducts[[#Headers],[Company]],61)</f>
        <v/>
      </c>
      <c r="AA159" s="215" t="str" cm="1">
        <f t="array" ref="AA159">Common_InputFunctions.Utility_DisplayArrayInTable(Fertiliser_SourceData.Fertiliser_Products_Data3(), FertiliserProducts[[#Headers],[Company]],61)</f>
        <v/>
      </c>
      <c r="AB159" s="215" t="str" cm="1">
        <f t="array" ref="AB159">Common_InputFunctions.Utility_DisplayArrayInTable(Fertiliser_SourceData.Fertiliser_Products_Data3(), FertiliserProducts[[#Headers],[Company]],61)</f>
        <v/>
      </c>
      <c r="AC159" s="215" t="str" cm="1">
        <f t="array" ref="AC159">Common_InputFunctions.Utility_DisplayArrayInTable(Fertiliser_SourceData.Fertiliser_Products_Data3(), FertiliserProducts[[#Headers],[Company]],61)</f>
        <v/>
      </c>
      <c r="AD159" s="215" t="str" cm="1">
        <f t="array" ref="AD159">Common_InputFunctions.Utility_DisplayArrayInTable(Fertiliser_SourceData.Fertiliser_Products_Data3(), FertiliserProducts[[#Headers],[Company]],61)</f>
        <v/>
      </c>
      <c r="AE159" s="215" t="str" cm="1">
        <f t="array" ref="AE159">Common_InputFunctions.Utility_DisplayArrayInTable(Fertiliser_SourceData.Fertiliser_Products_Data3(), FertiliserProducts[[#Headers],[Company]],61)</f>
        <v/>
      </c>
      <c r="AF159" s="215" t="str" cm="1">
        <f t="array" ref="AF159">Common_InputFunctions.Utility_DisplayArrayInTable(Fertiliser_SourceData.Fertiliser_Products_Data3(), FertiliserProducts[[#Headers],[Company]],61)</f>
        <v/>
      </c>
      <c r="AG159" s="215" t="str" cm="1">
        <f t="array" ref="AG159">Common_InputFunctions.Utility_DisplayArrayInTable(Fertiliser_SourceData.Fertiliser_Products_Data3(), FertiliserProducts[[#Headers],[Company]],61)</f>
        <v/>
      </c>
      <c r="AH159" s="215" t="str" cm="1">
        <f t="array" ref="AH159">Common_InputFunctions.Utility_DisplayArrayInTable(Fertiliser_SourceData.Fertiliser_Products_Data3(), FertiliserProducts[[#Headers],[Company]],61)</f>
        <v/>
      </c>
    </row>
    <row r="160" spans="1:34" ht="20.100000000000001" customHeight="1" x14ac:dyDescent="0.25">
      <c r="A160"/>
      <c r="D160" s="215" t="str" cm="1">
        <f t="array" ref="D160">Common_InputFunctions.Utility_DisplayArrayInTable(Fertiliser_SourceData.Fertiliser_Products_Data3(), FertiliserProducts[[#Headers],[Company]],61)</f>
        <v>Impact Fertilisers</v>
      </c>
      <c r="E160" s="215" t="str" cm="1">
        <f t="array" ref="E160">Common_InputFunctions.Utility_DisplayArrayInTable(Fertiliser_SourceData.Fertiliser_Products_Data3(), FertiliserProducts[[#Headers],[Company]],61)</f>
        <v>ZincStar</v>
      </c>
      <c r="F160" s="215" t="str" cm="1">
        <f t="array" ref="F160">Common_InputFunctions.Utility_DisplayArrayInTable(Fertiliser_SourceData.Fertiliser_Products_Data3(), FertiliserProducts[[#Headers],[Company]],61)</f>
        <v>kg</v>
      </c>
      <c r="G160" s="215" cm="1">
        <f t="array" ref="G160">Common_InputFunctions.Utility_DisplayArrayInTable(Fertiliser_SourceData.Fertiliser_Products_Data3(), FertiliserProducts[[#Headers],[Company]],61)</f>
        <v>1</v>
      </c>
      <c r="H160" s="215" t="str" cm="1">
        <f t="array" ref="H160">Common_InputFunctions.Utility_DisplayArrayInTable(Fertiliser_SourceData.Fertiliser_Products_Data3(), FertiliserProducts[[#Headers],[Company]],61)</f>
        <v/>
      </c>
      <c r="I160" s="215" t="str" cm="1">
        <f t="array" ref="I160">Common_InputFunctions.Utility_DisplayArrayInTable(Fertiliser_SourceData.Fertiliser_Products_Data3(), FertiliserProducts[[#Headers],[Company]],61)</f>
        <v/>
      </c>
      <c r="J160" s="215" t="str" cm="1">
        <f t="array" ref="J160">Common_InputFunctions.Utility_DisplayArrayInTable(Fertiliser_SourceData.Fertiliser_Products_Data3(), FertiliserProducts[[#Headers],[Company]],61)</f>
        <v/>
      </c>
      <c r="K160" s="215" cm="1">
        <f t="array" ref="K160">Common_InputFunctions.Utility_DisplayArrayInTable(Fertiliser_SourceData.Fertiliser_Products_Data3(), FertiliserProducts[[#Headers],[Company]],61)</f>
        <v>10</v>
      </c>
      <c r="L160" s="215" cm="1">
        <f t="array" ref="L160">Common_InputFunctions.Utility_DisplayArrayInTable(Fertiliser_SourceData.Fertiliser_Products_Data3(), FertiliserProducts[[#Headers],[Company]],61)</f>
        <v>21.9</v>
      </c>
      <c r="M160" s="215" cm="1">
        <f t="array" ref="M160">Common_InputFunctions.Utility_DisplayArrayInTable(Fertiliser_SourceData.Fertiliser_Products_Data3(), FertiliserProducts[[#Headers],[Company]],61)</f>
        <v>0</v>
      </c>
      <c r="N160" s="215" cm="1">
        <f t="array" ref="N160">Common_InputFunctions.Utility_DisplayArrayInTable(Fertiliser_SourceData.Fertiliser_Products_Data3(), FertiliserProducts[[#Headers],[Company]],61)</f>
        <v>2</v>
      </c>
      <c r="O160" s="215" t="str" cm="1">
        <f t="array" ref="O160">Common_InputFunctions.Utility_DisplayArrayInTable(Fertiliser_SourceData.Fertiliser_Products_Data3(), FertiliserProducts[[#Headers],[Company]],61)</f>
        <v>Monoammonium phosphate (MAP)</v>
      </c>
      <c r="P160" s="215" cm="1">
        <f t="array" ref="P160">Common_InputFunctions.Utility_DisplayArrayInTable(Fertiliser_SourceData.Fertiliser_Products_Data3(), FertiliserProducts[[#Headers],[Company]],61)</f>
        <v>1</v>
      </c>
      <c r="Q160" s="215" t="str" cm="1">
        <f t="array" ref="Q160">Common_InputFunctions.Utility_DisplayArrayInTable(Fertiliser_SourceData.Fertiliser_Products_Data3(), FertiliserProducts[[#Headers],[Company]],61)</f>
        <v>Zinc</v>
      </c>
      <c r="R160" s="215" cm="1">
        <f t="array" ref="R160">Common_InputFunctions.Utility_DisplayArrayInTable(Fertiliser_SourceData.Fertiliser_Products_Data3(), FertiliserProducts[[#Headers],[Company]],61)</f>
        <v>0.01</v>
      </c>
      <c r="S160" s="215" t="str" cm="1">
        <f t="array" ref="S160">Common_InputFunctions.Utility_DisplayArrayInTable(Fertiliser_SourceData.Fertiliser_Products_Data3(), FertiliserProducts[[#Headers],[Company]],61)</f>
        <v/>
      </c>
      <c r="T160" s="215" t="str" cm="1">
        <f t="array" ref="T160">Common_InputFunctions.Utility_DisplayArrayInTable(Fertiliser_SourceData.Fertiliser_Products_Data3(), FertiliserProducts[[#Headers],[Company]],61)</f>
        <v/>
      </c>
      <c r="U160" s="215" t="str" cm="1">
        <f t="array" ref="U160">Common_InputFunctions.Utility_DisplayArrayInTable(Fertiliser_SourceData.Fertiliser_Products_Data3(), FertiliserProducts[[#Headers],[Company]],61)</f>
        <v/>
      </c>
      <c r="V160" s="215" t="str" cm="1">
        <f t="array" ref="V160">Common_InputFunctions.Utility_DisplayArrayInTable(Fertiliser_SourceData.Fertiliser_Products_Data3(), FertiliserProducts[[#Headers],[Company]],61)</f>
        <v/>
      </c>
      <c r="W160" s="215" t="str" cm="1">
        <f t="array" ref="W160">Common_InputFunctions.Utility_DisplayArrayInTable(Fertiliser_SourceData.Fertiliser_Products_Data3(), FertiliserProducts[[#Headers],[Company]],61)</f>
        <v/>
      </c>
      <c r="X160" s="215" t="str" cm="1">
        <f t="array" ref="X160">Common_InputFunctions.Utility_DisplayArrayInTable(Fertiliser_SourceData.Fertiliser_Products_Data3(), FertiliserProducts[[#Headers],[Company]],61)</f>
        <v/>
      </c>
      <c r="Y160" s="215" t="str" cm="1">
        <f t="array" ref="Y160">Common_InputFunctions.Utility_DisplayArrayInTable(Fertiliser_SourceData.Fertiliser_Products_Data3(), FertiliserProducts[[#Headers],[Company]],61)</f>
        <v/>
      </c>
      <c r="Z160" s="215" t="str" cm="1">
        <f t="array" ref="Z160">Common_InputFunctions.Utility_DisplayArrayInTable(Fertiliser_SourceData.Fertiliser_Products_Data3(), FertiliserProducts[[#Headers],[Company]],61)</f>
        <v/>
      </c>
      <c r="AA160" s="215" t="str" cm="1">
        <f t="array" ref="AA160">Common_InputFunctions.Utility_DisplayArrayInTable(Fertiliser_SourceData.Fertiliser_Products_Data3(), FertiliserProducts[[#Headers],[Company]],61)</f>
        <v/>
      </c>
      <c r="AB160" s="215" t="str" cm="1">
        <f t="array" ref="AB160">Common_InputFunctions.Utility_DisplayArrayInTable(Fertiliser_SourceData.Fertiliser_Products_Data3(), FertiliserProducts[[#Headers],[Company]],61)</f>
        <v/>
      </c>
      <c r="AC160" s="215" t="str" cm="1">
        <f t="array" ref="AC160">Common_InputFunctions.Utility_DisplayArrayInTable(Fertiliser_SourceData.Fertiliser_Products_Data3(), FertiliserProducts[[#Headers],[Company]],61)</f>
        <v/>
      </c>
      <c r="AD160" s="215" t="str" cm="1">
        <f t="array" ref="AD160">Common_InputFunctions.Utility_DisplayArrayInTable(Fertiliser_SourceData.Fertiliser_Products_Data3(), FertiliserProducts[[#Headers],[Company]],61)</f>
        <v/>
      </c>
      <c r="AE160" s="215" t="str" cm="1">
        <f t="array" ref="AE160">Common_InputFunctions.Utility_DisplayArrayInTable(Fertiliser_SourceData.Fertiliser_Products_Data3(), FertiliserProducts[[#Headers],[Company]],61)</f>
        <v/>
      </c>
      <c r="AF160" s="215" t="str" cm="1">
        <f t="array" ref="AF160">Common_InputFunctions.Utility_DisplayArrayInTable(Fertiliser_SourceData.Fertiliser_Products_Data3(), FertiliserProducts[[#Headers],[Company]],61)</f>
        <v/>
      </c>
      <c r="AG160" s="215" t="str" cm="1">
        <f t="array" ref="AG160">Common_InputFunctions.Utility_DisplayArrayInTable(Fertiliser_SourceData.Fertiliser_Products_Data3(), FertiliserProducts[[#Headers],[Company]],61)</f>
        <v/>
      </c>
      <c r="AH160" s="215" t="str" cm="1">
        <f t="array" ref="AH160">Common_InputFunctions.Utility_DisplayArrayInTable(Fertiliser_SourceData.Fertiliser_Products_Data3(), FertiliserProducts[[#Headers],[Company]],61)</f>
        <v/>
      </c>
    </row>
    <row r="161" spans="4:34" ht="20.100000000000001" customHeight="1" x14ac:dyDescent="0.25">
      <c r="D161" s="215" t="str" cm="1">
        <f t="array" ref="D161">Common_InputFunctions.Utility_DisplayArrayInTable(Fertiliser_SourceData.Fertiliser_Products_Data3(), FertiliserProducts[[#Headers],[Company]],61)</f>
        <v>Baileys (Simplot) [listed as Impact]</v>
      </c>
      <c r="E161" s="215" t="str" cm="1">
        <f t="array" ref="E161">Common_InputFunctions.Utility_DisplayArrayInTable(Fertiliser_SourceData.Fertiliser_Products_Data3(), FertiliserProducts[[#Headers],[Company]],61)</f>
        <v>Apex GaIXe Low P 21-1-6</v>
      </c>
      <c r="F161" s="215" t="str" cm="1">
        <f t="array" ref="F161">Common_InputFunctions.Utility_DisplayArrayInTable(Fertiliser_SourceData.Fertiliser_Products_Data3(), FertiliserProducts[[#Headers],[Company]],61)</f>
        <v>kg</v>
      </c>
      <c r="G161" s="215" cm="1">
        <f t="array" ref="G161">Common_InputFunctions.Utility_DisplayArrayInTable(Fertiliser_SourceData.Fertiliser_Products_Data3(), FertiliserProducts[[#Headers],[Company]],61)</f>
        <v>1</v>
      </c>
      <c r="H161" s="215" t="str" cm="1">
        <f t="array" ref="H161">Common_InputFunctions.Utility_DisplayArrayInTable(Fertiliser_SourceData.Fertiliser_Products_Data3(), FertiliserProducts[[#Headers],[Company]],61)</f>
        <v/>
      </c>
      <c r="I161" s="215" t="str" cm="1">
        <f t="array" ref="I161">Common_InputFunctions.Utility_DisplayArrayInTable(Fertiliser_SourceData.Fertiliser_Products_Data3(), FertiliserProducts[[#Headers],[Company]],61)</f>
        <v/>
      </c>
      <c r="J161" s="215" t="str" cm="1">
        <f t="array" ref="J161">Common_InputFunctions.Utility_DisplayArrayInTable(Fertiliser_SourceData.Fertiliser_Products_Data3(), FertiliserProducts[[#Headers],[Company]],61)</f>
        <v/>
      </c>
      <c r="K161" s="215" cm="1">
        <f t="array" ref="K161">Common_InputFunctions.Utility_DisplayArrayInTable(Fertiliser_SourceData.Fertiliser_Products_Data3(), FertiliserProducts[[#Headers],[Company]],61)</f>
        <v>21</v>
      </c>
      <c r="L161" s="215" cm="1">
        <f t="array" ref="L161">Common_InputFunctions.Utility_DisplayArrayInTable(Fertiliser_SourceData.Fertiliser_Products_Data3(), FertiliserProducts[[#Headers],[Company]],61)</f>
        <v>0.86</v>
      </c>
      <c r="M161" s="215" cm="1">
        <f t="array" ref="M161">Common_InputFunctions.Utility_DisplayArrayInTable(Fertiliser_SourceData.Fertiliser_Products_Data3(), FertiliserProducts[[#Headers],[Company]],61)</f>
        <v>5.8</v>
      </c>
      <c r="N161" s="215" cm="1">
        <f t="array" ref="N161">Common_InputFunctions.Utility_DisplayArrayInTable(Fertiliser_SourceData.Fertiliser_Products_Data3(), FertiliserProducts[[#Headers],[Company]],61)</f>
        <v>4.2</v>
      </c>
      <c r="O161" s="215" t="str" cm="1">
        <f t="array" ref="O161">Common_InputFunctions.Utility_DisplayArrayInTable(Fertiliser_SourceData.Fertiliser_Products_Data3(), FertiliserProducts[[#Headers],[Company]],61)</f>
        <v>Nitrogen - Generic</v>
      </c>
      <c r="P161" s="215" cm="1">
        <f t="array" ref="P161">Common_InputFunctions.Utility_DisplayArrayInTable(Fertiliser_SourceData.Fertiliser_Products_Data3(), FertiliserProducts[[#Headers],[Company]],61)</f>
        <v>0.21</v>
      </c>
      <c r="Q161" s="215" t="str" cm="1">
        <f t="array" ref="Q161">Common_InputFunctions.Utility_DisplayArrayInTable(Fertiliser_SourceData.Fertiliser_Products_Data3(), FertiliserProducts[[#Headers],[Company]],61)</f>
        <v>Potassium - Generic</v>
      </c>
      <c r="R161" s="215" cm="1">
        <f t="array" ref="R161">Common_InputFunctions.Utility_DisplayArrayInTable(Fertiliser_SourceData.Fertiliser_Products_Data3(), FertiliserProducts[[#Headers],[Company]],61)</f>
        <v>5.8000000000000003E-2</v>
      </c>
      <c r="S161" s="215" t="str" cm="1">
        <f t="array" ref="S161">Common_InputFunctions.Utility_DisplayArrayInTable(Fertiliser_SourceData.Fertiliser_Products_Data3(), FertiliserProducts[[#Headers],[Company]],61)</f>
        <v>Sulfur - Generic</v>
      </c>
      <c r="T161" s="215" cm="1">
        <f t="array" ref="T161">Common_InputFunctions.Utility_DisplayArrayInTable(Fertiliser_SourceData.Fertiliser_Products_Data3(), FertiliserProducts[[#Headers],[Company]],61)</f>
        <v>4.2000000000000003E-2</v>
      </c>
      <c r="U161" s="215" t="str" cm="1">
        <f t="array" ref="U161">Common_InputFunctions.Utility_DisplayArrayInTable(Fertiliser_SourceData.Fertiliser_Products_Data3(), FertiliserProducts[[#Headers],[Company]],61)</f>
        <v>Phosphorus - Generic</v>
      </c>
      <c r="V161" s="215" cm="1">
        <f t="array" ref="V161">Common_InputFunctions.Utility_DisplayArrayInTable(Fertiliser_SourceData.Fertiliser_Products_Data3(), FertiliserProducts[[#Headers],[Company]],61)</f>
        <v>8.6E-3</v>
      </c>
      <c r="W161" s="215" t="str" cm="1">
        <f t="array" ref="W161">Common_InputFunctions.Utility_DisplayArrayInTable(Fertiliser_SourceData.Fertiliser_Products_Data3(), FertiliserProducts[[#Headers],[Company]],61)</f>
        <v/>
      </c>
      <c r="X161" s="215" t="str" cm="1">
        <f t="array" ref="X161">Common_InputFunctions.Utility_DisplayArrayInTable(Fertiliser_SourceData.Fertiliser_Products_Data3(), FertiliserProducts[[#Headers],[Company]],61)</f>
        <v/>
      </c>
      <c r="Y161" s="215" t="str" cm="1">
        <f t="array" ref="Y161">Common_InputFunctions.Utility_DisplayArrayInTable(Fertiliser_SourceData.Fertiliser_Products_Data3(), FertiliserProducts[[#Headers],[Company]],61)</f>
        <v/>
      </c>
      <c r="Z161" s="215" t="str" cm="1">
        <f t="array" ref="Z161">Common_InputFunctions.Utility_DisplayArrayInTable(Fertiliser_SourceData.Fertiliser_Products_Data3(), FertiliserProducts[[#Headers],[Company]],61)</f>
        <v/>
      </c>
      <c r="AA161" s="215" t="str" cm="1">
        <f t="array" ref="AA161">Common_InputFunctions.Utility_DisplayArrayInTable(Fertiliser_SourceData.Fertiliser_Products_Data3(), FertiliserProducts[[#Headers],[Company]],61)</f>
        <v/>
      </c>
      <c r="AB161" s="215" t="str" cm="1">
        <f t="array" ref="AB161">Common_InputFunctions.Utility_DisplayArrayInTable(Fertiliser_SourceData.Fertiliser_Products_Data3(), FertiliserProducts[[#Headers],[Company]],61)</f>
        <v/>
      </c>
      <c r="AC161" s="215" t="str" cm="1">
        <f t="array" ref="AC161">Common_InputFunctions.Utility_DisplayArrayInTable(Fertiliser_SourceData.Fertiliser_Products_Data3(), FertiliserProducts[[#Headers],[Company]],61)</f>
        <v/>
      </c>
      <c r="AD161" s="215" t="str" cm="1">
        <f t="array" ref="AD161">Common_InputFunctions.Utility_DisplayArrayInTable(Fertiliser_SourceData.Fertiliser_Products_Data3(), FertiliserProducts[[#Headers],[Company]],61)</f>
        <v/>
      </c>
      <c r="AE161" s="215" t="str" cm="1">
        <f t="array" ref="AE161">Common_InputFunctions.Utility_DisplayArrayInTable(Fertiliser_SourceData.Fertiliser_Products_Data3(), FertiliserProducts[[#Headers],[Company]],61)</f>
        <v/>
      </c>
      <c r="AF161" s="215" t="str" cm="1">
        <f t="array" ref="AF161">Common_InputFunctions.Utility_DisplayArrayInTable(Fertiliser_SourceData.Fertiliser_Products_Data3(), FertiliserProducts[[#Headers],[Company]],61)</f>
        <v/>
      </c>
      <c r="AG161" s="215" t="str" cm="1">
        <f t="array" ref="AG161">Common_InputFunctions.Utility_DisplayArrayInTable(Fertiliser_SourceData.Fertiliser_Products_Data3(), FertiliserProducts[[#Headers],[Company]],61)</f>
        <v/>
      </c>
      <c r="AH161" s="215" t="str" cm="1">
        <f t="array" ref="AH161">Common_InputFunctions.Utility_DisplayArrayInTable(Fertiliser_SourceData.Fertiliser_Products_Data3(), FertiliserProducts[[#Headers],[Company]],61)</f>
        <v/>
      </c>
    </row>
    <row r="162" spans="4:34" ht="20.100000000000001" customHeight="1" x14ac:dyDescent="0.25">
      <c r="D162" s="215" t="str" cm="1">
        <f t="array" ref="D162">Common_InputFunctions.Utility_DisplayArrayInTable(Fertiliser_SourceData.Fertiliser_Products_Data3(), FertiliserProducts[[#Headers],[Company]],61)</f>
        <v>Incitec Pivot Fertilisers</v>
      </c>
      <c r="E162" s="215" t="str" cm="1">
        <f t="array" ref="E162">Common_InputFunctions.Utility_DisplayArrayInTable(Fertiliser_SourceData.Fertiliser_Products_Data3(), FertiliserProducts[[#Headers],[Company]],61)</f>
        <v>SuPerfect</v>
      </c>
      <c r="F162" s="215" t="str" cm="1">
        <f t="array" ref="F162">Common_InputFunctions.Utility_DisplayArrayInTable(Fertiliser_SourceData.Fertiliser_Products_Data3(), FertiliserProducts[[#Headers],[Company]],61)</f>
        <v>kg</v>
      </c>
      <c r="G162" s="215" cm="1">
        <f t="array" ref="G162">Common_InputFunctions.Utility_DisplayArrayInTable(Fertiliser_SourceData.Fertiliser_Products_Data3(), FertiliserProducts[[#Headers],[Company]],61)</f>
        <v>1</v>
      </c>
      <c r="H162" s="215" t="str" cm="1">
        <f t="array" ref="H162">Common_InputFunctions.Utility_DisplayArrayInTable(Fertiliser_SourceData.Fertiliser_Products_Data3(), FertiliserProducts[[#Headers],[Company]],61)</f>
        <v/>
      </c>
      <c r="I162" s="215" t="str" cm="1">
        <f t="array" ref="I162">Common_InputFunctions.Utility_DisplayArrayInTable(Fertiliser_SourceData.Fertiliser_Products_Data3(), FertiliserProducts[[#Headers],[Company]],61)</f>
        <v/>
      </c>
      <c r="J162" s="215" t="str" cm="1">
        <f t="array" ref="J162">Common_InputFunctions.Utility_DisplayArrayInTable(Fertiliser_SourceData.Fertiliser_Products_Data3(), FertiliserProducts[[#Headers],[Company]],61)</f>
        <v/>
      </c>
      <c r="K162" s="215" t="str" cm="1">
        <f t="array" ref="K162">Common_InputFunctions.Utility_DisplayArrayInTable(Fertiliser_SourceData.Fertiliser_Products_Data3(), FertiliserProducts[[#Headers],[Company]],61)</f>
        <v/>
      </c>
      <c r="L162" s="215" cm="1">
        <f t="array" ref="L162">Common_InputFunctions.Utility_DisplayArrayInTable(Fertiliser_SourceData.Fertiliser_Products_Data3(), FertiliserProducts[[#Headers],[Company]],61)</f>
        <v>8.8000000000000007</v>
      </c>
      <c r="M162" s="215" t="str" cm="1">
        <f t="array" ref="M162">Common_InputFunctions.Utility_DisplayArrayInTable(Fertiliser_SourceData.Fertiliser_Products_Data3(), FertiliserProducts[[#Headers],[Company]],61)</f>
        <v/>
      </c>
      <c r="N162" s="215" cm="1">
        <f t="array" ref="N162">Common_InputFunctions.Utility_DisplayArrayInTable(Fertiliser_SourceData.Fertiliser_Products_Data3(), FertiliserProducts[[#Headers],[Company]],61)</f>
        <v>11</v>
      </c>
      <c r="O162" s="215" t="str" cm="1">
        <f t="array" ref="O162">Common_InputFunctions.Utility_DisplayArrayInTable(Fertiliser_SourceData.Fertiliser_Products_Data3(), FertiliserProducts[[#Headers],[Company]],61)</f>
        <v>Single superphosphate (SSP)</v>
      </c>
      <c r="P162" s="215" cm="1">
        <f t="array" ref="P162">Common_InputFunctions.Utility_DisplayArrayInTable(Fertiliser_SourceData.Fertiliser_Products_Data3(), FertiliserProducts[[#Headers],[Company]],61)</f>
        <v>1</v>
      </c>
      <c r="Q162" s="215" t="str" cm="1">
        <f t="array" ref="Q162">Common_InputFunctions.Utility_DisplayArrayInTable(Fertiliser_SourceData.Fertiliser_Products_Data3(), FertiliserProducts[[#Headers],[Company]],61)</f>
        <v/>
      </c>
      <c r="R162" s="215" t="str" cm="1">
        <f t="array" ref="R162">Common_InputFunctions.Utility_DisplayArrayInTable(Fertiliser_SourceData.Fertiliser_Products_Data3(), FertiliserProducts[[#Headers],[Company]],61)</f>
        <v/>
      </c>
      <c r="S162" s="215" t="str" cm="1">
        <f t="array" ref="S162">Common_InputFunctions.Utility_DisplayArrayInTable(Fertiliser_SourceData.Fertiliser_Products_Data3(), FertiliserProducts[[#Headers],[Company]],61)</f>
        <v/>
      </c>
      <c r="T162" s="215" t="str" cm="1">
        <f t="array" ref="T162">Common_InputFunctions.Utility_DisplayArrayInTable(Fertiliser_SourceData.Fertiliser_Products_Data3(), FertiliserProducts[[#Headers],[Company]],61)</f>
        <v/>
      </c>
      <c r="U162" s="215" t="str" cm="1">
        <f t="array" ref="U162">Common_InputFunctions.Utility_DisplayArrayInTable(Fertiliser_SourceData.Fertiliser_Products_Data3(), FertiliserProducts[[#Headers],[Company]],61)</f>
        <v/>
      </c>
      <c r="V162" s="215" t="str" cm="1">
        <f t="array" ref="V162">Common_InputFunctions.Utility_DisplayArrayInTable(Fertiliser_SourceData.Fertiliser_Products_Data3(), FertiliserProducts[[#Headers],[Company]],61)</f>
        <v/>
      </c>
      <c r="W162" s="215" t="str" cm="1">
        <f t="array" ref="W162">Common_InputFunctions.Utility_DisplayArrayInTable(Fertiliser_SourceData.Fertiliser_Products_Data3(), FertiliserProducts[[#Headers],[Company]],61)</f>
        <v/>
      </c>
      <c r="X162" s="215" t="str" cm="1">
        <f t="array" ref="X162">Common_InputFunctions.Utility_DisplayArrayInTable(Fertiliser_SourceData.Fertiliser_Products_Data3(), FertiliserProducts[[#Headers],[Company]],61)</f>
        <v/>
      </c>
      <c r="Y162" s="215" t="str" cm="1">
        <f t="array" ref="Y162">Common_InputFunctions.Utility_DisplayArrayInTable(Fertiliser_SourceData.Fertiliser_Products_Data3(), FertiliserProducts[[#Headers],[Company]],61)</f>
        <v/>
      </c>
      <c r="Z162" s="215" t="str" cm="1">
        <f t="array" ref="Z162">Common_InputFunctions.Utility_DisplayArrayInTable(Fertiliser_SourceData.Fertiliser_Products_Data3(), FertiliserProducts[[#Headers],[Company]],61)</f>
        <v/>
      </c>
      <c r="AA162" s="215" t="str" cm="1">
        <f t="array" ref="AA162">Common_InputFunctions.Utility_DisplayArrayInTable(Fertiliser_SourceData.Fertiliser_Products_Data3(), FertiliserProducts[[#Headers],[Company]],61)</f>
        <v/>
      </c>
      <c r="AB162" s="215" t="str" cm="1">
        <f t="array" ref="AB162">Common_InputFunctions.Utility_DisplayArrayInTable(Fertiliser_SourceData.Fertiliser_Products_Data3(), FertiliserProducts[[#Headers],[Company]],61)</f>
        <v/>
      </c>
      <c r="AC162" s="215" t="str" cm="1">
        <f t="array" ref="AC162">Common_InputFunctions.Utility_DisplayArrayInTable(Fertiliser_SourceData.Fertiliser_Products_Data3(), FertiliserProducts[[#Headers],[Company]],61)</f>
        <v/>
      </c>
      <c r="AD162" s="215" t="str" cm="1">
        <f t="array" ref="AD162">Common_InputFunctions.Utility_DisplayArrayInTable(Fertiliser_SourceData.Fertiliser_Products_Data3(), FertiliserProducts[[#Headers],[Company]],61)</f>
        <v/>
      </c>
      <c r="AE162" s="215" t="str" cm="1">
        <f t="array" ref="AE162">Common_InputFunctions.Utility_DisplayArrayInTable(Fertiliser_SourceData.Fertiliser_Products_Data3(), FertiliserProducts[[#Headers],[Company]],61)</f>
        <v/>
      </c>
      <c r="AF162" s="215" t="str" cm="1">
        <f t="array" ref="AF162">Common_InputFunctions.Utility_DisplayArrayInTable(Fertiliser_SourceData.Fertiliser_Products_Data3(), FertiliserProducts[[#Headers],[Company]],61)</f>
        <v/>
      </c>
      <c r="AG162" s="215" t="str" cm="1">
        <f t="array" ref="AG162">Common_InputFunctions.Utility_DisplayArrayInTable(Fertiliser_SourceData.Fertiliser_Products_Data3(), FertiliserProducts[[#Headers],[Company]],61)</f>
        <v/>
      </c>
      <c r="AH162" s="215" t="str" cm="1">
        <f t="array" ref="AH162">Common_InputFunctions.Utility_DisplayArrayInTable(Fertiliser_SourceData.Fertiliser_Products_Data3(), FertiliserProducts[[#Headers],[Company]],61)</f>
        <v/>
      </c>
    </row>
    <row r="163" spans="4:34" ht="20.100000000000001" customHeight="1" x14ac:dyDescent="0.25">
      <c r="D163" s="215" t="str" cm="1">
        <f t="array" ref="D163">Common_InputFunctions.Utility_DisplayArrayInTable(Fertiliser_SourceData.Fertiliser_Products_Data3(), FertiliserProducts[[#Headers],[Company]],61)</f>
        <v>Incitec Pivot Fertilisers [listed as Summit]</v>
      </c>
      <c r="E163" s="215" t="str" cm="1">
        <f t="array" ref="E163">Common_InputFunctions.Utility_DisplayArrayInTable(Fertiliser_SourceData.Fertiliser_Products_Data3(), FertiliserProducts[[#Headers],[Company]],61)</f>
        <v>Big N</v>
      </c>
      <c r="F163" s="215" t="str" cm="1">
        <f t="array" ref="F163">Common_InputFunctions.Utility_DisplayArrayInTable(Fertiliser_SourceData.Fertiliser_Products_Data3(), FertiliserProducts[[#Headers],[Company]],61)</f>
        <v>kg</v>
      </c>
      <c r="G163" s="215" cm="1">
        <f t="array" ref="G163">Common_InputFunctions.Utility_DisplayArrayInTable(Fertiliser_SourceData.Fertiliser_Products_Data3(), FertiliserProducts[[#Headers],[Company]],61)</f>
        <v>1</v>
      </c>
      <c r="H163" s="215" t="str" cm="1">
        <f t="array" ref="H163">Common_InputFunctions.Utility_DisplayArrayInTable(Fertiliser_SourceData.Fertiliser_Products_Data3(), FertiliserProducts[[#Headers],[Company]],61)</f>
        <v/>
      </c>
      <c r="I163" s="215" t="str" cm="1">
        <f t="array" ref="I163">Common_InputFunctions.Utility_DisplayArrayInTable(Fertiliser_SourceData.Fertiliser_Products_Data3(), FertiliserProducts[[#Headers],[Company]],61)</f>
        <v/>
      </c>
      <c r="J163" s="215" t="str" cm="1">
        <f t="array" ref="J163">Common_InputFunctions.Utility_DisplayArrayInTable(Fertiliser_SourceData.Fertiliser_Products_Data3(), FertiliserProducts[[#Headers],[Company]],61)</f>
        <v/>
      </c>
      <c r="K163" s="215" cm="1">
        <f t="array" ref="K163">Common_InputFunctions.Utility_DisplayArrayInTable(Fertiliser_SourceData.Fertiliser_Products_Data3(), FertiliserProducts[[#Headers],[Company]],61)</f>
        <v>82.35</v>
      </c>
      <c r="L163" s="215" t="str" cm="1">
        <f t="array" ref="L163">Common_InputFunctions.Utility_DisplayArrayInTable(Fertiliser_SourceData.Fertiliser_Products_Data3(), FertiliserProducts[[#Headers],[Company]],61)</f>
        <v/>
      </c>
      <c r="M163" s="215" t="str" cm="1">
        <f t="array" ref="M163">Common_InputFunctions.Utility_DisplayArrayInTable(Fertiliser_SourceData.Fertiliser_Products_Data3(), FertiliserProducts[[#Headers],[Company]],61)</f>
        <v/>
      </c>
      <c r="N163" s="215" t="str" cm="1">
        <f t="array" ref="N163">Common_InputFunctions.Utility_DisplayArrayInTable(Fertiliser_SourceData.Fertiliser_Products_Data3(), FertiliserProducts[[#Headers],[Company]],61)</f>
        <v/>
      </c>
      <c r="O163" s="215" t="str" cm="1">
        <f t="array" ref="O163">Common_InputFunctions.Utility_DisplayArrayInTable(Fertiliser_SourceData.Fertiliser_Products_Data3(), FertiliserProducts[[#Headers],[Company]],61)</f>
        <v>Ammonia</v>
      </c>
      <c r="P163" s="215" cm="1">
        <f t="array" ref="P163">Common_InputFunctions.Utility_DisplayArrayInTable(Fertiliser_SourceData.Fertiliser_Products_Data3(), FertiliserProducts[[#Headers],[Company]],61)</f>
        <v>1</v>
      </c>
      <c r="Q163" s="215" t="str" cm="1">
        <f t="array" ref="Q163">Common_InputFunctions.Utility_DisplayArrayInTable(Fertiliser_SourceData.Fertiliser_Products_Data3(), FertiliserProducts[[#Headers],[Company]],61)</f>
        <v/>
      </c>
      <c r="R163" s="215" t="str" cm="1">
        <f t="array" ref="R163">Common_InputFunctions.Utility_DisplayArrayInTable(Fertiliser_SourceData.Fertiliser_Products_Data3(), FertiliserProducts[[#Headers],[Company]],61)</f>
        <v/>
      </c>
      <c r="S163" s="215" t="str" cm="1">
        <f t="array" ref="S163">Common_InputFunctions.Utility_DisplayArrayInTable(Fertiliser_SourceData.Fertiliser_Products_Data3(), FertiliserProducts[[#Headers],[Company]],61)</f>
        <v/>
      </c>
      <c r="T163" s="215" t="str" cm="1">
        <f t="array" ref="T163">Common_InputFunctions.Utility_DisplayArrayInTable(Fertiliser_SourceData.Fertiliser_Products_Data3(), FertiliserProducts[[#Headers],[Company]],61)</f>
        <v/>
      </c>
      <c r="U163" s="215" t="str" cm="1">
        <f t="array" ref="U163">Common_InputFunctions.Utility_DisplayArrayInTable(Fertiliser_SourceData.Fertiliser_Products_Data3(), FertiliserProducts[[#Headers],[Company]],61)</f>
        <v/>
      </c>
      <c r="V163" s="215" t="str" cm="1">
        <f t="array" ref="V163">Common_InputFunctions.Utility_DisplayArrayInTable(Fertiliser_SourceData.Fertiliser_Products_Data3(), FertiliserProducts[[#Headers],[Company]],61)</f>
        <v/>
      </c>
      <c r="W163" s="215" t="str" cm="1">
        <f t="array" ref="W163">Common_InputFunctions.Utility_DisplayArrayInTable(Fertiliser_SourceData.Fertiliser_Products_Data3(), FertiliserProducts[[#Headers],[Company]],61)</f>
        <v/>
      </c>
      <c r="X163" s="215" t="str" cm="1">
        <f t="array" ref="X163">Common_InputFunctions.Utility_DisplayArrayInTable(Fertiliser_SourceData.Fertiliser_Products_Data3(), FertiliserProducts[[#Headers],[Company]],61)</f>
        <v/>
      </c>
      <c r="Y163" s="215" t="str" cm="1">
        <f t="array" ref="Y163">Common_InputFunctions.Utility_DisplayArrayInTable(Fertiliser_SourceData.Fertiliser_Products_Data3(), FertiliserProducts[[#Headers],[Company]],61)</f>
        <v/>
      </c>
      <c r="Z163" s="215" t="str" cm="1">
        <f t="array" ref="Z163">Common_InputFunctions.Utility_DisplayArrayInTable(Fertiliser_SourceData.Fertiliser_Products_Data3(), FertiliserProducts[[#Headers],[Company]],61)</f>
        <v/>
      </c>
      <c r="AA163" s="215" t="str" cm="1">
        <f t="array" ref="AA163">Common_InputFunctions.Utility_DisplayArrayInTable(Fertiliser_SourceData.Fertiliser_Products_Data3(), FertiliserProducts[[#Headers],[Company]],61)</f>
        <v/>
      </c>
      <c r="AB163" s="215" t="str" cm="1">
        <f t="array" ref="AB163">Common_InputFunctions.Utility_DisplayArrayInTable(Fertiliser_SourceData.Fertiliser_Products_Data3(), FertiliserProducts[[#Headers],[Company]],61)</f>
        <v/>
      </c>
      <c r="AC163" s="215" t="str" cm="1">
        <f t="array" ref="AC163">Common_InputFunctions.Utility_DisplayArrayInTable(Fertiliser_SourceData.Fertiliser_Products_Data3(), FertiliserProducts[[#Headers],[Company]],61)</f>
        <v/>
      </c>
      <c r="AD163" s="215" t="str" cm="1">
        <f t="array" ref="AD163">Common_InputFunctions.Utility_DisplayArrayInTable(Fertiliser_SourceData.Fertiliser_Products_Data3(), FertiliserProducts[[#Headers],[Company]],61)</f>
        <v/>
      </c>
      <c r="AE163" s="215" t="str" cm="1">
        <f t="array" ref="AE163">Common_InputFunctions.Utility_DisplayArrayInTable(Fertiliser_SourceData.Fertiliser_Products_Data3(), FertiliserProducts[[#Headers],[Company]],61)</f>
        <v/>
      </c>
      <c r="AF163" s="215" t="str" cm="1">
        <f t="array" ref="AF163">Common_InputFunctions.Utility_DisplayArrayInTable(Fertiliser_SourceData.Fertiliser_Products_Data3(), FertiliserProducts[[#Headers],[Company]],61)</f>
        <v/>
      </c>
      <c r="AG163" s="215" t="str" cm="1">
        <f t="array" ref="AG163">Common_InputFunctions.Utility_DisplayArrayInTable(Fertiliser_SourceData.Fertiliser_Products_Data3(), FertiliserProducts[[#Headers],[Company]],61)</f>
        <v/>
      </c>
      <c r="AH163" s="215" t="str" cm="1">
        <f t="array" ref="AH163">Common_InputFunctions.Utility_DisplayArrayInTable(Fertiliser_SourceData.Fertiliser_Products_Data3(), FertiliserProducts[[#Headers],[Company]],61)</f>
        <v/>
      </c>
    </row>
    <row r="164" spans="4:34" ht="20.100000000000001" customHeight="1" x14ac:dyDescent="0.25">
      <c r="D164" s="215" t="str" cm="1">
        <f t="array" ref="D164">Common_InputFunctions.Utility_DisplayArrayInTable(Fertiliser_SourceData.Fertiliser_Products_Data3(), FertiliserProducts[[#Headers],[Company]],61)</f>
        <v>Incitec Pivot Fertilisers</v>
      </c>
      <c r="E164" s="215" t="str" cm="1">
        <f t="array" ref="E164">Common_InputFunctions.Utility_DisplayArrayInTable(Fertiliser_SourceData.Fertiliser_Products_Data3(), FertiliserProducts[[#Headers],[Company]],61)</f>
        <v>Entec Urea</v>
      </c>
      <c r="F164" s="215" t="str" cm="1">
        <f t="array" ref="F164">Common_InputFunctions.Utility_DisplayArrayInTable(Fertiliser_SourceData.Fertiliser_Products_Data3(), FertiliserProducts[[#Headers],[Company]],61)</f>
        <v>kg</v>
      </c>
      <c r="G164" s="215" cm="1">
        <f t="array" ref="G164">Common_InputFunctions.Utility_DisplayArrayInTable(Fertiliser_SourceData.Fertiliser_Products_Data3(), FertiliserProducts[[#Headers],[Company]],61)</f>
        <v>1</v>
      </c>
      <c r="H164" s="215" t="str" cm="1">
        <f t="array" ref="H164">Common_InputFunctions.Utility_DisplayArrayInTable(Fertiliser_SourceData.Fertiliser_Products_Data3(), FertiliserProducts[[#Headers],[Company]],61)</f>
        <v>Yes</v>
      </c>
      <c r="I164" s="215" t="str" cm="1">
        <f t="array" ref="I164">Common_InputFunctions.Utility_DisplayArrayInTable(Fertiliser_SourceData.Fertiliser_Products_Data3(), FertiliserProducts[[#Headers],[Company]],61)</f>
        <v/>
      </c>
      <c r="J164" s="215" t="str" cm="1">
        <f t="array" ref="J164">Common_InputFunctions.Utility_DisplayArrayInTable(Fertiliser_SourceData.Fertiliser_Products_Data3(), FertiliserProducts[[#Headers],[Company]],61)</f>
        <v/>
      </c>
      <c r="K164" s="215" cm="1">
        <f t="array" ref="K164">Common_InputFunctions.Utility_DisplayArrayInTable(Fertiliser_SourceData.Fertiliser_Products_Data3(), FertiliserProducts[[#Headers],[Company]],61)</f>
        <v>46</v>
      </c>
      <c r="L164" s="215" t="str" cm="1">
        <f t="array" ref="L164">Common_InputFunctions.Utility_DisplayArrayInTable(Fertiliser_SourceData.Fertiliser_Products_Data3(), FertiliserProducts[[#Headers],[Company]],61)</f>
        <v/>
      </c>
      <c r="M164" s="215" t="str" cm="1">
        <f t="array" ref="M164">Common_InputFunctions.Utility_DisplayArrayInTable(Fertiliser_SourceData.Fertiliser_Products_Data3(), FertiliserProducts[[#Headers],[Company]],61)</f>
        <v/>
      </c>
      <c r="N164" s="215" t="str" cm="1">
        <f t="array" ref="N164">Common_InputFunctions.Utility_DisplayArrayInTable(Fertiliser_SourceData.Fertiliser_Products_Data3(), FertiliserProducts[[#Headers],[Company]],61)</f>
        <v/>
      </c>
      <c r="O164" s="215" t="str" cm="1">
        <f t="array" ref="O164">Common_InputFunctions.Utility_DisplayArrayInTable(Fertiliser_SourceData.Fertiliser_Products_Data3(), FertiliserProducts[[#Headers],[Company]],61)</f>
        <v>Urea</v>
      </c>
      <c r="P164" s="215" cm="1">
        <f t="array" ref="P164">Common_InputFunctions.Utility_DisplayArrayInTable(Fertiliser_SourceData.Fertiliser_Products_Data3(), FertiliserProducts[[#Headers],[Company]],61)</f>
        <v>1</v>
      </c>
      <c r="Q164" s="215" t="str" cm="1">
        <f t="array" ref="Q164">Common_InputFunctions.Utility_DisplayArrayInTable(Fertiliser_SourceData.Fertiliser_Products_Data3(), FertiliserProducts[[#Headers],[Company]],61)</f>
        <v/>
      </c>
      <c r="R164" s="215" t="str" cm="1">
        <f t="array" ref="R164">Common_InputFunctions.Utility_DisplayArrayInTable(Fertiliser_SourceData.Fertiliser_Products_Data3(), FertiliserProducts[[#Headers],[Company]],61)</f>
        <v/>
      </c>
      <c r="S164" s="215" t="str" cm="1">
        <f t="array" ref="S164">Common_InputFunctions.Utility_DisplayArrayInTable(Fertiliser_SourceData.Fertiliser_Products_Data3(), FertiliserProducts[[#Headers],[Company]],61)</f>
        <v/>
      </c>
      <c r="T164" s="215" t="str" cm="1">
        <f t="array" ref="T164">Common_InputFunctions.Utility_DisplayArrayInTable(Fertiliser_SourceData.Fertiliser_Products_Data3(), FertiliserProducts[[#Headers],[Company]],61)</f>
        <v/>
      </c>
      <c r="U164" s="215" t="str" cm="1">
        <f t="array" ref="U164">Common_InputFunctions.Utility_DisplayArrayInTable(Fertiliser_SourceData.Fertiliser_Products_Data3(), FertiliserProducts[[#Headers],[Company]],61)</f>
        <v/>
      </c>
      <c r="V164" s="215" t="str" cm="1">
        <f t="array" ref="V164">Common_InputFunctions.Utility_DisplayArrayInTable(Fertiliser_SourceData.Fertiliser_Products_Data3(), FertiliserProducts[[#Headers],[Company]],61)</f>
        <v/>
      </c>
      <c r="W164" s="215" t="str" cm="1">
        <f t="array" ref="W164">Common_InputFunctions.Utility_DisplayArrayInTable(Fertiliser_SourceData.Fertiliser_Products_Data3(), FertiliserProducts[[#Headers],[Company]],61)</f>
        <v/>
      </c>
      <c r="X164" s="215" t="str" cm="1">
        <f t="array" ref="X164">Common_InputFunctions.Utility_DisplayArrayInTable(Fertiliser_SourceData.Fertiliser_Products_Data3(), FertiliserProducts[[#Headers],[Company]],61)</f>
        <v/>
      </c>
      <c r="Y164" s="215" t="str" cm="1">
        <f t="array" ref="Y164">Common_InputFunctions.Utility_DisplayArrayInTable(Fertiliser_SourceData.Fertiliser_Products_Data3(), FertiliserProducts[[#Headers],[Company]],61)</f>
        <v/>
      </c>
      <c r="Z164" s="215" t="str" cm="1">
        <f t="array" ref="Z164">Common_InputFunctions.Utility_DisplayArrayInTable(Fertiliser_SourceData.Fertiliser_Products_Data3(), FertiliserProducts[[#Headers],[Company]],61)</f>
        <v/>
      </c>
      <c r="AA164" s="215" t="str" cm="1">
        <f t="array" ref="AA164">Common_InputFunctions.Utility_DisplayArrayInTable(Fertiliser_SourceData.Fertiliser_Products_Data3(), FertiliserProducts[[#Headers],[Company]],61)</f>
        <v/>
      </c>
      <c r="AB164" s="215" t="str" cm="1">
        <f t="array" ref="AB164">Common_InputFunctions.Utility_DisplayArrayInTable(Fertiliser_SourceData.Fertiliser_Products_Data3(), FertiliserProducts[[#Headers],[Company]],61)</f>
        <v/>
      </c>
      <c r="AC164" s="215" t="str" cm="1">
        <f t="array" ref="AC164">Common_InputFunctions.Utility_DisplayArrayInTable(Fertiliser_SourceData.Fertiliser_Products_Data3(), FertiliserProducts[[#Headers],[Company]],61)</f>
        <v/>
      </c>
      <c r="AD164" s="215" t="str" cm="1">
        <f t="array" ref="AD164">Common_InputFunctions.Utility_DisplayArrayInTable(Fertiliser_SourceData.Fertiliser_Products_Data3(), FertiliserProducts[[#Headers],[Company]],61)</f>
        <v/>
      </c>
      <c r="AE164" s="215" t="str" cm="1">
        <f t="array" ref="AE164">Common_InputFunctions.Utility_DisplayArrayInTable(Fertiliser_SourceData.Fertiliser_Products_Data3(), FertiliserProducts[[#Headers],[Company]],61)</f>
        <v/>
      </c>
      <c r="AF164" s="215" t="str" cm="1">
        <f t="array" ref="AF164">Common_InputFunctions.Utility_DisplayArrayInTable(Fertiliser_SourceData.Fertiliser_Products_Data3(), FertiliserProducts[[#Headers],[Company]],61)</f>
        <v/>
      </c>
      <c r="AG164" s="215" t="str" cm="1">
        <f t="array" ref="AG164">Common_InputFunctions.Utility_DisplayArrayInTable(Fertiliser_SourceData.Fertiliser_Products_Data3(), FertiliserProducts[[#Headers],[Company]],61)</f>
        <v/>
      </c>
      <c r="AH164" s="215" t="str" cm="1">
        <f t="array" ref="AH164">Common_InputFunctions.Utility_DisplayArrayInTable(Fertiliser_SourceData.Fertiliser_Products_Data3(), FertiliserProducts[[#Headers],[Company]],61)</f>
        <v/>
      </c>
    </row>
    <row r="165" spans="4:34" ht="20.100000000000001" customHeight="1" x14ac:dyDescent="0.25">
      <c r="D165" s="215" t="str" cm="1">
        <f t="array" ref="D165">Common_InputFunctions.Utility_DisplayArrayInTable(Fertiliser_SourceData.Fertiliser_Products_Data3(), FertiliserProducts[[#Headers],[Company]],61)</f>
        <v>Incitec Pivot Fertilisers (or Ravensdown - see note)</v>
      </c>
      <c r="E165" s="215" t="str" cm="1">
        <f t="array" ref="E165">Common_InputFunctions.Utility_DisplayArrayInTable(Fertiliser_SourceData.Fertiliser_Products_Data3(), FertiliserProducts[[#Headers],[Company]],61)</f>
        <v>Flexi-N NI only</v>
      </c>
      <c r="F165" s="215" t="str" cm="1">
        <f t="array" ref="F165">Common_InputFunctions.Utility_DisplayArrayInTable(Fertiliser_SourceData.Fertiliser_Products_Data3(), FertiliserProducts[[#Headers],[Company]],61)</f>
        <v>kg</v>
      </c>
      <c r="G165" s="215" cm="1">
        <f t="array" ref="G165">Common_InputFunctions.Utility_DisplayArrayInTable(Fertiliser_SourceData.Fertiliser_Products_Data3(), FertiliserProducts[[#Headers],[Company]],61)</f>
        <v>1</v>
      </c>
      <c r="H165" s="215" t="str" cm="1">
        <f t="array" ref="H165">Common_InputFunctions.Utility_DisplayArrayInTable(Fertiliser_SourceData.Fertiliser_Products_Data3(), FertiliserProducts[[#Headers],[Company]],61)</f>
        <v>Yes</v>
      </c>
      <c r="I165" s="215" t="str" cm="1">
        <f t="array" ref="I165">Common_InputFunctions.Utility_DisplayArrayInTable(Fertiliser_SourceData.Fertiliser_Products_Data3(), FertiliserProducts[[#Headers],[Company]],61)</f>
        <v/>
      </c>
      <c r="J165" s="215" t="str" cm="1">
        <f t="array" ref="J165">Common_InputFunctions.Utility_DisplayArrayInTable(Fertiliser_SourceData.Fertiliser_Products_Data3(), FertiliserProducts[[#Headers],[Company]],61)</f>
        <v/>
      </c>
      <c r="K165" s="215" cm="1">
        <f t="array" ref="K165">Common_InputFunctions.Utility_DisplayArrayInTable(Fertiliser_SourceData.Fertiliser_Products_Data3(), FertiliserProducts[[#Headers],[Company]],61)</f>
        <v>45.54</v>
      </c>
      <c r="L165" s="215" t="str" cm="1">
        <f t="array" ref="L165">Common_InputFunctions.Utility_DisplayArrayInTable(Fertiliser_SourceData.Fertiliser_Products_Data3(), FertiliserProducts[[#Headers],[Company]],61)</f>
        <v/>
      </c>
      <c r="M165" s="215" t="str" cm="1">
        <f t="array" ref="M165">Common_InputFunctions.Utility_DisplayArrayInTable(Fertiliser_SourceData.Fertiliser_Products_Data3(), FertiliserProducts[[#Headers],[Company]],61)</f>
        <v/>
      </c>
      <c r="N165" s="215" t="str" cm="1">
        <f t="array" ref="N165">Common_InputFunctions.Utility_DisplayArrayInTable(Fertiliser_SourceData.Fertiliser_Products_Data3(), FertiliserProducts[[#Headers],[Company]],61)</f>
        <v/>
      </c>
      <c r="O165" s="215" t="str" cm="1">
        <f t="array" ref="O165">Common_InputFunctions.Utility_DisplayArrayInTable(Fertiliser_SourceData.Fertiliser_Products_Data3(), FertiliserProducts[[#Headers],[Company]],61)</f>
        <v>Urea</v>
      </c>
      <c r="P165" s="215" cm="1">
        <f t="array" ref="P165">Common_InputFunctions.Utility_DisplayArrayInTable(Fertiliser_SourceData.Fertiliser_Products_Data3(), FertiliserProducts[[#Headers],[Company]],61)</f>
        <v>0.99</v>
      </c>
      <c r="Q165" s="215" t="str" cm="1">
        <f t="array" ref="Q165">Common_InputFunctions.Utility_DisplayArrayInTable(Fertiliser_SourceData.Fertiliser_Products_Data3(), FertiliserProducts[[#Headers],[Company]],61)</f>
        <v>Urease/nitrification inhibitor</v>
      </c>
      <c r="R165" s="215" cm="1">
        <f t="array" ref="R165">Common_InputFunctions.Utility_DisplayArrayInTable(Fertiliser_SourceData.Fertiliser_Products_Data3(), FertiliserProducts[[#Headers],[Company]],61)</f>
        <v>0.01</v>
      </c>
      <c r="S165" s="215" t="str" cm="1">
        <f t="array" ref="S165">Common_InputFunctions.Utility_DisplayArrayInTable(Fertiliser_SourceData.Fertiliser_Products_Data3(), FertiliserProducts[[#Headers],[Company]],61)</f>
        <v/>
      </c>
      <c r="T165" s="215" t="str" cm="1">
        <f t="array" ref="T165">Common_InputFunctions.Utility_DisplayArrayInTable(Fertiliser_SourceData.Fertiliser_Products_Data3(), FertiliserProducts[[#Headers],[Company]],61)</f>
        <v/>
      </c>
      <c r="U165" s="215" t="str" cm="1">
        <f t="array" ref="U165">Common_InputFunctions.Utility_DisplayArrayInTable(Fertiliser_SourceData.Fertiliser_Products_Data3(), FertiliserProducts[[#Headers],[Company]],61)</f>
        <v/>
      </c>
      <c r="V165" s="215" t="str" cm="1">
        <f t="array" ref="V165">Common_InputFunctions.Utility_DisplayArrayInTable(Fertiliser_SourceData.Fertiliser_Products_Data3(), FertiliserProducts[[#Headers],[Company]],61)</f>
        <v/>
      </c>
      <c r="W165" s="215" t="str" cm="1">
        <f t="array" ref="W165">Common_InputFunctions.Utility_DisplayArrayInTable(Fertiliser_SourceData.Fertiliser_Products_Data3(), FertiliserProducts[[#Headers],[Company]],61)</f>
        <v/>
      </c>
      <c r="X165" s="215" t="str" cm="1">
        <f t="array" ref="X165">Common_InputFunctions.Utility_DisplayArrayInTable(Fertiliser_SourceData.Fertiliser_Products_Data3(), FertiliserProducts[[#Headers],[Company]],61)</f>
        <v/>
      </c>
      <c r="Y165" s="215" t="str" cm="1">
        <f t="array" ref="Y165">Common_InputFunctions.Utility_DisplayArrayInTable(Fertiliser_SourceData.Fertiliser_Products_Data3(), FertiliserProducts[[#Headers],[Company]],61)</f>
        <v/>
      </c>
      <c r="Z165" s="215" t="str" cm="1">
        <f t="array" ref="Z165">Common_InputFunctions.Utility_DisplayArrayInTable(Fertiliser_SourceData.Fertiliser_Products_Data3(), FertiliserProducts[[#Headers],[Company]],61)</f>
        <v/>
      </c>
      <c r="AA165" s="215" t="str" cm="1">
        <f t="array" ref="AA165">Common_InputFunctions.Utility_DisplayArrayInTable(Fertiliser_SourceData.Fertiliser_Products_Data3(), FertiliserProducts[[#Headers],[Company]],61)</f>
        <v/>
      </c>
      <c r="AB165" s="215" t="str" cm="1">
        <f t="array" ref="AB165">Common_InputFunctions.Utility_DisplayArrayInTable(Fertiliser_SourceData.Fertiliser_Products_Data3(), FertiliserProducts[[#Headers],[Company]],61)</f>
        <v/>
      </c>
      <c r="AC165" s="215" t="str" cm="1">
        <f t="array" ref="AC165">Common_InputFunctions.Utility_DisplayArrayInTable(Fertiliser_SourceData.Fertiliser_Products_Data3(), FertiliserProducts[[#Headers],[Company]],61)</f>
        <v/>
      </c>
      <c r="AD165" s="215" t="str" cm="1">
        <f t="array" ref="AD165">Common_InputFunctions.Utility_DisplayArrayInTable(Fertiliser_SourceData.Fertiliser_Products_Data3(), FertiliserProducts[[#Headers],[Company]],61)</f>
        <v/>
      </c>
      <c r="AE165" s="215" t="str" cm="1">
        <f t="array" ref="AE165">Common_InputFunctions.Utility_DisplayArrayInTable(Fertiliser_SourceData.Fertiliser_Products_Data3(), FertiliserProducts[[#Headers],[Company]],61)</f>
        <v/>
      </c>
      <c r="AF165" s="215" t="str" cm="1">
        <f t="array" ref="AF165">Common_InputFunctions.Utility_DisplayArrayInTable(Fertiliser_SourceData.Fertiliser_Products_Data3(), FertiliserProducts[[#Headers],[Company]],61)</f>
        <v/>
      </c>
      <c r="AG165" s="215" t="str" cm="1">
        <f t="array" ref="AG165">Common_InputFunctions.Utility_DisplayArrayInTable(Fertiliser_SourceData.Fertiliser_Products_Data3(), FertiliserProducts[[#Headers],[Company]],61)</f>
        <v/>
      </c>
      <c r="AH165" s="215" t="str" cm="1">
        <f t="array" ref="AH165">Common_InputFunctions.Utility_DisplayArrayInTable(Fertiliser_SourceData.Fertiliser_Products_Data3(), FertiliserProducts[[#Headers],[Company]],61)</f>
        <v/>
      </c>
    </row>
    <row r="166" spans="4:34" x14ac:dyDescent="0.25">
      <c r="D166" s="215" t="str" cm="1">
        <f t="array" ref="D166">Common_InputFunctions.Utility_DisplayArrayInTable(Fertiliser_SourceData.Fertiliser_Products_Data3(), FertiliserProducts[[#Headers],[Company]],61)</f>
        <v>Nutri-Tech Solutions (NTS)</v>
      </c>
      <c r="E166" s="215" t="str" cm="1">
        <f t="array" ref="E166">Common_InputFunctions.Utility_DisplayArrayInTable(Fertiliser_SourceData.Fertiliser_Products_Data3(), FertiliserProducts[[#Headers],[Company]],61)</f>
        <v>Muriate Of Potash MOP</v>
      </c>
      <c r="F166" s="215" t="str" cm="1">
        <f t="array" ref="F166">Common_InputFunctions.Utility_DisplayArrayInTable(Fertiliser_SourceData.Fertiliser_Products_Data3(), FertiliserProducts[[#Headers],[Company]],61)</f>
        <v>kg</v>
      </c>
      <c r="G166" s="215" cm="1">
        <f t="array" ref="G166">Common_InputFunctions.Utility_DisplayArrayInTable(Fertiliser_SourceData.Fertiliser_Products_Data3(), FertiliserProducts[[#Headers],[Company]],61)</f>
        <v>1</v>
      </c>
      <c r="H166" s="215" t="str" cm="1">
        <f t="array" ref="H166">Common_InputFunctions.Utility_DisplayArrayInTable(Fertiliser_SourceData.Fertiliser_Products_Data3(), FertiliserProducts[[#Headers],[Company]],61)</f>
        <v/>
      </c>
      <c r="I166" s="215" t="str" cm="1">
        <f t="array" ref="I166">Common_InputFunctions.Utility_DisplayArrayInTable(Fertiliser_SourceData.Fertiliser_Products_Data3(), FertiliserProducts[[#Headers],[Company]],61)</f>
        <v/>
      </c>
      <c r="J166" s="215" t="str" cm="1">
        <f t="array" ref="J166">Common_InputFunctions.Utility_DisplayArrayInTable(Fertiliser_SourceData.Fertiliser_Products_Data3(), FertiliserProducts[[#Headers],[Company]],61)</f>
        <v/>
      </c>
      <c r="K166" s="215" t="str" cm="1">
        <f t="array" ref="K166">Common_InputFunctions.Utility_DisplayArrayInTable(Fertiliser_SourceData.Fertiliser_Products_Data3(), FertiliserProducts[[#Headers],[Company]],61)</f>
        <v/>
      </c>
      <c r="L166" s="215" t="str" cm="1">
        <f t="array" ref="L166">Common_InputFunctions.Utility_DisplayArrayInTable(Fertiliser_SourceData.Fertiliser_Products_Data3(), FertiliserProducts[[#Headers],[Company]],61)</f>
        <v/>
      </c>
      <c r="M166" s="215" cm="1">
        <f t="array" ref="M166">Common_InputFunctions.Utility_DisplayArrayInTable(Fertiliser_SourceData.Fertiliser_Products_Data3(), FertiliserProducts[[#Headers],[Company]],61)</f>
        <v>50</v>
      </c>
      <c r="N166" s="215" t="str" cm="1">
        <f t="array" ref="N166">Common_InputFunctions.Utility_DisplayArrayInTable(Fertiliser_SourceData.Fertiliser_Products_Data3(), FertiliserProducts[[#Headers],[Company]],61)</f>
        <v/>
      </c>
      <c r="O166" s="215" t="str" cm="1">
        <f t="array" ref="O166">Common_InputFunctions.Utility_DisplayArrayInTable(Fertiliser_SourceData.Fertiliser_Products_Data3(), FertiliserProducts[[#Headers],[Company]],61)</f>
        <v>Muriate of potash (MOP)</v>
      </c>
      <c r="P166" s="215" cm="1">
        <f t="array" ref="P166">Common_InputFunctions.Utility_DisplayArrayInTable(Fertiliser_SourceData.Fertiliser_Products_Data3(), FertiliserProducts[[#Headers],[Company]],61)</f>
        <v>1</v>
      </c>
      <c r="Q166" s="215" t="str" cm="1">
        <f t="array" ref="Q166">Common_InputFunctions.Utility_DisplayArrayInTable(Fertiliser_SourceData.Fertiliser_Products_Data3(), FertiliserProducts[[#Headers],[Company]],61)</f>
        <v/>
      </c>
      <c r="R166" s="215" t="str" cm="1">
        <f t="array" ref="R166">Common_InputFunctions.Utility_DisplayArrayInTable(Fertiliser_SourceData.Fertiliser_Products_Data3(), FertiliserProducts[[#Headers],[Company]],61)</f>
        <v/>
      </c>
      <c r="S166" s="215" t="str" cm="1">
        <f t="array" ref="S166">Common_InputFunctions.Utility_DisplayArrayInTable(Fertiliser_SourceData.Fertiliser_Products_Data3(), FertiliserProducts[[#Headers],[Company]],61)</f>
        <v/>
      </c>
      <c r="T166" s="215" t="str" cm="1">
        <f t="array" ref="T166">Common_InputFunctions.Utility_DisplayArrayInTable(Fertiliser_SourceData.Fertiliser_Products_Data3(), FertiliserProducts[[#Headers],[Company]],61)</f>
        <v/>
      </c>
      <c r="U166" s="215" t="str" cm="1">
        <f t="array" ref="U166">Common_InputFunctions.Utility_DisplayArrayInTable(Fertiliser_SourceData.Fertiliser_Products_Data3(), FertiliserProducts[[#Headers],[Company]],61)</f>
        <v/>
      </c>
      <c r="V166" s="215" t="str" cm="1">
        <f t="array" ref="V166">Common_InputFunctions.Utility_DisplayArrayInTable(Fertiliser_SourceData.Fertiliser_Products_Data3(), FertiliserProducts[[#Headers],[Company]],61)</f>
        <v/>
      </c>
      <c r="W166" s="215" t="str" cm="1">
        <f t="array" ref="W166">Common_InputFunctions.Utility_DisplayArrayInTable(Fertiliser_SourceData.Fertiliser_Products_Data3(), FertiliserProducts[[#Headers],[Company]],61)</f>
        <v/>
      </c>
      <c r="X166" s="215" t="str" cm="1">
        <f t="array" ref="X166">Common_InputFunctions.Utility_DisplayArrayInTable(Fertiliser_SourceData.Fertiliser_Products_Data3(), FertiliserProducts[[#Headers],[Company]],61)</f>
        <v/>
      </c>
      <c r="Y166" s="215" t="str" cm="1">
        <f t="array" ref="Y166">Common_InputFunctions.Utility_DisplayArrayInTable(Fertiliser_SourceData.Fertiliser_Products_Data3(), FertiliserProducts[[#Headers],[Company]],61)</f>
        <v/>
      </c>
      <c r="Z166" s="215" t="str" cm="1">
        <f t="array" ref="Z166">Common_InputFunctions.Utility_DisplayArrayInTable(Fertiliser_SourceData.Fertiliser_Products_Data3(), FertiliserProducts[[#Headers],[Company]],61)</f>
        <v/>
      </c>
      <c r="AA166" s="215" t="str" cm="1">
        <f t="array" ref="AA166">Common_InputFunctions.Utility_DisplayArrayInTable(Fertiliser_SourceData.Fertiliser_Products_Data3(), FertiliserProducts[[#Headers],[Company]],61)</f>
        <v/>
      </c>
      <c r="AB166" s="215" t="str" cm="1">
        <f t="array" ref="AB166">Common_InputFunctions.Utility_DisplayArrayInTable(Fertiliser_SourceData.Fertiliser_Products_Data3(), FertiliserProducts[[#Headers],[Company]],61)</f>
        <v/>
      </c>
      <c r="AC166" s="215" t="str" cm="1">
        <f t="array" ref="AC166">Common_InputFunctions.Utility_DisplayArrayInTable(Fertiliser_SourceData.Fertiliser_Products_Data3(), FertiliserProducts[[#Headers],[Company]],61)</f>
        <v/>
      </c>
      <c r="AD166" s="215" t="str" cm="1">
        <f t="array" ref="AD166">Common_InputFunctions.Utility_DisplayArrayInTable(Fertiliser_SourceData.Fertiliser_Products_Data3(), FertiliserProducts[[#Headers],[Company]],61)</f>
        <v/>
      </c>
      <c r="AE166" s="215" t="str" cm="1">
        <f t="array" ref="AE166">Common_InputFunctions.Utility_DisplayArrayInTable(Fertiliser_SourceData.Fertiliser_Products_Data3(), FertiliserProducts[[#Headers],[Company]],61)</f>
        <v/>
      </c>
      <c r="AF166" s="215" t="str" cm="1">
        <f t="array" ref="AF166">Common_InputFunctions.Utility_DisplayArrayInTable(Fertiliser_SourceData.Fertiliser_Products_Data3(), FertiliserProducts[[#Headers],[Company]],61)</f>
        <v/>
      </c>
      <c r="AG166" s="215" t="str" cm="1">
        <f t="array" ref="AG166">Common_InputFunctions.Utility_DisplayArrayInTable(Fertiliser_SourceData.Fertiliser_Products_Data3(), FertiliserProducts[[#Headers],[Company]],61)</f>
        <v/>
      </c>
      <c r="AH166" s="215" t="str" cm="1">
        <f t="array" ref="AH166">Common_InputFunctions.Utility_DisplayArrayInTable(Fertiliser_SourceData.Fertiliser_Products_Data3(), FertiliserProducts[[#Headers],[Company]],61)</f>
        <v/>
      </c>
    </row>
    <row r="167" spans="4:34" x14ac:dyDescent="0.25">
      <c r="D167" s="215" t="str" cm="1">
        <f t="array" ref="D167">Common_InputFunctions.Utility_DisplayArrayInTable(Fertiliser_SourceData.Fertiliser_Products_Data3(), FertiliserProducts[[#Headers],[Company]],61)</f>
        <v>Nuturf</v>
      </c>
      <c r="E167" s="215" t="str" cm="1">
        <f t="array" ref="E167">Common_InputFunctions.Utility_DisplayArrayInTable(Fertiliser_SourceData.Fertiliser_Products_Data3(), FertiliserProducts[[#Headers],[Company]],61)</f>
        <v>MAP NUTURF</v>
      </c>
      <c r="F167" s="215" t="str" cm="1">
        <f t="array" ref="F167">Common_InputFunctions.Utility_DisplayArrayInTable(Fertiliser_SourceData.Fertiliser_Products_Data3(), FertiliserProducts[[#Headers],[Company]],61)</f>
        <v>kg</v>
      </c>
      <c r="G167" s="215" cm="1">
        <f t="array" ref="G167">Common_InputFunctions.Utility_DisplayArrayInTable(Fertiliser_SourceData.Fertiliser_Products_Data3(), FertiliserProducts[[#Headers],[Company]],61)</f>
        <v>1</v>
      </c>
      <c r="H167" s="215" t="str" cm="1">
        <f t="array" ref="H167">Common_InputFunctions.Utility_DisplayArrayInTable(Fertiliser_SourceData.Fertiliser_Products_Data3(), FertiliserProducts[[#Headers],[Company]],61)</f>
        <v/>
      </c>
      <c r="I167" s="215" t="str" cm="1">
        <f t="array" ref="I167">Common_InputFunctions.Utility_DisplayArrayInTable(Fertiliser_SourceData.Fertiliser_Products_Data3(), FertiliserProducts[[#Headers],[Company]],61)</f>
        <v/>
      </c>
      <c r="J167" s="215" t="str" cm="1">
        <f t="array" ref="J167">Common_InputFunctions.Utility_DisplayArrayInTable(Fertiliser_SourceData.Fertiliser_Products_Data3(), FertiliserProducts[[#Headers],[Company]],61)</f>
        <v/>
      </c>
      <c r="K167" s="215" cm="1">
        <f t="array" ref="K167">Common_InputFunctions.Utility_DisplayArrayInTable(Fertiliser_SourceData.Fertiliser_Products_Data3(), FertiliserProducts[[#Headers],[Company]],61)</f>
        <v>10</v>
      </c>
      <c r="L167" s="215" cm="1">
        <f t="array" ref="L167">Common_InputFunctions.Utility_DisplayArrayInTable(Fertiliser_SourceData.Fertiliser_Products_Data3(), FertiliserProducts[[#Headers],[Company]],61)</f>
        <v>21.9</v>
      </c>
      <c r="M167" s="215" t="str" cm="1">
        <f t="array" ref="M167">Common_InputFunctions.Utility_DisplayArrayInTable(Fertiliser_SourceData.Fertiliser_Products_Data3(), FertiliserProducts[[#Headers],[Company]],61)</f>
        <v/>
      </c>
      <c r="N167" s="215" t="str" cm="1">
        <f t="array" ref="N167">Common_InputFunctions.Utility_DisplayArrayInTable(Fertiliser_SourceData.Fertiliser_Products_Data3(), FertiliserProducts[[#Headers],[Company]],61)</f>
        <v/>
      </c>
      <c r="O167" s="215" t="str" cm="1">
        <f t="array" ref="O167">Common_InputFunctions.Utility_DisplayArrayInTable(Fertiliser_SourceData.Fertiliser_Products_Data3(), FertiliserProducts[[#Headers],[Company]],61)</f>
        <v>Monoammonium phosphate (MAP)</v>
      </c>
      <c r="P167" s="215" cm="1">
        <f t="array" ref="P167">Common_InputFunctions.Utility_DisplayArrayInTable(Fertiliser_SourceData.Fertiliser_Products_Data3(), FertiliserProducts[[#Headers],[Company]],61)</f>
        <v>1</v>
      </c>
      <c r="Q167" s="215" t="str" cm="1">
        <f t="array" ref="Q167">Common_InputFunctions.Utility_DisplayArrayInTable(Fertiliser_SourceData.Fertiliser_Products_Data3(), FertiliserProducts[[#Headers],[Company]],61)</f>
        <v/>
      </c>
      <c r="R167" s="215" t="str" cm="1">
        <f t="array" ref="R167">Common_InputFunctions.Utility_DisplayArrayInTable(Fertiliser_SourceData.Fertiliser_Products_Data3(), FertiliserProducts[[#Headers],[Company]],61)</f>
        <v/>
      </c>
      <c r="S167" s="215" t="str" cm="1">
        <f t="array" ref="S167">Common_InputFunctions.Utility_DisplayArrayInTable(Fertiliser_SourceData.Fertiliser_Products_Data3(), FertiliserProducts[[#Headers],[Company]],61)</f>
        <v/>
      </c>
      <c r="T167" s="215" t="str" cm="1">
        <f t="array" ref="T167">Common_InputFunctions.Utility_DisplayArrayInTable(Fertiliser_SourceData.Fertiliser_Products_Data3(), FertiliserProducts[[#Headers],[Company]],61)</f>
        <v/>
      </c>
      <c r="U167" s="215" t="str" cm="1">
        <f t="array" ref="U167">Common_InputFunctions.Utility_DisplayArrayInTable(Fertiliser_SourceData.Fertiliser_Products_Data3(), FertiliserProducts[[#Headers],[Company]],61)</f>
        <v/>
      </c>
      <c r="V167" s="215" t="str" cm="1">
        <f t="array" ref="V167">Common_InputFunctions.Utility_DisplayArrayInTable(Fertiliser_SourceData.Fertiliser_Products_Data3(), FertiliserProducts[[#Headers],[Company]],61)</f>
        <v/>
      </c>
      <c r="W167" s="215" t="str" cm="1">
        <f t="array" ref="W167">Common_InputFunctions.Utility_DisplayArrayInTable(Fertiliser_SourceData.Fertiliser_Products_Data3(), FertiliserProducts[[#Headers],[Company]],61)</f>
        <v/>
      </c>
      <c r="X167" s="215" t="str" cm="1">
        <f t="array" ref="X167">Common_InputFunctions.Utility_DisplayArrayInTable(Fertiliser_SourceData.Fertiliser_Products_Data3(), FertiliserProducts[[#Headers],[Company]],61)</f>
        <v/>
      </c>
      <c r="Y167" s="215" t="str" cm="1">
        <f t="array" ref="Y167">Common_InputFunctions.Utility_DisplayArrayInTable(Fertiliser_SourceData.Fertiliser_Products_Data3(), FertiliserProducts[[#Headers],[Company]],61)</f>
        <v/>
      </c>
      <c r="Z167" s="215" t="str" cm="1">
        <f t="array" ref="Z167">Common_InputFunctions.Utility_DisplayArrayInTable(Fertiliser_SourceData.Fertiliser_Products_Data3(), FertiliserProducts[[#Headers],[Company]],61)</f>
        <v/>
      </c>
      <c r="AA167" s="215" t="str" cm="1">
        <f t="array" ref="AA167">Common_InputFunctions.Utility_DisplayArrayInTable(Fertiliser_SourceData.Fertiliser_Products_Data3(), FertiliserProducts[[#Headers],[Company]],61)</f>
        <v/>
      </c>
      <c r="AB167" s="215" t="str" cm="1">
        <f t="array" ref="AB167">Common_InputFunctions.Utility_DisplayArrayInTable(Fertiliser_SourceData.Fertiliser_Products_Data3(), FertiliserProducts[[#Headers],[Company]],61)</f>
        <v/>
      </c>
      <c r="AC167" s="215" t="str" cm="1">
        <f t="array" ref="AC167">Common_InputFunctions.Utility_DisplayArrayInTable(Fertiliser_SourceData.Fertiliser_Products_Data3(), FertiliserProducts[[#Headers],[Company]],61)</f>
        <v/>
      </c>
      <c r="AD167" s="215" t="str" cm="1">
        <f t="array" ref="AD167">Common_InputFunctions.Utility_DisplayArrayInTable(Fertiliser_SourceData.Fertiliser_Products_Data3(), FertiliserProducts[[#Headers],[Company]],61)</f>
        <v/>
      </c>
      <c r="AE167" s="215" t="str" cm="1">
        <f t="array" ref="AE167">Common_InputFunctions.Utility_DisplayArrayInTable(Fertiliser_SourceData.Fertiliser_Products_Data3(), FertiliserProducts[[#Headers],[Company]],61)</f>
        <v/>
      </c>
      <c r="AF167" s="215" t="str" cm="1">
        <f t="array" ref="AF167">Common_InputFunctions.Utility_DisplayArrayInTable(Fertiliser_SourceData.Fertiliser_Products_Data3(), FertiliserProducts[[#Headers],[Company]],61)</f>
        <v/>
      </c>
      <c r="AG167" s="215" t="str" cm="1">
        <f t="array" ref="AG167">Common_InputFunctions.Utility_DisplayArrayInTable(Fertiliser_SourceData.Fertiliser_Products_Data3(), FertiliserProducts[[#Headers],[Company]],61)</f>
        <v/>
      </c>
      <c r="AH167" s="215" t="str" cm="1">
        <f t="array" ref="AH167">Common_InputFunctions.Utility_DisplayArrayInTable(Fertiliser_SourceData.Fertiliser_Products_Data3(), FertiliserProducts[[#Headers],[Company]],61)</f>
        <v/>
      </c>
    </row>
    <row r="168" spans="4:34" x14ac:dyDescent="0.25">
      <c r="D168" s="215" t="str" cm="1">
        <f t="array" ref="D168">Common_InputFunctions.Utility_DisplayArrayInTable(Fertiliser_SourceData.Fertiliser_Products_Data3(), FertiliserProducts[[#Headers],[Company]],61)</f>
        <v>Campbells fertilisers Australia</v>
      </c>
      <c r="E168" s="215" t="str" cm="1">
        <f t="array" ref="E168">Common_InputFunctions.Utility_DisplayArrayInTable(Fertiliser_SourceData.Fertiliser_Products_Data3(), FertiliserProducts[[#Headers],[Company]],61)</f>
        <v>Quick-N</v>
      </c>
      <c r="F168" s="215" t="str" cm="1">
        <f t="array" ref="F168">Common_InputFunctions.Utility_DisplayArrayInTable(Fertiliser_SourceData.Fertiliser_Products_Data3(), FertiliserProducts[[#Headers],[Company]],61)</f>
        <v>kg</v>
      </c>
      <c r="G168" s="215" cm="1">
        <f t="array" ref="G168">Common_InputFunctions.Utility_DisplayArrayInTable(Fertiliser_SourceData.Fertiliser_Products_Data3(), FertiliserProducts[[#Headers],[Company]],61)</f>
        <v>1</v>
      </c>
      <c r="H168" s="215" t="str" cm="1">
        <f t="array" ref="H168">Common_InputFunctions.Utility_DisplayArrayInTable(Fertiliser_SourceData.Fertiliser_Products_Data3(), FertiliserProducts[[#Headers],[Company]],61)</f>
        <v/>
      </c>
      <c r="I168" s="215" t="str" cm="1">
        <f t="array" ref="I168">Common_InputFunctions.Utility_DisplayArrayInTable(Fertiliser_SourceData.Fertiliser_Products_Data3(), FertiliserProducts[[#Headers],[Company]],61)</f>
        <v/>
      </c>
      <c r="J168" s="215" t="str" cm="1">
        <f t="array" ref="J168">Common_InputFunctions.Utility_DisplayArrayInTable(Fertiliser_SourceData.Fertiliser_Products_Data3(), FertiliserProducts[[#Headers],[Company]],61)</f>
        <v/>
      </c>
      <c r="K168" s="215" cm="1">
        <f t="array" ref="K168">Common_InputFunctions.Utility_DisplayArrayInTable(Fertiliser_SourceData.Fertiliser_Products_Data3(), FertiliserProducts[[#Headers],[Company]],61)</f>
        <v>26</v>
      </c>
      <c r="L168" s="215" t="str" cm="1">
        <f t="array" ref="L168">Common_InputFunctions.Utility_DisplayArrayInTable(Fertiliser_SourceData.Fertiliser_Products_Data3(), FertiliserProducts[[#Headers],[Company]],61)</f>
        <v/>
      </c>
      <c r="M168" s="215" t="str" cm="1">
        <f t="array" ref="M168">Common_InputFunctions.Utility_DisplayArrayInTable(Fertiliser_SourceData.Fertiliser_Products_Data3(), FertiliserProducts[[#Headers],[Company]],61)</f>
        <v/>
      </c>
      <c r="N168" s="215" cm="1">
        <f t="array" ref="N168">Common_InputFunctions.Utility_DisplayArrayInTable(Fertiliser_SourceData.Fertiliser_Products_Data3(), FertiliserProducts[[#Headers],[Company]],61)</f>
        <v>13</v>
      </c>
      <c r="O168" s="215" t="str" cm="1">
        <f t="array" ref="O168">Common_InputFunctions.Utility_DisplayArrayInTable(Fertiliser_SourceData.Fertiliser_Products_Data3(), FertiliserProducts[[#Headers],[Company]],61)</f>
        <v>Sulphate of ammonia (SOA)</v>
      </c>
      <c r="P168" s="215" cm="1">
        <f t="array" ref="P168">Common_InputFunctions.Utility_DisplayArrayInTable(Fertiliser_SourceData.Fertiliser_Products_Data3(), FertiliserProducts[[#Headers],[Company]],61)</f>
        <v>0.54166700000000001</v>
      </c>
      <c r="Q168" s="215" t="str" cm="1">
        <f t="array" ref="Q168">Common_InputFunctions.Utility_DisplayArrayInTable(Fertiliser_SourceData.Fertiliser_Products_Data3(), FertiliserProducts[[#Headers],[Company]],61)</f>
        <v>Ammonium nitrate (AN)</v>
      </c>
      <c r="R168" s="215" cm="1">
        <f t="array" ref="R168">Common_InputFunctions.Utility_DisplayArrayInTable(Fertiliser_SourceData.Fertiliser_Products_Data3(), FertiliserProducts[[#Headers],[Company]],61)</f>
        <v>0.43397599999999997</v>
      </c>
      <c r="S168" s="215" t="str" cm="1">
        <f t="array" ref="S168">Common_InputFunctions.Utility_DisplayArrayInTable(Fertiliser_SourceData.Fertiliser_Products_Data3(), FertiliserProducts[[#Headers],[Company]],61)</f>
        <v/>
      </c>
      <c r="T168" s="215" t="str" cm="1">
        <f t="array" ref="T168">Common_InputFunctions.Utility_DisplayArrayInTable(Fertiliser_SourceData.Fertiliser_Products_Data3(), FertiliserProducts[[#Headers],[Company]],61)</f>
        <v/>
      </c>
      <c r="U168" s="215" t="str" cm="1">
        <f t="array" ref="U168">Common_InputFunctions.Utility_DisplayArrayInTable(Fertiliser_SourceData.Fertiliser_Products_Data3(), FertiliserProducts[[#Headers],[Company]],61)</f>
        <v/>
      </c>
      <c r="V168" s="215" t="str" cm="1">
        <f t="array" ref="V168">Common_InputFunctions.Utility_DisplayArrayInTable(Fertiliser_SourceData.Fertiliser_Products_Data3(), FertiliserProducts[[#Headers],[Company]],61)</f>
        <v/>
      </c>
      <c r="W168" s="215" t="str" cm="1">
        <f t="array" ref="W168">Common_InputFunctions.Utility_DisplayArrayInTable(Fertiliser_SourceData.Fertiliser_Products_Data3(), FertiliserProducts[[#Headers],[Company]],61)</f>
        <v/>
      </c>
      <c r="X168" s="215" t="str" cm="1">
        <f t="array" ref="X168">Common_InputFunctions.Utility_DisplayArrayInTable(Fertiliser_SourceData.Fertiliser_Products_Data3(), FertiliserProducts[[#Headers],[Company]],61)</f>
        <v/>
      </c>
      <c r="Y168" s="215" t="str" cm="1">
        <f t="array" ref="Y168">Common_InputFunctions.Utility_DisplayArrayInTable(Fertiliser_SourceData.Fertiliser_Products_Data3(), FertiliserProducts[[#Headers],[Company]],61)</f>
        <v/>
      </c>
      <c r="Z168" s="215" t="str" cm="1">
        <f t="array" ref="Z168">Common_InputFunctions.Utility_DisplayArrayInTable(Fertiliser_SourceData.Fertiliser_Products_Data3(), FertiliserProducts[[#Headers],[Company]],61)</f>
        <v/>
      </c>
      <c r="AA168" s="215" t="str" cm="1">
        <f t="array" ref="AA168">Common_InputFunctions.Utility_DisplayArrayInTable(Fertiliser_SourceData.Fertiliser_Products_Data3(), FertiliserProducts[[#Headers],[Company]],61)</f>
        <v/>
      </c>
      <c r="AB168" s="215" t="str" cm="1">
        <f t="array" ref="AB168">Common_InputFunctions.Utility_DisplayArrayInTable(Fertiliser_SourceData.Fertiliser_Products_Data3(), FertiliserProducts[[#Headers],[Company]],61)</f>
        <v/>
      </c>
      <c r="AC168" s="215" t="str" cm="1">
        <f t="array" ref="AC168">Common_InputFunctions.Utility_DisplayArrayInTable(Fertiliser_SourceData.Fertiliser_Products_Data3(), FertiliserProducts[[#Headers],[Company]],61)</f>
        <v/>
      </c>
      <c r="AD168" s="215" t="str" cm="1">
        <f t="array" ref="AD168">Common_InputFunctions.Utility_DisplayArrayInTable(Fertiliser_SourceData.Fertiliser_Products_Data3(), FertiliserProducts[[#Headers],[Company]],61)</f>
        <v/>
      </c>
      <c r="AE168" s="215" t="str" cm="1">
        <f t="array" ref="AE168">Common_InputFunctions.Utility_DisplayArrayInTable(Fertiliser_SourceData.Fertiliser_Products_Data3(), FertiliserProducts[[#Headers],[Company]],61)</f>
        <v/>
      </c>
      <c r="AF168" s="215" t="str" cm="1">
        <f t="array" ref="AF168">Common_InputFunctions.Utility_DisplayArrayInTable(Fertiliser_SourceData.Fertiliser_Products_Data3(), FertiliserProducts[[#Headers],[Company]],61)</f>
        <v/>
      </c>
      <c r="AG168" s="215" t="str" cm="1">
        <f t="array" ref="AG168">Common_InputFunctions.Utility_DisplayArrayInTable(Fertiliser_SourceData.Fertiliser_Products_Data3(), FertiliserProducts[[#Headers],[Company]],61)</f>
        <v/>
      </c>
      <c r="AH168" s="215" t="str" cm="1">
        <f t="array" ref="AH168">Common_InputFunctions.Utility_DisplayArrayInTable(Fertiliser_SourceData.Fertiliser_Products_Data3(), FertiliserProducts[[#Headers],[Company]],61)</f>
        <v/>
      </c>
    </row>
    <row r="169" spans="4:34" x14ac:dyDescent="0.25">
      <c r="D169" s="215" t="str" cm="1">
        <f t="array" ref="D169">Common_InputFunctions.Utility_DisplayArrayInTable(Fertiliser_SourceData.Fertiliser_Products_Data3(), FertiliserProducts[[#Headers],[Company]],61)</f>
        <v>SLTEC Fertilizers</v>
      </c>
      <c r="E169" s="215" t="str" cm="1">
        <f t="array" ref="E169">Common_InputFunctions.Utility_DisplayArrayInTable(Fertiliser_SourceData.Fertiliser_Products_Data3(), FertiliserProducts[[#Headers],[Company]],61)</f>
        <v>UAS</v>
      </c>
      <c r="F169" s="215" t="str" cm="1">
        <f t="array" ref="F169">Common_InputFunctions.Utility_DisplayArrayInTable(Fertiliser_SourceData.Fertiliser_Products_Data3(), FertiliserProducts[[#Headers],[Company]],61)</f>
        <v>L</v>
      </c>
      <c r="G169" s="215" cm="1">
        <f t="array" ref="G169">Common_InputFunctions.Utility_DisplayArrayInTable(Fertiliser_SourceData.Fertiliser_Products_Data3(), FertiliserProducts[[#Headers],[Company]],61)</f>
        <v>1.2350000000000001</v>
      </c>
      <c r="H169" s="215" t="str" cm="1">
        <f t="array" ref="H169">Common_InputFunctions.Utility_DisplayArrayInTable(Fertiliser_SourceData.Fertiliser_Products_Data3(), FertiliserProducts[[#Headers],[Company]],61)</f>
        <v/>
      </c>
      <c r="I169" s="215" t="str" cm="1">
        <f t="array" ref="I169">Common_InputFunctions.Utility_DisplayArrayInTable(Fertiliser_SourceData.Fertiliser_Products_Data3(), FertiliserProducts[[#Headers],[Company]],61)</f>
        <v/>
      </c>
      <c r="J169" s="215" t="str" cm="1">
        <f t="array" ref="J169">Common_InputFunctions.Utility_DisplayArrayInTable(Fertiliser_SourceData.Fertiliser_Products_Data3(), FertiliserProducts[[#Headers],[Company]],61)</f>
        <v/>
      </c>
      <c r="K169" s="215" cm="1">
        <f t="array" ref="K169">Common_InputFunctions.Utility_DisplayArrayInTable(Fertiliser_SourceData.Fertiliser_Products_Data3(), FertiliserProducts[[#Headers],[Company]],61)</f>
        <v>26.6</v>
      </c>
      <c r="L169" s="215" t="str" cm="1">
        <f t="array" ref="L169">Common_InputFunctions.Utility_DisplayArrayInTable(Fertiliser_SourceData.Fertiliser_Products_Data3(), FertiliserProducts[[#Headers],[Company]],61)</f>
        <v/>
      </c>
      <c r="M169" s="215" t="str" cm="1">
        <f t="array" ref="M169">Common_InputFunctions.Utility_DisplayArrayInTable(Fertiliser_SourceData.Fertiliser_Products_Data3(), FertiliserProducts[[#Headers],[Company]],61)</f>
        <v/>
      </c>
      <c r="N169" s="215" cm="1">
        <f t="array" ref="N169">Common_InputFunctions.Utility_DisplayArrayInTable(Fertiliser_SourceData.Fertiliser_Products_Data3(), FertiliserProducts[[#Headers],[Company]],61)</f>
        <v>6.7</v>
      </c>
      <c r="O169" s="215" t="str" cm="1">
        <f t="array" ref="O169">Common_InputFunctions.Utility_DisplayArrayInTable(Fertiliser_SourceData.Fertiliser_Products_Data3(), FertiliserProducts[[#Headers],[Company]],61)</f>
        <v>Urea</v>
      </c>
      <c r="P169" s="215" cm="1">
        <f t="array" ref="P169">Common_InputFunctions.Utility_DisplayArrayInTable(Fertiliser_SourceData.Fertiliser_Products_Data3(), FertiliserProducts[[#Headers],[Company]],61)</f>
        <v>0.45081500000000002</v>
      </c>
      <c r="Q169" s="215" t="str" cm="1">
        <f t="array" ref="Q169">Common_InputFunctions.Utility_DisplayArrayInTable(Fertiliser_SourceData.Fertiliser_Products_Data3(), FertiliserProducts[[#Headers],[Company]],61)</f>
        <v>Sulphate of ammonia (SOA)</v>
      </c>
      <c r="R169" s="215" cm="1">
        <f t="array" ref="R169">Common_InputFunctions.Utility_DisplayArrayInTable(Fertiliser_SourceData.Fertiliser_Products_Data3(), FertiliserProducts[[#Headers],[Company]],61)</f>
        <v>0.279167</v>
      </c>
      <c r="S169" s="215" t="str" cm="1">
        <f t="array" ref="S169">Common_InputFunctions.Utility_DisplayArrayInTable(Fertiliser_SourceData.Fertiliser_Products_Data3(), FertiliserProducts[[#Headers],[Company]],61)</f>
        <v/>
      </c>
      <c r="T169" s="215" t="str" cm="1">
        <f t="array" ref="T169">Common_InputFunctions.Utility_DisplayArrayInTable(Fertiliser_SourceData.Fertiliser_Products_Data3(), FertiliserProducts[[#Headers],[Company]],61)</f>
        <v/>
      </c>
      <c r="U169" s="215" t="str" cm="1">
        <f t="array" ref="U169">Common_InputFunctions.Utility_DisplayArrayInTable(Fertiliser_SourceData.Fertiliser_Products_Data3(), FertiliserProducts[[#Headers],[Company]],61)</f>
        <v/>
      </c>
      <c r="V169" s="215" t="str" cm="1">
        <f t="array" ref="V169">Common_InputFunctions.Utility_DisplayArrayInTable(Fertiliser_SourceData.Fertiliser_Products_Data3(), FertiliserProducts[[#Headers],[Company]],61)</f>
        <v/>
      </c>
      <c r="W169" s="215" t="str" cm="1">
        <f t="array" ref="W169">Common_InputFunctions.Utility_DisplayArrayInTable(Fertiliser_SourceData.Fertiliser_Products_Data3(), FertiliserProducts[[#Headers],[Company]],61)</f>
        <v/>
      </c>
      <c r="X169" s="215" t="str" cm="1">
        <f t="array" ref="X169">Common_InputFunctions.Utility_DisplayArrayInTable(Fertiliser_SourceData.Fertiliser_Products_Data3(), FertiliserProducts[[#Headers],[Company]],61)</f>
        <v/>
      </c>
      <c r="Y169" s="215" t="str" cm="1">
        <f t="array" ref="Y169">Common_InputFunctions.Utility_DisplayArrayInTable(Fertiliser_SourceData.Fertiliser_Products_Data3(), FertiliserProducts[[#Headers],[Company]],61)</f>
        <v/>
      </c>
      <c r="Z169" s="215" t="str" cm="1">
        <f t="array" ref="Z169">Common_InputFunctions.Utility_DisplayArrayInTable(Fertiliser_SourceData.Fertiliser_Products_Data3(), FertiliserProducts[[#Headers],[Company]],61)</f>
        <v/>
      </c>
      <c r="AA169" s="215" t="str" cm="1">
        <f t="array" ref="AA169">Common_InputFunctions.Utility_DisplayArrayInTable(Fertiliser_SourceData.Fertiliser_Products_Data3(), FertiliserProducts[[#Headers],[Company]],61)</f>
        <v/>
      </c>
      <c r="AB169" s="215" t="str" cm="1">
        <f t="array" ref="AB169">Common_InputFunctions.Utility_DisplayArrayInTable(Fertiliser_SourceData.Fertiliser_Products_Data3(), FertiliserProducts[[#Headers],[Company]],61)</f>
        <v/>
      </c>
      <c r="AC169" s="215" t="str" cm="1">
        <f t="array" ref="AC169">Common_InputFunctions.Utility_DisplayArrayInTable(Fertiliser_SourceData.Fertiliser_Products_Data3(), FertiliserProducts[[#Headers],[Company]],61)</f>
        <v/>
      </c>
      <c r="AD169" s="215" t="str" cm="1">
        <f t="array" ref="AD169">Common_InputFunctions.Utility_DisplayArrayInTable(Fertiliser_SourceData.Fertiliser_Products_Data3(), FertiliserProducts[[#Headers],[Company]],61)</f>
        <v/>
      </c>
      <c r="AE169" s="215" t="str" cm="1">
        <f t="array" ref="AE169">Common_InputFunctions.Utility_DisplayArrayInTable(Fertiliser_SourceData.Fertiliser_Products_Data3(), FertiliserProducts[[#Headers],[Company]],61)</f>
        <v/>
      </c>
      <c r="AF169" s="215" t="str" cm="1">
        <f t="array" ref="AF169">Common_InputFunctions.Utility_DisplayArrayInTable(Fertiliser_SourceData.Fertiliser_Products_Data3(), FertiliserProducts[[#Headers],[Company]],61)</f>
        <v/>
      </c>
      <c r="AG169" s="215" t="str" cm="1">
        <f t="array" ref="AG169">Common_InputFunctions.Utility_DisplayArrayInTable(Fertiliser_SourceData.Fertiliser_Products_Data3(), FertiliserProducts[[#Headers],[Company]],61)</f>
        <v/>
      </c>
      <c r="AH169" s="215" t="str" cm="1">
        <f t="array" ref="AH169">Common_InputFunctions.Utility_DisplayArrayInTable(Fertiliser_SourceData.Fertiliser_Products_Data3(), FertiliserProducts[[#Headers],[Company]],61)</f>
        <v/>
      </c>
    </row>
    <row r="170" spans="4:34" x14ac:dyDescent="0.25">
      <c r="D170" s="215" t="str" cm="1">
        <f t="array" ref="D170">Common_InputFunctions.Utility_DisplayArrayInTable(Fertiliser_SourceData.Fertiliser_Products_Data3(), FertiliserProducts[[#Headers],[Company]],61)</f>
        <v>SLTEC Fertilizers</v>
      </c>
      <c r="E170" s="215" t="str" cm="1">
        <f t="array" ref="E170">Common_InputFunctions.Utility_DisplayArrayInTable(Fertiliser_SourceData.Fertiliser_Products_Data3(), FertiliserProducts[[#Headers],[Company]],61)</f>
        <v>Triazone Urea</v>
      </c>
      <c r="F170" s="215" t="str" cm="1">
        <f t="array" ref="F170">Common_InputFunctions.Utility_DisplayArrayInTable(Fertiliser_SourceData.Fertiliser_Products_Data3(), FertiliserProducts[[#Headers],[Company]],61)</f>
        <v>L</v>
      </c>
      <c r="G170" s="215" cm="1">
        <f t="array" ref="G170">Common_InputFunctions.Utility_DisplayArrayInTable(Fertiliser_SourceData.Fertiliser_Products_Data3(), FertiliserProducts[[#Headers],[Company]],61)</f>
        <v>1.28</v>
      </c>
      <c r="H170" s="215" t="str" cm="1">
        <f t="array" ref="H170">Common_InputFunctions.Utility_DisplayArrayInTable(Fertiliser_SourceData.Fertiliser_Products_Data3(), FertiliserProducts[[#Headers],[Company]],61)</f>
        <v/>
      </c>
      <c r="I170" s="215" t="str" cm="1">
        <f t="array" ref="I170">Common_InputFunctions.Utility_DisplayArrayInTable(Fertiliser_SourceData.Fertiliser_Products_Data3(), FertiliserProducts[[#Headers],[Company]],61)</f>
        <v/>
      </c>
      <c r="J170" s="215" t="str" cm="1">
        <f t="array" ref="J170">Common_InputFunctions.Utility_DisplayArrayInTable(Fertiliser_SourceData.Fertiliser_Products_Data3(), FertiliserProducts[[#Headers],[Company]],61)</f>
        <v/>
      </c>
      <c r="K170" s="215" cm="1">
        <f t="array" ref="K170">Common_InputFunctions.Utility_DisplayArrayInTable(Fertiliser_SourceData.Fertiliser_Products_Data3(), FertiliserProducts[[#Headers],[Company]],61)</f>
        <v>0</v>
      </c>
      <c r="L170" s="215" t="str" cm="1">
        <f t="array" ref="L170">Common_InputFunctions.Utility_DisplayArrayInTable(Fertiliser_SourceData.Fertiliser_Products_Data3(), FertiliserProducts[[#Headers],[Company]],61)</f>
        <v/>
      </c>
      <c r="M170" s="215" t="str" cm="1">
        <f t="array" ref="M170">Common_InputFunctions.Utility_DisplayArrayInTable(Fertiliser_SourceData.Fertiliser_Products_Data3(), FertiliserProducts[[#Headers],[Company]],61)</f>
        <v/>
      </c>
      <c r="N170" s="215" t="str" cm="1">
        <f t="array" ref="N170">Common_InputFunctions.Utility_DisplayArrayInTable(Fertiliser_SourceData.Fertiliser_Products_Data3(), FertiliserProducts[[#Headers],[Company]],61)</f>
        <v/>
      </c>
      <c r="O170" s="215" t="str" cm="1">
        <f t="array" ref="O170">Common_InputFunctions.Utility_DisplayArrayInTable(Fertiliser_SourceData.Fertiliser_Products_Data3(), FertiliserProducts[[#Headers],[Company]],61)</f>
        <v>Urea</v>
      </c>
      <c r="P170" s="215" cm="1">
        <f t="array" ref="P170">Common_InputFunctions.Utility_DisplayArrayInTable(Fertiliser_SourceData.Fertiliser_Products_Data3(), FertiliserProducts[[#Headers],[Company]],61)</f>
        <v>0.65217400000000003</v>
      </c>
      <c r="Q170" s="215" t="str" cm="1">
        <f t="array" ref="Q170">Common_InputFunctions.Utility_DisplayArrayInTable(Fertiliser_SourceData.Fertiliser_Products_Data3(), FertiliserProducts[[#Headers],[Company]],61)</f>
        <v/>
      </c>
      <c r="R170" s="215" t="str" cm="1">
        <f t="array" ref="R170">Common_InputFunctions.Utility_DisplayArrayInTable(Fertiliser_SourceData.Fertiliser_Products_Data3(), FertiliserProducts[[#Headers],[Company]],61)</f>
        <v/>
      </c>
      <c r="S170" s="215" t="str" cm="1">
        <f t="array" ref="S170">Common_InputFunctions.Utility_DisplayArrayInTable(Fertiliser_SourceData.Fertiliser_Products_Data3(), FertiliserProducts[[#Headers],[Company]],61)</f>
        <v/>
      </c>
      <c r="T170" s="215" t="str" cm="1">
        <f t="array" ref="T170">Common_InputFunctions.Utility_DisplayArrayInTable(Fertiliser_SourceData.Fertiliser_Products_Data3(), FertiliserProducts[[#Headers],[Company]],61)</f>
        <v/>
      </c>
      <c r="U170" s="215" t="str" cm="1">
        <f t="array" ref="U170">Common_InputFunctions.Utility_DisplayArrayInTable(Fertiliser_SourceData.Fertiliser_Products_Data3(), FertiliserProducts[[#Headers],[Company]],61)</f>
        <v/>
      </c>
      <c r="V170" s="215" t="str" cm="1">
        <f t="array" ref="V170">Common_InputFunctions.Utility_DisplayArrayInTable(Fertiliser_SourceData.Fertiliser_Products_Data3(), FertiliserProducts[[#Headers],[Company]],61)</f>
        <v/>
      </c>
      <c r="W170" s="215" t="str" cm="1">
        <f t="array" ref="W170">Common_InputFunctions.Utility_DisplayArrayInTable(Fertiliser_SourceData.Fertiliser_Products_Data3(), FertiliserProducts[[#Headers],[Company]],61)</f>
        <v/>
      </c>
      <c r="X170" s="215" t="str" cm="1">
        <f t="array" ref="X170">Common_InputFunctions.Utility_DisplayArrayInTable(Fertiliser_SourceData.Fertiliser_Products_Data3(), FertiliserProducts[[#Headers],[Company]],61)</f>
        <v/>
      </c>
      <c r="Y170" s="215" t="str" cm="1">
        <f t="array" ref="Y170">Common_InputFunctions.Utility_DisplayArrayInTable(Fertiliser_SourceData.Fertiliser_Products_Data3(), FertiliserProducts[[#Headers],[Company]],61)</f>
        <v/>
      </c>
      <c r="Z170" s="215" t="str" cm="1">
        <f t="array" ref="Z170">Common_InputFunctions.Utility_DisplayArrayInTable(Fertiliser_SourceData.Fertiliser_Products_Data3(), FertiliserProducts[[#Headers],[Company]],61)</f>
        <v/>
      </c>
      <c r="AA170" s="215" t="str" cm="1">
        <f t="array" ref="AA170">Common_InputFunctions.Utility_DisplayArrayInTable(Fertiliser_SourceData.Fertiliser_Products_Data3(), FertiliserProducts[[#Headers],[Company]],61)</f>
        <v/>
      </c>
      <c r="AB170" s="215" t="str" cm="1">
        <f t="array" ref="AB170">Common_InputFunctions.Utility_DisplayArrayInTable(Fertiliser_SourceData.Fertiliser_Products_Data3(), FertiliserProducts[[#Headers],[Company]],61)</f>
        <v/>
      </c>
      <c r="AC170" s="215" t="str" cm="1">
        <f t="array" ref="AC170">Common_InputFunctions.Utility_DisplayArrayInTable(Fertiliser_SourceData.Fertiliser_Products_Data3(), FertiliserProducts[[#Headers],[Company]],61)</f>
        <v/>
      </c>
      <c r="AD170" s="215" t="str" cm="1">
        <f t="array" ref="AD170">Common_InputFunctions.Utility_DisplayArrayInTable(Fertiliser_SourceData.Fertiliser_Products_Data3(), FertiliserProducts[[#Headers],[Company]],61)</f>
        <v/>
      </c>
      <c r="AE170" s="215" t="str" cm="1">
        <f t="array" ref="AE170">Common_InputFunctions.Utility_DisplayArrayInTable(Fertiliser_SourceData.Fertiliser_Products_Data3(), FertiliserProducts[[#Headers],[Company]],61)</f>
        <v/>
      </c>
      <c r="AF170" s="215" t="str" cm="1">
        <f t="array" ref="AF170">Common_InputFunctions.Utility_DisplayArrayInTable(Fertiliser_SourceData.Fertiliser_Products_Data3(), FertiliserProducts[[#Headers],[Company]],61)</f>
        <v/>
      </c>
      <c r="AG170" s="215" t="str" cm="1">
        <f t="array" ref="AG170">Common_InputFunctions.Utility_DisplayArrayInTable(Fertiliser_SourceData.Fertiliser_Products_Data3(), FertiliserProducts[[#Headers],[Company]],61)</f>
        <v/>
      </c>
      <c r="AH170" s="215" t="str" cm="1">
        <f t="array" ref="AH170">Common_InputFunctions.Utility_DisplayArrayInTable(Fertiliser_SourceData.Fertiliser_Products_Data3(), FertiliserProducts[[#Headers],[Company]],61)</f>
        <v/>
      </c>
    </row>
    <row r="171" spans="4:34" x14ac:dyDescent="0.25">
      <c r="D171" s="215" t="str" cm="1">
        <f t="array" ref="D171">Common_InputFunctions.Utility_DisplayArrayInTable(Fertiliser_SourceData.Fertiliser_Products_Data3(), FertiliserProducts[[#Headers],[Company]],61)</f>
        <v>Marnco [listed as SLTEC]</v>
      </c>
      <c r="E171" s="215" t="str" cm="1">
        <f t="array" ref="E171">Common_InputFunctions.Utility_DisplayArrayInTable(Fertiliser_SourceData.Fertiliser_Products_Data3(), FertiliserProducts[[#Headers],[Company]],61)</f>
        <v>Ammo 36N</v>
      </c>
      <c r="F171" s="215" t="str" cm="1">
        <f t="array" ref="F171">Common_InputFunctions.Utility_DisplayArrayInTable(Fertiliser_SourceData.Fertiliser_Products_Data3(), FertiliserProducts[[#Headers],[Company]],61)</f>
        <v>kg</v>
      </c>
      <c r="G171" s="215" cm="1">
        <f t="array" ref="G171">Common_InputFunctions.Utility_DisplayArrayInTable(Fertiliser_SourceData.Fertiliser_Products_Data3(), FertiliserProducts[[#Headers],[Company]],61)</f>
        <v>1</v>
      </c>
      <c r="H171" s="215" t="str" cm="1">
        <f t="array" ref="H171">Common_InputFunctions.Utility_DisplayArrayInTable(Fertiliser_SourceData.Fertiliser_Products_Data3(), FertiliserProducts[[#Headers],[Company]],61)</f>
        <v/>
      </c>
      <c r="I171" s="215" t="str" cm="1">
        <f t="array" ref="I171">Common_InputFunctions.Utility_DisplayArrayInTable(Fertiliser_SourceData.Fertiliser_Products_Data3(), FertiliserProducts[[#Headers],[Company]],61)</f>
        <v/>
      </c>
      <c r="J171" s="215" t="str" cm="1">
        <f t="array" ref="J171">Common_InputFunctions.Utility_DisplayArrayInTable(Fertiliser_SourceData.Fertiliser_Products_Data3(), FertiliserProducts[[#Headers],[Company]],61)</f>
        <v/>
      </c>
      <c r="K171" s="215" cm="1">
        <f t="array" ref="K171">Common_InputFunctions.Utility_DisplayArrayInTable(Fertiliser_SourceData.Fertiliser_Products_Data3(), FertiliserProducts[[#Headers],[Company]],61)</f>
        <v>36</v>
      </c>
      <c r="L171" s="215" t="str" cm="1">
        <f t="array" ref="L171">Common_InputFunctions.Utility_DisplayArrayInTable(Fertiliser_SourceData.Fertiliser_Products_Data3(), FertiliserProducts[[#Headers],[Company]],61)</f>
        <v/>
      </c>
      <c r="M171" s="215" t="str" cm="1">
        <f t="array" ref="M171">Common_InputFunctions.Utility_DisplayArrayInTable(Fertiliser_SourceData.Fertiliser_Products_Data3(), FertiliserProducts[[#Headers],[Company]],61)</f>
        <v/>
      </c>
      <c r="N171" s="215" cm="1">
        <f t="array" ref="N171">Common_InputFunctions.Utility_DisplayArrayInTable(Fertiliser_SourceData.Fertiliser_Products_Data3(), FertiliserProducts[[#Headers],[Company]],61)</f>
        <v>9.6</v>
      </c>
      <c r="O171" s="215" t="str" cm="1">
        <f t="array" ref="O171">Common_InputFunctions.Utility_DisplayArrayInTable(Fertiliser_SourceData.Fertiliser_Products_Data3(), FertiliserProducts[[#Headers],[Company]],61)</f>
        <v>Nitrogen - Generic</v>
      </c>
      <c r="P171" s="215" cm="1">
        <f t="array" ref="P171">Common_InputFunctions.Utility_DisplayArrayInTable(Fertiliser_SourceData.Fertiliser_Products_Data3(), FertiliserProducts[[#Headers],[Company]],61)</f>
        <v>0.36</v>
      </c>
      <c r="Q171" s="215" t="str" cm="1">
        <f t="array" ref="Q171">Common_InputFunctions.Utility_DisplayArrayInTable(Fertiliser_SourceData.Fertiliser_Products_Data3(), FertiliserProducts[[#Headers],[Company]],61)</f>
        <v>Sulfur - Generic</v>
      </c>
      <c r="R171" s="215" cm="1">
        <f t="array" ref="R171">Common_InputFunctions.Utility_DisplayArrayInTable(Fertiliser_SourceData.Fertiliser_Products_Data3(), FertiliserProducts[[#Headers],[Company]],61)</f>
        <v>9.6000000000000002E-2</v>
      </c>
      <c r="S171" s="215" t="str" cm="1">
        <f t="array" ref="S171">Common_InputFunctions.Utility_DisplayArrayInTable(Fertiliser_SourceData.Fertiliser_Products_Data3(), FertiliserProducts[[#Headers],[Company]],61)</f>
        <v/>
      </c>
      <c r="T171" s="215" t="str" cm="1">
        <f t="array" ref="T171">Common_InputFunctions.Utility_DisplayArrayInTable(Fertiliser_SourceData.Fertiliser_Products_Data3(), FertiliserProducts[[#Headers],[Company]],61)</f>
        <v/>
      </c>
      <c r="U171" s="215" t="str" cm="1">
        <f t="array" ref="U171">Common_InputFunctions.Utility_DisplayArrayInTable(Fertiliser_SourceData.Fertiliser_Products_Data3(), FertiliserProducts[[#Headers],[Company]],61)</f>
        <v/>
      </c>
      <c r="V171" s="215" t="str" cm="1">
        <f t="array" ref="V171">Common_InputFunctions.Utility_DisplayArrayInTable(Fertiliser_SourceData.Fertiliser_Products_Data3(), FertiliserProducts[[#Headers],[Company]],61)</f>
        <v/>
      </c>
      <c r="W171" s="215" t="str" cm="1">
        <f t="array" ref="W171">Common_InputFunctions.Utility_DisplayArrayInTable(Fertiliser_SourceData.Fertiliser_Products_Data3(), FertiliserProducts[[#Headers],[Company]],61)</f>
        <v/>
      </c>
      <c r="X171" s="215" t="str" cm="1">
        <f t="array" ref="X171">Common_InputFunctions.Utility_DisplayArrayInTable(Fertiliser_SourceData.Fertiliser_Products_Data3(), FertiliserProducts[[#Headers],[Company]],61)</f>
        <v/>
      </c>
      <c r="Y171" s="215" t="str" cm="1">
        <f t="array" ref="Y171">Common_InputFunctions.Utility_DisplayArrayInTable(Fertiliser_SourceData.Fertiliser_Products_Data3(), FertiliserProducts[[#Headers],[Company]],61)</f>
        <v/>
      </c>
      <c r="Z171" s="215" t="str" cm="1">
        <f t="array" ref="Z171">Common_InputFunctions.Utility_DisplayArrayInTable(Fertiliser_SourceData.Fertiliser_Products_Data3(), FertiliserProducts[[#Headers],[Company]],61)</f>
        <v/>
      </c>
      <c r="AA171" s="215" t="str" cm="1">
        <f t="array" ref="AA171">Common_InputFunctions.Utility_DisplayArrayInTable(Fertiliser_SourceData.Fertiliser_Products_Data3(), FertiliserProducts[[#Headers],[Company]],61)</f>
        <v/>
      </c>
      <c r="AB171" s="215" t="str" cm="1">
        <f t="array" ref="AB171">Common_InputFunctions.Utility_DisplayArrayInTable(Fertiliser_SourceData.Fertiliser_Products_Data3(), FertiliserProducts[[#Headers],[Company]],61)</f>
        <v/>
      </c>
      <c r="AC171" s="215" t="str" cm="1">
        <f t="array" ref="AC171">Common_InputFunctions.Utility_DisplayArrayInTable(Fertiliser_SourceData.Fertiliser_Products_Data3(), FertiliserProducts[[#Headers],[Company]],61)</f>
        <v/>
      </c>
      <c r="AD171" s="215" t="str" cm="1">
        <f t="array" ref="AD171">Common_InputFunctions.Utility_DisplayArrayInTable(Fertiliser_SourceData.Fertiliser_Products_Data3(), FertiliserProducts[[#Headers],[Company]],61)</f>
        <v/>
      </c>
      <c r="AE171" s="215" t="str" cm="1">
        <f t="array" ref="AE171">Common_InputFunctions.Utility_DisplayArrayInTable(Fertiliser_SourceData.Fertiliser_Products_Data3(), FertiliserProducts[[#Headers],[Company]],61)</f>
        <v/>
      </c>
      <c r="AF171" s="215" t="str" cm="1">
        <f t="array" ref="AF171">Common_InputFunctions.Utility_DisplayArrayInTable(Fertiliser_SourceData.Fertiliser_Products_Data3(), FertiliserProducts[[#Headers],[Company]],61)</f>
        <v/>
      </c>
      <c r="AG171" s="215" t="str" cm="1">
        <f t="array" ref="AG171">Common_InputFunctions.Utility_DisplayArrayInTable(Fertiliser_SourceData.Fertiliser_Products_Data3(), FertiliserProducts[[#Headers],[Company]],61)</f>
        <v/>
      </c>
      <c r="AH171" s="215" t="str" cm="1">
        <f t="array" ref="AH171">Common_InputFunctions.Utility_DisplayArrayInTable(Fertiliser_SourceData.Fertiliser_Products_Data3(), FertiliserProducts[[#Headers],[Company]],61)</f>
        <v/>
      </c>
    </row>
    <row r="172" spans="4:34" x14ac:dyDescent="0.25">
      <c r="D172" s="215" t="str" cm="1">
        <f t="array" ref="D172">Common_InputFunctions.Utility_DisplayArrayInTable(Fertiliser_SourceData.Fertiliser_Products_Data3(), FertiliserProducts[[#Headers],[Company]],61)</f>
        <v>Risso-Chemical</v>
      </c>
      <c r="E172" s="215" t="str" cm="1">
        <f t="array" ref="E172">Common_InputFunctions.Utility_DisplayArrayInTable(Fertiliser_SourceData.Fertiliser_Products_Data3(), FertiliserProducts[[#Headers],[Company]],61)</f>
        <v>Risso Liquid NPK (200-200-200)</v>
      </c>
      <c r="F172" s="215" t="str" cm="1">
        <f t="array" ref="F172">Common_InputFunctions.Utility_DisplayArrayInTable(Fertiliser_SourceData.Fertiliser_Products_Data3(), FertiliserProducts[[#Headers],[Company]],61)</f>
        <v>L</v>
      </c>
      <c r="G172" s="215" cm="1">
        <f t="array" ref="G172">Common_InputFunctions.Utility_DisplayArrayInTable(Fertiliser_SourceData.Fertiliser_Products_Data3(), FertiliserProducts[[#Headers],[Company]],61)</f>
        <v>1.3</v>
      </c>
      <c r="H172" s="215" t="str" cm="1">
        <f t="array" ref="H172">Common_InputFunctions.Utility_DisplayArrayInTable(Fertiliser_SourceData.Fertiliser_Products_Data3(), FertiliserProducts[[#Headers],[Company]],61)</f>
        <v/>
      </c>
      <c r="I172" s="215" t="str" cm="1">
        <f t="array" ref="I172">Common_InputFunctions.Utility_DisplayArrayInTable(Fertiliser_SourceData.Fertiliser_Products_Data3(), FertiliserProducts[[#Headers],[Company]],61)</f>
        <v/>
      </c>
      <c r="J172" s="215" t="str" cm="1">
        <f t="array" ref="J172">Common_InputFunctions.Utility_DisplayArrayInTable(Fertiliser_SourceData.Fertiliser_Products_Data3(), FertiliserProducts[[#Headers],[Company]],61)</f>
        <v/>
      </c>
      <c r="K172" s="215" cm="1">
        <f t="array" ref="K172">Common_InputFunctions.Utility_DisplayArrayInTable(Fertiliser_SourceData.Fertiliser_Products_Data3(), FertiliserProducts[[#Headers],[Company]],61)</f>
        <v>20</v>
      </c>
      <c r="L172" s="215" cm="1">
        <f t="array" ref="L172">Common_InputFunctions.Utility_DisplayArrayInTable(Fertiliser_SourceData.Fertiliser_Products_Data3(), FertiliserProducts[[#Headers],[Company]],61)</f>
        <v>8.73</v>
      </c>
      <c r="M172" s="215" cm="1">
        <f t="array" ref="M172">Common_InputFunctions.Utility_DisplayArrayInTable(Fertiliser_SourceData.Fertiliser_Products_Data3(), FertiliserProducts[[#Headers],[Company]],61)</f>
        <v>16.600000000000001</v>
      </c>
      <c r="N172" s="215" t="str" cm="1">
        <f t="array" ref="N172">Common_InputFunctions.Utility_DisplayArrayInTable(Fertiliser_SourceData.Fertiliser_Products_Data3(), FertiliserProducts[[#Headers],[Company]],61)</f>
        <v/>
      </c>
      <c r="O172" s="215" t="str" cm="1">
        <f t="array" ref="O172">Common_InputFunctions.Utility_DisplayArrayInTable(Fertiliser_SourceData.Fertiliser_Products_Data3(), FertiliserProducts[[#Headers],[Company]],61)</f>
        <v>Nitrogen - Generic</v>
      </c>
      <c r="P172" s="215" cm="1">
        <f t="array" ref="P172">Common_InputFunctions.Utility_DisplayArrayInTable(Fertiliser_SourceData.Fertiliser_Products_Data3(), FertiliserProducts[[#Headers],[Company]],61)</f>
        <v>0.2</v>
      </c>
      <c r="Q172" s="215" t="str" cm="1">
        <f t="array" ref="Q172">Common_InputFunctions.Utility_DisplayArrayInTable(Fertiliser_SourceData.Fertiliser_Products_Data3(), FertiliserProducts[[#Headers],[Company]],61)</f>
        <v>Phosphorus - Generic</v>
      </c>
      <c r="R172" s="215" cm="1">
        <f t="array" ref="R172">Common_InputFunctions.Utility_DisplayArrayInTable(Fertiliser_SourceData.Fertiliser_Products_Data3(), FertiliserProducts[[#Headers],[Company]],61)</f>
        <v>8.7279999999999996E-2</v>
      </c>
      <c r="S172" s="215" t="str" cm="1">
        <f t="array" ref="S172">Common_InputFunctions.Utility_DisplayArrayInTable(Fertiliser_SourceData.Fertiliser_Products_Data3(), FertiliserProducts[[#Headers],[Company]],61)</f>
        <v>Potassium - Generic</v>
      </c>
      <c r="T172" s="215" cm="1">
        <f t="array" ref="T172">Common_InputFunctions.Utility_DisplayArrayInTable(Fertiliser_SourceData.Fertiliser_Products_Data3(), FertiliserProducts[[#Headers],[Company]],61)</f>
        <v>0.16602</v>
      </c>
      <c r="U172" s="215" t="str" cm="1">
        <f t="array" ref="U172">Common_InputFunctions.Utility_DisplayArrayInTable(Fertiliser_SourceData.Fertiliser_Products_Data3(), FertiliserProducts[[#Headers],[Company]],61)</f>
        <v/>
      </c>
      <c r="V172" s="215" t="str" cm="1">
        <f t="array" ref="V172">Common_InputFunctions.Utility_DisplayArrayInTable(Fertiliser_SourceData.Fertiliser_Products_Data3(), FertiliserProducts[[#Headers],[Company]],61)</f>
        <v/>
      </c>
      <c r="W172" s="215" t="str" cm="1">
        <f t="array" ref="W172">Common_InputFunctions.Utility_DisplayArrayInTable(Fertiliser_SourceData.Fertiliser_Products_Data3(), FertiliserProducts[[#Headers],[Company]],61)</f>
        <v/>
      </c>
      <c r="X172" s="215" t="str" cm="1">
        <f t="array" ref="X172">Common_InputFunctions.Utility_DisplayArrayInTable(Fertiliser_SourceData.Fertiliser_Products_Data3(), FertiliserProducts[[#Headers],[Company]],61)</f>
        <v/>
      </c>
      <c r="Y172" s="215" t="str" cm="1">
        <f t="array" ref="Y172">Common_InputFunctions.Utility_DisplayArrayInTable(Fertiliser_SourceData.Fertiliser_Products_Data3(), FertiliserProducts[[#Headers],[Company]],61)</f>
        <v/>
      </c>
      <c r="Z172" s="215" t="str" cm="1">
        <f t="array" ref="Z172">Common_InputFunctions.Utility_DisplayArrayInTable(Fertiliser_SourceData.Fertiliser_Products_Data3(), FertiliserProducts[[#Headers],[Company]],61)</f>
        <v/>
      </c>
      <c r="AA172" s="215" t="str" cm="1">
        <f t="array" ref="AA172">Common_InputFunctions.Utility_DisplayArrayInTable(Fertiliser_SourceData.Fertiliser_Products_Data3(), FertiliserProducts[[#Headers],[Company]],61)</f>
        <v/>
      </c>
      <c r="AB172" s="215" t="str" cm="1">
        <f t="array" ref="AB172">Common_InputFunctions.Utility_DisplayArrayInTable(Fertiliser_SourceData.Fertiliser_Products_Data3(), FertiliserProducts[[#Headers],[Company]],61)</f>
        <v/>
      </c>
      <c r="AC172" s="215" t="str" cm="1">
        <f t="array" ref="AC172">Common_InputFunctions.Utility_DisplayArrayInTable(Fertiliser_SourceData.Fertiliser_Products_Data3(), FertiliserProducts[[#Headers],[Company]],61)</f>
        <v/>
      </c>
      <c r="AD172" s="215" t="str" cm="1">
        <f t="array" ref="AD172">Common_InputFunctions.Utility_DisplayArrayInTable(Fertiliser_SourceData.Fertiliser_Products_Data3(), FertiliserProducts[[#Headers],[Company]],61)</f>
        <v/>
      </c>
      <c r="AE172" s="215" t="str" cm="1">
        <f t="array" ref="AE172">Common_InputFunctions.Utility_DisplayArrayInTable(Fertiliser_SourceData.Fertiliser_Products_Data3(), FertiliserProducts[[#Headers],[Company]],61)</f>
        <v/>
      </c>
      <c r="AF172" s="215" t="str" cm="1">
        <f t="array" ref="AF172">Common_InputFunctions.Utility_DisplayArrayInTable(Fertiliser_SourceData.Fertiliser_Products_Data3(), FertiliserProducts[[#Headers],[Company]],61)</f>
        <v/>
      </c>
      <c r="AG172" s="215" t="str" cm="1">
        <f t="array" ref="AG172">Common_InputFunctions.Utility_DisplayArrayInTable(Fertiliser_SourceData.Fertiliser_Products_Data3(), FertiliserProducts[[#Headers],[Company]],61)</f>
        <v/>
      </c>
      <c r="AH172" s="215" t="str" cm="1">
        <f t="array" ref="AH172">Common_InputFunctions.Utility_DisplayArrayInTable(Fertiliser_SourceData.Fertiliser_Products_Data3(), FertiliserProducts[[#Headers],[Company]],61)</f>
        <v/>
      </c>
    </row>
    <row r="173" spans="4:34" x14ac:dyDescent="0.25">
      <c r="D173" s="215" t="str" cm="1">
        <f t="array" ref="D173">Common_InputFunctions.Utility_DisplayArrayInTable(Fertiliser_SourceData.Fertiliser_Products_Data3(), FertiliserProducts[[#Headers],[Company]],61)</f>
        <v>Turf Group Australia (Simplot)</v>
      </c>
      <c r="E173" s="215" t="str" cm="1">
        <f t="array" ref="E173">Common_InputFunctions.Utility_DisplayArrayInTable(Fertiliser_SourceData.Fertiliser_Products_Data3(), FertiliserProducts[[#Headers],[Company]],61)</f>
        <v>Super Cal 15-0-12</v>
      </c>
      <c r="F173" s="215" t="str" cm="1">
        <f t="array" ref="F173">Common_InputFunctions.Utility_DisplayArrayInTable(Fertiliser_SourceData.Fertiliser_Products_Data3(), FertiliserProducts[[#Headers],[Company]],61)</f>
        <v>kg</v>
      </c>
      <c r="G173" s="215" cm="1">
        <f t="array" ref="G173">Common_InputFunctions.Utility_DisplayArrayInTable(Fertiliser_SourceData.Fertiliser_Products_Data3(), FertiliserProducts[[#Headers],[Company]],61)</f>
        <v>1</v>
      </c>
      <c r="H173" s="215" t="str" cm="1">
        <f t="array" ref="H173">Common_InputFunctions.Utility_DisplayArrayInTable(Fertiliser_SourceData.Fertiliser_Products_Data3(), FertiliserProducts[[#Headers],[Company]],61)</f>
        <v/>
      </c>
      <c r="I173" s="215" t="str" cm="1">
        <f t="array" ref="I173">Common_InputFunctions.Utility_DisplayArrayInTable(Fertiliser_SourceData.Fertiliser_Products_Data3(), FertiliserProducts[[#Headers],[Company]],61)</f>
        <v/>
      </c>
      <c r="J173" s="215" t="str" cm="1">
        <f t="array" ref="J173">Common_InputFunctions.Utility_DisplayArrayInTable(Fertiliser_SourceData.Fertiliser_Products_Data3(), FertiliserProducts[[#Headers],[Company]],61)</f>
        <v/>
      </c>
      <c r="K173" s="215" cm="1">
        <f t="array" ref="K173">Common_InputFunctions.Utility_DisplayArrayInTable(Fertiliser_SourceData.Fertiliser_Products_Data3(), FertiliserProducts[[#Headers],[Company]],61)</f>
        <v>15</v>
      </c>
      <c r="L173" s="215" t="str" cm="1">
        <f t="array" ref="L173">Common_InputFunctions.Utility_DisplayArrayInTable(Fertiliser_SourceData.Fertiliser_Products_Data3(), FertiliserProducts[[#Headers],[Company]],61)</f>
        <v/>
      </c>
      <c r="M173" s="215" cm="1">
        <f t="array" ref="M173">Common_InputFunctions.Utility_DisplayArrayInTable(Fertiliser_SourceData.Fertiliser_Products_Data3(), FertiliserProducts[[#Headers],[Company]],61)</f>
        <v>9.9600000000000009</v>
      </c>
      <c r="N173" s="215" t="str" cm="1">
        <f t="array" ref="N173">Common_InputFunctions.Utility_DisplayArrayInTable(Fertiliser_SourceData.Fertiliser_Products_Data3(), FertiliserProducts[[#Headers],[Company]],61)</f>
        <v/>
      </c>
      <c r="O173" s="215" t="str" cm="1">
        <f t="array" ref="O173">Common_InputFunctions.Utility_DisplayArrayInTable(Fertiliser_SourceData.Fertiliser_Products_Data3(), FertiliserProducts[[#Headers],[Company]],61)</f>
        <v>Nitrogen - Nitrate</v>
      </c>
      <c r="P173" s="215" cm="1">
        <f t="array" ref="P173">Common_InputFunctions.Utility_DisplayArrayInTable(Fertiliser_SourceData.Fertiliser_Products_Data3(), FertiliserProducts[[#Headers],[Company]],61)</f>
        <v>8.4737000000000007E-2</v>
      </c>
      <c r="Q173" s="215" t="str" cm="1">
        <f t="array" ref="Q173">Common_InputFunctions.Utility_DisplayArrayInTable(Fertiliser_SourceData.Fertiliser_Products_Data3(), FertiliserProducts[[#Headers],[Company]],61)</f>
        <v>Potassium - Generic</v>
      </c>
      <c r="R173" s="215" cm="1">
        <f t="array" ref="R173">Common_InputFunctions.Utility_DisplayArrayInTable(Fertiliser_SourceData.Fertiliser_Products_Data3(), FertiliserProducts[[#Headers],[Company]],61)</f>
        <v>9.9612000000000006E-2</v>
      </c>
      <c r="S173" s="215" t="str" cm="1">
        <f t="array" ref="S173">Common_InputFunctions.Utility_DisplayArrayInTable(Fertiliser_SourceData.Fertiliser_Products_Data3(), FertiliserProducts[[#Headers],[Company]],61)</f>
        <v>Calcium nitrate</v>
      </c>
      <c r="T173" s="215" cm="1">
        <f t="array" ref="T173">Common_InputFunctions.Utility_DisplayArrayInTable(Fertiliser_SourceData.Fertiliser_Products_Data3(), FertiliserProducts[[#Headers],[Company]],61)</f>
        <v>0.42105300000000001</v>
      </c>
      <c r="U173" s="215" t="str" cm="1">
        <f t="array" ref="U173">Common_InputFunctions.Utility_DisplayArrayInTable(Fertiliser_SourceData.Fertiliser_Products_Data3(), FertiliserProducts[[#Headers],[Company]],61)</f>
        <v>Magnesium</v>
      </c>
      <c r="V173" s="215" cm="1">
        <f t="array" ref="V173">Common_InputFunctions.Utility_DisplayArrayInTable(Fertiliser_SourceData.Fertiliser_Products_Data3(), FertiliserProducts[[#Headers],[Company]],61)</f>
        <v>5.0000000000000001E-3</v>
      </c>
      <c r="W173" s="215" t="str" cm="1">
        <f t="array" ref="W173">Common_InputFunctions.Utility_DisplayArrayInTable(Fertiliser_SourceData.Fertiliser_Products_Data3(), FertiliserProducts[[#Headers],[Company]],61)</f>
        <v>Boron</v>
      </c>
      <c r="X173" s="215" cm="1">
        <f t="array" ref="X173">Common_InputFunctions.Utility_DisplayArrayInTable(Fertiliser_SourceData.Fertiliser_Products_Data3(), FertiliserProducts[[#Headers],[Company]],61)</f>
        <v>2.0000000000000001E-4</v>
      </c>
      <c r="Y173" s="215" t="str" cm="1">
        <f t="array" ref="Y173">Common_InputFunctions.Utility_DisplayArrayInTable(Fertiliser_SourceData.Fertiliser_Products_Data3(), FertiliserProducts[[#Headers],[Company]],61)</f>
        <v/>
      </c>
      <c r="Z173" s="215" t="str" cm="1">
        <f t="array" ref="Z173">Common_InputFunctions.Utility_DisplayArrayInTable(Fertiliser_SourceData.Fertiliser_Products_Data3(), FertiliserProducts[[#Headers],[Company]],61)</f>
        <v/>
      </c>
      <c r="AA173" s="215" t="str" cm="1">
        <f t="array" ref="AA173">Common_InputFunctions.Utility_DisplayArrayInTable(Fertiliser_SourceData.Fertiliser_Products_Data3(), FertiliserProducts[[#Headers],[Company]],61)</f>
        <v/>
      </c>
      <c r="AB173" s="215" t="str" cm="1">
        <f t="array" ref="AB173">Common_InputFunctions.Utility_DisplayArrayInTable(Fertiliser_SourceData.Fertiliser_Products_Data3(), FertiliserProducts[[#Headers],[Company]],61)</f>
        <v/>
      </c>
      <c r="AC173" s="215" t="str" cm="1">
        <f t="array" ref="AC173">Common_InputFunctions.Utility_DisplayArrayInTable(Fertiliser_SourceData.Fertiliser_Products_Data3(), FertiliserProducts[[#Headers],[Company]],61)</f>
        <v/>
      </c>
      <c r="AD173" s="215" t="str" cm="1">
        <f t="array" ref="AD173">Common_InputFunctions.Utility_DisplayArrayInTable(Fertiliser_SourceData.Fertiliser_Products_Data3(), FertiliserProducts[[#Headers],[Company]],61)</f>
        <v/>
      </c>
      <c r="AE173" s="215" t="str" cm="1">
        <f t="array" ref="AE173">Common_InputFunctions.Utility_DisplayArrayInTable(Fertiliser_SourceData.Fertiliser_Products_Data3(), FertiliserProducts[[#Headers],[Company]],61)</f>
        <v/>
      </c>
      <c r="AF173" s="215" t="str" cm="1">
        <f t="array" ref="AF173">Common_InputFunctions.Utility_DisplayArrayInTable(Fertiliser_SourceData.Fertiliser_Products_Data3(), FertiliserProducts[[#Headers],[Company]],61)</f>
        <v/>
      </c>
      <c r="AG173" s="215" t="str" cm="1">
        <f t="array" ref="AG173">Common_InputFunctions.Utility_DisplayArrayInTable(Fertiliser_SourceData.Fertiliser_Products_Data3(), FertiliserProducts[[#Headers],[Company]],61)</f>
        <v/>
      </c>
      <c r="AH173" s="215" t="str" cm="1">
        <f t="array" ref="AH173">Common_InputFunctions.Utility_DisplayArrayInTable(Fertiliser_SourceData.Fertiliser_Products_Data3(), FertiliserProducts[[#Headers],[Company]],61)</f>
        <v/>
      </c>
    </row>
    <row r="174" spans="4:34" x14ac:dyDescent="0.25">
      <c r="D174" s="215" t="str" cm="1">
        <f t="array" ref="D174">Common_InputFunctions.Utility_DisplayArrayInTable(Fertiliser_SourceData.Fertiliser_Products_Data3(), FertiliserProducts[[#Headers],[Company]],61)</f>
        <v>Incitec Pivot Fertilisers</v>
      </c>
      <c r="E174" s="215" t="str" cm="1">
        <f t="array" ref="E174">Common_InputFunctions.Utility_DisplayArrayInTable(Fertiliser_SourceData.Fertiliser_Products_Data3(), FertiliserProducts[[#Headers],[Company]],61)</f>
        <v>CK 88</v>
      </c>
      <c r="F174" s="215" t="str" cm="1">
        <f t="array" ref="F174">Common_InputFunctions.Utility_DisplayArrayInTable(Fertiliser_SourceData.Fertiliser_Products_Data3(), FertiliserProducts[[#Headers],[Company]],61)</f>
        <v>kg</v>
      </c>
      <c r="G174" s="215" cm="1">
        <f t="array" ref="G174">Common_InputFunctions.Utility_DisplayArrayInTable(Fertiliser_SourceData.Fertiliser_Products_Data3(), FertiliserProducts[[#Headers],[Company]],61)</f>
        <v>1</v>
      </c>
      <c r="H174" s="215" t="str" cm="1">
        <f t="array" ref="H174">Common_InputFunctions.Utility_DisplayArrayInTable(Fertiliser_SourceData.Fertiliser_Products_Data3(), FertiliserProducts[[#Headers],[Company]],61)</f>
        <v/>
      </c>
      <c r="I174" s="215" t="str" cm="1">
        <f t="array" ref="I174">Common_InputFunctions.Utility_DisplayArrayInTable(Fertiliser_SourceData.Fertiliser_Products_Data3(), FertiliserProducts[[#Headers],[Company]],61)</f>
        <v/>
      </c>
      <c r="J174" s="215" t="str" cm="1">
        <f t="array" ref="J174">Common_InputFunctions.Utility_DisplayArrayInTable(Fertiliser_SourceData.Fertiliser_Products_Data3(), FertiliserProducts[[#Headers],[Company]],61)</f>
        <v/>
      </c>
      <c r="K174" s="215" cm="1">
        <f t="array" ref="K174">Common_InputFunctions.Utility_DisplayArrayInTable(Fertiliser_SourceData.Fertiliser_Products_Data3(), FertiliserProducts[[#Headers],[Company]],61)</f>
        <v>15.1</v>
      </c>
      <c r="L174" s="215" cm="1">
        <f t="array" ref="L174">Common_InputFunctions.Utility_DisplayArrayInTable(Fertiliser_SourceData.Fertiliser_Products_Data3(), FertiliserProducts[[#Headers],[Company]],61)</f>
        <v>4.4000000000000004</v>
      </c>
      <c r="M174" s="215" cm="1">
        <f t="array" ref="M174">Common_InputFunctions.Utility_DisplayArrayInTable(Fertiliser_SourceData.Fertiliser_Products_Data3(), FertiliserProducts[[#Headers],[Company]],61)</f>
        <v>11.5</v>
      </c>
      <c r="N174" s="215" cm="1">
        <f t="array" ref="N174">Common_InputFunctions.Utility_DisplayArrayInTable(Fertiliser_SourceData.Fertiliser_Products_Data3(), FertiliserProducts[[#Headers],[Company]],61)</f>
        <v>13.6</v>
      </c>
      <c r="O174" s="215" t="str" cm="1">
        <f t="array" ref="O174">Common_InputFunctions.Utility_DisplayArrayInTable(Fertiliser_SourceData.Fertiliser_Products_Data3(), FertiliserProducts[[#Headers],[Company]],61)</f>
        <v>Nitrogen - Generic</v>
      </c>
      <c r="P174" s="215" cm="1">
        <f t="array" ref="P174">Common_InputFunctions.Utility_DisplayArrayInTable(Fertiliser_SourceData.Fertiliser_Products_Data3(), FertiliserProducts[[#Headers],[Company]],61)</f>
        <v>0.151</v>
      </c>
      <c r="Q174" s="215" t="str" cm="1">
        <f t="array" ref="Q174">Common_InputFunctions.Utility_DisplayArrayInTable(Fertiliser_SourceData.Fertiliser_Products_Data3(), FertiliserProducts[[#Headers],[Company]],61)</f>
        <v>Phosphorus - Generic</v>
      </c>
      <c r="R174" s="215" cm="1">
        <f t="array" ref="R174">Common_InputFunctions.Utility_DisplayArrayInTable(Fertiliser_SourceData.Fertiliser_Products_Data3(), FertiliserProducts[[#Headers],[Company]],61)</f>
        <v>4.3999999999999997E-2</v>
      </c>
      <c r="S174" s="215" t="str" cm="1">
        <f t="array" ref="S174">Common_InputFunctions.Utility_DisplayArrayInTable(Fertiliser_SourceData.Fertiliser_Products_Data3(), FertiliserProducts[[#Headers],[Company]],61)</f>
        <v>Potassium - Generic</v>
      </c>
      <c r="T174" s="215" cm="1">
        <f t="array" ref="T174">Common_InputFunctions.Utility_DisplayArrayInTable(Fertiliser_SourceData.Fertiliser_Products_Data3(), FertiliserProducts[[#Headers],[Company]],61)</f>
        <v>0.115</v>
      </c>
      <c r="U174" s="215" t="str" cm="1">
        <f t="array" ref="U174">Common_InputFunctions.Utility_DisplayArrayInTable(Fertiliser_SourceData.Fertiliser_Products_Data3(), FertiliserProducts[[#Headers],[Company]],61)</f>
        <v>Sulfur - Generic</v>
      </c>
      <c r="V174" s="215" cm="1">
        <f t="array" ref="V174">Common_InputFunctions.Utility_DisplayArrayInTable(Fertiliser_SourceData.Fertiliser_Products_Data3(), FertiliserProducts[[#Headers],[Company]],61)</f>
        <v>0.13600000000000001</v>
      </c>
      <c r="W174" s="215" t="str" cm="1">
        <f t="array" ref="W174">Common_InputFunctions.Utility_DisplayArrayInTable(Fertiliser_SourceData.Fertiliser_Products_Data3(), FertiliserProducts[[#Headers],[Company]],61)</f>
        <v/>
      </c>
      <c r="X174" s="215" t="str" cm="1">
        <f t="array" ref="X174">Common_InputFunctions.Utility_DisplayArrayInTable(Fertiliser_SourceData.Fertiliser_Products_Data3(), FertiliserProducts[[#Headers],[Company]],61)</f>
        <v/>
      </c>
      <c r="Y174" s="215" t="str" cm="1">
        <f t="array" ref="Y174">Common_InputFunctions.Utility_DisplayArrayInTable(Fertiliser_SourceData.Fertiliser_Products_Data3(), FertiliserProducts[[#Headers],[Company]],61)</f>
        <v/>
      </c>
      <c r="Z174" s="215" t="str" cm="1">
        <f t="array" ref="Z174">Common_InputFunctions.Utility_DisplayArrayInTable(Fertiliser_SourceData.Fertiliser_Products_Data3(), FertiliserProducts[[#Headers],[Company]],61)</f>
        <v/>
      </c>
      <c r="AA174" s="215" t="str" cm="1">
        <f t="array" ref="AA174">Common_InputFunctions.Utility_DisplayArrayInTable(Fertiliser_SourceData.Fertiliser_Products_Data3(), FertiliserProducts[[#Headers],[Company]],61)</f>
        <v/>
      </c>
      <c r="AB174" s="215" t="str" cm="1">
        <f t="array" ref="AB174">Common_InputFunctions.Utility_DisplayArrayInTable(Fertiliser_SourceData.Fertiliser_Products_Data3(), FertiliserProducts[[#Headers],[Company]],61)</f>
        <v/>
      </c>
      <c r="AC174" s="215" t="str" cm="1">
        <f t="array" ref="AC174">Common_InputFunctions.Utility_DisplayArrayInTable(Fertiliser_SourceData.Fertiliser_Products_Data3(), FertiliserProducts[[#Headers],[Company]],61)</f>
        <v/>
      </c>
      <c r="AD174" s="215" t="str" cm="1">
        <f t="array" ref="AD174">Common_InputFunctions.Utility_DisplayArrayInTable(Fertiliser_SourceData.Fertiliser_Products_Data3(), FertiliserProducts[[#Headers],[Company]],61)</f>
        <v/>
      </c>
      <c r="AE174" s="215" t="str" cm="1">
        <f t="array" ref="AE174">Common_InputFunctions.Utility_DisplayArrayInTable(Fertiliser_SourceData.Fertiliser_Products_Data3(), FertiliserProducts[[#Headers],[Company]],61)</f>
        <v/>
      </c>
      <c r="AF174" s="215" t="str" cm="1">
        <f t="array" ref="AF174">Common_InputFunctions.Utility_DisplayArrayInTable(Fertiliser_SourceData.Fertiliser_Products_Data3(), FertiliserProducts[[#Headers],[Company]],61)</f>
        <v/>
      </c>
      <c r="AG174" s="215" t="str" cm="1">
        <f t="array" ref="AG174">Common_InputFunctions.Utility_DisplayArrayInTable(Fertiliser_SourceData.Fertiliser_Products_Data3(), FertiliserProducts[[#Headers],[Company]],61)</f>
        <v/>
      </c>
      <c r="AH174" s="215" t="str" cm="1">
        <f t="array" ref="AH174">Common_InputFunctions.Utility_DisplayArrayInTable(Fertiliser_SourceData.Fertiliser_Products_Data3(), FertiliserProducts[[#Headers],[Company]],61)</f>
        <v/>
      </c>
    </row>
    <row r="175" spans="4:34" x14ac:dyDescent="0.25">
      <c r="D175" s="215" t="str" cm="1">
        <f t="array" ref="D175">Common_InputFunctions.Utility_DisplayArrayInTable(Fertiliser_SourceData.Fertiliser_Products_Data3(), FertiliserProducts[[#Headers],[Company]],61)</f>
        <v>Incitec Pivot Fertilisers</v>
      </c>
      <c r="E175" s="215" t="str" cm="1">
        <f t="array" ref="E175">Common_InputFunctions.Utility_DisplayArrayInTable(Fertiliser_SourceData.Fertiliser_Products_Data3(), FertiliserProducts[[#Headers],[Company]],61)</f>
        <v>CropLift 15</v>
      </c>
      <c r="F175" s="215" t="str" cm="1">
        <f t="array" ref="F175">Common_InputFunctions.Utility_DisplayArrayInTable(Fertiliser_SourceData.Fertiliser_Products_Data3(), FertiliserProducts[[#Headers],[Company]],61)</f>
        <v>kg</v>
      </c>
      <c r="G175" s="215" cm="1">
        <f t="array" ref="G175">Common_InputFunctions.Utility_DisplayArrayInTable(Fertiliser_SourceData.Fertiliser_Products_Data3(), FertiliserProducts[[#Headers],[Company]],61)</f>
        <v>1</v>
      </c>
      <c r="H175" s="215" t="str" cm="1">
        <f t="array" ref="H175">Common_InputFunctions.Utility_DisplayArrayInTable(Fertiliser_SourceData.Fertiliser_Products_Data3(), FertiliserProducts[[#Headers],[Company]],61)</f>
        <v/>
      </c>
      <c r="I175" s="215" t="str" cm="1">
        <f t="array" ref="I175">Common_InputFunctions.Utility_DisplayArrayInTable(Fertiliser_SourceData.Fertiliser_Products_Data3(), FertiliserProducts[[#Headers],[Company]],61)</f>
        <v/>
      </c>
      <c r="J175" s="215" t="str" cm="1">
        <f t="array" ref="J175">Common_InputFunctions.Utility_DisplayArrayInTable(Fertiliser_SourceData.Fertiliser_Products_Data3(), FertiliserProducts[[#Headers],[Company]],61)</f>
        <v/>
      </c>
      <c r="K175" s="215" cm="1">
        <f t="array" ref="K175">Common_InputFunctions.Utility_DisplayArrayInTable(Fertiliser_SourceData.Fertiliser_Products_Data3(), FertiliserProducts[[#Headers],[Company]],61)</f>
        <v>14.6</v>
      </c>
      <c r="L175" s="215" cm="1">
        <f t="array" ref="L175">Common_InputFunctions.Utility_DisplayArrayInTable(Fertiliser_SourceData.Fertiliser_Products_Data3(), FertiliserProducts[[#Headers],[Company]],61)</f>
        <v>12.1</v>
      </c>
      <c r="M175" s="215" t="str" cm="1">
        <f t="array" ref="M175">Common_InputFunctions.Utility_DisplayArrayInTable(Fertiliser_SourceData.Fertiliser_Products_Data3(), FertiliserProducts[[#Headers],[Company]],61)</f>
        <v/>
      </c>
      <c r="N175" s="215" cm="1">
        <f t="array" ref="N175">Common_InputFunctions.Utility_DisplayArrayInTable(Fertiliser_SourceData.Fertiliser_Products_Data3(), FertiliserProducts[[#Headers],[Company]],61)</f>
        <v>11.6</v>
      </c>
      <c r="O175" s="215" t="str" cm="1">
        <f t="array" ref="O175">Common_InputFunctions.Utility_DisplayArrayInTable(Fertiliser_SourceData.Fertiliser_Products_Data3(), FertiliserProducts[[#Headers],[Company]],61)</f>
        <v>Nitrogen - Generic</v>
      </c>
      <c r="P175" s="215" cm="1">
        <f t="array" ref="P175">Common_InputFunctions.Utility_DisplayArrayInTable(Fertiliser_SourceData.Fertiliser_Products_Data3(), FertiliserProducts[[#Headers],[Company]],61)</f>
        <v>0.14599999999999999</v>
      </c>
      <c r="Q175" s="215" t="str" cm="1">
        <f t="array" ref="Q175">Common_InputFunctions.Utility_DisplayArrayInTable(Fertiliser_SourceData.Fertiliser_Products_Data3(), FertiliserProducts[[#Headers],[Company]],61)</f>
        <v>Phosphorus - Generic</v>
      </c>
      <c r="R175" s="215" cm="1">
        <f t="array" ref="R175">Common_InputFunctions.Utility_DisplayArrayInTable(Fertiliser_SourceData.Fertiliser_Products_Data3(), FertiliserProducts[[#Headers],[Company]],61)</f>
        <v>0.121</v>
      </c>
      <c r="S175" s="215" t="str" cm="1">
        <f t="array" ref="S175">Common_InputFunctions.Utility_DisplayArrayInTable(Fertiliser_SourceData.Fertiliser_Products_Data3(), FertiliserProducts[[#Headers],[Company]],61)</f>
        <v>Sulfur - Generic</v>
      </c>
      <c r="T175" s="215" cm="1">
        <f t="array" ref="T175">Common_InputFunctions.Utility_DisplayArrayInTable(Fertiliser_SourceData.Fertiliser_Products_Data3(), FertiliserProducts[[#Headers],[Company]],61)</f>
        <v>0.11600000000000001</v>
      </c>
      <c r="U175" s="215" t="str" cm="1">
        <f t="array" ref="U175">Common_InputFunctions.Utility_DisplayArrayInTable(Fertiliser_SourceData.Fertiliser_Products_Data3(), FertiliserProducts[[#Headers],[Company]],61)</f>
        <v/>
      </c>
      <c r="V175" s="215" t="str" cm="1">
        <f t="array" ref="V175">Common_InputFunctions.Utility_DisplayArrayInTable(Fertiliser_SourceData.Fertiliser_Products_Data3(), FertiliserProducts[[#Headers],[Company]],61)</f>
        <v/>
      </c>
      <c r="W175" s="215" t="str" cm="1">
        <f t="array" ref="W175">Common_InputFunctions.Utility_DisplayArrayInTable(Fertiliser_SourceData.Fertiliser_Products_Data3(), FertiliserProducts[[#Headers],[Company]],61)</f>
        <v/>
      </c>
      <c r="X175" s="215" t="str" cm="1">
        <f t="array" ref="X175">Common_InputFunctions.Utility_DisplayArrayInTable(Fertiliser_SourceData.Fertiliser_Products_Data3(), FertiliserProducts[[#Headers],[Company]],61)</f>
        <v/>
      </c>
      <c r="Y175" s="215" t="str" cm="1">
        <f t="array" ref="Y175">Common_InputFunctions.Utility_DisplayArrayInTable(Fertiliser_SourceData.Fertiliser_Products_Data3(), FertiliserProducts[[#Headers],[Company]],61)</f>
        <v/>
      </c>
      <c r="Z175" s="215" t="str" cm="1">
        <f t="array" ref="Z175">Common_InputFunctions.Utility_DisplayArrayInTable(Fertiliser_SourceData.Fertiliser_Products_Data3(), FertiliserProducts[[#Headers],[Company]],61)</f>
        <v/>
      </c>
      <c r="AA175" s="215" t="str" cm="1">
        <f t="array" ref="AA175">Common_InputFunctions.Utility_DisplayArrayInTable(Fertiliser_SourceData.Fertiliser_Products_Data3(), FertiliserProducts[[#Headers],[Company]],61)</f>
        <v/>
      </c>
      <c r="AB175" s="215" t="str" cm="1">
        <f t="array" ref="AB175">Common_InputFunctions.Utility_DisplayArrayInTable(Fertiliser_SourceData.Fertiliser_Products_Data3(), FertiliserProducts[[#Headers],[Company]],61)</f>
        <v/>
      </c>
      <c r="AC175" s="215" t="str" cm="1">
        <f t="array" ref="AC175">Common_InputFunctions.Utility_DisplayArrayInTable(Fertiliser_SourceData.Fertiliser_Products_Data3(), FertiliserProducts[[#Headers],[Company]],61)</f>
        <v/>
      </c>
      <c r="AD175" s="215" t="str" cm="1">
        <f t="array" ref="AD175">Common_InputFunctions.Utility_DisplayArrayInTable(Fertiliser_SourceData.Fertiliser_Products_Data3(), FertiliserProducts[[#Headers],[Company]],61)</f>
        <v/>
      </c>
      <c r="AE175" s="215" t="str" cm="1">
        <f t="array" ref="AE175">Common_InputFunctions.Utility_DisplayArrayInTable(Fertiliser_SourceData.Fertiliser_Products_Data3(), FertiliserProducts[[#Headers],[Company]],61)</f>
        <v/>
      </c>
      <c r="AF175" s="215" t="str" cm="1">
        <f t="array" ref="AF175">Common_InputFunctions.Utility_DisplayArrayInTable(Fertiliser_SourceData.Fertiliser_Products_Data3(), FertiliserProducts[[#Headers],[Company]],61)</f>
        <v/>
      </c>
      <c r="AG175" s="215" t="str" cm="1">
        <f t="array" ref="AG175">Common_InputFunctions.Utility_DisplayArrayInTable(Fertiliser_SourceData.Fertiliser_Products_Data3(), FertiliserProducts[[#Headers],[Company]],61)</f>
        <v/>
      </c>
      <c r="AH175" s="215" t="str" cm="1">
        <f t="array" ref="AH175">Common_InputFunctions.Utility_DisplayArrayInTable(Fertiliser_SourceData.Fertiliser_Products_Data3(), FertiliserProducts[[#Headers],[Company]],61)</f>
        <v/>
      </c>
    </row>
    <row r="176" spans="4:34" x14ac:dyDescent="0.25">
      <c r="D176" s="215" t="str" cm="1">
        <f t="array" ref="D176">Common_InputFunctions.Utility_DisplayArrayInTable(Fertiliser_SourceData.Fertiliser_Products_Data3(), FertiliserProducts[[#Headers],[Company]],61)</f>
        <v>Incitec Pivot Fertilisers</v>
      </c>
      <c r="E176" s="215" t="str" cm="1">
        <f t="array" ref="E176">Common_InputFunctions.Utility_DisplayArrayInTable(Fertiliser_SourceData.Fertiliser_Products_Data3(), FertiliserProducts[[#Headers],[Company]],61)</f>
        <v>NPKS 19-13-0-9</v>
      </c>
      <c r="F176" s="215" t="str" cm="1">
        <f t="array" ref="F176">Common_InputFunctions.Utility_DisplayArrayInTable(Fertiliser_SourceData.Fertiliser_Products_Data3(), FertiliserProducts[[#Headers],[Company]],61)</f>
        <v>kg</v>
      </c>
      <c r="G176" s="215" cm="1">
        <f t="array" ref="G176">Common_InputFunctions.Utility_DisplayArrayInTable(Fertiliser_SourceData.Fertiliser_Products_Data3(), FertiliserProducts[[#Headers],[Company]],61)</f>
        <v>1</v>
      </c>
      <c r="H176" s="215" t="str" cm="1">
        <f t="array" ref="H176">Common_InputFunctions.Utility_DisplayArrayInTable(Fertiliser_SourceData.Fertiliser_Products_Data3(), FertiliserProducts[[#Headers],[Company]],61)</f>
        <v/>
      </c>
      <c r="I176" s="215" t="str" cm="1">
        <f t="array" ref="I176">Common_InputFunctions.Utility_DisplayArrayInTable(Fertiliser_SourceData.Fertiliser_Products_Data3(), FertiliserProducts[[#Headers],[Company]],61)</f>
        <v/>
      </c>
      <c r="J176" s="215" t="str" cm="1">
        <f t="array" ref="J176">Common_InputFunctions.Utility_DisplayArrayInTable(Fertiliser_SourceData.Fertiliser_Products_Data3(), FertiliserProducts[[#Headers],[Company]],61)</f>
        <v/>
      </c>
      <c r="K176" s="215" cm="1">
        <f t="array" ref="K176">Common_InputFunctions.Utility_DisplayArrayInTable(Fertiliser_SourceData.Fertiliser_Products_Data3(), FertiliserProducts[[#Headers],[Company]],61)</f>
        <v>19</v>
      </c>
      <c r="L176" s="215" cm="1">
        <f t="array" ref="L176">Common_InputFunctions.Utility_DisplayArrayInTable(Fertiliser_SourceData.Fertiliser_Products_Data3(), FertiliserProducts[[#Headers],[Company]],61)</f>
        <v>13</v>
      </c>
      <c r="M176" s="215" cm="1">
        <f t="array" ref="M176">Common_InputFunctions.Utility_DisplayArrayInTable(Fertiliser_SourceData.Fertiliser_Products_Data3(), FertiliserProducts[[#Headers],[Company]],61)</f>
        <v>0</v>
      </c>
      <c r="N176" s="215" cm="1">
        <f t="array" ref="N176">Common_InputFunctions.Utility_DisplayArrayInTable(Fertiliser_SourceData.Fertiliser_Products_Data3(), FertiliserProducts[[#Headers],[Company]],61)</f>
        <v>9</v>
      </c>
      <c r="O176" s="215" t="str" cm="1">
        <f t="array" ref="O176">Common_InputFunctions.Utility_DisplayArrayInTable(Fertiliser_SourceData.Fertiliser_Products_Data3(), FertiliserProducts[[#Headers],[Company]],61)</f>
        <v>Nitrogen - Generic</v>
      </c>
      <c r="P176" s="215" cm="1">
        <f t="array" ref="P176">Common_InputFunctions.Utility_DisplayArrayInTable(Fertiliser_SourceData.Fertiliser_Products_Data3(), FertiliserProducts[[#Headers],[Company]],61)</f>
        <v>0.19</v>
      </c>
      <c r="Q176" s="215" t="str" cm="1">
        <f t="array" ref="Q176">Common_InputFunctions.Utility_DisplayArrayInTable(Fertiliser_SourceData.Fertiliser_Products_Data3(), FertiliserProducts[[#Headers],[Company]],61)</f>
        <v>Phosphorus - Generic</v>
      </c>
      <c r="R176" s="215" cm="1">
        <f t="array" ref="R176">Common_InputFunctions.Utility_DisplayArrayInTable(Fertiliser_SourceData.Fertiliser_Products_Data3(), FertiliserProducts[[#Headers],[Company]],61)</f>
        <v>0.13</v>
      </c>
      <c r="S176" s="215" t="str" cm="1">
        <f t="array" ref="S176">Common_InputFunctions.Utility_DisplayArrayInTable(Fertiliser_SourceData.Fertiliser_Products_Data3(), FertiliserProducts[[#Headers],[Company]],61)</f>
        <v>Sulfur - Generic</v>
      </c>
      <c r="T176" s="215" cm="1">
        <f t="array" ref="T176">Common_InputFunctions.Utility_DisplayArrayInTable(Fertiliser_SourceData.Fertiliser_Products_Data3(), FertiliserProducts[[#Headers],[Company]],61)</f>
        <v>0.09</v>
      </c>
      <c r="U176" s="215" t="str" cm="1">
        <f t="array" ref="U176">Common_InputFunctions.Utility_DisplayArrayInTable(Fertiliser_SourceData.Fertiliser_Products_Data3(), FertiliserProducts[[#Headers],[Company]],61)</f>
        <v/>
      </c>
      <c r="V176" s="215" t="str" cm="1">
        <f t="array" ref="V176">Common_InputFunctions.Utility_DisplayArrayInTable(Fertiliser_SourceData.Fertiliser_Products_Data3(), FertiliserProducts[[#Headers],[Company]],61)</f>
        <v/>
      </c>
      <c r="W176" s="215" t="str" cm="1">
        <f t="array" ref="W176">Common_InputFunctions.Utility_DisplayArrayInTable(Fertiliser_SourceData.Fertiliser_Products_Data3(), FertiliserProducts[[#Headers],[Company]],61)</f>
        <v/>
      </c>
      <c r="X176" s="215" t="str" cm="1">
        <f t="array" ref="X176">Common_InputFunctions.Utility_DisplayArrayInTable(Fertiliser_SourceData.Fertiliser_Products_Data3(), FertiliserProducts[[#Headers],[Company]],61)</f>
        <v/>
      </c>
      <c r="Y176" s="215" t="str" cm="1">
        <f t="array" ref="Y176">Common_InputFunctions.Utility_DisplayArrayInTable(Fertiliser_SourceData.Fertiliser_Products_Data3(), FertiliserProducts[[#Headers],[Company]],61)</f>
        <v/>
      </c>
      <c r="Z176" s="215" t="str" cm="1">
        <f t="array" ref="Z176">Common_InputFunctions.Utility_DisplayArrayInTable(Fertiliser_SourceData.Fertiliser_Products_Data3(), FertiliserProducts[[#Headers],[Company]],61)</f>
        <v/>
      </c>
      <c r="AA176" s="215" t="str" cm="1">
        <f t="array" ref="AA176">Common_InputFunctions.Utility_DisplayArrayInTable(Fertiliser_SourceData.Fertiliser_Products_Data3(), FertiliserProducts[[#Headers],[Company]],61)</f>
        <v/>
      </c>
      <c r="AB176" s="215" t="str" cm="1">
        <f t="array" ref="AB176">Common_InputFunctions.Utility_DisplayArrayInTable(Fertiliser_SourceData.Fertiliser_Products_Data3(), FertiliserProducts[[#Headers],[Company]],61)</f>
        <v/>
      </c>
      <c r="AC176" s="215" t="str" cm="1">
        <f t="array" ref="AC176">Common_InputFunctions.Utility_DisplayArrayInTable(Fertiliser_SourceData.Fertiliser_Products_Data3(), FertiliserProducts[[#Headers],[Company]],61)</f>
        <v/>
      </c>
      <c r="AD176" s="215" t="str" cm="1">
        <f t="array" ref="AD176">Common_InputFunctions.Utility_DisplayArrayInTable(Fertiliser_SourceData.Fertiliser_Products_Data3(), FertiliserProducts[[#Headers],[Company]],61)</f>
        <v/>
      </c>
      <c r="AE176" s="215" t="str" cm="1">
        <f t="array" ref="AE176">Common_InputFunctions.Utility_DisplayArrayInTable(Fertiliser_SourceData.Fertiliser_Products_Data3(), FertiliserProducts[[#Headers],[Company]],61)</f>
        <v/>
      </c>
      <c r="AF176" s="215" t="str" cm="1">
        <f t="array" ref="AF176">Common_InputFunctions.Utility_DisplayArrayInTable(Fertiliser_SourceData.Fertiliser_Products_Data3(), FertiliserProducts[[#Headers],[Company]],61)</f>
        <v/>
      </c>
      <c r="AG176" s="215" t="str" cm="1">
        <f t="array" ref="AG176">Common_InputFunctions.Utility_DisplayArrayInTable(Fertiliser_SourceData.Fertiliser_Products_Data3(), FertiliserProducts[[#Headers],[Company]],61)</f>
        <v/>
      </c>
      <c r="AH176" s="215" t="str" cm="1">
        <f t="array" ref="AH176">Common_InputFunctions.Utility_DisplayArrayInTable(Fertiliser_SourceData.Fertiliser_Products_Data3(), FertiliserProducts[[#Headers],[Company]],61)</f>
        <v/>
      </c>
    </row>
    <row r="177" spans="4:34" x14ac:dyDescent="0.25">
      <c r="D177" s="215" t="str" cm="1">
        <f t="array" ref="D177">Common_InputFunctions.Utility_DisplayArrayInTable(Fertiliser_SourceData.Fertiliser_Products_Data3(), FertiliserProducts[[#Headers],[Company]],61)</f>
        <v>Incitec Pivot Fertilisers</v>
      </c>
      <c r="E177" s="215" t="str" cm="1">
        <f t="array" ref="E177">Common_InputFunctions.Utility_DisplayArrayInTable(Fertiliser_SourceData.Fertiliser_Products_Data3(), FertiliserProducts[[#Headers],[Company]],61)</f>
        <v>PastureBoosta</v>
      </c>
      <c r="F177" s="215" t="str" cm="1">
        <f t="array" ref="F177">Common_InputFunctions.Utility_DisplayArrayInTable(Fertiliser_SourceData.Fertiliser_Products_Data3(), FertiliserProducts[[#Headers],[Company]],61)</f>
        <v>kg</v>
      </c>
      <c r="G177" s="215" cm="1">
        <f t="array" ref="G177">Common_InputFunctions.Utility_DisplayArrayInTable(Fertiliser_SourceData.Fertiliser_Products_Data3(), FertiliserProducts[[#Headers],[Company]],61)</f>
        <v>1</v>
      </c>
      <c r="H177" s="215" t="str" cm="1">
        <f t="array" ref="H177">Common_InputFunctions.Utility_DisplayArrayInTable(Fertiliser_SourceData.Fertiliser_Products_Data3(), FertiliserProducts[[#Headers],[Company]],61)</f>
        <v/>
      </c>
      <c r="I177" s="215" t="str" cm="1">
        <f t="array" ref="I177">Common_InputFunctions.Utility_DisplayArrayInTable(Fertiliser_SourceData.Fertiliser_Products_Data3(), FertiliserProducts[[#Headers],[Company]],61)</f>
        <v/>
      </c>
      <c r="J177" s="215" t="str" cm="1">
        <f t="array" ref="J177">Common_InputFunctions.Utility_DisplayArrayInTable(Fertiliser_SourceData.Fertiliser_Products_Data3(), FertiliserProducts[[#Headers],[Company]],61)</f>
        <v/>
      </c>
      <c r="K177" s="215" cm="1">
        <f t="array" ref="K177">Common_InputFunctions.Utility_DisplayArrayInTable(Fertiliser_SourceData.Fertiliser_Products_Data3(), FertiliserProducts[[#Headers],[Company]],61)</f>
        <v>23.8</v>
      </c>
      <c r="L177" s="215" cm="1">
        <f t="array" ref="L177">Common_InputFunctions.Utility_DisplayArrayInTable(Fertiliser_SourceData.Fertiliser_Products_Data3(), FertiliserProducts[[#Headers],[Company]],61)</f>
        <v>3.7</v>
      </c>
      <c r="M177" s="215" cm="1">
        <f t="array" ref="M177">Common_InputFunctions.Utility_DisplayArrayInTable(Fertiliser_SourceData.Fertiliser_Products_Data3(), FertiliserProducts[[#Headers],[Company]],61)</f>
        <v>13</v>
      </c>
      <c r="N177" s="215" cm="1">
        <f t="array" ref="N177">Common_InputFunctions.Utility_DisplayArrayInTable(Fertiliser_SourceData.Fertiliser_Products_Data3(), FertiliserProducts[[#Headers],[Company]],61)</f>
        <v>4.0999999999999996</v>
      </c>
      <c r="O177" s="215" t="str" cm="1">
        <f t="array" ref="O177">Common_InputFunctions.Utility_DisplayArrayInTable(Fertiliser_SourceData.Fertiliser_Products_Data3(), FertiliserProducts[[#Headers],[Company]],61)</f>
        <v>Nitrogen - Generic</v>
      </c>
      <c r="P177" s="215" cm="1">
        <f t="array" ref="P177">Common_InputFunctions.Utility_DisplayArrayInTable(Fertiliser_SourceData.Fertiliser_Products_Data3(), FertiliserProducts[[#Headers],[Company]],61)</f>
        <v>0.23799999999999999</v>
      </c>
      <c r="Q177" s="215" t="str" cm="1">
        <f t="array" ref="Q177">Common_InputFunctions.Utility_DisplayArrayInTable(Fertiliser_SourceData.Fertiliser_Products_Data3(), FertiliserProducts[[#Headers],[Company]],61)</f>
        <v>Phosphorus - Generic</v>
      </c>
      <c r="R177" s="215" cm="1">
        <f t="array" ref="R177">Common_InputFunctions.Utility_DisplayArrayInTable(Fertiliser_SourceData.Fertiliser_Products_Data3(), FertiliserProducts[[#Headers],[Company]],61)</f>
        <v>3.6999999999999998E-2</v>
      </c>
      <c r="S177" s="215" t="str" cm="1">
        <f t="array" ref="S177">Common_InputFunctions.Utility_DisplayArrayInTable(Fertiliser_SourceData.Fertiliser_Products_Data3(), FertiliserProducts[[#Headers],[Company]],61)</f>
        <v>Potassium - Generic</v>
      </c>
      <c r="T177" s="215" cm="1">
        <f t="array" ref="T177">Common_InputFunctions.Utility_DisplayArrayInTable(Fertiliser_SourceData.Fertiliser_Products_Data3(), FertiliserProducts[[#Headers],[Company]],61)</f>
        <v>0.13</v>
      </c>
      <c r="U177" s="215" t="str" cm="1">
        <f t="array" ref="U177">Common_InputFunctions.Utility_DisplayArrayInTable(Fertiliser_SourceData.Fertiliser_Products_Data3(), FertiliserProducts[[#Headers],[Company]],61)</f>
        <v>Sulfur - Generic</v>
      </c>
      <c r="V177" s="215" cm="1">
        <f t="array" ref="V177">Common_InputFunctions.Utility_DisplayArrayInTable(Fertiliser_SourceData.Fertiliser_Products_Data3(), FertiliserProducts[[#Headers],[Company]],61)</f>
        <v>4.1000000000000002E-2</v>
      </c>
      <c r="W177" s="215" t="str" cm="1">
        <f t="array" ref="W177">Common_InputFunctions.Utility_DisplayArrayInTable(Fertiliser_SourceData.Fertiliser_Products_Data3(), FertiliserProducts[[#Headers],[Company]],61)</f>
        <v/>
      </c>
      <c r="X177" s="215" t="str" cm="1">
        <f t="array" ref="X177">Common_InputFunctions.Utility_DisplayArrayInTable(Fertiliser_SourceData.Fertiliser_Products_Data3(), FertiliserProducts[[#Headers],[Company]],61)</f>
        <v/>
      </c>
      <c r="Y177" s="215" t="str" cm="1">
        <f t="array" ref="Y177">Common_InputFunctions.Utility_DisplayArrayInTable(Fertiliser_SourceData.Fertiliser_Products_Data3(), FertiliserProducts[[#Headers],[Company]],61)</f>
        <v/>
      </c>
      <c r="Z177" s="215" t="str" cm="1">
        <f t="array" ref="Z177">Common_InputFunctions.Utility_DisplayArrayInTable(Fertiliser_SourceData.Fertiliser_Products_Data3(), FertiliserProducts[[#Headers],[Company]],61)</f>
        <v/>
      </c>
      <c r="AA177" s="215" t="str" cm="1">
        <f t="array" ref="AA177">Common_InputFunctions.Utility_DisplayArrayInTable(Fertiliser_SourceData.Fertiliser_Products_Data3(), FertiliserProducts[[#Headers],[Company]],61)</f>
        <v/>
      </c>
      <c r="AB177" s="215" t="str" cm="1">
        <f t="array" ref="AB177">Common_InputFunctions.Utility_DisplayArrayInTable(Fertiliser_SourceData.Fertiliser_Products_Data3(), FertiliserProducts[[#Headers],[Company]],61)</f>
        <v/>
      </c>
      <c r="AC177" s="215" t="str" cm="1">
        <f t="array" ref="AC177">Common_InputFunctions.Utility_DisplayArrayInTable(Fertiliser_SourceData.Fertiliser_Products_Data3(), FertiliserProducts[[#Headers],[Company]],61)</f>
        <v/>
      </c>
      <c r="AD177" s="215" t="str" cm="1">
        <f t="array" ref="AD177">Common_InputFunctions.Utility_DisplayArrayInTable(Fertiliser_SourceData.Fertiliser_Products_Data3(), FertiliserProducts[[#Headers],[Company]],61)</f>
        <v/>
      </c>
      <c r="AE177" s="215" t="str" cm="1">
        <f t="array" ref="AE177">Common_InputFunctions.Utility_DisplayArrayInTable(Fertiliser_SourceData.Fertiliser_Products_Data3(), FertiliserProducts[[#Headers],[Company]],61)</f>
        <v/>
      </c>
      <c r="AF177" s="215" t="str" cm="1">
        <f t="array" ref="AF177">Common_InputFunctions.Utility_DisplayArrayInTable(Fertiliser_SourceData.Fertiliser_Products_Data3(), FertiliserProducts[[#Headers],[Company]],61)</f>
        <v/>
      </c>
      <c r="AG177" s="215" t="str" cm="1">
        <f t="array" ref="AG177">Common_InputFunctions.Utility_DisplayArrayInTable(Fertiliser_SourceData.Fertiliser_Products_Data3(), FertiliserProducts[[#Headers],[Company]],61)</f>
        <v/>
      </c>
      <c r="AH177" s="215" t="str" cm="1">
        <f t="array" ref="AH177">Common_InputFunctions.Utility_DisplayArrayInTable(Fertiliser_SourceData.Fertiliser_Products_Data3(), FertiliserProducts[[#Headers],[Company]],61)</f>
        <v/>
      </c>
    </row>
    <row r="178" spans="4:34" x14ac:dyDescent="0.25">
      <c r="D178" s="215" t="str" cm="1">
        <f t="array" ref="D178">Common_InputFunctions.Utility_DisplayArrayInTable(Fertiliser_SourceData.Fertiliser_Products_Data3(), FertiliserProducts[[#Headers],[Company]],61)</f>
        <v>Incitec Pivot Fertilisers</v>
      </c>
      <c r="E178" s="215" t="str" cm="1">
        <f t="array" ref="E178">Common_InputFunctions.Utility_DisplayArrayInTable(Fertiliser_SourceData.Fertiliser_Products_Data3(), FertiliserProducts[[#Headers],[Company]],61)</f>
        <v>Greentop K</v>
      </c>
      <c r="F178" s="215" t="str" cm="1">
        <f t="array" ref="F178">Common_InputFunctions.Utility_DisplayArrayInTable(Fertiliser_SourceData.Fertiliser_Products_Data3(), FertiliserProducts[[#Headers],[Company]],61)</f>
        <v>kg</v>
      </c>
      <c r="G178" s="215" cm="1">
        <f t="array" ref="G178">Common_InputFunctions.Utility_DisplayArrayInTable(Fertiliser_SourceData.Fertiliser_Products_Data3(), FertiliserProducts[[#Headers],[Company]],61)</f>
        <v>1</v>
      </c>
      <c r="H178" s="215" t="str" cm="1">
        <f t="array" ref="H178">Common_InputFunctions.Utility_DisplayArrayInTable(Fertiliser_SourceData.Fertiliser_Products_Data3(), FertiliserProducts[[#Headers],[Company]],61)</f>
        <v/>
      </c>
      <c r="I178" s="215" t="str" cm="1">
        <f t="array" ref="I178">Common_InputFunctions.Utility_DisplayArrayInTable(Fertiliser_SourceData.Fertiliser_Products_Data3(), FertiliserProducts[[#Headers],[Company]],61)</f>
        <v/>
      </c>
      <c r="J178" s="215" t="str" cm="1">
        <f t="array" ref="J178">Common_InputFunctions.Utility_DisplayArrayInTable(Fertiliser_SourceData.Fertiliser_Products_Data3(), FertiliserProducts[[#Headers],[Company]],61)</f>
        <v/>
      </c>
      <c r="K178" s="215" cm="1">
        <f t="array" ref="K178">Common_InputFunctions.Utility_DisplayArrayInTable(Fertiliser_SourceData.Fertiliser_Products_Data3(), FertiliserProducts[[#Headers],[Company]],61)</f>
        <v>32.799999999999997</v>
      </c>
      <c r="L178" s="215" t="str" cm="1">
        <f t="array" ref="L178">Common_InputFunctions.Utility_DisplayArrayInTable(Fertiliser_SourceData.Fertiliser_Products_Data3(), FertiliserProducts[[#Headers],[Company]],61)</f>
        <v/>
      </c>
      <c r="M178" s="215" cm="1">
        <f t="array" ref="M178">Common_InputFunctions.Utility_DisplayArrayInTable(Fertiliser_SourceData.Fertiliser_Products_Data3(), FertiliserProducts[[#Headers],[Company]],61)</f>
        <v>11</v>
      </c>
      <c r="N178" s="215" cm="1">
        <f t="array" ref="N178">Common_InputFunctions.Utility_DisplayArrayInTable(Fertiliser_SourceData.Fertiliser_Products_Data3(), FertiliserProducts[[#Headers],[Company]],61)</f>
        <v>2.9</v>
      </c>
      <c r="O178" s="215" t="str" cm="1">
        <f t="array" ref="O178">Common_InputFunctions.Utility_DisplayArrayInTable(Fertiliser_SourceData.Fertiliser_Products_Data3(), FertiliserProducts[[#Headers],[Company]],61)</f>
        <v>Urea</v>
      </c>
      <c r="P178" s="215" cm="1">
        <f t="array" ref="P178">Common_InputFunctions.Utility_DisplayArrayInTable(Fertiliser_SourceData.Fertiliser_Products_Data3(), FertiliserProducts[[#Headers],[Company]],61)</f>
        <v>0.66086999999999996</v>
      </c>
      <c r="Q178" s="215" t="str" cm="1">
        <f t="array" ref="Q178">Common_InputFunctions.Utility_DisplayArrayInTable(Fertiliser_SourceData.Fertiliser_Products_Data3(), FertiliserProducts[[#Headers],[Company]],61)</f>
        <v>Nitrogen - Ammoniacal</v>
      </c>
      <c r="R178" s="215" cm="1">
        <f t="array" ref="R178">Common_InputFunctions.Utility_DisplayArrayInTable(Fertiliser_SourceData.Fertiliser_Products_Data3(), FertiliserProducts[[#Headers],[Company]],61)</f>
        <v>2.4E-2</v>
      </c>
      <c r="S178" s="215" t="str" cm="1">
        <f t="array" ref="S178">Common_InputFunctions.Utility_DisplayArrayInTable(Fertiliser_SourceData.Fertiliser_Products_Data3(), FertiliserProducts[[#Headers],[Company]],61)</f>
        <v>Potassium - Generic</v>
      </c>
      <c r="T178" s="215" cm="1">
        <f t="array" ref="T178">Common_InputFunctions.Utility_DisplayArrayInTable(Fertiliser_SourceData.Fertiliser_Products_Data3(), FertiliserProducts[[#Headers],[Company]],61)</f>
        <v>0.11</v>
      </c>
      <c r="U178" s="215" t="str" cm="1">
        <f t="array" ref="U178">Common_InputFunctions.Utility_DisplayArrayInTable(Fertiliser_SourceData.Fertiliser_Products_Data3(), FertiliserProducts[[#Headers],[Company]],61)</f>
        <v>Sulfur - Generic</v>
      </c>
      <c r="V178" s="215" cm="1">
        <f t="array" ref="V178">Common_InputFunctions.Utility_DisplayArrayInTable(Fertiliser_SourceData.Fertiliser_Products_Data3(), FertiliserProducts[[#Headers],[Company]],61)</f>
        <v>2.9000000000000001E-2</v>
      </c>
      <c r="W178" s="215" t="str" cm="1">
        <f t="array" ref="W178">Common_InputFunctions.Utility_DisplayArrayInTable(Fertiliser_SourceData.Fertiliser_Products_Data3(), FertiliserProducts[[#Headers],[Company]],61)</f>
        <v/>
      </c>
      <c r="X178" s="215" t="str" cm="1">
        <f t="array" ref="X178">Common_InputFunctions.Utility_DisplayArrayInTable(Fertiliser_SourceData.Fertiliser_Products_Data3(), FertiliserProducts[[#Headers],[Company]],61)</f>
        <v/>
      </c>
      <c r="Y178" s="215" t="str" cm="1">
        <f t="array" ref="Y178">Common_InputFunctions.Utility_DisplayArrayInTable(Fertiliser_SourceData.Fertiliser_Products_Data3(), FertiliserProducts[[#Headers],[Company]],61)</f>
        <v/>
      </c>
      <c r="Z178" s="215" t="str" cm="1">
        <f t="array" ref="Z178">Common_InputFunctions.Utility_DisplayArrayInTable(Fertiliser_SourceData.Fertiliser_Products_Data3(), FertiliserProducts[[#Headers],[Company]],61)</f>
        <v/>
      </c>
      <c r="AA178" s="215" t="str" cm="1">
        <f t="array" ref="AA178">Common_InputFunctions.Utility_DisplayArrayInTable(Fertiliser_SourceData.Fertiliser_Products_Data3(), FertiliserProducts[[#Headers],[Company]],61)</f>
        <v/>
      </c>
      <c r="AB178" s="215" t="str" cm="1">
        <f t="array" ref="AB178">Common_InputFunctions.Utility_DisplayArrayInTable(Fertiliser_SourceData.Fertiliser_Products_Data3(), FertiliserProducts[[#Headers],[Company]],61)</f>
        <v/>
      </c>
      <c r="AC178" s="215" t="str" cm="1">
        <f t="array" ref="AC178">Common_InputFunctions.Utility_DisplayArrayInTable(Fertiliser_SourceData.Fertiliser_Products_Data3(), FertiliserProducts[[#Headers],[Company]],61)</f>
        <v/>
      </c>
      <c r="AD178" s="215" t="str" cm="1">
        <f t="array" ref="AD178">Common_InputFunctions.Utility_DisplayArrayInTable(Fertiliser_SourceData.Fertiliser_Products_Data3(), FertiliserProducts[[#Headers],[Company]],61)</f>
        <v/>
      </c>
      <c r="AE178" s="215" t="str" cm="1">
        <f t="array" ref="AE178">Common_InputFunctions.Utility_DisplayArrayInTable(Fertiliser_SourceData.Fertiliser_Products_Data3(), FertiliserProducts[[#Headers],[Company]],61)</f>
        <v/>
      </c>
      <c r="AF178" s="215" t="str" cm="1">
        <f t="array" ref="AF178">Common_InputFunctions.Utility_DisplayArrayInTable(Fertiliser_SourceData.Fertiliser_Products_Data3(), FertiliserProducts[[#Headers],[Company]],61)</f>
        <v/>
      </c>
      <c r="AG178" s="215" t="str" cm="1">
        <f t="array" ref="AG178">Common_InputFunctions.Utility_DisplayArrayInTable(Fertiliser_SourceData.Fertiliser_Products_Data3(), FertiliserProducts[[#Headers],[Company]],61)</f>
        <v/>
      </c>
      <c r="AH178" s="215" t="str" cm="1">
        <f t="array" ref="AH178">Common_InputFunctions.Utility_DisplayArrayInTable(Fertiliser_SourceData.Fertiliser_Products_Data3(), FertiliserProducts[[#Headers],[Company]],61)</f>
        <v/>
      </c>
    </row>
    <row r="179" spans="4:34" x14ac:dyDescent="0.25">
      <c r="D179" s="215" t="str" cm="1">
        <f t="array" ref="D179">Common_InputFunctions.Utility_DisplayArrayInTable(Fertiliser_SourceData.Fertiliser_Products_Data3(), FertiliserProducts[[#Headers],[Company]],61)</f>
        <v>Incitec Pivot Fertilisers</v>
      </c>
      <c r="E179" s="215" t="str" cm="1">
        <f t="array" ref="E179">Common_InputFunctions.Utility_DisplayArrayInTable(Fertiliser_SourceData.Fertiliser_Products_Data3(), FertiliserProducts[[#Headers],[Company]],61)</f>
        <v>HayBoosta</v>
      </c>
      <c r="F179" s="215" t="str" cm="1">
        <f t="array" ref="F179">Common_InputFunctions.Utility_DisplayArrayInTable(Fertiliser_SourceData.Fertiliser_Products_Data3(), FertiliserProducts[[#Headers],[Company]],61)</f>
        <v>kg</v>
      </c>
      <c r="G179" s="215" cm="1">
        <f t="array" ref="G179">Common_InputFunctions.Utility_DisplayArrayInTable(Fertiliser_SourceData.Fertiliser_Products_Data3(), FertiliserProducts[[#Headers],[Company]],61)</f>
        <v>1</v>
      </c>
      <c r="H179" s="215" t="str" cm="1">
        <f t="array" ref="H179">Common_InputFunctions.Utility_DisplayArrayInTable(Fertiliser_SourceData.Fertiliser_Products_Data3(), FertiliserProducts[[#Headers],[Company]],61)</f>
        <v/>
      </c>
      <c r="I179" s="215" t="str" cm="1">
        <f t="array" ref="I179">Common_InputFunctions.Utility_DisplayArrayInTable(Fertiliser_SourceData.Fertiliser_Products_Data3(), FertiliserProducts[[#Headers],[Company]],61)</f>
        <v/>
      </c>
      <c r="J179" s="215" t="str" cm="1">
        <f t="array" ref="J179">Common_InputFunctions.Utility_DisplayArrayInTable(Fertiliser_SourceData.Fertiliser_Products_Data3(), FertiliserProducts[[#Headers],[Company]],61)</f>
        <v/>
      </c>
      <c r="K179" s="215" cm="1">
        <f t="array" ref="K179">Common_InputFunctions.Utility_DisplayArrayInTable(Fertiliser_SourceData.Fertiliser_Products_Data3(), FertiliserProducts[[#Headers],[Company]],61)</f>
        <v>11.7</v>
      </c>
      <c r="L179" s="215" cm="1">
        <f t="array" ref="L179">Common_InputFunctions.Utility_DisplayArrayInTable(Fertiliser_SourceData.Fertiliser_Products_Data3(), FertiliserProducts[[#Headers],[Company]],61)</f>
        <v>4.7</v>
      </c>
      <c r="M179" s="215" cm="1">
        <f t="array" ref="M179">Common_InputFunctions.Utility_DisplayArrayInTable(Fertiliser_SourceData.Fertiliser_Products_Data3(), FertiliserProducts[[#Headers],[Company]],61)</f>
        <v>23.9</v>
      </c>
      <c r="N179" s="215" cm="1">
        <f t="array" ref="N179">Common_InputFunctions.Utility_DisplayArrayInTable(Fertiliser_SourceData.Fertiliser_Products_Data3(), FertiliserProducts[[#Headers],[Company]],61)</f>
        <v>4.5999999999999996</v>
      </c>
      <c r="O179" s="215" t="str" cm="1">
        <f t="array" ref="O179">Common_InputFunctions.Utility_DisplayArrayInTable(Fertiliser_SourceData.Fertiliser_Products_Data3(), FertiliserProducts[[#Headers],[Company]],61)</f>
        <v>Nitrogen - Generic</v>
      </c>
      <c r="P179" s="215" cm="1">
        <f t="array" ref="P179">Common_InputFunctions.Utility_DisplayArrayInTable(Fertiliser_SourceData.Fertiliser_Products_Data3(), FertiliserProducts[[#Headers],[Company]],61)</f>
        <v>0.11700000000000001</v>
      </c>
      <c r="Q179" s="215" t="str" cm="1">
        <f t="array" ref="Q179">Common_InputFunctions.Utility_DisplayArrayInTable(Fertiliser_SourceData.Fertiliser_Products_Data3(), FertiliserProducts[[#Headers],[Company]],61)</f>
        <v>Phosphorus - Generic</v>
      </c>
      <c r="R179" s="215" cm="1">
        <f t="array" ref="R179">Common_InputFunctions.Utility_DisplayArrayInTable(Fertiliser_SourceData.Fertiliser_Products_Data3(), FertiliserProducts[[#Headers],[Company]],61)</f>
        <v>4.7E-2</v>
      </c>
      <c r="S179" s="215" t="str" cm="1">
        <f t="array" ref="S179">Common_InputFunctions.Utility_DisplayArrayInTable(Fertiliser_SourceData.Fertiliser_Products_Data3(), FertiliserProducts[[#Headers],[Company]],61)</f>
        <v>Potassium - Generic</v>
      </c>
      <c r="T179" s="215" cm="1">
        <f t="array" ref="T179">Common_InputFunctions.Utility_DisplayArrayInTable(Fertiliser_SourceData.Fertiliser_Products_Data3(), FertiliserProducts[[#Headers],[Company]],61)</f>
        <v>0.23899999999999999</v>
      </c>
      <c r="U179" s="215" t="str" cm="1">
        <f t="array" ref="U179">Common_InputFunctions.Utility_DisplayArrayInTable(Fertiliser_SourceData.Fertiliser_Products_Data3(), FertiliserProducts[[#Headers],[Company]],61)</f>
        <v>Sulfur - Generic</v>
      </c>
      <c r="V179" s="215" cm="1">
        <f t="array" ref="V179">Common_InputFunctions.Utility_DisplayArrayInTable(Fertiliser_SourceData.Fertiliser_Products_Data3(), FertiliserProducts[[#Headers],[Company]],61)</f>
        <v>4.5999999999999999E-2</v>
      </c>
      <c r="W179" s="215" t="str" cm="1">
        <f t="array" ref="W179">Common_InputFunctions.Utility_DisplayArrayInTable(Fertiliser_SourceData.Fertiliser_Products_Data3(), FertiliserProducts[[#Headers],[Company]],61)</f>
        <v/>
      </c>
      <c r="X179" s="215" t="str" cm="1">
        <f t="array" ref="X179">Common_InputFunctions.Utility_DisplayArrayInTable(Fertiliser_SourceData.Fertiliser_Products_Data3(), FertiliserProducts[[#Headers],[Company]],61)</f>
        <v/>
      </c>
      <c r="Y179" s="215" t="str" cm="1">
        <f t="array" ref="Y179">Common_InputFunctions.Utility_DisplayArrayInTable(Fertiliser_SourceData.Fertiliser_Products_Data3(), FertiliserProducts[[#Headers],[Company]],61)</f>
        <v/>
      </c>
      <c r="Z179" s="215" t="str" cm="1">
        <f t="array" ref="Z179">Common_InputFunctions.Utility_DisplayArrayInTable(Fertiliser_SourceData.Fertiliser_Products_Data3(), FertiliserProducts[[#Headers],[Company]],61)</f>
        <v/>
      </c>
      <c r="AA179" s="215" t="str" cm="1">
        <f t="array" ref="AA179">Common_InputFunctions.Utility_DisplayArrayInTable(Fertiliser_SourceData.Fertiliser_Products_Data3(), FertiliserProducts[[#Headers],[Company]],61)</f>
        <v/>
      </c>
      <c r="AB179" s="215" t="str" cm="1">
        <f t="array" ref="AB179">Common_InputFunctions.Utility_DisplayArrayInTable(Fertiliser_SourceData.Fertiliser_Products_Data3(), FertiliserProducts[[#Headers],[Company]],61)</f>
        <v/>
      </c>
      <c r="AC179" s="215" t="str" cm="1">
        <f t="array" ref="AC179">Common_InputFunctions.Utility_DisplayArrayInTable(Fertiliser_SourceData.Fertiliser_Products_Data3(), FertiliserProducts[[#Headers],[Company]],61)</f>
        <v/>
      </c>
      <c r="AD179" s="215" t="str" cm="1">
        <f t="array" ref="AD179">Common_InputFunctions.Utility_DisplayArrayInTable(Fertiliser_SourceData.Fertiliser_Products_Data3(), FertiliserProducts[[#Headers],[Company]],61)</f>
        <v/>
      </c>
      <c r="AE179" s="215" t="str" cm="1">
        <f t="array" ref="AE179">Common_InputFunctions.Utility_DisplayArrayInTable(Fertiliser_SourceData.Fertiliser_Products_Data3(), FertiliserProducts[[#Headers],[Company]],61)</f>
        <v/>
      </c>
      <c r="AF179" s="215" t="str" cm="1">
        <f t="array" ref="AF179">Common_InputFunctions.Utility_DisplayArrayInTable(Fertiliser_SourceData.Fertiliser_Products_Data3(), FertiliserProducts[[#Headers],[Company]],61)</f>
        <v/>
      </c>
      <c r="AG179" s="215" t="str" cm="1">
        <f t="array" ref="AG179">Common_InputFunctions.Utility_DisplayArrayInTable(Fertiliser_SourceData.Fertiliser_Products_Data3(), FertiliserProducts[[#Headers],[Company]],61)</f>
        <v/>
      </c>
      <c r="AH179" s="215" t="str" cm="1">
        <f t="array" ref="AH179">Common_InputFunctions.Utility_DisplayArrayInTable(Fertiliser_SourceData.Fertiliser_Products_Data3(), FertiliserProducts[[#Headers],[Company]],61)</f>
        <v/>
      </c>
    </row>
    <row r="180" spans="4:34" x14ac:dyDescent="0.25">
      <c r="D180" s="215" t="str" cm="1">
        <f t="array" ref="D180">Common_InputFunctions.Utility_DisplayArrayInTable(Fertiliser_SourceData.Fertiliser_Products_Data4(),FertiliserProducts[[#Headers],[Company]], 91)</f>
        <v>Impact Fertilisers</v>
      </c>
      <c r="E180" s="215" t="str" cm="1">
        <f t="array" ref="E180">Common_InputFunctions.Utility_DisplayArrayInTable(Fertiliser_SourceData.Fertiliser_Products_Data4(),FertiliserProducts[[#Headers],[Company]], 91)</f>
        <v>Impact Super Potash 1&amp;1</v>
      </c>
      <c r="F180" s="215" t="str" cm="1">
        <f t="array" ref="F180">Common_InputFunctions.Utility_DisplayArrayInTable(Fertiliser_SourceData.Fertiliser_Products_Data4(),FertiliserProducts[[#Headers],[Company]], 91)</f>
        <v>kg</v>
      </c>
      <c r="G180" s="215" cm="1">
        <f t="array" ref="G180">Common_InputFunctions.Utility_DisplayArrayInTable(Fertiliser_SourceData.Fertiliser_Products_Data4(),FertiliserProducts[[#Headers],[Company]], 91)</f>
        <v>1</v>
      </c>
      <c r="H180" s="215" t="str" cm="1">
        <f t="array" ref="H180">Common_InputFunctions.Utility_DisplayArrayInTable(Fertiliser_SourceData.Fertiliser_Products_Data4(),FertiliserProducts[[#Headers],[Company]], 91)</f>
        <v/>
      </c>
      <c r="I180" s="215" t="str" cm="1">
        <f t="array" ref="I180">Common_InputFunctions.Utility_DisplayArrayInTable(Fertiliser_SourceData.Fertiliser_Products_Data4(),FertiliserProducts[[#Headers],[Company]], 91)</f>
        <v/>
      </c>
      <c r="J180" s="215" t="str" cm="1">
        <f t="array" ref="J180">Common_InputFunctions.Utility_DisplayArrayInTable(Fertiliser_SourceData.Fertiliser_Products_Data4(),FertiliserProducts[[#Headers],[Company]], 91)</f>
        <v/>
      </c>
      <c r="K180" s="215" t="str" cm="1">
        <f t="array" ref="K180">Common_InputFunctions.Utility_DisplayArrayInTable(Fertiliser_SourceData.Fertiliser_Products_Data4(),FertiliserProducts[[#Headers],[Company]], 91)</f>
        <v/>
      </c>
      <c r="L180" s="215" cm="1">
        <f t="array" ref="L180">Common_InputFunctions.Utility_DisplayArrayInTable(Fertiliser_SourceData.Fertiliser_Products_Data4(),FertiliserProducts[[#Headers],[Company]], 91)</f>
        <v>4.4000000000000004</v>
      </c>
      <c r="M180" s="215" cm="1">
        <f t="array" ref="M180">Common_InputFunctions.Utility_DisplayArrayInTable(Fertiliser_SourceData.Fertiliser_Products_Data4(),FertiliserProducts[[#Headers],[Company]], 91)</f>
        <v>25</v>
      </c>
      <c r="N180" s="215" cm="1">
        <f t="array" ref="N180">Common_InputFunctions.Utility_DisplayArrayInTable(Fertiliser_SourceData.Fertiliser_Products_Data4(),FertiliserProducts[[#Headers],[Company]], 91)</f>
        <v>5.5</v>
      </c>
      <c r="O180" s="215" t="str" cm="1">
        <f t="array" ref="O180">Common_InputFunctions.Utility_DisplayArrayInTable(Fertiliser_SourceData.Fertiliser_Products_Data4(),FertiliserProducts[[#Headers],[Company]], 91)</f>
        <v>Single superphosphate (SSP)</v>
      </c>
      <c r="P180" s="215" cm="1">
        <f t="array" ref="P180">Common_InputFunctions.Utility_DisplayArrayInTable(Fertiliser_SourceData.Fertiliser_Products_Data4(),FertiliserProducts[[#Headers],[Company]], 91)</f>
        <v>0.5</v>
      </c>
      <c r="Q180" s="215" t="str" cm="1">
        <f t="array" ref="Q180">Common_InputFunctions.Utility_DisplayArrayInTable(Fertiliser_SourceData.Fertiliser_Products_Data4(),FertiliserProducts[[#Headers],[Company]], 91)</f>
        <v>Muriate of potash (MOP)</v>
      </c>
      <c r="R180" s="215" cm="1">
        <f t="array" ref="R180">Common_InputFunctions.Utility_DisplayArrayInTable(Fertiliser_SourceData.Fertiliser_Products_Data4(),FertiliserProducts[[#Headers],[Company]], 91)</f>
        <v>0.5</v>
      </c>
      <c r="S180" s="215" t="str" cm="1">
        <f t="array" ref="S180">Common_InputFunctions.Utility_DisplayArrayInTable(Fertiliser_SourceData.Fertiliser_Products_Data4(),FertiliserProducts[[#Headers],[Company]], 91)</f>
        <v/>
      </c>
      <c r="T180" s="215" t="str" cm="1">
        <f t="array" ref="T180">Common_InputFunctions.Utility_DisplayArrayInTable(Fertiliser_SourceData.Fertiliser_Products_Data4(),FertiliserProducts[[#Headers],[Company]], 91)</f>
        <v/>
      </c>
      <c r="U180" s="215" t="str" cm="1">
        <f t="array" ref="U180">Common_InputFunctions.Utility_DisplayArrayInTable(Fertiliser_SourceData.Fertiliser_Products_Data4(),FertiliserProducts[[#Headers],[Company]], 91)</f>
        <v/>
      </c>
      <c r="V180" s="215" t="str" cm="1">
        <f t="array" ref="V180">Common_InputFunctions.Utility_DisplayArrayInTable(Fertiliser_SourceData.Fertiliser_Products_Data4(),FertiliserProducts[[#Headers],[Company]], 91)</f>
        <v/>
      </c>
      <c r="W180" s="215" t="str" cm="1">
        <f t="array" ref="W180">Common_InputFunctions.Utility_DisplayArrayInTable(Fertiliser_SourceData.Fertiliser_Products_Data4(),FertiliserProducts[[#Headers],[Company]], 91)</f>
        <v/>
      </c>
      <c r="X180" s="215" t="str" cm="1">
        <f t="array" ref="X180">Common_InputFunctions.Utility_DisplayArrayInTable(Fertiliser_SourceData.Fertiliser_Products_Data4(),FertiliserProducts[[#Headers],[Company]], 91)</f>
        <v/>
      </c>
      <c r="Y180" s="215" t="str" cm="1">
        <f t="array" ref="Y180">Common_InputFunctions.Utility_DisplayArrayInTable(Fertiliser_SourceData.Fertiliser_Products_Data4(),FertiliserProducts[[#Headers],[Company]], 91)</f>
        <v/>
      </c>
      <c r="Z180" s="215" t="str" cm="1">
        <f t="array" ref="Z180">Common_InputFunctions.Utility_DisplayArrayInTable(Fertiliser_SourceData.Fertiliser_Products_Data4(),FertiliserProducts[[#Headers],[Company]], 91)</f>
        <v/>
      </c>
      <c r="AA180" s="215" t="str" cm="1">
        <f t="array" ref="AA180">Common_InputFunctions.Utility_DisplayArrayInTable(Fertiliser_SourceData.Fertiliser_Products_Data4(),FertiliserProducts[[#Headers],[Company]], 91)</f>
        <v/>
      </c>
      <c r="AB180" s="215" t="str" cm="1">
        <f t="array" ref="AB180">Common_InputFunctions.Utility_DisplayArrayInTable(Fertiliser_SourceData.Fertiliser_Products_Data4(),FertiliserProducts[[#Headers],[Company]], 91)</f>
        <v/>
      </c>
      <c r="AC180" s="215" t="str" cm="1">
        <f t="array" ref="AC180">Common_InputFunctions.Utility_DisplayArrayInTable(Fertiliser_SourceData.Fertiliser_Products_Data4(),FertiliserProducts[[#Headers],[Company]], 91)</f>
        <v/>
      </c>
      <c r="AD180" s="215" t="str" cm="1">
        <f t="array" ref="AD180">Common_InputFunctions.Utility_DisplayArrayInTable(Fertiliser_SourceData.Fertiliser_Products_Data4(),FertiliserProducts[[#Headers],[Company]], 91)</f>
        <v/>
      </c>
      <c r="AE180" s="215" t="str" cm="1">
        <f t="array" ref="AE180">Common_InputFunctions.Utility_DisplayArrayInTable(Fertiliser_SourceData.Fertiliser_Products_Data4(),FertiliserProducts[[#Headers],[Company]], 91)</f>
        <v/>
      </c>
      <c r="AF180" s="215" t="str" cm="1">
        <f t="array" ref="AF180">Common_InputFunctions.Utility_DisplayArrayInTable(Fertiliser_SourceData.Fertiliser_Products_Data4(),FertiliserProducts[[#Headers],[Company]], 91)</f>
        <v/>
      </c>
      <c r="AG180" s="215" t="str" cm="1">
        <f t="array" ref="AG180">Common_InputFunctions.Utility_DisplayArrayInTable(Fertiliser_SourceData.Fertiliser_Products_Data4(),FertiliserProducts[[#Headers],[Company]], 91)</f>
        <v/>
      </c>
      <c r="AH180" s="215" t="str" cm="1">
        <f t="array" ref="AH180">Common_InputFunctions.Utility_DisplayArrayInTable(Fertiliser_SourceData.Fertiliser_Products_Data4(),FertiliserProducts[[#Headers],[Company]], 91)</f>
        <v/>
      </c>
    </row>
    <row r="181" spans="4:34" x14ac:dyDescent="0.25">
      <c r="D181" s="215" t="str" cm="1">
        <f t="array" ref="D181">Common_InputFunctions.Utility_DisplayArrayInTable(Fertiliser_SourceData.Fertiliser_Products_Data4(),FertiliserProducts[[#Headers],[Company]], 91)</f>
        <v>Impact Fertilisers</v>
      </c>
      <c r="E181" s="215" t="str" cm="1">
        <f t="array" ref="E181">Common_InputFunctions.Utility_DisplayArrayInTable(Fertiliser_SourceData.Fertiliser_Products_Data4(),FertiliserProducts[[#Headers],[Company]], 91)</f>
        <v>Impact Super Potash 2&amp;1</v>
      </c>
      <c r="F181" s="215" t="str" cm="1">
        <f t="array" ref="F181">Common_InputFunctions.Utility_DisplayArrayInTable(Fertiliser_SourceData.Fertiliser_Products_Data4(),FertiliserProducts[[#Headers],[Company]], 91)</f>
        <v>kg</v>
      </c>
      <c r="G181" s="215" cm="1">
        <f t="array" ref="G181">Common_InputFunctions.Utility_DisplayArrayInTable(Fertiliser_SourceData.Fertiliser_Products_Data4(),FertiliserProducts[[#Headers],[Company]], 91)</f>
        <v>1</v>
      </c>
      <c r="H181" s="215" t="str" cm="1">
        <f t="array" ref="H181">Common_InputFunctions.Utility_DisplayArrayInTable(Fertiliser_SourceData.Fertiliser_Products_Data4(),FertiliserProducts[[#Headers],[Company]], 91)</f>
        <v/>
      </c>
      <c r="I181" s="215" t="str" cm="1">
        <f t="array" ref="I181">Common_InputFunctions.Utility_DisplayArrayInTable(Fertiliser_SourceData.Fertiliser_Products_Data4(),FertiliserProducts[[#Headers],[Company]], 91)</f>
        <v/>
      </c>
      <c r="J181" s="215" t="str" cm="1">
        <f t="array" ref="J181">Common_InputFunctions.Utility_DisplayArrayInTable(Fertiliser_SourceData.Fertiliser_Products_Data4(),FertiliserProducts[[#Headers],[Company]], 91)</f>
        <v/>
      </c>
      <c r="K181" s="215" t="str" cm="1">
        <f t="array" ref="K181">Common_InputFunctions.Utility_DisplayArrayInTable(Fertiliser_SourceData.Fertiliser_Products_Data4(),FertiliserProducts[[#Headers],[Company]], 91)</f>
        <v/>
      </c>
      <c r="L181" s="215" cm="1">
        <f t="array" ref="L181">Common_InputFunctions.Utility_DisplayArrayInTable(Fertiliser_SourceData.Fertiliser_Products_Data4(),FertiliserProducts[[#Headers],[Company]], 91)</f>
        <v>5.84</v>
      </c>
      <c r="M181" s="215" cm="1">
        <f t="array" ref="M181">Common_InputFunctions.Utility_DisplayArrayInTable(Fertiliser_SourceData.Fertiliser_Products_Data4(),FertiliserProducts[[#Headers],[Company]], 91)</f>
        <v>16.8</v>
      </c>
      <c r="N181" s="215" cm="1">
        <f t="array" ref="N181">Common_InputFunctions.Utility_DisplayArrayInTable(Fertiliser_SourceData.Fertiliser_Products_Data4(),FertiliserProducts[[#Headers],[Company]], 91)</f>
        <v>7.29</v>
      </c>
      <c r="O181" s="215" t="str" cm="1">
        <f t="array" ref="O181">Common_InputFunctions.Utility_DisplayArrayInTable(Fertiliser_SourceData.Fertiliser_Products_Data4(),FertiliserProducts[[#Headers],[Company]], 91)</f>
        <v>Single superphosphate (SSP)</v>
      </c>
      <c r="P181" s="215" cm="1">
        <f t="array" ref="P181">Common_InputFunctions.Utility_DisplayArrayInTable(Fertiliser_SourceData.Fertiliser_Products_Data4(),FertiliserProducts[[#Headers],[Company]], 91)</f>
        <v>0.66315800000000003</v>
      </c>
      <c r="Q181" s="215" t="str" cm="1">
        <f t="array" ref="Q181">Common_InputFunctions.Utility_DisplayArrayInTable(Fertiliser_SourceData.Fertiliser_Products_Data4(),FertiliserProducts[[#Headers],[Company]], 91)</f>
        <v>Muriate of potash (MOP)</v>
      </c>
      <c r="R181" s="215" cm="1">
        <f t="array" ref="R181">Common_InputFunctions.Utility_DisplayArrayInTable(Fertiliser_SourceData.Fertiliser_Products_Data4(),FertiliserProducts[[#Headers],[Company]], 91)</f>
        <v>0.33600000000000002</v>
      </c>
      <c r="S181" s="215" t="str" cm="1">
        <f t="array" ref="S181">Common_InputFunctions.Utility_DisplayArrayInTable(Fertiliser_SourceData.Fertiliser_Products_Data4(),FertiliserProducts[[#Headers],[Company]], 91)</f>
        <v/>
      </c>
      <c r="T181" s="215" t="str" cm="1">
        <f t="array" ref="T181">Common_InputFunctions.Utility_DisplayArrayInTable(Fertiliser_SourceData.Fertiliser_Products_Data4(),FertiliserProducts[[#Headers],[Company]], 91)</f>
        <v/>
      </c>
      <c r="U181" s="215" t="str" cm="1">
        <f t="array" ref="U181">Common_InputFunctions.Utility_DisplayArrayInTable(Fertiliser_SourceData.Fertiliser_Products_Data4(),FertiliserProducts[[#Headers],[Company]], 91)</f>
        <v/>
      </c>
      <c r="V181" s="215" t="str" cm="1">
        <f t="array" ref="V181">Common_InputFunctions.Utility_DisplayArrayInTable(Fertiliser_SourceData.Fertiliser_Products_Data4(),FertiliserProducts[[#Headers],[Company]], 91)</f>
        <v/>
      </c>
      <c r="W181" s="215" t="str" cm="1">
        <f t="array" ref="W181">Common_InputFunctions.Utility_DisplayArrayInTable(Fertiliser_SourceData.Fertiliser_Products_Data4(),FertiliserProducts[[#Headers],[Company]], 91)</f>
        <v/>
      </c>
      <c r="X181" s="215" t="str" cm="1">
        <f t="array" ref="X181">Common_InputFunctions.Utility_DisplayArrayInTable(Fertiliser_SourceData.Fertiliser_Products_Data4(),FertiliserProducts[[#Headers],[Company]], 91)</f>
        <v/>
      </c>
      <c r="Y181" s="215" t="str" cm="1">
        <f t="array" ref="Y181">Common_InputFunctions.Utility_DisplayArrayInTable(Fertiliser_SourceData.Fertiliser_Products_Data4(),FertiliserProducts[[#Headers],[Company]], 91)</f>
        <v/>
      </c>
      <c r="Z181" s="215" t="str" cm="1">
        <f t="array" ref="Z181">Common_InputFunctions.Utility_DisplayArrayInTable(Fertiliser_SourceData.Fertiliser_Products_Data4(),FertiliserProducts[[#Headers],[Company]], 91)</f>
        <v/>
      </c>
      <c r="AA181" s="215" t="str" cm="1">
        <f t="array" ref="AA181">Common_InputFunctions.Utility_DisplayArrayInTable(Fertiliser_SourceData.Fertiliser_Products_Data4(),FertiliserProducts[[#Headers],[Company]], 91)</f>
        <v/>
      </c>
      <c r="AB181" s="215" t="str" cm="1">
        <f t="array" ref="AB181">Common_InputFunctions.Utility_DisplayArrayInTable(Fertiliser_SourceData.Fertiliser_Products_Data4(),FertiliserProducts[[#Headers],[Company]], 91)</f>
        <v/>
      </c>
      <c r="AC181" s="215" t="str" cm="1">
        <f t="array" ref="AC181">Common_InputFunctions.Utility_DisplayArrayInTable(Fertiliser_SourceData.Fertiliser_Products_Data4(),FertiliserProducts[[#Headers],[Company]], 91)</f>
        <v/>
      </c>
      <c r="AD181" s="215" t="str" cm="1">
        <f t="array" ref="AD181">Common_InputFunctions.Utility_DisplayArrayInTable(Fertiliser_SourceData.Fertiliser_Products_Data4(),FertiliserProducts[[#Headers],[Company]], 91)</f>
        <v/>
      </c>
      <c r="AE181" s="215" t="str" cm="1">
        <f t="array" ref="AE181">Common_InputFunctions.Utility_DisplayArrayInTable(Fertiliser_SourceData.Fertiliser_Products_Data4(),FertiliserProducts[[#Headers],[Company]], 91)</f>
        <v/>
      </c>
      <c r="AF181" s="215" t="str" cm="1">
        <f t="array" ref="AF181">Common_InputFunctions.Utility_DisplayArrayInTable(Fertiliser_SourceData.Fertiliser_Products_Data4(),FertiliserProducts[[#Headers],[Company]], 91)</f>
        <v/>
      </c>
      <c r="AG181" s="215" t="str" cm="1">
        <f t="array" ref="AG181">Common_InputFunctions.Utility_DisplayArrayInTable(Fertiliser_SourceData.Fertiliser_Products_Data4(),FertiliserProducts[[#Headers],[Company]], 91)</f>
        <v/>
      </c>
      <c r="AH181" s="215" t="str" cm="1">
        <f t="array" ref="AH181">Common_InputFunctions.Utility_DisplayArrayInTable(Fertiliser_SourceData.Fertiliser_Products_Data4(),FertiliserProducts[[#Headers],[Company]], 91)</f>
        <v/>
      </c>
    </row>
    <row r="182" spans="4:34" x14ac:dyDescent="0.25">
      <c r="D182" s="215" t="str" cm="1">
        <f t="array" ref="D182">Common_InputFunctions.Utility_DisplayArrayInTable(Fertiliser_SourceData.Fertiliser_Products_Data4(),FertiliserProducts[[#Headers],[Company]], 91)</f>
        <v>Impact Fertilisers</v>
      </c>
      <c r="E182" s="215" t="str" cm="1">
        <f t="array" ref="E182">Common_InputFunctions.Utility_DisplayArrayInTable(Fertiliser_SourceData.Fertiliser_Products_Data4(),FertiliserProducts[[#Headers],[Company]], 91)</f>
        <v>Impact Super Potash 3&amp;1</v>
      </c>
      <c r="F182" s="215" t="str" cm="1">
        <f t="array" ref="F182">Common_InputFunctions.Utility_DisplayArrayInTable(Fertiliser_SourceData.Fertiliser_Products_Data4(),FertiliserProducts[[#Headers],[Company]], 91)</f>
        <v>kg</v>
      </c>
      <c r="G182" s="215" cm="1">
        <f t="array" ref="G182">Common_InputFunctions.Utility_DisplayArrayInTable(Fertiliser_SourceData.Fertiliser_Products_Data4(),FertiliserProducts[[#Headers],[Company]], 91)</f>
        <v>1</v>
      </c>
      <c r="H182" s="215" t="str" cm="1">
        <f t="array" ref="H182">Common_InputFunctions.Utility_DisplayArrayInTable(Fertiliser_SourceData.Fertiliser_Products_Data4(),FertiliserProducts[[#Headers],[Company]], 91)</f>
        <v/>
      </c>
      <c r="I182" s="215" t="str" cm="1">
        <f t="array" ref="I182">Common_InputFunctions.Utility_DisplayArrayInTable(Fertiliser_SourceData.Fertiliser_Products_Data4(),FertiliserProducts[[#Headers],[Company]], 91)</f>
        <v/>
      </c>
      <c r="J182" s="215" t="str" cm="1">
        <f t="array" ref="J182">Common_InputFunctions.Utility_DisplayArrayInTable(Fertiliser_SourceData.Fertiliser_Products_Data4(),FertiliserProducts[[#Headers],[Company]], 91)</f>
        <v/>
      </c>
      <c r="K182" s="215" t="str" cm="1">
        <f t="array" ref="K182">Common_InputFunctions.Utility_DisplayArrayInTable(Fertiliser_SourceData.Fertiliser_Products_Data4(),FertiliserProducts[[#Headers],[Company]], 91)</f>
        <v/>
      </c>
      <c r="L182" s="215" cm="1">
        <f t="array" ref="L182">Common_InputFunctions.Utility_DisplayArrayInTable(Fertiliser_SourceData.Fertiliser_Products_Data4(),FertiliserProducts[[#Headers],[Company]], 91)</f>
        <v>6.58</v>
      </c>
      <c r="M182" s="215" cm="1">
        <f t="array" ref="M182">Common_InputFunctions.Utility_DisplayArrayInTable(Fertiliser_SourceData.Fertiliser_Products_Data4(),FertiliserProducts[[#Headers],[Company]], 91)</f>
        <v>12.5</v>
      </c>
      <c r="N182" s="215" cm="1">
        <f t="array" ref="N182">Common_InputFunctions.Utility_DisplayArrayInTable(Fertiliser_SourceData.Fertiliser_Products_Data4(),FertiliserProducts[[#Headers],[Company]], 91)</f>
        <v>8.2200000000000006</v>
      </c>
      <c r="O182" s="215" t="str" cm="1">
        <f t="array" ref="O182">Common_InputFunctions.Utility_DisplayArrayInTable(Fertiliser_SourceData.Fertiliser_Products_Data4(),FertiliserProducts[[#Headers],[Company]], 91)</f>
        <v>Single superphosphate (SSP)</v>
      </c>
      <c r="P182" s="215" cm="1">
        <f t="array" ref="P182">Common_InputFunctions.Utility_DisplayArrayInTable(Fertiliser_SourceData.Fertiliser_Products_Data4(),FertiliserProducts[[#Headers],[Company]], 91)</f>
        <v>0.74736800000000003</v>
      </c>
      <c r="Q182" s="215" t="str" cm="1">
        <f t="array" ref="Q182">Common_InputFunctions.Utility_DisplayArrayInTable(Fertiliser_SourceData.Fertiliser_Products_Data4(),FertiliserProducts[[#Headers],[Company]], 91)</f>
        <v>Muriate of potash (MOP)</v>
      </c>
      <c r="R182" s="215" cm="1">
        <f t="array" ref="R182">Common_InputFunctions.Utility_DisplayArrayInTable(Fertiliser_SourceData.Fertiliser_Products_Data4(),FertiliserProducts[[#Headers],[Company]], 91)</f>
        <v>0.25</v>
      </c>
      <c r="S182" s="215" t="str" cm="1">
        <f t="array" ref="S182">Common_InputFunctions.Utility_DisplayArrayInTable(Fertiliser_SourceData.Fertiliser_Products_Data4(),FertiliserProducts[[#Headers],[Company]], 91)</f>
        <v/>
      </c>
      <c r="T182" s="215" t="str" cm="1">
        <f t="array" ref="T182">Common_InputFunctions.Utility_DisplayArrayInTable(Fertiliser_SourceData.Fertiliser_Products_Data4(),FertiliserProducts[[#Headers],[Company]], 91)</f>
        <v/>
      </c>
      <c r="U182" s="215" t="str" cm="1">
        <f t="array" ref="U182">Common_InputFunctions.Utility_DisplayArrayInTable(Fertiliser_SourceData.Fertiliser_Products_Data4(),FertiliserProducts[[#Headers],[Company]], 91)</f>
        <v/>
      </c>
      <c r="V182" s="215" t="str" cm="1">
        <f t="array" ref="V182">Common_InputFunctions.Utility_DisplayArrayInTable(Fertiliser_SourceData.Fertiliser_Products_Data4(),FertiliserProducts[[#Headers],[Company]], 91)</f>
        <v/>
      </c>
      <c r="W182" s="215" t="str" cm="1">
        <f t="array" ref="W182">Common_InputFunctions.Utility_DisplayArrayInTable(Fertiliser_SourceData.Fertiliser_Products_Data4(),FertiliserProducts[[#Headers],[Company]], 91)</f>
        <v/>
      </c>
      <c r="X182" s="215" t="str" cm="1">
        <f t="array" ref="X182">Common_InputFunctions.Utility_DisplayArrayInTable(Fertiliser_SourceData.Fertiliser_Products_Data4(),FertiliserProducts[[#Headers],[Company]], 91)</f>
        <v/>
      </c>
      <c r="Y182" s="215" t="str" cm="1">
        <f t="array" ref="Y182">Common_InputFunctions.Utility_DisplayArrayInTable(Fertiliser_SourceData.Fertiliser_Products_Data4(),FertiliserProducts[[#Headers],[Company]], 91)</f>
        <v/>
      </c>
      <c r="Z182" s="215" t="str" cm="1">
        <f t="array" ref="Z182">Common_InputFunctions.Utility_DisplayArrayInTable(Fertiliser_SourceData.Fertiliser_Products_Data4(),FertiliserProducts[[#Headers],[Company]], 91)</f>
        <v/>
      </c>
      <c r="AA182" s="215" t="str" cm="1">
        <f t="array" ref="AA182">Common_InputFunctions.Utility_DisplayArrayInTable(Fertiliser_SourceData.Fertiliser_Products_Data4(),FertiliserProducts[[#Headers],[Company]], 91)</f>
        <v/>
      </c>
      <c r="AB182" s="215" t="str" cm="1">
        <f t="array" ref="AB182">Common_InputFunctions.Utility_DisplayArrayInTable(Fertiliser_SourceData.Fertiliser_Products_Data4(),FertiliserProducts[[#Headers],[Company]], 91)</f>
        <v/>
      </c>
      <c r="AC182" s="215" t="str" cm="1">
        <f t="array" ref="AC182">Common_InputFunctions.Utility_DisplayArrayInTable(Fertiliser_SourceData.Fertiliser_Products_Data4(),FertiliserProducts[[#Headers],[Company]], 91)</f>
        <v/>
      </c>
      <c r="AD182" s="215" t="str" cm="1">
        <f t="array" ref="AD182">Common_InputFunctions.Utility_DisplayArrayInTable(Fertiliser_SourceData.Fertiliser_Products_Data4(),FertiliserProducts[[#Headers],[Company]], 91)</f>
        <v/>
      </c>
      <c r="AE182" s="215" t="str" cm="1">
        <f t="array" ref="AE182">Common_InputFunctions.Utility_DisplayArrayInTable(Fertiliser_SourceData.Fertiliser_Products_Data4(),FertiliserProducts[[#Headers],[Company]], 91)</f>
        <v/>
      </c>
      <c r="AF182" s="215" t="str" cm="1">
        <f t="array" ref="AF182">Common_InputFunctions.Utility_DisplayArrayInTable(Fertiliser_SourceData.Fertiliser_Products_Data4(),FertiliserProducts[[#Headers],[Company]], 91)</f>
        <v/>
      </c>
      <c r="AG182" s="215" t="str" cm="1">
        <f t="array" ref="AG182">Common_InputFunctions.Utility_DisplayArrayInTable(Fertiliser_SourceData.Fertiliser_Products_Data4(),FertiliserProducts[[#Headers],[Company]], 91)</f>
        <v/>
      </c>
      <c r="AH182" s="215" t="str" cm="1">
        <f t="array" ref="AH182">Common_InputFunctions.Utility_DisplayArrayInTable(Fertiliser_SourceData.Fertiliser_Products_Data4(),FertiliserProducts[[#Headers],[Company]], 91)</f>
        <v/>
      </c>
    </row>
    <row r="183" spans="4:34" x14ac:dyDescent="0.25">
      <c r="D183" s="215" t="str" cm="1">
        <f t="array" ref="D183">Common_InputFunctions.Utility_DisplayArrayInTable(Fertiliser_SourceData.Fertiliser_Products_Data4(),FertiliserProducts[[#Headers],[Company]], 91)</f>
        <v>Impact Fertilisers</v>
      </c>
      <c r="E183" s="215" t="str" cm="1">
        <f t="array" ref="E183">Common_InputFunctions.Utility_DisplayArrayInTable(Fertiliser_SourceData.Fertiliser_Products_Data4(),FertiliserProducts[[#Headers],[Company]], 91)</f>
        <v>Impact Super Potash 4&amp;1</v>
      </c>
      <c r="F183" s="215" t="str" cm="1">
        <f t="array" ref="F183">Common_InputFunctions.Utility_DisplayArrayInTable(Fertiliser_SourceData.Fertiliser_Products_Data4(),FertiliserProducts[[#Headers],[Company]], 91)</f>
        <v>kg</v>
      </c>
      <c r="G183" s="215" cm="1">
        <f t="array" ref="G183">Common_InputFunctions.Utility_DisplayArrayInTable(Fertiliser_SourceData.Fertiliser_Products_Data4(),FertiliserProducts[[#Headers],[Company]], 91)</f>
        <v>1</v>
      </c>
      <c r="H183" s="215" t="str" cm="1">
        <f t="array" ref="H183">Common_InputFunctions.Utility_DisplayArrayInTable(Fertiliser_SourceData.Fertiliser_Products_Data4(),FertiliserProducts[[#Headers],[Company]], 91)</f>
        <v/>
      </c>
      <c r="I183" s="215" t="str" cm="1">
        <f t="array" ref="I183">Common_InputFunctions.Utility_DisplayArrayInTable(Fertiliser_SourceData.Fertiliser_Products_Data4(),FertiliserProducts[[#Headers],[Company]], 91)</f>
        <v/>
      </c>
      <c r="J183" s="215" t="str" cm="1">
        <f t="array" ref="J183">Common_InputFunctions.Utility_DisplayArrayInTable(Fertiliser_SourceData.Fertiliser_Products_Data4(),FertiliserProducts[[#Headers],[Company]], 91)</f>
        <v/>
      </c>
      <c r="K183" s="215" t="str" cm="1">
        <f t="array" ref="K183">Common_InputFunctions.Utility_DisplayArrayInTable(Fertiliser_SourceData.Fertiliser_Products_Data4(),FertiliserProducts[[#Headers],[Company]], 91)</f>
        <v/>
      </c>
      <c r="L183" s="215" cm="1">
        <f t="array" ref="L183">Common_InputFunctions.Utility_DisplayArrayInTable(Fertiliser_SourceData.Fertiliser_Products_Data4(),FertiliserProducts[[#Headers],[Company]], 91)</f>
        <v>7.04</v>
      </c>
      <c r="M183" s="215" cm="1">
        <f t="array" ref="M183">Common_InputFunctions.Utility_DisplayArrayInTable(Fertiliser_SourceData.Fertiliser_Products_Data4(),FertiliserProducts[[#Headers],[Company]], 91)</f>
        <v>10</v>
      </c>
      <c r="N183" s="215" cm="1">
        <f t="array" ref="N183">Common_InputFunctions.Utility_DisplayArrayInTable(Fertiliser_SourceData.Fertiliser_Products_Data4(),FertiliserProducts[[#Headers],[Company]], 91)</f>
        <v>8.8000000000000007</v>
      </c>
      <c r="O183" s="215" t="str" cm="1">
        <f t="array" ref="O183">Common_InputFunctions.Utility_DisplayArrayInTable(Fertiliser_SourceData.Fertiliser_Products_Data4(),FertiliserProducts[[#Headers],[Company]], 91)</f>
        <v>Single superphosphate (SSP)</v>
      </c>
      <c r="P183" s="215" cm="1">
        <f t="array" ref="P183">Common_InputFunctions.Utility_DisplayArrayInTable(Fertiliser_SourceData.Fertiliser_Products_Data4(),FertiliserProducts[[#Headers],[Company]], 91)</f>
        <v>0.8</v>
      </c>
      <c r="Q183" s="215" t="str" cm="1">
        <f t="array" ref="Q183">Common_InputFunctions.Utility_DisplayArrayInTable(Fertiliser_SourceData.Fertiliser_Products_Data4(),FertiliserProducts[[#Headers],[Company]], 91)</f>
        <v>Muriate of potash (MOP)</v>
      </c>
      <c r="R183" s="215" cm="1">
        <f t="array" ref="R183">Common_InputFunctions.Utility_DisplayArrayInTable(Fertiliser_SourceData.Fertiliser_Products_Data4(),FertiliserProducts[[#Headers],[Company]], 91)</f>
        <v>0.2</v>
      </c>
      <c r="S183" s="215" t="str" cm="1">
        <f t="array" ref="S183">Common_InputFunctions.Utility_DisplayArrayInTable(Fertiliser_SourceData.Fertiliser_Products_Data4(),FertiliserProducts[[#Headers],[Company]], 91)</f>
        <v/>
      </c>
      <c r="T183" s="215" t="str" cm="1">
        <f t="array" ref="T183">Common_InputFunctions.Utility_DisplayArrayInTable(Fertiliser_SourceData.Fertiliser_Products_Data4(),FertiliserProducts[[#Headers],[Company]], 91)</f>
        <v/>
      </c>
      <c r="U183" s="215" t="str" cm="1">
        <f t="array" ref="U183">Common_InputFunctions.Utility_DisplayArrayInTable(Fertiliser_SourceData.Fertiliser_Products_Data4(),FertiliserProducts[[#Headers],[Company]], 91)</f>
        <v/>
      </c>
      <c r="V183" s="215" t="str" cm="1">
        <f t="array" ref="V183">Common_InputFunctions.Utility_DisplayArrayInTable(Fertiliser_SourceData.Fertiliser_Products_Data4(),FertiliserProducts[[#Headers],[Company]], 91)</f>
        <v/>
      </c>
      <c r="W183" s="215" t="str" cm="1">
        <f t="array" ref="W183">Common_InputFunctions.Utility_DisplayArrayInTable(Fertiliser_SourceData.Fertiliser_Products_Data4(),FertiliserProducts[[#Headers],[Company]], 91)</f>
        <v/>
      </c>
      <c r="X183" s="215" t="str" cm="1">
        <f t="array" ref="X183">Common_InputFunctions.Utility_DisplayArrayInTable(Fertiliser_SourceData.Fertiliser_Products_Data4(),FertiliserProducts[[#Headers],[Company]], 91)</f>
        <v/>
      </c>
      <c r="Y183" s="215" t="str" cm="1">
        <f t="array" ref="Y183">Common_InputFunctions.Utility_DisplayArrayInTable(Fertiliser_SourceData.Fertiliser_Products_Data4(),FertiliserProducts[[#Headers],[Company]], 91)</f>
        <v/>
      </c>
      <c r="Z183" s="215" t="str" cm="1">
        <f t="array" ref="Z183">Common_InputFunctions.Utility_DisplayArrayInTable(Fertiliser_SourceData.Fertiliser_Products_Data4(),FertiliserProducts[[#Headers],[Company]], 91)</f>
        <v/>
      </c>
      <c r="AA183" s="215" t="str" cm="1">
        <f t="array" ref="AA183">Common_InputFunctions.Utility_DisplayArrayInTable(Fertiliser_SourceData.Fertiliser_Products_Data4(),FertiliserProducts[[#Headers],[Company]], 91)</f>
        <v/>
      </c>
      <c r="AB183" s="215" t="str" cm="1">
        <f t="array" ref="AB183">Common_InputFunctions.Utility_DisplayArrayInTable(Fertiliser_SourceData.Fertiliser_Products_Data4(),FertiliserProducts[[#Headers],[Company]], 91)</f>
        <v/>
      </c>
      <c r="AC183" s="215" t="str" cm="1">
        <f t="array" ref="AC183">Common_InputFunctions.Utility_DisplayArrayInTable(Fertiliser_SourceData.Fertiliser_Products_Data4(),FertiliserProducts[[#Headers],[Company]], 91)</f>
        <v/>
      </c>
      <c r="AD183" s="215" t="str" cm="1">
        <f t="array" ref="AD183">Common_InputFunctions.Utility_DisplayArrayInTable(Fertiliser_SourceData.Fertiliser_Products_Data4(),FertiliserProducts[[#Headers],[Company]], 91)</f>
        <v/>
      </c>
      <c r="AE183" s="215" t="str" cm="1">
        <f t="array" ref="AE183">Common_InputFunctions.Utility_DisplayArrayInTable(Fertiliser_SourceData.Fertiliser_Products_Data4(),FertiliserProducts[[#Headers],[Company]], 91)</f>
        <v/>
      </c>
      <c r="AF183" s="215" t="str" cm="1">
        <f t="array" ref="AF183">Common_InputFunctions.Utility_DisplayArrayInTable(Fertiliser_SourceData.Fertiliser_Products_Data4(),FertiliserProducts[[#Headers],[Company]], 91)</f>
        <v/>
      </c>
      <c r="AG183" s="215" t="str" cm="1">
        <f t="array" ref="AG183">Common_InputFunctions.Utility_DisplayArrayInTable(Fertiliser_SourceData.Fertiliser_Products_Data4(),FertiliserProducts[[#Headers],[Company]], 91)</f>
        <v/>
      </c>
      <c r="AH183" s="215" t="str" cm="1">
        <f t="array" ref="AH183">Common_InputFunctions.Utility_DisplayArrayInTable(Fertiliser_SourceData.Fertiliser_Products_Data4(),FertiliserProducts[[#Headers],[Company]], 91)</f>
        <v/>
      </c>
    </row>
    <row r="184" spans="4:34" x14ac:dyDescent="0.25">
      <c r="D184" s="215" t="str" cm="1">
        <f t="array" ref="D184">Common_InputFunctions.Utility_DisplayArrayInTable(Fertiliser_SourceData.Fertiliser_Products_Data4(),FertiliserProducts[[#Headers],[Company]], 91)</f>
        <v>Impact Fertilisers</v>
      </c>
      <c r="E184" s="215" t="str" cm="1">
        <f t="array" ref="E184">Common_InputFunctions.Utility_DisplayArrayInTable(Fertiliser_SourceData.Fertiliser_Products_Data4(),FertiliserProducts[[#Headers],[Company]], 91)</f>
        <v>Impact Super Potash 5&amp;1</v>
      </c>
      <c r="F184" s="215" t="str" cm="1">
        <f t="array" ref="F184">Common_InputFunctions.Utility_DisplayArrayInTable(Fertiliser_SourceData.Fertiliser_Products_Data4(),FertiliserProducts[[#Headers],[Company]], 91)</f>
        <v>kg</v>
      </c>
      <c r="G184" s="215" cm="1">
        <f t="array" ref="G184">Common_InputFunctions.Utility_DisplayArrayInTable(Fertiliser_SourceData.Fertiliser_Products_Data4(),FertiliserProducts[[#Headers],[Company]], 91)</f>
        <v>1</v>
      </c>
      <c r="H184" s="215" t="str" cm="1">
        <f t="array" ref="H184">Common_InputFunctions.Utility_DisplayArrayInTable(Fertiliser_SourceData.Fertiliser_Products_Data4(),FertiliserProducts[[#Headers],[Company]], 91)</f>
        <v/>
      </c>
      <c r="I184" s="215" t="str" cm="1">
        <f t="array" ref="I184">Common_InputFunctions.Utility_DisplayArrayInTable(Fertiliser_SourceData.Fertiliser_Products_Data4(),FertiliserProducts[[#Headers],[Company]], 91)</f>
        <v/>
      </c>
      <c r="J184" s="215" t="str" cm="1">
        <f t="array" ref="J184">Common_InputFunctions.Utility_DisplayArrayInTable(Fertiliser_SourceData.Fertiliser_Products_Data4(),FertiliserProducts[[#Headers],[Company]], 91)</f>
        <v/>
      </c>
      <c r="K184" s="215" t="str" cm="1">
        <f t="array" ref="K184">Common_InputFunctions.Utility_DisplayArrayInTable(Fertiliser_SourceData.Fertiliser_Products_Data4(),FertiliserProducts[[#Headers],[Company]], 91)</f>
        <v/>
      </c>
      <c r="L184" s="215" cm="1">
        <f t="array" ref="L184">Common_InputFunctions.Utility_DisplayArrayInTable(Fertiliser_SourceData.Fertiliser_Products_Data4(),FertiliserProducts[[#Headers],[Company]], 91)</f>
        <v>7.32</v>
      </c>
      <c r="M184" s="215" cm="1">
        <f t="array" ref="M184">Common_InputFunctions.Utility_DisplayArrayInTable(Fertiliser_SourceData.Fertiliser_Products_Data4(),FertiliserProducts[[#Headers],[Company]], 91)</f>
        <v>8.4</v>
      </c>
      <c r="N184" s="215" cm="1">
        <f t="array" ref="N184">Common_InputFunctions.Utility_DisplayArrayInTable(Fertiliser_SourceData.Fertiliser_Products_Data4(),FertiliserProducts[[#Headers],[Company]], 91)</f>
        <v>9.15</v>
      </c>
      <c r="O184" s="215" t="str" cm="1">
        <f t="array" ref="O184">Common_InputFunctions.Utility_DisplayArrayInTable(Fertiliser_SourceData.Fertiliser_Products_Data4(),FertiliserProducts[[#Headers],[Company]], 91)</f>
        <v>Single superphosphate (SSP)</v>
      </c>
      <c r="P184" s="215" cm="1">
        <f t="array" ref="P184">Common_InputFunctions.Utility_DisplayArrayInTable(Fertiliser_SourceData.Fertiliser_Products_Data4(),FertiliserProducts[[#Headers],[Company]], 91)</f>
        <v>0.83157899999999996</v>
      </c>
      <c r="Q184" s="215" t="str" cm="1">
        <f t="array" ref="Q184">Common_InputFunctions.Utility_DisplayArrayInTable(Fertiliser_SourceData.Fertiliser_Products_Data4(),FertiliserProducts[[#Headers],[Company]], 91)</f>
        <v>Muriate of potash (MOP)</v>
      </c>
      <c r="R184" s="215" cm="1">
        <f t="array" ref="R184">Common_InputFunctions.Utility_DisplayArrayInTable(Fertiliser_SourceData.Fertiliser_Products_Data4(),FertiliserProducts[[#Headers],[Company]], 91)</f>
        <v>0.16800000000000001</v>
      </c>
      <c r="S184" s="215" t="str" cm="1">
        <f t="array" ref="S184">Common_InputFunctions.Utility_DisplayArrayInTable(Fertiliser_SourceData.Fertiliser_Products_Data4(),FertiliserProducts[[#Headers],[Company]], 91)</f>
        <v/>
      </c>
      <c r="T184" s="215" t="str" cm="1">
        <f t="array" ref="T184">Common_InputFunctions.Utility_DisplayArrayInTable(Fertiliser_SourceData.Fertiliser_Products_Data4(),FertiliserProducts[[#Headers],[Company]], 91)</f>
        <v/>
      </c>
      <c r="U184" s="215" t="str" cm="1">
        <f t="array" ref="U184">Common_InputFunctions.Utility_DisplayArrayInTable(Fertiliser_SourceData.Fertiliser_Products_Data4(),FertiliserProducts[[#Headers],[Company]], 91)</f>
        <v/>
      </c>
      <c r="V184" s="215" t="str" cm="1">
        <f t="array" ref="V184">Common_InputFunctions.Utility_DisplayArrayInTable(Fertiliser_SourceData.Fertiliser_Products_Data4(),FertiliserProducts[[#Headers],[Company]], 91)</f>
        <v/>
      </c>
      <c r="W184" s="215" t="str" cm="1">
        <f t="array" ref="W184">Common_InputFunctions.Utility_DisplayArrayInTable(Fertiliser_SourceData.Fertiliser_Products_Data4(),FertiliserProducts[[#Headers],[Company]], 91)</f>
        <v/>
      </c>
      <c r="X184" s="215" t="str" cm="1">
        <f t="array" ref="X184">Common_InputFunctions.Utility_DisplayArrayInTable(Fertiliser_SourceData.Fertiliser_Products_Data4(),FertiliserProducts[[#Headers],[Company]], 91)</f>
        <v/>
      </c>
      <c r="Y184" s="215" t="str" cm="1">
        <f t="array" ref="Y184">Common_InputFunctions.Utility_DisplayArrayInTable(Fertiliser_SourceData.Fertiliser_Products_Data4(),FertiliserProducts[[#Headers],[Company]], 91)</f>
        <v/>
      </c>
      <c r="Z184" s="215" t="str" cm="1">
        <f t="array" ref="Z184">Common_InputFunctions.Utility_DisplayArrayInTable(Fertiliser_SourceData.Fertiliser_Products_Data4(),FertiliserProducts[[#Headers],[Company]], 91)</f>
        <v/>
      </c>
      <c r="AA184" s="215" t="str" cm="1">
        <f t="array" ref="AA184">Common_InputFunctions.Utility_DisplayArrayInTable(Fertiliser_SourceData.Fertiliser_Products_Data4(),FertiliserProducts[[#Headers],[Company]], 91)</f>
        <v/>
      </c>
      <c r="AB184" s="215" t="str" cm="1">
        <f t="array" ref="AB184">Common_InputFunctions.Utility_DisplayArrayInTable(Fertiliser_SourceData.Fertiliser_Products_Data4(),FertiliserProducts[[#Headers],[Company]], 91)</f>
        <v/>
      </c>
      <c r="AC184" s="215" t="str" cm="1">
        <f t="array" ref="AC184">Common_InputFunctions.Utility_DisplayArrayInTable(Fertiliser_SourceData.Fertiliser_Products_Data4(),FertiliserProducts[[#Headers],[Company]], 91)</f>
        <v/>
      </c>
      <c r="AD184" s="215" t="str" cm="1">
        <f t="array" ref="AD184">Common_InputFunctions.Utility_DisplayArrayInTable(Fertiliser_SourceData.Fertiliser_Products_Data4(),FertiliserProducts[[#Headers],[Company]], 91)</f>
        <v/>
      </c>
      <c r="AE184" s="215" t="str" cm="1">
        <f t="array" ref="AE184">Common_InputFunctions.Utility_DisplayArrayInTable(Fertiliser_SourceData.Fertiliser_Products_Data4(),FertiliserProducts[[#Headers],[Company]], 91)</f>
        <v/>
      </c>
      <c r="AF184" s="215" t="str" cm="1">
        <f t="array" ref="AF184">Common_InputFunctions.Utility_DisplayArrayInTable(Fertiliser_SourceData.Fertiliser_Products_Data4(),FertiliserProducts[[#Headers],[Company]], 91)</f>
        <v/>
      </c>
      <c r="AG184" s="215" t="str" cm="1">
        <f t="array" ref="AG184">Common_InputFunctions.Utility_DisplayArrayInTable(Fertiliser_SourceData.Fertiliser_Products_Data4(),FertiliserProducts[[#Headers],[Company]], 91)</f>
        <v/>
      </c>
      <c r="AH184" s="215" t="str" cm="1">
        <f t="array" ref="AH184">Common_InputFunctions.Utility_DisplayArrayInTable(Fertiliser_SourceData.Fertiliser_Products_Data4(),FertiliserProducts[[#Headers],[Company]], 91)</f>
        <v/>
      </c>
    </row>
    <row r="185" spans="4:34" x14ac:dyDescent="0.25">
      <c r="D185" s="215" t="str" cm="1">
        <f t="array" ref="D185">Common_InputFunctions.Utility_DisplayArrayInTable(Fertiliser_SourceData.Fertiliser_Products_Data4(),FertiliserProducts[[#Headers],[Company]], 91)</f>
        <v>Pacific Fertiliser / Incitec Pivot Fertilisers</v>
      </c>
      <c r="E185" s="215" t="str" cm="1">
        <f t="array" ref="E185">Common_InputFunctions.Utility_DisplayArrayInTable(Fertiliser_SourceData.Fertiliser_Products_Data4(),FertiliserProducts[[#Headers],[Company]], 91)</f>
        <v>Cal-Gran</v>
      </c>
      <c r="F185" s="215" t="str" cm="1">
        <f t="array" ref="F185">Common_InputFunctions.Utility_DisplayArrayInTable(Fertiliser_SourceData.Fertiliser_Products_Data4(),FertiliserProducts[[#Headers],[Company]], 91)</f>
        <v>kg</v>
      </c>
      <c r="G185" s="215" cm="1">
        <f t="array" ref="G185">Common_InputFunctions.Utility_DisplayArrayInTable(Fertiliser_SourceData.Fertiliser_Products_Data4(),FertiliserProducts[[#Headers],[Company]], 91)</f>
        <v>1</v>
      </c>
      <c r="H185" s="215" t="str" cm="1">
        <f t="array" ref="H185">Common_InputFunctions.Utility_DisplayArrayInTable(Fertiliser_SourceData.Fertiliser_Products_Data4(),FertiliserProducts[[#Headers],[Company]], 91)</f>
        <v/>
      </c>
      <c r="I185" s="215" t="str" cm="1">
        <f t="array" ref="I185">Common_InputFunctions.Utility_DisplayArrayInTable(Fertiliser_SourceData.Fertiliser_Products_Data4(),FertiliserProducts[[#Headers],[Company]], 91)</f>
        <v/>
      </c>
      <c r="J185" s="215" t="str" cm="1">
        <f t="array" ref="J185">Common_InputFunctions.Utility_DisplayArrayInTable(Fertiliser_SourceData.Fertiliser_Products_Data4(),FertiliserProducts[[#Headers],[Company]], 91)</f>
        <v/>
      </c>
      <c r="K185" s="215" cm="1">
        <f t="array" ref="K185">Common_InputFunctions.Utility_DisplayArrayInTable(Fertiliser_SourceData.Fertiliser_Products_Data4(),FertiliserProducts[[#Headers],[Company]], 91)</f>
        <v>23.9</v>
      </c>
      <c r="L185" s="215" t="str" cm="1">
        <f t="array" ref="L185">Common_InputFunctions.Utility_DisplayArrayInTable(Fertiliser_SourceData.Fertiliser_Products_Data4(),FertiliserProducts[[#Headers],[Company]], 91)</f>
        <v/>
      </c>
      <c r="M185" s="215" t="str" cm="1">
        <f t="array" ref="M185">Common_InputFunctions.Utility_DisplayArrayInTable(Fertiliser_SourceData.Fertiliser_Products_Data4(),FertiliserProducts[[#Headers],[Company]], 91)</f>
        <v/>
      </c>
      <c r="N185" s="215" cm="1">
        <f t="array" ref="N185">Common_InputFunctions.Utility_DisplayArrayInTable(Fertiliser_SourceData.Fertiliser_Products_Data4(),FertiliserProducts[[#Headers],[Company]], 91)</f>
        <v>10.8</v>
      </c>
      <c r="O185" s="215" t="str" cm="1">
        <f t="array" ref="O185">Common_InputFunctions.Utility_DisplayArrayInTable(Fertiliser_SourceData.Fertiliser_Products_Data4(),FertiliserProducts[[#Headers],[Company]], 91)</f>
        <v>Nitrogen - Nitrate</v>
      </c>
      <c r="P185" s="215" cm="1">
        <f t="array" ref="P185">Common_InputFunctions.Utility_DisplayArrayInTable(Fertiliser_SourceData.Fertiliser_Products_Data4(),FertiliserProducts[[#Headers],[Company]], 91)</f>
        <v>7.3999999999999996E-2</v>
      </c>
      <c r="Q185" s="215" t="str" cm="1">
        <f t="array" ref="Q185">Common_InputFunctions.Utility_DisplayArrayInTable(Fertiliser_SourceData.Fertiliser_Products_Data4(),FertiliserProducts[[#Headers],[Company]], 91)</f>
        <v>Nitrogen - Ammoniacal</v>
      </c>
      <c r="R185" s="215" cm="1">
        <f t="array" ref="R185">Common_InputFunctions.Utility_DisplayArrayInTable(Fertiliser_SourceData.Fertiliser_Products_Data4(),FertiliserProducts[[#Headers],[Company]], 91)</f>
        <v>0.16500000000000001</v>
      </c>
      <c r="S185" s="215" t="str" cm="1">
        <f t="array" ref="S185">Common_InputFunctions.Utility_DisplayArrayInTable(Fertiliser_SourceData.Fertiliser_Products_Data4(),FertiliserProducts[[#Headers],[Company]], 91)</f>
        <v>Sulfur - Generic</v>
      </c>
      <c r="T185" s="215" cm="1">
        <f t="array" ref="T185">Common_InputFunctions.Utility_DisplayArrayInTable(Fertiliser_SourceData.Fertiliser_Products_Data4(),FertiliserProducts[[#Headers],[Company]], 91)</f>
        <v>0.108</v>
      </c>
      <c r="U185" s="215" t="str" cm="1">
        <f t="array" ref="U185">Common_InputFunctions.Utility_DisplayArrayInTable(Fertiliser_SourceData.Fertiliser_Products_Data4(),FertiliserProducts[[#Headers],[Company]], 91)</f>
        <v>Calcium</v>
      </c>
      <c r="V185" s="215" cm="1">
        <f t="array" ref="V185">Common_InputFunctions.Utility_DisplayArrayInTable(Fertiliser_SourceData.Fertiliser_Products_Data4(),FertiliserProducts[[#Headers],[Company]], 91)</f>
        <v>4.3999999999999997E-2</v>
      </c>
      <c r="W185" s="215" t="str" cm="1">
        <f t="array" ref="W185">Common_InputFunctions.Utility_DisplayArrayInTable(Fertiliser_SourceData.Fertiliser_Products_Data4(),FertiliserProducts[[#Headers],[Company]], 91)</f>
        <v/>
      </c>
      <c r="X185" s="215" t="str" cm="1">
        <f t="array" ref="X185">Common_InputFunctions.Utility_DisplayArrayInTable(Fertiliser_SourceData.Fertiliser_Products_Data4(),FertiliserProducts[[#Headers],[Company]], 91)</f>
        <v/>
      </c>
      <c r="Y185" s="215" t="str" cm="1">
        <f t="array" ref="Y185">Common_InputFunctions.Utility_DisplayArrayInTable(Fertiliser_SourceData.Fertiliser_Products_Data4(),FertiliserProducts[[#Headers],[Company]], 91)</f>
        <v/>
      </c>
      <c r="Z185" s="215" t="str" cm="1">
        <f t="array" ref="Z185">Common_InputFunctions.Utility_DisplayArrayInTable(Fertiliser_SourceData.Fertiliser_Products_Data4(),FertiliserProducts[[#Headers],[Company]], 91)</f>
        <v/>
      </c>
      <c r="AA185" s="215" t="str" cm="1">
        <f t="array" ref="AA185">Common_InputFunctions.Utility_DisplayArrayInTable(Fertiliser_SourceData.Fertiliser_Products_Data4(),FertiliserProducts[[#Headers],[Company]], 91)</f>
        <v/>
      </c>
      <c r="AB185" s="215" t="str" cm="1">
        <f t="array" ref="AB185">Common_InputFunctions.Utility_DisplayArrayInTable(Fertiliser_SourceData.Fertiliser_Products_Data4(),FertiliserProducts[[#Headers],[Company]], 91)</f>
        <v/>
      </c>
      <c r="AC185" s="215" t="str" cm="1">
        <f t="array" ref="AC185">Common_InputFunctions.Utility_DisplayArrayInTable(Fertiliser_SourceData.Fertiliser_Products_Data4(),FertiliserProducts[[#Headers],[Company]], 91)</f>
        <v/>
      </c>
      <c r="AD185" s="215" t="str" cm="1">
        <f t="array" ref="AD185">Common_InputFunctions.Utility_DisplayArrayInTable(Fertiliser_SourceData.Fertiliser_Products_Data4(),FertiliserProducts[[#Headers],[Company]], 91)</f>
        <v/>
      </c>
      <c r="AE185" s="215" t="str" cm="1">
        <f t="array" ref="AE185">Common_InputFunctions.Utility_DisplayArrayInTable(Fertiliser_SourceData.Fertiliser_Products_Data4(),FertiliserProducts[[#Headers],[Company]], 91)</f>
        <v/>
      </c>
      <c r="AF185" s="215" t="str" cm="1">
        <f t="array" ref="AF185">Common_InputFunctions.Utility_DisplayArrayInTable(Fertiliser_SourceData.Fertiliser_Products_Data4(),FertiliserProducts[[#Headers],[Company]], 91)</f>
        <v/>
      </c>
      <c r="AG185" s="215" t="str" cm="1">
        <f t="array" ref="AG185">Common_InputFunctions.Utility_DisplayArrayInTable(Fertiliser_SourceData.Fertiliser_Products_Data4(),FertiliserProducts[[#Headers],[Company]], 91)</f>
        <v/>
      </c>
      <c r="AH185" s="215" t="str" cm="1">
        <f t="array" ref="AH185">Common_InputFunctions.Utility_DisplayArrayInTable(Fertiliser_SourceData.Fertiliser_Products_Data4(),FertiliserProducts[[#Headers],[Company]], 91)</f>
        <v/>
      </c>
    </row>
    <row r="186" spans="4:34" x14ac:dyDescent="0.25">
      <c r="D186" s="215" t="str" cm="1">
        <f t="array" ref="D186">Common_InputFunctions.Utility_DisplayArrayInTable(Fertiliser_SourceData.Fertiliser_Products_Data4(),FertiliserProducts[[#Headers],[Company]], 91)</f>
        <v>Pacific Fertiliser / Incitec Pivot Fertilisers</v>
      </c>
      <c r="E186" s="215" t="str" cm="1">
        <f t="array" ref="E186">Common_InputFunctions.Utility_DisplayArrayInTable(Fertiliser_SourceData.Fertiliser_Products_Data4(),FertiliserProducts[[#Headers],[Company]], 91)</f>
        <v>Cal-Gran 50/50</v>
      </c>
      <c r="F186" s="215" t="str" cm="1">
        <f t="array" ref="F186">Common_InputFunctions.Utility_DisplayArrayInTable(Fertiliser_SourceData.Fertiliser_Products_Data4(),FertiliserProducts[[#Headers],[Company]], 91)</f>
        <v>kg</v>
      </c>
      <c r="G186" s="215" cm="1">
        <f t="array" ref="G186">Common_InputFunctions.Utility_DisplayArrayInTable(Fertiliser_SourceData.Fertiliser_Products_Data4(),FertiliserProducts[[#Headers],[Company]], 91)</f>
        <v>1</v>
      </c>
      <c r="H186" s="215" t="str" cm="1">
        <f t="array" ref="H186">Common_InputFunctions.Utility_DisplayArrayInTable(Fertiliser_SourceData.Fertiliser_Products_Data4(),FertiliserProducts[[#Headers],[Company]], 91)</f>
        <v/>
      </c>
      <c r="I186" s="215" t="str" cm="1">
        <f t="array" ref="I186">Common_InputFunctions.Utility_DisplayArrayInTable(Fertiliser_SourceData.Fertiliser_Products_Data4(),FertiliserProducts[[#Headers],[Company]], 91)</f>
        <v/>
      </c>
      <c r="J186" s="215" t="str" cm="1">
        <f t="array" ref="J186">Common_InputFunctions.Utility_DisplayArrayInTable(Fertiliser_SourceData.Fertiliser_Products_Data4(),FertiliserProducts[[#Headers],[Company]], 91)</f>
        <v/>
      </c>
      <c r="K186" s="215" cm="1">
        <f t="array" ref="K186">Common_InputFunctions.Utility_DisplayArrayInTable(Fertiliser_SourceData.Fertiliser_Products_Data4(),FertiliserProducts[[#Headers],[Company]], 91)</f>
        <v>17.899999999999999</v>
      </c>
      <c r="L186" s="215" t="str" cm="1">
        <f t="array" ref="L186">Common_InputFunctions.Utility_DisplayArrayInTable(Fertiliser_SourceData.Fertiliser_Products_Data4(),FertiliserProducts[[#Headers],[Company]], 91)</f>
        <v/>
      </c>
      <c r="M186" s="215" cm="1">
        <f t="array" ref="M186">Common_InputFunctions.Utility_DisplayArrayInTable(Fertiliser_SourceData.Fertiliser_Products_Data4(),FertiliserProducts[[#Headers],[Company]], 91)</f>
        <v>15</v>
      </c>
      <c r="N186" s="215" cm="1">
        <f t="array" ref="N186">Common_InputFunctions.Utility_DisplayArrayInTable(Fertiliser_SourceData.Fertiliser_Products_Data4(),FertiliserProducts[[#Headers],[Company]], 91)</f>
        <v>3.6</v>
      </c>
      <c r="O186" s="215" t="str" cm="1">
        <f t="array" ref="O186">Common_InputFunctions.Utility_DisplayArrayInTable(Fertiliser_SourceData.Fertiliser_Products_Data4(),FertiliserProducts[[#Headers],[Company]], 91)</f>
        <v>Nitrogen - Nitrate</v>
      </c>
      <c r="P186" s="215" cm="1">
        <f t="array" ref="P186">Common_InputFunctions.Utility_DisplayArrayInTable(Fertiliser_SourceData.Fertiliser_Products_Data4(),FertiliserProducts[[#Headers],[Company]], 91)</f>
        <v>5.5E-2</v>
      </c>
      <c r="Q186" s="215" t="str" cm="1">
        <f t="array" ref="Q186">Common_InputFunctions.Utility_DisplayArrayInTable(Fertiliser_SourceData.Fertiliser_Products_Data4(),FertiliserProducts[[#Headers],[Company]], 91)</f>
        <v>Nitrogen - Ammoniacal</v>
      </c>
      <c r="R186" s="215" cm="1">
        <f t="array" ref="R186">Common_InputFunctions.Utility_DisplayArrayInTable(Fertiliser_SourceData.Fertiliser_Products_Data4(),FertiliserProducts[[#Headers],[Company]], 91)</f>
        <v>0.124</v>
      </c>
      <c r="S186" s="215" t="str" cm="1">
        <f t="array" ref="S186">Common_InputFunctions.Utility_DisplayArrayInTable(Fertiliser_SourceData.Fertiliser_Products_Data4(),FertiliserProducts[[#Headers],[Company]], 91)</f>
        <v>Potassium - Generic</v>
      </c>
      <c r="T186" s="215" cm="1">
        <f t="array" ref="T186">Common_InputFunctions.Utility_DisplayArrayInTable(Fertiliser_SourceData.Fertiliser_Products_Data4(),FertiliserProducts[[#Headers],[Company]], 91)</f>
        <v>0.15</v>
      </c>
      <c r="U186" s="215" t="str" cm="1">
        <f t="array" ref="U186">Common_InputFunctions.Utility_DisplayArrayInTable(Fertiliser_SourceData.Fertiliser_Products_Data4(),FertiliserProducts[[#Headers],[Company]], 91)</f>
        <v>Sulfur - Generic</v>
      </c>
      <c r="V186" s="215" cm="1">
        <f t="array" ref="V186">Common_InputFunctions.Utility_DisplayArrayInTable(Fertiliser_SourceData.Fertiliser_Products_Data4(),FertiliserProducts[[#Headers],[Company]], 91)</f>
        <v>3.5999999999999997E-2</v>
      </c>
      <c r="W186" s="215" t="str" cm="1">
        <f t="array" ref="W186">Common_InputFunctions.Utility_DisplayArrayInTable(Fertiliser_SourceData.Fertiliser_Products_Data4(),FertiliserProducts[[#Headers],[Company]], 91)</f>
        <v>Calcium</v>
      </c>
      <c r="X186" s="215" cm="1">
        <f t="array" ref="X186">Common_InputFunctions.Utility_DisplayArrayInTable(Fertiliser_SourceData.Fertiliser_Products_Data4(),FertiliserProducts[[#Headers],[Company]], 91)</f>
        <v>4.3999999999999997E-2</v>
      </c>
      <c r="Y186" s="215" t="str" cm="1">
        <f t="array" ref="Y186">Common_InputFunctions.Utility_DisplayArrayInTable(Fertiliser_SourceData.Fertiliser_Products_Data4(),FertiliserProducts[[#Headers],[Company]], 91)</f>
        <v/>
      </c>
      <c r="Z186" s="215" t="str" cm="1">
        <f t="array" ref="Z186">Common_InputFunctions.Utility_DisplayArrayInTable(Fertiliser_SourceData.Fertiliser_Products_Data4(),FertiliserProducts[[#Headers],[Company]], 91)</f>
        <v/>
      </c>
      <c r="AA186" s="215" t="str" cm="1">
        <f t="array" ref="AA186">Common_InputFunctions.Utility_DisplayArrayInTable(Fertiliser_SourceData.Fertiliser_Products_Data4(),FertiliserProducts[[#Headers],[Company]], 91)</f>
        <v/>
      </c>
      <c r="AB186" s="215" t="str" cm="1">
        <f t="array" ref="AB186">Common_InputFunctions.Utility_DisplayArrayInTable(Fertiliser_SourceData.Fertiliser_Products_Data4(),FertiliserProducts[[#Headers],[Company]], 91)</f>
        <v/>
      </c>
      <c r="AC186" s="215" t="str" cm="1">
        <f t="array" ref="AC186">Common_InputFunctions.Utility_DisplayArrayInTable(Fertiliser_SourceData.Fertiliser_Products_Data4(),FertiliserProducts[[#Headers],[Company]], 91)</f>
        <v/>
      </c>
      <c r="AD186" s="215" t="str" cm="1">
        <f t="array" ref="AD186">Common_InputFunctions.Utility_DisplayArrayInTable(Fertiliser_SourceData.Fertiliser_Products_Data4(),FertiliserProducts[[#Headers],[Company]], 91)</f>
        <v/>
      </c>
      <c r="AE186" s="215" t="str" cm="1">
        <f t="array" ref="AE186">Common_InputFunctions.Utility_DisplayArrayInTable(Fertiliser_SourceData.Fertiliser_Products_Data4(),FertiliserProducts[[#Headers],[Company]], 91)</f>
        <v/>
      </c>
      <c r="AF186" s="215" t="str" cm="1">
        <f t="array" ref="AF186">Common_InputFunctions.Utility_DisplayArrayInTable(Fertiliser_SourceData.Fertiliser_Products_Data4(),FertiliserProducts[[#Headers],[Company]], 91)</f>
        <v/>
      </c>
      <c r="AG186" s="215" t="str" cm="1">
        <f t="array" ref="AG186">Common_InputFunctions.Utility_DisplayArrayInTable(Fertiliser_SourceData.Fertiliser_Products_Data4(),FertiliserProducts[[#Headers],[Company]], 91)</f>
        <v/>
      </c>
      <c r="AH186" s="215" t="str" cm="1">
        <f t="array" ref="AH186">Common_InputFunctions.Utility_DisplayArrayInTable(Fertiliser_SourceData.Fertiliser_Products_Data4(),FertiliserProducts[[#Headers],[Company]], 91)</f>
        <v/>
      </c>
    </row>
    <row r="187" spans="4:34" x14ac:dyDescent="0.25">
      <c r="D187" s="215" t="str" cm="1">
        <f t="array" ref="D187">Common_InputFunctions.Utility_DisplayArrayInTable(Fertiliser_SourceData.Fertiliser_Products_Data4(),FertiliserProducts[[#Headers],[Company]], 91)</f>
        <v>Pacific Fertiliser / Incitec Pivot Fertilisers</v>
      </c>
      <c r="E187" s="215" t="str" cm="1">
        <f t="array" ref="E187">Common_InputFunctions.Utility_DisplayArrayInTable(Fertiliser_SourceData.Fertiliser_Products_Data4(),FertiliserProducts[[#Headers],[Company]], 91)</f>
        <v>Cal-Gran 50/50 (S)</v>
      </c>
      <c r="F187" s="215" t="str" cm="1">
        <f t="array" ref="F187">Common_InputFunctions.Utility_DisplayArrayInTable(Fertiliser_SourceData.Fertiliser_Products_Data4(),FertiliserProducts[[#Headers],[Company]], 91)</f>
        <v>kg</v>
      </c>
      <c r="G187" s="215" cm="1">
        <f t="array" ref="G187">Common_InputFunctions.Utility_DisplayArrayInTable(Fertiliser_SourceData.Fertiliser_Products_Data4(),FertiliserProducts[[#Headers],[Company]], 91)</f>
        <v>1</v>
      </c>
      <c r="H187" s="215" t="str" cm="1">
        <f t="array" ref="H187">Common_InputFunctions.Utility_DisplayArrayInTable(Fertiliser_SourceData.Fertiliser_Products_Data4(),FertiliserProducts[[#Headers],[Company]], 91)</f>
        <v/>
      </c>
      <c r="I187" s="215" t="str" cm="1">
        <f t="array" ref="I187">Common_InputFunctions.Utility_DisplayArrayInTable(Fertiliser_SourceData.Fertiliser_Products_Data4(),FertiliserProducts[[#Headers],[Company]], 91)</f>
        <v/>
      </c>
      <c r="J187" s="215" t="str" cm="1">
        <f t="array" ref="J187">Common_InputFunctions.Utility_DisplayArrayInTable(Fertiliser_SourceData.Fertiliser_Products_Data4(),FertiliserProducts[[#Headers],[Company]], 91)</f>
        <v/>
      </c>
      <c r="K187" s="215" cm="1">
        <f t="array" ref="K187">Common_InputFunctions.Utility_DisplayArrayInTable(Fertiliser_SourceData.Fertiliser_Products_Data4(),FertiliserProducts[[#Headers],[Company]], 91)</f>
        <v>16.899999999999999</v>
      </c>
      <c r="L187" s="215" t="str" cm="1">
        <f t="array" ref="L187">Common_InputFunctions.Utility_DisplayArrayInTable(Fertiliser_SourceData.Fertiliser_Products_Data4(),FertiliserProducts[[#Headers],[Company]], 91)</f>
        <v/>
      </c>
      <c r="M187" s="215" cm="1">
        <f t="array" ref="M187">Common_InputFunctions.Utility_DisplayArrayInTable(Fertiliser_SourceData.Fertiliser_Products_Data4(),FertiliserProducts[[#Headers],[Company]], 91)</f>
        <v>14.4</v>
      </c>
      <c r="N187" s="215" cm="1">
        <f t="array" ref="N187">Common_InputFunctions.Utility_DisplayArrayInTable(Fertiliser_SourceData.Fertiliser_Products_Data4(),FertiliserProducts[[#Headers],[Company]], 91)</f>
        <v>8.6999999999999993</v>
      </c>
      <c r="O187" s="215" t="str" cm="1">
        <f t="array" ref="O187">Common_InputFunctions.Utility_DisplayArrayInTable(Fertiliser_SourceData.Fertiliser_Products_Data4(),FertiliserProducts[[#Headers],[Company]], 91)</f>
        <v>Nitrogen - Nitrate</v>
      </c>
      <c r="P187" s="215" cm="1">
        <f t="array" ref="P187">Common_InputFunctions.Utility_DisplayArrayInTable(Fertiliser_SourceData.Fertiliser_Products_Data4(),FertiliserProducts[[#Headers],[Company]], 91)</f>
        <v>5.1999999999999998E-2</v>
      </c>
      <c r="Q187" s="215" t="str" cm="1">
        <f t="array" ref="Q187">Common_InputFunctions.Utility_DisplayArrayInTable(Fertiliser_SourceData.Fertiliser_Products_Data4(),FertiliserProducts[[#Headers],[Company]], 91)</f>
        <v>Nitrogen - Ammoniacal</v>
      </c>
      <c r="R187" s="215" cm="1">
        <f t="array" ref="R187">Common_InputFunctions.Utility_DisplayArrayInTable(Fertiliser_SourceData.Fertiliser_Products_Data4(),FertiliserProducts[[#Headers],[Company]], 91)</f>
        <v>0.11700000000000001</v>
      </c>
      <c r="S187" s="215" t="str" cm="1">
        <f t="array" ref="S187">Common_InputFunctions.Utility_DisplayArrayInTable(Fertiliser_SourceData.Fertiliser_Products_Data4(),FertiliserProducts[[#Headers],[Company]], 91)</f>
        <v>Potassium - Generic</v>
      </c>
      <c r="T187" s="215" cm="1">
        <f t="array" ref="T187">Common_InputFunctions.Utility_DisplayArrayInTable(Fertiliser_SourceData.Fertiliser_Products_Data4(),FertiliserProducts[[#Headers],[Company]], 91)</f>
        <v>0.14399999999999999</v>
      </c>
      <c r="U187" s="215" t="str" cm="1">
        <f t="array" ref="U187">Common_InputFunctions.Utility_DisplayArrayInTable(Fertiliser_SourceData.Fertiliser_Products_Data4(),FertiliserProducts[[#Headers],[Company]], 91)</f>
        <v>Sulfur - Generic</v>
      </c>
      <c r="V187" s="215" cm="1">
        <f t="array" ref="V187">Common_InputFunctions.Utility_DisplayArrayInTable(Fertiliser_SourceData.Fertiliser_Products_Data4(),FertiliserProducts[[#Headers],[Company]], 91)</f>
        <v>8.6999999999999994E-2</v>
      </c>
      <c r="W187" s="215" t="str" cm="1">
        <f t="array" ref="W187">Common_InputFunctions.Utility_DisplayArrayInTable(Fertiliser_SourceData.Fertiliser_Products_Data4(),FertiliserProducts[[#Headers],[Company]], 91)</f>
        <v>Calcium</v>
      </c>
      <c r="X187" s="215" cm="1">
        <f t="array" ref="X187">Common_InputFunctions.Utility_DisplayArrayInTable(Fertiliser_SourceData.Fertiliser_Products_Data4(),FertiliserProducts[[#Headers],[Company]], 91)</f>
        <v>4.3999999999999997E-2</v>
      </c>
      <c r="Y187" s="215" t="str" cm="1">
        <f t="array" ref="Y187">Common_InputFunctions.Utility_DisplayArrayInTable(Fertiliser_SourceData.Fertiliser_Products_Data4(),FertiliserProducts[[#Headers],[Company]], 91)</f>
        <v/>
      </c>
      <c r="Z187" s="215" t="str" cm="1">
        <f t="array" ref="Z187">Common_InputFunctions.Utility_DisplayArrayInTable(Fertiliser_SourceData.Fertiliser_Products_Data4(),FertiliserProducts[[#Headers],[Company]], 91)</f>
        <v/>
      </c>
      <c r="AA187" s="215" t="str" cm="1">
        <f t="array" ref="AA187">Common_InputFunctions.Utility_DisplayArrayInTable(Fertiliser_SourceData.Fertiliser_Products_Data4(),FertiliserProducts[[#Headers],[Company]], 91)</f>
        <v/>
      </c>
      <c r="AB187" s="215" t="str" cm="1">
        <f t="array" ref="AB187">Common_InputFunctions.Utility_DisplayArrayInTable(Fertiliser_SourceData.Fertiliser_Products_Data4(),FertiliserProducts[[#Headers],[Company]], 91)</f>
        <v/>
      </c>
      <c r="AC187" s="215" t="str" cm="1">
        <f t="array" ref="AC187">Common_InputFunctions.Utility_DisplayArrayInTable(Fertiliser_SourceData.Fertiliser_Products_Data4(),FertiliserProducts[[#Headers],[Company]], 91)</f>
        <v/>
      </c>
      <c r="AD187" s="215" t="str" cm="1">
        <f t="array" ref="AD187">Common_InputFunctions.Utility_DisplayArrayInTable(Fertiliser_SourceData.Fertiliser_Products_Data4(),FertiliserProducts[[#Headers],[Company]], 91)</f>
        <v/>
      </c>
      <c r="AE187" s="215" t="str" cm="1">
        <f t="array" ref="AE187">Common_InputFunctions.Utility_DisplayArrayInTable(Fertiliser_SourceData.Fertiliser_Products_Data4(),FertiliserProducts[[#Headers],[Company]], 91)</f>
        <v/>
      </c>
      <c r="AF187" s="215" t="str" cm="1">
        <f t="array" ref="AF187">Common_InputFunctions.Utility_DisplayArrayInTable(Fertiliser_SourceData.Fertiliser_Products_Data4(),FertiliserProducts[[#Headers],[Company]], 91)</f>
        <v/>
      </c>
      <c r="AG187" s="215" t="str" cm="1">
        <f t="array" ref="AG187">Common_InputFunctions.Utility_DisplayArrayInTable(Fertiliser_SourceData.Fertiliser_Products_Data4(),FertiliserProducts[[#Headers],[Company]], 91)</f>
        <v/>
      </c>
      <c r="AH187" s="215" t="str" cm="1">
        <f t="array" ref="AH187">Common_InputFunctions.Utility_DisplayArrayInTable(Fertiliser_SourceData.Fertiliser_Products_Data4(),FertiliserProducts[[#Headers],[Company]], 91)</f>
        <v/>
      </c>
    </row>
    <row r="188" spans="4:34" x14ac:dyDescent="0.25">
      <c r="D188" s="215" t="str" cm="1">
        <f t="array" ref="D188">Common_InputFunctions.Utility_DisplayArrayInTable(Fertiliser_SourceData.Fertiliser_Products_Data4(),FertiliserProducts[[#Headers],[Company]], 91)</f>
        <v>Pacific Fertiliser / Incitec Pivot Fertilisers</v>
      </c>
      <c r="E188" s="215" t="str" cm="1">
        <f t="array" ref="E188">Common_InputFunctions.Utility_DisplayArrayInTable(Fertiliser_SourceData.Fertiliser_Products_Data4(),FertiliserProducts[[#Headers],[Company]], 91)</f>
        <v>Cal-Gran 130</v>
      </c>
      <c r="F188" s="215" t="str" cm="1">
        <f t="array" ref="F188">Common_InputFunctions.Utility_DisplayArrayInTable(Fertiliser_SourceData.Fertiliser_Products_Data4(),FertiliserProducts[[#Headers],[Company]], 91)</f>
        <v>kg</v>
      </c>
      <c r="G188" s="215" cm="1">
        <f t="array" ref="G188">Common_InputFunctions.Utility_DisplayArrayInTable(Fertiliser_SourceData.Fertiliser_Products_Data4(),FertiliserProducts[[#Headers],[Company]], 91)</f>
        <v>1</v>
      </c>
      <c r="H188" s="215" t="str" cm="1">
        <f t="array" ref="H188">Common_InputFunctions.Utility_DisplayArrayInTable(Fertiliser_SourceData.Fertiliser_Products_Data4(),FertiliserProducts[[#Headers],[Company]], 91)</f>
        <v/>
      </c>
      <c r="I188" s="215" t="str" cm="1">
        <f t="array" ref="I188">Common_InputFunctions.Utility_DisplayArrayInTable(Fertiliser_SourceData.Fertiliser_Products_Data4(),FertiliserProducts[[#Headers],[Company]], 91)</f>
        <v/>
      </c>
      <c r="J188" s="215" t="str" cm="1">
        <f t="array" ref="J188">Common_InputFunctions.Utility_DisplayArrayInTable(Fertiliser_SourceData.Fertiliser_Products_Data4(),FertiliserProducts[[#Headers],[Company]], 91)</f>
        <v/>
      </c>
      <c r="K188" s="215" cm="1">
        <f t="array" ref="K188">Common_InputFunctions.Utility_DisplayArrayInTable(Fertiliser_SourceData.Fertiliser_Products_Data4(),FertiliserProducts[[#Headers],[Company]], 91)</f>
        <v>18.8</v>
      </c>
      <c r="L188" s="215" cm="1">
        <f t="array" ref="L188">Common_InputFunctions.Utility_DisplayArrayInTable(Fertiliser_SourceData.Fertiliser_Products_Data4(),FertiliserProducts[[#Headers],[Company]], 91)</f>
        <v>1</v>
      </c>
      <c r="M188" s="215" cm="1">
        <f t="array" ref="M188">Common_InputFunctions.Utility_DisplayArrayInTable(Fertiliser_SourceData.Fertiliser_Products_Data4(),FertiliserProducts[[#Headers],[Company]], 91)</f>
        <v>12.5</v>
      </c>
      <c r="N188" s="215" cm="1">
        <f t="array" ref="N188">Common_InputFunctions.Utility_DisplayArrayInTable(Fertiliser_SourceData.Fertiliser_Products_Data4(),FertiliserProducts[[#Headers],[Company]], 91)</f>
        <v>3.7</v>
      </c>
      <c r="O188" s="215" t="str" cm="1">
        <f t="array" ref="O188">Common_InputFunctions.Utility_DisplayArrayInTable(Fertiliser_SourceData.Fertiliser_Products_Data4(),FertiliserProducts[[#Headers],[Company]], 91)</f>
        <v>Nitrogen - Nitrate</v>
      </c>
      <c r="P188" s="215" cm="1">
        <f t="array" ref="P188">Common_InputFunctions.Utility_DisplayArrayInTable(Fertiliser_SourceData.Fertiliser_Products_Data4(),FertiliserProducts[[#Headers],[Company]], 91)</f>
        <v>5.8000000000000003E-2</v>
      </c>
      <c r="Q188" s="215" t="str" cm="1">
        <f t="array" ref="Q188">Common_InputFunctions.Utility_DisplayArrayInTable(Fertiliser_SourceData.Fertiliser_Products_Data4(),FertiliserProducts[[#Headers],[Company]], 91)</f>
        <v>Nitrogen - Ammoniacal</v>
      </c>
      <c r="R188" s="215" cm="1">
        <f t="array" ref="R188">Common_InputFunctions.Utility_DisplayArrayInTable(Fertiliser_SourceData.Fertiliser_Products_Data4(),FertiliserProducts[[#Headers],[Company]], 91)</f>
        <v>0.13</v>
      </c>
      <c r="S188" s="215" t="str" cm="1">
        <f t="array" ref="S188">Common_InputFunctions.Utility_DisplayArrayInTable(Fertiliser_SourceData.Fertiliser_Products_Data4(),FertiliserProducts[[#Headers],[Company]], 91)</f>
        <v>Phosphorus - Generic</v>
      </c>
      <c r="T188" s="215" cm="1">
        <f t="array" ref="T188">Common_InputFunctions.Utility_DisplayArrayInTable(Fertiliser_SourceData.Fertiliser_Products_Data4(),FertiliserProducts[[#Headers],[Company]], 91)</f>
        <v>0.01</v>
      </c>
      <c r="U188" s="215" t="str" cm="1">
        <f t="array" ref="U188">Common_InputFunctions.Utility_DisplayArrayInTable(Fertiliser_SourceData.Fertiliser_Products_Data4(),FertiliserProducts[[#Headers],[Company]], 91)</f>
        <v>Potassium - Generic</v>
      </c>
      <c r="V188" s="215" cm="1">
        <f t="array" ref="V188">Common_InputFunctions.Utility_DisplayArrayInTable(Fertiliser_SourceData.Fertiliser_Products_Data4(),FertiliserProducts[[#Headers],[Company]], 91)</f>
        <v>0.125</v>
      </c>
      <c r="W188" s="215" t="str" cm="1">
        <f t="array" ref="W188">Common_InputFunctions.Utility_DisplayArrayInTable(Fertiliser_SourceData.Fertiliser_Products_Data4(),FertiliserProducts[[#Headers],[Company]], 91)</f>
        <v>Sulfur - Generic</v>
      </c>
      <c r="X188" s="215" cm="1">
        <f t="array" ref="X188">Common_InputFunctions.Utility_DisplayArrayInTable(Fertiliser_SourceData.Fertiliser_Products_Data4(),FertiliserProducts[[#Headers],[Company]], 91)</f>
        <v>3.6999999999999998E-2</v>
      </c>
      <c r="Y188" s="215" t="str" cm="1">
        <f t="array" ref="Y188">Common_InputFunctions.Utility_DisplayArrayInTable(Fertiliser_SourceData.Fertiliser_Products_Data4(),FertiliserProducts[[#Headers],[Company]], 91)</f>
        <v>Calcium</v>
      </c>
      <c r="Z188" s="215" cm="1">
        <f t="array" ref="Z188">Common_InputFunctions.Utility_DisplayArrayInTable(Fertiliser_SourceData.Fertiliser_Products_Data4(),FertiliserProducts[[#Headers],[Company]], 91)</f>
        <v>4.3999999999999997E-2</v>
      </c>
      <c r="AA188" s="215" t="str" cm="1">
        <f t="array" ref="AA188">Common_InputFunctions.Utility_DisplayArrayInTable(Fertiliser_SourceData.Fertiliser_Products_Data4(),FertiliserProducts[[#Headers],[Company]], 91)</f>
        <v/>
      </c>
      <c r="AB188" s="215" t="str" cm="1">
        <f t="array" ref="AB188">Common_InputFunctions.Utility_DisplayArrayInTable(Fertiliser_SourceData.Fertiliser_Products_Data4(),FertiliserProducts[[#Headers],[Company]], 91)</f>
        <v/>
      </c>
      <c r="AC188" s="215" t="str" cm="1">
        <f t="array" ref="AC188">Common_InputFunctions.Utility_DisplayArrayInTable(Fertiliser_SourceData.Fertiliser_Products_Data4(),FertiliserProducts[[#Headers],[Company]], 91)</f>
        <v/>
      </c>
      <c r="AD188" s="215" t="str" cm="1">
        <f t="array" ref="AD188">Common_InputFunctions.Utility_DisplayArrayInTable(Fertiliser_SourceData.Fertiliser_Products_Data4(),FertiliserProducts[[#Headers],[Company]], 91)</f>
        <v/>
      </c>
      <c r="AE188" s="215" t="str" cm="1">
        <f t="array" ref="AE188">Common_InputFunctions.Utility_DisplayArrayInTable(Fertiliser_SourceData.Fertiliser_Products_Data4(),FertiliserProducts[[#Headers],[Company]], 91)</f>
        <v/>
      </c>
      <c r="AF188" s="215" t="str" cm="1">
        <f t="array" ref="AF188">Common_InputFunctions.Utility_DisplayArrayInTable(Fertiliser_SourceData.Fertiliser_Products_Data4(),FertiliserProducts[[#Headers],[Company]], 91)</f>
        <v/>
      </c>
      <c r="AG188" s="215" t="str" cm="1">
        <f t="array" ref="AG188">Common_InputFunctions.Utility_DisplayArrayInTable(Fertiliser_SourceData.Fertiliser_Products_Data4(),FertiliserProducts[[#Headers],[Company]], 91)</f>
        <v/>
      </c>
      <c r="AH188" s="215" t="str" cm="1">
        <f t="array" ref="AH188">Common_InputFunctions.Utility_DisplayArrayInTable(Fertiliser_SourceData.Fertiliser_Products_Data4(),FertiliserProducts[[#Headers],[Company]], 91)</f>
        <v/>
      </c>
    </row>
    <row r="189" spans="4:34" x14ac:dyDescent="0.25">
      <c r="D189" s="215" t="str" cm="1">
        <f t="array" ref="D189">Common_InputFunctions.Utility_DisplayArrayInTable(Fertiliser_SourceData.Fertiliser_Products_Data4(),FertiliserProducts[[#Headers],[Company]], 91)</f>
        <v>Pacific Fertiliser / Incitec Pivot Fertilisers</v>
      </c>
      <c r="E189" s="215" t="str" cm="1">
        <f t="array" ref="E189">Common_InputFunctions.Utility_DisplayArrayInTable(Fertiliser_SourceData.Fertiliser_Products_Data4(),FertiliserProducts[[#Headers],[Company]], 91)</f>
        <v>Cal-Gran 150</v>
      </c>
      <c r="F189" s="215" t="str" cm="1">
        <f t="array" ref="F189">Common_InputFunctions.Utility_DisplayArrayInTable(Fertiliser_SourceData.Fertiliser_Products_Data4(),FertiliserProducts[[#Headers],[Company]], 91)</f>
        <v>kg</v>
      </c>
      <c r="G189" s="215" cm="1">
        <f t="array" ref="G189">Common_InputFunctions.Utility_DisplayArrayInTable(Fertiliser_SourceData.Fertiliser_Products_Data4(),FertiliserProducts[[#Headers],[Company]], 91)</f>
        <v>1</v>
      </c>
      <c r="H189" s="215" t="str" cm="1">
        <f t="array" ref="H189">Common_InputFunctions.Utility_DisplayArrayInTable(Fertiliser_SourceData.Fertiliser_Products_Data4(),FertiliserProducts[[#Headers],[Company]], 91)</f>
        <v/>
      </c>
      <c r="I189" s="215" t="str" cm="1">
        <f t="array" ref="I189">Common_InputFunctions.Utility_DisplayArrayInTable(Fertiliser_SourceData.Fertiliser_Products_Data4(),FertiliserProducts[[#Headers],[Company]], 91)</f>
        <v/>
      </c>
      <c r="J189" s="215" t="str" cm="1">
        <f t="array" ref="J189">Common_InputFunctions.Utility_DisplayArrayInTable(Fertiliser_SourceData.Fertiliser_Products_Data4(),FertiliserProducts[[#Headers],[Company]], 91)</f>
        <v/>
      </c>
      <c r="K189" s="215" cm="1">
        <f t="array" ref="K189">Common_InputFunctions.Utility_DisplayArrayInTable(Fertiliser_SourceData.Fertiliser_Products_Data4(),FertiliserProducts[[#Headers],[Company]], 91)</f>
        <v>18.600000000000001</v>
      </c>
      <c r="L189" s="215" cm="1">
        <f t="array" ref="L189">Common_InputFunctions.Utility_DisplayArrayInTable(Fertiliser_SourceData.Fertiliser_Products_Data4(),FertiliserProducts[[#Headers],[Company]], 91)</f>
        <v>3</v>
      </c>
      <c r="M189" s="215" cm="1">
        <f t="array" ref="M189">Common_InputFunctions.Utility_DisplayArrayInTable(Fertiliser_SourceData.Fertiliser_Products_Data4(),FertiliserProducts[[#Headers],[Company]], 91)</f>
        <v>12.5</v>
      </c>
      <c r="N189" s="215" cm="1">
        <f t="array" ref="N189">Common_InputFunctions.Utility_DisplayArrayInTable(Fertiliser_SourceData.Fertiliser_Products_Data4(),FertiliserProducts[[#Headers],[Company]], 91)</f>
        <v>1.4</v>
      </c>
      <c r="O189" s="215" t="str" cm="1">
        <f t="array" ref="O189">Common_InputFunctions.Utility_DisplayArrayInTable(Fertiliser_SourceData.Fertiliser_Products_Data4(),FertiliserProducts[[#Headers],[Company]], 91)</f>
        <v>Nitrogen - Nitrate</v>
      </c>
      <c r="P189" s="215" cm="1">
        <f t="array" ref="P189">Common_InputFunctions.Utility_DisplayArrayInTable(Fertiliser_SourceData.Fertiliser_Products_Data4(),FertiliserProducts[[#Headers],[Company]], 91)</f>
        <v>5.8000000000000003E-2</v>
      </c>
      <c r="Q189" s="215" t="str" cm="1">
        <f t="array" ref="Q189">Common_InputFunctions.Utility_DisplayArrayInTable(Fertiliser_SourceData.Fertiliser_Products_Data4(),FertiliserProducts[[#Headers],[Company]], 91)</f>
        <v>Nitrogen - Ammoniacal</v>
      </c>
      <c r="R189" s="215" cm="1">
        <f t="array" ref="R189">Common_InputFunctions.Utility_DisplayArrayInTable(Fertiliser_SourceData.Fertiliser_Products_Data4(),FertiliserProducts[[#Headers],[Company]], 91)</f>
        <v>0.128</v>
      </c>
      <c r="S189" s="215" t="str" cm="1">
        <f t="array" ref="S189">Common_InputFunctions.Utility_DisplayArrayInTable(Fertiliser_SourceData.Fertiliser_Products_Data4(),FertiliserProducts[[#Headers],[Company]], 91)</f>
        <v>Phosphorus - Generic</v>
      </c>
      <c r="T189" s="215" cm="1">
        <f t="array" ref="T189">Common_InputFunctions.Utility_DisplayArrayInTable(Fertiliser_SourceData.Fertiliser_Products_Data4(),FertiliserProducts[[#Headers],[Company]], 91)</f>
        <v>0.03</v>
      </c>
      <c r="U189" s="215" t="str" cm="1">
        <f t="array" ref="U189">Common_InputFunctions.Utility_DisplayArrayInTable(Fertiliser_SourceData.Fertiliser_Products_Data4(),FertiliserProducts[[#Headers],[Company]], 91)</f>
        <v>Potassium - Generic</v>
      </c>
      <c r="V189" s="215" cm="1">
        <f t="array" ref="V189">Common_InputFunctions.Utility_DisplayArrayInTable(Fertiliser_SourceData.Fertiliser_Products_Data4(),FertiliserProducts[[#Headers],[Company]], 91)</f>
        <v>0.125</v>
      </c>
      <c r="W189" s="215" t="str" cm="1">
        <f t="array" ref="W189">Common_InputFunctions.Utility_DisplayArrayInTable(Fertiliser_SourceData.Fertiliser_Products_Data4(),FertiliserProducts[[#Headers],[Company]], 91)</f>
        <v>Sulfur - Generic</v>
      </c>
      <c r="X189" s="215" cm="1">
        <f t="array" ref="X189">Common_InputFunctions.Utility_DisplayArrayInTable(Fertiliser_SourceData.Fertiliser_Products_Data4(),FertiliserProducts[[#Headers],[Company]], 91)</f>
        <v>1.4E-2</v>
      </c>
      <c r="Y189" s="215" t="str" cm="1">
        <f t="array" ref="Y189">Common_InputFunctions.Utility_DisplayArrayInTable(Fertiliser_SourceData.Fertiliser_Products_Data4(),FertiliserProducts[[#Headers],[Company]], 91)</f>
        <v>Calcium</v>
      </c>
      <c r="Z189" s="215" cm="1">
        <f t="array" ref="Z189">Common_InputFunctions.Utility_DisplayArrayInTable(Fertiliser_SourceData.Fertiliser_Products_Data4(),FertiliserProducts[[#Headers],[Company]], 91)</f>
        <v>4.3999999999999997E-2</v>
      </c>
      <c r="AA189" s="215" t="str" cm="1">
        <f t="array" ref="AA189">Common_InputFunctions.Utility_DisplayArrayInTable(Fertiliser_SourceData.Fertiliser_Products_Data4(),FertiliserProducts[[#Headers],[Company]], 91)</f>
        <v/>
      </c>
      <c r="AB189" s="215" t="str" cm="1">
        <f t="array" ref="AB189">Common_InputFunctions.Utility_DisplayArrayInTable(Fertiliser_SourceData.Fertiliser_Products_Data4(),FertiliserProducts[[#Headers],[Company]], 91)</f>
        <v/>
      </c>
      <c r="AC189" s="215" t="str" cm="1">
        <f t="array" ref="AC189">Common_InputFunctions.Utility_DisplayArrayInTable(Fertiliser_SourceData.Fertiliser_Products_Data4(),FertiliserProducts[[#Headers],[Company]], 91)</f>
        <v/>
      </c>
      <c r="AD189" s="215" t="str" cm="1">
        <f t="array" ref="AD189">Common_InputFunctions.Utility_DisplayArrayInTable(Fertiliser_SourceData.Fertiliser_Products_Data4(),FertiliserProducts[[#Headers],[Company]], 91)</f>
        <v/>
      </c>
      <c r="AE189" s="215" t="str" cm="1">
        <f t="array" ref="AE189">Common_InputFunctions.Utility_DisplayArrayInTable(Fertiliser_SourceData.Fertiliser_Products_Data4(),FertiliserProducts[[#Headers],[Company]], 91)</f>
        <v/>
      </c>
      <c r="AF189" s="215" t="str" cm="1">
        <f t="array" ref="AF189">Common_InputFunctions.Utility_DisplayArrayInTable(Fertiliser_SourceData.Fertiliser_Products_Data4(),FertiliserProducts[[#Headers],[Company]], 91)</f>
        <v/>
      </c>
      <c r="AG189" s="215" t="str" cm="1">
        <f t="array" ref="AG189">Common_InputFunctions.Utility_DisplayArrayInTable(Fertiliser_SourceData.Fertiliser_Products_Data4(),FertiliserProducts[[#Headers],[Company]], 91)</f>
        <v/>
      </c>
      <c r="AH189" s="215" t="str" cm="1">
        <f t="array" ref="AH189">Common_InputFunctions.Utility_DisplayArrayInTable(Fertiliser_SourceData.Fertiliser_Products_Data4(),FertiliserProducts[[#Headers],[Company]], 91)</f>
        <v/>
      </c>
    </row>
    <row r="190" spans="4:34" x14ac:dyDescent="0.25">
      <c r="D190" s="215" t="str" cm="1">
        <f t="array" ref="D190">Common_InputFunctions.Utility_DisplayArrayInTable(Fertiliser_SourceData.Fertiliser_Products_Data4(),FertiliserProducts[[#Headers],[Company]], 91)</f>
        <v>Pacific Fertiliser / Incitec Pivot Fertilisers</v>
      </c>
      <c r="E190" s="215" t="str" cm="1">
        <f t="array" ref="E190">Common_InputFunctions.Utility_DisplayArrayInTable(Fertiliser_SourceData.Fertiliser_Products_Data4(),FertiliserProducts[[#Headers],[Company]], 91)</f>
        <v>Cal-Gran Extra K</v>
      </c>
      <c r="F190" s="215" t="str" cm="1">
        <f t="array" ref="F190">Common_InputFunctions.Utility_DisplayArrayInTable(Fertiliser_SourceData.Fertiliser_Products_Data4(),FertiliserProducts[[#Headers],[Company]], 91)</f>
        <v>kg</v>
      </c>
      <c r="G190" s="215" cm="1">
        <f t="array" ref="G190">Common_InputFunctions.Utility_DisplayArrayInTable(Fertiliser_SourceData.Fertiliser_Products_Data4(),FertiliserProducts[[#Headers],[Company]], 91)</f>
        <v>1</v>
      </c>
      <c r="H190" s="215" t="str" cm="1">
        <f t="array" ref="H190">Common_InputFunctions.Utility_DisplayArrayInTable(Fertiliser_SourceData.Fertiliser_Products_Data4(),FertiliserProducts[[#Headers],[Company]], 91)</f>
        <v/>
      </c>
      <c r="I190" s="215" t="str" cm="1">
        <f t="array" ref="I190">Common_InputFunctions.Utility_DisplayArrayInTable(Fertiliser_SourceData.Fertiliser_Products_Data4(),FertiliserProducts[[#Headers],[Company]], 91)</f>
        <v/>
      </c>
      <c r="J190" s="215" t="str" cm="1">
        <f t="array" ref="J190">Common_InputFunctions.Utility_DisplayArrayInTable(Fertiliser_SourceData.Fertiliser_Products_Data4(),FertiliserProducts[[#Headers],[Company]], 91)</f>
        <v/>
      </c>
      <c r="K190" s="215" cm="1">
        <f t="array" ref="K190">Common_InputFunctions.Utility_DisplayArrayInTable(Fertiliser_SourceData.Fertiliser_Products_Data4(),FertiliserProducts[[#Headers],[Company]], 91)</f>
        <v>15.8</v>
      </c>
      <c r="L190" s="215" t="str" cm="1">
        <f t="array" ref="L190">Common_InputFunctions.Utility_DisplayArrayInTable(Fertiliser_SourceData.Fertiliser_Products_Data4(),FertiliserProducts[[#Headers],[Company]], 91)</f>
        <v/>
      </c>
      <c r="M190" s="215" cm="1">
        <f t="array" ref="M190">Common_InputFunctions.Utility_DisplayArrayInTable(Fertiliser_SourceData.Fertiliser_Products_Data4(),FertiliserProducts[[#Headers],[Company]], 91)</f>
        <v>19</v>
      </c>
      <c r="N190" s="215" cm="1">
        <f t="array" ref="N190">Common_InputFunctions.Utility_DisplayArrayInTable(Fertiliser_SourceData.Fertiliser_Products_Data4(),FertiliserProducts[[#Headers],[Company]], 91)</f>
        <v>3.2</v>
      </c>
      <c r="O190" s="215" t="str" cm="1">
        <f t="array" ref="O190">Common_InputFunctions.Utility_DisplayArrayInTable(Fertiliser_SourceData.Fertiliser_Products_Data4(),FertiliserProducts[[#Headers],[Company]], 91)</f>
        <v>Nitrogen - Nitrate</v>
      </c>
      <c r="P190" s="215" cm="1">
        <f t="array" ref="P190">Common_InputFunctions.Utility_DisplayArrayInTable(Fertiliser_SourceData.Fertiliser_Products_Data4(),FertiliserProducts[[#Headers],[Company]], 91)</f>
        <v>4.9000000000000002E-2</v>
      </c>
      <c r="Q190" s="215" t="str" cm="1">
        <f t="array" ref="Q190">Common_InputFunctions.Utility_DisplayArrayInTable(Fertiliser_SourceData.Fertiliser_Products_Data4(),FertiliserProducts[[#Headers],[Company]], 91)</f>
        <v>Nitrogen - Ammoniacal</v>
      </c>
      <c r="R190" s="215" cm="1">
        <f t="array" ref="R190">Common_InputFunctions.Utility_DisplayArrayInTable(Fertiliser_SourceData.Fertiliser_Products_Data4(),FertiliserProducts[[#Headers],[Company]], 91)</f>
        <v>0.109</v>
      </c>
      <c r="S190" s="215" t="str" cm="1">
        <f t="array" ref="S190">Common_InputFunctions.Utility_DisplayArrayInTable(Fertiliser_SourceData.Fertiliser_Products_Data4(),FertiliserProducts[[#Headers],[Company]], 91)</f>
        <v>Potassium - Generic</v>
      </c>
      <c r="T190" s="215" cm="1">
        <f t="array" ref="T190">Common_InputFunctions.Utility_DisplayArrayInTable(Fertiliser_SourceData.Fertiliser_Products_Data4(),FertiliserProducts[[#Headers],[Company]], 91)</f>
        <v>0.19</v>
      </c>
      <c r="U190" s="215" t="str" cm="1">
        <f t="array" ref="U190">Common_InputFunctions.Utility_DisplayArrayInTable(Fertiliser_SourceData.Fertiliser_Products_Data4(),FertiliserProducts[[#Headers],[Company]], 91)</f>
        <v>Sulfur - Generic</v>
      </c>
      <c r="V190" s="215" cm="1">
        <f t="array" ref="V190">Common_InputFunctions.Utility_DisplayArrayInTable(Fertiliser_SourceData.Fertiliser_Products_Data4(),FertiliserProducts[[#Headers],[Company]], 91)</f>
        <v>3.2000000000000001E-2</v>
      </c>
      <c r="W190" s="215" t="str" cm="1">
        <f t="array" ref="W190">Common_InputFunctions.Utility_DisplayArrayInTable(Fertiliser_SourceData.Fertiliser_Products_Data4(),FertiliserProducts[[#Headers],[Company]], 91)</f>
        <v>Calcium</v>
      </c>
      <c r="X190" s="215" cm="1">
        <f t="array" ref="X190">Common_InputFunctions.Utility_DisplayArrayInTable(Fertiliser_SourceData.Fertiliser_Products_Data4(),FertiliserProducts[[#Headers],[Company]], 91)</f>
        <v>3.9E-2</v>
      </c>
      <c r="Y190" s="215" t="str" cm="1">
        <f t="array" ref="Y190">Common_InputFunctions.Utility_DisplayArrayInTable(Fertiliser_SourceData.Fertiliser_Products_Data4(),FertiliserProducts[[#Headers],[Company]], 91)</f>
        <v/>
      </c>
      <c r="Z190" s="215" t="str" cm="1">
        <f t="array" ref="Z190">Common_InputFunctions.Utility_DisplayArrayInTable(Fertiliser_SourceData.Fertiliser_Products_Data4(),FertiliserProducts[[#Headers],[Company]], 91)</f>
        <v/>
      </c>
      <c r="AA190" s="215" t="str" cm="1">
        <f t="array" ref="AA190">Common_InputFunctions.Utility_DisplayArrayInTable(Fertiliser_SourceData.Fertiliser_Products_Data4(),FertiliserProducts[[#Headers],[Company]], 91)</f>
        <v/>
      </c>
      <c r="AB190" s="215" t="str" cm="1">
        <f t="array" ref="AB190">Common_InputFunctions.Utility_DisplayArrayInTable(Fertiliser_SourceData.Fertiliser_Products_Data4(),FertiliserProducts[[#Headers],[Company]], 91)</f>
        <v/>
      </c>
      <c r="AC190" s="215" t="str" cm="1">
        <f t="array" ref="AC190">Common_InputFunctions.Utility_DisplayArrayInTable(Fertiliser_SourceData.Fertiliser_Products_Data4(),FertiliserProducts[[#Headers],[Company]], 91)</f>
        <v/>
      </c>
      <c r="AD190" s="215" t="str" cm="1">
        <f t="array" ref="AD190">Common_InputFunctions.Utility_DisplayArrayInTable(Fertiliser_SourceData.Fertiliser_Products_Data4(),FertiliserProducts[[#Headers],[Company]], 91)</f>
        <v/>
      </c>
      <c r="AE190" s="215" t="str" cm="1">
        <f t="array" ref="AE190">Common_InputFunctions.Utility_DisplayArrayInTable(Fertiliser_SourceData.Fertiliser_Products_Data4(),FertiliserProducts[[#Headers],[Company]], 91)</f>
        <v/>
      </c>
      <c r="AF190" s="215" t="str" cm="1">
        <f t="array" ref="AF190">Common_InputFunctions.Utility_DisplayArrayInTable(Fertiliser_SourceData.Fertiliser_Products_Data4(),FertiliserProducts[[#Headers],[Company]], 91)</f>
        <v/>
      </c>
      <c r="AG190" s="215" t="str" cm="1">
        <f t="array" ref="AG190">Common_InputFunctions.Utility_DisplayArrayInTable(Fertiliser_SourceData.Fertiliser_Products_Data4(),FertiliserProducts[[#Headers],[Company]], 91)</f>
        <v/>
      </c>
      <c r="AH190" s="215" t="str" cm="1">
        <f t="array" ref="AH190">Common_InputFunctions.Utility_DisplayArrayInTable(Fertiliser_SourceData.Fertiliser_Products_Data4(),FertiliserProducts[[#Headers],[Company]], 91)</f>
        <v/>
      </c>
    </row>
    <row r="191" spans="4:34" x14ac:dyDescent="0.25">
      <c r="D191" s="215" t="str" cm="1">
        <f t="array" ref="D191">Common_InputFunctions.Utility_DisplayArrayInTable(Fertiliser_SourceData.Fertiliser_Products_Data4(),FertiliserProducts[[#Headers],[Company]], 91)</f>
        <v>Incitec Pivot Fertilisers</v>
      </c>
      <c r="E191" s="215" t="str" cm="1">
        <f t="array" ref="E191">Common_InputFunctions.Utility_DisplayArrayInTable(Fertiliser_SourceData.Fertiliser_Products_Data4(),FertiliserProducts[[#Headers],[Company]], 91)</f>
        <v>Dairy Pro</v>
      </c>
      <c r="F191" s="215" t="str" cm="1">
        <f t="array" ref="F191">Common_InputFunctions.Utility_DisplayArrayInTable(Fertiliser_SourceData.Fertiliser_Products_Data4(),FertiliserProducts[[#Headers],[Company]], 91)</f>
        <v>kg</v>
      </c>
      <c r="G191" s="215" cm="1">
        <f t="array" ref="G191">Common_InputFunctions.Utility_DisplayArrayInTable(Fertiliser_SourceData.Fertiliser_Products_Data4(),FertiliserProducts[[#Headers],[Company]], 91)</f>
        <v>1</v>
      </c>
      <c r="H191" s="215" t="str" cm="1">
        <f t="array" ref="H191">Common_InputFunctions.Utility_DisplayArrayInTable(Fertiliser_SourceData.Fertiliser_Products_Data4(),FertiliserProducts[[#Headers],[Company]], 91)</f>
        <v/>
      </c>
      <c r="I191" s="215" t="str" cm="1">
        <f t="array" ref="I191">Common_InputFunctions.Utility_DisplayArrayInTable(Fertiliser_SourceData.Fertiliser_Products_Data4(),FertiliserProducts[[#Headers],[Company]], 91)</f>
        <v/>
      </c>
      <c r="J191" s="215" t="str" cm="1">
        <f t="array" ref="J191">Common_InputFunctions.Utility_DisplayArrayInTable(Fertiliser_SourceData.Fertiliser_Products_Data4(),FertiliserProducts[[#Headers],[Company]], 91)</f>
        <v/>
      </c>
      <c r="K191" s="215" cm="1">
        <f t="array" ref="K191">Common_InputFunctions.Utility_DisplayArrayInTable(Fertiliser_SourceData.Fertiliser_Products_Data4(),FertiliserProducts[[#Headers],[Company]], 91)</f>
        <v>25.9</v>
      </c>
      <c r="L191" s="215" cm="1">
        <f t="array" ref="L191">Common_InputFunctions.Utility_DisplayArrayInTable(Fertiliser_SourceData.Fertiliser_Products_Data4(),FertiliserProducts[[#Headers],[Company]], 91)</f>
        <v>3.9</v>
      </c>
      <c r="M191" s="215" cm="1">
        <f t="array" ref="M191">Common_InputFunctions.Utility_DisplayArrayInTable(Fertiliser_SourceData.Fertiliser_Products_Data4(),FertiliserProducts[[#Headers],[Company]], 91)</f>
        <v>15.9</v>
      </c>
      <c r="N191" s="215" cm="1">
        <f t="array" ref="N191">Common_InputFunctions.Utility_DisplayArrayInTable(Fertiliser_SourceData.Fertiliser_Products_Data4(),FertiliserProducts[[#Headers],[Company]], 91)</f>
        <v>0.3</v>
      </c>
      <c r="O191" s="215" t="str" cm="1">
        <f t="array" ref="O191">Common_InputFunctions.Utility_DisplayArrayInTable(Fertiliser_SourceData.Fertiliser_Products_Data4(),FertiliserProducts[[#Headers],[Company]], 91)</f>
        <v>Nitrogen - Generic</v>
      </c>
      <c r="P191" s="215" cm="1">
        <f t="array" ref="P191">Common_InputFunctions.Utility_DisplayArrayInTable(Fertiliser_SourceData.Fertiliser_Products_Data4(),FertiliserProducts[[#Headers],[Company]], 91)</f>
        <v>0.25900000000000001</v>
      </c>
      <c r="Q191" s="215" t="str" cm="1">
        <f t="array" ref="Q191">Common_InputFunctions.Utility_DisplayArrayInTable(Fertiliser_SourceData.Fertiliser_Products_Data4(),FertiliserProducts[[#Headers],[Company]], 91)</f>
        <v>Phosphorus - Generic</v>
      </c>
      <c r="R191" s="215" cm="1">
        <f t="array" ref="R191">Common_InputFunctions.Utility_DisplayArrayInTable(Fertiliser_SourceData.Fertiliser_Products_Data4(),FertiliserProducts[[#Headers],[Company]], 91)</f>
        <v>3.9E-2</v>
      </c>
      <c r="S191" s="215" t="str" cm="1">
        <f t="array" ref="S191">Common_InputFunctions.Utility_DisplayArrayInTable(Fertiliser_SourceData.Fertiliser_Products_Data4(),FertiliserProducts[[#Headers],[Company]], 91)</f>
        <v>Potassium - Generic</v>
      </c>
      <c r="T191" s="215" cm="1">
        <f t="array" ref="T191">Common_InputFunctions.Utility_DisplayArrayInTable(Fertiliser_SourceData.Fertiliser_Products_Data4(),FertiliserProducts[[#Headers],[Company]], 91)</f>
        <v>0.159</v>
      </c>
      <c r="U191" s="215" t="str" cm="1">
        <f t="array" ref="U191">Common_InputFunctions.Utility_DisplayArrayInTable(Fertiliser_SourceData.Fertiliser_Products_Data4(),FertiliserProducts[[#Headers],[Company]], 91)</f>
        <v>Sulfur - Generic</v>
      </c>
      <c r="V191" s="215" cm="1">
        <f t="array" ref="V191">Common_InputFunctions.Utility_DisplayArrayInTable(Fertiliser_SourceData.Fertiliser_Products_Data4(),FertiliserProducts[[#Headers],[Company]], 91)</f>
        <v>3.0000000000000001E-3</v>
      </c>
      <c r="W191" s="215" t="str" cm="1">
        <f t="array" ref="W191">Common_InputFunctions.Utility_DisplayArrayInTable(Fertiliser_SourceData.Fertiliser_Products_Data4(),FertiliserProducts[[#Headers],[Company]], 91)</f>
        <v/>
      </c>
      <c r="X191" s="215" t="str" cm="1">
        <f t="array" ref="X191">Common_InputFunctions.Utility_DisplayArrayInTable(Fertiliser_SourceData.Fertiliser_Products_Data4(),FertiliserProducts[[#Headers],[Company]], 91)</f>
        <v/>
      </c>
      <c r="Y191" s="215" t="str" cm="1">
        <f t="array" ref="Y191">Common_InputFunctions.Utility_DisplayArrayInTable(Fertiliser_SourceData.Fertiliser_Products_Data4(),FertiliserProducts[[#Headers],[Company]], 91)</f>
        <v/>
      </c>
      <c r="Z191" s="215" t="str" cm="1">
        <f t="array" ref="Z191">Common_InputFunctions.Utility_DisplayArrayInTable(Fertiliser_SourceData.Fertiliser_Products_Data4(),FertiliserProducts[[#Headers],[Company]], 91)</f>
        <v/>
      </c>
      <c r="AA191" s="215" t="str" cm="1">
        <f t="array" ref="AA191">Common_InputFunctions.Utility_DisplayArrayInTable(Fertiliser_SourceData.Fertiliser_Products_Data4(),FertiliserProducts[[#Headers],[Company]], 91)</f>
        <v/>
      </c>
      <c r="AB191" s="215" t="str" cm="1">
        <f t="array" ref="AB191">Common_InputFunctions.Utility_DisplayArrayInTable(Fertiliser_SourceData.Fertiliser_Products_Data4(),FertiliserProducts[[#Headers],[Company]], 91)</f>
        <v/>
      </c>
      <c r="AC191" s="215" t="str" cm="1">
        <f t="array" ref="AC191">Common_InputFunctions.Utility_DisplayArrayInTable(Fertiliser_SourceData.Fertiliser_Products_Data4(),FertiliserProducts[[#Headers],[Company]], 91)</f>
        <v/>
      </c>
      <c r="AD191" s="215" t="str" cm="1">
        <f t="array" ref="AD191">Common_InputFunctions.Utility_DisplayArrayInTable(Fertiliser_SourceData.Fertiliser_Products_Data4(),FertiliserProducts[[#Headers],[Company]], 91)</f>
        <v/>
      </c>
      <c r="AE191" s="215" t="str" cm="1">
        <f t="array" ref="AE191">Common_InputFunctions.Utility_DisplayArrayInTable(Fertiliser_SourceData.Fertiliser_Products_Data4(),FertiliserProducts[[#Headers],[Company]], 91)</f>
        <v/>
      </c>
      <c r="AF191" s="215" t="str" cm="1">
        <f t="array" ref="AF191">Common_InputFunctions.Utility_DisplayArrayInTable(Fertiliser_SourceData.Fertiliser_Products_Data4(),FertiliserProducts[[#Headers],[Company]], 91)</f>
        <v/>
      </c>
      <c r="AG191" s="215" t="str" cm="1">
        <f t="array" ref="AG191">Common_InputFunctions.Utility_DisplayArrayInTable(Fertiliser_SourceData.Fertiliser_Products_Data4(),FertiliserProducts[[#Headers],[Company]], 91)</f>
        <v/>
      </c>
      <c r="AH191" s="215" t="str" cm="1">
        <f t="array" ref="AH191">Common_InputFunctions.Utility_DisplayArrayInTable(Fertiliser_SourceData.Fertiliser_Products_Data4(),FertiliserProducts[[#Headers],[Company]], 91)</f>
        <v/>
      </c>
    </row>
    <row r="192" spans="4:34" x14ac:dyDescent="0.25">
      <c r="D192" s="215" t="str" cm="1">
        <f t="array" ref="D192">Common_InputFunctions.Utility_DisplayArrayInTable(Fertiliser_SourceData.Fertiliser_Products_Data4(),FertiliserProducts[[#Headers],[Company]], 91)</f>
        <v>Yara Australia</v>
      </c>
      <c r="E192" s="215" t="str" cm="1">
        <f t="array" ref="E192">Common_InputFunctions.Utility_DisplayArrayInTable(Fertiliser_SourceData.Fertiliser_Products_Data4(),FertiliserProducts[[#Headers],[Company]], 91)</f>
        <v>YaraMila ACTYVA S</v>
      </c>
      <c r="F192" s="215" t="str" cm="1">
        <f t="array" ref="F192">Common_InputFunctions.Utility_DisplayArrayInTable(Fertiliser_SourceData.Fertiliser_Products_Data4(),FertiliserProducts[[#Headers],[Company]], 91)</f>
        <v>kg</v>
      </c>
      <c r="G192" s="215" cm="1">
        <f t="array" ref="G192">Common_InputFunctions.Utility_DisplayArrayInTable(Fertiliser_SourceData.Fertiliser_Products_Data4(),FertiliserProducts[[#Headers],[Company]], 91)</f>
        <v>1</v>
      </c>
      <c r="H192" s="215" t="str" cm="1">
        <f t="array" ref="H192">Common_InputFunctions.Utility_DisplayArrayInTable(Fertiliser_SourceData.Fertiliser_Products_Data4(),FertiliserProducts[[#Headers],[Company]], 91)</f>
        <v/>
      </c>
      <c r="I192" s="215" t="str" cm="1">
        <f t="array" ref="I192">Common_InputFunctions.Utility_DisplayArrayInTable(Fertiliser_SourceData.Fertiliser_Products_Data4(),FertiliserProducts[[#Headers],[Company]], 91)</f>
        <v/>
      </c>
      <c r="J192" s="215" t="str" cm="1">
        <f t="array" ref="J192">Common_InputFunctions.Utility_DisplayArrayInTable(Fertiliser_SourceData.Fertiliser_Products_Data4(),FertiliserProducts[[#Headers],[Company]], 91)</f>
        <v/>
      </c>
      <c r="K192" s="215" cm="1">
        <f t="array" ref="K192">Common_InputFunctions.Utility_DisplayArrayInTable(Fertiliser_SourceData.Fertiliser_Products_Data4(),FertiliserProducts[[#Headers],[Company]], 91)</f>
        <v>15.6</v>
      </c>
      <c r="L192" s="215" cm="1">
        <f t="array" ref="L192">Common_InputFunctions.Utility_DisplayArrayInTable(Fertiliser_SourceData.Fertiliser_Products_Data4(),FertiliserProducts[[#Headers],[Company]], 91)</f>
        <v>6.37</v>
      </c>
      <c r="M192" s="215" cm="1">
        <f t="array" ref="M192">Common_InputFunctions.Utility_DisplayArrayInTable(Fertiliser_SourceData.Fertiliser_Products_Data4(),FertiliserProducts[[#Headers],[Company]], 91)</f>
        <v>12.45</v>
      </c>
      <c r="N192" s="215" cm="1">
        <f t="array" ref="N192">Common_InputFunctions.Utility_DisplayArrayInTable(Fertiliser_SourceData.Fertiliser_Products_Data4(),FertiliserProducts[[#Headers],[Company]], 91)</f>
        <v>2.6</v>
      </c>
      <c r="O192" s="215" t="str" cm="1">
        <f t="array" ref="O192">Common_InputFunctions.Utility_DisplayArrayInTable(Fertiliser_SourceData.Fertiliser_Products_Data4(),FertiliserProducts[[#Headers],[Company]], 91)</f>
        <v>Nitrogen - Nitrate</v>
      </c>
      <c r="P192" s="215" cm="1">
        <f t="array" ref="P192">Common_InputFunctions.Utility_DisplayArrayInTable(Fertiliser_SourceData.Fertiliser_Products_Data4(),FertiliserProducts[[#Headers],[Company]], 91)</f>
        <v>5.8000000000000003E-2</v>
      </c>
      <c r="Q192" s="215" t="str" cm="1">
        <f t="array" ref="Q192">Common_InputFunctions.Utility_DisplayArrayInTable(Fertiliser_SourceData.Fertiliser_Products_Data4(),FertiliserProducts[[#Headers],[Company]], 91)</f>
        <v>Nitrogen - Ammoniacal</v>
      </c>
      <c r="R192" s="215" cm="1">
        <f t="array" ref="R192">Common_InputFunctions.Utility_DisplayArrayInTable(Fertiliser_SourceData.Fertiliser_Products_Data4(),FertiliserProducts[[#Headers],[Company]], 91)</f>
        <v>9.8000000000000004E-2</v>
      </c>
      <c r="S192" s="215" t="str" cm="1">
        <f t="array" ref="S192">Common_InputFunctions.Utility_DisplayArrayInTable(Fertiliser_SourceData.Fertiliser_Products_Data4(),FertiliserProducts[[#Headers],[Company]], 91)</f>
        <v>Phosphorus - Generic</v>
      </c>
      <c r="T192" s="215" cm="1">
        <f t="array" ref="T192">Common_InputFunctions.Utility_DisplayArrayInTable(Fertiliser_SourceData.Fertiliser_Products_Data4(),FertiliserProducts[[#Headers],[Company]], 91)</f>
        <v>6.3714000000000007E-2</v>
      </c>
      <c r="U192" s="215" t="str" cm="1">
        <f t="array" ref="U192">Common_InputFunctions.Utility_DisplayArrayInTable(Fertiliser_SourceData.Fertiliser_Products_Data4(),FertiliserProducts[[#Headers],[Company]], 91)</f>
        <v>Potassium - Generic</v>
      </c>
      <c r="V192" s="215" cm="1">
        <f t="array" ref="V192">Common_InputFunctions.Utility_DisplayArrayInTable(Fertiliser_SourceData.Fertiliser_Products_Data4(),FertiliserProducts[[#Headers],[Company]], 91)</f>
        <v>0.124515</v>
      </c>
      <c r="W192" s="215" t="str" cm="1">
        <f t="array" ref="W192">Common_InputFunctions.Utility_DisplayArrayInTable(Fertiliser_SourceData.Fertiliser_Products_Data4(),FertiliserProducts[[#Headers],[Company]], 91)</f>
        <v>Sulfur - Generic</v>
      </c>
      <c r="X192" s="215" cm="1">
        <f t="array" ref="X192">Common_InputFunctions.Utility_DisplayArrayInTable(Fertiliser_SourceData.Fertiliser_Products_Data4(),FertiliserProducts[[#Headers],[Company]], 91)</f>
        <v>2.5999999999999999E-2</v>
      </c>
      <c r="Y192" s="215" t="str" cm="1">
        <f t="array" ref="Y192">Common_InputFunctions.Utility_DisplayArrayInTable(Fertiliser_SourceData.Fertiliser_Products_Data4(),FertiliserProducts[[#Headers],[Company]], 91)</f>
        <v/>
      </c>
      <c r="Z192" s="215" t="str" cm="1">
        <f t="array" ref="Z192">Common_InputFunctions.Utility_DisplayArrayInTable(Fertiliser_SourceData.Fertiliser_Products_Data4(),FertiliserProducts[[#Headers],[Company]], 91)</f>
        <v/>
      </c>
      <c r="AA192" s="215" t="str" cm="1">
        <f t="array" ref="AA192">Common_InputFunctions.Utility_DisplayArrayInTable(Fertiliser_SourceData.Fertiliser_Products_Data4(),FertiliserProducts[[#Headers],[Company]], 91)</f>
        <v/>
      </c>
      <c r="AB192" s="215" t="str" cm="1">
        <f t="array" ref="AB192">Common_InputFunctions.Utility_DisplayArrayInTable(Fertiliser_SourceData.Fertiliser_Products_Data4(),FertiliserProducts[[#Headers],[Company]], 91)</f>
        <v/>
      </c>
      <c r="AC192" s="215" t="str" cm="1">
        <f t="array" ref="AC192">Common_InputFunctions.Utility_DisplayArrayInTable(Fertiliser_SourceData.Fertiliser_Products_Data4(),FertiliserProducts[[#Headers],[Company]], 91)</f>
        <v/>
      </c>
      <c r="AD192" s="215" t="str" cm="1">
        <f t="array" ref="AD192">Common_InputFunctions.Utility_DisplayArrayInTable(Fertiliser_SourceData.Fertiliser_Products_Data4(),FertiliserProducts[[#Headers],[Company]], 91)</f>
        <v/>
      </c>
      <c r="AE192" s="215" t="str" cm="1">
        <f t="array" ref="AE192">Common_InputFunctions.Utility_DisplayArrayInTable(Fertiliser_SourceData.Fertiliser_Products_Data4(),FertiliserProducts[[#Headers],[Company]], 91)</f>
        <v/>
      </c>
      <c r="AF192" s="215" t="str" cm="1">
        <f t="array" ref="AF192">Common_InputFunctions.Utility_DisplayArrayInTable(Fertiliser_SourceData.Fertiliser_Products_Data4(),FertiliserProducts[[#Headers],[Company]], 91)</f>
        <v/>
      </c>
      <c r="AG192" s="215" t="str" cm="1">
        <f t="array" ref="AG192">Common_InputFunctions.Utility_DisplayArrayInTable(Fertiliser_SourceData.Fertiliser_Products_Data4(),FertiliserProducts[[#Headers],[Company]], 91)</f>
        <v/>
      </c>
      <c r="AH192" s="215" t="str" cm="1">
        <f t="array" ref="AH192">Common_InputFunctions.Utility_DisplayArrayInTable(Fertiliser_SourceData.Fertiliser_Products_Data4(),FertiliserProducts[[#Headers],[Company]], 91)</f>
        <v/>
      </c>
    </row>
    <row r="193" spans="4:34" x14ac:dyDescent="0.25">
      <c r="D193" s="215" t="str" cm="1">
        <f t="array" ref="D193">Common_InputFunctions.Utility_DisplayArrayInTable(Fertiliser_SourceData.Fertiliser_Products_Data4(),FertiliserProducts[[#Headers],[Company]], 91)</f>
        <v>CSBP</v>
      </c>
      <c r="E193" s="215" t="str" cm="1">
        <f t="array" ref="E193">Common_InputFunctions.Utility_DisplayArrayInTable(Fertiliser_SourceData.Fertiliser_Products_Data4(),FertiliserProducts[[#Headers],[Company]], 91)</f>
        <v>Agflow Extra</v>
      </c>
      <c r="F193" s="215" t="str" cm="1">
        <f t="array" ref="F193">Common_InputFunctions.Utility_DisplayArrayInTable(Fertiliser_SourceData.Fertiliser_Products_Data4(),FertiliserProducts[[#Headers],[Company]], 91)</f>
        <v>kg</v>
      </c>
      <c r="G193" s="215" cm="1">
        <f t="array" ref="G193">Common_InputFunctions.Utility_DisplayArrayInTable(Fertiliser_SourceData.Fertiliser_Products_Data4(),FertiliserProducts[[#Headers],[Company]], 91)</f>
        <v>1</v>
      </c>
      <c r="H193" s="215" t="str" cm="1">
        <f t="array" ref="H193">Common_InputFunctions.Utility_DisplayArrayInTable(Fertiliser_SourceData.Fertiliser_Products_Data4(),FertiliserProducts[[#Headers],[Company]], 91)</f>
        <v/>
      </c>
      <c r="I193" s="215" t="str" cm="1">
        <f t="array" ref="I193">Common_InputFunctions.Utility_DisplayArrayInTable(Fertiliser_SourceData.Fertiliser_Products_Data4(),FertiliserProducts[[#Headers],[Company]], 91)</f>
        <v/>
      </c>
      <c r="J193" s="215" t="str" cm="1">
        <f t="array" ref="J193">Common_InputFunctions.Utility_DisplayArrayInTable(Fertiliser_SourceData.Fertiliser_Products_Data4(),FertiliserProducts[[#Headers],[Company]], 91)</f>
        <v/>
      </c>
      <c r="K193" s="215" cm="1">
        <f t="array" ref="K193">Common_InputFunctions.Utility_DisplayArrayInTable(Fertiliser_SourceData.Fertiliser_Products_Data4(),FertiliserProducts[[#Headers],[Company]], 91)</f>
        <v>11.15</v>
      </c>
      <c r="L193" s="215" cm="1">
        <f t="array" ref="L193">Common_InputFunctions.Utility_DisplayArrayInTable(Fertiliser_SourceData.Fertiliser_Products_Data4(),FertiliserProducts[[#Headers],[Company]], 91)</f>
        <v>17.52</v>
      </c>
      <c r="M193" s="215" t="str" cm="1">
        <f t="array" ref="M193">Common_InputFunctions.Utility_DisplayArrayInTable(Fertiliser_SourceData.Fertiliser_Products_Data4(),FertiliserProducts[[#Headers],[Company]], 91)</f>
        <v/>
      </c>
      <c r="N193" s="215" cm="1">
        <f t="array" ref="N193">Common_InputFunctions.Utility_DisplayArrayInTable(Fertiliser_SourceData.Fertiliser_Products_Data4(),FertiliserProducts[[#Headers],[Company]], 91)</f>
        <v>3.6</v>
      </c>
      <c r="O193" s="215" t="str" cm="1">
        <f t="array" ref="O193">Common_InputFunctions.Utility_DisplayArrayInTable(Fertiliser_SourceData.Fertiliser_Products_Data4(),FertiliserProducts[[#Headers],[Company]], 91)</f>
        <v>Monoammonium phosphate (MAP)</v>
      </c>
      <c r="P193" s="215" cm="1">
        <f t="array" ref="P193">Common_InputFunctions.Utility_DisplayArrayInTable(Fertiliser_SourceData.Fertiliser_Products_Data4(),FertiliserProducts[[#Headers],[Company]], 91)</f>
        <v>0.8</v>
      </c>
      <c r="Q193" s="215" t="str" cm="1">
        <f t="array" ref="Q193">Common_InputFunctions.Utility_DisplayArrayInTable(Fertiliser_SourceData.Fertiliser_Products_Data4(),FertiliserProducts[[#Headers],[Company]], 91)</f>
        <v>Sulphate of ammonia (SOA)</v>
      </c>
      <c r="R193" s="215" cm="1">
        <f t="array" ref="R193">Common_InputFunctions.Utility_DisplayArrayInTable(Fertiliser_SourceData.Fertiliser_Products_Data4(),FertiliserProducts[[#Headers],[Company]], 91)</f>
        <v>0.15</v>
      </c>
      <c r="S193" s="215" t="str" cm="1">
        <f t="array" ref="S193">Common_InputFunctions.Utility_DisplayArrayInTable(Fertiliser_SourceData.Fertiliser_Products_Data4(),FertiliserProducts[[#Headers],[Company]], 91)</f>
        <v>Copper</v>
      </c>
      <c r="T193" s="215" t="str" cm="1">
        <f t="array" ref="T193">Common_InputFunctions.Utility_DisplayArrayInTable(Fertiliser_SourceData.Fertiliser_Products_Data4(),FertiliserProducts[[#Headers],[Company]], 91)</f>
        <v>No data</v>
      </c>
      <c r="U193" s="215" t="str" cm="1">
        <f t="array" ref="U193">Common_InputFunctions.Utility_DisplayArrayInTable(Fertiliser_SourceData.Fertiliser_Products_Data4(),FertiliserProducts[[#Headers],[Company]], 91)</f>
        <v>Molybdenum</v>
      </c>
      <c r="V193" s="215" t="str" cm="1">
        <f t="array" ref="V193">Common_InputFunctions.Utility_DisplayArrayInTable(Fertiliser_SourceData.Fertiliser_Products_Data4(),FertiliserProducts[[#Headers],[Company]], 91)</f>
        <v>No data</v>
      </c>
      <c r="W193" s="215" t="str" cm="1">
        <f t="array" ref="W193">Common_InputFunctions.Utility_DisplayArrayInTable(Fertiliser_SourceData.Fertiliser_Products_Data4(),FertiliserProducts[[#Headers],[Company]], 91)</f>
        <v>Zinc</v>
      </c>
      <c r="X193" s="215" t="str" cm="1">
        <f t="array" ref="X193">Common_InputFunctions.Utility_DisplayArrayInTable(Fertiliser_SourceData.Fertiliser_Products_Data4(),FertiliserProducts[[#Headers],[Company]], 91)</f>
        <v>No data</v>
      </c>
      <c r="Y193" s="215" t="str" cm="1">
        <f t="array" ref="Y193">Common_InputFunctions.Utility_DisplayArrayInTable(Fertiliser_SourceData.Fertiliser_Products_Data4(),FertiliserProducts[[#Headers],[Company]], 91)</f>
        <v/>
      </c>
      <c r="Z193" s="215" t="str" cm="1">
        <f t="array" ref="Z193">Common_InputFunctions.Utility_DisplayArrayInTable(Fertiliser_SourceData.Fertiliser_Products_Data4(),FertiliserProducts[[#Headers],[Company]], 91)</f>
        <v/>
      </c>
      <c r="AA193" s="215" t="str" cm="1">
        <f t="array" ref="AA193">Common_InputFunctions.Utility_DisplayArrayInTable(Fertiliser_SourceData.Fertiliser_Products_Data4(),FertiliserProducts[[#Headers],[Company]], 91)</f>
        <v/>
      </c>
      <c r="AB193" s="215" t="str" cm="1">
        <f t="array" ref="AB193">Common_InputFunctions.Utility_DisplayArrayInTable(Fertiliser_SourceData.Fertiliser_Products_Data4(),FertiliserProducts[[#Headers],[Company]], 91)</f>
        <v/>
      </c>
      <c r="AC193" s="215" t="str" cm="1">
        <f t="array" ref="AC193">Common_InputFunctions.Utility_DisplayArrayInTable(Fertiliser_SourceData.Fertiliser_Products_Data4(),FertiliserProducts[[#Headers],[Company]], 91)</f>
        <v/>
      </c>
      <c r="AD193" s="215" t="str" cm="1">
        <f t="array" ref="AD193">Common_InputFunctions.Utility_DisplayArrayInTable(Fertiliser_SourceData.Fertiliser_Products_Data4(),FertiliserProducts[[#Headers],[Company]], 91)</f>
        <v/>
      </c>
      <c r="AE193" s="215" t="str" cm="1">
        <f t="array" ref="AE193">Common_InputFunctions.Utility_DisplayArrayInTable(Fertiliser_SourceData.Fertiliser_Products_Data4(),FertiliserProducts[[#Headers],[Company]], 91)</f>
        <v/>
      </c>
      <c r="AF193" s="215" t="str" cm="1">
        <f t="array" ref="AF193">Common_InputFunctions.Utility_DisplayArrayInTable(Fertiliser_SourceData.Fertiliser_Products_Data4(),FertiliserProducts[[#Headers],[Company]], 91)</f>
        <v/>
      </c>
      <c r="AG193" s="215" t="str" cm="1">
        <f t="array" ref="AG193">Common_InputFunctions.Utility_DisplayArrayInTable(Fertiliser_SourceData.Fertiliser_Products_Data4(),FertiliserProducts[[#Headers],[Company]], 91)</f>
        <v/>
      </c>
      <c r="AH193" s="215" t="str" cm="1">
        <f t="array" ref="AH193">Common_InputFunctions.Utility_DisplayArrayInTable(Fertiliser_SourceData.Fertiliser_Products_Data4(),FertiliserProducts[[#Headers],[Company]], 91)</f>
        <v/>
      </c>
    </row>
    <row r="194" spans="4:34" x14ac:dyDescent="0.25">
      <c r="D194" s="215" t="str" cm="1">
        <f t="array" ref="D194">Common_InputFunctions.Utility_DisplayArrayInTable(Fertiliser_SourceData.Fertiliser_Products_Data4(),FertiliserProducts[[#Headers],[Company]], 91)</f>
        <v>CSBP</v>
      </c>
      <c r="E194" s="215" t="str" cm="1">
        <f t="array" ref="E194">Common_InputFunctions.Utility_DisplayArrayInTable(Fertiliser_SourceData.Fertiliser_Products_Data4(),FertiliserProducts[[#Headers],[Company]], 91)</f>
        <v>Super &amp; Potash 3:1</v>
      </c>
      <c r="F194" s="215" t="str" cm="1">
        <f t="array" ref="F194">Common_InputFunctions.Utility_DisplayArrayInTable(Fertiliser_SourceData.Fertiliser_Products_Data4(),FertiliserProducts[[#Headers],[Company]], 91)</f>
        <v>kg</v>
      </c>
      <c r="G194" s="215" cm="1">
        <f t="array" ref="G194">Common_InputFunctions.Utility_DisplayArrayInTable(Fertiliser_SourceData.Fertiliser_Products_Data4(),FertiliserProducts[[#Headers],[Company]], 91)</f>
        <v>1</v>
      </c>
      <c r="H194" s="215" t="str" cm="1">
        <f t="array" ref="H194">Common_InputFunctions.Utility_DisplayArrayInTable(Fertiliser_SourceData.Fertiliser_Products_Data4(),FertiliserProducts[[#Headers],[Company]], 91)</f>
        <v/>
      </c>
      <c r="I194" s="215" t="str" cm="1">
        <f t="array" ref="I194">Common_InputFunctions.Utility_DisplayArrayInTable(Fertiliser_SourceData.Fertiliser_Products_Data4(),FertiliserProducts[[#Headers],[Company]], 91)</f>
        <v/>
      </c>
      <c r="J194" s="215" t="str" cm="1">
        <f t="array" ref="J194">Common_InputFunctions.Utility_DisplayArrayInTable(Fertiliser_SourceData.Fertiliser_Products_Data4(),FertiliserProducts[[#Headers],[Company]], 91)</f>
        <v/>
      </c>
      <c r="K194" s="215" t="str" cm="1">
        <f t="array" ref="K194">Common_InputFunctions.Utility_DisplayArrayInTable(Fertiliser_SourceData.Fertiliser_Products_Data4(),FertiliserProducts[[#Headers],[Company]], 91)</f>
        <v/>
      </c>
      <c r="L194" s="215" cm="1">
        <f t="array" ref="L194">Common_InputFunctions.Utility_DisplayArrayInTable(Fertiliser_SourceData.Fertiliser_Products_Data4(),FertiliserProducts[[#Headers],[Company]], 91)</f>
        <v>5.5</v>
      </c>
      <c r="M194" s="215" cm="1">
        <f t="array" ref="M194">Common_InputFunctions.Utility_DisplayArrayInTable(Fertiliser_SourceData.Fertiliser_Products_Data4(),FertiliserProducts[[#Headers],[Company]], 91)</f>
        <v>15</v>
      </c>
      <c r="N194" s="215" cm="1">
        <f t="array" ref="N194">Common_InputFunctions.Utility_DisplayArrayInTable(Fertiliser_SourceData.Fertiliser_Products_Data4(),FertiliserProducts[[#Headers],[Company]], 91)</f>
        <v>6.88</v>
      </c>
      <c r="O194" s="215" t="str" cm="1">
        <f t="array" ref="O194">Common_InputFunctions.Utility_DisplayArrayInTable(Fertiliser_SourceData.Fertiliser_Products_Data4(),FertiliserProducts[[#Headers],[Company]], 91)</f>
        <v>Single superphosphate (SSP)</v>
      </c>
      <c r="P194" s="215" cm="1">
        <f t="array" ref="P194">Common_InputFunctions.Utility_DisplayArrayInTable(Fertiliser_SourceData.Fertiliser_Products_Data4(),FertiliserProducts[[#Headers],[Company]], 91)</f>
        <v>0.625</v>
      </c>
      <c r="Q194" s="215" t="str" cm="1">
        <f t="array" ref="Q194">Common_InputFunctions.Utility_DisplayArrayInTable(Fertiliser_SourceData.Fertiliser_Products_Data4(),FertiliserProducts[[#Headers],[Company]], 91)</f>
        <v>Muriate of potash (MOP)</v>
      </c>
      <c r="R194" s="215" cm="1">
        <f t="array" ref="R194">Common_InputFunctions.Utility_DisplayArrayInTable(Fertiliser_SourceData.Fertiliser_Products_Data4(),FertiliserProducts[[#Headers],[Company]], 91)</f>
        <v>0.3</v>
      </c>
      <c r="S194" s="215" t="str" cm="1">
        <f t="array" ref="S194">Common_InputFunctions.Utility_DisplayArrayInTable(Fertiliser_SourceData.Fertiliser_Products_Data4(),FertiliserProducts[[#Headers],[Company]], 91)</f>
        <v/>
      </c>
      <c r="T194" s="215" t="str" cm="1">
        <f t="array" ref="T194">Common_InputFunctions.Utility_DisplayArrayInTable(Fertiliser_SourceData.Fertiliser_Products_Data4(),FertiliserProducts[[#Headers],[Company]], 91)</f>
        <v/>
      </c>
      <c r="U194" s="215" t="str" cm="1">
        <f t="array" ref="U194">Common_InputFunctions.Utility_DisplayArrayInTable(Fertiliser_SourceData.Fertiliser_Products_Data4(),FertiliserProducts[[#Headers],[Company]], 91)</f>
        <v/>
      </c>
      <c r="V194" s="215" t="str" cm="1">
        <f t="array" ref="V194">Common_InputFunctions.Utility_DisplayArrayInTable(Fertiliser_SourceData.Fertiliser_Products_Data4(),FertiliserProducts[[#Headers],[Company]], 91)</f>
        <v/>
      </c>
      <c r="W194" s="215" t="str" cm="1">
        <f t="array" ref="W194">Common_InputFunctions.Utility_DisplayArrayInTable(Fertiliser_SourceData.Fertiliser_Products_Data4(),FertiliserProducts[[#Headers],[Company]], 91)</f>
        <v/>
      </c>
      <c r="X194" s="215" t="str" cm="1">
        <f t="array" ref="X194">Common_InputFunctions.Utility_DisplayArrayInTable(Fertiliser_SourceData.Fertiliser_Products_Data4(),FertiliserProducts[[#Headers],[Company]], 91)</f>
        <v/>
      </c>
      <c r="Y194" s="215" t="str" cm="1">
        <f t="array" ref="Y194">Common_InputFunctions.Utility_DisplayArrayInTable(Fertiliser_SourceData.Fertiliser_Products_Data4(),FertiliserProducts[[#Headers],[Company]], 91)</f>
        <v/>
      </c>
      <c r="Z194" s="215" t="str" cm="1">
        <f t="array" ref="Z194">Common_InputFunctions.Utility_DisplayArrayInTable(Fertiliser_SourceData.Fertiliser_Products_Data4(),FertiliserProducts[[#Headers],[Company]], 91)</f>
        <v/>
      </c>
      <c r="AA194" s="215" t="str" cm="1">
        <f t="array" ref="AA194">Common_InputFunctions.Utility_DisplayArrayInTable(Fertiliser_SourceData.Fertiliser_Products_Data4(),FertiliserProducts[[#Headers],[Company]], 91)</f>
        <v/>
      </c>
      <c r="AB194" s="215" t="str" cm="1">
        <f t="array" ref="AB194">Common_InputFunctions.Utility_DisplayArrayInTable(Fertiliser_SourceData.Fertiliser_Products_Data4(),FertiliserProducts[[#Headers],[Company]], 91)</f>
        <v/>
      </c>
      <c r="AC194" s="215" t="str" cm="1">
        <f t="array" ref="AC194">Common_InputFunctions.Utility_DisplayArrayInTable(Fertiliser_SourceData.Fertiliser_Products_Data4(),FertiliserProducts[[#Headers],[Company]], 91)</f>
        <v/>
      </c>
      <c r="AD194" s="215" t="str" cm="1">
        <f t="array" ref="AD194">Common_InputFunctions.Utility_DisplayArrayInTable(Fertiliser_SourceData.Fertiliser_Products_Data4(),FertiliserProducts[[#Headers],[Company]], 91)</f>
        <v/>
      </c>
      <c r="AE194" s="215" t="str" cm="1">
        <f t="array" ref="AE194">Common_InputFunctions.Utility_DisplayArrayInTable(Fertiliser_SourceData.Fertiliser_Products_Data4(),FertiliserProducts[[#Headers],[Company]], 91)</f>
        <v/>
      </c>
      <c r="AF194" s="215" t="str" cm="1">
        <f t="array" ref="AF194">Common_InputFunctions.Utility_DisplayArrayInTable(Fertiliser_SourceData.Fertiliser_Products_Data4(),FertiliserProducts[[#Headers],[Company]], 91)</f>
        <v/>
      </c>
      <c r="AG194" s="215" t="str" cm="1">
        <f t="array" ref="AG194">Common_InputFunctions.Utility_DisplayArrayInTable(Fertiliser_SourceData.Fertiliser_Products_Data4(),FertiliserProducts[[#Headers],[Company]], 91)</f>
        <v/>
      </c>
      <c r="AH194" s="215" t="str" cm="1">
        <f t="array" ref="AH194">Common_InputFunctions.Utility_DisplayArrayInTable(Fertiliser_SourceData.Fertiliser_Products_Data4(),FertiliserProducts[[#Headers],[Company]], 91)</f>
        <v/>
      </c>
    </row>
    <row r="195" spans="4:34" x14ac:dyDescent="0.25">
      <c r="D195" s="215" t="str" cm="1">
        <f t="array" ref="D195">Common_InputFunctions.Utility_DisplayArrayInTable(Fertiliser_SourceData.Fertiliser_Products_Data4(),FertiliserProducts[[#Headers],[Company]], 91)</f>
        <v>Yara</v>
      </c>
      <c r="E195" s="215" t="str" cm="1">
        <f t="array" ref="E195">Common_InputFunctions.Utility_DisplayArrayInTable(Fertiliser_SourceData.Fertiliser_Products_Data4(),FertiliserProducts[[#Headers],[Company]], 91)</f>
        <v>YaraBela CAN-27</v>
      </c>
      <c r="F195" s="215" t="str" cm="1">
        <f t="array" ref="F195">Common_InputFunctions.Utility_DisplayArrayInTable(Fertiliser_SourceData.Fertiliser_Products_Data4(),FertiliserProducts[[#Headers],[Company]], 91)</f>
        <v>kg</v>
      </c>
      <c r="G195" s="215" cm="1">
        <f t="array" ref="G195">Common_InputFunctions.Utility_DisplayArrayInTable(Fertiliser_SourceData.Fertiliser_Products_Data4(),FertiliserProducts[[#Headers],[Company]], 91)</f>
        <v>1</v>
      </c>
      <c r="H195" s="215" t="str" cm="1">
        <f t="array" ref="H195">Common_InputFunctions.Utility_DisplayArrayInTable(Fertiliser_SourceData.Fertiliser_Products_Data4(),FertiliserProducts[[#Headers],[Company]], 91)</f>
        <v/>
      </c>
      <c r="I195" s="215" t="str" cm="1">
        <f t="array" ref="I195">Common_InputFunctions.Utility_DisplayArrayInTable(Fertiliser_SourceData.Fertiliser_Products_Data4(),FertiliserProducts[[#Headers],[Company]], 91)</f>
        <v/>
      </c>
      <c r="J195" s="215" t="str" cm="1">
        <f t="array" ref="J195">Common_InputFunctions.Utility_DisplayArrayInTable(Fertiliser_SourceData.Fertiliser_Products_Data4(),FertiliserProducts[[#Headers],[Company]], 91)</f>
        <v/>
      </c>
      <c r="K195" s="215" cm="1">
        <f t="array" ref="K195">Common_InputFunctions.Utility_DisplayArrayInTable(Fertiliser_SourceData.Fertiliser_Products_Data4(),FertiliserProducts[[#Headers],[Company]], 91)</f>
        <v>27</v>
      </c>
      <c r="L195" s="215" t="str" cm="1">
        <f t="array" ref="L195">Common_InputFunctions.Utility_DisplayArrayInTable(Fertiliser_SourceData.Fertiliser_Products_Data4(),FertiliserProducts[[#Headers],[Company]], 91)</f>
        <v/>
      </c>
      <c r="M195" s="215" t="str" cm="1">
        <f t="array" ref="M195">Common_InputFunctions.Utility_DisplayArrayInTable(Fertiliser_SourceData.Fertiliser_Products_Data4(),FertiliserProducts[[#Headers],[Company]], 91)</f>
        <v/>
      </c>
      <c r="N195" s="215" t="str" cm="1">
        <f t="array" ref="N195">Common_InputFunctions.Utility_DisplayArrayInTable(Fertiliser_SourceData.Fertiliser_Products_Data4(),FertiliserProducts[[#Headers],[Company]], 91)</f>
        <v/>
      </c>
      <c r="O195" s="215" t="str" cm="1">
        <f t="array" ref="O195">Common_InputFunctions.Utility_DisplayArrayInTable(Fertiliser_SourceData.Fertiliser_Products_Data4(),FertiliserProducts[[#Headers],[Company]], 91)</f>
        <v>Calcium ammonium nitrate (CAN)</v>
      </c>
      <c r="P195" s="215" cm="1">
        <f t="array" ref="P195">Common_InputFunctions.Utility_DisplayArrayInTable(Fertiliser_SourceData.Fertiliser_Products_Data4(),FertiliserProducts[[#Headers],[Company]], 91)</f>
        <v>1</v>
      </c>
      <c r="Q195" s="215" t="str" cm="1">
        <f t="array" ref="Q195">Common_InputFunctions.Utility_DisplayArrayInTable(Fertiliser_SourceData.Fertiliser_Products_Data4(),FertiliserProducts[[#Headers],[Company]], 91)</f>
        <v/>
      </c>
      <c r="R195" s="215" t="str" cm="1">
        <f t="array" ref="R195">Common_InputFunctions.Utility_DisplayArrayInTable(Fertiliser_SourceData.Fertiliser_Products_Data4(),FertiliserProducts[[#Headers],[Company]], 91)</f>
        <v/>
      </c>
      <c r="S195" s="215" t="str" cm="1">
        <f t="array" ref="S195">Common_InputFunctions.Utility_DisplayArrayInTable(Fertiliser_SourceData.Fertiliser_Products_Data4(),FertiliserProducts[[#Headers],[Company]], 91)</f>
        <v/>
      </c>
      <c r="T195" s="215" t="str" cm="1">
        <f t="array" ref="T195">Common_InputFunctions.Utility_DisplayArrayInTable(Fertiliser_SourceData.Fertiliser_Products_Data4(),FertiliserProducts[[#Headers],[Company]], 91)</f>
        <v/>
      </c>
      <c r="U195" s="215" t="str" cm="1">
        <f t="array" ref="U195">Common_InputFunctions.Utility_DisplayArrayInTable(Fertiliser_SourceData.Fertiliser_Products_Data4(),FertiliserProducts[[#Headers],[Company]], 91)</f>
        <v/>
      </c>
      <c r="V195" s="215" t="str" cm="1">
        <f t="array" ref="V195">Common_InputFunctions.Utility_DisplayArrayInTable(Fertiliser_SourceData.Fertiliser_Products_Data4(),FertiliserProducts[[#Headers],[Company]], 91)</f>
        <v/>
      </c>
      <c r="W195" s="215" t="str" cm="1">
        <f t="array" ref="W195">Common_InputFunctions.Utility_DisplayArrayInTable(Fertiliser_SourceData.Fertiliser_Products_Data4(),FertiliserProducts[[#Headers],[Company]], 91)</f>
        <v/>
      </c>
      <c r="X195" s="215" t="str" cm="1">
        <f t="array" ref="X195">Common_InputFunctions.Utility_DisplayArrayInTable(Fertiliser_SourceData.Fertiliser_Products_Data4(),FertiliserProducts[[#Headers],[Company]], 91)</f>
        <v/>
      </c>
      <c r="Y195" s="215" t="str" cm="1">
        <f t="array" ref="Y195">Common_InputFunctions.Utility_DisplayArrayInTable(Fertiliser_SourceData.Fertiliser_Products_Data4(),FertiliserProducts[[#Headers],[Company]], 91)</f>
        <v/>
      </c>
      <c r="Z195" s="215" t="str" cm="1">
        <f t="array" ref="Z195">Common_InputFunctions.Utility_DisplayArrayInTable(Fertiliser_SourceData.Fertiliser_Products_Data4(),FertiliserProducts[[#Headers],[Company]], 91)</f>
        <v/>
      </c>
      <c r="AA195" s="215" t="str" cm="1">
        <f t="array" ref="AA195">Common_InputFunctions.Utility_DisplayArrayInTable(Fertiliser_SourceData.Fertiliser_Products_Data4(),FertiliserProducts[[#Headers],[Company]], 91)</f>
        <v/>
      </c>
      <c r="AB195" s="215" t="str" cm="1">
        <f t="array" ref="AB195">Common_InputFunctions.Utility_DisplayArrayInTable(Fertiliser_SourceData.Fertiliser_Products_Data4(),FertiliserProducts[[#Headers],[Company]], 91)</f>
        <v/>
      </c>
      <c r="AC195" s="215" t="str" cm="1">
        <f t="array" ref="AC195">Common_InputFunctions.Utility_DisplayArrayInTable(Fertiliser_SourceData.Fertiliser_Products_Data4(),FertiliserProducts[[#Headers],[Company]], 91)</f>
        <v/>
      </c>
      <c r="AD195" s="215" t="str" cm="1">
        <f t="array" ref="AD195">Common_InputFunctions.Utility_DisplayArrayInTable(Fertiliser_SourceData.Fertiliser_Products_Data4(),FertiliserProducts[[#Headers],[Company]], 91)</f>
        <v/>
      </c>
      <c r="AE195" s="215" t="str" cm="1">
        <f t="array" ref="AE195">Common_InputFunctions.Utility_DisplayArrayInTable(Fertiliser_SourceData.Fertiliser_Products_Data4(),FertiliserProducts[[#Headers],[Company]], 91)</f>
        <v/>
      </c>
      <c r="AF195" s="215" t="str" cm="1">
        <f t="array" ref="AF195">Common_InputFunctions.Utility_DisplayArrayInTable(Fertiliser_SourceData.Fertiliser_Products_Data4(),FertiliserProducts[[#Headers],[Company]], 91)</f>
        <v/>
      </c>
      <c r="AG195" s="215" t="str" cm="1">
        <f t="array" ref="AG195">Common_InputFunctions.Utility_DisplayArrayInTable(Fertiliser_SourceData.Fertiliser_Products_Data4(),FertiliserProducts[[#Headers],[Company]], 91)</f>
        <v/>
      </c>
      <c r="AH195" s="215" t="str" cm="1">
        <f t="array" ref="AH195">Common_InputFunctions.Utility_DisplayArrayInTable(Fertiliser_SourceData.Fertiliser_Products_Data4(),FertiliserProducts[[#Headers],[Company]], 91)</f>
        <v/>
      </c>
    </row>
    <row r="196" spans="4:34" x14ac:dyDescent="0.25">
      <c r="D196" s="215" t="str" cm="1">
        <f t="array" ref="D196">Common_InputFunctions.Utility_DisplayArrayInTable(Fertiliser_SourceData.Fertiliser_Products_Data4(),FertiliserProducts[[#Headers],[Company]], 91)</f>
        <v>Incitec Pivot Fertilisers</v>
      </c>
      <c r="E196" s="215" t="str" cm="1">
        <f t="array" ref="E196">Common_InputFunctions.Utility_DisplayArrayInTable(Fertiliser_SourceData.Fertiliser_Products_Data4(),FertiliserProducts[[#Headers],[Company]], 91)</f>
        <v>Cal-Gran Aftergraze</v>
      </c>
      <c r="F196" s="215" t="str" cm="1">
        <f t="array" ref="F196">Common_InputFunctions.Utility_DisplayArrayInTable(Fertiliser_SourceData.Fertiliser_Products_Data4(),FertiliserProducts[[#Headers],[Company]], 91)</f>
        <v>kg</v>
      </c>
      <c r="G196" s="215" cm="1">
        <f t="array" ref="G196">Common_InputFunctions.Utility_DisplayArrayInTable(Fertiliser_SourceData.Fertiliser_Products_Data4(),FertiliserProducts[[#Headers],[Company]], 91)</f>
        <v>1</v>
      </c>
      <c r="H196" s="215" t="str" cm="1">
        <f t="array" ref="H196">Common_InputFunctions.Utility_DisplayArrayInTable(Fertiliser_SourceData.Fertiliser_Products_Data4(),FertiliserProducts[[#Headers],[Company]], 91)</f>
        <v/>
      </c>
      <c r="I196" s="215" t="str" cm="1">
        <f t="array" ref="I196">Common_InputFunctions.Utility_DisplayArrayInTable(Fertiliser_SourceData.Fertiliser_Products_Data4(),FertiliserProducts[[#Headers],[Company]], 91)</f>
        <v/>
      </c>
      <c r="J196" s="215" t="str" cm="1">
        <f t="array" ref="J196">Common_InputFunctions.Utility_DisplayArrayInTable(Fertiliser_SourceData.Fertiliser_Products_Data4(),FertiliserProducts[[#Headers],[Company]], 91)</f>
        <v/>
      </c>
      <c r="K196" s="215" cm="1">
        <f t="array" ref="K196">Common_InputFunctions.Utility_DisplayArrayInTable(Fertiliser_SourceData.Fertiliser_Products_Data4(),FertiliserProducts[[#Headers],[Company]], 91)</f>
        <v>20.6</v>
      </c>
      <c r="L196" s="215" cm="1">
        <f t="array" ref="L196">Common_InputFunctions.Utility_DisplayArrayInTable(Fertiliser_SourceData.Fertiliser_Products_Data4(),FertiliserProducts[[#Headers],[Company]], 91)</f>
        <v>3</v>
      </c>
      <c r="M196" s="215" cm="1">
        <f t="array" ref="M196">Common_InputFunctions.Utility_DisplayArrayInTable(Fertiliser_SourceData.Fertiliser_Products_Data4(),FertiliserProducts[[#Headers],[Company]], 91)</f>
        <v>7.5</v>
      </c>
      <c r="N196" s="215" cm="1">
        <f t="array" ref="N196">Common_InputFunctions.Utility_DisplayArrayInTable(Fertiliser_SourceData.Fertiliser_Products_Data4(),FertiliserProducts[[#Headers],[Company]], 91)</f>
        <v>3.8</v>
      </c>
      <c r="O196" s="215" t="str" cm="1">
        <f t="array" ref="O196">Common_InputFunctions.Utility_DisplayArrayInTable(Fertiliser_SourceData.Fertiliser_Products_Data4(),FertiliserProducts[[#Headers],[Company]], 91)</f>
        <v>Nitrogen - Nitrate</v>
      </c>
      <c r="P196" s="215" cm="1">
        <f t="array" ref="P196">Common_InputFunctions.Utility_DisplayArrayInTable(Fertiliser_SourceData.Fertiliser_Products_Data4(),FertiliserProducts[[#Headers],[Company]], 91)</f>
        <v>6.4000000000000001E-2</v>
      </c>
      <c r="Q196" s="215" t="str" cm="1">
        <f t="array" ref="Q196">Common_InputFunctions.Utility_DisplayArrayInTable(Fertiliser_SourceData.Fertiliser_Products_Data4(),FertiliserProducts[[#Headers],[Company]], 91)</f>
        <v>Nitrogen - Ammoniacal</v>
      </c>
      <c r="R196" s="215" cm="1">
        <f t="array" ref="R196">Common_InputFunctions.Utility_DisplayArrayInTable(Fertiliser_SourceData.Fertiliser_Products_Data4(),FertiliserProducts[[#Headers],[Company]], 91)</f>
        <v>0.14199999999999999</v>
      </c>
      <c r="S196" s="215" t="str" cm="1">
        <f t="array" ref="S196">Common_InputFunctions.Utility_DisplayArrayInTable(Fertiliser_SourceData.Fertiliser_Products_Data4(),FertiliserProducts[[#Headers],[Company]], 91)</f>
        <v>Phosphorus - Generic</v>
      </c>
      <c r="T196" s="215" cm="1">
        <f t="array" ref="T196">Common_InputFunctions.Utility_DisplayArrayInTable(Fertiliser_SourceData.Fertiliser_Products_Data4(),FertiliserProducts[[#Headers],[Company]], 91)</f>
        <v>0.03</v>
      </c>
      <c r="U196" s="215" t="str" cm="1">
        <f t="array" ref="U196">Common_InputFunctions.Utility_DisplayArrayInTable(Fertiliser_SourceData.Fertiliser_Products_Data4(),FertiliserProducts[[#Headers],[Company]], 91)</f>
        <v>Potassium - Generic</v>
      </c>
      <c r="V196" s="215" cm="1">
        <f t="array" ref="V196">Common_InputFunctions.Utility_DisplayArrayInTable(Fertiliser_SourceData.Fertiliser_Products_Data4(),FertiliserProducts[[#Headers],[Company]], 91)</f>
        <v>7.4999999999999997E-2</v>
      </c>
      <c r="W196" s="215" t="str" cm="1">
        <f t="array" ref="W196">Common_InputFunctions.Utility_DisplayArrayInTable(Fertiliser_SourceData.Fertiliser_Products_Data4(),FertiliserProducts[[#Headers],[Company]], 91)</f>
        <v>Sulfur - Generic</v>
      </c>
      <c r="X196" s="215" cm="1">
        <f t="array" ref="X196">Common_InputFunctions.Utility_DisplayArrayInTable(Fertiliser_SourceData.Fertiliser_Products_Data4(),FertiliserProducts[[#Headers],[Company]], 91)</f>
        <v>3.7999999999999999E-2</v>
      </c>
      <c r="Y196" s="215" t="str" cm="1">
        <f t="array" ref="Y196">Common_InputFunctions.Utility_DisplayArrayInTable(Fertiliser_SourceData.Fertiliser_Products_Data4(),FertiliserProducts[[#Headers],[Company]], 91)</f>
        <v>Calcium</v>
      </c>
      <c r="Z196" s="215" cm="1">
        <f t="array" ref="Z196">Common_InputFunctions.Utility_DisplayArrayInTable(Fertiliser_SourceData.Fertiliser_Products_Data4(),FertiliserProducts[[#Headers],[Company]], 91)</f>
        <v>4.3999999999999997E-2</v>
      </c>
      <c r="AA196" s="215" t="str" cm="1">
        <f t="array" ref="AA196">Common_InputFunctions.Utility_DisplayArrayInTable(Fertiliser_SourceData.Fertiliser_Products_Data4(),FertiliserProducts[[#Headers],[Company]], 91)</f>
        <v/>
      </c>
      <c r="AB196" s="215" t="str" cm="1">
        <f t="array" ref="AB196">Common_InputFunctions.Utility_DisplayArrayInTable(Fertiliser_SourceData.Fertiliser_Products_Data4(),FertiliserProducts[[#Headers],[Company]], 91)</f>
        <v/>
      </c>
      <c r="AC196" s="215" t="str" cm="1">
        <f t="array" ref="AC196">Common_InputFunctions.Utility_DisplayArrayInTable(Fertiliser_SourceData.Fertiliser_Products_Data4(),FertiliserProducts[[#Headers],[Company]], 91)</f>
        <v/>
      </c>
      <c r="AD196" s="215" t="str" cm="1">
        <f t="array" ref="AD196">Common_InputFunctions.Utility_DisplayArrayInTable(Fertiliser_SourceData.Fertiliser_Products_Data4(),FertiliserProducts[[#Headers],[Company]], 91)</f>
        <v/>
      </c>
      <c r="AE196" s="215" t="str" cm="1">
        <f t="array" ref="AE196">Common_InputFunctions.Utility_DisplayArrayInTable(Fertiliser_SourceData.Fertiliser_Products_Data4(),FertiliserProducts[[#Headers],[Company]], 91)</f>
        <v/>
      </c>
      <c r="AF196" s="215" t="str" cm="1">
        <f t="array" ref="AF196">Common_InputFunctions.Utility_DisplayArrayInTable(Fertiliser_SourceData.Fertiliser_Products_Data4(),FertiliserProducts[[#Headers],[Company]], 91)</f>
        <v/>
      </c>
      <c r="AG196" s="215" t="str" cm="1">
        <f t="array" ref="AG196">Common_InputFunctions.Utility_DisplayArrayInTable(Fertiliser_SourceData.Fertiliser_Products_Data4(),FertiliserProducts[[#Headers],[Company]], 91)</f>
        <v/>
      </c>
      <c r="AH196" s="215" t="str" cm="1">
        <f t="array" ref="AH196">Common_InputFunctions.Utility_DisplayArrayInTable(Fertiliser_SourceData.Fertiliser_Products_Data4(),FertiliserProducts[[#Headers],[Company]], 91)</f>
        <v/>
      </c>
    </row>
    <row r="197" spans="4:34" x14ac:dyDescent="0.25">
      <c r="D197" s="215" t="str" cm="1">
        <f t="array" ref="D197">Common_InputFunctions.Utility_DisplayArrayInTable(Fertiliser_SourceData.Fertiliser_Products_Data4(),FertiliserProducts[[#Headers],[Company]], 91)</f>
        <v>Incitec Pivot Fertilisers</v>
      </c>
      <c r="E197" s="215" t="str" cm="1">
        <f t="array" ref="E197">Common_InputFunctions.Utility_DisplayArrayInTable(Fertiliser_SourceData.Fertiliser_Products_Data4(),FertiliserProducts[[#Headers],[Company]], 91)</f>
        <v>Cal-Gran Prodress</v>
      </c>
      <c r="F197" s="215" t="str" cm="1">
        <f t="array" ref="F197">Common_InputFunctions.Utility_DisplayArrayInTable(Fertiliser_SourceData.Fertiliser_Products_Data4(),FertiliserProducts[[#Headers],[Company]], 91)</f>
        <v>kg</v>
      </c>
      <c r="G197" s="215" cm="1">
        <f t="array" ref="G197">Common_InputFunctions.Utility_DisplayArrayInTable(Fertiliser_SourceData.Fertiliser_Products_Data4(),FertiliserProducts[[#Headers],[Company]], 91)</f>
        <v>1</v>
      </c>
      <c r="H197" s="215" t="str" cm="1">
        <f t="array" ref="H197">Common_InputFunctions.Utility_DisplayArrayInTable(Fertiliser_SourceData.Fertiliser_Products_Data4(),FertiliserProducts[[#Headers],[Company]], 91)</f>
        <v/>
      </c>
      <c r="I197" s="215" t="str" cm="1">
        <f t="array" ref="I197">Common_InputFunctions.Utility_DisplayArrayInTable(Fertiliser_SourceData.Fertiliser_Products_Data4(),FertiliserProducts[[#Headers],[Company]], 91)</f>
        <v/>
      </c>
      <c r="J197" s="215" t="str" cm="1">
        <f t="array" ref="J197">Common_InputFunctions.Utility_DisplayArrayInTable(Fertiliser_SourceData.Fertiliser_Products_Data4(),FertiliserProducts[[#Headers],[Company]], 91)</f>
        <v/>
      </c>
      <c r="K197" s="215" cm="1">
        <f t="array" ref="K197">Common_InputFunctions.Utility_DisplayArrayInTable(Fertiliser_SourceData.Fertiliser_Products_Data4(),FertiliserProducts[[#Headers],[Company]], 91)</f>
        <v>17.8</v>
      </c>
      <c r="L197" s="215" cm="1">
        <f t="array" ref="L197">Common_InputFunctions.Utility_DisplayArrayInTable(Fertiliser_SourceData.Fertiliser_Products_Data4(),FertiliserProducts[[#Headers],[Company]], 91)</f>
        <v>1</v>
      </c>
      <c r="M197" s="215" cm="1">
        <f t="array" ref="M197">Common_InputFunctions.Utility_DisplayArrayInTable(Fertiliser_SourceData.Fertiliser_Products_Data4(),FertiliserProducts[[#Headers],[Company]], 91)</f>
        <v>15</v>
      </c>
      <c r="N197" s="215" cm="1">
        <f t="array" ref="N197">Common_InputFunctions.Utility_DisplayArrayInTable(Fertiliser_SourceData.Fertiliser_Products_Data4(),FertiliserProducts[[#Headers],[Company]], 91)</f>
        <v>2.5</v>
      </c>
      <c r="O197" s="215" t="str" cm="1">
        <f t="array" ref="O197">Common_InputFunctions.Utility_DisplayArrayInTable(Fertiliser_SourceData.Fertiliser_Products_Data4(),FertiliserProducts[[#Headers],[Company]], 91)</f>
        <v>Nitrogen - Nitrate</v>
      </c>
      <c r="P197" s="215" cm="1">
        <f t="array" ref="P197">Common_InputFunctions.Utility_DisplayArrayInTable(Fertiliser_SourceData.Fertiliser_Products_Data4(),FertiliserProducts[[#Headers],[Company]], 91)</f>
        <v>5.5E-2</v>
      </c>
      <c r="Q197" s="215" t="str" cm="1">
        <f t="array" ref="Q197">Common_InputFunctions.Utility_DisplayArrayInTable(Fertiliser_SourceData.Fertiliser_Products_Data4(),FertiliserProducts[[#Headers],[Company]], 91)</f>
        <v>Nitrogen - Ammoniacal</v>
      </c>
      <c r="R197" s="215" cm="1">
        <f t="array" ref="R197">Common_InputFunctions.Utility_DisplayArrayInTable(Fertiliser_SourceData.Fertiliser_Products_Data4(),FertiliserProducts[[#Headers],[Company]], 91)</f>
        <v>0.123</v>
      </c>
      <c r="S197" s="215" t="str" cm="1">
        <f t="array" ref="S197">Common_InputFunctions.Utility_DisplayArrayInTable(Fertiliser_SourceData.Fertiliser_Products_Data4(),FertiliserProducts[[#Headers],[Company]], 91)</f>
        <v>Phosphorus - Generic</v>
      </c>
      <c r="T197" s="215" cm="1">
        <f t="array" ref="T197">Common_InputFunctions.Utility_DisplayArrayInTable(Fertiliser_SourceData.Fertiliser_Products_Data4(),FertiliserProducts[[#Headers],[Company]], 91)</f>
        <v>0.01</v>
      </c>
      <c r="U197" s="215" t="str" cm="1">
        <f t="array" ref="U197">Common_InputFunctions.Utility_DisplayArrayInTable(Fertiliser_SourceData.Fertiliser_Products_Data4(),FertiliserProducts[[#Headers],[Company]], 91)</f>
        <v>Potassium - Generic</v>
      </c>
      <c r="V197" s="215" cm="1">
        <f t="array" ref="V197">Common_InputFunctions.Utility_DisplayArrayInTable(Fertiliser_SourceData.Fertiliser_Products_Data4(),FertiliserProducts[[#Headers],[Company]], 91)</f>
        <v>0.15</v>
      </c>
      <c r="W197" s="215" t="str" cm="1">
        <f t="array" ref="W197">Common_InputFunctions.Utility_DisplayArrayInTable(Fertiliser_SourceData.Fertiliser_Products_Data4(),FertiliserProducts[[#Headers],[Company]], 91)</f>
        <v>Sulfur - Generic</v>
      </c>
      <c r="X197" s="215" cm="1">
        <f t="array" ref="X197">Common_InputFunctions.Utility_DisplayArrayInTable(Fertiliser_SourceData.Fertiliser_Products_Data4(),FertiliserProducts[[#Headers],[Company]], 91)</f>
        <v>2.5000000000000001E-2</v>
      </c>
      <c r="Y197" s="215" t="str" cm="1">
        <f t="array" ref="Y197">Common_InputFunctions.Utility_DisplayArrayInTable(Fertiliser_SourceData.Fertiliser_Products_Data4(),FertiliserProducts[[#Headers],[Company]], 91)</f>
        <v>Calcium</v>
      </c>
      <c r="Z197" s="215" cm="1">
        <f t="array" ref="Z197">Common_InputFunctions.Utility_DisplayArrayInTable(Fertiliser_SourceData.Fertiliser_Products_Data4(),FertiliserProducts[[#Headers],[Company]], 91)</f>
        <v>4.3999999999999997E-2</v>
      </c>
      <c r="AA197" s="215" t="str" cm="1">
        <f t="array" ref="AA197">Common_InputFunctions.Utility_DisplayArrayInTable(Fertiliser_SourceData.Fertiliser_Products_Data4(),FertiliserProducts[[#Headers],[Company]], 91)</f>
        <v/>
      </c>
      <c r="AB197" s="215" t="str" cm="1">
        <f t="array" ref="AB197">Common_InputFunctions.Utility_DisplayArrayInTable(Fertiliser_SourceData.Fertiliser_Products_Data4(),FertiliserProducts[[#Headers],[Company]], 91)</f>
        <v/>
      </c>
      <c r="AC197" s="215" t="str" cm="1">
        <f t="array" ref="AC197">Common_InputFunctions.Utility_DisplayArrayInTable(Fertiliser_SourceData.Fertiliser_Products_Data4(),FertiliserProducts[[#Headers],[Company]], 91)</f>
        <v/>
      </c>
      <c r="AD197" s="215" t="str" cm="1">
        <f t="array" ref="AD197">Common_InputFunctions.Utility_DisplayArrayInTable(Fertiliser_SourceData.Fertiliser_Products_Data4(),FertiliserProducts[[#Headers],[Company]], 91)</f>
        <v/>
      </c>
      <c r="AE197" s="215" t="str" cm="1">
        <f t="array" ref="AE197">Common_InputFunctions.Utility_DisplayArrayInTable(Fertiliser_SourceData.Fertiliser_Products_Data4(),FertiliserProducts[[#Headers],[Company]], 91)</f>
        <v/>
      </c>
      <c r="AF197" s="215" t="str" cm="1">
        <f t="array" ref="AF197">Common_InputFunctions.Utility_DisplayArrayInTable(Fertiliser_SourceData.Fertiliser_Products_Data4(),FertiliserProducts[[#Headers],[Company]], 91)</f>
        <v/>
      </c>
      <c r="AG197" s="215" t="str" cm="1">
        <f t="array" ref="AG197">Common_InputFunctions.Utility_DisplayArrayInTable(Fertiliser_SourceData.Fertiliser_Products_Data4(),FertiliserProducts[[#Headers],[Company]], 91)</f>
        <v/>
      </c>
      <c r="AH197" s="215" t="str" cm="1">
        <f t="array" ref="AH197">Common_InputFunctions.Utility_DisplayArrayInTable(Fertiliser_SourceData.Fertiliser_Products_Data4(),FertiliserProducts[[#Headers],[Company]], 91)</f>
        <v/>
      </c>
    </row>
    <row r="198" spans="4:34" x14ac:dyDescent="0.25">
      <c r="D198" s="215" t="str" cm="1">
        <f t="array" ref="D198">Common_InputFunctions.Utility_DisplayArrayInTable(Fertiliser_SourceData.Fertiliser_Products_Data4(),FertiliserProducts[[#Headers],[Company]], 91)</f>
        <v>Wengfu Australia</v>
      </c>
      <c r="E198" s="215" t="str" cm="1">
        <f t="array" ref="E198">Common_InputFunctions.Utility_DisplayArrayInTable(Fertiliser_SourceData.Fertiliser_Products_Data4(),FertiliserProducts[[#Headers],[Company]], 91)</f>
        <v>Wengfu PrimeZinc 10</v>
      </c>
      <c r="F198" s="215" t="str" cm="1">
        <f t="array" ref="F198">Common_InputFunctions.Utility_DisplayArrayInTable(Fertiliser_SourceData.Fertiliser_Products_Data4(),FertiliserProducts[[#Headers],[Company]], 91)</f>
        <v>kg</v>
      </c>
      <c r="G198" s="215" cm="1">
        <f t="array" ref="G198">Common_InputFunctions.Utility_DisplayArrayInTable(Fertiliser_SourceData.Fertiliser_Products_Data4(),FertiliserProducts[[#Headers],[Company]], 91)</f>
        <v>1</v>
      </c>
      <c r="H198" s="215" t="str" cm="1">
        <f t="array" ref="H198">Common_InputFunctions.Utility_DisplayArrayInTable(Fertiliser_SourceData.Fertiliser_Products_Data4(),FertiliserProducts[[#Headers],[Company]], 91)</f>
        <v/>
      </c>
      <c r="I198" s="215" t="str" cm="1">
        <f t="array" ref="I198">Common_InputFunctions.Utility_DisplayArrayInTable(Fertiliser_SourceData.Fertiliser_Products_Data4(),FertiliserProducts[[#Headers],[Company]], 91)</f>
        <v/>
      </c>
      <c r="J198" s="215" t="str" cm="1">
        <f t="array" ref="J198">Common_InputFunctions.Utility_DisplayArrayInTable(Fertiliser_SourceData.Fertiliser_Products_Data4(),FertiliserProducts[[#Headers],[Company]], 91)</f>
        <v/>
      </c>
      <c r="K198" s="215" cm="1">
        <f t="array" ref="K198">Common_InputFunctions.Utility_DisplayArrayInTable(Fertiliser_SourceData.Fertiliser_Products_Data4(),FertiliserProducts[[#Headers],[Company]], 91)</f>
        <v>10</v>
      </c>
      <c r="L198" s="215" cm="1">
        <f t="array" ref="L198">Common_InputFunctions.Utility_DisplayArrayInTable(Fertiliser_SourceData.Fertiliser_Products_Data4(),FertiliserProducts[[#Headers],[Company]], 91)</f>
        <v>22</v>
      </c>
      <c r="M198" s="215" t="str" cm="1">
        <f t="array" ref="M198">Common_InputFunctions.Utility_DisplayArrayInTable(Fertiliser_SourceData.Fertiliser_Products_Data4(),FertiliserProducts[[#Headers],[Company]], 91)</f>
        <v/>
      </c>
      <c r="N198" s="215" cm="1">
        <f t="array" ref="N198">Common_InputFunctions.Utility_DisplayArrayInTable(Fertiliser_SourceData.Fertiliser_Products_Data4(),FertiliserProducts[[#Headers],[Company]], 91)</f>
        <v>1.5</v>
      </c>
      <c r="O198" s="215" t="str" cm="1">
        <f t="array" ref="O198">Common_InputFunctions.Utility_DisplayArrayInTable(Fertiliser_SourceData.Fertiliser_Products_Data4(),FertiliserProducts[[#Headers],[Company]], 91)</f>
        <v>Nitrogen - Generic</v>
      </c>
      <c r="P198" s="215" cm="1">
        <f t="array" ref="P198">Common_InputFunctions.Utility_DisplayArrayInTable(Fertiliser_SourceData.Fertiliser_Products_Data4(),FertiliserProducts[[#Headers],[Company]], 91)</f>
        <v>0.1</v>
      </c>
      <c r="Q198" s="215" t="str" cm="1">
        <f t="array" ref="Q198">Common_InputFunctions.Utility_DisplayArrayInTable(Fertiliser_SourceData.Fertiliser_Products_Data4(),FertiliserProducts[[#Headers],[Company]], 91)</f>
        <v>Phosphorus - Generic</v>
      </c>
      <c r="R198" s="215" cm="1">
        <f t="array" ref="R198">Common_InputFunctions.Utility_DisplayArrayInTable(Fertiliser_SourceData.Fertiliser_Products_Data4(),FertiliserProducts[[#Headers],[Company]], 91)</f>
        <v>0.22</v>
      </c>
      <c r="S198" s="215" t="str" cm="1">
        <f t="array" ref="S198">Common_InputFunctions.Utility_DisplayArrayInTable(Fertiliser_SourceData.Fertiliser_Products_Data4(),FertiliserProducts[[#Headers],[Company]], 91)</f>
        <v>Sulfur - Generic</v>
      </c>
      <c r="T198" s="215" cm="1">
        <f t="array" ref="T198">Common_InputFunctions.Utility_DisplayArrayInTable(Fertiliser_SourceData.Fertiliser_Products_Data4(),FertiliserProducts[[#Headers],[Company]], 91)</f>
        <v>1.4999999999999999E-2</v>
      </c>
      <c r="U198" s="215" t="str" cm="1">
        <f t="array" ref="U198">Common_InputFunctions.Utility_DisplayArrayInTable(Fertiliser_SourceData.Fertiliser_Products_Data4(),FertiliserProducts[[#Headers],[Company]], 91)</f>
        <v>Zinc</v>
      </c>
      <c r="V198" s="215" cm="1">
        <f t="array" ref="V198">Common_InputFunctions.Utility_DisplayArrayInTable(Fertiliser_SourceData.Fertiliser_Products_Data4(),FertiliserProducts[[#Headers],[Company]], 91)</f>
        <v>0.01</v>
      </c>
      <c r="W198" s="215" t="str" cm="1">
        <f t="array" ref="W198">Common_InputFunctions.Utility_DisplayArrayInTable(Fertiliser_SourceData.Fertiliser_Products_Data4(),FertiliserProducts[[#Headers],[Company]], 91)</f>
        <v/>
      </c>
      <c r="X198" s="215" t="str" cm="1">
        <f t="array" ref="X198">Common_InputFunctions.Utility_DisplayArrayInTable(Fertiliser_SourceData.Fertiliser_Products_Data4(),FertiliserProducts[[#Headers],[Company]], 91)</f>
        <v/>
      </c>
      <c r="Y198" s="215" t="str" cm="1">
        <f t="array" ref="Y198">Common_InputFunctions.Utility_DisplayArrayInTable(Fertiliser_SourceData.Fertiliser_Products_Data4(),FertiliserProducts[[#Headers],[Company]], 91)</f>
        <v/>
      </c>
      <c r="Z198" s="215" t="str" cm="1">
        <f t="array" ref="Z198">Common_InputFunctions.Utility_DisplayArrayInTable(Fertiliser_SourceData.Fertiliser_Products_Data4(),FertiliserProducts[[#Headers],[Company]], 91)</f>
        <v/>
      </c>
      <c r="AA198" s="215" t="str" cm="1">
        <f t="array" ref="AA198">Common_InputFunctions.Utility_DisplayArrayInTable(Fertiliser_SourceData.Fertiliser_Products_Data4(),FertiliserProducts[[#Headers],[Company]], 91)</f>
        <v/>
      </c>
      <c r="AB198" s="215" t="str" cm="1">
        <f t="array" ref="AB198">Common_InputFunctions.Utility_DisplayArrayInTable(Fertiliser_SourceData.Fertiliser_Products_Data4(),FertiliserProducts[[#Headers],[Company]], 91)</f>
        <v/>
      </c>
      <c r="AC198" s="215" t="str" cm="1">
        <f t="array" ref="AC198">Common_InputFunctions.Utility_DisplayArrayInTable(Fertiliser_SourceData.Fertiliser_Products_Data4(),FertiliserProducts[[#Headers],[Company]], 91)</f>
        <v/>
      </c>
      <c r="AD198" s="215" t="str" cm="1">
        <f t="array" ref="AD198">Common_InputFunctions.Utility_DisplayArrayInTable(Fertiliser_SourceData.Fertiliser_Products_Data4(),FertiliserProducts[[#Headers],[Company]], 91)</f>
        <v/>
      </c>
      <c r="AE198" s="215" t="str" cm="1">
        <f t="array" ref="AE198">Common_InputFunctions.Utility_DisplayArrayInTable(Fertiliser_SourceData.Fertiliser_Products_Data4(),FertiliserProducts[[#Headers],[Company]], 91)</f>
        <v/>
      </c>
      <c r="AF198" s="215" t="str" cm="1">
        <f t="array" ref="AF198">Common_InputFunctions.Utility_DisplayArrayInTable(Fertiliser_SourceData.Fertiliser_Products_Data4(),FertiliserProducts[[#Headers],[Company]], 91)</f>
        <v/>
      </c>
      <c r="AG198" s="215" t="str" cm="1">
        <f t="array" ref="AG198">Common_InputFunctions.Utility_DisplayArrayInTable(Fertiliser_SourceData.Fertiliser_Products_Data4(),FertiliserProducts[[#Headers],[Company]], 91)</f>
        <v/>
      </c>
      <c r="AH198" s="215" t="str" cm="1">
        <f t="array" ref="AH198">Common_InputFunctions.Utility_DisplayArrayInTable(Fertiliser_SourceData.Fertiliser_Products_Data4(),FertiliserProducts[[#Headers],[Company]], 91)</f>
        <v/>
      </c>
    </row>
    <row r="199" spans="4:34" x14ac:dyDescent="0.25">
      <c r="D199" s="215" t="str" cm="1">
        <f t="array" ref="D199">Common_InputFunctions.Utility_DisplayArrayInTable(Fertiliser_SourceData.Fertiliser_Products_Data4(),FertiliserProducts[[#Headers],[Company]], 91)</f>
        <v>Wengfu Australia</v>
      </c>
      <c r="E199" s="215" t="str" cm="1">
        <f t="array" ref="E199">Common_InputFunctions.Utility_DisplayArrayInTable(Fertiliser_SourceData.Fertiliser_Products_Data4(),FertiliserProducts[[#Headers],[Company]], 91)</f>
        <v>Wengfu Pasture King</v>
      </c>
      <c r="F199" s="215" t="str" cm="1">
        <f t="array" ref="F199">Common_InputFunctions.Utility_DisplayArrayInTable(Fertiliser_SourceData.Fertiliser_Products_Data4(),FertiliserProducts[[#Headers],[Company]], 91)</f>
        <v>kg</v>
      </c>
      <c r="G199" s="215" cm="1">
        <f t="array" ref="G199">Common_InputFunctions.Utility_DisplayArrayInTable(Fertiliser_SourceData.Fertiliser_Products_Data4(),FertiliserProducts[[#Headers],[Company]], 91)</f>
        <v>1</v>
      </c>
      <c r="H199" s="215" t="str" cm="1">
        <f t="array" ref="H199">Common_InputFunctions.Utility_DisplayArrayInTable(Fertiliser_SourceData.Fertiliser_Products_Data4(),FertiliserProducts[[#Headers],[Company]], 91)</f>
        <v/>
      </c>
      <c r="I199" s="215" t="str" cm="1">
        <f t="array" ref="I199">Common_InputFunctions.Utility_DisplayArrayInTable(Fertiliser_SourceData.Fertiliser_Products_Data4(),FertiliserProducts[[#Headers],[Company]], 91)</f>
        <v/>
      </c>
      <c r="J199" s="215" t="str" cm="1">
        <f t="array" ref="J199">Common_InputFunctions.Utility_DisplayArrayInTable(Fertiliser_SourceData.Fertiliser_Products_Data4(),FertiliserProducts[[#Headers],[Company]], 91)</f>
        <v/>
      </c>
      <c r="K199" s="215" t="str" cm="1">
        <f t="array" ref="K199">Common_InputFunctions.Utility_DisplayArrayInTable(Fertiliser_SourceData.Fertiliser_Products_Data4(),FertiliserProducts[[#Headers],[Company]], 91)</f>
        <v/>
      </c>
      <c r="L199" s="215" cm="1">
        <f t="array" ref="L199">Common_InputFunctions.Utility_DisplayArrayInTable(Fertiliser_SourceData.Fertiliser_Products_Data4(),FertiliserProducts[[#Headers],[Company]], 91)</f>
        <v>15.7</v>
      </c>
      <c r="M199" s="215" t="str" cm="1">
        <f t="array" ref="M199">Common_InputFunctions.Utility_DisplayArrayInTable(Fertiliser_SourceData.Fertiliser_Products_Data4(),FertiliserProducts[[#Headers],[Company]], 91)</f>
        <v/>
      </c>
      <c r="N199" s="215" cm="1">
        <f t="array" ref="N199">Common_InputFunctions.Utility_DisplayArrayInTable(Fertiliser_SourceData.Fertiliser_Products_Data4(),FertiliserProducts[[#Headers],[Company]], 91)</f>
        <v>4.5999999999999996</v>
      </c>
      <c r="O199" s="215" t="str" cm="1">
        <f t="array" ref="O199">Common_InputFunctions.Utility_DisplayArrayInTable(Fertiliser_SourceData.Fertiliser_Products_Data4(),FertiliserProducts[[#Headers],[Company]], 91)</f>
        <v>Phosphorus - Generic</v>
      </c>
      <c r="P199" s="215" cm="1">
        <f t="array" ref="P199">Common_InputFunctions.Utility_DisplayArrayInTable(Fertiliser_SourceData.Fertiliser_Products_Data4(),FertiliserProducts[[#Headers],[Company]], 91)</f>
        <v>0.157</v>
      </c>
      <c r="Q199" s="215" t="str" cm="1">
        <f t="array" ref="Q199">Common_InputFunctions.Utility_DisplayArrayInTable(Fertiliser_SourceData.Fertiliser_Products_Data4(),FertiliserProducts[[#Headers],[Company]], 91)</f>
        <v>Sulfur - Generic</v>
      </c>
      <c r="R199" s="215" cm="1">
        <f t="array" ref="R199">Common_InputFunctions.Utility_DisplayArrayInTable(Fertiliser_SourceData.Fertiliser_Products_Data4(),FertiliserProducts[[#Headers],[Company]], 91)</f>
        <v>4.5999999999999999E-2</v>
      </c>
      <c r="S199" s="215" t="str" cm="1">
        <f t="array" ref="S199">Common_InputFunctions.Utility_DisplayArrayInTable(Fertiliser_SourceData.Fertiliser_Products_Data4(),FertiliserProducts[[#Headers],[Company]], 91)</f>
        <v>Calcium</v>
      </c>
      <c r="T199" s="215" cm="1">
        <f t="array" ref="T199">Common_InputFunctions.Utility_DisplayArrayInTable(Fertiliser_SourceData.Fertiliser_Products_Data4(),FertiliserProducts[[#Headers],[Company]], 91)</f>
        <v>0.14000000000000001</v>
      </c>
      <c r="U199" s="215" t="str" cm="1">
        <f t="array" ref="U199">Common_InputFunctions.Utility_DisplayArrayInTable(Fertiliser_SourceData.Fertiliser_Products_Data4(),FertiliserProducts[[#Headers],[Company]], 91)</f>
        <v/>
      </c>
      <c r="V199" s="215" t="str" cm="1">
        <f t="array" ref="V199">Common_InputFunctions.Utility_DisplayArrayInTable(Fertiliser_SourceData.Fertiliser_Products_Data4(),FertiliserProducts[[#Headers],[Company]], 91)</f>
        <v/>
      </c>
      <c r="W199" s="215" t="str" cm="1">
        <f t="array" ref="W199">Common_InputFunctions.Utility_DisplayArrayInTable(Fertiliser_SourceData.Fertiliser_Products_Data4(),FertiliserProducts[[#Headers],[Company]], 91)</f>
        <v/>
      </c>
      <c r="X199" s="215" t="str" cm="1">
        <f t="array" ref="X199">Common_InputFunctions.Utility_DisplayArrayInTable(Fertiliser_SourceData.Fertiliser_Products_Data4(),FertiliserProducts[[#Headers],[Company]], 91)</f>
        <v/>
      </c>
      <c r="Y199" s="215" t="str" cm="1">
        <f t="array" ref="Y199">Common_InputFunctions.Utility_DisplayArrayInTable(Fertiliser_SourceData.Fertiliser_Products_Data4(),FertiliserProducts[[#Headers],[Company]], 91)</f>
        <v/>
      </c>
      <c r="Z199" s="215" t="str" cm="1">
        <f t="array" ref="Z199">Common_InputFunctions.Utility_DisplayArrayInTable(Fertiliser_SourceData.Fertiliser_Products_Data4(),FertiliserProducts[[#Headers],[Company]], 91)</f>
        <v/>
      </c>
      <c r="AA199" s="215" t="str" cm="1">
        <f t="array" ref="AA199">Common_InputFunctions.Utility_DisplayArrayInTable(Fertiliser_SourceData.Fertiliser_Products_Data4(),FertiliserProducts[[#Headers],[Company]], 91)</f>
        <v/>
      </c>
      <c r="AB199" s="215" t="str" cm="1">
        <f t="array" ref="AB199">Common_InputFunctions.Utility_DisplayArrayInTable(Fertiliser_SourceData.Fertiliser_Products_Data4(),FertiliserProducts[[#Headers],[Company]], 91)</f>
        <v/>
      </c>
      <c r="AC199" s="215" t="str" cm="1">
        <f t="array" ref="AC199">Common_InputFunctions.Utility_DisplayArrayInTable(Fertiliser_SourceData.Fertiliser_Products_Data4(),FertiliserProducts[[#Headers],[Company]], 91)</f>
        <v/>
      </c>
      <c r="AD199" s="215" t="str" cm="1">
        <f t="array" ref="AD199">Common_InputFunctions.Utility_DisplayArrayInTable(Fertiliser_SourceData.Fertiliser_Products_Data4(),FertiliserProducts[[#Headers],[Company]], 91)</f>
        <v/>
      </c>
      <c r="AE199" s="215" t="str" cm="1">
        <f t="array" ref="AE199">Common_InputFunctions.Utility_DisplayArrayInTable(Fertiliser_SourceData.Fertiliser_Products_Data4(),FertiliserProducts[[#Headers],[Company]], 91)</f>
        <v/>
      </c>
      <c r="AF199" s="215" t="str" cm="1">
        <f t="array" ref="AF199">Common_InputFunctions.Utility_DisplayArrayInTable(Fertiliser_SourceData.Fertiliser_Products_Data4(),FertiliserProducts[[#Headers],[Company]], 91)</f>
        <v/>
      </c>
      <c r="AG199" s="215" t="str" cm="1">
        <f t="array" ref="AG199">Common_InputFunctions.Utility_DisplayArrayInTable(Fertiliser_SourceData.Fertiliser_Products_Data4(),FertiliserProducts[[#Headers],[Company]], 91)</f>
        <v/>
      </c>
      <c r="AH199" s="215" t="str" cm="1">
        <f t="array" ref="AH199">Common_InputFunctions.Utility_DisplayArrayInTable(Fertiliser_SourceData.Fertiliser_Products_Data4(),FertiliserProducts[[#Headers],[Company]], 91)</f>
        <v/>
      </c>
    </row>
    <row r="200" spans="4:34" x14ac:dyDescent="0.25">
      <c r="D200" s="215" t="str" cm="1">
        <f t="array" ref="D200">Common_InputFunctions.Utility_DisplayArrayInTable(Fertiliser_SourceData.Fertiliser_Products_Data4(),FertiliserProducts[[#Headers],[Company]], 91)</f>
        <v>Wengfu Australia</v>
      </c>
      <c r="E200" s="215" t="str" cm="1">
        <f t="array" ref="E200">Common_InputFunctions.Utility_DisplayArrayInTable(Fertiliser_SourceData.Fertiliser_Products_Data4(),FertiliserProducts[[#Headers],[Company]], 91)</f>
        <v>Wengfu SuStain</v>
      </c>
      <c r="F200" s="215" t="str" cm="1">
        <f t="array" ref="F200">Common_InputFunctions.Utility_DisplayArrayInTable(Fertiliser_SourceData.Fertiliser_Products_Data4(),FertiliserProducts[[#Headers],[Company]], 91)</f>
        <v>kg</v>
      </c>
      <c r="G200" s="215" cm="1">
        <f t="array" ref="G200">Common_InputFunctions.Utility_DisplayArrayInTable(Fertiliser_SourceData.Fertiliser_Products_Data4(),FertiliserProducts[[#Headers],[Company]], 91)</f>
        <v>1</v>
      </c>
      <c r="H200" s="215" t="str" cm="1">
        <f t="array" ref="H200">Common_InputFunctions.Utility_DisplayArrayInTable(Fertiliser_SourceData.Fertiliser_Products_Data4(),FertiliserProducts[[#Headers],[Company]], 91)</f>
        <v/>
      </c>
      <c r="I200" s="215" t="str" cm="1">
        <f t="array" ref="I200">Common_InputFunctions.Utility_DisplayArrayInTable(Fertiliser_SourceData.Fertiliser_Products_Data4(),FertiliserProducts[[#Headers],[Company]], 91)</f>
        <v/>
      </c>
      <c r="J200" s="215" t="str" cm="1">
        <f t="array" ref="J200">Common_InputFunctions.Utility_DisplayArrayInTable(Fertiliser_SourceData.Fertiliser_Products_Data4(),FertiliserProducts[[#Headers],[Company]], 91)</f>
        <v/>
      </c>
      <c r="K200" s="215" t="str" cm="1">
        <f t="array" ref="K200">Common_InputFunctions.Utility_DisplayArrayInTable(Fertiliser_SourceData.Fertiliser_Products_Data4(),FertiliserProducts[[#Headers],[Company]], 91)</f>
        <v/>
      </c>
      <c r="L200" s="215" t="str" cm="1">
        <f t="array" ref="L200">Common_InputFunctions.Utility_DisplayArrayInTable(Fertiliser_SourceData.Fertiliser_Products_Data4(),FertiliserProducts[[#Headers],[Company]], 91)</f>
        <v/>
      </c>
      <c r="M200" s="215" t="str" cm="1">
        <f t="array" ref="M200">Common_InputFunctions.Utility_DisplayArrayInTable(Fertiliser_SourceData.Fertiliser_Products_Data4(),FertiliserProducts[[#Headers],[Company]], 91)</f>
        <v/>
      </c>
      <c r="N200" s="215" cm="1">
        <f t="array" ref="N200">Common_InputFunctions.Utility_DisplayArrayInTable(Fertiliser_SourceData.Fertiliser_Products_Data4(),FertiliserProducts[[#Headers],[Company]], 91)</f>
        <v>90</v>
      </c>
      <c r="O200" s="215" t="str" cm="1">
        <f t="array" ref="O200">Common_InputFunctions.Utility_DisplayArrayInTable(Fertiliser_SourceData.Fertiliser_Products_Data4(),FertiliserProducts[[#Headers],[Company]], 91)</f>
        <v>Sulfur - Generic</v>
      </c>
      <c r="P200" s="215" cm="1">
        <f t="array" ref="P200">Common_InputFunctions.Utility_DisplayArrayInTable(Fertiliser_SourceData.Fertiliser_Products_Data4(),FertiliserProducts[[#Headers],[Company]], 91)</f>
        <v>0.9</v>
      </c>
      <c r="Q200" s="215" t="str" cm="1">
        <f t="array" ref="Q200">Common_InputFunctions.Utility_DisplayArrayInTable(Fertiliser_SourceData.Fertiliser_Products_Data4(),FertiliserProducts[[#Headers],[Company]], 91)</f>
        <v/>
      </c>
      <c r="R200" s="215" t="str" cm="1">
        <f t="array" ref="R200">Common_InputFunctions.Utility_DisplayArrayInTable(Fertiliser_SourceData.Fertiliser_Products_Data4(),FertiliserProducts[[#Headers],[Company]], 91)</f>
        <v/>
      </c>
      <c r="S200" s="215" t="str" cm="1">
        <f t="array" ref="S200">Common_InputFunctions.Utility_DisplayArrayInTable(Fertiliser_SourceData.Fertiliser_Products_Data4(),FertiliserProducts[[#Headers],[Company]], 91)</f>
        <v/>
      </c>
      <c r="T200" s="215" t="str" cm="1">
        <f t="array" ref="T200">Common_InputFunctions.Utility_DisplayArrayInTable(Fertiliser_SourceData.Fertiliser_Products_Data4(),FertiliserProducts[[#Headers],[Company]], 91)</f>
        <v/>
      </c>
      <c r="U200" s="215" t="str" cm="1">
        <f t="array" ref="U200">Common_InputFunctions.Utility_DisplayArrayInTable(Fertiliser_SourceData.Fertiliser_Products_Data4(),FertiliserProducts[[#Headers],[Company]], 91)</f>
        <v/>
      </c>
      <c r="V200" s="215" t="str" cm="1">
        <f t="array" ref="V200">Common_InputFunctions.Utility_DisplayArrayInTable(Fertiliser_SourceData.Fertiliser_Products_Data4(),FertiliserProducts[[#Headers],[Company]], 91)</f>
        <v/>
      </c>
      <c r="W200" s="215" t="str" cm="1">
        <f t="array" ref="W200">Common_InputFunctions.Utility_DisplayArrayInTable(Fertiliser_SourceData.Fertiliser_Products_Data4(),FertiliserProducts[[#Headers],[Company]], 91)</f>
        <v/>
      </c>
      <c r="X200" s="215" t="str" cm="1">
        <f t="array" ref="X200">Common_InputFunctions.Utility_DisplayArrayInTable(Fertiliser_SourceData.Fertiliser_Products_Data4(),FertiliserProducts[[#Headers],[Company]], 91)</f>
        <v/>
      </c>
      <c r="Y200" s="215" t="str" cm="1">
        <f t="array" ref="Y200">Common_InputFunctions.Utility_DisplayArrayInTable(Fertiliser_SourceData.Fertiliser_Products_Data4(),FertiliserProducts[[#Headers],[Company]], 91)</f>
        <v/>
      </c>
      <c r="Z200" s="215" t="str" cm="1">
        <f t="array" ref="Z200">Common_InputFunctions.Utility_DisplayArrayInTable(Fertiliser_SourceData.Fertiliser_Products_Data4(),FertiliserProducts[[#Headers],[Company]], 91)</f>
        <v/>
      </c>
      <c r="AA200" s="215" t="str" cm="1">
        <f t="array" ref="AA200">Common_InputFunctions.Utility_DisplayArrayInTable(Fertiliser_SourceData.Fertiliser_Products_Data4(),FertiliserProducts[[#Headers],[Company]], 91)</f>
        <v/>
      </c>
      <c r="AB200" s="215" t="str" cm="1">
        <f t="array" ref="AB200">Common_InputFunctions.Utility_DisplayArrayInTable(Fertiliser_SourceData.Fertiliser_Products_Data4(),FertiliserProducts[[#Headers],[Company]], 91)</f>
        <v/>
      </c>
      <c r="AC200" s="215" t="str" cm="1">
        <f t="array" ref="AC200">Common_InputFunctions.Utility_DisplayArrayInTable(Fertiliser_SourceData.Fertiliser_Products_Data4(),FertiliserProducts[[#Headers],[Company]], 91)</f>
        <v/>
      </c>
      <c r="AD200" s="215" t="str" cm="1">
        <f t="array" ref="AD200">Common_InputFunctions.Utility_DisplayArrayInTable(Fertiliser_SourceData.Fertiliser_Products_Data4(),FertiliserProducts[[#Headers],[Company]], 91)</f>
        <v/>
      </c>
      <c r="AE200" s="215" t="str" cm="1">
        <f t="array" ref="AE200">Common_InputFunctions.Utility_DisplayArrayInTable(Fertiliser_SourceData.Fertiliser_Products_Data4(),FertiliserProducts[[#Headers],[Company]], 91)</f>
        <v/>
      </c>
      <c r="AF200" s="215" t="str" cm="1">
        <f t="array" ref="AF200">Common_InputFunctions.Utility_DisplayArrayInTable(Fertiliser_SourceData.Fertiliser_Products_Data4(),FertiliserProducts[[#Headers],[Company]], 91)</f>
        <v/>
      </c>
      <c r="AG200" s="215" t="str" cm="1">
        <f t="array" ref="AG200">Common_InputFunctions.Utility_DisplayArrayInTable(Fertiliser_SourceData.Fertiliser_Products_Data4(),FertiliserProducts[[#Headers],[Company]], 91)</f>
        <v/>
      </c>
      <c r="AH200" s="215" t="str" cm="1">
        <f t="array" ref="AH200">Common_InputFunctions.Utility_DisplayArrayInTable(Fertiliser_SourceData.Fertiliser_Products_Data4(),FertiliserProducts[[#Headers],[Company]], 91)</f>
        <v/>
      </c>
    </row>
    <row r="201" spans="4:34" x14ac:dyDescent="0.25">
      <c r="D201" s="215" t="str" cm="1">
        <f t="array" ref="D201">Common_InputFunctions.Utility_DisplayArrayInTable(Fertiliser_SourceData.Fertiliser_Products_Data4(),FertiliserProducts[[#Headers],[Company]], 91)</f>
        <v>Wengfu Australia</v>
      </c>
      <c r="E201" s="215" t="str" cm="1">
        <f t="array" ref="E201">Common_InputFunctions.Utility_DisplayArrayInTable(Fertiliser_SourceData.Fertiliser_Products_Data4(),FertiliserProducts[[#Headers],[Company]], 91)</f>
        <v>Wengfu Slam</v>
      </c>
      <c r="F201" s="215" t="str" cm="1">
        <f t="array" ref="F201">Common_InputFunctions.Utility_DisplayArrayInTable(Fertiliser_SourceData.Fertiliser_Products_Data4(),FertiliserProducts[[#Headers],[Company]], 91)</f>
        <v>kg</v>
      </c>
      <c r="G201" s="215" cm="1">
        <f t="array" ref="G201">Common_InputFunctions.Utility_DisplayArrayInTable(Fertiliser_SourceData.Fertiliser_Products_Data4(),FertiliserProducts[[#Headers],[Company]], 91)</f>
        <v>1</v>
      </c>
      <c r="H201" s="215" t="str" cm="1">
        <f t="array" ref="H201">Common_InputFunctions.Utility_DisplayArrayInTable(Fertiliser_SourceData.Fertiliser_Products_Data4(),FertiliserProducts[[#Headers],[Company]], 91)</f>
        <v/>
      </c>
      <c r="I201" s="215" t="str" cm="1">
        <f t="array" ref="I201">Common_InputFunctions.Utility_DisplayArrayInTable(Fertiliser_SourceData.Fertiliser_Products_Data4(),FertiliserProducts[[#Headers],[Company]], 91)</f>
        <v/>
      </c>
      <c r="J201" s="215" t="str" cm="1">
        <f t="array" ref="J201">Common_InputFunctions.Utility_DisplayArrayInTable(Fertiliser_SourceData.Fertiliser_Products_Data4(),FertiliserProducts[[#Headers],[Company]], 91)</f>
        <v/>
      </c>
      <c r="K201" s="215" cm="1">
        <f t="array" ref="K201">Common_InputFunctions.Utility_DisplayArrayInTable(Fertiliser_SourceData.Fertiliser_Products_Data4(),FertiliserProducts[[#Headers],[Company]], 91)</f>
        <v>19.5</v>
      </c>
      <c r="L201" s="215" cm="1">
        <f t="array" ref="L201">Common_InputFunctions.Utility_DisplayArrayInTable(Fertiliser_SourceData.Fertiliser_Products_Data4(),FertiliserProducts[[#Headers],[Company]], 91)</f>
        <v>0.7</v>
      </c>
      <c r="M201" s="215" t="str" cm="1">
        <f t="array" ref="M201">Common_InputFunctions.Utility_DisplayArrayInTable(Fertiliser_SourceData.Fertiliser_Products_Data4(),FertiliserProducts[[#Headers],[Company]], 91)</f>
        <v/>
      </c>
      <c r="N201" s="215" cm="1">
        <f t="array" ref="N201">Common_InputFunctions.Utility_DisplayArrayInTable(Fertiliser_SourceData.Fertiliser_Products_Data4(),FertiliserProducts[[#Headers],[Company]], 91)</f>
        <v>23</v>
      </c>
      <c r="O201" s="215" t="str" cm="1">
        <f t="array" ref="O201">Common_InputFunctions.Utility_DisplayArrayInTable(Fertiliser_SourceData.Fertiliser_Products_Data4(),FertiliserProducts[[#Headers],[Company]], 91)</f>
        <v>Nitrogen - Generic</v>
      </c>
      <c r="P201" s="215" cm="1">
        <f t="array" ref="P201">Common_InputFunctions.Utility_DisplayArrayInTable(Fertiliser_SourceData.Fertiliser_Products_Data4(),FertiliserProducts[[#Headers],[Company]], 91)</f>
        <v>0.19500000000000001</v>
      </c>
      <c r="Q201" s="215" t="str" cm="1">
        <f t="array" ref="Q201">Common_InputFunctions.Utility_DisplayArrayInTable(Fertiliser_SourceData.Fertiliser_Products_Data4(),FertiliserProducts[[#Headers],[Company]], 91)</f>
        <v>Phosphorus - Generic</v>
      </c>
      <c r="R201" s="215" cm="1">
        <f t="array" ref="R201">Common_InputFunctions.Utility_DisplayArrayInTable(Fertiliser_SourceData.Fertiliser_Products_Data4(),FertiliserProducts[[#Headers],[Company]], 91)</f>
        <v>7.0000000000000001E-3</v>
      </c>
      <c r="S201" s="215" t="str" cm="1">
        <f t="array" ref="S201">Common_InputFunctions.Utility_DisplayArrayInTable(Fertiliser_SourceData.Fertiliser_Products_Data4(),FertiliserProducts[[#Headers],[Company]], 91)</f>
        <v>Sulfur - Generic</v>
      </c>
      <c r="T201" s="215" cm="1">
        <f t="array" ref="T201">Common_InputFunctions.Utility_DisplayArrayInTable(Fertiliser_SourceData.Fertiliser_Products_Data4(),FertiliserProducts[[#Headers],[Company]], 91)</f>
        <v>0.23</v>
      </c>
      <c r="U201" s="215" t="str" cm="1">
        <f t="array" ref="U201">Common_InputFunctions.Utility_DisplayArrayInTable(Fertiliser_SourceData.Fertiliser_Products_Data4(),FertiliserProducts[[#Headers],[Company]], 91)</f>
        <v/>
      </c>
      <c r="V201" s="215" t="str" cm="1">
        <f t="array" ref="V201">Common_InputFunctions.Utility_DisplayArrayInTable(Fertiliser_SourceData.Fertiliser_Products_Data4(),FertiliserProducts[[#Headers],[Company]], 91)</f>
        <v/>
      </c>
      <c r="W201" s="215" t="str" cm="1">
        <f t="array" ref="W201">Common_InputFunctions.Utility_DisplayArrayInTable(Fertiliser_SourceData.Fertiliser_Products_Data4(),FertiliserProducts[[#Headers],[Company]], 91)</f>
        <v/>
      </c>
      <c r="X201" s="215" t="str" cm="1">
        <f t="array" ref="X201">Common_InputFunctions.Utility_DisplayArrayInTable(Fertiliser_SourceData.Fertiliser_Products_Data4(),FertiliserProducts[[#Headers],[Company]], 91)</f>
        <v/>
      </c>
      <c r="Y201" s="215" t="str" cm="1">
        <f t="array" ref="Y201">Common_InputFunctions.Utility_DisplayArrayInTable(Fertiliser_SourceData.Fertiliser_Products_Data4(),FertiliserProducts[[#Headers],[Company]], 91)</f>
        <v/>
      </c>
      <c r="Z201" s="215" t="str" cm="1">
        <f t="array" ref="Z201">Common_InputFunctions.Utility_DisplayArrayInTable(Fertiliser_SourceData.Fertiliser_Products_Data4(),FertiliserProducts[[#Headers],[Company]], 91)</f>
        <v/>
      </c>
      <c r="AA201" s="215" t="str" cm="1">
        <f t="array" ref="AA201">Common_InputFunctions.Utility_DisplayArrayInTable(Fertiliser_SourceData.Fertiliser_Products_Data4(),FertiliserProducts[[#Headers],[Company]], 91)</f>
        <v/>
      </c>
      <c r="AB201" s="215" t="str" cm="1">
        <f t="array" ref="AB201">Common_InputFunctions.Utility_DisplayArrayInTable(Fertiliser_SourceData.Fertiliser_Products_Data4(),FertiliserProducts[[#Headers],[Company]], 91)</f>
        <v/>
      </c>
      <c r="AC201" s="215" t="str" cm="1">
        <f t="array" ref="AC201">Common_InputFunctions.Utility_DisplayArrayInTable(Fertiliser_SourceData.Fertiliser_Products_Data4(),FertiliserProducts[[#Headers],[Company]], 91)</f>
        <v/>
      </c>
      <c r="AD201" s="215" t="str" cm="1">
        <f t="array" ref="AD201">Common_InputFunctions.Utility_DisplayArrayInTable(Fertiliser_SourceData.Fertiliser_Products_Data4(),FertiliserProducts[[#Headers],[Company]], 91)</f>
        <v/>
      </c>
      <c r="AE201" s="215" t="str" cm="1">
        <f t="array" ref="AE201">Common_InputFunctions.Utility_DisplayArrayInTable(Fertiliser_SourceData.Fertiliser_Products_Data4(),FertiliserProducts[[#Headers],[Company]], 91)</f>
        <v/>
      </c>
      <c r="AF201" s="215" t="str" cm="1">
        <f t="array" ref="AF201">Common_InputFunctions.Utility_DisplayArrayInTable(Fertiliser_SourceData.Fertiliser_Products_Data4(),FertiliserProducts[[#Headers],[Company]], 91)</f>
        <v/>
      </c>
      <c r="AG201" s="215" t="str" cm="1">
        <f t="array" ref="AG201">Common_InputFunctions.Utility_DisplayArrayInTable(Fertiliser_SourceData.Fertiliser_Products_Data4(),FertiliserProducts[[#Headers],[Company]], 91)</f>
        <v/>
      </c>
      <c r="AH201" s="215" t="str" cm="1">
        <f t="array" ref="AH201">Common_InputFunctions.Utility_DisplayArrayInTable(Fertiliser_SourceData.Fertiliser_Products_Data4(),FertiliserProducts[[#Headers],[Company]], 91)</f>
        <v/>
      </c>
    </row>
    <row r="202" spans="4:34" x14ac:dyDescent="0.25">
      <c r="D202" s="215" t="str" cm="1">
        <f t="array" ref="D202">Common_InputFunctions.Utility_DisplayArrayInTable(Fertiliser_SourceData.Fertiliser_Products_Data4(),FertiliserProducts[[#Headers],[Company]], 91)</f>
        <v>Wengfu Australia</v>
      </c>
      <c r="E202" s="215" t="str" cm="1">
        <f t="array" ref="E202">Common_InputFunctions.Utility_DisplayArrayInTable(Fertiliser_SourceData.Fertiliser_Products_Data4(),FertiliserProducts[[#Headers],[Company]], 91)</f>
        <v>Wengfu Prime MSZ</v>
      </c>
      <c r="F202" s="215" t="str" cm="1">
        <f t="array" ref="F202">Common_InputFunctions.Utility_DisplayArrayInTable(Fertiliser_SourceData.Fertiliser_Products_Data4(),FertiliserProducts[[#Headers],[Company]], 91)</f>
        <v>kg</v>
      </c>
      <c r="G202" s="215" cm="1">
        <f t="array" ref="G202">Common_InputFunctions.Utility_DisplayArrayInTable(Fertiliser_SourceData.Fertiliser_Products_Data4(),FertiliserProducts[[#Headers],[Company]], 91)</f>
        <v>1</v>
      </c>
      <c r="H202" s="215" t="str" cm="1">
        <f t="array" ref="H202">Common_InputFunctions.Utility_DisplayArrayInTable(Fertiliser_SourceData.Fertiliser_Products_Data4(),FertiliserProducts[[#Headers],[Company]], 91)</f>
        <v/>
      </c>
      <c r="I202" s="215" t="str" cm="1">
        <f t="array" ref="I202">Common_InputFunctions.Utility_DisplayArrayInTable(Fertiliser_SourceData.Fertiliser_Products_Data4(),FertiliserProducts[[#Headers],[Company]], 91)</f>
        <v/>
      </c>
      <c r="J202" s="215" t="str" cm="1">
        <f t="array" ref="J202">Common_InputFunctions.Utility_DisplayArrayInTable(Fertiliser_SourceData.Fertiliser_Products_Data4(),FertiliserProducts[[#Headers],[Company]], 91)</f>
        <v/>
      </c>
      <c r="K202" s="215" cm="1">
        <f t="array" ref="K202">Common_InputFunctions.Utility_DisplayArrayInTable(Fertiliser_SourceData.Fertiliser_Products_Data4(),FertiliserProducts[[#Headers],[Company]], 91)</f>
        <v>10</v>
      </c>
      <c r="L202" s="215" cm="1">
        <f t="array" ref="L202">Common_InputFunctions.Utility_DisplayArrayInTable(Fertiliser_SourceData.Fertiliser_Products_Data4(),FertiliserProducts[[#Headers],[Company]], 91)</f>
        <v>18</v>
      </c>
      <c r="M202" s="215" t="str" cm="1">
        <f t="array" ref="M202">Common_InputFunctions.Utility_DisplayArrayInTable(Fertiliser_SourceData.Fertiliser_Products_Data4(),FertiliserProducts[[#Headers],[Company]], 91)</f>
        <v/>
      </c>
      <c r="N202" s="215" cm="1">
        <f t="array" ref="N202">Common_InputFunctions.Utility_DisplayArrayInTable(Fertiliser_SourceData.Fertiliser_Products_Data4(),FertiliserProducts[[#Headers],[Company]], 91)</f>
        <v>8</v>
      </c>
      <c r="O202" s="215" t="str" cm="1">
        <f t="array" ref="O202">Common_InputFunctions.Utility_DisplayArrayInTable(Fertiliser_SourceData.Fertiliser_Products_Data4(),FertiliserProducts[[#Headers],[Company]], 91)</f>
        <v>Nitrogen - Generic</v>
      </c>
      <c r="P202" s="215" cm="1">
        <f t="array" ref="P202">Common_InputFunctions.Utility_DisplayArrayInTable(Fertiliser_SourceData.Fertiliser_Products_Data4(),FertiliserProducts[[#Headers],[Company]], 91)</f>
        <v>0.1</v>
      </c>
      <c r="Q202" s="215" t="str" cm="1">
        <f t="array" ref="Q202">Common_InputFunctions.Utility_DisplayArrayInTable(Fertiliser_SourceData.Fertiliser_Products_Data4(),FertiliserProducts[[#Headers],[Company]], 91)</f>
        <v>Phosphorus - Generic</v>
      </c>
      <c r="R202" s="215" cm="1">
        <f t="array" ref="R202">Common_InputFunctions.Utility_DisplayArrayInTable(Fertiliser_SourceData.Fertiliser_Products_Data4(),FertiliserProducts[[#Headers],[Company]], 91)</f>
        <v>0.18</v>
      </c>
      <c r="S202" s="215" t="str" cm="1">
        <f t="array" ref="S202">Common_InputFunctions.Utility_DisplayArrayInTable(Fertiliser_SourceData.Fertiliser_Products_Data4(),FertiliserProducts[[#Headers],[Company]], 91)</f>
        <v>Sulfur - Generic</v>
      </c>
      <c r="T202" s="215" cm="1">
        <f t="array" ref="T202">Common_InputFunctions.Utility_DisplayArrayInTable(Fertiliser_SourceData.Fertiliser_Products_Data4(),FertiliserProducts[[#Headers],[Company]], 91)</f>
        <v>0.08</v>
      </c>
      <c r="U202" s="215" t="str" cm="1">
        <f t="array" ref="U202">Common_InputFunctions.Utility_DisplayArrayInTable(Fertiliser_SourceData.Fertiliser_Products_Data4(),FertiliserProducts[[#Headers],[Company]], 91)</f>
        <v>Zinc</v>
      </c>
      <c r="V202" s="215" cm="1">
        <f t="array" ref="V202">Common_InputFunctions.Utility_DisplayArrayInTable(Fertiliser_SourceData.Fertiliser_Products_Data4(),FertiliserProducts[[#Headers],[Company]], 91)</f>
        <v>5.0000000000000001E-3</v>
      </c>
      <c r="W202" s="215" t="str" cm="1">
        <f t="array" ref="W202">Common_InputFunctions.Utility_DisplayArrayInTable(Fertiliser_SourceData.Fertiliser_Products_Data4(),FertiliserProducts[[#Headers],[Company]], 91)</f>
        <v/>
      </c>
      <c r="X202" s="215" t="str" cm="1">
        <f t="array" ref="X202">Common_InputFunctions.Utility_DisplayArrayInTable(Fertiliser_SourceData.Fertiliser_Products_Data4(),FertiliserProducts[[#Headers],[Company]], 91)</f>
        <v/>
      </c>
      <c r="Y202" s="215" t="str" cm="1">
        <f t="array" ref="Y202">Common_InputFunctions.Utility_DisplayArrayInTable(Fertiliser_SourceData.Fertiliser_Products_Data4(),FertiliserProducts[[#Headers],[Company]], 91)</f>
        <v/>
      </c>
      <c r="Z202" s="215" t="str" cm="1">
        <f t="array" ref="Z202">Common_InputFunctions.Utility_DisplayArrayInTable(Fertiliser_SourceData.Fertiliser_Products_Data4(),FertiliserProducts[[#Headers],[Company]], 91)</f>
        <v/>
      </c>
      <c r="AA202" s="215" t="str" cm="1">
        <f t="array" ref="AA202">Common_InputFunctions.Utility_DisplayArrayInTable(Fertiliser_SourceData.Fertiliser_Products_Data4(),FertiliserProducts[[#Headers],[Company]], 91)</f>
        <v/>
      </c>
      <c r="AB202" s="215" t="str" cm="1">
        <f t="array" ref="AB202">Common_InputFunctions.Utility_DisplayArrayInTable(Fertiliser_SourceData.Fertiliser_Products_Data4(),FertiliserProducts[[#Headers],[Company]], 91)</f>
        <v/>
      </c>
      <c r="AC202" s="215" t="str" cm="1">
        <f t="array" ref="AC202">Common_InputFunctions.Utility_DisplayArrayInTable(Fertiliser_SourceData.Fertiliser_Products_Data4(),FertiliserProducts[[#Headers],[Company]], 91)</f>
        <v/>
      </c>
      <c r="AD202" s="215" t="str" cm="1">
        <f t="array" ref="AD202">Common_InputFunctions.Utility_DisplayArrayInTable(Fertiliser_SourceData.Fertiliser_Products_Data4(),FertiliserProducts[[#Headers],[Company]], 91)</f>
        <v/>
      </c>
      <c r="AE202" s="215" t="str" cm="1">
        <f t="array" ref="AE202">Common_InputFunctions.Utility_DisplayArrayInTable(Fertiliser_SourceData.Fertiliser_Products_Data4(),FertiliserProducts[[#Headers],[Company]], 91)</f>
        <v/>
      </c>
      <c r="AF202" s="215" t="str" cm="1">
        <f t="array" ref="AF202">Common_InputFunctions.Utility_DisplayArrayInTable(Fertiliser_SourceData.Fertiliser_Products_Data4(),FertiliserProducts[[#Headers],[Company]], 91)</f>
        <v/>
      </c>
      <c r="AG202" s="215" t="str" cm="1">
        <f t="array" ref="AG202">Common_InputFunctions.Utility_DisplayArrayInTable(Fertiliser_SourceData.Fertiliser_Products_Data4(),FertiliserProducts[[#Headers],[Company]], 91)</f>
        <v/>
      </c>
      <c r="AH202" s="215" t="str" cm="1">
        <f t="array" ref="AH202">Common_InputFunctions.Utility_DisplayArrayInTable(Fertiliser_SourceData.Fertiliser_Products_Data4(),FertiliserProducts[[#Headers],[Company]], 91)</f>
        <v/>
      </c>
    </row>
    <row r="203" spans="4:34" x14ac:dyDescent="0.25">
      <c r="D203" s="215" t="str" cm="1">
        <f t="array" ref="D203">Common_InputFunctions.Utility_DisplayArrayInTable(Fertiliser_SourceData.Fertiliser_Products_Data4(),FertiliserProducts[[#Headers],[Company]], 91)</f>
        <v>Wengfu Australia</v>
      </c>
      <c r="E203" s="215" t="str" cm="1">
        <f t="array" ref="E203">Common_InputFunctions.Utility_DisplayArrayInTable(Fertiliser_SourceData.Fertiliser_Products_Data4(),FertiliserProducts[[#Headers],[Company]], 91)</f>
        <v>Wengfu 9-20-0-10 MAP SuStain</v>
      </c>
      <c r="F203" s="215" t="str" cm="1">
        <f t="array" ref="F203">Common_InputFunctions.Utility_DisplayArrayInTable(Fertiliser_SourceData.Fertiliser_Products_Data4(),FertiliserProducts[[#Headers],[Company]], 91)</f>
        <v>kg</v>
      </c>
      <c r="G203" s="215" cm="1">
        <f t="array" ref="G203">Common_InputFunctions.Utility_DisplayArrayInTable(Fertiliser_SourceData.Fertiliser_Products_Data4(),FertiliserProducts[[#Headers],[Company]], 91)</f>
        <v>1</v>
      </c>
      <c r="H203" s="215" t="str" cm="1">
        <f t="array" ref="H203">Common_InputFunctions.Utility_DisplayArrayInTable(Fertiliser_SourceData.Fertiliser_Products_Data4(),FertiliserProducts[[#Headers],[Company]], 91)</f>
        <v/>
      </c>
      <c r="I203" s="215" t="str" cm="1">
        <f t="array" ref="I203">Common_InputFunctions.Utility_DisplayArrayInTable(Fertiliser_SourceData.Fertiliser_Products_Data4(),FertiliserProducts[[#Headers],[Company]], 91)</f>
        <v/>
      </c>
      <c r="J203" s="215" t="str" cm="1">
        <f t="array" ref="J203">Common_InputFunctions.Utility_DisplayArrayInTable(Fertiliser_SourceData.Fertiliser_Products_Data4(),FertiliserProducts[[#Headers],[Company]], 91)</f>
        <v/>
      </c>
      <c r="K203" s="215" cm="1">
        <f t="array" ref="K203">Common_InputFunctions.Utility_DisplayArrayInTable(Fertiliser_SourceData.Fertiliser_Products_Data4(),FertiliserProducts[[#Headers],[Company]], 91)</f>
        <v>9</v>
      </c>
      <c r="L203" s="215" cm="1">
        <f t="array" ref="L203">Common_InputFunctions.Utility_DisplayArrayInTable(Fertiliser_SourceData.Fertiliser_Products_Data4(),FertiliserProducts[[#Headers],[Company]], 91)</f>
        <v>19.8</v>
      </c>
      <c r="M203" s="215" cm="1">
        <f t="array" ref="M203">Common_InputFunctions.Utility_DisplayArrayInTable(Fertiliser_SourceData.Fertiliser_Products_Data4(),FertiliserProducts[[#Headers],[Company]], 91)</f>
        <v>0</v>
      </c>
      <c r="N203" s="215" cm="1">
        <f t="array" ref="N203">Common_InputFunctions.Utility_DisplayArrayInTable(Fertiliser_SourceData.Fertiliser_Products_Data4(),FertiliserProducts[[#Headers],[Company]], 91)</f>
        <v>10.4</v>
      </c>
      <c r="O203" s="215" t="str" cm="1">
        <f t="array" ref="O203">Common_InputFunctions.Utility_DisplayArrayInTable(Fertiliser_SourceData.Fertiliser_Products_Data4(),FertiliserProducts[[#Headers],[Company]], 91)</f>
        <v>Nitrogen - Generic</v>
      </c>
      <c r="P203" s="215" cm="1">
        <f t="array" ref="P203">Common_InputFunctions.Utility_DisplayArrayInTable(Fertiliser_SourceData.Fertiliser_Products_Data4(),FertiliserProducts[[#Headers],[Company]], 91)</f>
        <v>0.09</v>
      </c>
      <c r="Q203" s="215" t="str" cm="1">
        <f t="array" ref="Q203">Common_InputFunctions.Utility_DisplayArrayInTable(Fertiliser_SourceData.Fertiliser_Products_Data4(),FertiliserProducts[[#Headers],[Company]], 91)</f>
        <v>Phosphorus - Generic</v>
      </c>
      <c r="R203" s="215" cm="1">
        <f t="array" ref="R203">Common_InputFunctions.Utility_DisplayArrayInTable(Fertiliser_SourceData.Fertiliser_Products_Data4(),FertiliserProducts[[#Headers],[Company]], 91)</f>
        <v>0.19800000000000001</v>
      </c>
      <c r="S203" s="215" t="str" cm="1">
        <f t="array" ref="S203">Common_InputFunctions.Utility_DisplayArrayInTable(Fertiliser_SourceData.Fertiliser_Products_Data4(),FertiliserProducts[[#Headers],[Company]], 91)</f>
        <v>Sulfur - Generic</v>
      </c>
      <c r="T203" s="215" cm="1">
        <f t="array" ref="T203">Common_InputFunctions.Utility_DisplayArrayInTable(Fertiliser_SourceData.Fertiliser_Products_Data4(),FertiliserProducts[[#Headers],[Company]], 91)</f>
        <v>0.104</v>
      </c>
      <c r="U203" s="215" t="str" cm="1">
        <f t="array" ref="U203">Common_InputFunctions.Utility_DisplayArrayInTable(Fertiliser_SourceData.Fertiliser_Products_Data4(),FertiliserProducts[[#Headers],[Company]], 91)</f>
        <v/>
      </c>
      <c r="V203" s="215" t="str" cm="1">
        <f t="array" ref="V203">Common_InputFunctions.Utility_DisplayArrayInTable(Fertiliser_SourceData.Fertiliser_Products_Data4(),FertiliserProducts[[#Headers],[Company]], 91)</f>
        <v/>
      </c>
      <c r="W203" s="215" t="str" cm="1">
        <f t="array" ref="W203">Common_InputFunctions.Utility_DisplayArrayInTable(Fertiliser_SourceData.Fertiliser_Products_Data4(),FertiliserProducts[[#Headers],[Company]], 91)</f>
        <v/>
      </c>
      <c r="X203" s="215" t="str" cm="1">
        <f t="array" ref="X203">Common_InputFunctions.Utility_DisplayArrayInTable(Fertiliser_SourceData.Fertiliser_Products_Data4(),FertiliserProducts[[#Headers],[Company]], 91)</f>
        <v/>
      </c>
      <c r="Y203" s="215" t="str" cm="1">
        <f t="array" ref="Y203">Common_InputFunctions.Utility_DisplayArrayInTable(Fertiliser_SourceData.Fertiliser_Products_Data4(),FertiliserProducts[[#Headers],[Company]], 91)</f>
        <v/>
      </c>
      <c r="Z203" s="215" t="str" cm="1">
        <f t="array" ref="Z203">Common_InputFunctions.Utility_DisplayArrayInTable(Fertiliser_SourceData.Fertiliser_Products_Data4(),FertiliserProducts[[#Headers],[Company]], 91)</f>
        <v/>
      </c>
      <c r="AA203" s="215" t="str" cm="1">
        <f t="array" ref="AA203">Common_InputFunctions.Utility_DisplayArrayInTable(Fertiliser_SourceData.Fertiliser_Products_Data4(),FertiliserProducts[[#Headers],[Company]], 91)</f>
        <v/>
      </c>
      <c r="AB203" s="215" t="str" cm="1">
        <f t="array" ref="AB203">Common_InputFunctions.Utility_DisplayArrayInTable(Fertiliser_SourceData.Fertiliser_Products_Data4(),FertiliserProducts[[#Headers],[Company]], 91)</f>
        <v/>
      </c>
      <c r="AC203" s="215" t="str" cm="1">
        <f t="array" ref="AC203">Common_InputFunctions.Utility_DisplayArrayInTable(Fertiliser_SourceData.Fertiliser_Products_Data4(),FertiliserProducts[[#Headers],[Company]], 91)</f>
        <v/>
      </c>
      <c r="AD203" s="215" t="str" cm="1">
        <f t="array" ref="AD203">Common_InputFunctions.Utility_DisplayArrayInTable(Fertiliser_SourceData.Fertiliser_Products_Data4(),FertiliserProducts[[#Headers],[Company]], 91)</f>
        <v/>
      </c>
      <c r="AE203" s="215" t="str" cm="1">
        <f t="array" ref="AE203">Common_InputFunctions.Utility_DisplayArrayInTable(Fertiliser_SourceData.Fertiliser_Products_Data4(),FertiliserProducts[[#Headers],[Company]], 91)</f>
        <v/>
      </c>
      <c r="AF203" s="215" t="str" cm="1">
        <f t="array" ref="AF203">Common_InputFunctions.Utility_DisplayArrayInTable(Fertiliser_SourceData.Fertiliser_Products_Data4(),FertiliserProducts[[#Headers],[Company]], 91)</f>
        <v/>
      </c>
      <c r="AG203" s="215" t="str" cm="1">
        <f t="array" ref="AG203">Common_InputFunctions.Utility_DisplayArrayInTable(Fertiliser_SourceData.Fertiliser_Products_Data4(),FertiliserProducts[[#Headers],[Company]], 91)</f>
        <v/>
      </c>
      <c r="AH203" s="215" t="str" cm="1">
        <f t="array" ref="AH203">Common_InputFunctions.Utility_DisplayArrayInTable(Fertiliser_SourceData.Fertiliser_Products_Data4(),FertiliserProducts[[#Headers],[Company]], 91)</f>
        <v/>
      </c>
    </row>
    <row r="204" spans="4:34" x14ac:dyDescent="0.25">
      <c r="D204" s="215" t="str" cm="1">
        <f t="array" ref="D204">Common_InputFunctions.Utility_DisplayArrayInTable(Fertiliser_SourceData.Fertiliser_Products_Data4(),FertiliserProducts[[#Headers],[Company]], 91)</f>
        <v>Wengfu Australia</v>
      </c>
      <c r="E204" s="215" t="str" cm="1">
        <f t="array" ref="E204">Common_InputFunctions.Utility_DisplayArrayInTable(Fertiliser_SourceData.Fertiliser_Products_Data4(),FertiliserProducts[[#Headers],[Company]], 91)</f>
        <v>Wengfu 15-17-0-15 DAP SuStain</v>
      </c>
      <c r="F204" s="215" t="str" cm="1">
        <f t="array" ref="F204">Common_InputFunctions.Utility_DisplayArrayInTable(Fertiliser_SourceData.Fertiliser_Products_Data4(),FertiliserProducts[[#Headers],[Company]], 91)</f>
        <v>kg</v>
      </c>
      <c r="G204" s="215" cm="1">
        <f t="array" ref="G204">Common_InputFunctions.Utility_DisplayArrayInTable(Fertiliser_SourceData.Fertiliser_Products_Data4(),FertiliserProducts[[#Headers],[Company]], 91)</f>
        <v>1</v>
      </c>
      <c r="H204" s="215" t="str" cm="1">
        <f t="array" ref="H204">Common_InputFunctions.Utility_DisplayArrayInTable(Fertiliser_SourceData.Fertiliser_Products_Data4(),FertiliserProducts[[#Headers],[Company]], 91)</f>
        <v/>
      </c>
      <c r="I204" s="215" t="str" cm="1">
        <f t="array" ref="I204">Common_InputFunctions.Utility_DisplayArrayInTable(Fertiliser_SourceData.Fertiliser_Products_Data4(),FertiliserProducts[[#Headers],[Company]], 91)</f>
        <v/>
      </c>
      <c r="J204" s="215" t="str" cm="1">
        <f t="array" ref="J204">Common_InputFunctions.Utility_DisplayArrayInTable(Fertiliser_SourceData.Fertiliser_Products_Data4(),FertiliserProducts[[#Headers],[Company]], 91)</f>
        <v/>
      </c>
      <c r="K204" s="215" cm="1">
        <f t="array" ref="K204">Common_InputFunctions.Utility_DisplayArrayInTable(Fertiliser_SourceData.Fertiliser_Products_Data4(),FertiliserProducts[[#Headers],[Company]], 91)</f>
        <v>15.2</v>
      </c>
      <c r="L204" s="215" cm="1">
        <f t="array" ref="L204">Common_InputFunctions.Utility_DisplayArrayInTable(Fertiliser_SourceData.Fertiliser_Products_Data4(),FertiliserProducts[[#Headers],[Company]], 91)</f>
        <v>16.899999999999999</v>
      </c>
      <c r="M204" s="215" cm="1">
        <f t="array" ref="M204">Common_InputFunctions.Utility_DisplayArrayInTable(Fertiliser_SourceData.Fertiliser_Products_Data4(),FertiliserProducts[[#Headers],[Company]], 91)</f>
        <v>0</v>
      </c>
      <c r="N204" s="215" cm="1">
        <f t="array" ref="N204">Common_InputFunctions.Utility_DisplayArrayInTable(Fertiliser_SourceData.Fertiliser_Products_Data4(),FertiliserProducts[[#Headers],[Company]], 91)</f>
        <v>15.2</v>
      </c>
      <c r="O204" s="215" t="str" cm="1">
        <f t="array" ref="O204">Common_InputFunctions.Utility_DisplayArrayInTable(Fertiliser_SourceData.Fertiliser_Products_Data4(),FertiliserProducts[[#Headers],[Company]], 91)</f>
        <v>Nitrogen - Generic</v>
      </c>
      <c r="P204" s="215" cm="1">
        <f t="array" ref="P204">Common_InputFunctions.Utility_DisplayArrayInTable(Fertiliser_SourceData.Fertiliser_Products_Data4(),FertiliserProducts[[#Headers],[Company]], 91)</f>
        <v>0.152</v>
      </c>
      <c r="Q204" s="215" t="str" cm="1">
        <f t="array" ref="Q204">Common_InputFunctions.Utility_DisplayArrayInTable(Fertiliser_SourceData.Fertiliser_Products_Data4(),FertiliserProducts[[#Headers],[Company]], 91)</f>
        <v>Phosphorus - Generic</v>
      </c>
      <c r="R204" s="215" cm="1">
        <f t="array" ref="R204">Common_InputFunctions.Utility_DisplayArrayInTable(Fertiliser_SourceData.Fertiliser_Products_Data4(),FertiliserProducts[[#Headers],[Company]], 91)</f>
        <v>0.16900000000000001</v>
      </c>
      <c r="S204" s="215" t="str" cm="1">
        <f t="array" ref="S204">Common_InputFunctions.Utility_DisplayArrayInTable(Fertiliser_SourceData.Fertiliser_Products_Data4(),FertiliserProducts[[#Headers],[Company]], 91)</f>
        <v>Sulfur - Generic</v>
      </c>
      <c r="T204" s="215" cm="1">
        <f t="array" ref="T204">Common_InputFunctions.Utility_DisplayArrayInTable(Fertiliser_SourceData.Fertiliser_Products_Data4(),FertiliserProducts[[#Headers],[Company]], 91)</f>
        <v>0.152</v>
      </c>
      <c r="U204" s="215" t="str" cm="1">
        <f t="array" ref="U204">Common_InputFunctions.Utility_DisplayArrayInTable(Fertiliser_SourceData.Fertiliser_Products_Data4(),FertiliserProducts[[#Headers],[Company]], 91)</f>
        <v/>
      </c>
      <c r="V204" s="215" t="str" cm="1">
        <f t="array" ref="V204">Common_InputFunctions.Utility_DisplayArrayInTable(Fertiliser_SourceData.Fertiliser_Products_Data4(),FertiliserProducts[[#Headers],[Company]], 91)</f>
        <v/>
      </c>
      <c r="W204" s="215" t="str" cm="1">
        <f t="array" ref="W204">Common_InputFunctions.Utility_DisplayArrayInTable(Fertiliser_SourceData.Fertiliser_Products_Data4(),FertiliserProducts[[#Headers],[Company]], 91)</f>
        <v/>
      </c>
      <c r="X204" s="215" t="str" cm="1">
        <f t="array" ref="X204">Common_InputFunctions.Utility_DisplayArrayInTable(Fertiliser_SourceData.Fertiliser_Products_Data4(),FertiliserProducts[[#Headers],[Company]], 91)</f>
        <v/>
      </c>
      <c r="Y204" s="215" t="str" cm="1">
        <f t="array" ref="Y204">Common_InputFunctions.Utility_DisplayArrayInTable(Fertiliser_SourceData.Fertiliser_Products_Data4(),FertiliserProducts[[#Headers],[Company]], 91)</f>
        <v/>
      </c>
      <c r="Z204" s="215" t="str" cm="1">
        <f t="array" ref="Z204">Common_InputFunctions.Utility_DisplayArrayInTable(Fertiliser_SourceData.Fertiliser_Products_Data4(),FertiliserProducts[[#Headers],[Company]], 91)</f>
        <v/>
      </c>
      <c r="AA204" s="215" t="str" cm="1">
        <f t="array" ref="AA204">Common_InputFunctions.Utility_DisplayArrayInTable(Fertiliser_SourceData.Fertiliser_Products_Data4(),FertiliserProducts[[#Headers],[Company]], 91)</f>
        <v/>
      </c>
      <c r="AB204" s="215" t="str" cm="1">
        <f t="array" ref="AB204">Common_InputFunctions.Utility_DisplayArrayInTable(Fertiliser_SourceData.Fertiliser_Products_Data4(),FertiliserProducts[[#Headers],[Company]], 91)</f>
        <v/>
      </c>
      <c r="AC204" s="215" t="str" cm="1">
        <f t="array" ref="AC204">Common_InputFunctions.Utility_DisplayArrayInTable(Fertiliser_SourceData.Fertiliser_Products_Data4(),FertiliserProducts[[#Headers],[Company]], 91)</f>
        <v/>
      </c>
      <c r="AD204" s="215" t="str" cm="1">
        <f t="array" ref="AD204">Common_InputFunctions.Utility_DisplayArrayInTable(Fertiliser_SourceData.Fertiliser_Products_Data4(),FertiliserProducts[[#Headers],[Company]], 91)</f>
        <v/>
      </c>
      <c r="AE204" s="215" t="str" cm="1">
        <f t="array" ref="AE204">Common_InputFunctions.Utility_DisplayArrayInTable(Fertiliser_SourceData.Fertiliser_Products_Data4(),FertiliserProducts[[#Headers],[Company]], 91)</f>
        <v/>
      </c>
      <c r="AF204" s="215" t="str" cm="1">
        <f t="array" ref="AF204">Common_InputFunctions.Utility_DisplayArrayInTable(Fertiliser_SourceData.Fertiliser_Products_Data4(),FertiliserProducts[[#Headers],[Company]], 91)</f>
        <v/>
      </c>
      <c r="AG204" s="215" t="str" cm="1">
        <f t="array" ref="AG204">Common_InputFunctions.Utility_DisplayArrayInTable(Fertiliser_SourceData.Fertiliser_Products_Data4(),FertiliserProducts[[#Headers],[Company]], 91)</f>
        <v/>
      </c>
      <c r="AH204" s="215" t="str" cm="1">
        <f t="array" ref="AH204">Common_InputFunctions.Utility_DisplayArrayInTable(Fertiliser_SourceData.Fertiliser_Products_Data4(),FertiliserProducts[[#Headers],[Company]], 91)</f>
        <v/>
      </c>
    </row>
    <row r="205" spans="4:34" x14ac:dyDescent="0.25">
      <c r="D205" s="215" t="str" cm="1">
        <f t="array" ref="D205">Common_InputFunctions.Utility_DisplayArrayInTable(Fertiliser_SourceData.Fertiliser_Products_Data4(),FertiliserProducts[[#Headers],[Company]], 91)</f>
        <v>Wengfu Australia</v>
      </c>
      <c r="E205" s="215" t="str" cm="1">
        <f t="array" ref="E205">Common_InputFunctions.Utility_DisplayArrayInTable(Fertiliser_SourceData.Fertiliser_Products_Data4(),FertiliserProducts[[#Headers],[Company]], 91)</f>
        <v>Wengfu 16-18-0-10 DAP SuStain</v>
      </c>
      <c r="F205" s="215" t="str" cm="1">
        <f t="array" ref="F205">Common_InputFunctions.Utility_DisplayArrayInTable(Fertiliser_SourceData.Fertiliser_Products_Data4(),FertiliserProducts[[#Headers],[Company]], 91)</f>
        <v>kg</v>
      </c>
      <c r="G205" s="215" cm="1">
        <f t="array" ref="G205">Common_InputFunctions.Utility_DisplayArrayInTable(Fertiliser_SourceData.Fertiliser_Products_Data4(),FertiliserProducts[[#Headers],[Company]], 91)</f>
        <v>1</v>
      </c>
      <c r="H205" s="215" t="str" cm="1">
        <f t="array" ref="H205">Common_InputFunctions.Utility_DisplayArrayInTable(Fertiliser_SourceData.Fertiliser_Products_Data4(),FertiliserProducts[[#Headers],[Company]], 91)</f>
        <v/>
      </c>
      <c r="I205" s="215" t="str" cm="1">
        <f t="array" ref="I205">Common_InputFunctions.Utility_DisplayArrayInTable(Fertiliser_SourceData.Fertiliser_Products_Data4(),FertiliserProducts[[#Headers],[Company]], 91)</f>
        <v/>
      </c>
      <c r="J205" s="215" t="str" cm="1">
        <f t="array" ref="J205">Common_InputFunctions.Utility_DisplayArrayInTable(Fertiliser_SourceData.Fertiliser_Products_Data4(),FertiliserProducts[[#Headers],[Company]], 91)</f>
        <v/>
      </c>
      <c r="K205" s="215" cm="1">
        <f t="array" ref="K205">Common_InputFunctions.Utility_DisplayArrayInTable(Fertiliser_SourceData.Fertiliser_Products_Data4(),FertiliserProducts[[#Headers],[Company]], 91)</f>
        <v>16.2</v>
      </c>
      <c r="L205" s="215" cm="1">
        <f t="array" ref="L205">Common_InputFunctions.Utility_DisplayArrayInTable(Fertiliser_SourceData.Fertiliser_Products_Data4(),FertiliserProducts[[#Headers],[Company]], 91)</f>
        <v>18</v>
      </c>
      <c r="M205" s="215" cm="1">
        <f t="array" ref="M205">Common_InputFunctions.Utility_DisplayArrayInTable(Fertiliser_SourceData.Fertiliser_Products_Data4(),FertiliserProducts[[#Headers],[Company]], 91)</f>
        <v>0</v>
      </c>
      <c r="N205" s="215" cm="1">
        <f t="array" ref="N205">Common_InputFunctions.Utility_DisplayArrayInTable(Fertiliser_SourceData.Fertiliser_Products_Data4(),FertiliserProducts[[#Headers],[Company]], 91)</f>
        <v>10.4</v>
      </c>
      <c r="O205" s="215" t="str" cm="1">
        <f t="array" ref="O205">Common_InputFunctions.Utility_DisplayArrayInTable(Fertiliser_SourceData.Fertiliser_Products_Data4(),FertiliserProducts[[#Headers],[Company]], 91)</f>
        <v>Nitrogen - Generic</v>
      </c>
      <c r="P205" s="215" cm="1">
        <f t="array" ref="P205">Common_InputFunctions.Utility_DisplayArrayInTable(Fertiliser_SourceData.Fertiliser_Products_Data4(),FertiliserProducts[[#Headers],[Company]], 91)</f>
        <v>0.16200000000000001</v>
      </c>
      <c r="Q205" s="215" t="str" cm="1">
        <f t="array" ref="Q205">Common_InputFunctions.Utility_DisplayArrayInTable(Fertiliser_SourceData.Fertiliser_Products_Data4(),FertiliserProducts[[#Headers],[Company]], 91)</f>
        <v>Phosphorus - Generic</v>
      </c>
      <c r="R205" s="215" cm="1">
        <f t="array" ref="R205">Common_InputFunctions.Utility_DisplayArrayInTable(Fertiliser_SourceData.Fertiliser_Products_Data4(),FertiliserProducts[[#Headers],[Company]], 91)</f>
        <v>0.18</v>
      </c>
      <c r="S205" s="215" t="str" cm="1">
        <f t="array" ref="S205">Common_InputFunctions.Utility_DisplayArrayInTable(Fertiliser_SourceData.Fertiliser_Products_Data4(),FertiliserProducts[[#Headers],[Company]], 91)</f>
        <v>Sulfur - Generic</v>
      </c>
      <c r="T205" s="215" cm="1">
        <f t="array" ref="T205">Common_InputFunctions.Utility_DisplayArrayInTable(Fertiliser_SourceData.Fertiliser_Products_Data4(),FertiliserProducts[[#Headers],[Company]], 91)</f>
        <v>0.104</v>
      </c>
      <c r="U205" s="215" t="str" cm="1">
        <f t="array" ref="U205">Common_InputFunctions.Utility_DisplayArrayInTable(Fertiliser_SourceData.Fertiliser_Products_Data4(),FertiliserProducts[[#Headers],[Company]], 91)</f>
        <v/>
      </c>
      <c r="V205" s="215" t="str" cm="1">
        <f t="array" ref="V205">Common_InputFunctions.Utility_DisplayArrayInTable(Fertiliser_SourceData.Fertiliser_Products_Data4(),FertiliserProducts[[#Headers],[Company]], 91)</f>
        <v/>
      </c>
      <c r="W205" s="215" t="str" cm="1">
        <f t="array" ref="W205">Common_InputFunctions.Utility_DisplayArrayInTable(Fertiliser_SourceData.Fertiliser_Products_Data4(),FertiliserProducts[[#Headers],[Company]], 91)</f>
        <v/>
      </c>
      <c r="X205" s="215" t="str" cm="1">
        <f t="array" ref="X205">Common_InputFunctions.Utility_DisplayArrayInTable(Fertiliser_SourceData.Fertiliser_Products_Data4(),FertiliserProducts[[#Headers],[Company]], 91)</f>
        <v/>
      </c>
      <c r="Y205" s="215" t="str" cm="1">
        <f t="array" ref="Y205">Common_InputFunctions.Utility_DisplayArrayInTable(Fertiliser_SourceData.Fertiliser_Products_Data4(),FertiliserProducts[[#Headers],[Company]], 91)</f>
        <v/>
      </c>
      <c r="Z205" s="215" t="str" cm="1">
        <f t="array" ref="Z205">Common_InputFunctions.Utility_DisplayArrayInTable(Fertiliser_SourceData.Fertiliser_Products_Data4(),FertiliserProducts[[#Headers],[Company]], 91)</f>
        <v/>
      </c>
      <c r="AA205" s="215" t="str" cm="1">
        <f t="array" ref="AA205">Common_InputFunctions.Utility_DisplayArrayInTable(Fertiliser_SourceData.Fertiliser_Products_Data4(),FertiliserProducts[[#Headers],[Company]], 91)</f>
        <v/>
      </c>
      <c r="AB205" s="215" t="str" cm="1">
        <f t="array" ref="AB205">Common_InputFunctions.Utility_DisplayArrayInTable(Fertiliser_SourceData.Fertiliser_Products_Data4(),FertiliserProducts[[#Headers],[Company]], 91)</f>
        <v/>
      </c>
      <c r="AC205" s="215" t="str" cm="1">
        <f t="array" ref="AC205">Common_InputFunctions.Utility_DisplayArrayInTable(Fertiliser_SourceData.Fertiliser_Products_Data4(),FertiliserProducts[[#Headers],[Company]], 91)</f>
        <v/>
      </c>
      <c r="AD205" s="215" t="str" cm="1">
        <f t="array" ref="AD205">Common_InputFunctions.Utility_DisplayArrayInTable(Fertiliser_SourceData.Fertiliser_Products_Data4(),FertiliserProducts[[#Headers],[Company]], 91)</f>
        <v/>
      </c>
      <c r="AE205" s="215" t="str" cm="1">
        <f t="array" ref="AE205">Common_InputFunctions.Utility_DisplayArrayInTable(Fertiliser_SourceData.Fertiliser_Products_Data4(),FertiliserProducts[[#Headers],[Company]], 91)</f>
        <v/>
      </c>
      <c r="AF205" s="215" t="str" cm="1">
        <f t="array" ref="AF205">Common_InputFunctions.Utility_DisplayArrayInTable(Fertiliser_SourceData.Fertiliser_Products_Data4(),FertiliserProducts[[#Headers],[Company]], 91)</f>
        <v/>
      </c>
      <c r="AG205" s="215" t="str" cm="1">
        <f t="array" ref="AG205">Common_InputFunctions.Utility_DisplayArrayInTable(Fertiliser_SourceData.Fertiliser_Products_Data4(),FertiliserProducts[[#Headers],[Company]], 91)</f>
        <v/>
      </c>
      <c r="AH205" s="215" t="str" cm="1">
        <f t="array" ref="AH205">Common_InputFunctions.Utility_DisplayArrayInTable(Fertiliser_SourceData.Fertiliser_Products_Data4(),FertiliserProducts[[#Headers],[Company]], 91)</f>
        <v/>
      </c>
    </row>
    <row r="206" spans="4:34" x14ac:dyDescent="0.25">
      <c r="D206" s="215" t="str" cm="1">
        <f t="array" ref="D206">Common_InputFunctions.Utility_DisplayArrayInTable(Fertiliser_SourceData.Fertiliser_Products_Data4(),FertiliserProducts[[#Headers],[Company]], 91)</f>
        <v>Wengfu Australia</v>
      </c>
      <c r="E206" s="215" t="str" cm="1">
        <f t="array" ref="E206">Common_InputFunctions.Utility_DisplayArrayInTable(Fertiliser_SourceData.Fertiliser_Products_Data4(),FertiliserProducts[[#Headers],[Company]], 91)</f>
        <v>Wengfu 5-15-0-6 Fast Start Legume</v>
      </c>
      <c r="F206" s="215" t="str" cm="1">
        <f t="array" ref="F206">Common_InputFunctions.Utility_DisplayArrayInTable(Fertiliser_SourceData.Fertiliser_Products_Data4(),FertiliserProducts[[#Headers],[Company]], 91)</f>
        <v>kg</v>
      </c>
      <c r="G206" s="215" cm="1">
        <f t="array" ref="G206">Common_InputFunctions.Utility_DisplayArrayInTable(Fertiliser_SourceData.Fertiliser_Products_Data4(),FertiliserProducts[[#Headers],[Company]], 91)</f>
        <v>1</v>
      </c>
      <c r="H206" s="215" t="str" cm="1">
        <f t="array" ref="H206">Common_InputFunctions.Utility_DisplayArrayInTable(Fertiliser_SourceData.Fertiliser_Products_Data4(),FertiliserProducts[[#Headers],[Company]], 91)</f>
        <v/>
      </c>
      <c r="I206" s="215" t="str" cm="1">
        <f t="array" ref="I206">Common_InputFunctions.Utility_DisplayArrayInTable(Fertiliser_SourceData.Fertiliser_Products_Data4(),FertiliserProducts[[#Headers],[Company]], 91)</f>
        <v/>
      </c>
      <c r="J206" s="215" t="str" cm="1">
        <f t="array" ref="J206">Common_InputFunctions.Utility_DisplayArrayInTable(Fertiliser_SourceData.Fertiliser_Products_Data4(),FertiliserProducts[[#Headers],[Company]], 91)</f>
        <v/>
      </c>
      <c r="K206" s="215" cm="1">
        <f t="array" ref="K206">Common_InputFunctions.Utility_DisplayArrayInTable(Fertiliser_SourceData.Fertiliser_Products_Data4(),FertiliserProducts[[#Headers],[Company]], 91)</f>
        <v>5</v>
      </c>
      <c r="L206" s="215" cm="1">
        <f t="array" ref="L206">Common_InputFunctions.Utility_DisplayArrayInTable(Fertiliser_SourceData.Fertiliser_Products_Data4(),FertiliserProducts[[#Headers],[Company]], 91)</f>
        <v>15.4</v>
      </c>
      <c r="M206" s="215" cm="1">
        <f t="array" ref="M206">Common_InputFunctions.Utility_DisplayArrayInTable(Fertiliser_SourceData.Fertiliser_Products_Data4(),FertiliserProducts[[#Headers],[Company]], 91)</f>
        <v>0</v>
      </c>
      <c r="N206" s="215" cm="1">
        <f t="array" ref="N206">Common_InputFunctions.Utility_DisplayArrayInTable(Fertiliser_SourceData.Fertiliser_Products_Data4(),FertiliserProducts[[#Headers],[Company]], 91)</f>
        <v>6.3</v>
      </c>
      <c r="O206" s="215" t="str" cm="1">
        <f t="array" ref="O206">Common_InputFunctions.Utility_DisplayArrayInTable(Fertiliser_SourceData.Fertiliser_Products_Data4(),FertiliserProducts[[#Headers],[Company]], 91)</f>
        <v>Nitrogen - Generic</v>
      </c>
      <c r="P206" s="215" cm="1">
        <f t="array" ref="P206">Common_InputFunctions.Utility_DisplayArrayInTable(Fertiliser_SourceData.Fertiliser_Products_Data4(),FertiliserProducts[[#Headers],[Company]], 91)</f>
        <v>0.05</v>
      </c>
      <c r="Q206" s="215" t="str" cm="1">
        <f t="array" ref="Q206">Common_InputFunctions.Utility_DisplayArrayInTable(Fertiliser_SourceData.Fertiliser_Products_Data4(),FertiliserProducts[[#Headers],[Company]], 91)</f>
        <v>Phosphorus - Generic</v>
      </c>
      <c r="R206" s="215" cm="1">
        <f t="array" ref="R206">Common_InputFunctions.Utility_DisplayArrayInTable(Fertiliser_SourceData.Fertiliser_Products_Data4(),FertiliserProducts[[#Headers],[Company]], 91)</f>
        <v>0.154</v>
      </c>
      <c r="S206" s="215" t="str" cm="1">
        <f t="array" ref="S206">Common_InputFunctions.Utility_DisplayArrayInTable(Fertiliser_SourceData.Fertiliser_Products_Data4(),FertiliserProducts[[#Headers],[Company]], 91)</f>
        <v>Sulfur - Generic</v>
      </c>
      <c r="T206" s="215" cm="1">
        <f t="array" ref="T206">Common_InputFunctions.Utility_DisplayArrayInTable(Fertiliser_SourceData.Fertiliser_Products_Data4(),FertiliserProducts[[#Headers],[Company]], 91)</f>
        <v>6.3E-2</v>
      </c>
      <c r="U206" s="215" t="str" cm="1">
        <f t="array" ref="U206">Common_InputFunctions.Utility_DisplayArrayInTable(Fertiliser_SourceData.Fertiliser_Products_Data4(),FertiliserProducts[[#Headers],[Company]], 91)</f>
        <v/>
      </c>
      <c r="V206" s="215" t="str" cm="1">
        <f t="array" ref="V206">Common_InputFunctions.Utility_DisplayArrayInTable(Fertiliser_SourceData.Fertiliser_Products_Data4(),FertiliserProducts[[#Headers],[Company]], 91)</f>
        <v/>
      </c>
      <c r="W206" s="215" t="str" cm="1">
        <f t="array" ref="W206">Common_InputFunctions.Utility_DisplayArrayInTable(Fertiliser_SourceData.Fertiliser_Products_Data4(),FertiliserProducts[[#Headers],[Company]], 91)</f>
        <v/>
      </c>
      <c r="X206" s="215" t="str" cm="1">
        <f t="array" ref="X206">Common_InputFunctions.Utility_DisplayArrayInTable(Fertiliser_SourceData.Fertiliser_Products_Data4(),FertiliserProducts[[#Headers],[Company]], 91)</f>
        <v/>
      </c>
      <c r="Y206" s="215" t="str" cm="1">
        <f t="array" ref="Y206">Common_InputFunctions.Utility_DisplayArrayInTable(Fertiliser_SourceData.Fertiliser_Products_Data4(),FertiliserProducts[[#Headers],[Company]], 91)</f>
        <v/>
      </c>
      <c r="Z206" s="215" t="str" cm="1">
        <f t="array" ref="Z206">Common_InputFunctions.Utility_DisplayArrayInTable(Fertiliser_SourceData.Fertiliser_Products_Data4(),FertiliserProducts[[#Headers],[Company]], 91)</f>
        <v/>
      </c>
      <c r="AA206" s="215" t="str" cm="1">
        <f t="array" ref="AA206">Common_InputFunctions.Utility_DisplayArrayInTable(Fertiliser_SourceData.Fertiliser_Products_Data4(),FertiliserProducts[[#Headers],[Company]], 91)</f>
        <v/>
      </c>
      <c r="AB206" s="215" t="str" cm="1">
        <f t="array" ref="AB206">Common_InputFunctions.Utility_DisplayArrayInTable(Fertiliser_SourceData.Fertiliser_Products_Data4(),FertiliserProducts[[#Headers],[Company]], 91)</f>
        <v/>
      </c>
      <c r="AC206" s="215" t="str" cm="1">
        <f t="array" ref="AC206">Common_InputFunctions.Utility_DisplayArrayInTable(Fertiliser_SourceData.Fertiliser_Products_Data4(),FertiliserProducts[[#Headers],[Company]], 91)</f>
        <v/>
      </c>
      <c r="AD206" s="215" t="str" cm="1">
        <f t="array" ref="AD206">Common_InputFunctions.Utility_DisplayArrayInTable(Fertiliser_SourceData.Fertiliser_Products_Data4(),FertiliserProducts[[#Headers],[Company]], 91)</f>
        <v/>
      </c>
      <c r="AE206" s="215" t="str" cm="1">
        <f t="array" ref="AE206">Common_InputFunctions.Utility_DisplayArrayInTable(Fertiliser_SourceData.Fertiliser_Products_Data4(),FertiliserProducts[[#Headers],[Company]], 91)</f>
        <v/>
      </c>
      <c r="AF206" s="215" t="str" cm="1">
        <f t="array" ref="AF206">Common_InputFunctions.Utility_DisplayArrayInTable(Fertiliser_SourceData.Fertiliser_Products_Data4(),FertiliserProducts[[#Headers],[Company]], 91)</f>
        <v/>
      </c>
      <c r="AG206" s="215" t="str" cm="1">
        <f t="array" ref="AG206">Common_InputFunctions.Utility_DisplayArrayInTable(Fertiliser_SourceData.Fertiliser_Products_Data4(),FertiliserProducts[[#Headers],[Company]], 91)</f>
        <v/>
      </c>
      <c r="AH206" s="215" t="str" cm="1">
        <f t="array" ref="AH206">Common_InputFunctions.Utility_DisplayArrayInTable(Fertiliser_SourceData.Fertiliser_Products_Data4(),FertiliserProducts[[#Headers],[Company]], 91)</f>
        <v/>
      </c>
    </row>
    <row r="207" spans="4:34" x14ac:dyDescent="0.25">
      <c r="D207" s="215" t="str" cm="1">
        <f t="array" ref="D207">Common_InputFunctions.Utility_DisplayArrayInTable(Fertiliser_SourceData.Fertiliser_Products_Data4(),FertiliserProducts[[#Headers],[Company]], 91)</f>
        <v>Wengfu Australia</v>
      </c>
      <c r="E207" s="215" t="str" cm="1">
        <f t="array" ref="E207">Common_InputFunctions.Utility_DisplayArrayInTable(Fertiliser_SourceData.Fertiliser_Products_Data4(),FertiliserProducts[[#Headers],[Company]], 91)</f>
        <v>Wengfu 9-20-0-10 PrimeZinc</v>
      </c>
      <c r="F207" s="215" t="str" cm="1">
        <f t="array" ref="F207">Common_InputFunctions.Utility_DisplayArrayInTable(Fertiliser_SourceData.Fertiliser_Products_Data4(),FertiliserProducts[[#Headers],[Company]], 91)</f>
        <v>kg</v>
      </c>
      <c r="G207" s="215" cm="1">
        <f t="array" ref="G207">Common_InputFunctions.Utility_DisplayArrayInTable(Fertiliser_SourceData.Fertiliser_Products_Data4(),FertiliserProducts[[#Headers],[Company]], 91)</f>
        <v>1</v>
      </c>
      <c r="H207" s="215" t="str" cm="1">
        <f t="array" ref="H207">Common_InputFunctions.Utility_DisplayArrayInTable(Fertiliser_SourceData.Fertiliser_Products_Data4(),FertiliserProducts[[#Headers],[Company]], 91)</f>
        <v/>
      </c>
      <c r="I207" s="215" t="str" cm="1">
        <f t="array" ref="I207">Common_InputFunctions.Utility_DisplayArrayInTable(Fertiliser_SourceData.Fertiliser_Products_Data4(),FertiliserProducts[[#Headers],[Company]], 91)</f>
        <v/>
      </c>
      <c r="J207" s="215" t="str" cm="1">
        <f t="array" ref="J207">Common_InputFunctions.Utility_DisplayArrayInTable(Fertiliser_SourceData.Fertiliser_Products_Data4(),FertiliserProducts[[#Headers],[Company]], 91)</f>
        <v/>
      </c>
      <c r="K207" s="215" cm="1">
        <f t="array" ref="K207">Common_InputFunctions.Utility_DisplayArrayInTable(Fertiliser_SourceData.Fertiliser_Products_Data4(),FertiliserProducts[[#Headers],[Company]], 91)</f>
        <v>9</v>
      </c>
      <c r="L207" s="215" cm="1">
        <f t="array" ref="L207">Common_InputFunctions.Utility_DisplayArrayInTable(Fertiliser_SourceData.Fertiliser_Products_Data4(),FertiliserProducts[[#Headers],[Company]], 91)</f>
        <v>19.8</v>
      </c>
      <c r="M207" s="215" cm="1">
        <f t="array" ref="M207">Common_InputFunctions.Utility_DisplayArrayInTable(Fertiliser_SourceData.Fertiliser_Products_Data4(),FertiliserProducts[[#Headers],[Company]], 91)</f>
        <v>0</v>
      </c>
      <c r="N207" s="215" cm="1">
        <f t="array" ref="N207">Common_InputFunctions.Utility_DisplayArrayInTable(Fertiliser_SourceData.Fertiliser_Products_Data4(),FertiliserProducts[[#Headers],[Company]], 91)</f>
        <v>10.4</v>
      </c>
      <c r="O207" s="215" t="str" cm="1">
        <f t="array" ref="O207">Common_InputFunctions.Utility_DisplayArrayInTable(Fertiliser_SourceData.Fertiliser_Products_Data4(),FertiliserProducts[[#Headers],[Company]], 91)</f>
        <v>Nitrogen - Generic</v>
      </c>
      <c r="P207" s="215" cm="1">
        <f t="array" ref="P207">Common_InputFunctions.Utility_DisplayArrayInTable(Fertiliser_SourceData.Fertiliser_Products_Data4(),FertiliserProducts[[#Headers],[Company]], 91)</f>
        <v>0.09</v>
      </c>
      <c r="Q207" s="215" t="str" cm="1">
        <f t="array" ref="Q207">Common_InputFunctions.Utility_DisplayArrayInTable(Fertiliser_SourceData.Fertiliser_Products_Data4(),FertiliserProducts[[#Headers],[Company]], 91)</f>
        <v>Phosphorus - Generic</v>
      </c>
      <c r="R207" s="215" cm="1">
        <f t="array" ref="R207">Common_InputFunctions.Utility_DisplayArrayInTable(Fertiliser_SourceData.Fertiliser_Products_Data4(),FertiliserProducts[[#Headers],[Company]], 91)</f>
        <v>0.19800000000000001</v>
      </c>
      <c r="S207" s="215" t="str" cm="1">
        <f t="array" ref="S207">Common_InputFunctions.Utility_DisplayArrayInTable(Fertiliser_SourceData.Fertiliser_Products_Data4(),FertiliserProducts[[#Headers],[Company]], 91)</f>
        <v>Sulfur - Generic</v>
      </c>
      <c r="T207" s="215" cm="1">
        <f t="array" ref="T207">Common_InputFunctions.Utility_DisplayArrayInTable(Fertiliser_SourceData.Fertiliser_Products_Data4(),FertiliserProducts[[#Headers],[Company]], 91)</f>
        <v>0.104</v>
      </c>
      <c r="U207" s="215" t="str" cm="1">
        <f t="array" ref="U207">Common_InputFunctions.Utility_DisplayArrayInTable(Fertiliser_SourceData.Fertiliser_Products_Data4(),FertiliserProducts[[#Headers],[Company]], 91)</f>
        <v>Zinc</v>
      </c>
      <c r="V207" s="215" cm="1">
        <f t="array" ref="V207">Common_InputFunctions.Utility_DisplayArrayInTable(Fertiliser_SourceData.Fertiliser_Products_Data4(),FertiliserProducts[[#Headers],[Company]], 91)</f>
        <v>8.9999999999999993E-3</v>
      </c>
      <c r="W207" s="215" t="str" cm="1">
        <f t="array" ref="W207">Common_InputFunctions.Utility_DisplayArrayInTable(Fertiliser_SourceData.Fertiliser_Products_Data4(),FertiliserProducts[[#Headers],[Company]], 91)</f>
        <v/>
      </c>
      <c r="X207" s="215" t="str" cm="1">
        <f t="array" ref="X207">Common_InputFunctions.Utility_DisplayArrayInTable(Fertiliser_SourceData.Fertiliser_Products_Data4(),FertiliserProducts[[#Headers],[Company]], 91)</f>
        <v/>
      </c>
      <c r="Y207" s="215" t="str" cm="1">
        <f t="array" ref="Y207">Common_InputFunctions.Utility_DisplayArrayInTable(Fertiliser_SourceData.Fertiliser_Products_Data4(),FertiliserProducts[[#Headers],[Company]], 91)</f>
        <v/>
      </c>
      <c r="Z207" s="215" t="str" cm="1">
        <f t="array" ref="Z207">Common_InputFunctions.Utility_DisplayArrayInTable(Fertiliser_SourceData.Fertiliser_Products_Data4(),FertiliserProducts[[#Headers],[Company]], 91)</f>
        <v/>
      </c>
      <c r="AA207" s="215" t="str" cm="1">
        <f t="array" ref="AA207">Common_InputFunctions.Utility_DisplayArrayInTable(Fertiliser_SourceData.Fertiliser_Products_Data4(),FertiliserProducts[[#Headers],[Company]], 91)</f>
        <v/>
      </c>
      <c r="AB207" s="215" t="str" cm="1">
        <f t="array" ref="AB207">Common_InputFunctions.Utility_DisplayArrayInTable(Fertiliser_SourceData.Fertiliser_Products_Data4(),FertiliserProducts[[#Headers],[Company]], 91)</f>
        <v/>
      </c>
      <c r="AC207" s="215" t="str" cm="1">
        <f t="array" ref="AC207">Common_InputFunctions.Utility_DisplayArrayInTable(Fertiliser_SourceData.Fertiliser_Products_Data4(),FertiliserProducts[[#Headers],[Company]], 91)</f>
        <v/>
      </c>
      <c r="AD207" s="215" t="str" cm="1">
        <f t="array" ref="AD207">Common_InputFunctions.Utility_DisplayArrayInTable(Fertiliser_SourceData.Fertiliser_Products_Data4(),FertiliserProducts[[#Headers],[Company]], 91)</f>
        <v/>
      </c>
      <c r="AE207" s="215" t="str" cm="1">
        <f t="array" ref="AE207">Common_InputFunctions.Utility_DisplayArrayInTable(Fertiliser_SourceData.Fertiliser_Products_Data4(),FertiliserProducts[[#Headers],[Company]], 91)</f>
        <v/>
      </c>
      <c r="AF207" s="215" t="str" cm="1">
        <f t="array" ref="AF207">Common_InputFunctions.Utility_DisplayArrayInTable(Fertiliser_SourceData.Fertiliser_Products_Data4(),FertiliserProducts[[#Headers],[Company]], 91)</f>
        <v/>
      </c>
      <c r="AG207" s="215" t="str" cm="1">
        <f t="array" ref="AG207">Common_InputFunctions.Utility_DisplayArrayInTable(Fertiliser_SourceData.Fertiliser_Products_Data4(),FertiliserProducts[[#Headers],[Company]], 91)</f>
        <v/>
      </c>
      <c r="AH207" s="215" t="str" cm="1">
        <f t="array" ref="AH207">Common_InputFunctions.Utility_DisplayArrayInTable(Fertiliser_SourceData.Fertiliser_Products_Data4(),FertiliserProducts[[#Headers],[Company]], 91)</f>
        <v/>
      </c>
    </row>
    <row r="208" spans="4:34" x14ac:dyDescent="0.25">
      <c r="D208" s="215" t="str" cm="1">
        <f t="array" ref="D208">Common_InputFunctions.Utility_DisplayArrayInTable(Fertiliser_SourceData.Fertiliser_Products_Data4(),FertiliserProducts[[#Headers],[Company]], 91)</f>
        <v>Wengfu Australia</v>
      </c>
      <c r="E208" s="215" t="str" cm="1">
        <f t="array" ref="E208">Common_InputFunctions.Utility_DisplayArrayInTable(Fertiliser_SourceData.Fertiliser_Products_Data4(),FertiliserProducts[[#Headers],[Company]], 91)</f>
        <v>Wengfu 12-18-0-6 PrimeZinc</v>
      </c>
      <c r="F208" s="215" t="str" cm="1">
        <f t="array" ref="F208">Common_InputFunctions.Utility_DisplayArrayInTable(Fertiliser_SourceData.Fertiliser_Products_Data4(),FertiliserProducts[[#Headers],[Company]], 91)</f>
        <v>kg</v>
      </c>
      <c r="G208" s="215" cm="1">
        <f t="array" ref="G208">Common_InputFunctions.Utility_DisplayArrayInTable(Fertiliser_SourceData.Fertiliser_Products_Data4(),FertiliserProducts[[#Headers],[Company]], 91)</f>
        <v>1</v>
      </c>
      <c r="H208" s="215" t="str" cm="1">
        <f t="array" ref="H208">Common_InputFunctions.Utility_DisplayArrayInTable(Fertiliser_SourceData.Fertiliser_Products_Data4(),FertiliserProducts[[#Headers],[Company]], 91)</f>
        <v/>
      </c>
      <c r="I208" s="215" t="str" cm="1">
        <f t="array" ref="I208">Common_InputFunctions.Utility_DisplayArrayInTable(Fertiliser_SourceData.Fertiliser_Products_Data4(),FertiliserProducts[[#Headers],[Company]], 91)</f>
        <v/>
      </c>
      <c r="J208" s="215" t="str" cm="1">
        <f t="array" ref="J208">Common_InputFunctions.Utility_DisplayArrayInTable(Fertiliser_SourceData.Fertiliser_Products_Data4(),FertiliserProducts[[#Headers],[Company]], 91)</f>
        <v/>
      </c>
      <c r="K208" s="215" cm="1">
        <f t="array" ref="K208">Common_InputFunctions.Utility_DisplayArrayInTable(Fertiliser_SourceData.Fertiliser_Products_Data4(),FertiliserProducts[[#Headers],[Company]], 91)</f>
        <v>11.9</v>
      </c>
      <c r="L208" s="215" cm="1">
        <f t="array" ref="L208">Common_InputFunctions.Utility_DisplayArrayInTable(Fertiliser_SourceData.Fertiliser_Products_Data4(),FertiliserProducts[[#Headers],[Company]], 91)</f>
        <v>17.600000000000001</v>
      </c>
      <c r="M208" s="215" cm="1">
        <f t="array" ref="M208">Common_InputFunctions.Utility_DisplayArrayInTable(Fertiliser_SourceData.Fertiliser_Products_Data4(),FertiliserProducts[[#Headers],[Company]], 91)</f>
        <v>0</v>
      </c>
      <c r="N208" s="215" cm="1">
        <f t="array" ref="N208">Common_InputFunctions.Utility_DisplayArrayInTable(Fertiliser_SourceData.Fertiliser_Products_Data4(),FertiliserProducts[[#Headers],[Company]], 91)</f>
        <v>5.9</v>
      </c>
      <c r="O208" s="215" t="str" cm="1">
        <f t="array" ref="O208">Common_InputFunctions.Utility_DisplayArrayInTable(Fertiliser_SourceData.Fertiliser_Products_Data4(),FertiliserProducts[[#Headers],[Company]], 91)</f>
        <v>Nitrogen - Generic</v>
      </c>
      <c r="P208" s="215" cm="1">
        <f t="array" ref="P208">Common_InputFunctions.Utility_DisplayArrayInTable(Fertiliser_SourceData.Fertiliser_Products_Data4(),FertiliserProducts[[#Headers],[Company]], 91)</f>
        <v>0.11899999999999999</v>
      </c>
      <c r="Q208" s="215" t="str" cm="1">
        <f t="array" ref="Q208">Common_InputFunctions.Utility_DisplayArrayInTable(Fertiliser_SourceData.Fertiliser_Products_Data4(),FertiliserProducts[[#Headers],[Company]], 91)</f>
        <v>Phosphorus - Generic</v>
      </c>
      <c r="R208" s="215" cm="1">
        <f t="array" ref="R208">Common_InputFunctions.Utility_DisplayArrayInTable(Fertiliser_SourceData.Fertiliser_Products_Data4(),FertiliserProducts[[#Headers],[Company]], 91)</f>
        <v>0.17599999999999999</v>
      </c>
      <c r="S208" s="215" t="str" cm="1">
        <f t="array" ref="S208">Common_InputFunctions.Utility_DisplayArrayInTable(Fertiliser_SourceData.Fertiliser_Products_Data4(),FertiliserProducts[[#Headers],[Company]], 91)</f>
        <v>Sulfur - Generic</v>
      </c>
      <c r="T208" s="215" cm="1">
        <f t="array" ref="T208">Common_InputFunctions.Utility_DisplayArrayInTable(Fertiliser_SourceData.Fertiliser_Products_Data4(),FertiliserProducts[[#Headers],[Company]], 91)</f>
        <v>5.8999999999999997E-2</v>
      </c>
      <c r="U208" s="215" t="str" cm="1">
        <f t="array" ref="U208">Common_InputFunctions.Utility_DisplayArrayInTable(Fertiliser_SourceData.Fertiliser_Products_Data4(),FertiliserProducts[[#Headers],[Company]], 91)</f>
        <v>Zinc</v>
      </c>
      <c r="V208" s="215" cm="1">
        <f t="array" ref="V208">Common_InputFunctions.Utility_DisplayArrayInTable(Fertiliser_SourceData.Fertiliser_Products_Data4(),FertiliserProducts[[#Headers],[Company]], 91)</f>
        <v>8.0000000000000002E-3</v>
      </c>
      <c r="W208" s="215" t="str" cm="1">
        <f t="array" ref="W208">Common_InputFunctions.Utility_DisplayArrayInTable(Fertiliser_SourceData.Fertiliser_Products_Data4(),FertiliserProducts[[#Headers],[Company]], 91)</f>
        <v/>
      </c>
      <c r="X208" s="215" t="str" cm="1">
        <f t="array" ref="X208">Common_InputFunctions.Utility_DisplayArrayInTable(Fertiliser_SourceData.Fertiliser_Products_Data4(),FertiliserProducts[[#Headers],[Company]], 91)</f>
        <v/>
      </c>
      <c r="Y208" s="215" t="str" cm="1">
        <f t="array" ref="Y208">Common_InputFunctions.Utility_DisplayArrayInTable(Fertiliser_SourceData.Fertiliser_Products_Data4(),FertiliserProducts[[#Headers],[Company]], 91)</f>
        <v/>
      </c>
      <c r="Z208" s="215" t="str" cm="1">
        <f t="array" ref="Z208">Common_InputFunctions.Utility_DisplayArrayInTable(Fertiliser_SourceData.Fertiliser_Products_Data4(),FertiliserProducts[[#Headers],[Company]], 91)</f>
        <v/>
      </c>
      <c r="AA208" s="215" t="str" cm="1">
        <f t="array" ref="AA208">Common_InputFunctions.Utility_DisplayArrayInTable(Fertiliser_SourceData.Fertiliser_Products_Data4(),FertiliserProducts[[#Headers],[Company]], 91)</f>
        <v/>
      </c>
      <c r="AB208" s="215" t="str" cm="1">
        <f t="array" ref="AB208">Common_InputFunctions.Utility_DisplayArrayInTable(Fertiliser_SourceData.Fertiliser_Products_Data4(),FertiliserProducts[[#Headers],[Company]], 91)</f>
        <v/>
      </c>
      <c r="AC208" s="215" t="str" cm="1">
        <f t="array" ref="AC208">Common_InputFunctions.Utility_DisplayArrayInTable(Fertiliser_SourceData.Fertiliser_Products_Data4(),FertiliserProducts[[#Headers],[Company]], 91)</f>
        <v/>
      </c>
      <c r="AD208" s="215" t="str" cm="1">
        <f t="array" ref="AD208">Common_InputFunctions.Utility_DisplayArrayInTable(Fertiliser_SourceData.Fertiliser_Products_Data4(),FertiliserProducts[[#Headers],[Company]], 91)</f>
        <v/>
      </c>
      <c r="AE208" s="215" t="str" cm="1">
        <f t="array" ref="AE208">Common_InputFunctions.Utility_DisplayArrayInTable(Fertiliser_SourceData.Fertiliser_Products_Data4(),FertiliserProducts[[#Headers],[Company]], 91)</f>
        <v/>
      </c>
      <c r="AF208" s="215" t="str" cm="1">
        <f t="array" ref="AF208">Common_InputFunctions.Utility_DisplayArrayInTable(Fertiliser_SourceData.Fertiliser_Products_Data4(),FertiliserProducts[[#Headers],[Company]], 91)</f>
        <v/>
      </c>
      <c r="AG208" s="215" t="str" cm="1">
        <f t="array" ref="AG208">Common_InputFunctions.Utility_DisplayArrayInTable(Fertiliser_SourceData.Fertiliser_Products_Data4(),FertiliserProducts[[#Headers],[Company]], 91)</f>
        <v/>
      </c>
      <c r="AH208" s="215" t="str" cm="1">
        <f t="array" ref="AH208">Common_InputFunctions.Utility_DisplayArrayInTable(Fertiliser_SourceData.Fertiliser_Products_Data4(),FertiliserProducts[[#Headers],[Company]], 91)</f>
        <v/>
      </c>
    </row>
    <row r="209" spans="4:34" x14ac:dyDescent="0.25">
      <c r="D209" s="215" t="str" cm="1">
        <f t="array" ref="D209">Common_InputFunctions.Utility_DisplayArrayInTable(Fertiliser_SourceData.Fertiliser_Products_Data4(),FertiliserProducts[[#Headers],[Company]], 91)</f>
        <v>Wengfu Australia</v>
      </c>
      <c r="E209" s="215" t="str" cm="1">
        <f t="array" ref="E209">Common_InputFunctions.Utility_DisplayArrayInTable(Fertiliser_SourceData.Fertiliser_Products_Data4(),FertiliserProducts[[#Headers],[Company]], 91)</f>
        <v>Wengfu 14-13-0-11 PrimeZinc</v>
      </c>
      <c r="F209" s="215" t="str" cm="1">
        <f t="array" ref="F209">Common_InputFunctions.Utility_DisplayArrayInTable(Fertiliser_SourceData.Fertiliser_Products_Data4(),FertiliserProducts[[#Headers],[Company]], 91)</f>
        <v>kg</v>
      </c>
      <c r="G209" s="215" cm="1">
        <f t="array" ref="G209">Common_InputFunctions.Utility_DisplayArrayInTable(Fertiliser_SourceData.Fertiliser_Products_Data4(),FertiliserProducts[[#Headers],[Company]], 91)</f>
        <v>1</v>
      </c>
      <c r="H209" s="215" t="str" cm="1">
        <f t="array" ref="H209">Common_InputFunctions.Utility_DisplayArrayInTable(Fertiliser_SourceData.Fertiliser_Products_Data4(),FertiliserProducts[[#Headers],[Company]], 91)</f>
        <v/>
      </c>
      <c r="I209" s="215" t="str" cm="1">
        <f t="array" ref="I209">Common_InputFunctions.Utility_DisplayArrayInTable(Fertiliser_SourceData.Fertiliser_Products_Data4(),FertiliserProducts[[#Headers],[Company]], 91)</f>
        <v/>
      </c>
      <c r="J209" s="215" t="str" cm="1">
        <f t="array" ref="J209">Common_InputFunctions.Utility_DisplayArrayInTable(Fertiliser_SourceData.Fertiliser_Products_Data4(),FertiliserProducts[[#Headers],[Company]], 91)</f>
        <v/>
      </c>
      <c r="K209" s="215" cm="1">
        <f t="array" ref="K209">Common_InputFunctions.Utility_DisplayArrayInTable(Fertiliser_SourceData.Fertiliser_Products_Data4(),FertiliserProducts[[#Headers],[Company]], 91)</f>
        <v>14.1</v>
      </c>
      <c r="L209" s="215" cm="1">
        <f t="array" ref="L209">Common_InputFunctions.Utility_DisplayArrayInTable(Fertiliser_SourceData.Fertiliser_Products_Data4(),FertiliserProducts[[#Headers],[Company]], 91)</f>
        <v>12.8</v>
      </c>
      <c r="M209" s="215" cm="1">
        <f t="array" ref="M209">Common_InputFunctions.Utility_DisplayArrayInTable(Fertiliser_SourceData.Fertiliser_Products_Data4(),FertiliserProducts[[#Headers],[Company]], 91)</f>
        <v>0</v>
      </c>
      <c r="N209" s="215" cm="1">
        <f t="array" ref="N209">Common_InputFunctions.Utility_DisplayArrayInTable(Fertiliser_SourceData.Fertiliser_Products_Data4(),FertiliserProducts[[#Headers],[Company]], 91)</f>
        <v>10.7</v>
      </c>
      <c r="O209" s="215" t="str" cm="1">
        <f t="array" ref="O209">Common_InputFunctions.Utility_DisplayArrayInTable(Fertiliser_SourceData.Fertiliser_Products_Data4(),FertiliserProducts[[#Headers],[Company]], 91)</f>
        <v>Nitrogen - Generic</v>
      </c>
      <c r="P209" s="215" cm="1">
        <f t="array" ref="P209">Common_InputFunctions.Utility_DisplayArrayInTable(Fertiliser_SourceData.Fertiliser_Products_Data4(),FertiliserProducts[[#Headers],[Company]], 91)</f>
        <v>0.14099999999999999</v>
      </c>
      <c r="Q209" s="215" t="str" cm="1">
        <f t="array" ref="Q209">Common_InputFunctions.Utility_DisplayArrayInTable(Fertiliser_SourceData.Fertiliser_Products_Data4(),FertiliserProducts[[#Headers],[Company]], 91)</f>
        <v>Phosphorus - Generic</v>
      </c>
      <c r="R209" s="215" cm="1">
        <f t="array" ref="R209">Common_InputFunctions.Utility_DisplayArrayInTable(Fertiliser_SourceData.Fertiliser_Products_Data4(),FertiliserProducts[[#Headers],[Company]], 91)</f>
        <v>0.128</v>
      </c>
      <c r="S209" s="215" t="str" cm="1">
        <f t="array" ref="S209">Common_InputFunctions.Utility_DisplayArrayInTable(Fertiliser_SourceData.Fertiliser_Products_Data4(),FertiliserProducts[[#Headers],[Company]], 91)</f>
        <v>Sulfur - Generic</v>
      </c>
      <c r="T209" s="215" cm="1">
        <f t="array" ref="T209">Common_InputFunctions.Utility_DisplayArrayInTable(Fertiliser_SourceData.Fertiliser_Products_Data4(),FertiliserProducts[[#Headers],[Company]], 91)</f>
        <v>0.107</v>
      </c>
      <c r="U209" s="215" t="str" cm="1">
        <f t="array" ref="U209">Common_InputFunctions.Utility_DisplayArrayInTable(Fertiliser_SourceData.Fertiliser_Products_Data4(),FertiliserProducts[[#Headers],[Company]], 91)</f>
        <v>Zinc</v>
      </c>
      <c r="V209" s="215" cm="1">
        <f t="array" ref="V209">Common_InputFunctions.Utility_DisplayArrayInTable(Fertiliser_SourceData.Fertiliser_Products_Data4(),FertiliserProducts[[#Headers],[Company]], 91)</f>
        <v>6.0000000000000001E-3</v>
      </c>
      <c r="W209" s="215" t="str" cm="1">
        <f t="array" ref="W209">Common_InputFunctions.Utility_DisplayArrayInTable(Fertiliser_SourceData.Fertiliser_Products_Data4(),FertiliserProducts[[#Headers],[Company]], 91)</f>
        <v/>
      </c>
      <c r="X209" s="215" t="str" cm="1">
        <f t="array" ref="X209">Common_InputFunctions.Utility_DisplayArrayInTable(Fertiliser_SourceData.Fertiliser_Products_Data4(),FertiliserProducts[[#Headers],[Company]], 91)</f>
        <v/>
      </c>
      <c r="Y209" s="215" t="str" cm="1">
        <f t="array" ref="Y209">Common_InputFunctions.Utility_DisplayArrayInTable(Fertiliser_SourceData.Fertiliser_Products_Data4(),FertiliserProducts[[#Headers],[Company]], 91)</f>
        <v/>
      </c>
      <c r="Z209" s="215" t="str" cm="1">
        <f t="array" ref="Z209">Common_InputFunctions.Utility_DisplayArrayInTable(Fertiliser_SourceData.Fertiliser_Products_Data4(),FertiliserProducts[[#Headers],[Company]], 91)</f>
        <v/>
      </c>
      <c r="AA209" s="215" t="str" cm="1">
        <f t="array" ref="AA209">Common_InputFunctions.Utility_DisplayArrayInTable(Fertiliser_SourceData.Fertiliser_Products_Data4(),FertiliserProducts[[#Headers],[Company]], 91)</f>
        <v/>
      </c>
      <c r="AB209" s="215" t="str" cm="1">
        <f t="array" ref="AB209">Common_InputFunctions.Utility_DisplayArrayInTable(Fertiliser_SourceData.Fertiliser_Products_Data4(),FertiliserProducts[[#Headers],[Company]], 91)</f>
        <v/>
      </c>
      <c r="AC209" s="215" t="str" cm="1">
        <f t="array" ref="AC209">Common_InputFunctions.Utility_DisplayArrayInTable(Fertiliser_SourceData.Fertiliser_Products_Data4(),FertiliserProducts[[#Headers],[Company]], 91)</f>
        <v/>
      </c>
      <c r="AD209" s="215" t="str" cm="1">
        <f t="array" ref="AD209">Common_InputFunctions.Utility_DisplayArrayInTable(Fertiliser_SourceData.Fertiliser_Products_Data4(),FertiliserProducts[[#Headers],[Company]], 91)</f>
        <v/>
      </c>
      <c r="AE209" s="215" t="str" cm="1">
        <f t="array" ref="AE209">Common_InputFunctions.Utility_DisplayArrayInTable(Fertiliser_SourceData.Fertiliser_Products_Data4(),FertiliserProducts[[#Headers],[Company]], 91)</f>
        <v/>
      </c>
      <c r="AF209" s="215" t="str" cm="1">
        <f t="array" ref="AF209">Common_InputFunctions.Utility_DisplayArrayInTable(Fertiliser_SourceData.Fertiliser_Products_Data4(),FertiliserProducts[[#Headers],[Company]], 91)</f>
        <v/>
      </c>
      <c r="AG209" s="215" t="str" cm="1">
        <f t="array" ref="AG209">Common_InputFunctions.Utility_DisplayArrayInTable(Fertiliser_SourceData.Fertiliser_Products_Data4(),FertiliserProducts[[#Headers],[Company]], 91)</f>
        <v/>
      </c>
      <c r="AH209" s="215" t="str" cm="1">
        <f t="array" ref="AH209">Common_InputFunctions.Utility_DisplayArrayInTable(Fertiliser_SourceData.Fertiliser_Products_Data4(),FertiliserProducts[[#Headers],[Company]], 91)</f>
        <v/>
      </c>
    </row>
    <row r="210" spans="4:34" x14ac:dyDescent="0.25">
      <c r="D210" s="215" t="str" cm="1">
        <f t="array" ref="D210">Common_InputFunctions.Utility_DisplayArrayInTable(Fertiliser_SourceData.Fertiliser_Products_Data5(),FertiliserProducts[[#Headers],[Company]], 121)</f>
        <v>Wengfu Australia</v>
      </c>
      <c r="E210" s="215" t="str" cm="1">
        <f t="array" ref="E210">Common_InputFunctions.Utility_DisplayArrayInTable(Fertiliser_SourceData.Fertiliser_Products_Data5(),FertiliserProducts[[#Headers],[Company]], 121)</f>
        <v>Wengfu 19-13-0-7 PrimeZinc</v>
      </c>
      <c r="F210" s="215" t="str" cm="1">
        <f t="array" ref="F210">Common_InputFunctions.Utility_DisplayArrayInTable(Fertiliser_SourceData.Fertiliser_Products_Data5(),FertiliserProducts[[#Headers],[Company]], 121)</f>
        <v>kg</v>
      </c>
      <c r="G210" s="215" cm="1">
        <f t="array" ref="G210">Common_InputFunctions.Utility_DisplayArrayInTable(Fertiliser_SourceData.Fertiliser_Products_Data5(),FertiliserProducts[[#Headers],[Company]], 121)</f>
        <v>1</v>
      </c>
      <c r="H210" s="215" t="str" cm="1">
        <f t="array" ref="H210">Common_InputFunctions.Utility_DisplayArrayInTable(Fertiliser_SourceData.Fertiliser_Products_Data5(),FertiliserProducts[[#Headers],[Company]], 121)</f>
        <v/>
      </c>
      <c r="I210" s="215" t="str" cm="1">
        <f t="array" ref="I210">Common_InputFunctions.Utility_DisplayArrayInTable(Fertiliser_SourceData.Fertiliser_Products_Data5(),FertiliserProducts[[#Headers],[Company]], 121)</f>
        <v/>
      </c>
      <c r="J210" s="215" t="str" cm="1">
        <f t="array" ref="J210">Common_InputFunctions.Utility_DisplayArrayInTable(Fertiliser_SourceData.Fertiliser_Products_Data5(),FertiliserProducts[[#Headers],[Company]], 121)</f>
        <v/>
      </c>
      <c r="K210" s="215" cm="1">
        <f t="array" ref="K210">Common_InputFunctions.Utility_DisplayArrayInTable(Fertiliser_SourceData.Fertiliser_Products_Data5(),FertiliserProducts[[#Headers],[Company]], 121)</f>
        <v>18.600000000000001</v>
      </c>
      <c r="L210" s="215" cm="1">
        <f t="array" ref="L210">Common_InputFunctions.Utility_DisplayArrayInTable(Fertiliser_SourceData.Fertiliser_Products_Data5(),FertiliserProducts[[#Headers],[Company]], 121)</f>
        <v>12.7</v>
      </c>
      <c r="M210" s="215" cm="1">
        <f t="array" ref="M210">Common_InputFunctions.Utility_DisplayArrayInTable(Fertiliser_SourceData.Fertiliser_Products_Data5(),FertiliserProducts[[#Headers],[Company]], 121)</f>
        <v>0</v>
      </c>
      <c r="N210" s="215" cm="1">
        <f t="array" ref="N210">Common_InputFunctions.Utility_DisplayArrayInTable(Fertiliser_SourceData.Fertiliser_Products_Data5(),FertiliserProducts[[#Headers],[Company]], 121)</f>
        <v>6.8</v>
      </c>
      <c r="O210" s="215" t="str" cm="1">
        <f t="array" ref="O210">Common_InputFunctions.Utility_DisplayArrayInTable(Fertiliser_SourceData.Fertiliser_Products_Data5(),FertiliserProducts[[#Headers],[Company]], 121)</f>
        <v>Nitrogen - Generic</v>
      </c>
      <c r="P210" s="215" cm="1">
        <f t="array" ref="P210">Common_InputFunctions.Utility_DisplayArrayInTable(Fertiliser_SourceData.Fertiliser_Products_Data5(),FertiliserProducts[[#Headers],[Company]], 121)</f>
        <v>0.186</v>
      </c>
      <c r="Q210" s="215" t="str" cm="1">
        <f t="array" ref="Q210">Common_InputFunctions.Utility_DisplayArrayInTable(Fertiliser_SourceData.Fertiliser_Products_Data5(),FertiliserProducts[[#Headers],[Company]], 121)</f>
        <v>Phosphorus - Generic</v>
      </c>
      <c r="R210" s="215" cm="1">
        <f t="array" ref="R210">Common_InputFunctions.Utility_DisplayArrayInTable(Fertiliser_SourceData.Fertiliser_Products_Data5(),FertiliserProducts[[#Headers],[Company]], 121)</f>
        <v>0.127</v>
      </c>
      <c r="S210" s="215" t="str" cm="1">
        <f t="array" ref="S210">Common_InputFunctions.Utility_DisplayArrayInTable(Fertiliser_SourceData.Fertiliser_Products_Data5(),FertiliserProducts[[#Headers],[Company]], 121)</f>
        <v>Sulfur - Generic</v>
      </c>
      <c r="T210" s="215" cm="1">
        <f t="array" ref="T210">Common_InputFunctions.Utility_DisplayArrayInTable(Fertiliser_SourceData.Fertiliser_Products_Data5(),FertiliserProducts[[#Headers],[Company]], 121)</f>
        <v>6.8000000000000005E-2</v>
      </c>
      <c r="U210" s="215" t="str" cm="1">
        <f t="array" ref="U210">Common_InputFunctions.Utility_DisplayArrayInTable(Fertiliser_SourceData.Fertiliser_Products_Data5(),FertiliserProducts[[#Headers],[Company]], 121)</f>
        <v>Zinc</v>
      </c>
      <c r="V210" s="215" cm="1">
        <f t="array" ref="V210">Common_InputFunctions.Utility_DisplayArrayInTable(Fertiliser_SourceData.Fertiliser_Products_Data5(),FertiliserProducts[[#Headers],[Company]], 121)</f>
        <v>6.0000000000000001E-3</v>
      </c>
      <c r="W210" s="215" t="str" cm="1">
        <f t="array" ref="W210">Common_InputFunctions.Utility_DisplayArrayInTable(Fertiliser_SourceData.Fertiliser_Products_Data5(),FertiliserProducts[[#Headers],[Company]], 121)</f>
        <v/>
      </c>
      <c r="X210" s="215" t="str" cm="1">
        <f t="array" ref="X210">Common_InputFunctions.Utility_DisplayArrayInTable(Fertiliser_SourceData.Fertiliser_Products_Data5(),FertiliserProducts[[#Headers],[Company]], 121)</f>
        <v/>
      </c>
      <c r="Y210" s="215" t="str" cm="1">
        <f t="array" ref="Y210">Common_InputFunctions.Utility_DisplayArrayInTable(Fertiliser_SourceData.Fertiliser_Products_Data5(),FertiliserProducts[[#Headers],[Company]], 121)</f>
        <v/>
      </c>
      <c r="Z210" s="215" t="str" cm="1">
        <f t="array" ref="Z210">Common_InputFunctions.Utility_DisplayArrayInTable(Fertiliser_SourceData.Fertiliser_Products_Data5(),FertiliserProducts[[#Headers],[Company]], 121)</f>
        <v/>
      </c>
      <c r="AA210" s="215" t="str" cm="1">
        <f t="array" ref="AA210">Common_InputFunctions.Utility_DisplayArrayInTable(Fertiliser_SourceData.Fertiliser_Products_Data5(),FertiliserProducts[[#Headers],[Company]], 121)</f>
        <v/>
      </c>
      <c r="AB210" s="215" t="str" cm="1">
        <f t="array" ref="AB210">Common_InputFunctions.Utility_DisplayArrayInTable(Fertiliser_SourceData.Fertiliser_Products_Data5(),FertiliserProducts[[#Headers],[Company]], 121)</f>
        <v/>
      </c>
      <c r="AC210" s="215" t="str" cm="1">
        <f t="array" ref="AC210">Common_InputFunctions.Utility_DisplayArrayInTable(Fertiliser_SourceData.Fertiliser_Products_Data5(),FertiliserProducts[[#Headers],[Company]], 121)</f>
        <v/>
      </c>
      <c r="AD210" s="215" t="str" cm="1">
        <f t="array" ref="AD210">Common_InputFunctions.Utility_DisplayArrayInTable(Fertiliser_SourceData.Fertiliser_Products_Data5(),FertiliserProducts[[#Headers],[Company]], 121)</f>
        <v/>
      </c>
      <c r="AE210" s="215" t="str" cm="1">
        <f t="array" ref="AE210">Common_InputFunctions.Utility_DisplayArrayInTable(Fertiliser_SourceData.Fertiliser_Products_Data5(),FertiliserProducts[[#Headers],[Company]], 121)</f>
        <v/>
      </c>
      <c r="AF210" s="215" t="str" cm="1">
        <f t="array" ref="AF210">Common_InputFunctions.Utility_DisplayArrayInTable(Fertiliser_SourceData.Fertiliser_Products_Data5(),FertiliserProducts[[#Headers],[Company]], 121)</f>
        <v/>
      </c>
      <c r="AG210" s="215" t="str" cm="1">
        <f t="array" ref="AG210">Common_InputFunctions.Utility_DisplayArrayInTable(Fertiliser_SourceData.Fertiliser_Products_Data5(),FertiliserProducts[[#Headers],[Company]], 121)</f>
        <v/>
      </c>
      <c r="AH210" s="215" t="str" cm="1">
        <f t="array" ref="AH210">Common_InputFunctions.Utility_DisplayArrayInTable(Fertiliser_SourceData.Fertiliser_Products_Data5(),FertiliserProducts[[#Headers],[Company]], 121)</f>
        <v/>
      </c>
    </row>
    <row r="211" spans="4:34" x14ac:dyDescent="0.25">
      <c r="D211" s="215" t="str" cm="1">
        <f t="array" ref="D211">Common_InputFunctions.Utility_DisplayArrayInTable(Fertiliser_SourceData.Fertiliser_Products_Data5(),FertiliserProducts[[#Headers],[Company]], 121)</f>
        <v>Wengfu Australia</v>
      </c>
      <c r="E211" s="215" t="str" cm="1">
        <f t="array" ref="E211">Common_InputFunctions.Utility_DisplayArrayInTable(Fertiliser_SourceData.Fertiliser_Products_Data5(),FertiliserProducts[[#Headers],[Company]], 121)</f>
        <v>Wengfu Booster K</v>
      </c>
      <c r="F211" s="215" t="str" cm="1">
        <f t="array" ref="F211">Common_InputFunctions.Utility_DisplayArrayInTable(Fertiliser_SourceData.Fertiliser_Products_Data5(),FertiliserProducts[[#Headers],[Company]], 121)</f>
        <v>kg</v>
      </c>
      <c r="G211" s="215" cm="1">
        <f t="array" ref="G211">Common_InputFunctions.Utility_DisplayArrayInTable(Fertiliser_SourceData.Fertiliser_Products_Data5(),FertiliserProducts[[#Headers],[Company]], 121)</f>
        <v>1</v>
      </c>
      <c r="H211" s="215" t="str" cm="1">
        <f t="array" ref="H211">Common_InputFunctions.Utility_DisplayArrayInTable(Fertiliser_SourceData.Fertiliser_Products_Data5(),FertiliserProducts[[#Headers],[Company]], 121)</f>
        <v/>
      </c>
      <c r="I211" s="215" t="str" cm="1">
        <f t="array" ref="I211">Common_InputFunctions.Utility_DisplayArrayInTable(Fertiliser_SourceData.Fertiliser_Products_Data5(),FertiliserProducts[[#Headers],[Company]], 121)</f>
        <v/>
      </c>
      <c r="J211" s="215" t="str" cm="1">
        <f t="array" ref="J211">Common_InputFunctions.Utility_DisplayArrayInTable(Fertiliser_SourceData.Fertiliser_Products_Data5(),FertiliserProducts[[#Headers],[Company]], 121)</f>
        <v/>
      </c>
      <c r="K211" s="215" cm="1">
        <f t="array" ref="K211">Common_InputFunctions.Utility_DisplayArrayInTable(Fertiliser_SourceData.Fertiliser_Products_Data5(),FertiliserProducts[[#Headers],[Company]], 121)</f>
        <v>32</v>
      </c>
      <c r="L211" s="215" cm="1">
        <f t="array" ref="L211">Common_InputFunctions.Utility_DisplayArrayInTable(Fertiliser_SourceData.Fertiliser_Products_Data5(),FertiliserProducts[[#Headers],[Company]], 121)</f>
        <v>0</v>
      </c>
      <c r="M211" s="215" cm="1">
        <f t="array" ref="M211">Common_InputFunctions.Utility_DisplayArrayInTable(Fertiliser_SourceData.Fertiliser_Products_Data5(),FertiliserProducts[[#Headers],[Company]], 121)</f>
        <v>11</v>
      </c>
      <c r="N211" s="215" cm="1">
        <f t="array" ref="N211">Common_InputFunctions.Utility_DisplayArrayInTable(Fertiliser_SourceData.Fertiliser_Products_Data5(),FertiliserProducts[[#Headers],[Company]], 121)</f>
        <v>3</v>
      </c>
      <c r="O211" s="215" t="str" cm="1">
        <f t="array" ref="O211">Common_InputFunctions.Utility_DisplayArrayInTable(Fertiliser_SourceData.Fertiliser_Products_Data5(),FertiliserProducts[[#Headers],[Company]], 121)</f>
        <v>Nitrogen - Generic</v>
      </c>
      <c r="P211" s="215" cm="1">
        <f t="array" ref="P211">Common_InputFunctions.Utility_DisplayArrayInTable(Fertiliser_SourceData.Fertiliser_Products_Data5(),FertiliserProducts[[#Headers],[Company]], 121)</f>
        <v>0.32</v>
      </c>
      <c r="Q211" s="215" t="str" cm="1">
        <f t="array" ref="Q211">Common_InputFunctions.Utility_DisplayArrayInTable(Fertiliser_SourceData.Fertiliser_Products_Data5(),FertiliserProducts[[#Headers],[Company]], 121)</f>
        <v>Potassium - Generic</v>
      </c>
      <c r="R211" s="215" cm="1">
        <f t="array" ref="R211">Common_InputFunctions.Utility_DisplayArrayInTable(Fertiliser_SourceData.Fertiliser_Products_Data5(),FertiliserProducts[[#Headers],[Company]], 121)</f>
        <v>0.11</v>
      </c>
      <c r="S211" s="215" t="str" cm="1">
        <f t="array" ref="S211">Common_InputFunctions.Utility_DisplayArrayInTable(Fertiliser_SourceData.Fertiliser_Products_Data5(),FertiliserProducts[[#Headers],[Company]], 121)</f>
        <v>Sulfur - Generic</v>
      </c>
      <c r="T211" s="215" cm="1">
        <f t="array" ref="T211">Common_InputFunctions.Utility_DisplayArrayInTable(Fertiliser_SourceData.Fertiliser_Products_Data5(),FertiliserProducts[[#Headers],[Company]], 121)</f>
        <v>0.03</v>
      </c>
      <c r="U211" s="215" t="str" cm="1">
        <f t="array" ref="U211">Common_InputFunctions.Utility_DisplayArrayInTable(Fertiliser_SourceData.Fertiliser_Products_Data5(),FertiliserProducts[[#Headers],[Company]], 121)</f>
        <v/>
      </c>
      <c r="V211" s="215" t="str" cm="1">
        <f t="array" ref="V211">Common_InputFunctions.Utility_DisplayArrayInTable(Fertiliser_SourceData.Fertiliser_Products_Data5(),FertiliserProducts[[#Headers],[Company]], 121)</f>
        <v/>
      </c>
      <c r="W211" s="215" t="str" cm="1">
        <f t="array" ref="W211">Common_InputFunctions.Utility_DisplayArrayInTable(Fertiliser_SourceData.Fertiliser_Products_Data5(),FertiliserProducts[[#Headers],[Company]], 121)</f>
        <v/>
      </c>
      <c r="X211" s="215" t="str" cm="1">
        <f t="array" ref="X211">Common_InputFunctions.Utility_DisplayArrayInTable(Fertiliser_SourceData.Fertiliser_Products_Data5(),FertiliserProducts[[#Headers],[Company]], 121)</f>
        <v/>
      </c>
      <c r="Y211" s="215" t="str" cm="1">
        <f t="array" ref="Y211">Common_InputFunctions.Utility_DisplayArrayInTable(Fertiliser_SourceData.Fertiliser_Products_Data5(),FertiliserProducts[[#Headers],[Company]], 121)</f>
        <v/>
      </c>
      <c r="Z211" s="215" t="str" cm="1">
        <f t="array" ref="Z211">Common_InputFunctions.Utility_DisplayArrayInTable(Fertiliser_SourceData.Fertiliser_Products_Data5(),FertiliserProducts[[#Headers],[Company]], 121)</f>
        <v/>
      </c>
      <c r="AA211" s="215" t="str" cm="1">
        <f t="array" ref="AA211">Common_InputFunctions.Utility_DisplayArrayInTable(Fertiliser_SourceData.Fertiliser_Products_Data5(),FertiliserProducts[[#Headers],[Company]], 121)</f>
        <v/>
      </c>
      <c r="AB211" s="215" t="str" cm="1">
        <f t="array" ref="AB211">Common_InputFunctions.Utility_DisplayArrayInTable(Fertiliser_SourceData.Fertiliser_Products_Data5(),FertiliserProducts[[#Headers],[Company]], 121)</f>
        <v/>
      </c>
      <c r="AC211" s="215" t="str" cm="1">
        <f t="array" ref="AC211">Common_InputFunctions.Utility_DisplayArrayInTable(Fertiliser_SourceData.Fertiliser_Products_Data5(),FertiliserProducts[[#Headers],[Company]], 121)</f>
        <v/>
      </c>
      <c r="AD211" s="215" t="str" cm="1">
        <f t="array" ref="AD211">Common_InputFunctions.Utility_DisplayArrayInTable(Fertiliser_SourceData.Fertiliser_Products_Data5(),FertiliserProducts[[#Headers],[Company]], 121)</f>
        <v/>
      </c>
      <c r="AE211" s="215" t="str" cm="1">
        <f t="array" ref="AE211">Common_InputFunctions.Utility_DisplayArrayInTable(Fertiliser_SourceData.Fertiliser_Products_Data5(),FertiliserProducts[[#Headers],[Company]], 121)</f>
        <v/>
      </c>
      <c r="AF211" s="215" t="str" cm="1">
        <f t="array" ref="AF211">Common_InputFunctions.Utility_DisplayArrayInTable(Fertiliser_SourceData.Fertiliser_Products_Data5(),FertiliserProducts[[#Headers],[Company]], 121)</f>
        <v/>
      </c>
      <c r="AG211" s="215" t="str" cm="1">
        <f t="array" ref="AG211">Common_InputFunctions.Utility_DisplayArrayInTable(Fertiliser_SourceData.Fertiliser_Products_Data5(),FertiliserProducts[[#Headers],[Company]], 121)</f>
        <v/>
      </c>
      <c r="AH211" s="215" t="str" cm="1">
        <f t="array" ref="AH211">Common_InputFunctions.Utility_DisplayArrayInTable(Fertiliser_SourceData.Fertiliser_Products_Data5(),FertiliserProducts[[#Headers],[Company]], 121)</f>
        <v/>
      </c>
    </row>
    <row r="212" spans="4:34" x14ac:dyDescent="0.25">
      <c r="D212" s="215" t="str" cm="1">
        <f t="array" ref="D212">Common_InputFunctions.Utility_DisplayArrayInTable(Fertiliser_SourceData.Fertiliser_Products_Data5(),FertiliserProducts[[#Headers],[Company]], 121)</f>
        <v>Wengfu Australia</v>
      </c>
      <c r="E212" s="215" t="str" cm="1">
        <f t="array" ref="E212">Common_InputFunctions.Utility_DisplayArrayInTable(Fertiliser_SourceData.Fertiliser_Products_Data5(),FertiliserProducts[[#Headers],[Company]], 121)</f>
        <v>Wengfu Booster Rich 1</v>
      </c>
      <c r="F212" s="215" t="str" cm="1">
        <f t="array" ref="F212">Common_InputFunctions.Utility_DisplayArrayInTable(Fertiliser_SourceData.Fertiliser_Products_Data5(),FertiliserProducts[[#Headers],[Company]], 121)</f>
        <v>kg</v>
      </c>
      <c r="G212" s="215" cm="1">
        <f t="array" ref="G212">Common_InputFunctions.Utility_DisplayArrayInTable(Fertiliser_SourceData.Fertiliser_Products_Data5(),FertiliserProducts[[#Headers],[Company]], 121)</f>
        <v>1</v>
      </c>
      <c r="H212" s="215" t="str" cm="1">
        <f t="array" ref="H212">Common_InputFunctions.Utility_DisplayArrayInTable(Fertiliser_SourceData.Fertiliser_Products_Data5(),FertiliserProducts[[#Headers],[Company]], 121)</f>
        <v/>
      </c>
      <c r="I212" s="215" t="str" cm="1">
        <f t="array" ref="I212">Common_InputFunctions.Utility_DisplayArrayInTable(Fertiliser_SourceData.Fertiliser_Products_Data5(),FertiliserProducts[[#Headers],[Company]], 121)</f>
        <v/>
      </c>
      <c r="J212" s="215" t="str" cm="1">
        <f t="array" ref="J212">Common_InputFunctions.Utility_DisplayArrayInTable(Fertiliser_SourceData.Fertiliser_Products_Data5(),FertiliserProducts[[#Headers],[Company]], 121)</f>
        <v/>
      </c>
      <c r="K212" s="215" cm="1">
        <f t="array" ref="K212">Common_InputFunctions.Utility_DisplayArrayInTable(Fertiliser_SourceData.Fertiliser_Products_Data5(),FertiliserProducts[[#Headers],[Company]], 121)</f>
        <v>31</v>
      </c>
      <c r="L212" s="215" cm="1">
        <f t="array" ref="L212">Common_InputFunctions.Utility_DisplayArrayInTable(Fertiliser_SourceData.Fertiliser_Products_Data5(),FertiliserProducts[[#Headers],[Company]], 121)</f>
        <v>6</v>
      </c>
      <c r="M212" s="215" cm="1">
        <f t="array" ref="M212">Common_InputFunctions.Utility_DisplayArrayInTable(Fertiliser_SourceData.Fertiliser_Products_Data5(),FertiliserProducts[[#Headers],[Company]], 121)</f>
        <v>0</v>
      </c>
      <c r="N212" s="215" cm="1">
        <f t="array" ref="N212">Common_InputFunctions.Utility_DisplayArrayInTable(Fertiliser_SourceData.Fertiliser_Products_Data5(),FertiliserProducts[[#Headers],[Company]], 121)</f>
        <v>6</v>
      </c>
      <c r="O212" s="215" t="str" cm="1">
        <f t="array" ref="O212">Common_InputFunctions.Utility_DisplayArrayInTable(Fertiliser_SourceData.Fertiliser_Products_Data5(),FertiliserProducts[[#Headers],[Company]], 121)</f>
        <v>Nitrogen - Generic</v>
      </c>
      <c r="P212" s="215" cm="1">
        <f t="array" ref="P212">Common_InputFunctions.Utility_DisplayArrayInTable(Fertiliser_SourceData.Fertiliser_Products_Data5(),FertiliserProducts[[#Headers],[Company]], 121)</f>
        <v>0.31</v>
      </c>
      <c r="Q212" s="215" t="str" cm="1">
        <f t="array" ref="Q212">Common_InputFunctions.Utility_DisplayArrayInTable(Fertiliser_SourceData.Fertiliser_Products_Data5(),FertiliserProducts[[#Headers],[Company]], 121)</f>
        <v>Phosphorus - Generic</v>
      </c>
      <c r="R212" s="215" cm="1">
        <f t="array" ref="R212">Common_InputFunctions.Utility_DisplayArrayInTable(Fertiliser_SourceData.Fertiliser_Products_Data5(),FertiliserProducts[[#Headers],[Company]], 121)</f>
        <v>0.06</v>
      </c>
      <c r="S212" s="215" t="str" cm="1">
        <f t="array" ref="S212">Common_InputFunctions.Utility_DisplayArrayInTable(Fertiliser_SourceData.Fertiliser_Products_Data5(),FertiliserProducts[[#Headers],[Company]], 121)</f>
        <v>Sulfur - Generic</v>
      </c>
      <c r="T212" s="215" cm="1">
        <f t="array" ref="T212">Common_InputFunctions.Utility_DisplayArrayInTable(Fertiliser_SourceData.Fertiliser_Products_Data5(),FertiliserProducts[[#Headers],[Company]], 121)</f>
        <v>0.06</v>
      </c>
      <c r="U212" s="215" t="str" cm="1">
        <f t="array" ref="U212">Common_InputFunctions.Utility_DisplayArrayInTable(Fertiliser_SourceData.Fertiliser_Products_Data5(),FertiliserProducts[[#Headers],[Company]], 121)</f>
        <v/>
      </c>
      <c r="V212" s="215" t="str" cm="1">
        <f t="array" ref="V212">Common_InputFunctions.Utility_DisplayArrayInTable(Fertiliser_SourceData.Fertiliser_Products_Data5(),FertiliserProducts[[#Headers],[Company]], 121)</f>
        <v/>
      </c>
      <c r="W212" s="215" t="str" cm="1">
        <f t="array" ref="W212">Common_InputFunctions.Utility_DisplayArrayInTable(Fertiliser_SourceData.Fertiliser_Products_Data5(),FertiliserProducts[[#Headers],[Company]], 121)</f>
        <v/>
      </c>
      <c r="X212" s="215" t="str" cm="1">
        <f t="array" ref="X212">Common_InputFunctions.Utility_DisplayArrayInTable(Fertiliser_SourceData.Fertiliser_Products_Data5(),FertiliserProducts[[#Headers],[Company]], 121)</f>
        <v/>
      </c>
      <c r="Y212" s="215" t="str" cm="1">
        <f t="array" ref="Y212">Common_InputFunctions.Utility_DisplayArrayInTable(Fertiliser_SourceData.Fertiliser_Products_Data5(),FertiliserProducts[[#Headers],[Company]], 121)</f>
        <v/>
      </c>
      <c r="Z212" s="215" t="str" cm="1">
        <f t="array" ref="Z212">Common_InputFunctions.Utility_DisplayArrayInTable(Fertiliser_SourceData.Fertiliser_Products_Data5(),FertiliserProducts[[#Headers],[Company]], 121)</f>
        <v/>
      </c>
      <c r="AA212" s="215" t="str" cm="1">
        <f t="array" ref="AA212">Common_InputFunctions.Utility_DisplayArrayInTable(Fertiliser_SourceData.Fertiliser_Products_Data5(),FertiliserProducts[[#Headers],[Company]], 121)</f>
        <v/>
      </c>
      <c r="AB212" s="215" t="str" cm="1">
        <f t="array" ref="AB212">Common_InputFunctions.Utility_DisplayArrayInTable(Fertiliser_SourceData.Fertiliser_Products_Data5(),FertiliserProducts[[#Headers],[Company]], 121)</f>
        <v/>
      </c>
      <c r="AC212" s="215" t="str" cm="1">
        <f t="array" ref="AC212">Common_InputFunctions.Utility_DisplayArrayInTable(Fertiliser_SourceData.Fertiliser_Products_Data5(),FertiliserProducts[[#Headers],[Company]], 121)</f>
        <v/>
      </c>
      <c r="AD212" s="215" t="str" cm="1">
        <f t="array" ref="AD212">Common_InputFunctions.Utility_DisplayArrayInTable(Fertiliser_SourceData.Fertiliser_Products_Data5(),FertiliserProducts[[#Headers],[Company]], 121)</f>
        <v/>
      </c>
      <c r="AE212" s="215" t="str" cm="1">
        <f t="array" ref="AE212">Common_InputFunctions.Utility_DisplayArrayInTable(Fertiliser_SourceData.Fertiliser_Products_Data5(),FertiliserProducts[[#Headers],[Company]], 121)</f>
        <v/>
      </c>
      <c r="AF212" s="215" t="str" cm="1">
        <f t="array" ref="AF212">Common_InputFunctions.Utility_DisplayArrayInTable(Fertiliser_SourceData.Fertiliser_Products_Data5(),FertiliserProducts[[#Headers],[Company]], 121)</f>
        <v/>
      </c>
      <c r="AG212" s="215" t="str" cm="1">
        <f t="array" ref="AG212">Common_InputFunctions.Utility_DisplayArrayInTable(Fertiliser_SourceData.Fertiliser_Products_Data5(),FertiliserProducts[[#Headers],[Company]], 121)</f>
        <v/>
      </c>
      <c r="AH212" s="215" t="str" cm="1">
        <f t="array" ref="AH212">Common_InputFunctions.Utility_DisplayArrayInTable(Fertiliser_SourceData.Fertiliser_Products_Data5(),FertiliserProducts[[#Headers],[Company]], 121)</f>
        <v/>
      </c>
    </row>
    <row r="213" spans="4:34" x14ac:dyDescent="0.25">
      <c r="D213" s="215" t="str" cm="1">
        <f t="array" ref="D213">Common_InputFunctions.Utility_DisplayArrayInTable(Fertiliser_SourceData.Fertiliser_Products_Data5(),FertiliserProducts[[#Headers],[Company]], 121)</f>
        <v>Wengfu Australia</v>
      </c>
      <c r="E213" s="215" t="str" cm="1">
        <f t="array" ref="E213">Common_InputFunctions.Utility_DisplayArrayInTable(Fertiliser_SourceData.Fertiliser_Products_Data5(),FertiliserProducts[[#Headers],[Company]], 121)</f>
        <v>Wengfu Booster Grass DAP</v>
      </c>
      <c r="F213" s="215" t="str" cm="1">
        <f t="array" ref="F213">Common_InputFunctions.Utility_DisplayArrayInTable(Fertiliser_SourceData.Fertiliser_Products_Data5(),FertiliserProducts[[#Headers],[Company]], 121)</f>
        <v>kg</v>
      </c>
      <c r="G213" s="215" cm="1">
        <f t="array" ref="G213">Common_InputFunctions.Utility_DisplayArrayInTable(Fertiliser_SourceData.Fertiliser_Products_Data5(),FertiliserProducts[[#Headers],[Company]], 121)</f>
        <v>1</v>
      </c>
      <c r="H213" s="215" t="str" cm="1">
        <f t="array" ref="H213">Common_InputFunctions.Utility_DisplayArrayInTable(Fertiliser_SourceData.Fertiliser_Products_Data5(),FertiliserProducts[[#Headers],[Company]], 121)</f>
        <v/>
      </c>
      <c r="I213" s="215" t="str" cm="1">
        <f t="array" ref="I213">Common_InputFunctions.Utility_DisplayArrayInTable(Fertiliser_SourceData.Fertiliser_Products_Data5(),FertiliserProducts[[#Headers],[Company]], 121)</f>
        <v/>
      </c>
      <c r="J213" s="215" t="str" cm="1">
        <f t="array" ref="J213">Common_InputFunctions.Utility_DisplayArrayInTable(Fertiliser_SourceData.Fertiliser_Products_Data5(),FertiliserProducts[[#Headers],[Company]], 121)</f>
        <v/>
      </c>
      <c r="K213" s="215" cm="1">
        <f t="array" ref="K213">Common_InputFunctions.Utility_DisplayArrayInTable(Fertiliser_SourceData.Fertiliser_Products_Data5(),FertiliserProducts[[#Headers],[Company]], 121)</f>
        <v>21</v>
      </c>
      <c r="L213" s="215" cm="1">
        <f t="array" ref="L213">Common_InputFunctions.Utility_DisplayArrayInTable(Fertiliser_SourceData.Fertiliser_Products_Data5(),FertiliserProducts[[#Headers],[Company]], 121)</f>
        <v>4</v>
      </c>
      <c r="M213" s="215" cm="1">
        <f t="array" ref="M213">Common_InputFunctions.Utility_DisplayArrayInTable(Fertiliser_SourceData.Fertiliser_Products_Data5(),FertiliserProducts[[#Headers],[Company]], 121)</f>
        <v>8</v>
      </c>
      <c r="N213" s="215" cm="1">
        <f t="array" ref="N213">Common_InputFunctions.Utility_DisplayArrayInTable(Fertiliser_SourceData.Fertiliser_Products_Data5(),FertiliserProducts[[#Headers],[Company]], 121)</f>
        <v>7</v>
      </c>
      <c r="O213" s="215" t="str" cm="1">
        <f t="array" ref="O213">Common_InputFunctions.Utility_DisplayArrayInTable(Fertiliser_SourceData.Fertiliser_Products_Data5(),FertiliserProducts[[#Headers],[Company]], 121)</f>
        <v>Nitrogen - Generic</v>
      </c>
      <c r="P213" s="215" cm="1">
        <f t="array" ref="P213">Common_InputFunctions.Utility_DisplayArrayInTable(Fertiliser_SourceData.Fertiliser_Products_Data5(),FertiliserProducts[[#Headers],[Company]], 121)</f>
        <v>0.21</v>
      </c>
      <c r="Q213" s="215" t="str" cm="1">
        <f t="array" ref="Q213">Common_InputFunctions.Utility_DisplayArrayInTable(Fertiliser_SourceData.Fertiliser_Products_Data5(),FertiliserProducts[[#Headers],[Company]], 121)</f>
        <v>Phosphorus - Generic</v>
      </c>
      <c r="R213" s="215" cm="1">
        <f t="array" ref="R213">Common_InputFunctions.Utility_DisplayArrayInTable(Fertiliser_SourceData.Fertiliser_Products_Data5(),FertiliserProducts[[#Headers],[Company]], 121)</f>
        <v>0.04</v>
      </c>
      <c r="S213" s="215" t="str" cm="1">
        <f t="array" ref="S213">Common_InputFunctions.Utility_DisplayArrayInTable(Fertiliser_SourceData.Fertiliser_Products_Data5(),FertiliserProducts[[#Headers],[Company]], 121)</f>
        <v>Potassium - Generic</v>
      </c>
      <c r="T213" s="215" cm="1">
        <f t="array" ref="T213">Common_InputFunctions.Utility_DisplayArrayInTable(Fertiliser_SourceData.Fertiliser_Products_Data5(),FertiliserProducts[[#Headers],[Company]], 121)</f>
        <v>0.08</v>
      </c>
      <c r="U213" s="215" t="str" cm="1">
        <f t="array" ref="U213">Common_InputFunctions.Utility_DisplayArrayInTable(Fertiliser_SourceData.Fertiliser_Products_Data5(),FertiliserProducts[[#Headers],[Company]], 121)</f>
        <v>Sulfur - Generic</v>
      </c>
      <c r="V213" s="215" cm="1">
        <f t="array" ref="V213">Common_InputFunctions.Utility_DisplayArrayInTable(Fertiliser_SourceData.Fertiliser_Products_Data5(),FertiliserProducts[[#Headers],[Company]], 121)</f>
        <v>7.0000000000000007E-2</v>
      </c>
      <c r="W213" s="215" t="str" cm="1">
        <f t="array" ref="W213">Common_InputFunctions.Utility_DisplayArrayInTable(Fertiliser_SourceData.Fertiliser_Products_Data5(),FertiliserProducts[[#Headers],[Company]], 121)</f>
        <v/>
      </c>
      <c r="X213" s="215" t="str" cm="1">
        <f t="array" ref="X213">Common_InputFunctions.Utility_DisplayArrayInTable(Fertiliser_SourceData.Fertiliser_Products_Data5(),FertiliserProducts[[#Headers],[Company]], 121)</f>
        <v/>
      </c>
      <c r="Y213" s="215" t="str" cm="1">
        <f t="array" ref="Y213">Common_InputFunctions.Utility_DisplayArrayInTable(Fertiliser_SourceData.Fertiliser_Products_Data5(),FertiliserProducts[[#Headers],[Company]], 121)</f>
        <v/>
      </c>
      <c r="Z213" s="215" t="str" cm="1">
        <f t="array" ref="Z213">Common_InputFunctions.Utility_DisplayArrayInTable(Fertiliser_SourceData.Fertiliser_Products_Data5(),FertiliserProducts[[#Headers],[Company]], 121)</f>
        <v/>
      </c>
      <c r="AA213" s="215" t="str" cm="1">
        <f t="array" ref="AA213">Common_InputFunctions.Utility_DisplayArrayInTable(Fertiliser_SourceData.Fertiliser_Products_Data5(),FertiliserProducts[[#Headers],[Company]], 121)</f>
        <v/>
      </c>
      <c r="AB213" s="215" t="str" cm="1">
        <f t="array" ref="AB213">Common_InputFunctions.Utility_DisplayArrayInTable(Fertiliser_SourceData.Fertiliser_Products_Data5(),FertiliserProducts[[#Headers],[Company]], 121)</f>
        <v/>
      </c>
      <c r="AC213" s="215" t="str" cm="1">
        <f t="array" ref="AC213">Common_InputFunctions.Utility_DisplayArrayInTable(Fertiliser_SourceData.Fertiliser_Products_Data5(),FertiliserProducts[[#Headers],[Company]], 121)</f>
        <v/>
      </c>
      <c r="AD213" s="215" t="str" cm="1">
        <f t="array" ref="AD213">Common_InputFunctions.Utility_DisplayArrayInTable(Fertiliser_SourceData.Fertiliser_Products_Data5(),FertiliserProducts[[#Headers],[Company]], 121)</f>
        <v/>
      </c>
      <c r="AE213" s="215" t="str" cm="1">
        <f t="array" ref="AE213">Common_InputFunctions.Utility_DisplayArrayInTable(Fertiliser_SourceData.Fertiliser_Products_Data5(),FertiliserProducts[[#Headers],[Company]], 121)</f>
        <v/>
      </c>
      <c r="AF213" s="215" t="str" cm="1">
        <f t="array" ref="AF213">Common_InputFunctions.Utility_DisplayArrayInTable(Fertiliser_SourceData.Fertiliser_Products_Data5(),FertiliserProducts[[#Headers],[Company]], 121)</f>
        <v/>
      </c>
      <c r="AG213" s="215" t="str" cm="1">
        <f t="array" ref="AG213">Common_InputFunctions.Utility_DisplayArrayInTable(Fertiliser_SourceData.Fertiliser_Products_Data5(),FertiliserProducts[[#Headers],[Company]], 121)</f>
        <v/>
      </c>
      <c r="AH213" s="215" t="str" cm="1">
        <f t="array" ref="AH213">Common_InputFunctions.Utility_DisplayArrayInTable(Fertiliser_SourceData.Fertiliser_Products_Data5(),FertiliserProducts[[#Headers],[Company]], 121)</f>
        <v/>
      </c>
    </row>
    <row r="214" spans="4:34" x14ac:dyDescent="0.25">
      <c r="D214" s="215" t="str" cm="1">
        <f t="array" ref="D214">Common_InputFunctions.Utility_DisplayArrayInTable(Fertiliser_SourceData.Fertiliser_Products_Data5(),FertiliserProducts[[#Headers],[Company]], 121)</f>
        <v>Wengfu Australia</v>
      </c>
      <c r="E214" s="215" t="str" cm="1">
        <f t="array" ref="E214">Common_InputFunctions.Utility_DisplayArrayInTable(Fertiliser_SourceData.Fertiliser_Products_Data5(),FertiliserProducts[[#Headers],[Company]], 121)</f>
        <v>Wengfu Aftergraze</v>
      </c>
      <c r="F214" s="215" t="str" cm="1">
        <f t="array" ref="F214">Common_InputFunctions.Utility_DisplayArrayInTable(Fertiliser_SourceData.Fertiliser_Products_Data5(),FertiliserProducts[[#Headers],[Company]], 121)</f>
        <v>kg</v>
      </c>
      <c r="G214" s="215" cm="1">
        <f t="array" ref="G214">Common_InputFunctions.Utility_DisplayArrayInTable(Fertiliser_SourceData.Fertiliser_Products_Data5(),FertiliserProducts[[#Headers],[Company]], 121)</f>
        <v>1</v>
      </c>
      <c r="H214" s="215" t="str" cm="1">
        <f t="array" ref="H214">Common_InputFunctions.Utility_DisplayArrayInTable(Fertiliser_SourceData.Fertiliser_Products_Data5(),FertiliserProducts[[#Headers],[Company]], 121)</f>
        <v/>
      </c>
      <c r="I214" s="215" t="str" cm="1">
        <f t="array" ref="I214">Common_InputFunctions.Utility_DisplayArrayInTable(Fertiliser_SourceData.Fertiliser_Products_Data5(),FertiliserProducts[[#Headers],[Company]], 121)</f>
        <v/>
      </c>
      <c r="J214" s="215" t="str" cm="1">
        <f t="array" ref="J214">Common_InputFunctions.Utility_DisplayArrayInTable(Fertiliser_SourceData.Fertiliser_Products_Data5(),FertiliserProducts[[#Headers],[Company]], 121)</f>
        <v/>
      </c>
      <c r="K214" s="215" cm="1">
        <f t="array" ref="K214">Common_InputFunctions.Utility_DisplayArrayInTable(Fertiliser_SourceData.Fertiliser_Products_Data5(),FertiliserProducts[[#Headers],[Company]], 121)</f>
        <v>23</v>
      </c>
      <c r="L214" s="215" cm="1">
        <f t="array" ref="L214">Common_InputFunctions.Utility_DisplayArrayInTable(Fertiliser_SourceData.Fertiliser_Products_Data5(),FertiliserProducts[[#Headers],[Company]], 121)</f>
        <v>0</v>
      </c>
      <c r="M214" s="215" cm="1">
        <f t="array" ref="M214">Common_InputFunctions.Utility_DisplayArrayInTable(Fertiliser_SourceData.Fertiliser_Products_Data5(),FertiliserProducts[[#Headers],[Company]], 121)</f>
        <v>25</v>
      </c>
      <c r="N214" s="215" cm="1">
        <f t="array" ref="N214">Common_InputFunctions.Utility_DisplayArrayInTable(Fertiliser_SourceData.Fertiliser_Products_Data5(),FertiliserProducts[[#Headers],[Company]], 121)</f>
        <v>0</v>
      </c>
      <c r="O214" s="215" t="str" cm="1">
        <f t="array" ref="O214">Common_InputFunctions.Utility_DisplayArrayInTable(Fertiliser_SourceData.Fertiliser_Products_Data5(),FertiliserProducts[[#Headers],[Company]], 121)</f>
        <v>Nitrogen - Generic</v>
      </c>
      <c r="P214" s="215" cm="1">
        <f t="array" ref="P214">Common_InputFunctions.Utility_DisplayArrayInTable(Fertiliser_SourceData.Fertiliser_Products_Data5(),FertiliserProducts[[#Headers],[Company]], 121)</f>
        <v>0.23</v>
      </c>
      <c r="Q214" s="215" t="str" cm="1">
        <f t="array" ref="Q214">Common_InputFunctions.Utility_DisplayArrayInTable(Fertiliser_SourceData.Fertiliser_Products_Data5(),FertiliserProducts[[#Headers],[Company]], 121)</f>
        <v>Potassium - Generic</v>
      </c>
      <c r="R214" s="215" cm="1">
        <f t="array" ref="R214">Common_InputFunctions.Utility_DisplayArrayInTable(Fertiliser_SourceData.Fertiliser_Products_Data5(),FertiliserProducts[[#Headers],[Company]], 121)</f>
        <v>0.25</v>
      </c>
      <c r="S214" s="215" t="str" cm="1">
        <f t="array" ref="S214">Common_InputFunctions.Utility_DisplayArrayInTable(Fertiliser_SourceData.Fertiliser_Products_Data5(),FertiliserProducts[[#Headers],[Company]], 121)</f>
        <v/>
      </c>
      <c r="T214" s="215" t="str" cm="1">
        <f t="array" ref="T214">Common_InputFunctions.Utility_DisplayArrayInTable(Fertiliser_SourceData.Fertiliser_Products_Data5(),FertiliserProducts[[#Headers],[Company]], 121)</f>
        <v/>
      </c>
      <c r="U214" s="215" t="str" cm="1">
        <f t="array" ref="U214">Common_InputFunctions.Utility_DisplayArrayInTable(Fertiliser_SourceData.Fertiliser_Products_Data5(),FertiliserProducts[[#Headers],[Company]], 121)</f>
        <v/>
      </c>
      <c r="V214" s="215" t="str" cm="1">
        <f t="array" ref="V214">Common_InputFunctions.Utility_DisplayArrayInTable(Fertiliser_SourceData.Fertiliser_Products_Data5(),FertiliserProducts[[#Headers],[Company]], 121)</f>
        <v/>
      </c>
      <c r="W214" s="215" t="str" cm="1">
        <f t="array" ref="W214">Common_InputFunctions.Utility_DisplayArrayInTable(Fertiliser_SourceData.Fertiliser_Products_Data5(),FertiliserProducts[[#Headers],[Company]], 121)</f>
        <v/>
      </c>
      <c r="X214" s="215" t="str" cm="1">
        <f t="array" ref="X214">Common_InputFunctions.Utility_DisplayArrayInTable(Fertiliser_SourceData.Fertiliser_Products_Data5(),FertiliserProducts[[#Headers],[Company]], 121)</f>
        <v/>
      </c>
      <c r="Y214" s="215" t="str" cm="1">
        <f t="array" ref="Y214">Common_InputFunctions.Utility_DisplayArrayInTable(Fertiliser_SourceData.Fertiliser_Products_Data5(),FertiliserProducts[[#Headers],[Company]], 121)</f>
        <v/>
      </c>
      <c r="Z214" s="215" t="str" cm="1">
        <f t="array" ref="Z214">Common_InputFunctions.Utility_DisplayArrayInTable(Fertiliser_SourceData.Fertiliser_Products_Data5(),FertiliserProducts[[#Headers],[Company]], 121)</f>
        <v/>
      </c>
      <c r="AA214" s="215" t="str" cm="1">
        <f t="array" ref="AA214">Common_InputFunctions.Utility_DisplayArrayInTable(Fertiliser_SourceData.Fertiliser_Products_Data5(),FertiliserProducts[[#Headers],[Company]], 121)</f>
        <v/>
      </c>
      <c r="AB214" s="215" t="str" cm="1">
        <f t="array" ref="AB214">Common_InputFunctions.Utility_DisplayArrayInTable(Fertiliser_SourceData.Fertiliser_Products_Data5(),FertiliserProducts[[#Headers],[Company]], 121)</f>
        <v/>
      </c>
      <c r="AC214" s="215" t="str" cm="1">
        <f t="array" ref="AC214">Common_InputFunctions.Utility_DisplayArrayInTable(Fertiliser_SourceData.Fertiliser_Products_Data5(),FertiliserProducts[[#Headers],[Company]], 121)</f>
        <v/>
      </c>
      <c r="AD214" s="215" t="str" cm="1">
        <f t="array" ref="AD214">Common_InputFunctions.Utility_DisplayArrayInTable(Fertiliser_SourceData.Fertiliser_Products_Data5(),FertiliserProducts[[#Headers],[Company]], 121)</f>
        <v/>
      </c>
      <c r="AE214" s="215" t="str" cm="1">
        <f t="array" ref="AE214">Common_InputFunctions.Utility_DisplayArrayInTable(Fertiliser_SourceData.Fertiliser_Products_Data5(),FertiliserProducts[[#Headers],[Company]], 121)</f>
        <v/>
      </c>
      <c r="AF214" s="215" t="str" cm="1">
        <f t="array" ref="AF214">Common_InputFunctions.Utility_DisplayArrayInTable(Fertiliser_SourceData.Fertiliser_Products_Data5(),FertiliserProducts[[#Headers],[Company]], 121)</f>
        <v/>
      </c>
      <c r="AG214" s="215" t="str" cm="1">
        <f t="array" ref="AG214">Common_InputFunctions.Utility_DisplayArrayInTable(Fertiliser_SourceData.Fertiliser_Products_Data5(),FertiliserProducts[[#Headers],[Company]], 121)</f>
        <v/>
      </c>
      <c r="AH214" s="215" t="str" cm="1">
        <f t="array" ref="AH214">Common_InputFunctions.Utility_DisplayArrayInTable(Fertiliser_SourceData.Fertiliser_Products_Data5(),FertiliserProducts[[#Headers],[Company]], 121)</f>
        <v/>
      </c>
    </row>
    <row r="215" spans="4:34" x14ac:dyDescent="0.25">
      <c r="D215" s="215" t="str" cm="1">
        <f t="array" ref="D215">Common_InputFunctions.Utility_DisplayArrayInTable(Fertiliser_SourceData.Fertiliser_Products_Data5(),FertiliserProducts[[#Headers],[Company]], 121)</f>
        <v>Wengfu Australia</v>
      </c>
      <c r="E215" s="215" t="str" cm="1">
        <f t="array" ref="E215">Common_InputFunctions.Utility_DisplayArrayInTable(Fertiliser_SourceData.Fertiliser_Products_Data5(),FertiliserProducts[[#Headers],[Company]], 121)</f>
        <v>Wengfu Sidedress</v>
      </c>
      <c r="F215" s="215" t="str" cm="1">
        <f t="array" ref="F215">Common_InputFunctions.Utility_DisplayArrayInTable(Fertiliser_SourceData.Fertiliser_Products_Data5(),FertiliserProducts[[#Headers],[Company]], 121)</f>
        <v>kg</v>
      </c>
      <c r="G215" s="215" cm="1">
        <f t="array" ref="G215">Common_InputFunctions.Utility_DisplayArrayInTable(Fertiliser_SourceData.Fertiliser_Products_Data5(),FertiliserProducts[[#Headers],[Company]], 121)</f>
        <v>1</v>
      </c>
      <c r="H215" s="215" t="str" cm="1">
        <f t="array" ref="H215">Common_InputFunctions.Utility_DisplayArrayInTable(Fertiliser_SourceData.Fertiliser_Products_Data5(),FertiliserProducts[[#Headers],[Company]], 121)</f>
        <v/>
      </c>
      <c r="I215" s="215" t="str" cm="1">
        <f t="array" ref="I215">Common_InputFunctions.Utility_DisplayArrayInTable(Fertiliser_SourceData.Fertiliser_Products_Data5(),FertiliserProducts[[#Headers],[Company]], 121)</f>
        <v/>
      </c>
      <c r="J215" s="215" t="str" cm="1">
        <f t="array" ref="J215">Common_InputFunctions.Utility_DisplayArrayInTable(Fertiliser_SourceData.Fertiliser_Products_Data5(),FertiliserProducts[[#Headers],[Company]], 121)</f>
        <v/>
      </c>
      <c r="K215" s="215" cm="1">
        <f t="array" ref="K215">Common_InputFunctions.Utility_DisplayArrayInTable(Fertiliser_SourceData.Fertiliser_Products_Data5(),FertiliserProducts[[#Headers],[Company]], 121)</f>
        <v>25</v>
      </c>
      <c r="L215" s="215" cm="1">
        <f t="array" ref="L215">Common_InputFunctions.Utility_DisplayArrayInTable(Fertiliser_SourceData.Fertiliser_Products_Data5(),FertiliserProducts[[#Headers],[Company]], 121)</f>
        <v>4</v>
      </c>
      <c r="M215" s="215" cm="1">
        <f t="array" ref="M215">Common_InputFunctions.Utility_DisplayArrayInTable(Fertiliser_SourceData.Fertiliser_Products_Data5(),FertiliserProducts[[#Headers],[Company]], 121)</f>
        <v>13</v>
      </c>
      <c r="N215" s="215" cm="1">
        <f t="array" ref="N215">Common_InputFunctions.Utility_DisplayArrayInTable(Fertiliser_SourceData.Fertiliser_Products_Data5(),FertiliserProducts[[#Headers],[Company]], 121)</f>
        <v>4</v>
      </c>
      <c r="O215" s="215" t="str" cm="1">
        <f t="array" ref="O215">Common_InputFunctions.Utility_DisplayArrayInTable(Fertiliser_SourceData.Fertiliser_Products_Data5(),FertiliserProducts[[#Headers],[Company]], 121)</f>
        <v>Nitrogen - Generic</v>
      </c>
      <c r="P215" s="215" cm="1">
        <f t="array" ref="P215">Common_InputFunctions.Utility_DisplayArrayInTable(Fertiliser_SourceData.Fertiliser_Products_Data5(),FertiliserProducts[[#Headers],[Company]], 121)</f>
        <v>0.25</v>
      </c>
      <c r="Q215" s="215" t="str" cm="1">
        <f t="array" ref="Q215">Common_InputFunctions.Utility_DisplayArrayInTable(Fertiliser_SourceData.Fertiliser_Products_Data5(),FertiliserProducts[[#Headers],[Company]], 121)</f>
        <v>Phosphorus - Generic</v>
      </c>
      <c r="R215" s="215" cm="1">
        <f t="array" ref="R215">Common_InputFunctions.Utility_DisplayArrayInTable(Fertiliser_SourceData.Fertiliser_Products_Data5(),FertiliserProducts[[#Headers],[Company]], 121)</f>
        <v>0.04</v>
      </c>
      <c r="S215" s="215" t="str" cm="1">
        <f t="array" ref="S215">Common_InputFunctions.Utility_DisplayArrayInTable(Fertiliser_SourceData.Fertiliser_Products_Data5(),FertiliserProducts[[#Headers],[Company]], 121)</f>
        <v>Potassium - Generic</v>
      </c>
      <c r="T215" s="215" cm="1">
        <f t="array" ref="T215">Common_InputFunctions.Utility_DisplayArrayInTable(Fertiliser_SourceData.Fertiliser_Products_Data5(),FertiliserProducts[[#Headers],[Company]], 121)</f>
        <v>0.13</v>
      </c>
      <c r="U215" s="215" t="str" cm="1">
        <f t="array" ref="U215">Common_InputFunctions.Utility_DisplayArrayInTable(Fertiliser_SourceData.Fertiliser_Products_Data5(),FertiliserProducts[[#Headers],[Company]], 121)</f>
        <v>Sulfur - Generic</v>
      </c>
      <c r="V215" s="215" cm="1">
        <f t="array" ref="V215">Common_InputFunctions.Utility_DisplayArrayInTable(Fertiliser_SourceData.Fertiliser_Products_Data5(),FertiliserProducts[[#Headers],[Company]], 121)</f>
        <v>0.04</v>
      </c>
      <c r="W215" s="215" t="str" cm="1">
        <f t="array" ref="W215">Common_InputFunctions.Utility_DisplayArrayInTable(Fertiliser_SourceData.Fertiliser_Products_Data5(),FertiliserProducts[[#Headers],[Company]], 121)</f>
        <v/>
      </c>
      <c r="X215" s="215" t="str" cm="1">
        <f t="array" ref="X215">Common_InputFunctions.Utility_DisplayArrayInTable(Fertiliser_SourceData.Fertiliser_Products_Data5(),FertiliserProducts[[#Headers],[Company]], 121)</f>
        <v/>
      </c>
      <c r="Y215" s="215" t="str" cm="1">
        <f t="array" ref="Y215">Common_InputFunctions.Utility_DisplayArrayInTable(Fertiliser_SourceData.Fertiliser_Products_Data5(),FertiliserProducts[[#Headers],[Company]], 121)</f>
        <v/>
      </c>
      <c r="Z215" s="215" t="str" cm="1">
        <f t="array" ref="Z215">Common_InputFunctions.Utility_DisplayArrayInTable(Fertiliser_SourceData.Fertiliser_Products_Data5(),FertiliserProducts[[#Headers],[Company]], 121)</f>
        <v/>
      </c>
      <c r="AA215" s="215" t="str" cm="1">
        <f t="array" ref="AA215">Common_InputFunctions.Utility_DisplayArrayInTable(Fertiliser_SourceData.Fertiliser_Products_Data5(),FertiliserProducts[[#Headers],[Company]], 121)</f>
        <v/>
      </c>
      <c r="AB215" s="215" t="str" cm="1">
        <f t="array" ref="AB215">Common_InputFunctions.Utility_DisplayArrayInTable(Fertiliser_SourceData.Fertiliser_Products_Data5(),FertiliserProducts[[#Headers],[Company]], 121)</f>
        <v/>
      </c>
      <c r="AC215" s="215" t="str" cm="1">
        <f t="array" ref="AC215">Common_InputFunctions.Utility_DisplayArrayInTable(Fertiliser_SourceData.Fertiliser_Products_Data5(),FertiliserProducts[[#Headers],[Company]], 121)</f>
        <v/>
      </c>
      <c r="AD215" s="215" t="str" cm="1">
        <f t="array" ref="AD215">Common_InputFunctions.Utility_DisplayArrayInTable(Fertiliser_SourceData.Fertiliser_Products_Data5(),FertiliserProducts[[#Headers],[Company]], 121)</f>
        <v/>
      </c>
      <c r="AE215" s="215" t="str" cm="1">
        <f t="array" ref="AE215">Common_InputFunctions.Utility_DisplayArrayInTable(Fertiliser_SourceData.Fertiliser_Products_Data5(),FertiliserProducts[[#Headers],[Company]], 121)</f>
        <v/>
      </c>
      <c r="AF215" s="215" t="str" cm="1">
        <f t="array" ref="AF215">Common_InputFunctions.Utility_DisplayArrayInTable(Fertiliser_SourceData.Fertiliser_Products_Data5(),FertiliserProducts[[#Headers],[Company]], 121)</f>
        <v/>
      </c>
      <c r="AG215" s="215" t="str" cm="1">
        <f t="array" ref="AG215">Common_InputFunctions.Utility_DisplayArrayInTable(Fertiliser_SourceData.Fertiliser_Products_Data5(),FertiliserProducts[[#Headers],[Company]], 121)</f>
        <v/>
      </c>
      <c r="AH215" s="215" t="str" cm="1">
        <f t="array" ref="AH215">Common_InputFunctions.Utility_DisplayArrayInTable(Fertiliser_SourceData.Fertiliser_Products_Data5(),FertiliserProducts[[#Headers],[Company]], 121)</f>
        <v/>
      </c>
    </row>
    <row r="216" spans="4:34" x14ac:dyDescent="0.25">
      <c r="D216" s="215" t="str" cm="1">
        <f t="array" ref="D216">Common_InputFunctions.Utility_DisplayArrayInTable(Fertiliser_SourceData.Fertiliser_Products_Data5(),FertiliserProducts[[#Headers],[Company]], 121)</f>
        <v>Wengfu Australia</v>
      </c>
      <c r="E216" s="215" t="str" cm="1">
        <f t="array" ref="E216">Common_InputFunctions.Utility_DisplayArrayInTable(Fertiliser_SourceData.Fertiliser_Products_Data5(),FertiliserProducts[[#Headers],[Company]], 121)</f>
        <v>Wengfu Pasture Booster</v>
      </c>
      <c r="F216" s="215" t="str" cm="1">
        <f t="array" ref="F216">Common_InputFunctions.Utility_DisplayArrayInTable(Fertiliser_SourceData.Fertiliser_Products_Data5(),FertiliserProducts[[#Headers],[Company]], 121)</f>
        <v>kg</v>
      </c>
      <c r="G216" s="215" cm="1">
        <f t="array" ref="G216">Common_InputFunctions.Utility_DisplayArrayInTable(Fertiliser_SourceData.Fertiliser_Products_Data5(),FertiliserProducts[[#Headers],[Company]], 121)</f>
        <v>1</v>
      </c>
      <c r="H216" s="215" t="str" cm="1">
        <f t="array" ref="H216">Common_InputFunctions.Utility_DisplayArrayInTable(Fertiliser_SourceData.Fertiliser_Products_Data5(),FertiliserProducts[[#Headers],[Company]], 121)</f>
        <v/>
      </c>
      <c r="I216" s="215" t="str" cm="1">
        <f t="array" ref="I216">Common_InputFunctions.Utility_DisplayArrayInTable(Fertiliser_SourceData.Fertiliser_Products_Data5(),FertiliserProducts[[#Headers],[Company]], 121)</f>
        <v/>
      </c>
      <c r="J216" s="215" t="str" cm="1">
        <f t="array" ref="J216">Common_InputFunctions.Utility_DisplayArrayInTable(Fertiliser_SourceData.Fertiliser_Products_Data5(),FertiliserProducts[[#Headers],[Company]], 121)</f>
        <v/>
      </c>
      <c r="K216" s="215" cm="1">
        <f t="array" ref="K216">Common_InputFunctions.Utility_DisplayArrayInTable(Fertiliser_SourceData.Fertiliser_Products_Data5(),FertiliserProducts[[#Headers],[Company]], 121)</f>
        <v>13</v>
      </c>
      <c r="L216" s="215" cm="1">
        <f t="array" ref="L216">Common_InputFunctions.Utility_DisplayArrayInTable(Fertiliser_SourceData.Fertiliser_Products_Data5(),FertiliserProducts[[#Headers],[Company]], 121)</f>
        <v>5</v>
      </c>
      <c r="M216" s="215" cm="1">
        <f t="array" ref="M216">Common_InputFunctions.Utility_DisplayArrayInTable(Fertiliser_SourceData.Fertiliser_Products_Data5(),FertiliserProducts[[#Headers],[Company]], 121)</f>
        <v>24</v>
      </c>
      <c r="N216" s="215" cm="1">
        <f t="array" ref="N216">Common_InputFunctions.Utility_DisplayArrayInTable(Fertiliser_SourceData.Fertiliser_Products_Data5(),FertiliserProducts[[#Headers],[Company]], 121)</f>
        <v>5</v>
      </c>
      <c r="O216" s="215" t="str" cm="1">
        <f t="array" ref="O216">Common_InputFunctions.Utility_DisplayArrayInTable(Fertiliser_SourceData.Fertiliser_Products_Data5(),FertiliserProducts[[#Headers],[Company]], 121)</f>
        <v>Nitrogen - Generic</v>
      </c>
      <c r="P216" s="215" cm="1">
        <f t="array" ref="P216">Common_InputFunctions.Utility_DisplayArrayInTable(Fertiliser_SourceData.Fertiliser_Products_Data5(),FertiliserProducts[[#Headers],[Company]], 121)</f>
        <v>0.13</v>
      </c>
      <c r="Q216" s="215" t="str" cm="1">
        <f t="array" ref="Q216">Common_InputFunctions.Utility_DisplayArrayInTable(Fertiliser_SourceData.Fertiliser_Products_Data5(),FertiliserProducts[[#Headers],[Company]], 121)</f>
        <v>Phosphorus - Generic</v>
      </c>
      <c r="R216" s="215" cm="1">
        <f t="array" ref="R216">Common_InputFunctions.Utility_DisplayArrayInTable(Fertiliser_SourceData.Fertiliser_Products_Data5(),FertiliserProducts[[#Headers],[Company]], 121)</f>
        <v>0.05</v>
      </c>
      <c r="S216" s="215" t="str" cm="1">
        <f t="array" ref="S216">Common_InputFunctions.Utility_DisplayArrayInTable(Fertiliser_SourceData.Fertiliser_Products_Data5(),FertiliserProducts[[#Headers],[Company]], 121)</f>
        <v>Potassium - Generic</v>
      </c>
      <c r="T216" s="215" cm="1">
        <f t="array" ref="T216">Common_InputFunctions.Utility_DisplayArrayInTable(Fertiliser_SourceData.Fertiliser_Products_Data5(),FertiliserProducts[[#Headers],[Company]], 121)</f>
        <v>0.24</v>
      </c>
      <c r="U216" s="215" t="str" cm="1">
        <f t="array" ref="U216">Common_InputFunctions.Utility_DisplayArrayInTable(Fertiliser_SourceData.Fertiliser_Products_Data5(),FertiliserProducts[[#Headers],[Company]], 121)</f>
        <v>Sulfur - Generic</v>
      </c>
      <c r="V216" s="215" cm="1">
        <f t="array" ref="V216">Common_InputFunctions.Utility_DisplayArrayInTable(Fertiliser_SourceData.Fertiliser_Products_Data5(),FertiliserProducts[[#Headers],[Company]], 121)</f>
        <v>0.05</v>
      </c>
      <c r="W216" s="215" t="str" cm="1">
        <f t="array" ref="W216">Common_InputFunctions.Utility_DisplayArrayInTable(Fertiliser_SourceData.Fertiliser_Products_Data5(),FertiliserProducts[[#Headers],[Company]], 121)</f>
        <v/>
      </c>
      <c r="X216" s="215" t="str" cm="1">
        <f t="array" ref="X216">Common_InputFunctions.Utility_DisplayArrayInTable(Fertiliser_SourceData.Fertiliser_Products_Data5(),FertiliserProducts[[#Headers],[Company]], 121)</f>
        <v/>
      </c>
      <c r="Y216" s="215" t="str" cm="1">
        <f t="array" ref="Y216">Common_InputFunctions.Utility_DisplayArrayInTable(Fertiliser_SourceData.Fertiliser_Products_Data5(),FertiliserProducts[[#Headers],[Company]], 121)</f>
        <v/>
      </c>
      <c r="Z216" s="215" t="str" cm="1">
        <f t="array" ref="Z216">Common_InputFunctions.Utility_DisplayArrayInTable(Fertiliser_SourceData.Fertiliser_Products_Data5(),FertiliserProducts[[#Headers],[Company]], 121)</f>
        <v/>
      </c>
      <c r="AA216" s="215" t="str" cm="1">
        <f t="array" ref="AA216">Common_InputFunctions.Utility_DisplayArrayInTable(Fertiliser_SourceData.Fertiliser_Products_Data5(),FertiliserProducts[[#Headers],[Company]], 121)</f>
        <v/>
      </c>
      <c r="AB216" s="215" t="str" cm="1">
        <f t="array" ref="AB216">Common_InputFunctions.Utility_DisplayArrayInTable(Fertiliser_SourceData.Fertiliser_Products_Data5(),FertiliserProducts[[#Headers],[Company]], 121)</f>
        <v/>
      </c>
      <c r="AC216" s="215" t="str" cm="1">
        <f t="array" ref="AC216">Common_InputFunctions.Utility_DisplayArrayInTable(Fertiliser_SourceData.Fertiliser_Products_Data5(),FertiliserProducts[[#Headers],[Company]], 121)</f>
        <v/>
      </c>
      <c r="AD216" s="215" t="str" cm="1">
        <f t="array" ref="AD216">Common_InputFunctions.Utility_DisplayArrayInTable(Fertiliser_SourceData.Fertiliser_Products_Data5(),FertiliserProducts[[#Headers],[Company]], 121)</f>
        <v/>
      </c>
      <c r="AE216" s="215" t="str" cm="1">
        <f t="array" ref="AE216">Common_InputFunctions.Utility_DisplayArrayInTable(Fertiliser_SourceData.Fertiliser_Products_Data5(),FertiliserProducts[[#Headers],[Company]], 121)</f>
        <v/>
      </c>
      <c r="AF216" s="215" t="str" cm="1">
        <f t="array" ref="AF216">Common_InputFunctions.Utility_DisplayArrayInTable(Fertiliser_SourceData.Fertiliser_Products_Data5(),FertiliserProducts[[#Headers],[Company]], 121)</f>
        <v/>
      </c>
      <c r="AG216" s="215" t="str" cm="1">
        <f t="array" ref="AG216">Common_InputFunctions.Utility_DisplayArrayInTable(Fertiliser_SourceData.Fertiliser_Products_Data5(),FertiliserProducts[[#Headers],[Company]], 121)</f>
        <v/>
      </c>
      <c r="AH216" s="215" t="str" cm="1">
        <f t="array" ref="AH216">Common_InputFunctions.Utility_DisplayArrayInTable(Fertiliser_SourceData.Fertiliser_Products_Data5(),FertiliserProducts[[#Headers],[Company]], 121)</f>
        <v/>
      </c>
    </row>
    <row r="217" spans="4:34" x14ac:dyDescent="0.25">
      <c r="D217" s="215" t="str" cm="1">
        <f t="array" ref="D217">Common_InputFunctions.Utility_DisplayArrayInTable(Fertiliser_SourceData.Fertiliser_Products_Data5(),FertiliserProducts[[#Headers],[Company]], 121)</f>
        <v>Wengfu Australia</v>
      </c>
      <c r="E217" s="215" t="str" cm="1">
        <f t="array" ref="E217">Common_InputFunctions.Utility_DisplayArrayInTable(Fertiliser_SourceData.Fertiliser_Products_Data5(),FertiliserProducts[[#Headers],[Company]], 121)</f>
        <v>Wengfu DAP Hay Booster</v>
      </c>
      <c r="F217" s="215" t="str" cm="1">
        <f t="array" ref="F217">Common_InputFunctions.Utility_DisplayArrayInTable(Fertiliser_SourceData.Fertiliser_Products_Data5(),FertiliserProducts[[#Headers],[Company]], 121)</f>
        <v>kg</v>
      </c>
      <c r="G217" s="215" cm="1">
        <f t="array" ref="G217">Common_InputFunctions.Utility_DisplayArrayInTable(Fertiliser_SourceData.Fertiliser_Products_Data5(),FertiliserProducts[[#Headers],[Company]], 121)</f>
        <v>1</v>
      </c>
      <c r="H217" s="215" t="str" cm="1">
        <f t="array" ref="H217">Common_InputFunctions.Utility_DisplayArrayInTable(Fertiliser_SourceData.Fertiliser_Products_Data5(),FertiliserProducts[[#Headers],[Company]], 121)</f>
        <v/>
      </c>
      <c r="I217" s="215" t="str" cm="1">
        <f t="array" ref="I217">Common_InputFunctions.Utility_DisplayArrayInTable(Fertiliser_SourceData.Fertiliser_Products_Data5(),FertiliserProducts[[#Headers],[Company]], 121)</f>
        <v/>
      </c>
      <c r="J217" s="215" t="str" cm="1">
        <f t="array" ref="J217">Common_InputFunctions.Utility_DisplayArrayInTable(Fertiliser_SourceData.Fertiliser_Products_Data5(),FertiliserProducts[[#Headers],[Company]], 121)</f>
        <v/>
      </c>
      <c r="K217" s="215" cm="1">
        <f t="array" ref="K217">Common_InputFunctions.Utility_DisplayArrayInTable(Fertiliser_SourceData.Fertiliser_Products_Data5(),FertiliserProducts[[#Headers],[Company]], 121)</f>
        <v>11</v>
      </c>
      <c r="L217" s="215" cm="1">
        <f t="array" ref="L217">Common_InputFunctions.Utility_DisplayArrayInTable(Fertiliser_SourceData.Fertiliser_Products_Data5(),FertiliserProducts[[#Headers],[Company]], 121)</f>
        <v>5</v>
      </c>
      <c r="M217" s="215" cm="1">
        <f t="array" ref="M217">Common_InputFunctions.Utility_DisplayArrayInTable(Fertiliser_SourceData.Fertiliser_Products_Data5(),FertiliserProducts[[#Headers],[Company]], 121)</f>
        <v>24</v>
      </c>
      <c r="N217" s="215" cm="1">
        <f t="array" ref="N217">Common_InputFunctions.Utility_DisplayArrayInTable(Fertiliser_SourceData.Fertiliser_Products_Data5(),FertiliserProducts[[#Headers],[Company]], 121)</f>
        <v>4</v>
      </c>
      <c r="O217" s="215" t="str" cm="1">
        <f t="array" ref="O217">Common_InputFunctions.Utility_DisplayArrayInTable(Fertiliser_SourceData.Fertiliser_Products_Data5(),FertiliserProducts[[#Headers],[Company]], 121)</f>
        <v>Nitrogen - Generic</v>
      </c>
      <c r="P217" s="215" cm="1">
        <f t="array" ref="P217">Common_InputFunctions.Utility_DisplayArrayInTable(Fertiliser_SourceData.Fertiliser_Products_Data5(),FertiliserProducts[[#Headers],[Company]], 121)</f>
        <v>0.11</v>
      </c>
      <c r="Q217" s="215" t="str" cm="1">
        <f t="array" ref="Q217">Common_InputFunctions.Utility_DisplayArrayInTable(Fertiliser_SourceData.Fertiliser_Products_Data5(),FertiliserProducts[[#Headers],[Company]], 121)</f>
        <v>Phosphorus - Generic</v>
      </c>
      <c r="R217" s="215" cm="1">
        <f t="array" ref="R217">Common_InputFunctions.Utility_DisplayArrayInTable(Fertiliser_SourceData.Fertiliser_Products_Data5(),FertiliserProducts[[#Headers],[Company]], 121)</f>
        <v>0.05</v>
      </c>
      <c r="S217" s="215" t="str" cm="1">
        <f t="array" ref="S217">Common_InputFunctions.Utility_DisplayArrayInTable(Fertiliser_SourceData.Fertiliser_Products_Data5(),FertiliserProducts[[#Headers],[Company]], 121)</f>
        <v>Potassium - Generic</v>
      </c>
      <c r="T217" s="215" cm="1">
        <f t="array" ref="T217">Common_InputFunctions.Utility_DisplayArrayInTable(Fertiliser_SourceData.Fertiliser_Products_Data5(),FertiliserProducts[[#Headers],[Company]], 121)</f>
        <v>0.24</v>
      </c>
      <c r="U217" s="215" t="str" cm="1">
        <f t="array" ref="U217">Common_InputFunctions.Utility_DisplayArrayInTable(Fertiliser_SourceData.Fertiliser_Products_Data5(),FertiliserProducts[[#Headers],[Company]], 121)</f>
        <v>Sulfur - Generic</v>
      </c>
      <c r="V217" s="215" cm="1">
        <f t="array" ref="V217">Common_InputFunctions.Utility_DisplayArrayInTable(Fertiliser_SourceData.Fertiliser_Products_Data5(),FertiliserProducts[[#Headers],[Company]], 121)</f>
        <v>0.04</v>
      </c>
      <c r="W217" s="215" t="str" cm="1">
        <f t="array" ref="W217">Common_InputFunctions.Utility_DisplayArrayInTable(Fertiliser_SourceData.Fertiliser_Products_Data5(),FertiliserProducts[[#Headers],[Company]], 121)</f>
        <v/>
      </c>
      <c r="X217" s="215" t="str" cm="1">
        <f t="array" ref="X217">Common_InputFunctions.Utility_DisplayArrayInTable(Fertiliser_SourceData.Fertiliser_Products_Data5(),FertiliserProducts[[#Headers],[Company]], 121)</f>
        <v/>
      </c>
      <c r="Y217" s="215" t="str" cm="1">
        <f t="array" ref="Y217">Common_InputFunctions.Utility_DisplayArrayInTable(Fertiliser_SourceData.Fertiliser_Products_Data5(),FertiliserProducts[[#Headers],[Company]], 121)</f>
        <v/>
      </c>
      <c r="Z217" s="215" t="str" cm="1">
        <f t="array" ref="Z217">Common_InputFunctions.Utility_DisplayArrayInTable(Fertiliser_SourceData.Fertiliser_Products_Data5(),FertiliserProducts[[#Headers],[Company]], 121)</f>
        <v/>
      </c>
      <c r="AA217" s="215" t="str" cm="1">
        <f t="array" ref="AA217">Common_InputFunctions.Utility_DisplayArrayInTable(Fertiliser_SourceData.Fertiliser_Products_Data5(),FertiliserProducts[[#Headers],[Company]], 121)</f>
        <v/>
      </c>
      <c r="AB217" s="215" t="str" cm="1">
        <f t="array" ref="AB217">Common_InputFunctions.Utility_DisplayArrayInTable(Fertiliser_SourceData.Fertiliser_Products_Data5(),FertiliserProducts[[#Headers],[Company]], 121)</f>
        <v/>
      </c>
      <c r="AC217" s="215" t="str" cm="1">
        <f t="array" ref="AC217">Common_InputFunctions.Utility_DisplayArrayInTable(Fertiliser_SourceData.Fertiliser_Products_Data5(),FertiliserProducts[[#Headers],[Company]], 121)</f>
        <v/>
      </c>
      <c r="AD217" s="215" t="str" cm="1">
        <f t="array" ref="AD217">Common_InputFunctions.Utility_DisplayArrayInTable(Fertiliser_SourceData.Fertiliser_Products_Data5(),FertiliserProducts[[#Headers],[Company]], 121)</f>
        <v/>
      </c>
      <c r="AE217" s="215" t="str" cm="1">
        <f t="array" ref="AE217">Common_InputFunctions.Utility_DisplayArrayInTable(Fertiliser_SourceData.Fertiliser_Products_Data5(),FertiliserProducts[[#Headers],[Company]], 121)</f>
        <v/>
      </c>
      <c r="AF217" s="215" t="str" cm="1">
        <f t="array" ref="AF217">Common_InputFunctions.Utility_DisplayArrayInTable(Fertiliser_SourceData.Fertiliser_Products_Data5(),FertiliserProducts[[#Headers],[Company]], 121)</f>
        <v/>
      </c>
      <c r="AG217" s="215" t="str" cm="1">
        <f t="array" ref="AG217">Common_InputFunctions.Utility_DisplayArrayInTable(Fertiliser_SourceData.Fertiliser_Products_Data5(),FertiliserProducts[[#Headers],[Company]], 121)</f>
        <v/>
      </c>
      <c r="AH217" s="215" t="str" cm="1">
        <f t="array" ref="AH217">Common_InputFunctions.Utility_DisplayArrayInTable(Fertiliser_SourceData.Fertiliser_Products_Data5(),FertiliserProducts[[#Headers],[Company]], 121)</f>
        <v/>
      </c>
    </row>
    <row r="218" spans="4:34" x14ac:dyDescent="0.25">
      <c r="D218" s="215" t="str" cm="1">
        <f t="array" ref="D218">Common_InputFunctions.Utility_DisplayArrayInTable(Fertiliser_SourceData.Fertiliser_Products_Data5(),FertiliserProducts[[#Headers],[Company]], 121)</f>
        <v>Wengfu Australia</v>
      </c>
      <c r="E218" s="215" t="str" cm="1">
        <f t="array" ref="E218">Common_InputFunctions.Utility_DisplayArrayInTable(Fertiliser_SourceData.Fertiliser_Products_Data5(),FertiliserProducts[[#Headers],[Company]], 121)</f>
        <v>Wengfu MAP Hay Booster</v>
      </c>
      <c r="F218" s="215" t="str" cm="1">
        <f t="array" ref="F218">Common_InputFunctions.Utility_DisplayArrayInTable(Fertiliser_SourceData.Fertiliser_Products_Data5(),FertiliserProducts[[#Headers],[Company]], 121)</f>
        <v>kg</v>
      </c>
      <c r="G218" s="215" cm="1">
        <f t="array" ref="G218">Common_InputFunctions.Utility_DisplayArrayInTable(Fertiliser_SourceData.Fertiliser_Products_Data5(),FertiliserProducts[[#Headers],[Company]], 121)</f>
        <v>1</v>
      </c>
      <c r="H218" s="215" t="str" cm="1">
        <f t="array" ref="H218">Common_InputFunctions.Utility_DisplayArrayInTable(Fertiliser_SourceData.Fertiliser_Products_Data5(),FertiliserProducts[[#Headers],[Company]], 121)</f>
        <v/>
      </c>
      <c r="I218" s="215" t="str" cm="1">
        <f t="array" ref="I218">Common_InputFunctions.Utility_DisplayArrayInTable(Fertiliser_SourceData.Fertiliser_Products_Data5(),FertiliserProducts[[#Headers],[Company]], 121)</f>
        <v/>
      </c>
      <c r="J218" s="215" t="str" cm="1">
        <f t="array" ref="J218">Common_InputFunctions.Utility_DisplayArrayInTable(Fertiliser_SourceData.Fertiliser_Products_Data5(),FertiliserProducts[[#Headers],[Company]], 121)</f>
        <v/>
      </c>
      <c r="K218" s="215" cm="1">
        <f t="array" ref="K218">Common_InputFunctions.Utility_DisplayArrayInTable(Fertiliser_SourceData.Fertiliser_Products_Data5(),FertiliserProducts[[#Headers],[Company]], 121)</f>
        <v>11</v>
      </c>
      <c r="L218" s="215" cm="1">
        <f t="array" ref="L218">Common_InputFunctions.Utility_DisplayArrayInTable(Fertiliser_SourceData.Fertiliser_Products_Data5(),FertiliserProducts[[#Headers],[Company]], 121)</f>
        <v>8</v>
      </c>
      <c r="M218" s="215" cm="1">
        <f t="array" ref="M218">Common_InputFunctions.Utility_DisplayArrayInTable(Fertiliser_SourceData.Fertiliser_Products_Data5(),FertiliserProducts[[#Headers],[Company]], 121)</f>
        <v>20</v>
      </c>
      <c r="N218" s="215" cm="1">
        <f t="array" ref="N218">Common_InputFunctions.Utility_DisplayArrayInTable(Fertiliser_SourceData.Fertiliser_Products_Data5(),FertiliserProducts[[#Headers],[Company]], 121)</f>
        <v>6</v>
      </c>
      <c r="O218" s="215" t="str" cm="1">
        <f t="array" ref="O218">Common_InputFunctions.Utility_DisplayArrayInTable(Fertiliser_SourceData.Fertiliser_Products_Data5(),FertiliserProducts[[#Headers],[Company]], 121)</f>
        <v>Nitrogen - Generic</v>
      </c>
      <c r="P218" s="215" cm="1">
        <f t="array" ref="P218">Common_InputFunctions.Utility_DisplayArrayInTable(Fertiliser_SourceData.Fertiliser_Products_Data5(),FertiliserProducts[[#Headers],[Company]], 121)</f>
        <v>0.11</v>
      </c>
      <c r="Q218" s="215" t="str" cm="1">
        <f t="array" ref="Q218">Common_InputFunctions.Utility_DisplayArrayInTable(Fertiliser_SourceData.Fertiliser_Products_Data5(),FertiliserProducts[[#Headers],[Company]], 121)</f>
        <v>Phosphorus - Generic</v>
      </c>
      <c r="R218" s="215" cm="1">
        <f t="array" ref="R218">Common_InputFunctions.Utility_DisplayArrayInTable(Fertiliser_SourceData.Fertiliser_Products_Data5(),FertiliserProducts[[#Headers],[Company]], 121)</f>
        <v>0.08</v>
      </c>
      <c r="S218" s="215" t="str" cm="1">
        <f t="array" ref="S218">Common_InputFunctions.Utility_DisplayArrayInTable(Fertiliser_SourceData.Fertiliser_Products_Data5(),FertiliserProducts[[#Headers],[Company]], 121)</f>
        <v>Potassium - Generic</v>
      </c>
      <c r="T218" s="215" cm="1">
        <f t="array" ref="T218">Common_InputFunctions.Utility_DisplayArrayInTable(Fertiliser_SourceData.Fertiliser_Products_Data5(),FertiliserProducts[[#Headers],[Company]], 121)</f>
        <v>0.2</v>
      </c>
      <c r="U218" s="215" t="str" cm="1">
        <f t="array" ref="U218">Common_InputFunctions.Utility_DisplayArrayInTable(Fertiliser_SourceData.Fertiliser_Products_Data5(),FertiliserProducts[[#Headers],[Company]], 121)</f>
        <v>Sulfur - Generic</v>
      </c>
      <c r="V218" s="215" cm="1">
        <f t="array" ref="V218">Common_InputFunctions.Utility_DisplayArrayInTable(Fertiliser_SourceData.Fertiliser_Products_Data5(),FertiliserProducts[[#Headers],[Company]], 121)</f>
        <v>0.06</v>
      </c>
      <c r="W218" s="215" t="str" cm="1">
        <f t="array" ref="W218">Common_InputFunctions.Utility_DisplayArrayInTable(Fertiliser_SourceData.Fertiliser_Products_Data5(),FertiliserProducts[[#Headers],[Company]], 121)</f>
        <v/>
      </c>
      <c r="X218" s="215" t="str" cm="1">
        <f t="array" ref="X218">Common_InputFunctions.Utility_DisplayArrayInTable(Fertiliser_SourceData.Fertiliser_Products_Data5(),FertiliserProducts[[#Headers],[Company]], 121)</f>
        <v/>
      </c>
      <c r="Y218" s="215" t="str" cm="1">
        <f t="array" ref="Y218">Common_InputFunctions.Utility_DisplayArrayInTable(Fertiliser_SourceData.Fertiliser_Products_Data5(),FertiliserProducts[[#Headers],[Company]], 121)</f>
        <v/>
      </c>
      <c r="Z218" s="215" t="str" cm="1">
        <f t="array" ref="Z218">Common_InputFunctions.Utility_DisplayArrayInTable(Fertiliser_SourceData.Fertiliser_Products_Data5(),FertiliserProducts[[#Headers],[Company]], 121)</f>
        <v/>
      </c>
      <c r="AA218" s="215" t="str" cm="1">
        <f t="array" ref="AA218">Common_InputFunctions.Utility_DisplayArrayInTable(Fertiliser_SourceData.Fertiliser_Products_Data5(),FertiliserProducts[[#Headers],[Company]], 121)</f>
        <v/>
      </c>
      <c r="AB218" s="215" t="str" cm="1">
        <f t="array" ref="AB218">Common_InputFunctions.Utility_DisplayArrayInTable(Fertiliser_SourceData.Fertiliser_Products_Data5(),FertiliserProducts[[#Headers],[Company]], 121)</f>
        <v/>
      </c>
      <c r="AC218" s="215" t="str" cm="1">
        <f t="array" ref="AC218">Common_InputFunctions.Utility_DisplayArrayInTable(Fertiliser_SourceData.Fertiliser_Products_Data5(),FertiliserProducts[[#Headers],[Company]], 121)</f>
        <v/>
      </c>
      <c r="AD218" s="215" t="str" cm="1">
        <f t="array" ref="AD218">Common_InputFunctions.Utility_DisplayArrayInTable(Fertiliser_SourceData.Fertiliser_Products_Data5(),FertiliserProducts[[#Headers],[Company]], 121)</f>
        <v/>
      </c>
      <c r="AE218" s="215" t="str" cm="1">
        <f t="array" ref="AE218">Common_InputFunctions.Utility_DisplayArrayInTable(Fertiliser_SourceData.Fertiliser_Products_Data5(),FertiliserProducts[[#Headers],[Company]], 121)</f>
        <v/>
      </c>
      <c r="AF218" s="215" t="str" cm="1">
        <f t="array" ref="AF218">Common_InputFunctions.Utility_DisplayArrayInTable(Fertiliser_SourceData.Fertiliser_Products_Data5(),FertiliserProducts[[#Headers],[Company]], 121)</f>
        <v/>
      </c>
      <c r="AG218" s="215" t="str" cm="1">
        <f t="array" ref="AG218">Common_InputFunctions.Utility_DisplayArrayInTable(Fertiliser_SourceData.Fertiliser_Products_Data5(),FertiliserProducts[[#Headers],[Company]], 121)</f>
        <v/>
      </c>
      <c r="AH218" s="215" t="str" cm="1">
        <f t="array" ref="AH218">Common_InputFunctions.Utility_DisplayArrayInTable(Fertiliser_SourceData.Fertiliser_Products_Data5(),FertiliserProducts[[#Headers],[Company]], 121)</f>
        <v/>
      </c>
    </row>
    <row r="219" spans="4:34" x14ac:dyDescent="0.25">
      <c r="D219" s="215" t="str" cm="1">
        <f t="array" ref="D219">Common_InputFunctions.Utility_DisplayArrayInTable(Fertiliser_SourceData.Fertiliser_Products_Data5(),FertiliserProducts[[#Headers],[Company]], 121)</f>
        <v>Wengfu Australia</v>
      </c>
      <c r="E219" s="215" t="str" cm="1">
        <f t="array" ref="E219">Common_InputFunctions.Utility_DisplayArrayInTable(Fertiliser_SourceData.Fertiliser_Products_Data5(),FertiliserProducts[[#Headers],[Company]], 121)</f>
        <v>Wengfu Fodder Booster</v>
      </c>
      <c r="F219" s="215" t="str" cm="1">
        <f t="array" ref="F219">Common_InputFunctions.Utility_DisplayArrayInTable(Fertiliser_SourceData.Fertiliser_Products_Data5(),FertiliserProducts[[#Headers],[Company]], 121)</f>
        <v>kg</v>
      </c>
      <c r="G219" s="215" cm="1">
        <f t="array" ref="G219">Common_InputFunctions.Utility_DisplayArrayInTable(Fertiliser_SourceData.Fertiliser_Products_Data5(),FertiliserProducts[[#Headers],[Company]], 121)</f>
        <v>1</v>
      </c>
      <c r="H219" s="215" t="str" cm="1">
        <f t="array" ref="H219">Common_InputFunctions.Utility_DisplayArrayInTable(Fertiliser_SourceData.Fertiliser_Products_Data5(),FertiliserProducts[[#Headers],[Company]], 121)</f>
        <v/>
      </c>
      <c r="I219" s="215" t="str" cm="1">
        <f t="array" ref="I219">Common_InputFunctions.Utility_DisplayArrayInTable(Fertiliser_SourceData.Fertiliser_Products_Data5(),FertiliserProducts[[#Headers],[Company]], 121)</f>
        <v/>
      </c>
      <c r="J219" s="215" t="str" cm="1">
        <f t="array" ref="J219">Common_InputFunctions.Utility_DisplayArrayInTable(Fertiliser_SourceData.Fertiliser_Products_Data5(),FertiliserProducts[[#Headers],[Company]], 121)</f>
        <v/>
      </c>
      <c r="K219" s="215" cm="1">
        <f t="array" ref="K219">Common_InputFunctions.Utility_DisplayArrayInTable(Fertiliser_SourceData.Fertiliser_Products_Data5(),FertiliserProducts[[#Headers],[Company]], 121)</f>
        <v>9</v>
      </c>
      <c r="L219" s="215" cm="1">
        <f t="array" ref="L219">Common_InputFunctions.Utility_DisplayArrayInTable(Fertiliser_SourceData.Fertiliser_Products_Data5(),FertiliserProducts[[#Headers],[Company]], 121)</f>
        <v>4</v>
      </c>
      <c r="M219" s="215" cm="1">
        <f t="array" ref="M219">Common_InputFunctions.Utility_DisplayArrayInTable(Fertiliser_SourceData.Fertiliser_Products_Data5(),FertiliserProducts[[#Headers],[Company]], 121)</f>
        <v>5</v>
      </c>
      <c r="N219" s="215" cm="1">
        <f t="array" ref="N219">Common_InputFunctions.Utility_DisplayArrayInTable(Fertiliser_SourceData.Fertiliser_Products_Data5(),FertiliserProducts[[#Headers],[Company]], 121)</f>
        <v>15</v>
      </c>
      <c r="O219" s="215" t="str" cm="1">
        <f t="array" ref="O219">Common_InputFunctions.Utility_DisplayArrayInTable(Fertiliser_SourceData.Fertiliser_Products_Data5(),FertiliserProducts[[#Headers],[Company]], 121)</f>
        <v>Nitrogen - Generic</v>
      </c>
      <c r="P219" s="215" cm="1">
        <f t="array" ref="P219">Common_InputFunctions.Utility_DisplayArrayInTable(Fertiliser_SourceData.Fertiliser_Products_Data5(),FertiliserProducts[[#Headers],[Company]], 121)</f>
        <v>0.09</v>
      </c>
      <c r="Q219" s="215" t="str" cm="1">
        <f t="array" ref="Q219">Common_InputFunctions.Utility_DisplayArrayInTable(Fertiliser_SourceData.Fertiliser_Products_Data5(),FertiliserProducts[[#Headers],[Company]], 121)</f>
        <v>Phosphorus - Generic</v>
      </c>
      <c r="R219" s="215" cm="1">
        <f t="array" ref="R219">Common_InputFunctions.Utility_DisplayArrayInTable(Fertiliser_SourceData.Fertiliser_Products_Data5(),FertiliserProducts[[#Headers],[Company]], 121)</f>
        <v>0.04</v>
      </c>
      <c r="S219" s="215" t="str" cm="1">
        <f t="array" ref="S219">Common_InputFunctions.Utility_DisplayArrayInTable(Fertiliser_SourceData.Fertiliser_Products_Data5(),FertiliserProducts[[#Headers],[Company]], 121)</f>
        <v>Potassium - Generic</v>
      </c>
      <c r="T219" s="215" cm="1">
        <f t="array" ref="T219">Common_InputFunctions.Utility_DisplayArrayInTable(Fertiliser_SourceData.Fertiliser_Products_Data5(),FertiliserProducts[[#Headers],[Company]], 121)</f>
        <v>0.05</v>
      </c>
      <c r="U219" s="215" t="str" cm="1">
        <f t="array" ref="U219">Common_InputFunctions.Utility_DisplayArrayInTable(Fertiliser_SourceData.Fertiliser_Products_Data5(),FertiliserProducts[[#Headers],[Company]], 121)</f>
        <v>Sulfur - Generic</v>
      </c>
      <c r="V219" s="215" cm="1">
        <f t="array" ref="V219">Common_InputFunctions.Utility_DisplayArrayInTable(Fertiliser_SourceData.Fertiliser_Products_Data5(),FertiliserProducts[[#Headers],[Company]], 121)</f>
        <v>0.15</v>
      </c>
      <c r="W219" s="215" t="str" cm="1">
        <f t="array" ref="W219">Common_InputFunctions.Utility_DisplayArrayInTable(Fertiliser_SourceData.Fertiliser_Products_Data5(),FertiliserProducts[[#Headers],[Company]], 121)</f>
        <v/>
      </c>
      <c r="X219" s="215" t="str" cm="1">
        <f t="array" ref="X219">Common_InputFunctions.Utility_DisplayArrayInTable(Fertiliser_SourceData.Fertiliser_Products_Data5(),FertiliserProducts[[#Headers],[Company]], 121)</f>
        <v/>
      </c>
      <c r="Y219" s="215" t="str" cm="1">
        <f t="array" ref="Y219">Common_InputFunctions.Utility_DisplayArrayInTable(Fertiliser_SourceData.Fertiliser_Products_Data5(),FertiliserProducts[[#Headers],[Company]], 121)</f>
        <v/>
      </c>
      <c r="Z219" s="215" t="str" cm="1">
        <f t="array" ref="Z219">Common_InputFunctions.Utility_DisplayArrayInTable(Fertiliser_SourceData.Fertiliser_Products_Data5(),FertiliserProducts[[#Headers],[Company]], 121)</f>
        <v/>
      </c>
      <c r="AA219" s="215" t="str" cm="1">
        <f t="array" ref="AA219">Common_InputFunctions.Utility_DisplayArrayInTable(Fertiliser_SourceData.Fertiliser_Products_Data5(),FertiliserProducts[[#Headers],[Company]], 121)</f>
        <v/>
      </c>
      <c r="AB219" s="215" t="str" cm="1">
        <f t="array" ref="AB219">Common_InputFunctions.Utility_DisplayArrayInTable(Fertiliser_SourceData.Fertiliser_Products_Data5(),FertiliserProducts[[#Headers],[Company]], 121)</f>
        <v/>
      </c>
      <c r="AC219" s="215" t="str" cm="1">
        <f t="array" ref="AC219">Common_InputFunctions.Utility_DisplayArrayInTable(Fertiliser_SourceData.Fertiliser_Products_Data5(),FertiliserProducts[[#Headers],[Company]], 121)</f>
        <v/>
      </c>
      <c r="AD219" s="215" t="str" cm="1">
        <f t="array" ref="AD219">Common_InputFunctions.Utility_DisplayArrayInTable(Fertiliser_SourceData.Fertiliser_Products_Data5(),FertiliserProducts[[#Headers],[Company]], 121)</f>
        <v/>
      </c>
      <c r="AE219" s="215" t="str" cm="1">
        <f t="array" ref="AE219">Common_InputFunctions.Utility_DisplayArrayInTable(Fertiliser_SourceData.Fertiliser_Products_Data5(),FertiliserProducts[[#Headers],[Company]], 121)</f>
        <v/>
      </c>
      <c r="AF219" s="215" t="str" cm="1">
        <f t="array" ref="AF219">Common_InputFunctions.Utility_DisplayArrayInTable(Fertiliser_SourceData.Fertiliser_Products_Data5(),FertiliserProducts[[#Headers],[Company]], 121)</f>
        <v/>
      </c>
      <c r="AG219" s="215" t="str" cm="1">
        <f t="array" ref="AG219">Common_InputFunctions.Utility_DisplayArrayInTable(Fertiliser_SourceData.Fertiliser_Products_Data5(),FertiliserProducts[[#Headers],[Company]], 121)</f>
        <v/>
      </c>
      <c r="AH219" s="215" t="str" cm="1">
        <f t="array" ref="AH219">Common_InputFunctions.Utility_DisplayArrayInTable(Fertiliser_SourceData.Fertiliser_Products_Data5(),FertiliserProducts[[#Headers],[Company]], 121)</f>
        <v/>
      </c>
    </row>
    <row r="220" spans="4:34" x14ac:dyDescent="0.25">
      <c r="D220" s="215" t="str" cm="1">
        <f t="array" ref="D220">Common_InputFunctions.Utility_DisplayArrayInTable(Fertiliser_SourceData.Fertiliser_Products_Data5(),FertiliserProducts[[#Headers],[Company]], 121)</f>
        <v>CSBP</v>
      </c>
      <c r="E220" s="215" t="str" cm="1">
        <f t="array" ref="E220">Common_InputFunctions.Utility_DisplayArrayInTable(Fertiliser_SourceData.Fertiliser_Products_Data5(),FertiliserProducts[[#Headers],[Company]], 121)</f>
        <v>K-Till Extra</v>
      </c>
      <c r="F220" s="215" t="str" cm="1">
        <f t="array" ref="F220">Common_InputFunctions.Utility_DisplayArrayInTable(Fertiliser_SourceData.Fertiliser_Products_Data5(),FertiliserProducts[[#Headers],[Company]], 121)</f>
        <v>kg</v>
      </c>
      <c r="G220" s="215" cm="1">
        <f t="array" ref="G220">Common_InputFunctions.Utility_DisplayArrayInTable(Fertiliser_SourceData.Fertiliser_Products_Data5(),FertiliserProducts[[#Headers],[Company]], 121)</f>
        <v>1</v>
      </c>
      <c r="H220" s="215" t="str" cm="1">
        <f t="array" ref="H220">Common_InputFunctions.Utility_DisplayArrayInTable(Fertiliser_SourceData.Fertiliser_Products_Data5(),FertiliserProducts[[#Headers],[Company]], 121)</f>
        <v/>
      </c>
      <c r="I220" s="215" t="str" cm="1">
        <f t="array" ref="I220">Common_InputFunctions.Utility_DisplayArrayInTable(Fertiliser_SourceData.Fertiliser_Products_Data5(),FertiliserProducts[[#Headers],[Company]], 121)</f>
        <v/>
      </c>
      <c r="J220" s="215" t="str" cm="1">
        <f t="array" ref="J220">Common_InputFunctions.Utility_DisplayArrayInTable(Fertiliser_SourceData.Fertiliser_Products_Data5(),FertiliserProducts[[#Headers],[Company]], 121)</f>
        <v/>
      </c>
      <c r="K220" s="215" cm="1">
        <f t="array" ref="K220">Common_InputFunctions.Utility_DisplayArrayInTable(Fertiliser_SourceData.Fertiliser_Products_Data5(),FertiliserProducts[[#Headers],[Company]], 121)</f>
        <v>10.73</v>
      </c>
      <c r="L220" s="215" cm="1">
        <f t="array" ref="L220">Common_InputFunctions.Utility_DisplayArrayInTable(Fertiliser_SourceData.Fertiliser_Products_Data5(),FertiliserProducts[[#Headers],[Company]], 121)</f>
        <v>10.95</v>
      </c>
      <c r="M220" s="215" cm="1">
        <f t="array" ref="M220">Common_InputFunctions.Utility_DisplayArrayInTable(Fertiliser_SourceData.Fertiliser_Products_Data5(),FertiliserProducts[[#Headers],[Company]], 121)</f>
        <v>11.35</v>
      </c>
      <c r="N220" s="215" cm="1">
        <f t="array" ref="N220">Common_InputFunctions.Utility_DisplayArrayInTable(Fertiliser_SourceData.Fertiliser_Products_Data5(),FertiliserProducts[[#Headers],[Company]], 121)</f>
        <v>6.55</v>
      </c>
      <c r="O220" s="215" t="str" cm="1">
        <f t="array" ref="O220">Common_InputFunctions.Utility_DisplayArrayInTable(Fertiliser_SourceData.Fertiliser_Products_Data5(),FertiliserProducts[[#Headers],[Company]], 121)</f>
        <v>Monoammonium phosphate (MAP)</v>
      </c>
      <c r="P220" s="215" cm="1">
        <f t="array" ref="P220">Common_InputFunctions.Utility_DisplayArrayInTable(Fertiliser_SourceData.Fertiliser_Products_Data5(),FertiliserProducts[[#Headers],[Company]], 121)</f>
        <v>0.5</v>
      </c>
      <c r="Q220" s="215" t="str" cm="1">
        <f t="array" ref="Q220">Common_InputFunctions.Utility_DisplayArrayInTable(Fertiliser_SourceData.Fertiliser_Products_Data5(),FertiliserProducts[[#Headers],[Company]], 121)</f>
        <v>Sulphate of ammonia (SOA)</v>
      </c>
      <c r="R220" s="215" cm="1">
        <f t="array" ref="R220">Common_InputFunctions.Utility_DisplayArrayInTable(Fertiliser_SourceData.Fertiliser_Products_Data5(),FertiliserProducts[[#Headers],[Company]], 121)</f>
        <v>0.27300000000000002</v>
      </c>
      <c r="S220" s="215" t="str" cm="1">
        <f t="array" ref="S220">Common_InputFunctions.Utility_DisplayArrayInTable(Fertiliser_SourceData.Fertiliser_Products_Data5(),FertiliserProducts[[#Headers],[Company]], 121)</f>
        <v>Muriate of potash (MOP)</v>
      </c>
      <c r="T220" s="215" cm="1">
        <f t="array" ref="T220">Common_InputFunctions.Utility_DisplayArrayInTable(Fertiliser_SourceData.Fertiliser_Products_Data5(),FertiliserProducts[[#Headers],[Company]], 121)</f>
        <v>0.22700000000000001</v>
      </c>
      <c r="U220" s="215" t="str" cm="1">
        <f t="array" ref="U220">Common_InputFunctions.Utility_DisplayArrayInTable(Fertiliser_SourceData.Fertiliser_Products_Data5(),FertiliserProducts[[#Headers],[Company]], 121)</f>
        <v>Copper</v>
      </c>
      <c r="V220" s="215" t="str" cm="1">
        <f t="array" ref="V220">Common_InputFunctions.Utility_DisplayArrayInTable(Fertiliser_SourceData.Fertiliser_Products_Data5(),FertiliserProducts[[#Headers],[Company]], 121)</f>
        <v>No data</v>
      </c>
      <c r="W220" s="215" t="str" cm="1">
        <f t="array" ref="W220">Common_InputFunctions.Utility_DisplayArrayInTable(Fertiliser_SourceData.Fertiliser_Products_Data5(),FertiliserProducts[[#Headers],[Company]], 121)</f>
        <v>Zinc</v>
      </c>
      <c r="X220" s="215" t="str" cm="1">
        <f t="array" ref="X220">Common_InputFunctions.Utility_DisplayArrayInTable(Fertiliser_SourceData.Fertiliser_Products_Data5(),FertiliserProducts[[#Headers],[Company]], 121)</f>
        <v>No data</v>
      </c>
      <c r="Y220" s="215" t="str" cm="1">
        <f t="array" ref="Y220">Common_InputFunctions.Utility_DisplayArrayInTable(Fertiliser_SourceData.Fertiliser_Products_Data5(),FertiliserProducts[[#Headers],[Company]], 121)</f>
        <v/>
      </c>
      <c r="Z220" s="215" t="str" cm="1">
        <f t="array" ref="Z220">Common_InputFunctions.Utility_DisplayArrayInTable(Fertiliser_SourceData.Fertiliser_Products_Data5(),FertiliserProducts[[#Headers],[Company]], 121)</f>
        <v/>
      </c>
      <c r="AA220" s="215" t="str" cm="1">
        <f t="array" ref="AA220">Common_InputFunctions.Utility_DisplayArrayInTable(Fertiliser_SourceData.Fertiliser_Products_Data5(),FertiliserProducts[[#Headers],[Company]], 121)</f>
        <v/>
      </c>
      <c r="AB220" s="215" t="str" cm="1">
        <f t="array" ref="AB220">Common_InputFunctions.Utility_DisplayArrayInTable(Fertiliser_SourceData.Fertiliser_Products_Data5(),FertiliserProducts[[#Headers],[Company]], 121)</f>
        <v/>
      </c>
      <c r="AC220" s="215" t="str" cm="1">
        <f t="array" ref="AC220">Common_InputFunctions.Utility_DisplayArrayInTable(Fertiliser_SourceData.Fertiliser_Products_Data5(),FertiliserProducts[[#Headers],[Company]], 121)</f>
        <v/>
      </c>
      <c r="AD220" s="215" t="str" cm="1">
        <f t="array" ref="AD220">Common_InputFunctions.Utility_DisplayArrayInTable(Fertiliser_SourceData.Fertiliser_Products_Data5(),FertiliserProducts[[#Headers],[Company]], 121)</f>
        <v/>
      </c>
      <c r="AE220" s="215" t="str" cm="1">
        <f t="array" ref="AE220">Common_InputFunctions.Utility_DisplayArrayInTable(Fertiliser_SourceData.Fertiliser_Products_Data5(),FertiliserProducts[[#Headers],[Company]], 121)</f>
        <v/>
      </c>
      <c r="AF220" s="215" t="str" cm="1">
        <f t="array" ref="AF220">Common_InputFunctions.Utility_DisplayArrayInTable(Fertiliser_SourceData.Fertiliser_Products_Data5(),FertiliserProducts[[#Headers],[Company]], 121)</f>
        <v/>
      </c>
      <c r="AG220" s="215" t="str" cm="1">
        <f t="array" ref="AG220">Common_InputFunctions.Utility_DisplayArrayInTable(Fertiliser_SourceData.Fertiliser_Products_Data5(),FertiliserProducts[[#Headers],[Company]], 121)</f>
        <v/>
      </c>
      <c r="AH220" s="215" t="str" cm="1">
        <f t="array" ref="AH220">Common_InputFunctions.Utility_DisplayArrayInTable(Fertiliser_SourceData.Fertiliser_Products_Data5(),FertiliserProducts[[#Headers],[Company]], 121)</f>
        <v/>
      </c>
    </row>
    <row r="221" spans="4:34" x14ac:dyDescent="0.25">
      <c r="D221" s="215" t="str" cm="1">
        <f t="array" ref="D221">Common_InputFunctions.Utility_DisplayArrayInTable(Fertiliser_SourceData.Fertiliser_Products_Data5(),FertiliserProducts[[#Headers],[Company]], 121)</f>
        <v>CSBP</v>
      </c>
      <c r="E221" s="215" t="str" cm="1">
        <f t="array" ref="E221">Common_InputFunctions.Utility_DisplayArrayInTable(Fertiliser_SourceData.Fertiliser_Products_Data5(),FertiliserProducts[[#Headers],[Company]], 121)</f>
        <v>Agras Extra</v>
      </c>
      <c r="F221" s="215" t="str" cm="1">
        <f t="array" ref="F221">Common_InputFunctions.Utility_DisplayArrayInTable(Fertiliser_SourceData.Fertiliser_Products_Data5(),FertiliserProducts[[#Headers],[Company]], 121)</f>
        <v>kg</v>
      </c>
      <c r="G221" s="215" cm="1">
        <f t="array" ref="G221">Common_InputFunctions.Utility_DisplayArrayInTable(Fertiliser_SourceData.Fertiliser_Products_Data5(),FertiliserProducts[[#Headers],[Company]], 121)</f>
        <v>1</v>
      </c>
      <c r="H221" s="215" t="str" cm="1">
        <f t="array" ref="H221">Common_InputFunctions.Utility_DisplayArrayInTable(Fertiliser_SourceData.Fertiliser_Products_Data5(),FertiliserProducts[[#Headers],[Company]], 121)</f>
        <v/>
      </c>
      <c r="I221" s="215" t="str" cm="1">
        <f t="array" ref="I221">Common_InputFunctions.Utility_DisplayArrayInTable(Fertiliser_SourceData.Fertiliser_Products_Data5(),FertiliserProducts[[#Headers],[Company]], 121)</f>
        <v/>
      </c>
      <c r="J221" s="215" t="str" cm="1">
        <f t="array" ref="J221">Common_InputFunctions.Utility_DisplayArrayInTable(Fertiliser_SourceData.Fertiliser_Products_Data5(),FertiliserProducts[[#Headers],[Company]], 121)</f>
        <v/>
      </c>
      <c r="K221" s="215" cm="1">
        <f t="array" ref="K221">Common_InputFunctions.Utility_DisplayArrayInTable(Fertiliser_SourceData.Fertiliser_Products_Data5(),FertiliserProducts[[#Headers],[Company]], 121)</f>
        <v>16.95</v>
      </c>
      <c r="L221" s="215" cm="1">
        <f t="array" ref="L221">Common_InputFunctions.Utility_DisplayArrayInTable(Fertiliser_SourceData.Fertiliser_Products_Data5(),FertiliserProducts[[#Headers],[Company]], 121)</f>
        <v>8.06</v>
      </c>
      <c r="M221" s="215" t="str" cm="1">
        <f t="array" ref="M221">Common_InputFunctions.Utility_DisplayArrayInTable(Fertiliser_SourceData.Fertiliser_Products_Data5(),FertiliserProducts[[#Headers],[Company]], 121)</f>
        <v/>
      </c>
      <c r="N221" s="215" cm="1">
        <f t="array" ref="N221">Common_InputFunctions.Utility_DisplayArrayInTable(Fertiliser_SourceData.Fertiliser_Products_Data5(),FertiliserProducts[[#Headers],[Company]], 121)</f>
        <v>15.17</v>
      </c>
      <c r="O221" s="215" t="str" cm="1">
        <f t="array" ref="O221">Common_InputFunctions.Utility_DisplayArrayInTable(Fertiliser_SourceData.Fertiliser_Products_Data5(),FertiliserProducts[[#Headers],[Company]], 121)</f>
        <v>Sulphate of ammonia (SOA)</v>
      </c>
      <c r="P221" s="215" cm="1">
        <f t="array" ref="P221">Common_InputFunctions.Utility_DisplayArrayInTable(Fertiliser_SourceData.Fertiliser_Products_Data5(),FertiliserProducts[[#Headers],[Company]], 121)</f>
        <v>0.63200000000000001</v>
      </c>
      <c r="Q221" s="215" t="str" cm="1">
        <f t="array" ref="Q221">Common_InputFunctions.Utility_DisplayArrayInTable(Fertiliser_SourceData.Fertiliser_Products_Data5(),FertiliserProducts[[#Headers],[Company]], 121)</f>
        <v>Monoammonium phosphate (MAP)</v>
      </c>
      <c r="R221" s="215" cm="1">
        <f t="array" ref="R221">Common_InputFunctions.Utility_DisplayArrayInTable(Fertiliser_SourceData.Fertiliser_Products_Data5(),FertiliserProducts[[#Headers],[Company]], 121)</f>
        <v>0.36799999999999999</v>
      </c>
      <c r="S221" s="215" t="str" cm="1">
        <f t="array" ref="S221">Common_InputFunctions.Utility_DisplayArrayInTable(Fertiliser_SourceData.Fertiliser_Products_Data5(),FertiliserProducts[[#Headers],[Company]], 121)</f>
        <v>Zinc</v>
      </c>
      <c r="T221" s="215" t="str" cm="1">
        <f t="array" ref="T221">Common_InputFunctions.Utility_DisplayArrayInTable(Fertiliser_SourceData.Fertiliser_Products_Data5(),FertiliserProducts[[#Headers],[Company]], 121)</f>
        <v>No data</v>
      </c>
      <c r="U221" s="215" t="str" cm="1">
        <f t="array" ref="U221">Common_InputFunctions.Utility_DisplayArrayInTable(Fertiliser_SourceData.Fertiliser_Products_Data5(),FertiliserProducts[[#Headers],[Company]], 121)</f>
        <v>Copper</v>
      </c>
      <c r="V221" s="215" t="str" cm="1">
        <f t="array" ref="V221">Common_InputFunctions.Utility_DisplayArrayInTable(Fertiliser_SourceData.Fertiliser_Products_Data5(),FertiliserProducts[[#Headers],[Company]], 121)</f>
        <v>No data</v>
      </c>
      <c r="W221" s="215" t="str" cm="1">
        <f t="array" ref="W221">Common_InputFunctions.Utility_DisplayArrayInTable(Fertiliser_SourceData.Fertiliser_Products_Data5(),FertiliserProducts[[#Headers],[Company]], 121)</f>
        <v>Molybdenum</v>
      </c>
      <c r="X221" s="215" t="str" cm="1">
        <f t="array" ref="X221">Common_InputFunctions.Utility_DisplayArrayInTable(Fertiliser_SourceData.Fertiliser_Products_Data5(),FertiliserProducts[[#Headers],[Company]], 121)</f>
        <v>No data</v>
      </c>
      <c r="Y221" s="215" t="str" cm="1">
        <f t="array" ref="Y221">Common_InputFunctions.Utility_DisplayArrayInTable(Fertiliser_SourceData.Fertiliser_Products_Data5(),FertiliserProducts[[#Headers],[Company]], 121)</f>
        <v>Cobalt</v>
      </c>
      <c r="Z221" s="215" t="str" cm="1">
        <f t="array" ref="Z221">Common_InputFunctions.Utility_DisplayArrayInTable(Fertiliser_SourceData.Fertiliser_Products_Data5(),FertiliserProducts[[#Headers],[Company]], 121)</f>
        <v>No data</v>
      </c>
      <c r="AA221" s="215" t="str" cm="1">
        <f t="array" ref="AA221">Common_InputFunctions.Utility_DisplayArrayInTable(Fertiliser_SourceData.Fertiliser_Products_Data5(),FertiliserProducts[[#Headers],[Company]], 121)</f>
        <v/>
      </c>
      <c r="AB221" s="215" t="str" cm="1">
        <f t="array" ref="AB221">Common_InputFunctions.Utility_DisplayArrayInTable(Fertiliser_SourceData.Fertiliser_Products_Data5(),FertiliserProducts[[#Headers],[Company]], 121)</f>
        <v/>
      </c>
      <c r="AC221" s="215" t="str" cm="1">
        <f t="array" ref="AC221">Common_InputFunctions.Utility_DisplayArrayInTable(Fertiliser_SourceData.Fertiliser_Products_Data5(),FertiliserProducts[[#Headers],[Company]], 121)</f>
        <v/>
      </c>
      <c r="AD221" s="215" t="str" cm="1">
        <f t="array" ref="AD221">Common_InputFunctions.Utility_DisplayArrayInTable(Fertiliser_SourceData.Fertiliser_Products_Data5(),FertiliserProducts[[#Headers],[Company]], 121)</f>
        <v/>
      </c>
      <c r="AE221" s="215" t="str" cm="1">
        <f t="array" ref="AE221">Common_InputFunctions.Utility_DisplayArrayInTable(Fertiliser_SourceData.Fertiliser_Products_Data5(),FertiliserProducts[[#Headers],[Company]], 121)</f>
        <v/>
      </c>
      <c r="AF221" s="215" t="str" cm="1">
        <f t="array" ref="AF221">Common_InputFunctions.Utility_DisplayArrayInTable(Fertiliser_SourceData.Fertiliser_Products_Data5(),FertiliserProducts[[#Headers],[Company]], 121)</f>
        <v/>
      </c>
      <c r="AG221" s="215" t="str" cm="1">
        <f t="array" ref="AG221">Common_InputFunctions.Utility_DisplayArrayInTable(Fertiliser_SourceData.Fertiliser_Products_Data5(),FertiliserProducts[[#Headers],[Company]], 121)</f>
        <v/>
      </c>
      <c r="AH221" s="215" t="str" cm="1">
        <f t="array" ref="AH221">Common_InputFunctions.Utility_DisplayArrayInTable(Fertiliser_SourceData.Fertiliser_Products_Data5(),FertiliserProducts[[#Headers],[Company]], 121)</f>
        <v/>
      </c>
    </row>
    <row r="222" spans="4:34" x14ac:dyDescent="0.25">
      <c r="D222" s="215" t="str" cm="1">
        <f t="array" ref="D222">Common_InputFunctions.Utility_DisplayArrayInTable(Fertiliser_SourceData.Fertiliser_Products_Data5(),FertiliserProducts[[#Headers],[Company]], 121)</f>
        <v>CSBP</v>
      </c>
      <c r="E222" s="215" t="str" cm="1">
        <f t="array" ref="E222">Common_InputFunctions.Utility_DisplayArrayInTable(Fertiliser_SourceData.Fertiliser_Products_Data5(),FertiliserProducts[[#Headers],[Company]], 121)</f>
        <v>Super Copper Zinc Moly</v>
      </c>
      <c r="F222" s="215" t="str" cm="1">
        <f t="array" ref="F222">Common_InputFunctions.Utility_DisplayArrayInTable(Fertiliser_SourceData.Fertiliser_Products_Data5(),FertiliserProducts[[#Headers],[Company]], 121)</f>
        <v>kg</v>
      </c>
      <c r="G222" s="215" cm="1">
        <f t="array" ref="G222">Common_InputFunctions.Utility_DisplayArrayInTable(Fertiliser_SourceData.Fertiliser_Products_Data5(),FertiliserProducts[[#Headers],[Company]], 121)</f>
        <v>1</v>
      </c>
      <c r="H222" s="215" t="str" cm="1">
        <f t="array" ref="H222">Common_InputFunctions.Utility_DisplayArrayInTable(Fertiliser_SourceData.Fertiliser_Products_Data5(),FertiliserProducts[[#Headers],[Company]], 121)</f>
        <v/>
      </c>
      <c r="I222" s="215" t="str" cm="1">
        <f t="array" ref="I222">Common_InputFunctions.Utility_DisplayArrayInTable(Fertiliser_SourceData.Fertiliser_Products_Data5(),FertiliserProducts[[#Headers],[Company]], 121)</f>
        <v/>
      </c>
      <c r="J222" s="215" t="str" cm="1">
        <f t="array" ref="J222">Common_InputFunctions.Utility_DisplayArrayInTable(Fertiliser_SourceData.Fertiliser_Products_Data5(),FertiliserProducts[[#Headers],[Company]], 121)</f>
        <v/>
      </c>
      <c r="K222" s="215" t="str" cm="1">
        <f t="array" ref="K222">Common_InputFunctions.Utility_DisplayArrayInTable(Fertiliser_SourceData.Fertiliser_Products_Data5(),FertiliserProducts[[#Headers],[Company]], 121)</f>
        <v/>
      </c>
      <c r="L222" s="215" cm="1">
        <f t="array" ref="L222">Common_InputFunctions.Utility_DisplayArrayInTable(Fertiliser_SourceData.Fertiliser_Products_Data5(),FertiliserProducts[[#Headers],[Company]], 121)</f>
        <v>8.8000000000000007</v>
      </c>
      <c r="M222" s="215" t="str" cm="1">
        <f t="array" ref="M222">Common_InputFunctions.Utility_DisplayArrayInTable(Fertiliser_SourceData.Fertiliser_Products_Data5(),FertiliserProducts[[#Headers],[Company]], 121)</f>
        <v/>
      </c>
      <c r="N222" s="215" cm="1">
        <f t="array" ref="N222">Common_InputFunctions.Utility_DisplayArrayInTable(Fertiliser_SourceData.Fertiliser_Products_Data5(),FertiliserProducts[[#Headers],[Company]], 121)</f>
        <v>11</v>
      </c>
      <c r="O222" s="215" t="str" cm="1">
        <f t="array" ref="O222">Common_InputFunctions.Utility_DisplayArrayInTable(Fertiliser_SourceData.Fertiliser_Products_Data5(),FertiliserProducts[[#Headers],[Company]], 121)</f>
        <v>Single superphosphate (SSP)</v>
      </c>
      <c r="P222" s="215" cm="1">
        <f t="array" ref="P222">Common_InputFunctions.Utility_DisplayArrayInTable(Fertiliser_SourceData.Fertiliser_Products_Data5(),FertiliserProducts[[#Headers],[Company]], 121)</f>
        <v>1</v>
      </c>
      <c r="Q222" s="215" t="str" cm="1">
        <f t="array" ref="Q222">Common_InputFunctions.Utility_DisplayArrayInTable(Fertiliser_SourceData.Fertiliser_Products_Data5(),FertiliserProducts[[#Headers],[Company]], 121)</f>
        <v>Copper</v>
      </c>
      <c r="R222" s="215" cm="1">
        <f t="array" ref="R222">Common_InputFunctions.Utility_DisplayArrayInTable(Fertiliser_SourceData.Fertiliser_Products_Data5(),FertiliserProducts[[#Headers],[Company]], 121)</f>
        <v>6.0000000000000001E-3</v>
      </c>
      <c r="S222" s="215" t="str" cm="1">
        <f t="array" ref="S222">Common_InputFunctions.Utility_DisplayArrayInTable(Fertiliser_SourceData.Fertiliser_Products_Data5(),FertiliserProducts[[#Headers],[Company]], 121)</f>
        <v>Zinc</v>
      </c>
      <c r="T222" s="215" cm="1">
        <f t="array" ref="T222">Common_InputFunctions.Utility_DisplayArrayInTable(Fertiliser_SourceData.Fertiliser_Products_Data5(),FertiliserProducts[[#Headers],[Company]], 121)</f>
        <v>3.0000000000000001E-3</v>
      </c>
      <c r="U222" s="215" t="str" cm="1">
        <f t="array" ref="U222">Common_InputFunctions.Utility_DisplayArrayInTable(Fertiliser_SourceData.Fertiliser_Products_Data5(),FertiliserProducts[[#Headers],[Company]], 121)</f>
        <v>Molybdenum</v>
      </c>
      <c r="V222" s="215" cm="1">
        <f t="array" ref="V222">Common_InputFunctions.Utility_DisplayArrayInTable(Fertiliser_SourceData.Fertiliser_Products_Data5(),FertiliserProducts[[#Headers],[Company]], 121)</f>
        <v>5.9999999999999995E-4</v>
      </c>
      <c r="W222" s="215" t="str" cm="1">
        <f t="array" ref="W222">Common_InputFunctions.Utility_DisplayArrayInTable(Fertiliser_SourceData.Fertiliser_Products_Data5(),FertiliserProducts[[#Headers],[Company]], 121)</f>
        <v/>
      </c>
      <c r="X222" s="215" t="str" cm="1">
        <f t="array" ref="X222">Common_InputFunctions.Utility_DisplayArrayInTable(Fertiliser_SourceData.Fertiliser_Products_Data5(),FertiliserProducts[[#Headers],[Company]], 121)</f>
        <v/>
      </c>
      <c r="Y222" s="215" t="str" cm="1">
        <f t="array" ref="Y222">Common_InputFunctions.Utility_DisplayArrayInTable(Fertiliser_SourceData.Fertiliser_Products_Data5(),FertiliserProducts[[#Headers],[Company]], 121)</f>
        <v/>
      </c>
      <c r="Z222" s="215" t="str" cm="1">
        <f t="array" ref="Z222">Common_InputFunctions.Utility_DisplayArrayInTable(Fertiliser_SourceData.Fertiliser_Products_Data5(),FertiliserProducts[[#Headers],[Company]], 121)</f>
        <v/>
      </c>
      <c r="AA222" s="215" t="str" cm="1">
        <f t="array" ref="AA222">Common_InputFunctions.Utility_DisplayArrayInTable(Fertiliser_SourceData.Fertiliser_Products_Data5(),FertiliserProducts[[#Headers],[Company]], 121)</f>
        <v/>
      </c>
      <c r="AB222" s="215" t="str" cm="1">
        <f t="array" ref="AB222">Common_InputFunctions.Utility_DisplayArrayInTable(Fertiliser_SourceData.Fertiliser_Products_Data5(),FertiliserProducts[[#Headers],[Company]], 121)</f>
        <v/>
      </c>
      <c r="AC222" s="215" t="str" cm="1">
        <f t="array" ref="AC222">Common_InputFunctions.Utility_DisplayArrayInTable(Fertiliser_SourceData.Fertiliser_Products_Data5(),FertiliserProducts[[#Headers],[Company]], 121)</f>
        <v/>
      </c>
      <c r="AD222" s="215" t="str" cm="1">
        <f t="array" ref="AD222">Common_InputFunctions.Utility_DisplayArrayInTable(Fertiliser_SourceData.Fertiliser_Products_Data5(),FertiliserProducts[[#Headers],[Company]], 121)</f>
        <v/>
      </c>
      <c r="AE222" s="215" t="str" cm="1">
        <f t="array" ref="AE222">Common_InputFunctions.Utility_DisplayArrayInTable(Fertiliser_SourceData.Fertiliser_Products_Data5(),FertiliserProducts[[#Headers],[Company]], 121)</f>
        <v/>
      </c>
      <c r="AF222" s="215" t="str" cm="1">
        <f t="array" ref="AF222">Common_InputFunctions.Utility_DisplayArrayInTable(Fertiliser_SourceData.Fertiliser_Products_Data5(),FertiliserProducts[[#Headers],[Company]], 121)</f>
        <v/>
      </c>
      <c r="AG222" s="215" t="str" cm="1">
        <f t="array" ref="AG222">Common_InputFunctions.Utility_DisplayArrayInTable(Fertiliser_SourceData.Fertiliser_Products_Data5(),FertiliserProducts[[#Headers],[Company]], 121)</f>
        <v/>
      </c>
      <c r="AH222" s="215" t="str" cm="1">
        <f t="array" ref="AH222">Common_InputFunctions.Utility_DisplayArrayInTable(Fertiliser_SourceData.Fertiliser_Products_Data5(),FertiliserProducts[[#Headers],[Company]], 121)</f>
        <v/>
      </c>
    </row>
    <row r="223" spans="4:34" x14ac:dyDescent="0.25">
      <c r="D223" s="215" t="str" cm="1">
        <f t="array" ref="D223">Common_InputFunctions.Utility_DisplayArrayInTable(Fertiliser_SourceData.Fertiliser_Products_Data5(),FertiliserProducts[[#Headers],[Company]], 121)</f>
        <v>CSBP</v>
      </c>
      <c r="E223" s="215" t="str" cm="1">
        <f t="array" ref="E223">Common_InputFunctions.Utility_DisplayArrayInTable(Fertiliser_SourceData.Fertiliser_Products_Data5(),FertiliserProducts[[#Headers],[Company]], 121)</f>
        <v>Flexi-N</v>
      </c>
      <c r="F223" s="215" t="str" cm="1">
        <f t="array" ref="F223">Common_InputFunctions.Utility_DisplayArrayInTable(Fertiliser_SourceData.Fertiliser_Products_Data5(),FertiliserProducts[[#Headers],[Company]], 121)</f>
        <v>L</v>
      </c>
      <c r="G223" s="215" cm="1">
        <f t="array" ref="G223">Common_InputFunctions.Utility_DisplayArrayInTable(Fertiliser_SourceData.Fertiliser_Products_Data5(),FertiliserProducts[[#Headers],[Company]], 121)</f>
        <v>1.32</v>
      </c>
      <c r="H223" s="215" t="str" cm="1">
        <f t="array" ref="H223">Common_InputFunctions.Utility_DisplayArrayInTable(Fertiliser_SourceData.Fertiliser_Products_Data5(),FertiliserProducts[[#Headers],[Company]], 121)</f>
        <v/>
      </c>
      <c r="I223" s="215" t="str" cm="1">
        <f t="array" ref="I223">Common_InputFunctions.Utility_DisplayArrayInTable(Fertiliser_SourceData.Fertiliser_Products_Data5(),FertiliserProducts[[#Headers],[Company]], 121)</f>
        <v/>
      </c>
      <c r="J223" s="215" t="str" cm="1">
        <f t="array" ref="J223">Common_InputFunctions.Utility_DisplayArrayInTable(Fertiliser_SourceData.Fertiliser_Products_Data5(),FertiliserProducts[[#Headers],[Company]], 121)</f>
        <v/>
      </c>
      <c r="K223" s="215" cm="1">
        <f t="array" ref="K223">Common_InputFunctions.Utility_DisplayArrayInTable(Fertiliser_SourceData.Fertiliser_Products_Data5(),FertiliserProducts[[#Headers],[Company]], 121)</f>
        <v>32</v>
      </c>
      <c r="L223" s="215" t="str" cm="1">
        <f t="array" ref="L223">Common_InputFunctions.Utility_DisplayArrayInTable(Fertiliser_SourceData.Fertiliser_Products_Data5(),FertiliserProducts[[#Headers],[Company]], 121)</f>
        <v/>
      </c>
      <c r="M223" s="215" t="str" cm="1">
        <f t="array" ref="M223">Common_InputFunctions.Utility_DisplayArrayInTable(Fertiliser_SourceData.Fertiliser_Products_Data5(),FertiliserProducts[[#Headers],[Company]], 121)</f>
        <v/>
      </c>
      <c r="N223" s="215" t="str" cm="1">
        <f t="array" ref="N223">Common_InputFunctions.Utility_DisplayArrayInTable(Fertiliser_SourceData.Fertiliser_Products_Data5(),FertiliserProducts[[#Headers],[Company]], 121)</f>
        <v/>
      </c>
      <c r="O223" s="215" t="str" cm="1">
        <f t="array" ref="O223">Common_InputFunctions.Utility_DisplayArrayInTable(Fertiliser_SourceData.Fertiliser_Products_Data5(),FertiliserProducts[[#Headers],[Company]], 121)</f>
        <v>Urea-ammonium nitrate (UAN)</v>
      </c>
      <c r="P223" s="215" cm="1">
        <f t="array" ref="P223">Common_InputFunctions.Utility_DisplayArrayInTable(Fertiliser_SourceData.Fertiliser_Products_Data5(),FertiliserProducts[[#Headers],[Company]], 121)</f>
        <v>1</v>
      </c>
      <c r="Q223" s="215" t="str" cm="1">
        <f t="array" ref="Q223">Common_InputFunctions.Utility_DisplayArrayInTable(Fertiliser_SourceData.Fertiliser_Products_Data5(),FertiliserProducts[[#Headers],[Company]], 121)</f>
        <v/>
      </c>
      <c r="R223" s="215" t="str" cm="1">
        <f t="array" ref="R223">Common_InputFunctions.Utility_DisplayArrayInTable(Fertiliser_SourceData.Fertiliser_Products_Data5(),FertiliserProducts[[#Headers],[Company]], 121)</f>
        <v/>
      </c>
      <c r="S223" s="215" t="str" cm="1">
        <f t="array" ref="S223">Common_InputFunctions.Utility_DisplayArrayInTable(Fertiliser_SourceData.Fertiliser_Products_Data5(),FertiliserProducts[[#Headers],[Company]], 121)</f>
        <v/>
      </c>
      <c r="T223" s="215" t="str" cm="1">
        <f t="array" ref="T223">Common_InputFunctions.Utility_DisplayArrayInTable(Fertiliser_SourceData.Fertiliser_Products_Data5(),FertiliserProducts[[#Headers],[Company]], 121)</f>
        <v/>
      </c>
      <c r="U223" s="215" t="str" cm="1">
        <f t="array" ref="U223">Common_InputFunctions.Utility_DisplayArrayInTable(Fertiliser_SourceData.Fertiliser_Products_Data5(),FertiliserProducts[[#Headers],[Company]], 121)</f>
        <v/>
      </c>
      <c r="V223" s="215" t="str" cm="1">
        <f t="array" ref="V223">Common_InputFunctions.Utility_DisplayArrayInTable(Fertiliser_SourceData.Fertiliser_Products_Data5(),FertiliserProducts[[#Headers],[Company]], 121)</f>
        <v/>
      </c>
      <c r="W223" s="215" t="str" cm="1">
        <f t="array" ref="W223">Common_InputFunctions.Utility_DisplayArrayInTable(Fertiliser_SourceData.Fertiliser_Products_Data5(),FertiliserProducts[[#Headers],[Company]], 121)</f>
        <v/>
      </c>
      <c r="X223" s="215" t="str" cm="1">
        <f t="array" ref="X223">Common_InputFunctions.Utility_DisplayArrayInTable(Fertiliser_SourceData.Fertiliser_Products_Data5(),FertiliserProducts[[#Headers],[Company]], 121)</f>
        <v/>
      </c>
      <c r="Y223" s="215" t="str" cm="1">
        <f t="array" ref="Y223">Common_InputFunctions.Utility_DisplayArrayInTable(Fertiliser_SourceData.Fertiliser_Products_Data5(),FertiliserProducts[[#Headers],[Company]], 121)</f>
        <v/>
      </c>
      <c r="Z223" s="215" t="str" cm="1">
        <f t="array" ref="Z223">Common_InputFunctions.Utility_DisplayArrayInTable(Fertiliser_SourceData.Fertiliser_Products_Data5(),FertiliserProducts[[#Headers],[Company]], 121)</f>
        <v/>
      </c>
      <c r="AA223" s="215" t="str" cm="1">
        <f t="array" ref="AA223">Common_InputFunctions.Utility_DisplayArrayInTable(Fertiliser_SourceData.Fertiliser_Products_Data5(),FertiliserProducts[[#Headers],[Company]], 121)</f>
        <v/>
      </c>
      <c r="AB223" s="215" t="str" cm="1">
        <f t="array" ref="AB223">Common_InputFunctions.Utility_DisplayArrayInTable(Fertiliser_SourceData.Fertiliser_Products_Data5(),FertiliserProducts[[#Headers],[Company]], 121)</f>
        <v/>
      </c>
      <c r="AC223" s="215" t="str" cm="1">
        <f t="array" ref="AC223">Common_InputFunctions.Utility_DisplayArrayInTable(Fertiliser_SourceData.Fertiliser_Products_Data5(),FertiliserProducts[[#Headers],[Company]], 121)</f>
        <v/>
      </c>
      <c r="AD223" s="215" t="str" cm="1">
        <f t="array" ref="AD223">Common_InputFunctions.Utility_DisplayArrayInTable(Fertiliser_SourceData.Fertiliser_Products_Data5(),FertiliserProducts[[#Headers],[Company]], 121)</f>
        <v/>
      </c>
      <c r="AE223" s="215" t="str" cm="1">
        <f t="array" ref="AE223">Common_InputFunctions.Utility_DisplayArrayInTable(Fertiliser_SourceData.Fertiliser_Products_Data5(),FertiliserProducts[[#Headers],[Company]], 121)</f>
        <v/>
      </c>
      <c r="AF223" s="215" t="str" cm="1">
        <f t="array" ref="AF223">Common_InputFunctions.Utility_DisplayArrayInTable(Fertiliser_SourceData.Fertiliser_Products_Data5(),FertiliserProducts[[#Headers],[Company]], 121)</f>
        <v/>
      </c>
      <c r="AG223" s="215" t="str" cm="1">
        <f t="array" ref="AG223">Common_InputFunctions.Utility_DisplayArrayInTable(Fertiliser_SourceData.Fertiliser_Products_Data5(),FertiliserProducts[[#Headers],[Company]], 121)</f>
        <v/>
      </c>
      <c r="AH223" s="215" t="str" cm="1">
        <f t="array" ref="AH223">Common_InputFunctions.Utility_DisplayArrayInTable(Fertiliser_SourceData.Fertiliser_Products_Data5(),FertiliserProducts[[#Headers],[Company]], 121)</f>
        <v/>
      </c>
    </row>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222</v>
      </c>
      <c r="E24" s="62" t="s">
        <v>225</v>
      </c>
      <c r="F24" s="62" t="s">
        <v>226</v>
      </c>
      <c r="G24" s="62" t="s">
        <v>227</v>
      </c>
      <c r="H24" s="62" t="s">
        <v>228</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13"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topLeftCell="A239" zoomScaleNormal="100" workbookViewId="0">
      <selection activeCell="I279" sqref="I27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c r="A2" s="3"/>
    </row>
    <row r="3" spans="1:65" ht="20.100000000000001" customHeight="1" x14ac:dyDescent="0.25">
      <c r="A3" s="16" t="str">
        <f>HYPERLINK("#'Home'!A1", "Home")</f>
        <v>Home</v>
      </c>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213" t="s">
        <v>78</v>
      </c>
      <c r="D6" s="10" t="s">
        <v>1</v>
      </c>
      <c r="E6" s="10" t="s">
        <v>2</v>
      </c>
      <c r="F6" s="10" t="s">
        <v>3</v>
      </c>
    </row>
    <row r="7" spans="1:65" ht="20.100000000000001" customHeight="1" x14ac:dyDescent="0.25">
      <c r="A7" s="23" t="str">
        <f>HYPERLINK("#'Constants - Common'!A1", "Constants - Common")</f>
        <v>Constants - Common</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HYPERLINK("#'Acknowledgements'!A1", "Acknowledgements")</f>
        <v>Acknowledgements</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3"/>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3"/>
    </row>
    <row r="45" spans="1:8" ht="20.100000000000001" customHeight="1" x14ac:dyDescent="0.25">
      <c r="A45" s="3"/>
      <c r="D45" s="9" t="str" cm="1">
        <f t="array" ref="D45">Common_SourceData.Common_SourceData_ConvertGasElementalToMolecular_Title()</f>
        <v>Factor to convert elemental mass of gas to molecular mass</v>
      </c>
    </row>
    <row r="46" spans="1:8" ht="20.100000000000001" customHeight="1" x14ac:dyDescent="0.25">
      <c r="A46" s="3"/>
      <c r="D46" s="11" t="str" cm="1">
        <f t="array" ref="D46">Common_SourceData.Common_SourceData_ConvertGasElementalToMolecular_Source()</f>
        <v>XXXXXXX</v>
      </c>
    </row>
    <row r="47" spans="1:8" ht="20.100000000000001" customHeight="1" x14ac:dyDescent="0.25">
      <c r="A47" s="3"/>
      <c r="D47" s="10" t="s">
        <v>5</v>
      </c>
      <c r="E47" s="10" t="s">
        <v>7</v>
      </c>
      <c r="F47" s="10" t="s">
        <v>8</v>
      </c>
      <c r="G47" s="10" t="s">
        <v>9</v>
      </c>
      <c r="H47" s="10" t="s">
        <v>10</v>
      </c>
    </row>
    <row r="48" spans="1:8" ht="20.100000000000001" customHeight="1" x14ac:dyDescent="0.25">
      <c r="A48" s="3"/>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s="3"/>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s="3"/>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s="3"/>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s="3"/>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s="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s="3"/>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s="3"/>
    </row>
    <row r="56" spans="1:8" ht="20.100000000000001" customHeight="1" x14ac:dyDescent="0.25">
      <c r="A56" s="3"/>
    </row>
    <row r="57" spans="1:8" ht="20.100000000000001" customHeight="1" x14ac:dyDescent="0.25">
      <c r="A57" s="3"/>
      <c r="D57" s="9" t="str" cm="1">
        <f t="array" ref="D57">Common_SourceData.Common_SourceData_WetAndDryZones_Title()</f>
        <v>VEERG Australian wet and dry zones</v>
      </c>
    </row>
    <row r="58" spans="1:8" ht="20.100000000000001" customHeight="1" x14ac:dyDescent="0.25">
      <c r="A58" s="3"/>
      <c r="D58" s="11" t="str" cm="1">
        <f t="array" ref="D58">Common_SourceData.Common_SourceData_WetAndDryZones_Source()</f>
        <v>VEERG 2026: Table 1.2: Translating climate zones to wet and dry zones</v>
      </c>
    </row>
    <row r="59" spans="1:8" ht="20.100000000000001" customHeight="1" x14ac:dyDescent="0.25">
      <c r="A59" s="3"/>
      <c r="D59" s="12" t="str" cm="1">
        <f t="array" ref="D59:D61">"⚠️" &amp; Common_SourceData.Common_SourceData_WetAndDryZones_Variation()</f>
        <v>⚠️VARIATION OF SOURCE DATA:</v>
      </c>
    </row>
    <row r="60" spans="1:8" ht="20.100000000000001" customHeight="1" x14ac:dyDescent="0.25">
      <c r="A60" s="3"/>
      <c r="D60" s="12" t="str">
        <v>⚠️Added warm / cool temperate moist / dry - low frost and high temp classes to accommodate climate scenarios excluded by VEERG criteria.</v>
      </c>
    </row>
    <row r="61" spans="1:8" ht="20.100000000000001" customHeight="1" x14ac:dyDescent="0.25">
      <c r="A61" s="3"/>
      <c r="D61" s="12" t="str">
        <v>⚠️Fixed typo - Changed 'Fry' to 'Dry'.</v>
      </c>
    </row>
    <row r="62" spans="1:8" ht="20.100000000000001" customHeight="1" x14ac:dyDescent="0.25">
      <c r="A62" s="3"/>
    </row>
    <row r="63" spans="1:8" ht="20.100000000000001" customHeight="1" x14ac:dyDescent="0.25">
      <c r="A63" s="3"/>
      <c r="D63" s="10" t="s">
        <v>11</v>
      </c>
      <c r="E63" s="10" t="s">
        <v>12</v>
      </c>
    </row>
    <row r="64" spans="1:8" ht="20.100000000000001" customHeight="1" x14ac:dyDescent="0.25">
      <c r="A64" s="3"/>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3"/>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s="3"/>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s="3"/>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s="3"/>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s="3"/>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s="3"/>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s="3"/>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s="3"/>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s="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s="3"/>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s="3"/>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s="3"/>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s="3"/>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s="3"/>
    </row>
    <row r="79" spans="1:5" ht="20.100000000000001" customHeight="1" x14ac:dyDescent="0.25">
      <c r="A79" s="3"/>
    </row>
    <row r="80" spans="1:5" ht="20.100000000000001" customHeight="1" x14ac:dyDescent="0.25">
      <c r="A80" s="3"/>
    </row>
    <row r="81" spans="1:20" ht="20.100000000000001" customHeight="1" x14ac:dyDescent="0.25">
      <c r="A81" s="3"/>
      <c r="D81" s="9" t="str" cm="1">
        <f t="array" ref="D81">Common_SourceData.Common_SourceData_ClimateZones_Title()</f>
        <v>VEERG Australian climate zones</v>
      </c>
    </row>
    <row r="82" spans="1:20" ht="20.100000000000001" customHeight="1" x14ac:dyDescent="0.25">
      <c r="A82" s="3"/>
      <c r="D82" s="11" t="str" cm="1">
        <f t="array" ref="D82">Common_SourceData.Common_SourceData_ClimateZones_Source()</f>
        <v>VEERG 2026: Table 1.3: Climate and Rainfall zone classifications and definitions</v>
      </c>
    </row>
    <row r="83" spans="1:20" ht="20.100000000000001" customHeight="1" x14ac:dyDescent="0.25">
      <c r="A83" s="3"/>
      <c r="D83" s="12" t="str" cm="1">
        <f t="array" ref="D83:D87">"⚠️" &amp; Common_SourceData.Common_SourceData_ClimateZones_Variation()</f>
        <v>⚠️VARIATION OF SOURCE DATA:</v>
      </c>
    </row>
    <row r="84" spans="1:20" ht="20.100000000000001" customHeight="1" x14ac:dyDescent="0.25">
      <c r="A84" s="3"/>
      <c r="D84" s="12" t="str">
        <v>⚠️Added warm / cool temperate moist / dry - low frost and high temp classes to accommodate climate scenarios excluded by VEERG criteria.</v>
      </c>
    </row>
    <row r="85" spans="1:20" ht="20.100000000000001" customHeight="1" x14ac:dyDescent="0.25">
      <c r="A85" s="3"/>
      <c r="D85" s="12" t="str">
        <v>⚠️Fixed typo in MAT value for warm temperate dry - changed 10 to 11.</v>
      </c>
    </row>
    <row r="86" spans="1:20" ht="20.100000000000001" customHeight="1" x14ac:dyDescent="0.25">
      <c r="A86" s="3"/>
      <c r="D86" s="12" t="str">
        <v>⚠️Added min and max columns for MAT, MAP, frost days per year, elevation, MAP:PET to calculate zones from real climate data.</v>
      </c>
    </row>
    <row r="87" spans="1:20" ht="20.100000000000001" customHeight="1" x14ac:dyDescent="0.25">
      <c r="A87" s="3"/>
      <c r="D87" s="12" t="str">
        <v>⚠️GAF accepts rainfall as a proxy for precipitation.</v>
      </c>
    </row>
    <row r="88" spans="1:20" ht="20.100000000000001" customHeight="1" x14ac:dyDescent="0.25">
      <c r="A88" s="3"/>
    </row>
    <row r="89" spans="1:20" ht="20.100000000000001" customHeight="1" x14ac:dyDescent="0.25">
      <c r="A89" s="3"/>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s="3"/>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s="3"/>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s="3"/>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s="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s="3"/>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s="3"/>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s="3"/>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s="3"/>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s="3"/>
    </row>
    <row r="99" spans="1:20" ht="20.100000000000001" customHeight="1" x14ac:dyDescent="0.25">
      <c r="A99" s="3"/>
      <c r="D99" s="13" t="str" cm="1">
        <f t="array" ref="D99:D102">Common_SourceData.Common_SourceData_ClimateZones_Appendices()</f>
        <v>Note:</v>
      </c>
    </row>
    <row r="100" spans="1:20" ht="20.100000000000001" customHeight="1" x14ac:dyDescent="0.25">
      <c r="A100" s="3"/>
      <c r="D100" s="13" t="str">
        <v>MAT = mean annual temperature</v>
      </c>
    </row>
    <row r="101" spans="1:20" ht="20.100000000000001" customHeight="1" x14ac:dyDescent="0.25">
      <c r="A101" s="3"/>
      <c r="D101" s="13" t="str">
        <v>MAP = mean annual precipitation</v>
      </c>
    </row>
    <row r="102" spans="1:20" ht="20.100000000000001" customHeight="1" x14ac:dyDescent="0.25">
      <c r="A102" s="3"/>
      <c r="D102" s="13" t="str">
        <v>PET = potential evapotranspiration</v>
      </c>
    </row>
    <row r="103" spans="1:20" ht="20.100000000000001" customHeight="1" x14ac:dyDescent="0.25">
      <c r="A103" s="3"/>
      <c r="D103" s="13"/>
    </row>
    <row r="104" spans="1:20" ht="20.100000000000001" customHeight="1" x14ac:dyDescent="0.25">
      <c r="A104" s="3"/>
    </row>
    <row r="105" spans="1:20" ht="20.100000000000001" customHeight="1" x14ac:dyDescent="0.25">
      <c r="A105" s="3"/>
      <c r="D105" s="9" t="str" cm="1">
        <f t="array" ref="D105">Common_SourceData.Common_SourceData_TemperatureZones_Title()</f>
        <v>VEERG Australian temperature zones</v>
      </c>
    </row>
    <row r="106" spans="1:20" ht="20.100000000000001" customHeight="1" x14ac:dyDescent="0.25">
      <c r="A106" s="3"/>
      <c r="D106" s="11" t="str" cm="1">
        <f t="array" ref="D106">Common_SourceData.Common_SourceData_TemperatureZones_Source()</f>
        <v>VEERG 2026: Table 1.3: Climate and Rainfall zone classifications and definitions</v>
      </c>
    </row>
    <row r="107" spans="1:20" ht="20.100000000000001" customHeight="1" x14ac:dyDescent="0.25">
      <c r="A107" s="3"/>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s="3"/>
    </row>
    <row r="109" spans="1:20" ht="20.100000000000001" customHeight="1" x14ac:dyDescent="0.25">
      <c r="A109" s="3"/>
      <c r="D109" s="10" t="s">
        <v>28</v>
      </c>
      <c r="E109" s="10" t="s">
        <v>13</v>
      </c>
      <c r="F109" s="10" t="s">
        <v>29</v>
      </c>
      <c r="G109" s="10" t="s">
        <v>30</v>
      </c>
    </row>
    <row r="110" spans="1:20" ht="20.100000000000001" customHeight="1" x14ac:dyDescent="0.25">
      <c r="A110" s="3"/>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s="3"/>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s="3"/>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s="3"/>
    </row>
    <row r="114" spans="1:66" ht="20.100000000000001" customHeight="1" x14ac:dyDescent="0.25">
      <c r="A114" s="3"/>
    </row>
    <row r="115" spans="1:66" ht="20.100000000000001" customHeight="1" x14ac:dyDescent="0.25">
      <c r="A115" s="3"/>
      <c r="D115" s="9" t="str" cm="1">
        <f t="array" ref="D115">Common_SourceData.Common_SourceData_RainfallZones_Title()</f>
        <v>VEERG Australian rainfall zones</v>
      </c>
      <c r="BN115" s="4"/>
    </row>
    <row r="116" spans="1:66" ht="20.100000000000001" customHeight="1" x14ac:dyDescent="0.25">
      <c r="A116" s="3"/>
      <c r="D116" s="11" t="str" cm="1">
        <f t="array" ref="D116">Common_SourceData.Common_SourceData_RainfallZones_Source()</f>
        <v>VEERG 2026: Table 1.3: Climate and Rainfall zone classifications and definitions</v>
      </c>
      <c r="BN116" s="4"/>
    </row>
    <row r="117" spans="1:66" ht="20.100000000000001" customHeight="1" x14ac:dyDescent="0.25">
      <c r="A117" s="3"/>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s="3"/>
      <c r="BN118" s="4"/>
    </row>
    <row r="119" spans="1:66" ht="20.100000000000001" customHeight="1" x14ac:dyDescent="0.25">
      <c r="A119" s="3"/>
      <c r="D119" s="10" t="s">
        <v>31</v>
      </c>
      <c r="E119" s="10" t="s">
        <v>32</v>
      </c>
      <c r="F119" s="10" t="s">
        <v>20</v>
      </c>
      <c r="G119" s="10" t="s">
        <v>21</v>
      </c>
      <c r="BN119" s="4"/>
    </row>
    <row r="120" spans="1:66" ht="20.100000000000001" customHeight="1" x14ac:dyDescent="0.25">
      <c r="A120" s="3"/>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s="3"/>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s="3"/>
      <c r="BN122" s="4"/>
    </row>
    <row r="123" spans="1:66" ht="20.100000000000001" customHeight="1" x14ac:dyDescent="0.25">
      <c r="A123" s="3"/>
    </row>
    <row r="124" spans="1:66" ht="20.100000000000001" customHeight="1" x14ac:dyDescent="0.25">
      <c r="A124" s="3"/>
      <c r="D124" s="9" t="str" cm="1">
        <f t="array" ref="D124">Common_SourceData.Common_SourceData_LeachingZones_Title()</f>
        <v>VEERG Australian leaching zones</v>
      </c>
    </row>
    <row r="125" spans="1:66" ht="20.100000000000001" customHeight="1" x14ac:dyDescent="0.25">
      <c r="A125" s="3"/>
      <c r="D125" s="11" t="str" cm="1">
        <f t="array" ref="D125">Common_SourceData.Common_SourceData_LeachingZones_Source()</f>
        <v>VEERG 2026: Table 1.3: Climate and Rainfall zone classifications and definitions</v>
      </c>
    </row>
    <row r="126" spans="1:66" ht="20.100000000000001" customHeight="1" x14ac:dyDescent="0.25">
      <c r="A126" s="3"/>
    </row>
    <row r="127" spans="1:66" ht="20.100000000000001" customHeight="1" x14ac:dyDescent="0.25">
      <c r="A127" s="3"/>
      <c r="D127" s="10" t="s">
        <v>33</v>
      </c>
      <c r="E127" s="10" t="s">
        <v>34</v>
      </c>
    </row>
    <row r="128" spans="1:66" ht="20.100000000000001" customHeight="1" x14ac:dyDescent="0.25">
      <c r="A128" s="3"/>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s="3"/>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s="3"/>
    </row>
    <row r="131" spans="1:77" ht="20.100000000000001" customHeight="1" x14ac:dyDescent="0.25">
      <c r="A131" s="3"/>
    </row>
    <row r="132" spans="1:77" ht="20.100000000000001" customHeight="1" x14ac:dyDescent="0.25">
      <c r="A132" s="3"/>
      <c r="D132" s="9" t="str" cm="1">
        <f t="array" ref="D132">Common_SourceData.Common_SourceData_FracWET_Title()</f>
        <v>Fraction of N that is available for leaching and runoff</v>
      </c>
      <c r="E132" s="14"/>
    </row>
    <row r="133" spans="1:77" ht="20.100000000000001" customHeight="1" x14ac:dyDescent="0.25">
      <c r="A133" s="3"/>
      <c r="D133" s="11" t="str" cm="1">
        <f t="array" ref="D133">Common_SourceData.Common_SourceData_FracWET_Source()</f>
        <v>VEERG 2026:5.5.2.3 Constant Parameters</v>
      </c>
      <c r="E133" s="14"/>
    </row>
    <row r="134" spans="1:77" ht="20.100000000000001" customHeight="1" x14ac:dyDescent="0.25">
      <c r="A134" s="3"/>
      <c r="D134" s="3" t="s">
        <v>35</v>
      </c>
      <c r="E134" s="3" t="s">
        <v>36</v>
      </c>
    </row>
    <row r="135" spans="1:77" ht="20.100000000000001" customHeight="1" x14ac:dyDescent="0.25">
      <c r="A135" s="3"/>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s="3"/>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s="3"/>
    </row>
    <row r="138" spans="1:77" ht="20.100000000000001" customHeight="1" x14ac:dyDescent="0.25">
      <c r="A138" s="3"/>
      <c r="BN138" s="4"/>
      <c r="BO138" s="4"/>
      <c r="BP138" s="4"/>
      <c r="BQ138" s="4"/>
      <c r="BR138" s="4"/>
      <c r="BS138" s="4"/>
      <c r="BT138" s="4"/>
      <c r="BU138" s="4"/>
      <c r="BV138" s="4"/>
      <c r="BW138" s="4"/>
      <c r="BX138" s="4"/>
      <c r="BY138" s="4"/>
    </row>
    <row r="139" spans="1:77" ht="20.100000000000001" customHeight="1" x14ac:dyDescent="0.25">
      <c r="A139" s="3"/>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s="3"/>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s="3"/>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s="3"/>
      <c r="D142" s="10" t="s">
        <v>37</v>
      </c>
      <c r="E142" s="10" t="s">
        <v>36</v>
      </c>
      <c r="BN142" s="4"/>
    </row>
    <row r="143" spans="1:77" ht="20.100000000000001" customHeight="1" x14ac:dyDescent="0.25">
      <c r="A143" s="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s="3"/>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s="3"/>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s="3"/>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s="3"/>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s="3"/>
      <c r="BN148" s="4"/>
    </row>
    <row r="149" spans="1:66" ht="20.100000000000001" customHeight="1" x14ac:dyDescent="0.25">
      <c r="A149" s="3"/>
      <c r="BN149" s="4"/>
    </row>
    <row r="150" spans="1:66" ht="20.100000000000001" customHeight="1" x14ac:dyDescent="0.25">
      <c r="A150" s="3"/>
      <c r="D150" s="9" t="str" cm="1">
        <f t="array" ref="D150">Common_SourceData.Common_SourceData_DataScores_Scope3_Title()</f>
        <v>Australian data scores for scope 3</v>
      </c>
      <c r="BN150" s="4"/>
    </row>
    <row r="151" spans="1:66" ht="20.100000000000001" customHeight="1" x14ac:dyDescent="0.25">
      <c r="A151" s="3"/>
      <c r="D151" s="11" t="str" cm="1">
        <f t="array" ref="D151">Common_SourceData.Common_SourceData_DataScores_Scope3_Source()</f>
        <v>VEERG 2026: XXXXXXXX</v>
      </c>
      <c r="BN151" s="4"/>
    </row>
    <row r="152" spans="1:66" ht="20.100000000000001" customHeight="1" x14ac:dyDescent="0.25">
      <c r="A152" s="3"/>
      <c r="BN152" s="4"/>
    </row>
    <row r="153" spans="1:66" ht="20.100000000000001" customHeight="1" x14ac:dyDescent="0.25">
      <c r="A153" s="3"/>
      <c r="D153" s="10" t="s">
        <v>38</v>
      </c>
      <c r="E153" s="10" t="s">
        <v>39</v>
      </c>
      <c r="BC153" s="7"/>
      <c r="BD153" s="7"/>
      <c r="BE153" s="7"/>
      <c r="BF153" s="7"/>
      <c r="BG153" s="7"/>
      <c r="BH153" s="7"/>
      <c r="BI153" s="7"/>
      <c r="BJ153" s="7"/>
      <c r="BK153" s="7"/>
      <c r="BL153" s="7"/>
      <c r="BM153" s="7"/>
    </row>
    <row r="154" spans="1:66" ht="20.100000000000001" customHeight="1" x14ac:dyDescent="0.25">
      <c r="A154" s="3"/>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s="3"/>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s="3"/>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s="3"/>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s="3"/>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s="3"/>
    </row>
    <row r="160" spans="1:66" ht="20.100000000000001" customHeight="1" x14ac:dyDescent="0.25">
      <c r="A160" s="3"/>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864</v>
      </c>
    </row>
    <row r="264" spans="4:6" x14ac:dyDescent="0.25">
      <c r="D264" s="8" t="s">
        <v>865</v>
      </c>
    </row>
    <row r="265" spans="4:6" x14ac:dyDescent="0.25">
      <c r="D265" s="10" t="s">
        <v>246</v>
      </c>
      <c r="E265" s="10" t="s">
        <v>866</v>
      </c>
      <c r="F265" s="10" t="s">
        <v>867</v>
      </c>
    </row>
    <row r="266" spans="4:6" x14ac:dyDescent="0.25">
      <c r="D266" s="10" t="s">
        <v>868</v>
      </c>
      <c r="E266" s="10" t="s">
        <v>869</v>
      </c>
      <c r="F266" s="10">
        <v>5</v>
      </c>
    </row>
    <row r="267" spans="4:6" x14ac:dyDescent="0.25">
      <c r="D267" s="10" t="s">
        <v>870</v>
      </c>
      <c r="E267" s="10" t="s">
        <v>871</v>
      </c>
      <c r="F267" s="10">
        <v>4</v>
      </c>
    </row>
    <row r="268" spans="4:6" x14ac:dyDescent="0.25">
      <c r="D268" s="10" t="s">
        <v>872</v>
      </c>
      <c r="E268" s="10" t="s">
        <v>873</v>
      </c>
      <c r="F268" s="10">
        <v>3</v>
      </c>
    </row>
    <row r="269" spans="4:6" x14ac:dyDescent="0.25">
      <c r="D269" s="10" t="s">
        <v>874</v>
      </c>
      <c r="E269" s="10" t="s">
        <v>875</v>
      </c>
      <c r="F269" s="10">
        <v>2</v>
      </c>
    </row>
    <row r="270" spans="4:6" x14ac:dyDescent="0.25">
      <c r="D270" s="10" t="s">
        <v>876</v>
      </c>
      <c r="E270" s="10" t="s">
        <v>877</v>
      </c>
      <c r="F270" s="10">
        <v>1</v>
      </c>
    </row>
    <row r="273" spans="4:6" x14ac:dyDescent="0.25">
      <c r="D273" s="8" t="s">
        <v>878</v>
      </c>
    </row>
    <row r="274" spans="4:6" x14ac:dyDescent="0.25">
      <c r="D274" s="10" t="s">
        <v>246</v>
      </c>
      <c r="E274" s="10" t="s">
        <v>866</v>
      </c>
      <c r="F274" s="10" t="s">
        <v>867</v>
      </c>
    </row>
    <row r="275" spans="4:6" x14ac:dyDescent="0.25">
      <c r="D275" s="10" t="s">
        <v>879</v>
      </c>
      <c r="E275" s="10" t="s">
        <v>880</v>
      </c>
      <c r="F275" s="10">
        <v>5</v>
      </c>
    </row>
    <row r="276" spans="4:6" x14ac:dyDescent="0.25">
      <c r="D276" s="10" t="s">
        <v>881</v>
      </c>
      <c r="E276" s="10" t="s">
        <v>882</v>
      </c>
      <c r="F276" s="10">
        <v>4</v>
      </c>
    </row>
    <row r="277" spans="4:6" x14ac:dyDescent="0.25">
      <c r="D277" s="10" t="s">
        <v>883</v>
      </c>
      <c r="E277" s="10" t="s">
        <v>884</v>
      </c>
      <c r="F277" s="10">
        <v>3</v>
      </c>
    </row>
    <row r="278" spans="4:6" x14ac:dyDescent="0.25">
      <c r="D278" s="10" t="s">
        <v>885</v>
      </c>
      <c r="E278" s="10" t="s">
        <v>886</v>
      </c>
      <c r="F278" s="10">
        <v>2</v>
      </c>
    </row>
    <row r="279" spans="4:6" x14ac:dyDescent="0.25">
      <c r="D279" s="10" t="s">
        <v>887</v>
      </c>
      <c r="E279" s="10" t="s">
        <v>888</v>
      </c>
      <c r="F279" s="10">
        <v>1</v>
      </c>
    </row>
    <row r="282" spans="4:6" x14ac:dyDescent="0.25">
      <c r="D282" s="8" t="s">
        <v>889</v>
      </c>
    </row>
    <row r="283" spans="4:6" x14ac:dyDescent="0.25">
      <c r="D283" s="10" t="s">
        <v>246</v>
      </c>
      <c r="E283" s="10" t="s">
        <v>866</v>
      </c>
      <c r="F283" s="10" t="s">
        <v>867</v>
      </c>
    </row>
    <row r="284" spans="4:6" x14ac:dyDescent="0.25">
      <c r="D284" s="10" t="s">
        <v>890</v>
      </c>
      <c r="E284" s="10" t="s">
        <v>891</v>
      </c>
      <c r="F284" s="10">
        <v>5</v>
      </c>
    </row>
    <row r="285" spans="4:6" x14ac:dyDescent="0.25">
      <c r="D285" s="10" t="s">
        <v>892</v>
      </c>
      <c r="E285" s="10" t="s">
        <v>893</v>
      </c>
      <c r="F285" s="10">
        <v>4</v>
      </c>
    </row>
    <row r="286" spans="4:6" x14ac:dyDescent="0.25">
      <c r="D286" s="10" t="s">
        <v>894</v>
      </c>
      <c r="E286" s="10" t="s">
        <v>895</v>
      </c>
      <c r="F286" s="10">
        <v>3</v>
      </c>
    </row>
    <row r="287" spans="4:6" x14ac:dyDescent="0.25">
      <c r="D287" s="10" t="s">
        <v>896</v>
      </c>
      <c r="E287" s="10" t="s">
        <v>897</v>
      </c>
      <c r="F287" s="10">
        <v>2</v>
      </c>
    </row>
    <row r="288" spans="4:6" x14ac:dyDescent="0.25">
      <c r="D288" s="10" t="s">
        <v>898</v>
      </c>
      <c r="E288" s="10" t="s">
        <v>899</v>
      </c>
      <c r="F288" s="10">
        <v>1</v>
      </c>
    </row>
    <row r="291" spans="4:6" x14ac:dyDescent="0.25">
      <c r="D291" s="8" t="s">
        <v>900</v>
      </c>
    </row>
    <row r="292" spans="4:6" x14ac:dyDescent="0.25">
      <c r="D292" s="10" t="s">
        <v>246</v>
      </c>
      <c r="E292" s="10" t="s">
        <v>866</v>
      </c>
      <c r="F292" s="10" t="s">
        <v>867</v>
      </c>
    </row>
    <row r="293" spans="4:6" x14ac:dyDescent="0.25">
      <c r="D293" s="10" t="s">
        <v>901</v>
      </c>
      <c r="E293" s="10" t="s">
        <v>902</v>
      </c>
      <c r="F293" s="10">
        <v>5</v>
      </c>
    </row>
    <row r="294" spans="4:6" x14ac:dyDescent="0.25">
      <c r="D294" s="10" t="s">
        <v>903</v>
      </c>
      <c r="E294" s="10" t="s">
        <v>904</v>
      </c>
      <c r="F294" s="10">
        <v>4</v>
      </c>
    </row>
    <row r="295" spans="4:6" x14ac:dyDescent="0.25">
      <c r="D295" s="10" t="s">
        <v>905</v>
      </c>
      <c r="E295" s="10" t="s">
        <v>906</v>
      </c>
      <c r="F295" s="10">
        <v>3</v>
      </c>
    </row>
    <row r="296" spans="4:6" x14ac:dyDescent="0.25">
      <c r="D296" s="10" t="s">
        <v>907</v>
      </c>
      <c r="E296" s="10" t="s">
        <v>908</v>
      </c>
      <c r="F296" s="10">
        <v>2</v>
      </c>
    </row>
    <row r="297" spans="4:6" x14ac:dyDescent="0.25">
      <c r="D297" s="10" t="s">
        <v>909</v>
      </c>
      <c r="E297" s="10" t="s">
        <v>910</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D4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MgBcAG4APQBMAEEATQBCAEQAQQAoAFwAbgAgAE0AQQBLAEUAQQBSAFIAQQBZACgAMwAwACwAIAAzADEALABcAG4AIABMAEEATQBCAEQAQQAoAHIALABjACwAXABuACAAIABJAE4ARABFAFgAKAB7AFwAbgBcACIAQwBhAG0AcABiAGUAbABsAHMAIABmAGUAcgB0AGkAbABpAHMAZQByAHMAIABBAHUAcwB0AHIAYQBsAGkAYQBcACIALABcACIARQBuAGMAYQBsAFwAIgAsAFwAIgBMAFwAIgAsADEALgA1ACwAXAAiAFwAIgAsAFwAIgBcACIALABcACIAXAAiACwAOQAsAFwAIgBcACIALABcACIAXAAiACwAMQAzAC4AOQA0ACwAXAAiAFMAdQBsAHAAaABhAHQAZQAgAG8AZgAgAGEAbQBtAG8AbgBpAGEAIAAoAFMATwBBACkAXAAiACwAMAAuADUAOAAwADYANAA1ACwAXAAiAE0AYQBnAG4AZQBzAGkAdQBtAFwAIgAsADAALgAwADEAM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UwBTAFwAIgAsAFwAIgBrAGcAXAAiACwAMQAsAFwAIgBcACIALABcACIAXAAiACwAXAAiAFwAIgAsADEAMAAsADEANwAuADUALABcACIAXAAiACwAMQAyACwAXAAiAFAAaABvAHMAcABoAG8AcgB1AHMAIAAtACAARwBlAG4AZQByAGkAYwBcACIALAAwAC4AMQA3ADUALABcACIAUwB1AGwAZgB1AHIAIAAtACAARwBlAG4AZQByAGkAYwBcACIALAAwAC4AMQAyACwAXAAiAE4AaQB0AHIAbwBnAGUAbgAgAC0AIABBAG0AbQBvAG4AaQBhAGMAYQBsAFwAIgAsADAALgAxACwAXAAiAEYAbAB1AG8AcgBpAGQAZQBcACIALAAwAC4AMAAz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oAXAAiACwAXAAiAGsAZwBcACIALAAxACwAXAAiAFwAIgAsAFwAIgBcACIALABcACIAXAAiACwAMQAxACwAMgAxAC4AOAAsAFwAIgBcACIALAA0ACwAXAAiAFAAaABvAHMAcABoAG8AcgB1AHMAIAAtACAARwBlAG4AZQByAGkAYwBcACIALAAwAC4AMgAxADgALABcACIATgBpAHQAcgBvAGcAZQBuACAALQAgAEcAZQBuAGUAcgBpAGMAXAAiACwAMAAuADEAMQAsAFwAIgBTAHUAbABmAHUAcgAgAC0AIABHAGUAbgBlAHIAaQBjAFwAIgAsADAALgAwADQALABcACIARgBsAHUAbwByAGkAZABlAFwAIgAsADAALgAwADMALABcACIAWgBpAG4AYwBcACIALAAwAC4AMAAxACwAXAAiAFwAIgAsAFwAIgBcACIALABcACIAXAAiACwAXAAiAFwAIgAsAFwAIgBcACIALABcACIAXAAiACwAXAAiAFwAIgAsAFwAIgBcACIALABcACIAXAAiACwAXAAiAFwAIgA7AFwAbgBcACIASQBuAGMAaQB0AGUAYwAgAFAAaQB2AG8AdAAgAEYAZQByAHQAaQBsAGkAcwBlAHIAcwBcACIALABcACIARgBhAHIAbQAgAEEAZwAgAEwAZQBpAGMAaABoAGEAcgBkAHQAXAAiACwAXAAiAGsAZwBcACIALAAxACwAXAAiAFwAIgAsAFwAIgBcACIALABcACIAXAAiACwAMwAyAC4ANQAsADUALgA0ACwANgAuADIANQAsAFwAIgBcACIALABcACIAVQByAGUAYQBcACIALAAwAC4ANgAsAFwAIgBOAGkAdAByAG8AZwBlAG4AIAAtACAAQQBtAG0AbwBuAGkAYQBjAGEAbABcACIALAAwAC4AMAA0ADkALABcACIAUABoAG8AcwBwAGgAbwByAHUAcwAgAC0AIABHAGUAbgBlAHIAaQBjAFwAIgAsADAALgAwADUANAAsAFwAIgBNAHUAcgBpAGEAdABlACAAbwBmACAAcABvAHQAYQBzAGgAIAAoAE0ATwBQACkAXAAiACwAMAAuADEAMgA1ACwAXAAiAFwAIgAsAFwAIgBcACIALABcACIAXAAiACwAXAAiAFwAIgAsAFwAIgBcACIALABcACIAXAAiACwAXAAiAFwAIgAsAFwAIgBcACIALABcACIAXAAiACwAXAAiAFwAIgAsAFwAIgBcACIALABcACIAXAAiADsAXABuAFwAIgBSAGEAdgBlAG4AcwBkAG8AdwBuAFwAIgAsAFwAIgBGAGwAZQB4AGkALQBOACAATgBCAFAAVABcACIALABcACIAawBnAFwAIgAsADEALABcACIAWQBlAHMAXAAiACwAXAAiAFwAIgAsAFwAIgBcACIALAA0ADUALgA1ADQALABcACIAXAAiACwAXAAiAFwAIgAsAFwAIgBcACIALABcACIAVQByAGUAYQBcACIALAAwAC4AOQA5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HAG8AbABkACAAUAByAGUAbQBpAHUAbQBcACIALABcACIAawBnAFwAIgAsADEALABcACIAXAAiACwAXAAiAFwAIgAsAFwAIgBcACIALAAxADQALgA4ADcALAAyAC4AMgAsADEANgAuADYALAA4ACwAXAAiAEEAbQBtAG8AbgBpAHUAbQAgAG4AaQB0AHIAYQB0AGUAIAAoAEEATgApAFwAIgAsADAALgA0ADQAMQAxADcANgAsAFwAIgBQAG8AdABhAHMAcwBpAHUAbQAgAC0AIABHAGUAbgBlAHIAaQBjAFwAIgAsADAALgAxADYANgAsAFwAIgBTAHUAbABmAHUAcgAgAC0AIABHAGUAbgBlAHIAaQBjAFwAIgAsADAALgAwADgALABcACIAUABoAG8AcwBwAGgAbwByAHUAcwAgAC0AIABHAGUAbgBlAHIAaQBjAFwAIgAsADAALgAwADIAMgAsAFwAIgBNAGEAZwBuAGUAcwBpAHUAbQBcACIALAAwAC4AMAAxADIALABcACIAQgBvAHIAbwBuAFwAIgAsADAALgAwADAAMAAyACwAXAAiAFoAaQBuAGMAXAAiACwAMAAuADAAMAAwADEALABcACIAXAAiACwAXAAiAFwAIgAsAFwAIgBcACIALABcACIAXAAiACwAXAAiAFwAIgAsAFwAIgBcACIAOwBcAG4AXAAiAFMATAAgAFQAZQBjAFwAIgAsAFwAIgBIAGkAZwBoACAATgBTAFwAIgAsAFwAIgBMAFwAIgAsADEALgAyADkAOQAsAFwAIgBcACIALABcACIAXAAiACwAXAAiAFwAIgAsADMAOAAsAFwAIgBcACIALABcACIAXAAiACwAMgAsAFwAIgBVAHIAZQBhAFwAIgAsADAALgA0ADYAMAA4ADcALABcACIATgBpAHQAcgBvAGcAZQBuACAALQAgAEEAbQBtAG8AbgBpAGEAYwBhAGwAXAAiACwAMAAuADAAOQAyACwAXAAiAE4AaQB0AHIAbwBnAGUAbgAgAC0AIABOAGkAdAByAGEAdABlAFwAIgAsADAALgAwADcANgAsAFwAIgBTAHUAbABmAHUAcgAgAC0AIABHAGUAbgBlAHIAaQBjAFwAIgAsADAALgAwADIALABcACIAXAAiACwAXAAiAFwAIgAsAFwAIgBcACIALABcACIAXAAiACwAXAAiAFwAIgAsAFwAIgBcACIALABcACIAXAAiACwAXAAiAFwAIgAsAFwAIgBcACIALABcACIAXAAiACwAXAAiAFwAIgAsAFwAIgBcACIAOwBcAG4AXAAiAEkAbQBwAGEAYwB0ACAARgBlAHIAdABpAGwAaQBzAGUAcgBzAFwAIgAsAFwAIgBJAG0AcABhAGMAdAAgAFMAUwBQ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UwB3AGkAdABjAGgAIABBAGcAXAAiACwAXAAiAEkAbgAgAEMAcgBvAHAAXAAiACwAXAAiAEwAXAAiACwAMQAuADIALABcACIAXAAiACwAXAAiAFwAIgAsAFwAIgBcACIALAAxADAALAAxACwAMQAxACwAXAAiAFwAIgAsAFwAIgBQAG8AdABhAHMAcwBpAHUAbQAgAC0AIABHAGUAbgBlAHIAaQBjAFwAIgAsADAALgAxADEALABcACIATgBpAHQAcgBvAGcAZQBuACAALQAgAEcAZQBuAGUAcgBpAGMAXAAiACwAMAAuADEALABcACIAUABoAG8AcwBwAGgAbwByAHUAcwAgAC0AIABHAGUAbgBlAHIAaQBjAFwAIgAsADAALgAwADEALABcACIAXAAiACwAXAAiAFwAIgAsAFwAIgBcACIALABcACIAXAAiACwAXAAiAFwAIgAsAFwAIgBcACIALABcACIAXAAiACwAXAAiAFwAIgAsAFwAIgBcACIALABcACIAXAAiACwAXAAiAFwAIgAsAFwAIgBcACIALABcACIAXAAiACwAXAAiAFwAIgA7AFwAbgBcACIAUwB3AGkAdABjAGgAIABBAGcAXAAiACwAXAAiAEsAMgAwAFwAIgAsAFwAIgBMAFwAIgAsADEALgAzACwAXAAiAFwAIgAsAFwAIgBcACIALABcACIAXAAiACwAMwAsAFwAIgBcACIALAAyADIALABcACIAXAAiACwAXAAiAFAAbwB0AGEAcwBzAGkAdQBtACAALQAgAEcAZQBuAGUAcgBpAGMAXAAiACwAMAAuADIAMg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TABvAHYAZQBsAGEAbgBkACAAQQBnAHIAaQBwAHIAbwBkAHUAYwB0AHMAXAAiACwAXAAiAE0AYQB4AGkAbQB1AG0AIABOAC0AUABhAGMAdABcACIALABcACIATABcACIALAAxAC4AMQA4ADUALABcACIAXAAiACwAXAAiAFwAIgAsAFwAIgBcACIALAAyADMALgA4ACwAXAAiAFwAIgAsAFwAIgBcACIALABcACIAXAAiACwAXAAiAFUAcgBlAGEAXAAiACwAMAAuADUAMQA3ADMAOQAxACwAXAAiAFwAIgAsAFwAIgBcACIALABcACIAXAAiACwAXAAiAFwAIgAsAFwAIgBcACIALABcACIAXAAiACwAXAAiAFwAIgAsAFwAIgBcACIALABcACIAXAAiACwAXAAiAFwAIgAsAFwAIgBcACIALABcACIAXAAiACwAXAAiAFwAIgAsAFwAIgBcACIALABcACIAXAAiACwAXAAiAFwAIgAsAFwAIgBcACIALABcACIAXAAiADsAXABuAFwAIgBTAEwAIABUAGUAYwBcACIALABcACIATgBpAHQAcgBvACAAQwBvAG0AYgBpACAAVABFAFwAIgAsAFwAIgBMAFwAIgAsADEALgAyADUANQAsAFwAIgBcACIALABcACIAXAAiACwAXAAiAFwAIgAsAFwAIgBcACIALABcACIAXAAiACwAMAAuADEALAA0AC4ANAAsAFwAIgBTAHUAbABmAHUAcgAgAC0AIABHAGUAbgBlAHIAaQBjAFwAIgAsADAALgAwADQANAAsAFwAIgBaAGkAbgBjAFwAIgAsADAALgAwADIAMgAsAFwAIgBJAHIAbwBuAFwAIgAsADAALgAwADIAMgAsAFwAIgBNAGEAbgBnAGEAbgBlAHMAZQBcACIALAAwAC4AMAAxADYALABcACIAQgBvAHIAbwBuAFwAIgAsADAALgAwADAAOAAsAFwAIgBNAGEAZwBuAGUAcwBpAHUAbQBcACIALAAwAC4AMAAwADcALABcACIARgB1AGwAdgBpAGMAIABhAGMAaQBkACAAKABvAHIAZwBhAG4AaQBjACkAXAAiACwAMAAuADAAMAA1ACwAXAAiAEMAbwBwAHAAZQByAFwAIgAsADAALgAwADAAMwAsAFwAIgBQAG8AdABhAHMAcwBpAHUAbQAgAC0AIABHAGUAbgBlAHIAaQBjAFwAIgAsADAALgAwADAAMQAsAFwAIgBNAG8AbAB5AGIAZABlAG4AdQBtAFwAIgAsADAALgAwADAAMAAzADsAXABuAFwAIgBTAHcAaQB0AGMAaAAgAEEAZwBcACIALABcACIAUABhAHMAdAB1AHIAZQBNAEEAWABYAFwAIgAsAFwAIgBMAFwAIgAsADEALgAyADMALABcACIAXAAiACwAXAAiAFwAIgAsAFwAIgBcACIALAA5AC4ANwAxACwAXAAiAFwAIgAsADMALgAyADUALAAyAC4AMQAxACwAXAAiAE4AaQB0AHIAbwBnAGUAbgAgAC0AIABHAGUAbgBlAHIAaQBjAFwAIgAsADAALgAwADkANwAxACwAXAAiAFAAbwB0AGEAcwBzAGkAdQBtACAALQAgAEcAZQBuAGUAcgBpAGMAXAAiACwAMAAuADAAMwAyADUALABcACIAUwB1AGwAZgB1AHIAIAAtACAARwBlAG4AZQByAGkAYwBcACIALAAwAC4AMAAyADEAMQAsAFwAIgBaAGkAbgBjAFwAIgAsADAALgAwADEANQAsAFwAIgBJAHIAbwBuAFwAIgAsADAALgAwADEAMQAxACwAXAAiAE0AYQBuAGcAYQBuAGUAcwBlAFwAIgAsADAALgAwADEAMQA1ACwAXAAiAE0AYQBnAG4AZQBzAGkAdQBtAFwAIgAsADAALgAwADAANAA1ACwAXAAiAEIAbwByAG8AbgBcACIALAAwAC4AMAAwADIALABcACIAXAAiACwAXAAiAFwAIgAsAFwAIgBcACIALABcACIAXAAiADsAXABuAFwAIgBDAGEAbQBwAGIAZQBsAGwAcwAgAGYAZQByAHQAaQBsAGkAcwBlAHIAcwAgAEEAdQBzAHQAcgBhAGwAaQBhAFwAIgAsAFwAIgBQAGwAYQB0AGkAbgB1AG0AIABOAGUAcgBnAGUAdABpAGMAXAAiACwAXAAiAGsAZwBcACIALAAxACwAXAAiAFwAIgAsAFwAIgBcACIALABcACIAXAAiACwAMQAwACwAMQAwAC4AOQAsADEAMAAsADQALgAzADQALABcACIATQBvAG4AbwBhAG0AbQBvAG4AaQB1AG0AIABwAGgAbwBzAHAAaABhAHQAZQAgACgATQBBAFAAKQBcACIALAAwAC4ANAAxADcAOAAsAFwAIgBBAG0AbQBvAG4AaQB1AG0AIABuAGkAdAByAGEAdABlACAAKABBAE4AKQBcACIALAAwAC4AMQA3ADIAOAAsAFwAIgBQAG8AdABhAHMAcwBpAHUAbQAgAHMAdQBsAHAAaABhAHQAZQBcACIALAAwAC4AMgA0ADAAOQA2ADQALABcACIARABvAHUAYgBsAGUAIABzAHUAcABlAHIAcABoAG8AcwBwAGgAYQB0AGUAXAAiACwAMAAuADEALABcACIATQBhAGcAbgBlAHMAaQB1AG0AXAAiACwAMAAuADAAMQAyACwAXAAiAFoAaQBuAGMAXAAiACwAMAAuADAAMAAzADYALABcACIAQgBvAHIAbwBuAFwAIgAsADAALgAwADAAMQAsAFwAIgBHAGwAYQB6AGUAIABFAHgAdABlAG4AZAAgAEcAMwAgAEYAbABlAHgAaQBcACIALAAwAC4AMAA1ADEAOQAsAFwAIgBcACIALABcACIAXAAiACwAXAAiAFwAIgAsAFwAIgBcACIAOwBcAG4AXAAiAEkAbQBwAGEAYwB0ACAARgBlAHIAdABpAGwAaQBzAGUAcgBzAFwAIgAsAFwAIgBTAHUAbABwAGgAYQB0AGUAIABvAGYAIABhAG0AbQBvAG4AaQBhACAAKABTAE8AQQAp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0AbwBuAG8ALQBBAG0AbQBvAG4AaQB1AG0AIABQAGgAbwBzAHAAaABhAHQAZQAgACgATQBBAFAAKQBcACIALABcACIAawBnAFwAIgAsADEALABcACIAXAAiACwAXAAiAFwAIgAsAFwAIgBcACIALAAxADAALAAyADEALgA5ACwAXAAiAFwAIgAsADEALgA1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UAcgBlAGEAXAAiACwAXAAiAGsAZwBcACIALAAxACwAXAAi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wBvAGMAaAAgAEYAZQByAHQAaQBsAGkAcwBlAHIAIABBAHUAcwB0AHIAYQBsAGkAYQBcACIALABcACIATQB1AHIAaQBhAHQAZQAgAG8AZgAgAHAAbwB0AGEAcwBoACAAKABNAE8AUAAp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VAHIAZQBhACAAQQBtAG0AbwBuAGkAdQBtACAAbgBpAHQAcgBhAHQAZQAgACgAVQBBAE4AIAAzADIALQAwAC0AMAApAFwAIgAsAFwAIgBMAFwAIgAsADEALgAzADIALABcACIAXAAiACwAXAAiAEMAaABpAG4AYQBcACIALABcACIAQwBoAGkAbgBh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AAbwBsAHkAcABlAHAAdABpAGQAZQAgAFUAcgBlAGEAXAAiACwAXAAiAGsAZwBcACIALAAxACwAXAAiAFwAIgAsAFwAIgBDAGgAaQBuAGEAXAAiACwAXAAiAFwAIgAsADQANgAsAFwAIgBcACIALABcACIAXAAiACwAXAAiAFwAIgAsAFwAIgBVAHIAZQBhAFwAIgAsADEALABcACIAUABvAGwAeQBwAGUAcAB0AGkAZABlACAAKABhAG0AaQBuAG8AIABhAGMAaQBkAHMAKQBcACIALAAw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DAEEATABDAEkATgBJAFQAXAAiACwAXAAiAGsAZwBcACIALAAxACwAXAAiAFwAIgAsAFwAIgBcACIALABcACIAXAAiACwAMQA1AC4ANQAsAFwAIgBcACIALABcACIAXAAiACwAXAAiAFwAIgAsAFwAIgBDAGEAbABjAGkAdQBtACAAbgBpAHQAcgBhAHQAZ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ABpAHYAYQAgAE4ASQBUAFIAQQBCAE8AUgBcACIALABcACIAawBnAFwAIgAsADEALABcACIAXAAiACwAXAAiAFwAIgAsAFwAIgBcACIALAAxADUALgA0ACwAXAAiAFwAIgAsAFwAIgBcACIALABcACIAXAAiACwAXAAiAEMAYQBsAGMAaQB1AG0AIABuAGkAdAByAGEAdABlAFwAIgAsADAALgA5ADkAMwA1ADQAOAAsAFwAIgBCAG8AcgBvAG4AXAAiACwAMAAuADAAMAAz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0AaQBsAGEAIABDAE8ATQBQAEwARQBYAFwAIgAsAFwAIgBrAGcAXAAiACwAMQAsAFwAIgBcACIALABcACIAXAAiACwAXAAiAFwAIgAsADEAMgAsADUALAAxADUALAA4ACwAXAAiAE4AaQB0AHIAbwBnAGUAbgAgAC0AIABOAGkAdAByAGEAdABlAFwAIgAsADAALgAwADUALABcACIATgBpAHQAcgBvAGcAZQBuACAALQAgAEEAbQBtAG8AbgBpAGEAYwBhAGwAXAAiACwAMAAuADAANwAsAFwAIgBQAGgAbwBzAHAAaABvAHIAdQBzACAALQAgAEcAZQBuAGUAcgBpAGMAXAAiACwAMAAuADAANQAsAFwAIgBQAG8AdABhAHMAcwBpAHUAbQAgAC0AIABHAGUAbgBlAHIAaQBjAFwAIgAsADAALgAxADUALABcACIAUwB1AGwAZgB1AHIAIAAtACAARwBlAG4AZQByAGkAYwBcACIALAAwAC4AMAA4ACwAXAAiAE0AYQBnAG4AZQBzAGkAdQBtAFwAIgAsADAALgAwADEANgAsAFwAIgBaAGkAbgBjAFwAIgAsADAALgAwADAAMAAyACwAXAAiAEIAbwByAG8AbgBcACIALAAwAC4AMAAwADAAMQA1ACwAXAAiAFwAIgAsAFwAIgBcACIALABcACIAXAAiACwAXAAiAFwAIgA7AFwAbgBcACIAWQBhAHIAYQAgAEEAdQBzAHQAcgBhAGwAaQBhAFwAIgAsAFwAIgBZAGEAcgBhAFIAZQBnAGEAIAA5AC0AMAAtADMAMAAgACgAMQA0ACkAXAAiACwAXAAiAGsAZwBcACIALAAxACwAXAAiAFwAIgAsAFwAIgBcACIALABcACIAXAAiACwAOQAsAFwAIgBcACIALAAzADAALAAxADQALABcACIAUABvAHQAYQBzAHMAaQB1AG0AIAAtACAARwBlAG4AZQByAGkAYwBcACIALAAwAC4AMwAsAFwAIgBTAHUAbABmAHUAcgAgAC0AIABHAGUAbgBlAHIAaQBjAFwAIgAsADAALgAxADQALABcACIATgBpAHQAcgBvAGcAZQBuACAALQAgAE4AaQB0AHIAYQB0AGUAXAAiACwAMAAuADAANAA1ACwAXAAiAE4AaQB0AHIAbwBnAGUAbgAgAC0AIABBAG0AbQBvAG4AaQBhAGMAYQBsAFwAIgAsADAALgAwADQANQAsAFwAIgBcACIALABcACIAXAAiACwAXAAiAFwAIgAsAFwAIgBcACIALABcACIAXAAiACwAXAAiAFwAIgAsAFwAIgBcACIALABcACIAXAAiACwAXAAiAFwAIgAsAFwAIgBcACIALABcACIAXAAiACwAXAAiAFwAIgA7AFwAbgBcACIAWQBhAHIAYQAgAEEAdQBzAHQAcgBhAGwAaQBhAFwAIgAsAFwAIgBZAGEAcgBhAFIAZQBnAGEAIAAxADMALQAyAC0AMgAxAFwAIgAsAFwAIgBrAGcAXAAiACwAMQAsAFwAIgBcACIALABcACIAXAAiACwAXAAiAFwAIgAsADEAMwAsADEALgA3ADUALAAyADEALAAxADAALgA4ACwAXAAiAFAAbwB0AGEAcwBzAGkAdQBtACAALQAgAEcAZQBuAGUAcgBpAGMAXAAiACwAMAAuADIAMQAsAFwAIgBTAHUAbABmAHUAcgAgAC0AIABHAGUAbgBlAHIAaQBjAFwAIgAsADAALgAxADAAOAAsAFwAIgBOAGkAdAByAG8AZwBlAG4AIAAtACAAQQBtAG0AbwBuAGkAYQBjAGEAbABcACIALAAwAC4AMAA3ADcALABcACIATgBpAHQAcgBvAGcAZQBuACAALQAgAE4AaQB0AHIAYQB0AGUAXAAiACwAMAAuADAANQAzACwAXAAiAFAAaABvAHMAcABoAG8AcgB1AHMAIAAtACAARwBlAG4AZQByAGkAYwBcACIALAAwAC4AMAAxADcANQAsAFwAIgBNAGEAZwBuAGUAcwBpAHUAbQBcACIALAAwAC4AMAAwADQALABcACIAWgBpAG4AYwBcACIALAAwAC4AMAAwADAAOAAsAFwAIgBCAG8AcgBvAG4AXAAiACwAMAAuADAAMAAwADgALABcACIAXAAiACwAXAAiAFwAIgAsAFwAIgBcACIALABcACIAXAAiADsAXABuAFwAIgBZAGEAcgBhACAAQQB1AHMAdAByAGEAbABpAGEAXAAiACwAXAAiAFkAYQByAGEAUgBlAGcAYQAgADEANQAtADcALQAxADMAIAAoADcAUwApAFwAIgAsAFwAIgBrAGcAXAAiACwAMQAsAFwAIgBcACIALABcACIAXAAiACwAXAAiAFwAIgAsADEANQAsADYALgA1ACwAMQAyAC4ANQAsADcALgAyACwAXAAiAE4AaQB0AHIAbwBnAGUAbgAgAC0AIABOAGkAdAByAGEAdABlAFwAIgAsADAALgAwADkANQAsAFwAIgBQAG8AdABhAHMAcwBpAHUAbQAgAC0AIABHAGUAbgBlAHIAaQBjAFwAIgAsADAALgAxADIANQAsAFwAIgBTAHUAbABmAHUAcgAgAC0AIABHAGUAbgBlAHIAaQBjAFwAIgAsADAALgAwADcAMgAsAFwAIgBQAGgAbwBzAHAAaABvAHIAdQBzACAALQAgAEcAZQBuAGUAcgBpAGMAXAAiACwAMAAuADAANgA1ACwAXAAiAE4AaQB0AHIAbwBnAGUAbgAgAC0AIABBAG0AbQBvAG4AaQBhAGMAYQBsAFwAIgAsADAALgAwADUANQAsAFwAIgBNAGEAZwBuAGUAcwBpAHUAbQBcACIALAAwAC4AMAAwADYANgAsAFwAIgBCAG8AcgBvAG4AXAAiACwAMAAuADAAMAAxACwAXAAiAFoAaQBuAGMAXAAiACwAMAAuADAAMAAwADYALABcACIAXAAiACwAXAAiAFwAIgAsAFwAIgBcACIALABcACIAXAAiADsAXABuAFwAIgBZAGEAcgBhACAAQQB1AHMAdAByAGEAbABpAGEAXAAiACwAXAAiAFkAYQByAGEAVABlAHIAYQAgAEMAQQBMAEMASQBOAEkAVAAgAEIAXAAiACwAXAAiAGsAZwBcACIALAAxACwAXAAiAFwAIgAsAFwAIgBcACIALABcACIAXAAiACwAMQA1AC4ANQAsAFwAIgBcACIALABcACIAXAAiACwAXAAiAFwAIgAsAFwAIgBDAGEAbABjAGkAdQBtACAAbgBpAHQAcgBhAHQAZQBcACIALAAxACwAXAAiAEIAbwByAG8AbgBcACIALAAwAC4AMAAwADE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CA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BMAE8ATgAgAFIARQBEAFwAIgAsAFwAIgBrAGcAXAAiACwAMQAsAFwAIgBcACIALABcACIAXAAiACwAXAAiAFwAIgAsADEAMgAsADUALgAyACwAMgA5AC4AOQAsADEALABcACIAUABvAHQAYQBzAHMAaQB1AG0AIAAtACAARwBlAG4AZQByAGkAYwBcACIALAAwAC4AMgA5ADkALABcACIATgBpAHQAcgBvAGcAZQBuACAALQAgAE4AaQB0AHIAYQB0AGUAXAAiACwAMAAuADEAMAAxACwAXAAiAFAAaABvAHMAcABoAG8AcgB1AHMAIAAtACAARwBlAG4AZQByAGkAYwBcACIALAAwAC4AMAA1ADIALABcACIATgBpAHQAcgBvAGcAZQBuACAALQAgAEEAbQBtAG8AbgBpAGEAYwBhAGwAXAAiACwAMAAuADAAMQA5ACwAXAAiAFMAdQBsAGYAdQByACAALQAgAEcAZQBuAGUAcgBpAGMAXAAiACwAMAAuADAAMQAsAFwAIgBNAGEAZwBuAGUAcwBpAHUAbQBcACIALAAwAC4AMAAwADYALABcACIASQByAG8AbgBcACIALAAwAC4AMAAwADAANwAsAFwAIgBNAGEAbgBnAGEAbgBlAHMAZQBcACIALAAwAC4AMAAwADAANAAsAFwAIgBaAGkAbgBjAFwAIgAsADAALgAwADAAMAAyADUALABcACIAQgBvAHIAbwBuAFwAIgAsADAALgAwADAAMAAyADUAOwBcAG4AXAAiAFkAYQByAGEAIABBAHUAcwB0AHIAYQBsAGkAYQBcACIALABcACIAWQBhAHIAYQBUAGUAcgBhACAASwBSAEkAUwBUAEEATABPAE4AIABTAFAARQBDAEkAQQBMAFwAIgAsAFwAIgBrAGcAXAAiACwAMQAsAFwAIgBcACIALABcACIAXAAiACwAXAAiAFwAIgAsADEAOAAsADcALgA5ACwAMQA0AC4AOQAsADIALABcACIAUABvAHQAYQBzAHMAaQB1AG0AIAAtACAARwBlAG4AZQByAGkAYwBcACIALAAwAC4AMQA0ADkALABcACIAVQByAGUAYQBcACIALAAwAC4AMgAxADMAMAA0ADMALABcACIAUABoAG8AcwBwAGgAbwByAHUAcwAgAC0AIABHAGUAbgBlAHIAaQBjAFwAIgAsADAALgAwADcAOQAsAFwAIgBOAGkAdAByAG8AZwBlAG4AIAAtACAATgBpAHQAcgBhAHQAZQBcACIALAAwAC4AMAA0ADkALABcACIATgBpAHQAcgBvAGcAZQBuACAALQAgAEEAbQBtAG8AbgBpAGEAYwBhAGwAXAAiACwAMAAuADAAMwAzACwAXAAiAFMAdQBsAGYAdQByACAALQAgAEcAZQBuAGUAcgBpAGMAXAAiACwAMAAuADAAMgAsAFwAIgBNAGEAZwBuAGUAcwBpAHUAbQBcACIALAAwAC4AMAAxADgALABcACIASQByAG8AbgBcACIALAAwAC4AMAAwADAANwAsAFwAIgBNAGEAbgBnAGEAbgBlAHMAZQBcACIALAAwAC4AMAAwADAANAAsAFwAIgBaAGkAbgBjAFwAIgAsADAALgAwADAAMAAyADUAXABuACAAIAB9ACwAIAByACwAIABjACkAXABuACAAKQApACkAOw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Ow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JgAxAFwAIgAsAFwAIgBrAGcAXAAiACwAMQAsAFwAIgBcACIALABcACIAXAAiACwAXAAiAFwAIgAsAFwAIgBcACIALAA0AC4ANAAsADIANQAsADUALgA1ACwAXAAiAFMAaQBuAGcAbABlACAAcwB1AHAAZQByAHAAaABvAHMAcABoAGEAdABlACAAKABTAFMAUAApAFwAIgAsADAALgA1ACwAXAAiAE0AdQByAGkAYQB0AGUAIABvAGYAIABwAG8AdABhAHMAaAAgACgATQBPAFAAKQBcACIALAAwAC4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gAm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Am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JgAxAFwAIgAsAFwAIgBrAGcAXAAiACwAMQAsAFwAIgBcACIALABcACIAXAAiACwAXAAiAFwAIgAsAFwAIgBcACIALAA3AC4AMAA0ACwAMQAwACwAOAAuADgALABcACIAUwBpAG4AZwBsAGUAIABzAHUAcABlAHIAcABoAG8AcwBwAGgAYQB0AGUAIAAoAFMAUwBQACkAXAAiACwAMAAuADgALABcACIATQB1AHIAaQBhAHQAZQAgAG8AZgAgAHAAbwB0AGEAcwBoACAAKABNAE8AUAApAFwAIgAsADAALgAy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1AC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Am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NQBcAG4APQBMAEEATQBCAEQAQQAoAFwAbgAgAE0AQQBLAEUAQQBSAFIAQQBZACgAMQA0ACwAIAAzADEALABcAG4AIABMAEEATQBCAEQAQQAoAHIALABjACwAXABuACAAIABJAE4ARABFAFgAKAB7AFwAbgBcACIAVwBlAG4AZwBmAHUAIABBAHUAcwB0AHIAYQBsAGkAYQBcACIALABcACIAVwBlAG4AZwBmAHUAIAAxADkALQAxADMALQAwAC0ANwAgAFAAcgBpAG0AZQBaAGkAbgBjAFwAIgAsAFwAIgBrAGcAXAAiACwAMQAsAFwAIgBcACIALABcACIAXAAiACwAXAAiAFwAIgAsADEAOAAuADYALAAxADIALgA3ACwAMAAsADYALgA4ACwAXAAiAE4AaQB0AHIAbwBnAGUAbgAgAC0AIABHAGUAbgBlAHIAaQBjAFwAIgAsADAALgAxADgANgAsAFwAIgBQAGgAbwBzAHAAaABvAHIAdQBzACAALQAgAEcAZQBuAGUAcgBpAGMAXAAiACwAMAAuADEAMgA3ACwAXAAiAFMAdQBsAGYAdQByACAALQAgAEcAZQBuAGUAcgBpAGMAXAAiACwAMAAuADAANgA4ACwAXAAiAFoAaQBuAGMAXAAiACwAMAAuADAAMAA2ACwAXAAiAFwAIgAsAFwAIgBcACIALABcACIAXAAiACwAXAAiAFwAIgAsAFwAIgBcACIALABcACIAXAAiACwAXAAiAFwAIgAsAFwAIgBcACIALABcACIAXAAiACwAXAAiAFwAIgAsAFwAIgBcACIALABcACIAXAAiADsAXABuAFwAIgBXAGUAbgBnAGYAdQAgAEEAdQBzAHQAcgBhAGwAaQBhAFwAIgAsAFwAIgBXAGUAbgBnAGYAdQAgAEIAbwBvAHMAdABlAHIAIABLAFwAIgAsAFwAIgBrAGcAXAAiACwAMQAsAFwAIgBcACIALABcACIAXAAiACwAXAAiAFwAIgAsADMAMgAsADAALAAxADEALAAzACwAXAAiAE4AaQB0AHIAbwBnAGUAbgAgAC0AIABHAGUAbgBlAHIAaQBjAFwAIgAsADAALgAzADIALABcACIAUABvAHQAYQBzAHMAaQB1AG0AIAAtACAARwBlAG4AZQByAGkAYwBcACIALAAwAC4AMQAxACwAXAAiAFMAdQBsAGYAdQByACAALQAgAEcAZQBuAGUAcgBpAGMAXAAiACwAMAAuADAAMw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SAGkAYwBoACAAMQBcACIALABcACIAawBnAFwAIgAsADEALABcACIAXAAiACwAXAAiAFwAIgAsAFwAIgBcACIALAAzADEALAA2ACwAMAAsADYALABcACIATgBpAHQAcgBvAGcAZQBuACAALQAgAEcAZQBuAGUAcgBpAGMAXAAiACwAMAAuADMAMQAsAFwAIgBQAGgAbwBzAHAAaABvAHIAdQBzACAALQAgAEcAZQBuAGUAcgBpAGMAXAAiACwAMAAuADAANgAsAFwAIgBTAHUAbABmAHUAcgAgAC0AIABHAGUAbgBlAHIAaQBjAFwAIgAsADAALgAwADY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RwByAGEAcwBzACAARABBAFAAXAAiACwAXAAiAGsAZwBcACIALAAxACwAXAAiAFwAIgAsAFwAIgBcACIALABcACIAXAAiACwAMgAxACwANAAsADgALAA3ACwAXAAiAE4AaQB0AHIAbwBnAGUAbgAgAC0AIABHAGUAbgBlAHIAaQBjAFwAIgAsADAALgAyADEALABcACIAUABoAG8AcwBwAGgAbwByAHUAcwAgAC0AIABHAGUAbgBlAHIAaQBjAFwAIgAsADAALgAwADQALABcACIAUABvAHQAYQBzAHMAaQB1AG0AIAAtACAARwBlAG4AZQByAGkAYwBcACIALAAwAC4AMAA4ACwAXAAiAFMAdQBsAGYAdQByACAALQAgAEcAZQBuAGUAcgBpAGMAXAAiACwAMAAuADAANwAsAFwAIgBcACIALABcACIAXAAiACwAXAAiAFwAIgAsAFwAIgBcACIALABcACIAXAAiACwAXAAiAFwAIgAsAFwAIgBcACIALABcACIAXAAiACwAXAAiAFwAIgAsAFwAIgBcACIALABcACIAXAAiACwAXAAiAFwAIgA7AFwAbgBcACIAVwBlAG4AZwBmAHUAIABBAHUAcwB0AHIAYQBsAGkAYQBcACIALABcACIAVwBlAG4AZwBmAHUAIABBAGYAdABlAHIAZwByAGEAegBlAFwAIgAsAFwAIgBrAGcAXAAiACwAMQAsAFwAIgBcACIALABcACIAXAAiACwAXAAiAFwAIgAsADIAMwAsADAALAAyADUALAAwACwAXAAiAE4AaQB0AHIAbwBnAGUAbgAgAC0AIABHAGUAbgBlAHIAaQBjAFwAIgAsADAALgAyADMALABcACIAUABvAHQAYQBzAHMAaQB1AG0AIAAtACAARwBlAG4AZQByAGkAYwBcACIALAAwAC4AMgA1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kAZABlAGQAcgBlAHMAcwBcACIALABcACIAawBnAFwAIgAsADEALABcACIAXAAiACwAXAAiAFwAIgAsAFwAIgBcACIALAAyADUALAA0ACwAMQAzACwANAAsAFwAIgBOAGkAdAByAG8AZwBlAG4AIAAtACAARwBlAG4AZQByAGkAYwBcACIALAAwAC4AMgA1ACwAXAAiAFAAaABvAHMAcABoAG8AcgB1AHMAIAAtACAARwBlAG4AZQByAGkAYwBcACIALAAwAC4AMAA0ACwAXAAiAFAAbwB0AGEAcwBzAGkAdQBtACAALQAgAEcAZQBuAGUAcgBpAGMAXAAiACwAMAAuADEAMw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UABhAHMAdAB1AHIAZQAgAEIAbwBvAHMAdABlAHIAXAAiACwAXAAiAGsAZwBcACIALAAxACwAXAAiAFwAIgAsAFwAIgBcACIALABcACIAXAAiACwAMQAzACwANQAsADIANAAsADUALABcACIATgBpAHQAcgBvAGcAZQBuACAALQAgAEcAZQBuAGUAcgBpAGMAXAAiACwAMAAuADEAMwAsAFwAIgBQAGgAbwBzAHAAaABvAHIAdQBzACAALQAgAEcAZQBuAGUAcgBpAGMAXAAiACwAMAAuADAANQAsAFwAIgBQAG8AdABhAHMAcwBpAHUAbQAgAC0AIABHAGUAbgBlAHIAaQBjAFwAIgAsADAALgAyADQALABcACIAUwB1AGwAZgB1AHIAIAAtACAARwBlAG4AZQByAGkAYwBcACIALAAwAC4AMAA1ACwAXAAiAFwAIgAsAFwAIgBcACIALABcACIAXAAiACwAXAAiAFwAIgAsAFwAIgBcACIALABcACIAXAAiACwAXAAiAFwAIgAsAFwAIgBcACIALABcACIAXAAiACwAXAAiAFwAIgAsAFwAIgBcACIALABcACIAXAAiADsAXABuAFwAIgBXAGUAbgBnAGYAdQAgAEEAdQBzAHQAcgBhAGwAaQBhAFwAIgAsAFwAIgBXAGUAbgBnAGYAdQAgAEQAQQBQACAASABhAHkAIABCAG8AbwBzAHQAZQByAFwAIgAsAFwAIgBrAGcAXAAiACwAMQAsAFwAIgBcACIALABcACIAXAAiACwAXAAiAFwAIgAsADEAMQAsADUALAAyADQALAA0ACwAXAAiAE4AaQB0AHIAbwBnAGUAbgAgAC0AIABHAGUAbgBlAHIAaQBjAFwAIgAsADAALgAxADEALABcACIAUABoAG8AcwBwAGgAbwByAHUAcwAgAC0AIABHAGUAbgBlAHIAaQBjAFwAIgAsADAALgAwADUALABcACIAUABvAHQAYQBzAHMAaQB1AG0AIAAtACAARwBlAG4AZQByAGkAYwBcACIALAAwAC4AMgA0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NAEEAUAAgAEgAYQB5ACAAQgBvAG8AcwB0AGUAcgBcACIALABcACIAawBnAFwAIgAsADEALABcACIAXAAiACwAXAAiAFwAIgAsAFwAIgBcACIALAAxADEALAA4ACwAMgAwACwANgAsAFwAIgBOAGkAdAByAG8AZwBlAG4AIAAtACAARwBlAG4AZQByAGkAYwBcACIALAAwAC4AMQAxACwAXAAiAFAAaABvAHMAcABoAG8AcgB1AHMAIAAtACAARwBlAG4AZQByAGkAYwBcACIALAAwAC4AMAA4ACwAXAAiAFAAbwB0AGEAcwBzAGkAdQBtACAALQAgAEcAZQBuAGUAcgBpAGMAXAAiACwAMAAuADIALABcACIAUwB1AGwAZgB1AHIAIAAtACAARwBlAG4AZQByAGkAYwBcACIALAAwAC4AMAA2ACwAXAAiAFwAIgAsAFwAIgBcACIALABcACIAXAAiACwAXAAiAFwAIgAsAFwAIgBcACIALABcACIAXAAiACwAXAAiAFwAIgAsAFwAIgBcACIALABcACIAXAAiACwAXAAiAFwAIgAsAFwAIgBcACIALABcACIAXAAiADsAXABuAFwAIgBXAGUAbgBnAGYAdQAgAEEAdQBzAHQAcgBhAGwAaQBhAFwAIgAsAFwAIgBXAGUAbgBnAGYAdQAgAEYAbwBkAGQAZQByACAAQgBvAG8AcwB0AGUAcgBcACIALABcACIAawBnAFwAIgAsADEALABcACIAXAAiACwAXAAiAFwAIgAsAFwAIgBcACIALAA5ACwANAAsADUALAAxADUALABcACIATgBpAHQAcgBvAGcAZQBuACAALQAgAEcAZQBuAGUAcgBpAGMAXAAiACwAMAAuADAAOQAsAFwAIgBQAGgAbwBzAHAAaABvAHIAdQBzACAALQAgAEcAZQBuAGUAcgBpAGMAXAAiACwAMAAuADAANAAsAFwAIgBQAG8AdABhAHMAcwBpAHUAbQAgAC0AIABHAGUAbgBlAHIAaQBjAFwAIgAsADAALgAwADUALABcACIAUwB1AGwAZgB1AHIAIAAtACAARwBlAG4AZQByAGkAYwBcACIALAAwAC4AMQA1ACwAXAAiAFwAIgAsAFwAIgBcACIALABcACIAXAAiACwAXAAiAFwAIgAsAFwAIgBcACIALABcACIAXAAiACwAXAAiAFwAIgAsAFwAIgBcACIALABcACIAXAAiACwAXAAiAFwAIgAsAFwAIgBcACIALABcACIAXAAiADsAXABuAFwAIgBDAFMAQgBQAFwAIgAsAFwAIgBLAC0AVABpAGwAbAAgAEUAeAB0AHIAYQBcACIALABcACIAawBnAFwAIgAsADEALABcACIAXAAiACwAXAAiAFwAIgAsAFwAIgBcACIALAAxADAALgA3ADMALAAxADAALgA5ADUALAAxADEALgAzADUALAA2AC4ANQA1ACwAXAAiAE0AbwBuAG8AYQBtAG0AbwBuAGkAdQBtACAAcABoAG8AcwBwAGgAYQB0AGUAIAAoAE0AQQBQACkAXAAiACwAMAAuADUALABcACIAUwB1AGwAcABoAGEAdABlACAAbwBmACAAYQBtAG0AbwBuAGkAYQAgACgAUwBPAEEAKQBcACIALAAwAC4AMgA3ADMALABcACIATQB1AHIAaQBhAHQAZQAgAG8AZgAgAHAAbwB0AGEAcwBoACAAKABNAE8AUAApAFwAIgAsADAALgAyADIANwAsAFwAIgBDAG8AcABwAGUAcgBcACIALABcACIATgBvACAAZABhAHQAYQBcACIALABcACIAWgBpAG4AYwBcACIALABcACIATgBvACAAZABhAHQAYQBcACIALABcACIAXAAiACwAXAAiAFwAIgAsAFwAIgBcACIALABcACIAXAAiACwAXAAiAFwAIgAsAFwAIgBcACIALABcACIAXAAiACwAXAAiAFwAIgAsAFwAIgBcACIALABcACIAXAAiADsAXABuAFwAIgBDAFMAQgBQAFwAIgAsAFwAIgBBAGcAcgBhAHMAIABFAHgAdAByAGEAXAAiACwAXAAiAGsAZwBcACIALAAxACwAXAAiAFwAIgAsAFwAIgBcACIALABcACIAXAAiACwAMQA2AC4AOQA1ACwAOAAuADAANgAsAFwAIgBcACIALAAxADUALgAxADcALABcACIAUwB1AGwAcABoAGEAdABlACAAbwBmACAAYQBtAG0AbwBuAGkAYQAgACgAUwBPAEEAKQBcACIALAAwAC4ANgAzADIALABcACIATQBvAG4AbwBhAG0AbQBvAG4AaQB1AG0AIABwAGgAbwBzAHAAaABhAHQAZQAgACgATQBBAFAAKQBcACIALAAwAC4AMwA2ADgALABcACIAWgBpAG4AYwBcACIALABcACIATgBvACAAZABhAHQAYQBcACIALABcACIAQwBvAHAAcABlAHIAXAAiACwAXAAiAE4AbwAgAGQAYQB0AGEAXAAiACwAXAAiAE0AbwBsAHkAYgBkAGUAbgB1AG0AXAAiACwAXAAiAE4AbwAgAGQAYQB0AGEAXAAiACwAXAAiAEMAbwBiAGEAbAB0AFwAIgAsAFwAIgBOAG8AIABkAGEAdABhAFwAIgAsAFwAIgBcACIALABcACIAXAAiACwAXAAiAFwAIgAsAFwAIgBcACIALABcACIAXAAiACwAXAAiAFwAIgAsAFwAIgBcACIALABcACIAXAAiADsAXABuAFwAIgBDAFMAQgBQAFwAIgAsAFwAIgBTAHUAcABlAHIAIABDAG8AcABwAGUAcgAgAFoAaQBuAGMAIABNAG8AbAB5AFwAIgAsAFwAIgBrAGcAXAAiACwAMQAsAFwAIgBcACIALABcACIAXAAiACwAXAAiAFwAIgAsAFwAIgBcACIALAA4AC4AOAAsAFwAIgBcACIALAAxADEALABcACIAUwBpAG4AZwBsAGUAIABzAHUAcABlAHIAcABoAG8AcwBwAGgAYQB0AGUAIAAoAFMAUwBQACkAXAAiACwAMQAsAFwAIgBDAG8AcABwAGUAcgBcACIALAAwAC4AMAAwADYALABcACIAWgBpAG4AYwBcACIALAAwAC4AMAAwADMALABcACIATQBvAGwAeQBiAGQAZQBuAHUAbQBcACIALAAwAC4AMAAwADAANgAsAFwAIgBcACIALABcACIAXAAiACwAXAAiAFwAIgAsAFwAIgBcACIALABcACIAXAAiACwAXAAiAFwAIgAsAFwAIgBcACIALABcACIAXAAiACwAXAAiAFwAIgAsAFwAIgBcACIALABcACIAXAAiACwAXAAiAFwAIgA7AFwAbgBcACIAQwBTAEIAUABcACIALABcACIARgBsAGUAeABpAC0ATgBcACIALABcACIATABcACIALAAxAC4AMwAyACwAXAAiAFwAIgAsAFwAIgBcACIALABcACI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O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pAHMAaAAgAGYAZQBlAGQAIABhAG4AZAAgAGIAYQBpAHQAXABuAD0APQA9AD0APQA9AD0APQA9AD0APQA9AD0APQA9AD0APQA9AD0APQA9AD0APQA9AD0APQA9AD0APQA9AD0APQA9AD0APQA9AD0APQA9AD0APQA9AD0APQA9AD0APQA9AD0APQA9AD0APQA9AD0APQA9AD0APQA9AD0APQA9AD0APQA9AD0APQA9AD0APQA9AD0APQA9AD0AXABuACoALwBcAG4AXABuAFMAYwBvAHAAZQAzAF8ARgBpAHMAaABGAGUAZQBkAEEAbgBkAEIAYQBpAHQAXwBUAGkAdABsAGUAXABuAD0ATABBAE0AQgBEAEEAKAAoAFwAIgBGAGkAcwBoACAAZgBlAGUAZAAgAGEAbgBkACAAYgBhAGkAdAAgAHMAYwBvAHAAZQAgADMAXAAiACkAKQA7AFwAbgBcAG4AUwBjAG8AcABlADMAXwBGAGkAcwBoAEYAZQBlAGQAQQBuAGQAQgBhAGkAdABfAFMAbwB1AHIAYwBlAFwAbgA9AEwAQQBNAEIARABBACgAKABcACIAVgBFAEUAUgBHACAAMgAwADIANgA6ACAAVABhAGIAbABlACAAQQAuADMALgAxAC4AMQA6ACAATABpAGYAZQAtAGMAeQBjAGwAZQAgAGUAbQBpAHMAcwBpAG8AbgAgAGYAYQBjAHQAbwByAHMAIABmAG8AcgAgAHAAdQByAGMAaABhAHMAZQBkACAAZgBlAGUAZAAgACgAawBnACAAQwBPADIAZQAvAGsAZwApACAAKABFAEYAagApAFwAIgApACkAOwBcAG4AXABuAFMAYwBvAHAAZQAzAF8ARgBpAHMAaABGAGUAZQBkAEEAbgBkAEIAYQBpAHQAXwBWAGEAcgBpAGEAdABpAG8AbgBcAG4APQBMAEEATQBCAEQAQQAoACgAXAAiAFwAIgApACkAOwBcAG4AXABuAFMAYwBvAHAAZQAzAF8ARgBpAHMAaABGAGUAZQBkAEEAbgBkAEIAYQBpAHQAXwBEAGEAdABhAFwAbgA9AEwAQQBNAEIARABBACgAXABuACAAIABNAEEASwBFAEEAUgBSAEEAWQAoADYALAAgADYALABcAG4AIAAgACAAIABMAEEATQBCAEQAQQAoAHIALABjACwAXABuACAAIAAgACAAIAAgAEkATgBEAEUAWAAoAHsAXABuACAAIAAgACAAIAAgACAAIABcACIAQ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kAcwBoACAAZgBlAGUAZAAgAGEAbgBkACAAYgBhAGkAdABcACIALAAgAFwAIgBTAGEAcgBkAGkAbgBlAHMAIAAoAHcAaABvAGwAZQApAFwAIgAsACAAXAAiAEEAdQBzAHQAcgBhAGwAaQBhAFwAIgAsACAAXAAiAGsAZwBcACIALAAgADAALgAzACwAIABcACIATgBvAHQAIABzAHAAZQBjAGkAZgBpAGUAZABcACIAOwBcAG4AIAAgACAAIAAgACAAIAAgAFwAIgBGAGkAcwBoACAAZgBlAGUAZAAgAGEAbgBkACAAYgBhAGkAdABcACIALAAgAFwAIgBMAG8AdwAgAEEAbgBpAG0AYQBsACAAUAByAG8AdABlAGkAbgAgAEYAbwByAG0AdQBsAGEAdABlAGQAIABGAGUAZQBkAFwAIgAsACAAXAAiAEEAdQBzAHQAcgBhAGwAaQBhAFwAIgAsACAAXAAiAGsAZwBcACIALAAgADIALgAyACwAIABcACIATgBvAHQAIABzAHAAZQBjAGkAZgBpAGUAZABcACIAOwBcAG4AIAAgACAAIAAgACAAIAAgAFwAIgBGAGkAcwBoACAAZgBlAGUAZAAgAGEAbgBkACAAYgBhAGkAdABcACIALAAgAFwAIgBTAHEAdQBpAGQAXAAiACwAIABcACIAQQB1AHMAdAByAGEAbABpAGEAXAAiACwAIABcACIAawBnAFwAIgAsACAAMAAuADMALAAgAFwAIgBOAG8AdAAgAHMAcABlAGMAaQBmAGkAZQBkAFwAIgA7AFwAbgAgACAAIAAgACAAIAAgACAAXAAiAEYAaQBzAGgAIABmAGUAZQBkACAAYQBuAGQAIABiAGEAaQB0AFwAIgAsACAAXAAiAFcAaABvAGwAZQAgAGYAaQBzAGgAXAAiACwAIABcACIAQQB1AHMAdAByAGEAbABpAGEAXAAiACwAIABcACIAawBnAFwAIgAsACAAMAAuADMALAAgAFwAIgBOAG8AdAAgAHMAcABlAGMAaQBmAGkAZQBkAFwAIgA7AFwAbgAgACAAIAAgACAAIAAgACAAXAAiAEYAaQBzAGgAIABmAGUAZQBkACAAYQBuAGQAIABiAGEAaQB0AFwAIgAsACAAXAAiAEMAdQBzAHQAbwBtACAAQgBhAGkAdABcACIALAAgAFwAIgBBAHUAcwB0AHIAYQBsAGkAYQBcACIALAAgAFwAIgBrAGcAXAAiACwAIAAwAC4AMAA4ACwAIABcACIATgBvAHQAIABzAHAAZQBjAGkAZgBpAGUAZ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IAAxAFwAIgAsACAAXAAiAEIAdQBsAGwAIAA+ACAAMQBcACIALAAgAFwAIgBDAG8AdwAgADwAIAAxAFwAIgAsACAAXAAiAEMAbwB3ACAAMQAtADIAXAAiACwAIABcACIAQwBvAHcAIAA+ACAAMgBcACIALAAgAFwAIgBTAHQAZQBlAHIAIAA8ACAAMQBcACIALAAgAFwAIgBTAHQAZQBlAHIAIAA+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HMAIAA8ADEAXAAiACwAIABcACIAQwBvAHcAcwAgADEALQAyAFwAIgAsACAAXAAiAEMAbwB3AHMAIAAyAC0AMwBcACIALAAgAFwAIgBDAG8AdwBz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AnAG4ALwBhACcAIAB3AGkAdABoACAAJwBTAG8AdQB0AGgAIABXAGUAcwB0AC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4AMgBcACIALAAgAFwAIgBTAHQAZQBlAHIAIAA8ADEAXAAiACwAIABcACIAUwB0AGUAZQByACAAPg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IALQAzAFwAIgAsACAAXAAiAEMAbwB3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JwBTAHQAYQB0AGUAIABhAGIAYgByAGUAdgBpAGEAdABpAG8AbgAn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A8ADEAXAAiACwAIABcACIAQgB1AGwAbABzACAAPgAxAFwAIgAsACAAXAAiAEMAbwB3AHMAIAA8ADEAXAAiACwAIABcACIAQwBvAHcAcwAgADEALQAyAFwAIgAsACAAXAAiAEMAbwB3AHMAIAA+ADIAXAAiACwAIABcACIAUwB0AGUAZQByACAAPAAxAFwAIgAsACAAXAAiAFMAdABlAGUAcgAgAD4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A8AD0AIAAyACwAIAAgAFwAIgBTAHUAbQBtAGUAcgBcACIALABcAG4AIAAgACAAIAAgACAATQBPAE4AVABIACgAUAB1AHIAYwBoAGEAcwBlAEQAYQB0AGUAKQAgADwAPQAgADUALAAgACAAXAAiAEEAdQB0AHUAbQBuAFwAIgAsAFwAbgAgACAAIAAgACAAIABNAE8ATgBUAEgAKABQAHUAcgBjAGgAYQBzAGUARABhAHQAZQApACAAPAA9ACAAOAAsACAAIABcACIAVwBpAG4AdABlAHIAXAAiACwAXABuACAAIAAgACAAIAAgAE0ATwBOAFQASAAoAFAAdQByAGMAaABhAHMAZQBEAGEAdABlACkAIAA8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CcAUgBlAGYAZQByAGUAbgBjAGUAJwAsACAAYQBzACAAdABoAGUAIAB2AGEAbAB1AGUAIABpAHMAIABjAG8AbgBzAGkAcwB0AGUAbgB0AGwAeQAgACcARABhAGkAcgB5ACAAQQB1AHMAdAByAGEAbABpAGEAIABbADEAXQAn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D4AMQBcACIALAAgAFwAIgBIAGUAaQBmAGUAcgBzACAAPA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A+ADEAXAAiACwAIABcACIAQgB1AGwAbABzACAAPA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JwBBAG4AaQBtAGEAbAAgAGMAbABhAHMAcwAgAGoAJ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A8ADEAXAAiACwAIAAwAC4AMAAxADcANgAsACAAMAAuADIANgA4ADUALAAgADAALgAwADEAMwA3ADsAXABuACAAIAAgACAAIAAgACAAIAAgACAAXAAiAEIAdQBsAGwAcwA8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DwAIAAxACAAeQBlAGEAcgBcACIALAAgADAALgAwADEANwA2ADsAXABuACAAIAAgACAAIAAgACAAIAAgACAAXAAiAEIAdQBsAGwAcwAgADw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JwBBAG4AbgB1AGEAbAAgAGYAcgBhAGMAdABpAG8AbgAgAG8AZgAgAHQAaQBtAGUAIABzAHAAZQBuAHQAIABwAGUAcgAgAGEAcgBlAGEAJ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DwAMQAwACAAaAByAC8AZABhAHkAIABmAG8AcgAgADw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A+ACAAMQAgAHkAZQBhAHIAXAAiACwAIAAzADYANQAsACAAMAA7AFwAbgAgACAAIAAgACAAIAAgACAAIAAgAFwAIgBIAGUAaQBmAGUAcgBzACAAPAAgADEAIAB5AGUAYQByAFwAIgAsACAAMgA4ADEALAAgADgANAA7AFwAbgAgACAAIAAgACAAIAAgACAAIAAgAFwAIgBCAHUAbABsAHMAIAA+ACAAMQAgAHkAZQBhAHIAXAAiACwAIAAzADYANQAsACAAMAA7AFwAbgAgACAAIAAgACAAIAAgACAAIAAgAFwAIgBCAHUAbABsAHMAIAA8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TAG8AdQByAGMAZQBEAGEAdABhAF8AUwB3AGkAbgBl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GAG8AcgAgAFMAdwBpAG4AZQBcAG4ARQB4AGMAZQBsACAAbQBvAGQAdQBsAGUAIABuAGEAbQBlADoAIABTAG8AdQByAGMAZQBEAGEAdABhAF8AUwB3AGkAbgBl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BcAG4ALwAqACAAXABuAC0ALQAtAC0ALQAtAC0ALQAtAC0ALQAtAC0ALQAtAC0ALQAtAC0ALQAtAC0ALQAtAC0ALQAtAC0ALQAtAC0ALQAtAC0ALQAtAC0ALQBcAG4AUwBvAHUAcgBjAGUARABhAHQAYQBfAFMAdwBpAG4AZQBfAFYAbwBsAGEAdABpAGwAZQBTAG8AbABpAGQAcwBcAG4AVgBTAGoAXABuAGsAZwAvAGgAZQBhAGQALwBkAGEAeQBcAG4ALQAtAC0ALQAtAC0ALQAtAC0ALQAtAC0ALQAtAC0ALQAtAC0ALQAtAC0ALQAtAC0ALQAtAC0ALQAtAC0ALQAtAC0ALQAtAC0ALQAtAFwAbgAqAC8AXABuAFwAbgBTAG8AdQByAGMAZQBEAGEAdABhAF8AUwB3AGkAbgBlAF8AVgBvAGwAYQB0AGkAbABlAFMAbwBsAGkAZABzAF8AVABpAHQAbABlAFwAbgAgACAAPQBMAEEATQBCAEQAQQAoAFwAIgBTAHcAaQBuAGUAIAAtACAAVgBvAGwAYQB0AGkAbABlACAAcwBvAGwAaQBkAHMAIAAoAFYAUwBqACkAIAAtACAAMgAwADIAMAAgAHQAbwAgADIAMAAyADQAXAAiACkAOwBcAG4AXABuAFMAbwB1AHIAYwBlAEQAYQB0AGEAXwBTAHcAaQBuAGUAXwBWAG8AbABhAHQAaQBsAGUAUwBvAGwAaQBkAHMAXwBVAG4AaQB0AFwAbgAgACAAPQBMAEEATQBCAEQAQQAoAFwAIgBrAGcALwBoAGUAYQBkAC8AZABhAHkAXAAiACkAOwBcAG4AXABuAFMAbwB1AHIAYwBlAEQAYQB0AGEAXwBTAHcAaQBuAGUAXwBWAG8AbABhAHQAaQBsAGUAUwBvAGwAaQBkAHM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FYAbwBsAGEAdABpAGwAZQBTAG8AbABpAGQAcw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AgAEEAZABkAGUAZAAgACcATgBXAGoAIABkAGEAaQBsAHkAJwAgAGMAbwBsAHUAbQBuACAAdABvACAAcAByAG8AdgBpAGQAZQAgAGQAYQBpAGwAeQAgAHYAYQBsAHUAZQAgAGYAbwByACAATwB0AGgAZQByAHMAIABjAGwAYQBzAHMALgAgAEEAZABkAGUAZAAgACcAQwBsAGEAcwBzACAAbgBhAG0AZQAn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J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A8ACAAMQAgAG0AbwBuAHQAaAAgACgAcABpAHQAIABzAHQAbwByAGEAZwBlACkAXAAiACwAIAAwAC4AMgA1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OAGkAdAByAG8AdQBzAE8AeABpAGQAZQBFAEYAcwBcAG4ARgByAGEAYwBHAEEAUwBNAG0AVABcAG4AawBnAE4AMgBPACAALQAgAE4AIAAvACAAawBnAE4AXABuAC0ALQAtAC0ALQAtAC0ALQAtAC0ALQAtAC0ALQAtAC0ALQAtAC0ALQAtAC0ALQAtAC0ALQAtAC0ALQAtAC0ALQAtAC0ALQAtAC0ALQBcAG4AKgAvAFwAbgBcAG4AUwBvAHUAcgBjAGUARABhAHQAYQBfAFMAdwBpAG4AZQBfAE4AaQB0AHIAbwB1AHMATwB4AGkAZABlAEUARgBzAF8AVABpAHQAbABlAFwAbgAgACAAPQBMAEEATQBCAEQAQQAoAFwAIgBTAHcAaQBuAGUAIAAtACAATgBpAHQAcgBvAHUAcwAgAG8AeABpAGQAZQAgAEUARgBzACAAYgB5ACAATQBNAFMAIAAoAEUARgBtAFQAKQBcACIAKQA7AFwAbgBcAG4AUwBvAHUAcgBjAGUARABhAHQAYQBfAFMAdwBpAG4AZQBfAE4AaQB0AHIAbwB1AHMATwB4AGkAZABlAEUARgBzAF8AVQBuAGkAdABcAG4AIAAgAD0ATABBAE0AQgBEAEEAKABcACIAawBnAE4AMgBPACAALQAgAE4AIAAvACAAawBnAE4AXAAiACkAOwBcAG4AXABuAFMAbwB1AHIAYwBlAEQAYQB0AGEAXwBTAHcAaQBuAGUAXwBOAGkAdAByAG8AdQBzAE8AeABpAGQAZQBFAEYAcwBfAFMAbwB1AHIAYwBlAFwAbgAgACAAPQBMAEEATQBCAEQAQQAoAFwAIgBWAEUARQBSAEcAIAAyADAAMgA2ADoAIABUAGEAYgBsAGUAIABBAC4AMQAuADYALgAzADoAIABTAHcAaQBuAGUAIAAtACAATgBpAHQAcgBvAHUAcwAgAG8AeABpAGQAZQAgAEUARgBzACAAYgB5ACAATQBNAFMAIAAoAGsAZwBOADIATwAtAE4ALwBrAGcATgApACAAKABFAEYAbQBUACkAXAAiACkAOwBcAG4AXABuAFMAbwB1AHIAYwBlAEQAYQB0AGEAXwBTAHcAaQBuAGUAXwBOAGkAdAByAG8AdQBzAE8AeABpAGQAZQBFAEYAcwBfAFYAYQByAGkAYQB0AGkAbwBuAFwAbgAgACAAPQBMAEEATQBCAEQAQQAoAFwAIgBWAEEAUgBJAEEAVABJAE8ATgAgAE8ATgAgAFMATwBVAFIAQwBFACAARABBAFQAQQA6ACAAQQBkAGQAZQBkACAAJ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A8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A8ACAAMQAgAG0AbwBuAHQAaAAgACgAcABpAHQAIABzAHQAbwByAGEAZwBlACkAXAAiACwAIAAwAC4AMAAzACwAIAAwAC4AMAAzACwAIAAwAC4AMAAzACwAIAAwAC4AMAAzACwAIAAwAC4AMAAzACwAIAAwAC4AMAAzACwAIAAwAC4AMAAzACwAIAAwAC4AMAAzACwAIABcACIAUABpAHQAIABzAHQAbwByAGEAZwBlAFwAIgA7ACA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QQB2AGUAcgBhAGcAZQBMAGkAdgBlAHcAZQBpAGcAaAB0AFwAbgBXAGMAbwBcAG4AawBnAFwAbgAtAC0ALQAtAC0ALQAtAC0ALQAtAC0ALQAtAC0ALQAtAC0ALQAtAC0ALQAtAC0ALQAtAC0ALQAtAC0ALQAtAC0ALQAtAC0ALQAtAC0AXABuACoALwBcAG4AXABuAFMAbwB1AHIAYwBlAEQAYQB0AGEAXwBTAHcAaQBuAGUAXwBBAHYAZQByAGEAZwBlAEwAaQB2AGUAdwBlAGkAZwBoAHQAXwBUAGkAdABsAGUAXABuACAAIAA9AEwAQQBNAEIARABBACgAXAAiAFMAdwBpAG4AZQAgAC0AIABBAHYAZQByAGEAZwBlACAAbABpAHYAZQB3AGUAaQBnAGgAdAAgACgAaQBuAHYAZQBuAHQAbwByAHkAIABkAGUAZgBhAHUAbAB0AHMAKQAgACgAawBnACkAIAAoAFcAYwBvACkAXAAiACkAOwBcAG4AXABuAFMAbwB1AHIAYwBlAEQAYQB0AGEAXwBTAHcAaQBuAGUAXwBBAHYAZQByAGEAZwBlAEwAaQB2AGUAdwBlAGkAZwBoAHQAXwBVAG4AaQB0AFwAbgAgACAAPQBMAEEATQBCAEQAQQAoAFwAIgBrAGcAXAAiACkAOwBcAG4AXABuAFMAbwB1AHIAYwBlAEQAYQB0AGEAXwBTAHcAaQBuAGUAXwBBAHYAZQByAGEAZwBlAEwAaQB2AGUAdwBlAGkAZwBoAHQAXwBTAG8AdQByAGMAZQBcAG4AIAAgAD0ATABBAE0AQgBEAEEAKABcACIAVgBFAEUAUgBHACAAMgAwADIANgA6ACAAVABhAGIAbABlACAAQQAuADEALgA2AC4ANQA6ACAAUwB3AGkAbgBlACAALQAgAEEAdgBlAHIAYQBnAGUAIABsAGkAdgBlAHcAZQBpAGcAaAB0ACAAKABpAG4AdgBlAG4AdABvAHIAeQAgAGQAZQBmAGEAdQBsAHQAcwApACAAKABrAGcAKQAgACgAVwBjAG8AKQBcACIAKQA7AFwAbgBcAG4AUwBvAHUAcgBjAGUARABhAHQAYQBfAFMAdwBpAG4AZQBfAEEAdgBlAHIAYQBnAGUATABpAHYAZQB3AGUAaQBnAGgAdABfAFYAYQByAGkAYQB0AGkAbwBuAFwAbgAgACAAPQBMAEEATQBCAEQAQQAoAFwAIgAuAFwAIgApADsAXABuAFwAbgBTAG8AdQByAGMAZQBEAGEAdABhAF8AUwB3AGkAbgBlAF8AQQB2AGUAcgBhAGcAZQBMAGkAdgBlAHcAZQBpAGcAaAB0AF8ARABhAHQAYQBcAG4AIAAgAD0ATABBAE0AQgBEAEEAKABcAG4AIAAgACAAIABNAEEASwBFAEEAUgBSAEEAWQAoADYALAAgADIALAAgAFwAbgAgACAAIAAgACAAIABMAEEATQBCAEQAQQAoAHIALABjACwAIABcAG4AIAAgACAAIAAgACAAIAAgAEkATgBEAEUAWAAoAHsAXABuACAAIAAgACAAIAAgACAAIAAgACAAXAAiAEwAaQB2AGUAcwB0AG8AYwBrACAAVAB5AHAAZQAgAGoAXAAiACwAIABcACIAQQB2AGUAcgBhAGcAZQAgAEwAaQB2AGUAdwBlAGkAZwBoAHQAIAAoAGsAZwApAFwAIgA7AFwAbgAgACAAIAAgACAAIAAgACAAIAAgAFwAIgBTAG8AdwBzAFwAIgAsACAAMQA4ADgAOwBcAG4AIAAgACAAIAAgACAAIAAgACAAIABcACIAQgBvAGEAcgBzAFwAIgAsACAAMgAwADYAOwBcAG4AIAAgACAAIAAgACAAIAAgACAAIABcACIARwBpAGwAdABzAFwAIgAsACAAMQAyADUAOwBcAG4AIAAgACAAIAAgACAAIAAgACAAIABcACIAUwBsAGEAdQBnAGgAdABlAHIAIABwAGkAZwBzAFwAIgAsACAAMwA5ADsAXABuACAAIAAgACAAIAAgACAAIAAgACAAXAAiAFMAbABhAHUAZwBoAHQAZQByACAAcABpAGcAcwAgAGEAdAAgAHQAdQByAG4AbwBmAGYAXAAiACwAIAA5ADc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UAByAG8AZAB1AGMAdABpAG8AbgBTAHkAcwB0AGUAbQBzAFwAbgA0AC4ANQAgAFMAdwBpAG4AZQAgAEYAaQBnAHUAcgBlACAANAAuADgAXABuAC0ALQAtAC0ALQAtAC0ALQAtAC0ALQAtAC0ALQAtAC0ALQAtAC0ALQAtAC0ALQAtAC0ALQAtAC0ALQAtAC0ALQAtAC0ALQAtAC0ALQBcAG4AKgAvAFwAbgBcAG4AUwBvAHUAcgBjAGUARABhAHQAYQBfAFMAdwBpAG4AZQBfAFAAcgBvAGQAdQBjAHQAaQBvAG4AUwB5AHMAdABlAG0AcwBfAFQAaQB0AGwAZQBcAG4AIAAgAD0ATABBAE0AQgBEAEEAKABcACIAUwB3AGkAbgBlACAAcAByAG8AZAB1AGMAdABpAG8AbgAgAHMAeQBzAHQAZQBtAHMAXAAiACkAOwBcAG4AXABuAFMAbwB1AHIAYwBlAEQAYQB0AGEAXwBTAHcAaQBuAGUAXwBQAHIAbwBkAHUAYwB0AGkAbwBuAFMAeQBzAHQAZQBtAHMAXwBVAG4AaQB0AFwAbgAgACAAPQBMAEEATQBCAEQAQQAoAFwAIgBcACIAKQA7AFwAbgBcAG4AUwBvAHUAcgBjAGUARABhAHQAYQBfAFMAdwBpAG4AZQBfAFAAcgBvAGQAdQBjAHQAaQBvAG4AUwB5AHMAdABlAG0AcwBfAFMAbwB1AHIAYwBlAFwAbgAgACAAPQBMAEEATQBCAEQAQQAoAFwAIgBWAEUARQBSAEcAIAAyADAAMgA2ADoAIAA0AC4ANQAgAFMAdwBpAG4AZQAgAEYAaQBnAHUAcgBlACAANAAuADgAXAAiACkAOwBcAG4AXABuAFMAbwB1AHIAYwBlAEQAYQB0AGEAXwBTAHcAaQBuAGUAXwBQAHIAbwBkAHUAYwB0AGkAbwBuAFMAeQBzAHQAZQBtAHMAXwBWAGEAcgBpAGEAdABpAG8AbgBcAG4AIAAgAD0ATABBAE0AQgBEAEEAKABcACIAXAAiACkAOwBcAG4AXABuAFMAbwB1AHIAYwBlAEQAYQB0AGEAXwBTAHcAaQBuAGU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DAG8AbgB2AGUAbgB0AGkAbwBuAGEAbAAgAGgAbwB1AHMAaQBuAGcAXAAiADsAXABuACAAIAAgACAAIAAgACAAIAAgACAAXAAiAEQAZQBlAHAAIABsAGkAdAB0AGUAcgAgAGgAbwB1AHMAaQBuAGcAXAAiADsAXABuACAAIAAgACAAIAAgACAAIAAgACAAXAAiAE8AdQB0AGQAbwBvAHIALwBmAHIAZQBlACAAcgBhAG4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EwARQBBAEMASABfAEQAcgB5AGwAbwB0AE0ATQBTAFwAbgBGAHIAYQBjAEwARQBBAEMASABfAE0AUwBcAG4AZgByAGEAYwB0AGkAbwBuAFwAbgAtAC0ALQAtAC0ALQAtAC0ALQAtAC0ALQAtAC0ALQAtAC0ALQAtAC0ALQAtAC0ALQAtAC0ALQAtAC0ALQAtAC0ALQAtAC0ALQAtAC0AXABuACoALwBcAG4AXABuAFMAbwB1AHIAYwBlAEQAYQB0AGEAXwBTAHcAaQBuAGUAXwBGAHIAYQBjAEwARQBBAEMASABfAEQAcgB5AGwAbwB0AE0ATQBTAF8AVABpAHQAbABlAFwAbgAgACAAPQBMAEEATQBCAEQAQQAoAFwAIgBGAHIAYQBjAHQAaQBvAG4AIABvAGYAIABuAGkAdAByAG8AZwBlAG4AIABsAG8AcwB0ACAAdABoAHIAbwB1AGcAaAAgAGwAZQBhAGMAaABpAG4AZwAgAGEAbgBkACAAcgB1AG4AbwBmAGYAIABmAG8AcgAgAGQAcgB5AGwAbwB0ACAATQBNAFMAXAAiACkAOwBcAG4AXABuAFMAbwB1AHIAYwBlAEQAYQB0AGEAXwBTAHcAaQBuAGUAXwBGAHIAYQBjAEwARQBBAEMASABfAEQAcgB5AGwAbwB0AE0ATQBTAF8AVgBhAHIAaQBhAGIAbABlAFwAbgAgACAAPQBMAEEATQBCAEQAQQAoAFwAIgBGAHIAYQBjAEwARQBBAEMASABfAE0AUwBcACIAKQA7AFwAbgBcAG4AUwBvAHUAcgBjAGUARABhAHQAYQBfAFMAdwBpAG4AZQBfAEYAcgBhAGMATABFAEEAQwBIAF8ARAByAHkAbABvAHQATQBNAFMAXwBVAG4AaQB0AFwAbgAgACAAPQBMAEEATQBCAEQAQQAoAFwAIgBmAHIAYQBjAHQAaQBvAG4AXAAiACkAOwBcAG4AXABuAFMAbwB1AHIAYwBlAEQAYQB0AGEAXwBTAHcAaQBuAGUAXwBGAHIAYQBjAEwARQBBAEMASABfAEQAcgB5AGwAbwB0AE0ATQBTAF8AUwBvAHUAcgBjAGUAXABuACAAIAA9AEwAQQBNAEIARABBACgAXAAiAFYARQBFAFIARwAgADIAMAAyADYAOgAgADQALgA1AC4AMgAuADMAIABDAE8ATgBTAFQAQQBOAFQAXAAiACkAOwBcAG4AXABuAFMAbwB1AHIAYwBlAEQAYQB0AGEAXwBTAHcAaQBuAGUAXwBGAHIAYQBjAEwARQBBAEMASABfAEQAcgB5AGwAbwB0AE0ATQBTAF8AVgBhAHIAaQBhAHQAaQBvAG4AXABuACAAIAA9AEwAQQBNAEIARABBACgAXAAiAFYAQQBSAEkAQQBUAEkATwBOACAATwBOACAAUwBPAFUAUgBDAEUAOgAgAFQAZQB4AHQAIAByAGUAZgBlAHIAcwAgAHQAbwAgACcAcwBvAGwAaQBkACAAcwB0AG8AcgBhAGcAZQAnACAATQBNAFMALAAgAGIAdQB0ACAAZQBxAHUAYQB0AGkAbwBuACAAcgBlAGYAZQByAHMAIAB0AG8AIAAnAGQAcgB5AGwAbwB0AC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AnAEEAbABsACAAcwB0AGEAdABlAHMAJwAgAHYAYQBsAHUAZQAgAGkAcwAgAGcAaQB2AGUAbgAuAFwAIgA7AFwAbgAgACAAIAAgACAAIAAgACAAIAAgAFwAIgBBAGQAZABlAGQAIAAnAE4ASQBSACAAZABlAGYAaQBuAGkAdABpAG8AbgAnACAAYwBvAGwAdQBtAG4AIAB3AGkAdABoACAATQBNAFMAIABuAGEAbQBlAHMAIAB0AGgAYQB0ACAAbQBhAHQAYwBoACAATgBJAFIAIABkAGUAZgBpAG4AaQB0AGkAbwBuAHMALgBcACIAOwBcAG4AIAAgACAAIAAgACAAIAAgACAAIABcACIARAB1AHAAbABpAGMAYQB0AGUAZAAgACcAUABvAHUAbAB0AHIAeQAgAG0AYQBuAHUAcgBlACAAdwBpAHQAaABvAHUAdAAgAGwAaQB0AHQAZQByACcAIAByAG8AdwAgAGYAbwByACAATgBJAFIAIABNAE0AUwAgACcAQgBlAGwAdAAgAG0AYQBuAHUAcgBlACAAcgBlAG0AbwB2AGEAbAAnACAAYQBuAGQAIAAnAE0AYQBuAHUAcgBlACAAcwB0AG8AcgBlAGQAIABpAG4AIABoAG8AdQBzAGUAJ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CcAUABhAHMAdAB1AHIAZQAgAHIAYQBuAGcAZQAgAGEAbgBkACAAcABhAGQAZABvAGMAawAn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JwBOAEkAUgAgAGQAZQBmAGkAbgBpAHQAaQBvAG4AIABjAG8AbAB1AG0AbgAn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CcATgBJAFIAIABkAGUAZgBpAG4AaQB0AGkAbwBuACAAYwBvAGwAdQBtAG4AJ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CcATgBJAFIAIABkAGUAZgBpAG4AaQB0AGkAbwBuACAAYwBvAGwAdQBtAG4AJwAuACAARAB1AHAAbABpAGMAYQB0AGUAZAAgACcAUABvAHUAbAB0AHIAeQAgAG0AYQBuAHUAcgBlACAAdwBpAHQAaABvAHUAdAAgAGwAaQB0AHQAZQByACcAIAByAG8AdwAgAGYAbwByACAATgBJAFIAIABNAE0AUwAgACcAQgBlAGwAdAAgAG0AYQBuAHUAcgBlACAAcgBlAG0AbwB2AGEAbAAnACAAYQBuAGQAIAAnAE0AYQBuAHUAcgBlACAAcwB0AG8AcgBlAGQAIABpAG4AIABoAG8AdQBzAGUAJ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1ACwAIAAy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A+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VgBhAHIAaQBhAHQAaQBvAG4AXABuACAAIAA9AEwAQQBNAEIARABBACgAXABuACAAIAAgACAAUQBfAGoALAAgAEUARgBfAGoALABcAG4AIAAgACAAIAAoAFEAXwBqACAAKgAgAEUARgBfAGoAKQAgACoAIAAxADAAIABeACAALQAz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wAYQB0AGUAeABFAHEAdQBhAHQAaQBvAG4AVgBhAHIAaQBhAHQAaQBvAG4AXABuACAAIAA9AEwAQQBNAEIARABBACgAXAAiAEUAPQBcAFwAcwB1AG0AXABcAG4AbwBsAGkAbQBpAHQAcwBfAGoAXABcAGwAZQBmAHQAKABRAF8AagBcAFwAdABpAG0AZQBzACAARQBGAF8AagBcAFwAcgBpAGcAaAB0ACkAIABcAFwAdABpAG0AZQBzACAAMQAwAF4AewAtADMAf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FYARQBFAFIARwBfADEANQBfADIAXwAxAF8AMQBfAF8AMQBfAEUAbQBpAHMAcwBpAG8AbgBzAEYAcgBvAG0AUAB1AHIAYwBoAGEAcwBlAGQARgBlAGUAZABfAEEAcgBnAHUAbQBlAG4AdABzAFYAYQByAGkAYQB0AGkAbwBu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rAGc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FYARQBFAFIARwBfADEANQBfADIAXwAxAF8AMQBfAF8AMQBfAEUAbQBpAHMAcwBpAG8AbgBzAEYAcgBvAG0AUAB1AHIAYwBoAGEAcwBlAGQARgBlAGUAZABfAFYAYQByAGkAYQB0AGkAbwBuAFwAbgAgACAAPQBMAEEATQBCAEQAQQAoAFwAIgBWAEEAUgBJAEEAVABJAE8ATgAgAE8ATgAgAFMATwBVAFIAQwBFADoAIABJAG4AcAB1AHQAIABRAF8AagAgAGkAbgAgAGsAZwAgAGkAbgBzAHQAZQBhAGQAIABvAGYAIAB0ACAAdABvACAAbQBhAHQAYwBoACAARQBGACAAdQBuAGkAdABzAC4AIABNAHUAbAB0AGkAcABsAHkAIABiAHkAIAAxADAAXgAtADMAIAB0AG8AIABjAG8AbgB2AGUAcgB0ACAAawBnACAAQwBPADIAZQAgAHQAbwAgAHQAIABDAE8AMgBlAC4AXAAi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YAYQByAGkAYQB0AGkAbwBuAFwAbgAgACAAPQBMAEEATQBCAEQAQQAoAFwAbgAgACAAIAAgAFEAXwBtACwAIABFAEYAXwBtACwAXABuACAAIAAgACAAKABRAF8AbQAgACoAIABFAEYAXwBtACkAIAAqACAAMQAwACAAXgAgAC0AMwBcAG4AIAAgACkAOwBcAG4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wAYQB0AGUAeABFAHEAdQBhAHQAaQBvAG4AVgBhAHIAaQBhAHQAaQBvAG4AXABuACAAIAA9AEwAQQBNAEIARABBACgAXAAiAEUAPQBcAFwAcwB1AG0AXABcAG4AbwBsAGkAbQBpAHQAcwBfAG0AXABcAGwAZQBmAHQAKABRAF8AbQBcAFwAdABpAG0AZQBzACAARQBGAF8AbQBcAFwAcgBpAGcAaAB0ACkAIABcAFwAdABpAG0AZQBzACAAMQAwAF4AewAtADMAf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FYARQBFAFIARwBfADEANQBfADMAXwAxAF8AMQBfAF8AMQBfAEUAbQBpAHMAcwBpAG8AbgBzAEYAcgBvAG0AUAB1AHIAYwBoAGEAcwBlAGQATQBpAG4AZQByAGEAbABTAHUAcABwAGwAZQBtAGUAbgB0AHMAXwBBAHIAZwB1AG0AZQBuAHQAcwBWAGEAcgBpAGEAdABpAG8Abg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awBn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FYARQBFAFIARwBfADEANQBfADMAXwAxAF8AMQBfAF8AMQBfAEUAbQBpAHMAcwBpAG8AbgBzAEYAcgBvAG0AUAB1AHIAYwBoAGEAcwBlAGQATQBpAG4AZQByAGEAbABTAHUAcABwAGwAZQBtAGUAbgB0AHMAXwBWAGEAcgBpAGEAdABpAG8AbgBcAG4AIAAgAD0ATABBAE0AQgBEAEEAKABcACIAVgBBAFIASQBBAFQASQBPAE4AIABPAE4AIABTAE8AVQBSAEMARQA6ACAASQBuAHAAdQB0ACAAUQBfAGoAIABpAG4AIABrAGcAIABpAG4AcwB0AGUAYQBkACAAbwBmACAAdAAgAHQAbwAgAG0AYQB0AGMAaAAgAEUARgAgAHUAbgBpAHQAcwAuACAATQB1AGwAdABpAHAAbAB5ACAAYgB5ACAAMQAwAF4ALQAzACAAdABvACAAYwBvAG4AdgBlAHIAdAAgAGsAZwAgAEMATwAyAGUAIAB0AG8AIAB0ACAAQwBPADIAZQAuAFwAIg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CcAcABhAHAAZQByACAAYQBuAGQAIABjAGEAcgBiAG8AYQByAGQAJwAgAHQAbwAgACcAcABhAHAAZQByACAAYQBuAGQAIABjAGEAcgBkAGIAbwBhAHIAZAAnAFwAIgA7AFwAbgAgACAAIAAgACAAIAAgACAAXAAiAEYAaQB4AGUAZAAgAHQAeQBwAG8AIAAnAHAAcgB1AG4AbgBpAG4AZwBzACcAIAB0AG8AIAAnAHAAcgB1AG4AaQBuAGcAcwAnAFwAIgA7AFwAbgAgACAAIAAgACAAIAAgACAAXAAiAEEAZABkAGUAZAAgAEUARgAgAHMAbwB1AHIAYwBlACAAYwBvAGwAdQBtAG4AIAB3AGkAdABoACAAcwBwAGUAYwBpAGYAaQBjACAAcgBlAGYAZQByAGUAbgBjAGUAcwBcACIAOwBcAG4AIAAgACAAIAAgACAAIAAgAFwAIgBBAGQAZABlAGQAIABzAHUAYgAtAGMAYQB0AGUAZwBvAHIAaQBlAHMAIABmAG8AcgAgACcASQBuAGMAaQBuAGUAcgBhAHQAaQBvAG4AOgAgAEYAbwBvAGQAIAB3AGEAcwB0AGUALAAgAGcAcgBlAGUAbgAgAHcAYQBzAHQAZQAsACAAdwBvAG8AZAAsACAAcwBsAHUAZABnAGUAJwAgAGkAbgAgAG8AcgBkAGUAcgAgAHQAbwAgAHUAcwBlACAAdgBvAGwAdQBtAGUAIAB0AG8AIABtAGEAcwBzACAAYwBvAG4AdgBlAHIAcwBpAG8AbgAgAGYAYQBjAHQAbwByACAAdgBhAGwAdQBlAHMAXAAiADsAXABuACAAIAAgACAAIAAgACAAIABcACIAQQBkAGQAZQBkACAAcwB1AGIALQBjAGEAdABlAGcAbwByAGkAZQBzACAAZgBvAHIAIAAnAEMAbwBtAHAAbwBzAHQAaQBuAGcAOgAgAEEAbABsACAAbwByAGcAYQBuAGkAYwAgAHcAYQBzAHQAZQAnACAAaQBuACAAbwByAGQAZQByACAAdABvACAAdQBzAGUAIAB2AG8AbAB1AG0AZQAgAHQAbwAgAG0AYQBzAHMAIABjAG8AbgB2AGUAcgBzAGkAbwBuACAAZgBhAGMAdABvAHIAIAB2AGEAbAB1AGUAcwBcACIAOwBcAG4AIAAgACAAIAAgACAAIAAgAFwAIgBBAGQAZABlAGQAIABzAHUAYgAtAGMAYQB0AGUAZwBvAHIAaQBlAHMAIABmAG8AcgAgACcAQQBuAGEAZQByAG8AYgBpAGMAIABkAGkAZwBlAHMAdABpAG8AbgA6ACAAQQBsAGwAIABvAHIAZwBhAG4AaQBjACAAdwBhAHMAdABlAC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FMAbwB1AHIAYwBlAEQAYQB0AGEALgBGAGUAcgB0AGkAbABpAHMAZQByAF8AUAByAG8AZAB1AGMAdABzAF8ARABhAHQAYQAyACIALAAiAEYAZQByAHQAaQBsAGkAcwBlAHIAXwBTAG8AdQByAGMAZQBEAGEAdABhAC4ARgBlAHIAdABpAGwAaQBzAGUAcgBfAFAAcgBvAGQAdQBjAHQAcwBfAEQAYQB0AGEAMwAiACwAIgBGAGUAcgB0AGkAbABpAHMAZQByAF8AUwBvAHUAcgBjAGUARABhAHQAYQAuAEYAZQByAHQAaQBsAGkAcwBlAHIAXwBQAHIAbwBkAHUAYwB0AHMAXwBEAGEAdABhADQAIgAsACIARgBlAHIAdABpAGwAaQBzAGUAcgBfAFMAbwB1AHIAYwBlAEQAYQB0AGEALgBGAGUAcgB0AGkAbABpAHMAZQByAF8AUAByAG8AZAB1AGMAdABzAF8ARABhAHQAYQA1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TAGMAbwBwAGUAMwBfAFMAbwB1AHIAYwBlAEQAYQB0AGEALgBTAGMAbwBwAGUAMwBfAEYAaQBzAGgARgBlAGUAZABBAG4AZABCAGEAaQB0AF8AVABpAHQAbABlACIALAAiAFMAYwBvAHAAZQAzAF8AUwBvAHUAcgBjAGUARABhAHQAYQAuAFMAYwBvAHAAZQAzAF8ARgBpAHMAaABGAGUAZQBkAEEAbgBkAEIAYQBpAHQAXwBTAG8AdQByAGMAZQAiACwAIgBTAGMAbwBwAGUAMwBfAFMAbwB1AHIAYwBlAEQAYQB0AGEALgBTAGMAbwBwAGUAMwBfAEYAaQBzAGgARgBlAGUAZABBAG4AZABCAGEAaQB0AF8AVgBhAHIAaQBhAHQAaQBvAG4AIgAsACIAUwBjAG8AcABlADMAXwBTAG8AdQByAGMAZQBEAGEAdABhAC4AUwBjAG8AcABlADMAXwBGAGkAcwBoAEYAZQBlAGQAQQBuAGQAQgBhAGkAdA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WAGEAcgBpAGEAdABpAG8Abg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TABhAHQAZQB4AEUAcQB1AGEAdABpAG8AbgBWAGEAcgBp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IAXwAxAF8AMQBfAF8AMQBfAEUAbQBpAHMAcwBpAG8AbgBzAEYAcgBvAG0AUAB1AHIAYwBoAGEAcwBlAGQARgBlAGUAZABfAEEAcgBnAHUAbQBlAG4AdABzAFYAYQByAGkAYQB0AGkAbwBuACIALAAiAFMAYwBvAHAAZQAzAF8ARQBxAHUAYQB0AGkAbwBuAHMALgBWAEUARQBSAEcAXwAxADUAXwAyAF8AMQBfADEAXwBfADEAXwBFAG0AaQBzAHMAaQBvAG4AcwBGAHIAbwBtAFAAdQByAGMAaABhAHMAZQBkAEYAZQBlAGQAXwBWAGEAcgBpAGEAdABpAG8Abg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WAGEAcgBpAGEAdABpAG8Abg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wAYQB0AGUAeABFAHEAdQBhAHQAaQBvAG4AVgBhAHIAa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MwBfADEAXwAxAF8AXwAxAF8ARQBtAGkAcwBzAGkAbwBuAHMARgByAG8AbQBQAHUAcgBjAGgAYQBzAGUAZABNAGkAbgBlAHIAYQBsAFMAdQBwAHAAbABlAG0AZQBuAHQAcwBfAEEAcgBnAHUAbQBlAG4AdABzAFYAYQByAGkAYQB0AGkAbwBuACIALAAiAFMAYwBvAHAAZQAzAF8ARQBxAHUAYQB0AGkAbwBuAHMALgBWAEUARQBSAEcAXwAxADUAXwAzAF8AMQBfADEAXwBfADEAXwBFAG0AaQBzAHMAaQBvAG4AcwBGAHIAbwBtAFAAdQByAGMAaABhAHMAZQBkAE0AaQBuAGUAcgBhAGwAUwB1AHAAcABsAGUAbQBlAG4AdABzAF8AVgBhAHIAaQBhAHQAaQBvAG4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143</vt:i4>
      </vt:variant>
    </vt:vector>
  </HeadingPairs>
  <TitlesOfParts>
    <vt:vector size="179" baseType="lpstr">
      <vt:lpstr>Overview</vt:lpstr>
      <vt:lpstr>Results</vt:lpstr>
      <vt:lpstr>Input - Site</vt:lpstr>
      <vt:lpstr>Input - Fuel</vt:lpstr>
      <vt:lpstr>Input - Fert Prod System</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X_Cell_Input_AquacultureInput_CustomBait</vt:lpstr>
      <vt:lpstr>X_Cell_Input_AquacultureInput_LowAnimalProteinFormulatedFeed</vt:lpstr>
      <vt:lpstr>X_Cell_Input_AquacultureInput_SardinesAustralia</vt:lpstr>
      <vt:lpstr>X_Cell_Input_AquacultureInput_SardinesSouthAustralia</vt:lpstr>
      <vt:lpstr>X_Cell_Input_AquacultureInput_Squid</vt:lpstr>
      <vt:lpstr>X_Cell_Input_AquacultureInput_WholeFish</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2026-08-25T06:32:28Z</dcterms:modified>
</cp:coreProperties>
</file>