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6640FF7B-BDD0-4DD8-91DC-8D089EF580BA}" xr6:coauthVersionLast="47" xr6:coauthVersionMax="47" xr10:uidLastSave="{00000000-0000-0000-0000-000000000000}"/>
  <bookViews>
    <workbookView xWindow="1395" yWindow="975" windowWidth="36330" windowHeight="19485" firstSheet="22" activeTab="28" xr2:uid="{D37248E2-1193-4B5E-BE4F-D7532AB14CA0}"/>
  </bookViews>
  <sheets>
    <sheet name="Overview" sheetId="40" r:id="rId1"/>
    <sheet name="Results" sheetId="41" r:id="rId2"/>
    <sheet name="Input - Site" sheetId="10" r:id="rId3"/>
    <sheet name="Input - Fuel" sheetId="30" r:id="rId4"/>
    <sheet name="Input - Fert Prod System" sheetId="62" r:id="rId5"/>
    <sheet name="Input - Fertiliser" sheetId="7" r:id="rId6"/>
    <sheet name="Input - Common farm inputs" sheetId="13" r:id="rId7"/>
    <sheet name="Input - Processing inputs" sheetId="59" r:id="rId8"/>
    <sheet name="Input - Crop pasture farm input" sheetId="58" r:id="rId9"/>
    <sheet name="Input - Hort farm Inputs" sheetId="57" r:id="rId10"/>
    <sheet name="Input - Livestock farm Inputs" sheetId="55" r:id="rId11"/>
    <sheet name="Input - Aquaculture inputs" sheetId="56" r:id="rId12"/>
    <sheet name="Input - Beef cattle purchases" sheetId="48" r:id="rId13"/>
    <sheet name="Input - Dairy cattle purchases" sheetId="52" r:id="rId14"/>
    <sheet name="Input - Pig purchases" sheetId="53" r:id="rId15"/>
    <sheet name="Input - Poultry purchases" sheetId="54" r:id="rId16"/>
    <sheet name="Input - Freight" sheetId="39" r:id="rId17"/>
    <sheet name="Input - Solid waste" sheetId="33" r:id="rId18"/>
    <sheet name="Input - Manure sent off-site" sheetId="50" r:id="rId19"/>
    <sheet name="Input - Electricity" sheetId="9" r:id="rId20"/>
    <sheet name="15 Scope 3" sheetId="19" r:id="rId21"/>
    <sheet name="10.1.1-2 Solid waste treatment" sheetId="38" r:id="rId22"/>
    <sheet name="Calcs - Manure sent off-site" sheetId="34" r:id="rId23"/>
    <sheet name="8.1.1.1-2 Transport fuel" sheetId="31" r:id="rId24"/>
    <sheet name="8.2.1.1-2 Stationary fuel" sheetId="32" r:id="rId25"/>
    <sheet name="Constants - Scope 3" sheetId="20" r:id="rId26"/>
    <sheet name="Constants - Solid Waste" sheetId="36" r:id="rId27"/>
    <sheet name="Constants - Fuel" sheetId="29" r:id="rId28"/>
    <sheet name="Constants - Poultry" sheetId="26" r:id="rId29"/>
    <sheet name="Constants - Swine" sheetId="25" r:id="rId30"/>
    <sheet name="Constants - Dairy" sheetId="23" r:id="rId31"/>
    <sheet name="Constants - Pasture Beef" sheetId="22" r:id="rId32"/>
    <sheet name="Constants - Common Livestock" sheetId="18" r:id="rId33"/>
    <sheet name="Constants - Fertiliser" sheetId="6" r:id="rId34"/>
    <sheet name="Constants - Electricity" sheetId="8" r:id="rId35"/>
    <sheet name="Constants - Common" sheetId="61" r:id="rId36"/>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
    _xlfn.MAKEARRAY(5, 2,
      _xlfn.LAMBDA(_xlpm.r,_xlpm.c,
        INDEX({"Livestock Class j","Average Liveweight (kg)";"Chicken",1.3;"Hen &gt;/=1 yr",2;"Pullets",1.4;"Broilers",1.2}, _xlpm.r, _xlpm.c)
      )
    )
  )</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4_1_3__1_OrganicFertiliserAtmosphericDepositionN2OEmissions_Result_Method1">'Calcs - Manure sent off-site'!$E$55</definedName>
    <definedName name="VEERG_5_4_1_3__1_OrganicFertiliserAtmosphericDepositionN2OEmissions_Result_Method2">'Calcs - Manure sent off-site'!$O$55</definedName>
    <definedName name="VEERG_5_5_1_1__1_FertiliserLeachingAndRunoffN2OEmissions_Result_Method1">'Calcs - Manure sent off-site'!$E$90</definedName>
    <definedName name="VEERG_5_5_1_1__1_FertiliserLeachingAndRunoffN2OEmissions_Result_Method2">'Calcs - Manure sent off-site'!$O$90</definedName>
    <definedName name="VEERG_8_1_1_1__1_FuelCombustionTransport_Result">'8.1.1.1-2 Transport fuel'!$E$70</definedName>
    <definedName name="VEERG_8_2_1_1__1_FuelCombustionStationary_Result">'8.2.1.1-2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armInputs_Misc_NylonNetting">'Input - Hort farm Inputs'!$E$5</definedName>
    <definedName name="X_Cell_FarmInputs_Seed_BarleyGrain">'Input - Crop pasture farm input'!$E$23</definedName>
    <definedName name="X_Cell_FarmInputs_Seed_MaizeGrain">'Input - Crop pasture farm input'!$E$24</definedName>
    <definedName name="X_Cell_FarmInputs_Seed_OatGrain">'Input - Crop pasture farm input'!$E$25</definedName>
    <definedName name="X_Cell_FarmInputs_Seed_SorghumGrain">'Input - Crop pasture farm input'!$E$26</definedName>
    <definedName name="X_Cell_FarmInputs_Seed_WheatGrain">'Input - Crop pasture farm input'!$E$27</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Fuel_IsMetroLocation">'Input - Fuel'!$E$11</definedName>
    <definedName name="X_Cell_Input_AquacultureInput_CustomBait">'Input - Aquaculture inputs'!$E$12</definedName>
    <definedName name="X_Cell_Input_AquacultureInput_LowAnimalProteinFormulatedFeed">'Input - Aquaculture inputs'!$E$9</definedName>
    <definedName name="X_Cell_Input_AquacultureInput_SardinesAustralia">'Input - Aquaculture inputs'!$E$8</definedName>
    <definedName name="X_Cell_Input_AquacultureInput_SardinesSouthAustralia">'Input - Aquaculture inputs'!$E$7</definedName>
    <definedName name="X_Cell_Input_AquacultureInput_Squid">'Input - Aquaculture inputs'!$E$10</definedName>
    <definedName name="X_Cell_Input_AquacultureInput_WholeFish">'Input - Aquaculture inputs'!$E$11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R586" i="19" l="1"/>
  <c r="R585" i="19"/>
  <c r="R584" i="19"/>
  <c r="J586" i="19"/>
  <c r="J585" i="19"/>
  <c r="J584" i="19"/>
  <c r="I72" i="34"/>
  <c r="I52" i="34"/>
  <c r="I71" i="34"/>
  <c r="I51" i="34"/>
  <c r="I53" i="34"/>
  <c r="H320" i="19" a="1"/>
  <c r="H320" i="19" s="1"/>
  <c r="G320" i="19" a="1"/>
  <c r="G320" i="19" s="1"/>
  <c r="F320" i="19" a="1"/>
  <c r="F320" i="19" s="1"/>
  <c r="E320" i="19" a="1"/>
  <c r="E320" i="19" s="1"/>
  <c r="D320" i="19" a="1"/>
  <c r="D320" i="19" s="1"/>
  <c r="E153" i="19"/>
  <c r="E152" i="19"/>
  <c r="E151" i="19"/>
  <c r="E150" i="19"/>
  <c r="E149" i="19"/>
  <c r="E148" i="19"/>
  <c r="E137" i="19"/>
  <c r="F12" i="7"/>
  <c r="P34" i="7"/>
  <c r="P33" i="7"/>
  <c r="P32" i="7"/>
  <c r="P31" i="7"/>
  <c r="P30" i="7"/>
  <c r="P29" i="7"/>
  <c r="P28" i="7"/>
  <c r="P27" i="7"/>
  <c r="P26" i="7"/>
  <c r="P25" i="7"/>
  <c r="Z21" i="7"/>
  <c r="Y21" i="7"/>
  <c r="W21" i="7" a="1"/>
  <c r="W21" i="7" s="1"/>
  <c r="U21" i="7" a="1"/>
  <c r="U21" i="7" s="1"/>
  <c r="T21" i="7" a="1"/>
  <c r="T21" i="7" s="1"/>
  <c r="S21" i="7" a="1"/>
  <c r="S21" i="7" s="1"/>
  <c r="R21" i="7" a="1"/>
  <c r="R21" i="7" s="1"/>
  <c r="Q21" i="7" a="1"/>
  <c r="Q21" i="7" s="1"/>
  <c r="P21" i="7" a="1"/>
  <c r="P21" i="7" s="1"/>
  <c r="O21" i="7"/>
  <c r="O21" i="7" a="1"/>
  <c r="N21" i="7" a="1"/>
  <c r="N21" i="7" s="1"/>
  <c r="M21" i="7" a="1"/>
  <c r="M21" i="7" s="1"/>
  <c r="L21" i="7" a="1"/>
  <c r="L21" i="7" s="1"/>
  <c r="K21" i="7" a="1"/>
  <c r="K21" i="7" s="1"/>
  <c r="J21" i="7" a="1"/>
  <c r="J21" i="7" s="1"/>
  <c r="H21" i="7"/>
  <c r="F21" i="7"/>
  <c r="Z20" i="7"/>
  <c r="Y20" i="7"/>
  <c r="W20" i="7" a="1"/>
  <c r="W20" i="7" s="1"/>
  <c r="U20" i="7"/>
  <c r="U20" i="7" a="1"/>
  <c r="T20" i="7" a="1"/>
  <c r="T20" i="7" s="1"/>
  <c r="S20" i="7"/>
  <c r="S20" i="7" a="1"/>
  <c r="R20" i="7"/>
  <c r="R20" i="7" a="1"/>
  <c r="Q20" i="7" a="1"/>
  <c r="Q20" i="7" s="1"/>
  <c r="P20" i="7" a="1"/>
  <c r="P20" i="7" s="1"/>
  <c r="O20" i="7"/>
  <c r="O20" i="7" a="1"/>
  <c r="N20" i="7"/>
  <c r="N20" i="7" a="1"/>
  <c r="M20" i="7" a="1"/>
  <c r="M20" i="7" s="1"/>
  <c r="L20" i="7"/>
  <c r="L20" i="7" a="1"/>
  <c r="K20" i="7" a="1"/>
  <c r="K20" i="7" s="1"/>
  <c r="J20" i="7" a="1"/>
  <c r="J20" i="7" s="1"/>
  <c r="H20" i="7"/>
  <c r="F20" i="7"/>
  <c r="Z19" i="7"/>
  <c r="Y19" i="7"/>
  <c r="W19" i="7"/>
  <c r="W19" i="7" a="1"/>
  <c r="U19" i="7" a="1"/>
  <c r="U19" i="7" s="1"/>
  <c r="T19" i="7"/>
  <c r="T19" i="7" a="1"/>
  <c r="S19" i="7"/>
  <c r="S19" i="7" a="1"/>
  <c r="R19" i="7"/>
  <c r="R19" i="7" a="1"/>
  <c r="Q19" i="7" a="1"/>
  <c r="Q19" i="7" s="1"/>
  <c r="P19" i="7" a="1"/>
  <c r="P19" i="7" s="1"/>
  <c r="O19" i="7" a="1"/>
  <c r="O19" i="7" s="1"/>
  <c r="N19" i="7" a="1"/>
  <c r="N19" i="7" s="1"/>
  <c r="M19" i="7"/>
  <c r="M19" i="7" a="1"/>
  <c r="L19" i="7" a="1"/>
  <c r="L19" i="7" s="1"/>
  <c r="K19" i="7"/>
  <c r="K19" i="7" a="1"/>
  <c r="J19" i="7" a="1"/>
  <c r="J19" i="7" s="1"/>
  <c r="H19" i="7"/>
  <c r="F19" i="7"/>
  <c r="Z18" i="7"/>
  <c r="Y18" i="7"/>
  <c r="W18" i="7" a="1"/>
  <c r="W18" i="7" s="1"/>
  <c r="U18" i="7" a="1"/>
  <c r="U18" i="7" s="1"/>
  <c r="T18" i="7" a="1"/>
  <c r="T18" i="7" s="1"/>
  <c r="S18" i="7" a="1"/>
  <c r="S18" i="7" s="1"/>
  <c r="R18" i="7"/>
  <c r="R18" i="7" a="1"/>
  <c r="Q18" i="7"/>
  <c r="Q18" i="7" a="1"/>
  <c r="P18" i="7" a="1"/>
  <c r="P18" i="7" s="1"/>
  <c r="O18" i="7"/>
  <c r="O18" i="7" a="1"/>
  <c r="N18" i="7" a="1"/>
  <c r="N18" i="7" s="1"/>
  <c r="M18" i="7" a="1"/>
  <c r="M18" i="7" s="1"/>
  <c r="L18" i="7" a="1"/>
  <c r="L18" i="7" s="1"/>
  <c r="K18" i="7"/>
  <c r="K18" i="7" a="1"/>
  <c r="J18" i="7"/>
  <c r="J18" i="7" a="1"/>
  <c r="H18" i="7"/>
  <c r="F18" i="7"/>
  <c r="Z17" i="7"/>
  <c r="P236" i="19" s="1" a="1"/>
  <c r="P236" i="19" s="1"/>
  <c r="Y17" i="7"/>
  <c r="W17" i="7" a="1"/>
  <c r="W17" i="7" s="1"/>
  <c r="U17" i="7"/>
  <c r="U17" i="7" a="1"/>
  <c r="T17" i="7" a="1"/>
  <c r="T17" i="7" s="1"/>
  <c r="S17" i="7" a="1"/>
  <c r="S17" i="7" s="1"/>
  <c r="R17" i="7" a="1"/>
  <c r="R17" i="7" s="1"/>
  <c r="Q17" i="7" a="1"/>
  <c r="Q17" i="7" s="1"/>
  <c r="P17" i="7"/>
  <c r="P17" i="7" a="1"/>
  <c r="O17" i="7"/>
  <c r="O17" i="7" a="1"/>
  <c r="N17" i="7"/>
  <c r="N17" i="7" a="1"/>
  <c r="M17" i="7" a="1"/>
  <c r="M17" i="7" s="1"/>
  <c r="L17" i="7" a="1"/>
  <c r="L17" i="7" s="1"/>
  <c r="K17" i="7" a="1"/>
  <c r="K17" i="7" s="1"/>
  <c r="J17" i="7" a="1"/>
  <c r="J17" i="7" s="1"/>
  <c r="H17" i="7"/>
  <c r="F17" i="7"/>
  <c r="Z16" i="7"/>
  <c r="Y16" i="7"/>
  <c r="W16" i="7"/>
  <c r="W16" i="7" a="1"/>
  <c r="U16" i="7"/>
  <c r="U16" i="7" a="1"/>
  <c r="T16" i="7"/>
  <c r="T16" i="7" a="1"/>
  <c r="S16" i="7" a="1"/>
  <c r="S16" i="7" s="1"/>
  <c r="R16" i="7"/>
  <c r="R16" i="7" a="1"/>
  <c r="Q16" i="7" a="1"/>
  <c r="Q16" i="7" s="1"/>
  <c r="P16" i="7" a="1"/>
  <c r="P16" i="7" s="1"/>
  <c r="O16" i="7" a="1"/>
  <c r="O16" i="7" s="1"/>
  <c r="N16" i="7"/>
  <c r="N16" i="7" a="1"/>
  <c r="M16" i="7"/>
  <c r="M16" i="7" a="1"/>
  <c r="L16" i="7" a="1"/>
  <c r="L16" i="7" s="1"/>
  <c r="K16" i="7"/>
  <c r="K16" i="7" a="1"/>
  <c r="J16" i="7" a="1"/>
  <c r="J16" i="7" s="1"/>
  <c r="H16" i="7"/>
  <c r="F16" i="7"/>
  <c r="Z15" i="7"/>
  <c r="Y15" i="7"/>
  <c r="W15" i="7"/>
  <c r="W15" i="7" a="1"/>
  <c r="U15" i="7" a="1"/>
  <c r="U15" i="7" s="1"/>
  <c r="T15" i="7" a="1"/>
  <c r="T15" i="7" s="1"/>
  <c r="S15" i="7"/>
  <c r="S15" i="7" a="1"/>
  <c r="R15" i="7"/>
  <c r="R15" i="7" a="1"/>
  <c r="Q15" i="7"/>
  <c r="Q15" i="7" a="1"/>
  <c r="P15" i="7" a="1"/>
  <c r="P15" i="7" s="1"/>
  <c r="O15" i="7" a="1"/>
  <c r="O15" i="7" s="1"/>
  <c r="N15" i="7" a="1"/>
  <c r="N15" i="7" s="1"/>
  <c r="M15" i="7" a="1"/>
  <c r="M15" i="7" s="1"/>
  <c r="L15" i="7"/>
  <c r="L15" i="7" a="1"/>
  <c r="K15" i="7"/>
  <c r="K15" i="7" a="1"/>
  <c r="J15" i="7"/>
  <c r="J15" i="7" a="1"/>
  <c r="H15" i="7"/>
  <c r="F15" i="7"/>
  <c r="Z14" i="7"/>
  <c r="Y14" i="7"/>
  <c r="W14" i="7" a="1"/>
  <c r="W14" i="7" s="1"/>
  <c r="U14" i="7"/>
  <c r="U14" i="7" a="1"/>
  <c r="T14" i="7" a="1"/>
  <c r="T14" i="7" s="1"/>
  <c r="S14" i="7" a="1"/>
  <c r="S14" i="7" s="1"/>
  <c r="R14" i="7" a="1"/>
  <c r="R14" i="7" s="1"/>
  <c r="Q14" i="7"/>
  <c r="Q14" i="7" a="1"/>
  <c r="P14" i="7"/>
  <c r="P14" i="7" a="1"/>
  <c r="O14" i="7" a="1"/>
  <c r="O14" i="7" s="1"/>
  <c r="N14" i="7"/>
  <c r="N14" i="7" a="1"/>
  <c r="M14" i="7" a="1"/>
  <c r="M14" i="7" s="1"/>
  <c r="L14" i="7" a="1"/>
  <c r="L14" i="7" s="1"/>
  <c r="K14" i="7" a="1"/>
  <c r="K14" i="7" s="1"/>
  <c r="J14" i="7"/>
  <c r="J14" i="7" a="1"/>
  <c r="H14" i="7"/>
  <c r="F14" i="7"/>
  <c r="Z13" i="7"/>
  <c r="Y13" i="7"/>
  <c r="O236" i="19" s="1" a="1"/>
  <c r="O236" i="19" s="1"/>
  <c r="W13" i="7"/>
  <c r="W13" i="7" a="1"/>
  <c r="U13" i="7"/>
  <c r="U13" i="7" a="1"/>
  <c r="T13" i="7"/>
  <c r="T13" i="7" a="1"/>
  <c r="S13" i="7" a="1"/>
  <c r="S13" i="7" s="1"/>
  <c r="R13" i="7"/>
  <c r="R13" i="7" a="1"/>
  <c r="Q13" i="7" a="1"/>
  <c r="Q13" i="7" s="1"/>
  <c r="P13" i="7" a="1"/>
  <c r="P13" i="7" s="1"/>
  <c r="O13" i="7"/>
  <c r="O13" i="7" a="1"/>
  <c r="N13" i="7"/>
  <c r="N13" i="7" a="1"/>
  <c r="M13" i="7"/>
  <c r="M13" i="7" a="1"/>
  <c r="L13" i="7" a="1"/>
  <c r="L13" i="7" s="1"/>
  <c r="K13" i="7"/>
  <c r="K13" i="7" a="1"/>
  <c r="J13" i="7" a="1"/>
  <c r="J13" i="7" s="1"/>
  <c r="H13" i="7"/>
  <c r="F13" i="7"/>
  <c r="Z12" i="7"/>
  <c r="Y12" i="7"/>
  <c r="W12" i="7"/>
  <c r="W12" i="7" a="1"/>
  <c r="U12" i="7" a="1"/>
  <c r="U12" i="7" s="1"/>
  <c r="T12" i="7"/>
  <c r="T12" i="7" a="1"/>
  <c r="S12" i="7"/>
  <c r="S12" i="7" a="1"/>
  <c r="R12" i="7" a="1"/>
  <c r="R12" i="7" s="1"/>
  <c r="AG236" i="19" s="1" a="1"/>
  <c r="AG236" i="19" s="1"/>
  <c r="Q12" i="7"/>
  <c r="Q12" i="7" a="1"/>
  <c r="P12" i="7" a="1"/>
  <c r="P12" i="7" s="1"/>
  <c r="O12" i="7" a="1"/>
  <c r="O12" i="7" s="1"/>
  <c r="N12" i="7" a="1"/>
  <c r="N12" i="7" s="1"/>
  <c r="M12" i="7"/>
  <c r="M12" i="7" a="1"/>
  <c r="L12" i="7"/>
  <c r="L12" i="7" a="1"/>
  <c r="K12" i="7" a="1"/>
  <c r="K12" i="7" s="1"/>
  <c r="J12" i="7"/>
  <c r="Q236" i="19" s="1" a="1"/>
  <c r="Q236" i="19" s="1"/>
  <c r="J12" i="7" a="1"/>
  <c r="H12" i="7"/>
  <c r="E90" i="6" a="1"/>
  <c r="E90" i="6" s="1"/>
  <c r="AH223" i="6" a="1"/>
  <c r="AH223" i="6" s="1"/>
  <c r="AG223" i="6" a="1"/>
  <c r="AG223" i="6" s="1"/>
  <c r="AF223" i="6" a="1"/>
  <c r="AF223" i="6" s="1"/>
  <c r="AE223" i="6" a="1"/>
  <c r="AE223" i="6" s="1"/>
  <c r="AD223" i="6" a="1"/>
  <c r="AD223" i="6" s="1"/>
  <c r="AC223" i="6" a="1"/>
  <c r="AC223" i="6" s="1"/>
  <c r="AB223" i="6" a="1"/>
  <c r="AB223" i="6" s="1"/>
  <c r="AA223" i="6" a="1"/>
  <c r="AA223" i="6" s="1"/>
  <c r="Z223" i="6" a="1"/>
  <c r="Z223" i="6" s="1"/>
  <c r="Y223" i="6" a="1"/>
  <c r="Y223" i="6" s="1"/>
  <c r="X223" i="6" a="1"/>
  <c r="X223" i="6" s="1"/>
  <c r="W223" i="6" a="1"/>
  <c r="W223" i="6" s="1"/>
  <c r="V223" i="6" a="1"/>
  <c r="V223" i="6" s="1"/>
  <c r="U223" i="6" a="1"/>
  <c r="U223" i="6" s="1"/>
  <c r="T223" i="6" a="1"/>
  <c r="T223" i="6" s="1"/>
  <c r="S223" i="6" a="1"/>
  <c r="S223" i="6" s="1"/>
  <c r="R223" i="6" a="1"/>
  <c r="R223" i="6" s="1"/>
  <c r="Q223" i="6" a="1"/>
  <c r="Q223" i="6" s="1"/>
  <c r="P223" i="6" a="1"/>
  <c r="P223" i="6" s="1"/>
  <c r="O223" i="6" a="1"/>
  <c r="O223" i="6" s="1"/>
  <c r="N223" i="6" a="1"/>
  <c r="N223" i="6" s="1"/>
  <c r="M223" i="6"/>
  <c r="M223" i="6" a="1"/>
  <c r="L223" i="6" a="1"/>
  <c r="L223" i="6" s="1"/>
  <c r="K223" i="6" a="1"/>
  <c r="K223" i="6" s="1"/>
  <c r="J223" i="6" a="1"/>
  <c r="J223" i="6" s="1"/>
  <c r="I223" i="6" a="1"/>
  <c r="I223" i="6" s="1"/>
  <c r="H223" i="6" a="1"/>
  <c r="H223" i="6" s="1"/>
  <c r="G223" i="6" a="1"/>
  <c r="G223" i="6" s="1"/>
  <c r="F223" i="6" a="1"/>
  <c r="F223" i="6" s="1"/>
  <c r="E223" i="6" a="1"/>
  <c r="E223" i="6" s="1"/>
  <c r="D223" i="6" a="1"/>
  <c r="D223" i="6" s="1"/>
  <c r="AH222" i="6"/>
  <c r="AH222" i="6" a="1"/>
  <c r="AG222" i="6" a="1"/>
  <c r="AG222" i="6" s="1"/>
  <c r="AF222" i="6"/>
  <c r="AF222" i="6" a="1"/>
  <c r="AE222" i="6" a="1"/>
  <c r="AE222" i="6" s="1"/>
  <c r="AD222" i="6"/>
  <c r="AD222" i="6" a="1"/>
  <c r="AC222" i="6" a="1"/>
  <c r="AC222" i="6" s="1"/>
  <c r="AB222" i="6" a="1"/>
  <c r="AB222" i="6" s="1"/>
  <c r="AA222" i="6" a="1"/>
  <c r="AA222" i="6" s="1"/>
  <c r="Z222" i="6" a="1"/>
  <c r="Z222" i="6" s="1"/>
  <c r="Y222" i="6"/>
  <c r="Y222" i="6" a="1"/>
  <c r="X222" i="6" a="1"/>
  <c r="X222" i="6" s="1"/>
  <c r="W222" i="6" a="1"/>
  <c r="W222" i="6" s="1"/>
  <c r="V222" i="6" a="1"/>
  <c r="V222" i="6" s="1"/>
  <c r="U222" i="6" a="1"/>
  <c r="U222" i="6" s="1"/>
  <c r="T222" i="6"/>
  <c r="T222" i="6" a="1"/>
  <c r="S222" i="6" a="1"/>
  <c r="S222" i="6" s="1"/>
  <c r="R222" i="6"/>
  <c r="R222" i="6" a="1"/>
  <c r="Q222" i="6" a="1"/>
  <c r="Q222" i="6" s="1"/>
  <c r="P222" i="6" a="1"/>
  <c r="P222" i="6" s="1"/>
  <c r="O222" i="6" a="1"/>
  <c r="O222" i="6" s="1"/>
  <c r="N222" i="6" a="1"/>
  <c r="N222" i="6" s="1"/>
  <c r="M222" i="6" a="1"/>
  <c r="M222" i="6" s="1"/>
  <c r="L222" i="6" a="1"/>
  <c r="L222" i="6" s="1"/>
  <c r="K222" i="6"/>
  <c r="K222" i="6" a="1"/>
  <c r="J222" i="6" a="1"/>
  <c r="J222" i="6" s="1"/>
  <c r="I222" i="6"/>
  <c r="I222" i="6" a="1"/>
  <c r="H222" i="6" a="1"/>
  <c r="H222" i="6" s="1"/>
  <c r="G222" i="6" a="1"/>
  <c r="G222" i="6" s="1"/>
  <c r="F222" i="6" a="1"/>
  <c r="F222" i="6" s="1"/>
  <c r="E222" i="6" a="1"/>
  <c r="E222" i="6" s="1"/>
  <c r="D222" i="6"/>
  <c r="D222" i="6" a="1"/>
  <c r="AH221" i="6" a="1"/>
  <c r="AH221" i="6" s="1"/>
  <c r="AG221" i="6" a="1"/>
  <c r="AG221" i="6" s="1"/>
  <c r="AF221" i="6" a="1"/>
  <c r="AF221" i="6" s="1"/>
  <c r="AE221" i="6" a="1"/>
  <c r="AE221" i="6" s="1"/>
  <c r="AD221" i="6" a="1"/>
  <c r="AD221" i="6" s="1"/>
  <c r="AC221" i="6" a="1"/>
  <c r="AC221" i="6" s="1"/>
  <c r="AB221" i="6"/>
  <c r="AB221" i="6" a="1"/>
  <c r="AA221" i="6" a="1"/>
  <c r="AA221" i="6" s="1"/>
  <c r="Z221" i="6" a="1"/>
  <c r="Z221" i="6" s="1"/>
  <c r="Y221" i="6" a="1"/>
  <c r="Y221" i="6" s="1"/>
  <c r="X221" i="6" a="1"/>
  <c r="X221" i="6" s="1"/>
  <c r="W221" i="6" a="1"/>
  <c r="W221" i="6" s="1"/>
  <c r="V221" i="6" a="1"/>
  <c r="V221" i="6" s="1"/>
  <c r="U221" i="6" a="1"/>
  <c r="U221" i="6" s="1"/>
  <c r="T221" i="6" a="1"/>
  <c r="T221" i="6" s="1"/>
  <c r="S221" i="6" a="1"/>
  <c r="S221" i="6" s="1"/>
  <c r="R221" i="6" a="1"/>
  <c r="R221" i="6" s="1"/>
  <c r="Q221" i="6" a="1"/>
  <c r="Q221" i="6" s="1"/>
  <c r="P221" i="6" a="1"/>
  <c r="P221" i="6" s="1"/>
  <c r="O221" i="6" a="1"/>
  <c r="O221" i="6" s="1"/>
  <c r="N221" i="6"/>
  <c r="N221" i="6" a="1"/>
  <c r="M221" i="6" a="1"/>
  <c r="M221" i="6" s="1"/>
  <c r="L221" i="6"/>
  <c r="L221" i="6" a="1"/>
  <c r="K221" i="6" a="1"/>
  <c r="K221" i="6" s="1"/>
  <c r="J221" i="6" a="1"/>
  <c r="J221" i="6" s="1"/>
  <c r="I221" i="6" a="1"/>
  <c r="I221" i="6" s="1"/>
  <c r="H221" i="6" a="1"/>
  <c r="H221" i="6" s="1"/>
  <c r="G221" i="6"/>
  <c r="G221" i="6" a="1"/>
  <c r="F221" i="6" a="1"/>
  <c r="F221" i="6" s="1"/>
  <c r="E221" i="6" a="1"/>
  <c r="E221" i="6" s="1"/>
  <c r="D221" i="6" a="1"/>
  <c r="D221" i="6" s="1"/>
  <c r="AH220" i="6" a="1"/>
  <c r="AH220" i="6" s="1"/>
  <c r="AG220" i="6"/>
  <c r="AG220" i="6" a="1"/>
  <c r="AF220" i="6" a="1"/>
  <c r="AF220" i="6" s="1"/>
  <c r="AE220" i="6"/>
  <c r="AE220" i="6" a="1"/>
  <c r="AD220" i="6" a="1"/>
  <c r="AD220" i="6" s="1"/>
  <c r="AC220" i="6" a="1"/>
  <c r="AC220" i="6" s="1"/>
  <c r="AB220" i="6" a="1"/>
  <c r="AB220" i="6" s="1"/>
  <c r="AA220" i="6" a="1"/>
  <c r="AA220" i="6" s="1"/>
  <c r="Z220" i="6" a="1"/>
  <c r="Z220" i="6" s="1"/>
  <c r="Y220" i="6" a="1"/>
  <c r="Y220" i="6" s="1"/>
  <c r="X220" i="6" a="1"/>
  <c r="X220" i="6" s="1"/>
  <c r="W220" i="6" a="1"/>
  <c r="W220" i="6" s="1"/>
  <c r="V220" i="6"/>
  <c r="V220" i="6" a="1"/>
  <c r="U220" i="6" a="1"/>
  <c r="U220" i="6" s="1"/>
  <c r="T220" i="6" a="1"/>
  <c r="T220" i="6" s="1"/>
  <c r="S220" i="6" a="1"/>
  <c r="S220" i="6" s="1"/>
  <c r="R220" i="6" a="1"/>
  <c r="R220" i="6" s="1"/>
  <c r="Q220" i="6"/>
  <c r="Q220" i="6" a="1"/>
  <c r="P220" i="6" a="1"/>
  <c r="P220" i="6" s="1"/>
  <c r="O220" i="6" a="1"/>
  <c r="O220" i="6" s="1"/>
  <c r="N220" i="6" a="1"/>
  <c r="N220" i="6" s="1"/>
  <c r="M220" i="6" a="1"/>
  <c r="M220" i="6" s="1"/>
  <c r="L220" i="6" a="1"/>
  <c r="L220" i="6" s="1"/>
  <c r="K220" i="6" a="1"/>
  <c r="K220" i="6" s="1"/>
  <c r="J220" i="6"/>
  <c r="J220" i="6" a="1"/>
  <c r="I220" i="6" a="1"/>
  <c r="I220" i="6" s="1"/>
  <c r="H220" i="6"/>
  <c r="H220" i="6" a="1"/>
  <c r="G220" i="6" a="1"/>
  <c r="G220" i="6" s="1"/>
  <c r="F220" i="6" a="1"/>
  <c r="F220" i="6" s="1"/>
  <c r="E220" i="6" a="1"/>
  <c r="E220" i="6" s="1"/>
  <c r="D220" i="6" a="1"/>
  <c r="D220" i="6" s="1"/>
  <c r="AH219" i="6" a="1"/>
  <c r="AH219" i="6" s="1"/>
  <c r="AG219" i="6" a="1"/>
  <c r="AG219" i="6" s="1"/>
  <c r="AF219" i="6" a="1"/>
  <c r="AF219" i="6" s="1"/>
  <c r="AE219" i="6" a="1"/>
  <c r="AE219" i="6" s="1"/>
  <c r="AD219" i="6" a="1"/>
  <c r="AD219" i="6" s="1"/>
  <c r="AC219" i="6"/>
  <c r="AC219" i="6" a="1"/>
  <c r="AB219" i="6" a="1"/>
  <c r="AB219" i="6" s="1"/>
  <c r="AA219" i="6"/>
  <c r="AA219" i="6" a="1"/>
  <c r="Z219" i="6" a="1"/>
  <c r="Z219" i="6" s="1"/>
  <c r="Y219" i="6"/>
  <c r="Y219" i="6" a="1"/>
  <c r="X219" i="6" a="1"/>
  <c r="X219" i="6" s="1"/>
  <c r="W219" i="6" a="1"/>
  <c r="W219" i="6" s="1"/>
  <c r="V219" i="6" a="1"/>
  <c r="V219" i="6" s="1"/>
  <c r="U219" i="6" a="1"/>
  <c r="U219" i="6" s="1"/>
  <c r="T219" i="6" a="1"/>
  <c r="T219" i="6" s="1"/>
  <c r="S219" i="6" a="1"/>
  <c r="S219" i="6" s="1"/>
  <c r="R219" i="6" a="1"/>
  <c r="R219" i="6" s="1"/>
  <c r="Q219" i="6" a="1"/>
  <c r="Q219" i="6" s="1"/>
  <c r="P219" i="6" a="1"/>
  <c r="P219" i="6" s="1"/>
  <c r="O219" i="6"/>
  <c r="O219" i="6" a="1"/>
  <c r="N219" i="6" a="1"/>
  <c r="N219" i="6" s="1"/>
  <c r="M219" i="6"/>
  <c r="M219" i="6" a="1"/>
  <c r="L219" i="6" a="1"/>
  <c r="L219" i="6" s="1"/>
  <c r="K219" i="6" a="1"/>
  <c r="K219" i="6" s="1"/>
  <c r="J219" i="6" a="1"/>
  <c r="J219" i="6" s="1"/>
  <c r="I219" i="6" a="1"/>
  <c r="I219" i="6" s="1"/>
  <c r="H219" i="6" a="1"/>
  <c r="H219" i="6" s="1"/>
  <c r="G219" i="6" a="1"/>
  <c r="G219" i="6" s="1"/>
  <c r="F219" i="6" a="1"/>
  <c r="F219" i="6" s="1"/>
  <c r="E219" i="6" a="1"/>
  <c r="E219" i="6" s="1"/>
  <c r="D219" i="6" a="1"/>
  <c r="D219" i="6" s="1"/>
  <c r="AH218" i="6" a="1"/>
  <c r="AH218" i="6" s="1"/>
  <c r="AG218" i="6" a="1"/>
  <c r="AG218" i="6" s="1"/>
  <c r="AF218" i="6" a="1"/>
  <c r="AF218" i="6" s="1"/>
  <c r="AE218" i="6" a="1"/>
  <c r="AE218" i="6" s="1"/>
  <c r="AD218" i="6"/>
  <c r="AD218" i="6" a="1"/>
  <c r="AC218" i="6" a="1"/>
  <c r="AC218" i="6" s="1"/>
  <c r="AB218" i="6" a="1"/>
  <c r="AB218" i="6" s="1"/>
  <c r="AA218" i="6" a="1"/>
  <c r="AA218" i="6" s="1"/>
  <c r="Z218" i="6" a="1"/>
  <c r="Z218" i="6" s="1"/>
  <c r="Y218" i="6" a="1"/>
  <c r="Y218" i="6" s="1"/>
  <c r="X218" i="6" a="1"/>
  <c r="X218" i="6" s="1"/>
  <c r="W218" i="6"/>
  <c r="W218" i="6" a="1"/>
  <c r="V218" i="6" a="1"/>
  <c r="V218" i="6" s="1"/>
  <c r="U218" i="6"/>
  <c r="U218" i="6" a="1"/>
  <c r="T218" i="6" a="1"/>
  <c r="T218" i="6" s="1"/>
  <c r="S218" i="6" a="1"/>
  <c r="S218" i="6" s="1"/>
  <c r="R218" i="6" a="1"/>
  <c r="R218" i="6" s="1"/>
  <c r="Q218" i="6" a="1"/>
  <c r="Q218" i="6" s="1"/>
  <c r="P218" i="6" a="1"/>
  <c r="P218" i="6" s="1"/>
  <c r="O218" i="6" a="1"/>
  <c r="O218" i="6" s="1"/>
  <c r="N218" i="6" a="1"/>
  <c r="N218" i="6" s="1"/>
  <c r="M218" i="6" a="1"/>
  <c r="M218" i="6" s="1"/>
  <c r="L218" i="6" a="1"/>
  <c r="L218" i="6" s="1"/>
  <c r="K218" i="6"/>
  <c r="K218" i="6" a="1"/>
  <c r="J218" i="6" a="1"/>
  <c r="J218" i="6" s="1"/>
  <c r="I218" i="6"/>
  <c r="I218" i="6" a="1"/>
  <c r="H218" i="6" a="1"/>
  <c r="H218" i="6" s="1"/>
  <c r="G218" i="6"/>
  <c r="G218" i="6" a="1"/>
  <c r="F218" i="6" a="1"/>
  <c r="F218" i="6" s="1"/>
  <c r="E218" i="6" a="1"/>
  <c r="E218" i="6" s="1"/>
  <c r="D218" i="6" a="1"/>
  <c r="D218" i="6" s="1"/>
  <c r="AH217" i="6" a="1"/>
  <c r="AH217" i="6" s="1"/>
  <c r="AG217" i="6"/>
  <c r="AG217" i="6" a="1"/>
  <c r="AF217" i="6" a="1"/>
  <c r="AF217" i="6" s="1"/>
  <c r="AE217" i="6" a="1"/>
  <c r="AE217" i="6" s="1"/>
  <c r="AD217" i="6" a="1"/>
  <c r="AD217" i="6" s="1"/>
  <c r="AC217" i="6" a="1"/>
  <c r="AC217" i="6" s="1"/>
  <c r="AB217" i="6"/>
  <c r="AB217" i="6" a="1"/>
  <c r="AA217" i="6" a="1"/>
  <c r="AA217" i="6" s="1"/>
  <c r="Z217" i="6"/>
  <c r="Z217" i="6" a="1"/>
  <c r="Y217" i="6" a="1"/>
  <c r="Y217" i="6" s="1"/>
  <c r="X217" i="6" a="1"/>
  <c r="X217" i="6" s="1"/>
  <c r="W217" i="6" a="1"/>
  <c r="W217" i="6" s="1"/>
  <c r="V217" i="6" a="1"/>
  <c r="V217" i="6" s="1"/>
  <c r="U217" i="6" a="1"/>
  <c r="U217" i="6" s="1"/>
  <c r="T217" i="6" a="1"/>
  <c r="T217" i="6" s="1"/>
  <c r="S217" i="6" a="1"/>
  <c r="S217" i="6" s="1"/>
  <c r="R217" i="6" a="1"/>
  <c r="R217" i="6" s="1"/>
  <c r="Q217" i="6" a="1"/>
  <c r="Q217" i="6" s="1"/>
  <c r="P217" i="6" a="1"/>
  <c r="P217" i="6" s="1"/>
  <c r="O217" i="6" a="1"/>
  <c r="O217" i="6" s="1"/>
  <c r="N217" i="6" a="1"/>
  <c r="N217" i="6" s="1"/>
  <c r="M217" i="6" a="1"/>
  <c r="M217" i="6" s="1"/>
  <c r="L217" i="6"/>
  <c r="L217" i="6" a="1"/>
  <c r="K217" i="6" a="1"/>
  <c r="K217" i="6" s="1"/>
  <c r="J217" i="6" a="1"/>
  <c r="J217" i="6" s="1"/>
  <c r="I217" i="6" a="1"/>
  <c r="I217" i="6" s="1"/>
  <c r="H217" i="6" a="1"/>
  <c r="H217" i="6" s="1"/>
  <c r="G217" i="6" a="1"/>
  <c r="G217" i="6" s="1"/>
  <c r="F217" i="6" a="1"/>
  <c r="F217" i="6" s="1"/>
  <c r="E217" i="6"/>
  <c r="E217" i="6" a="1"/>
  <c r="D217" i="6" a="1"/>
  <c r="D217" i="6" s="1"/>
  <c r="AH216" i="6"/>
  <c r="AH216" i="6" a="1"/>
  <c r="AG216" i="6" a="1"/>
  <c r="AG216" i="6" s="1"/>
  <c r="AF216" i="6" a="1"/>
  <c r="AF216" i="6" s="1"/>
  <c r="AE216" i="6" a="1"/>
  <c r="AE216" i="6" s="1"/>
  <c r="AD216" i="6" a="1"/>
  <c r="AD216" i="6" s="1"/>
  <c r="AC216" i="6" a="1"/>
  <c r="AC216" i="6" s="1"/>
  <c r="AB216" i="6" a="1"/>
  <c r="AB216" i="6" s="1"/>
  <c r="AA216" i="6" a="1"/>
  <c r="AA216" i="6" s="1"/>
  <c r="Z216" i="6" a="1"/>
  <c r="Z216" i="6" s="1"/>
  <c r="Y216" i="6" a="1"/>
  <c r="Y216" i="6" s="1"/>
  <c r="X216" i="6"/>
  <c r="X216" i="6" a="1"/>
  <c r="W216" i="6" a="1"/>
  <c r="W216" i="6" s="1"/>
  <c r="V216" i="6"/>
  <c r="V216" i="6" a="1"/>
  <c r="U216" i="6" a="1"/>
  <c r="U216" i="6" s="1"/>
  <c r="T216" i="6"/>
  <c r="T216" i="6" a="1"/>
  <c r="S216" i="6" a="1"/>
  <c r="S216" i="6" s="1"/>
  <c r="R216" i="6" a="1"/>
  <c r="R216" i="6" s="1"/>
  <c r="Q216" i="6" a="1"/>
  <c r="Q216" i="6" s="1"/>
  <c r="P216" i="6" a="1"/>
  <c r="P216" i="6" s="1"/>
  <c r="O216" i="6"/>
  <c r="O216" i="6" a="1"/>
  <c r="N216" i="6" a="1"/>
  <c r="N216" i="6" s="1"/>
  <c r="M216" i="6" a="1"/>
  <c r="M216" i="6" s="1"/>
  <c r="L216" i="6" a="1"/>
  <c r="L216" i="6" s="1"/>
  <c r="K216" i="6" a="1"/>
  <c r="K216" i="6" s="1"/>
  <c r="J216" i="6"/>
  <c r="J216" i="6" a="1"/>
  <c r="I216" i="6" a="1"/>
  <c r="I216" i="6" s="1"/>
  <c r="H216" i="6"/>
  <c r="H216" i="6" a="1"/>
  <c r="G216" i="6" a="1"/>
  <c r="G216" i="6" s="1"/>
  <c r="F216" i="6" a="1"/>
  <c r="F216" i="6" s="1"/>
  <c r="E216" i="6" a="1"/>
  <c r="E216" i="6" s="1"/>
  <c r="D216" i="6" a="1"/>
  <c r="D216" i="6" s="1"/>
  <c r="AH215" i="6" a="1"/>
  <c r="AH215" i="6" s="1"/>
  <c r="AG215" i="6" a="1"/>
  <c r="AG215" i="6" s="1"/>
  <c r="AF215" i="6" a="1"/>
  <c r="AF215" i="6" s="1"/>
  <c r="AE215" i="6" a="1"/>
  <c r="AE215" i="6" s="1"/>
  <c r="AD215" i="6"/>
  <c r="AD215" i="6" a="1"/>
  <c r="AC215" i="6" a="1"/>
  <c r="AC215" i="6" s="1"/>
  <c r="AB215" i="6" a="1"/>
  <c r="AB215" i="6" s="1"/>
  <c r="AA215" i="6" a="1"/>
  <c r="AA215" i="6" s="1"/>
  <c r="Z215" i="6" a="1"/>
  <c r="Z215" i="6" s="1"/>
  <c r="Y215" i="6"/>
  <c r="Y215" i="6" a="1"/>
  <c r="X215" i="6" a="1"/>
  <c r="X215" i="6" s="1"/>
  <c r="W215" i="6" a="1"/>
  <c r="W215" i="6" s="1"/>
  <c r="V215" i="6" a="1"/>
  <c r="V215" i="6" s="1"/>
  <c r="U215" i="6" a="1"/>
  <c r="U215" i="6" s="1"/>
  <c r="T215" i="6"/>
  <c r="T215" i="6" a="1"/>
  <c r="S215" i="6" a="1"/>
  <c r="S215" i="6" s="1"/>
  <c r="R215" i="6"/>
  <c r="R215" i="6" a="1"/>
  <c r="Q215" i="6" a="1"/>
  <c r="Q215" i="6" s="1"/>
  <c r="P215" i="6"/>
  <c r="P215" i="6" a="1"/>
  <c r="O215" i="6" a="1"/>
  <c r="O215" i="6" s="1"/>
  <c r="N215" i="6" a="1"/>
  <c r="N215" i="6" s="1"/>
  <c r="M215" i="6" a="1"/>
  <c r="M215" i="6" s="1"/>
  <c r="L215" i="6" a="1"/>
  <c r="L215" i="6" s="1"/>
  <c r="K215" i="6" a="1"/>
  <c r="K215" i="6" s="1"/>
  <c r="J215" i="6" a="1"/>
  <c r="J215" i="6" s="1"/>
  <c r="I215" i="6" a="1"/>
  <c r="I215" i="6" s="1"/>
  <c r="H215" i="6" a="1"/>
  <c r="H215" i="6" s="1"/>
  <c r="G215" i="6" a="1"/>
  <c r="G215" i="6" s="1"/>
  <c r="F215" i="6"/>
  <c r="F215" i="6" a="1"/>
  <c r="E215" i="6" a="1"/>
  <c r="E215" i="6" s="1"/>
  <c r="D215" i="6"/>
  <c r="D215" i="6" a="1"/>
  <c r="AH214" i="6" a="1"/>
  <c r="AH214" i="6" s="1"/>
  <c r="AG214" i="6"/>
  <c r="AG214" i="6" a="1"/>
  <c r="AF214" i="6" a="1"/>
  <c r="AF214" i="6" s="1"/>
  <c r="AE214" i="6" a="1"/>
  <c r="AE214" i="6" s="1"/>
  <c r="AD214" i="6" a="1"/>
  <c r="AD214" i="6" s="1"/>
  <c r="AC214" i="6" a="1"/>
  <c r="AC214" i="6" s="1"/>
  <c r="AB214" i="6"/>
  <c r="AB214" i="6" a="1"/>
  <c r="AA214" i="6" a="1"/>
  <c r="AA214" i="6" s="1"/>
  <c r="Z214" i="6" a="1"/>
  <c r="Z214" i="6" s="1"/>
  <c r="Y214" i="6" a="1"/>
  <c r="Y214" i="6" s="1"/>
  <c r="X214" i="6" a="1"/>
  <c r="X214" i="6" s="1"/>
  <c r="W214" i="6"/>
  <c r="W214" i="6" a="1"/>
  <c r="V214" i="6" a="1"/>
  <c r="V214" i="6" s="1"/>
  <c r="U214" i="6"/>
  <c r="U214" i="6" a="1"/>
  <c r="T214" i="6" a="1"/>
  <c r="T214" i="6" s="1"/>
  <c r="S214" i="6" a="1"/>
  <c r="S214" i="6" s="1"/>
  <c r="R214" i="6" a="1"/>
  <c r="R214" i="6" s="1"/>
  <c r="Q214" i="6" a="1"/>
  <c r="Q214" i="6" s="1"/>
  <c r="P214" i="6" a="1"/>
  <c r="P214" i="6" s="1"/>
  <c r="O214" i="6" a="1"/>
  <c r="O214" i="6" s="1"/>
  <c r="N214" i="6" a="1"/>
  <c r="N214" i="6" s="1"/>
  <c r="M214" i="6" a="1"/>
  <c r="M214" i="6" s="1"/>
  <c r="L214" i="6"/>
  <c r="L214" i="6" a="1"/>
  <c r="K214" i="6" a="1"/>
  <c r="K214" i="6" s="1"/>
  <c r="J214" i="6" a="1"/>
  <c r="J214" i="6" s="1"/>
  <c r="I214" i="6" a="1"/>
  <c r="I214" i="6" s="1"/>
  <c r="H214" i="6" a="1"/>
  <c r="H214" i="6" s="1"/>
  <c r="G214" i="6"/>
  <c r="G214" i="6" a="1"/>
  <c r="F214" i="6" a="1"/>
  <c r="F214" i="6" s="1"/>
  <c r="E214" i="6" a="1"/>
  <c r="E214" i="6" s="1"/>
  <c r="D214" i="6" a="1"/>
  <c r="D214" i="6" s="1"/>
  <c r="AH213" i="6" a="1"/>
  <c r="AH213" i="6" s="1"/>
  <c r="AG213" i="6"/>
  <c r="AG213" i="6" a="1"/>
  <c r="AF213" i="6" a="1"/>
  <c r="AF213" i="6" s="1"/>
  <c r="AE213" i="6"/>
  <c r="AE213" i="6" a="1"/>
  <c r="AD213" i="6" a="1"/>
  <c r="AD213" i="6" s="1"/>
  <c r="AC213" i="6"/>
  <c r="AC213" i="6" a="1"/>
  <c r="AB213" i="6" a="1"/>
  <c r="AB213" i="6" s="1"/>
  <c r="AA213" i="6" a="1"/>
  <c r="AA213" i="6" s="1"/>
  <c r="Z213" i="6" a="1"/>
  <c r="Z213" i="6" s="1"/>
  <c r="Y213" i="6" a="1"/>
  <c r="Y213" i="6" s="1"/>
  <c r="X213" i="6" a="1"/>
  <c r="X213" i="6" s="1"/>
  <c r="W213" i="6" a="1"/>
  <c r="W213" i="6" s="1"/>
  <c r="V213" i="6" a="1"/>
  <c r="V213" i="6" s="1"/>
  <c r="U213" i="6" a="1"/>
  <c r="U213" i="6" s="1"/>
  <c r="T213" i="6" a="1"/>
  <c r="T213" i="6" s="1"/>
  <c r="S213" i="6"/>
  <c r="S213" i="6" a="1"/>
  <c r="R213" i="6" a="1"/>
  <c r="R213" i="6" s="1"/>
  <c r="Q213" i="6"/>
  <c r="Q213" i="6" a="1"/>
  <c r="P213" i="6" a="1"/>
  <c r="P213" i="6" s="1"/>
  <c r="O213" i="6"/>
  <c r="O213" i="6" a="1"/>
  <c r="N213" i="6" a="1"/>
  <c r="N213" i="6" s="1"/>
  <c r="M213" i="6" a="1"/>
  <c r="M213" i="6" s="1"/>
  <c r="L213" i="6" a="1"/>
  <c r="L213" i="6" s="1"/>
  <c r="K213" i="6" a="1"/>
  <c r="K213" i="6" s="1"/>
  <c r="J213" i="6"/>
  <c r="J213" i="6" a="1"/>
  <c r="I213" i="6" a="1"/>
  <c r="I213" i="6" s="1"/>
  <c r="H213" i="6" a="1"/>
  <c r="H213" i="6" s="1"/>
  <c r="G213" i="6" a="1"/>
  <c r="G213" i="6" s="1"/>
  <c r="F213" i="6" a="1"/>
  <c r="F213" i="6" s="1"/>
  <c r="E213" i="6"/>
  <c r="E213" i="6" a="1"/>
  <c r="D213" i="6" a="1"/>
  <c r="D213" i="6" s="1"/>
  <c r="AH212" i="6"/>
  <c r="AH212" i="6" a="1"/>
  <c r="AG212" i="6" a="1"/>
  <c r="AG212" i="6" s="1"/>
  <c r="AF212" i="6" a="1"/>
  <c r="AF212" i="6" s="1"/>
  <c r="AE212" i="6" a="1"/>
  <c r="AE212" i="6" s="1"/>
  <c r="AD212" i="6" a="1"/>
  <c r="AD212" i="6" s="1"/>
  <c r="AC212" i="6" a="1"/>
  <c r="AC212" i="6" s="1"/>
  <c r="AB212" i="6" a="1"/>
  <c r="AB212" i="6" s="1"/>
  <c r="AA212" i="6" a="1"/>
  <c r="AA212" i="6" s="1"/>
  <c r="Z212" i="6" a="1"/>
  <c r="Z212" i="6" s="1"/>
  <c r="Y212" i="6"/>
  <c r="Y212" i="6" a="1"/>
  <c r="X212" i="6" a="1"/>
  <c r="X212" i="6" s="1"/>
  <c r="W212" i="6" a="1"/>
  <c r="W212" i="6" s="1"/>
  <c r="V212" i="6" a="1"/>
  <c r="V212" i="6" s="1"/>
  <c r="U212" i="6" a="1"/>
  <c r="U212" i="6" s="1"/>
  <c r="T212" i="6"/>
  <c r="T212" i="6" a="1"/>
  <c r="S212" i="6" a="1"/>
  <c r="S212" i="6" s="1"/>
  <c r="R212" i="6" a="1"/>
  <c r="R212" i="6" s="1"/>
  <c r="Q212" i="6" a="1"/>
  <c r="Q212" i="6" s="1"/>
  <c r="P212" i="6" a="1"/>
  <c r="P212" i="6" s="1"/>
  <c r="O212" i="6"/>
  <c r="O212" i="6" a="1"/>
  <c r="N212" i="6" a="1"/>
  <c r="N212" i="6" s="1"/>
  <c r="M212" i="6"/>
  <c r="M212" i="6" a="1"/>
  <c r="L212" i="6" a="1"/>
  <c r="L212" i="6" s="1"/>
  <c r="K212" i="6"/>
  <c r="K212" i="6" a="1"/>
  <c r="J212" i="6" a="1"/>
  <c r="J212" i="6" s="1"/>
  <c r="I212" i="6" a="1"/>
  <c r="I212" i="6" s="1"/>
  <c r="H212" i="6" a="1"/>
  <c r="H212" i="6" s="1"/>
  <c r="G212" i="6" a="1"/>
  <c r="G212" i="6" s="1"/>
  <c r="F212" i="6" a="1"/>
  <c r="F212" i="6" s="1"/>
  <c r="E212" i="6" a="1"/>
  <c r="E212" i="6" s="1"/>
  <c r="D212" i="6" a="1"/>
  <c r="D212" i="6" s="1"/>
  <c r="AH211" i="6" a="1"/>
  <c r="AH211" i="6" s="1"/>
  <c r="AG211" i="6" a="1"/>
  <c r="AG211" i="6" s="1"/>
  <c r="AF211" i="6"/>
  <c r="AF211" i="6" a="1"/>
  <c r="AE211" i="6" a="1"/>
  <c r="AE211" i="6" s="1"/>
  <c r="AD211" i="6"/>
  <c r="AD211" i="6" a="1"/>
  <c r="AC211" i="6" a="1"/>
  <c r="AC211" i="6" s="1"/>
  <c r="AB211" i="6"/>
  <c r="AB211" i="6" a="1"/>
  <c r="AA211" i="6" a="1"/>
  <c r="AA211" i="6" s="1"/>
  <c r="Z211" i="6" a="1"/>
  <c r="Z211" i="6" s="1"/>
  <c r="Y211" i="6" a="1"/>
  <c r="Y211" i="6" s="1"/>
  <c r="X211" i="6" a="1"/>
  <c r="X211" i="6" s="1"/>
  <c r="W211" i="6"/>
  <c r="W211" i="6" a="1"/>
  <c r="V211" i="6" a="1"/>
  <c r="V211" i="6" s="1"/>
  <c r="U211" i="6" a="1"/>
  <c r="U211" i="6" s="1"/>
  <c r="T211" i="6" a="1"/>
  <c r="T211" i="6" s="1"/>
  <c r="S211" i="6" a="1"/>
  <c r="S211" i="6" s="1"/>
  <c r="R211" i="6"/>
  <c r="R211" i="6" a="1"/>
  <c r="Q211" i="6" a="1"/>
  <c r="Q211" i="6" s="1"/>
  <c r="P211" i="6"/>
  <c r="P211" i="6" a="1"/>
  <c r="O211" i="6" a="1"/>
  <c r="O211" i="6" s="1"/>
  <c r="N211" i="6" a="1"/>
  <c r="N211" i="6" s="1"/>
  <c r="M211" i="6" a="1"/>
  <c r="M211" i="6" s="1"/>
  <c r="L211" i="6" a="1"/>
  <c r="L211" i="6" s="1"/>
  <c r="K211" i="6" a="1"/>
  <c r="K211" i="6" s="1"/>
  <c r="J211" i="6" a="1"/>
  <c r="J211" i="6" s="1"/>
  <c r="I211" i="6" a="1"/>
  <c r="I211" i="6" s="1"/>
  <c r="H211" i="6" a="1"/>
  <c r="H211" i="6" s="1"/>
  <c r="G211" i="6"/>
  <c r="G211" i="6" a="1"/>
  <c r="F211" i="6" a="1"/>
  <c r="F211" i="6" s="1"/>
  <c r="E211" i="6" a="1"/>
  <c r="E211" i="6" s="1"/>
  <c r="D211" i="6" a="1"/>
  <c r="D211" i="6" s="1"/>
  <c r="AH210" i="6" a="1"/>
  <c r="AH210" i="6" s="1"/>
  <c r="AG210" i="6"/>
  <c r="AG210" i="6" a="1"/>
  <c r="AF210" i="6" a="1"/>
  <c r="AF210" i="6" s="1"/>
  <c r="AE210" i="6" a="1"/>
  <c r="AE210" i="6" s="1"/>
  <c r="AD210" i="6" a="1"/>
  <c r="AD210" i="6" s="1"/>
  <c r="AC210" i="6" a="1"/>
  <c r="AC210" i="6" s="1"/>
  <c r="AB210" i="6"/>
  <c r="AB210" i="6" a="1"/>
  <c r="AA210" i="6" a="1"/>
  <c r="AA210" i="6" s="1"/>
  <c r="Z210" i="6"/>
  <c r="Z210" i="6" a="1"/>
  <c r="Y210" i="6" a="1"/>
  <c r="Y210" i="6" s="1"/>
  <c r="X210" i="6"/>
  <c r="X210" i="6" a="1"/>
  <c r="W210" i="6" a="1"/>
  <c r="W210" i="6" s="1"/>
  <c r="V210" i="6" a="1"/>
  <c r="V210" i="6" s="1"/>
  <c r="U210" i="6" a="1"/>
  <c r="U210" i="6" s="1"/>
  <c r="T210" i="6" a="1"/>
  <c r="T210" i="6" s="1"/>
  <c r="S210" i="6" a="1"/>
  <c r="S210" i="6" s="1"/>
  <c r="R210" i="6" a="1"/>
  <c r="R210" i="6" s="1"/>
  <c r="Q210" i="6" a="1"/>
  <c r="Q210" i="6" s="1"/>
  <c r="P210" i="6" a="1"/>
  <c r="P210" i="6" s="1"/>
  <c r="O210" i="6" a="1"/>
  <c r="O210" i="6" s="1"/>
  <c r="N210" i="6"/>
  <c r="N210" i="6" a="1"/>
  <c r="M210" i="6" a="1"/>
  <c r="M210" i="6" s="1"/>
  <c r="L210" i="6"/>
  <c r="L210" i="6" a="1"/>
  <c r="K210" i="6" a="1"/>
  <c r="K210" i="6" s="1"/>
  <c r="J210" i="6"/>
  <c r="J210" i="6" a="1"/>
  <c r="I210" i="6" a="1"/>
  <c r="I210" i="6" s="1"/>
  <c r="H210" i="6" a="1"/>
  <c r="H210" i="6" s="1"/>
  <c r="G210" i="6" a="1"/>
  <c r="G210" i="6" s="1"/>
  <c r="F210" i="6" a="1"/>
  <c r="F210" i="6" s="1"/>
  <c r="E210" i="6"/>
  <c r="E210" i="6" a="1"/>
  <c r="D210" i="6" a="1"/>
  <c r="D210" i="6" s="1"/>
  <c r="AH209" i="6" a="1"/>
  <c r="AH209" i="6" s="1"/>
  <c r="AG209" i="6" a="1"/>
  <c r="AG209" i="6" s="1"/>
  <c r="AF209" i="6" a="1"/>
  <c r="AF209" i="6" s="1"/>
  <c r="AE209" i="6"/>
  <c r="AE209" i="6" a="1"/>
  <c r="AD209" i="6" a="1"/>
  <c r="AD209" i="6" s="1"/>
  <c r="AC209" i="6"/>
  <c r="AC209" i="6" a="1"/>
  <c r="AB209" i="6" a="1"/>
  <c r="AB209" i="6" s="1"/>
  <c r="AA209" i="6" a="1"/>
  <c r="AA209" i="6" s="1"/>
  <c r="Z209" i="6" a="1"/>
  <c r="Z209" i="6" s="1"/>
  <c r="Y209" i="6" a="1"/>
  <c r="Y209" i="6" s="1"/>
  <c r="X209" i="6" a="1"/>
  <c r="X209" i="6" s="1"/>
  <c r="W209" i="6" a="1"/>
  <c r="W209" i="6" s="1"/>
  <c r="V209" i="6" a="1"/>
  <c r="V209" i="6" s="1"/>
  <c r="U209" i="6" a="1"/>
  <c r="U209" i="6" s="1"/>
  <c r="T209" i="6"/>
  <c r="T209" i="6" a="1"/>
  <c r="S209" i="6" a="1"/>
  <c r="S209" i="6" s="1"/>
  <c r="R209" i="6" a="1"/>
  <c r="R209" i="6" s="1"/>
  <c r="Q209" i="6" a="1"/>
  <c r="Q209" i="6" s="1"/>
  <c r="P209" i="6" a="1"/>
  <c r="P209" i="6" s="1"/>
  <c r="O209" i="6"/>
  <c r="O209" i="6" a="1"/>
  <c r="N209" i="6" a="1"/>
  <c r="N209" i="6" s="1"/>
  <c r="M209" i="6" a="1"/>
  <c r="M209" i="6" s="1"/>
  <c r="L209" i="6" a="1"/>
  <c r="L209" i="6" s="1"/>
  <c r="K209" i="6" a="1"/>
  <c r="K209" i="6" s="1"/>
  <c r="J209" i="6"/>
  <c r="J209" i="6" a="1"/>
  <c r="I209" i="6" a="1"/>
  <c r="I209" i="6" s="1"/>
  <c r="H209" i="6"/>
  <c r="H209" i="6" a="1"/>
  <c r="G209" i="6" a="1"/>
  <c r="G209" i="6" s="1"/>
  <c r="F209" i="6"/>
  <c r="F209" i="6" a="1"/>
  <c r="E209" i="6" a="1"/>
  <c r="E209" i="6" s="1"/>
  <c r="D209" i="6" a="1"/>
  <c r="D209" i="6" s="1"/>
  <c r="AH208" i="6" a="1"/>
  <c r="AH208" i="6" s="1"/>
  <c r="AG208" i="6" a="1"/>
  <c r="AG208" i="6" s="1"/>
  <c r="AF208" i="6" a="1"/>
  <c r="AF208" i="6" s="1"/>
  <c r="AE208" i="6" a="1"/>
  <c r="AE208" i="6" s="1"/>
  <c r="AD208" i="6" a="1"/>
  <c r="AD208" i="6" s="1"/>
  <c r="AC208" i="6" a="1"/>
  <c r="AC208" i="6" s="1"/>
  <c r="AB208" i="6" a="1"/>
  <c r="AB208" i="6" s="1"/>
  <c r="AA208" i="6"/>
  <c r="AA208" i="6" a="1"/>
  <c r="Z208" i="6" a="1"/>
  <c r="Z208" i="6" s="1"/>
  <c r="Y208" i="6"/>
  <c r="Y208" i="6" a="1"/>
  <c r="X208" i="6" a="1"/>
  <c r="X208" i="6" s="1"/>
  <c r="W208" i="6"/>
  <c r="W208" i="6" a="1"/>
  <c r="V208" i="6" a="1"/>
  <c r="V208" i="6" s="1"/>
  <c r="U208" i="6" a="1"/>
  <c r="U208" i="6" s="1"/>
  <c r="T208" i="6" a="1"/>
  <c r="T208" i="6" s="1"/>
  <c r="S208" i="6" a="1"/>
  <c r="S208" i="6" s="1"/>
  <c r="R208" i="6" a="1"/>
  <c r="R208" i="6" s="1"/>
  <c r="Q208" i="6" a="1"/>
  <c r="Q208" i="6" s="1"/>
  <c r="P208" i="6" a="1"/>
  <c r="P208" i="6" s="1"/>
  <c r="O208" i="6" a="1"/>
  <c r="O208" i="6" s="1"/>
  <c r="N208" i="6" a="1"/>
  <c r="N208" i="6" s="1"/>
  <c r="M208" i="6"/>
  <c r="M208" i="6" a="1"/>
  <c r="L208" i="6" a="1"/>
  <c r="L208" i="6" s="1"/>
  <c r="K208" i="6"/>
  <c r="K208" i="6" a="1"/>
  <c r="J208" i="6" a="1"/>
  <c r="J208" i="6" s="1"/>
  <c r="I208" i="6" a="1"/>
  <c r="I208" i="6" s="1"/>
  <c r="H208" i="6" a="1"/>
  <c r="H208" i="6" s="1"/>
  <c r="G208" i="6" a="1"/>
  <c r="G208" i="6" s="1"/>
  <c r="F208" i="6" a="1"/>
  <c r="F208" i="6" s="1"/>
  <c r="E208" i="6" a="1"/>
  <c r="E208" i="6" s="1"/>
  <c r="D208" i="6" a="1"/>
  <c r="D208" i="6" s="1"/>
  <c r="AH207" i="6" a="1"/>
  <c r="AH207" i="6" s="1"/>
  <c r="AG207" i="6"/>
  <c r="AG207" i="6" a="1"/>
  <c r="AF207" i="6" a="1"/>
  <c r="AF207" i="6" s="1"/>
  <c r="AE207" i="6" a="1"/>
  <c r="AE207" i="6" s="1"/>
  <c r="AD207" i="6"/>
  <c r="AD207" i="6" a="1"/>
  <c r="AC207" i="6" a="1"/>
  <c r="AC207" i="6" s="1"/>
  <c r="AB207" i="6"/>
  <c r="AB207" i="6" a="1"/>
  <c r="AA207" i="6" a="1"/>
  <c r="AA207" i="6" s="1"/>
  <c r="Z207" i="6"/>
  <c r="Z207" i="6" a="1"/>
  <c r="Y207" i="6" a="1"/>
  <c r="Y207" i="6" s="1"/>
  <c r="X207" i="6" a="1"/>
  <c r="X207" i="6" s="1"/>
  <c r="W207" i="6" a="1"/>
  <c r="W207" i="6" s="1"/>
  <c r="V207" i="6" a="1"/>
  <c r="V207" i="6" s="1"/>
  <c r="U207" i="6" a="1"/>
  <c r="U207" i="6" s="1"/>
  <c r="T207" i="6" a="1"/>
  <c r="T207" i="6" s="1"/>
  <c r="S207" i="6"/>
  <c r="S207" i="6" a="1"/>
  <c r="R207" i="6" a="1"/>
  <c r="R207" i="6" s="1"/>
  <c r="Q207" i="6" a="1"/>
  <c r="Q207" i="6" s="1"/>
  <c r="P207" i="6"/>
  <c r="P207" i="6" a="1"/>
  <c r="O207" i="6" a="1"/>
  <c r="O207" i="6" s="1"/>
  <c r="N207" i="6" a="1"/>
  <c r="N207" i="6" s="1"/>
  <c r="M207" i="6" a="1"/>
  <c r="M207" i="6" s="1"/>
  <c r="L207" i="6" a="1"/>
  <c r="L207" i="6" s="1"/>
  <c r="K207" i="6" a="1"/>
  <c r="K207" i="6" s="1"/>
  <c r="J207" i="6" a="1"/>
  <c r="J207" i="6" s="1"/>
  <c r="I207" i="6"/>
  <c r="I207" i="6" a="1"/>
  <c r="H207" i="6" a="1"/>
  <c r="H207" i="6" s="1"/>
  <c r="G207" i="6" a="1"/>
  <c r="G207" i="6" s="1"/>
  <c r="F207" i="6" a="1"/>
  <c r="F207" i="6" s="1"/>
  <c r="E207" i="6"/>
  <c r="E207" i="6" a="1"/>
  <c r="D207" i="6" a="1"/>
  <c r="D207" i="6" s="1"/>
  <c r="AH206" i="6" a="1"/>
  <c r="AH206" i="6" s="1"/>
  <c r="AG206" i="6" a="1"/>
  <c r="AG206" i="6" s="1"/>
  <c r="AF206" i="6" a="1"/>
  <c r="AF206" i="6" s="1"/>
  <c r="AE206" i="6" a="1"/>
  <c r="AE206" i="6" s="1"/>
  <c r="AD206" i="6" a="1"/>
  <c r="AD206" i="6" s="1"/>
  <c r="AC206" i="6" a="1"/>
  <c r="AC206" i="6" s="1"/>
  <c r="AB206" i="6" a="1"/>
  <c r="AB206" i="6" s="1"/>
  <c r="AA206" i="6" a="1"/>
  <c r="AA206" i="6" s="1"/>
  <c r="Z206" i="6" a="1"/>
  <c r="Z206" i="6" s="1"/>
  <c r="Y206" i="6" a="1"/>
  <c r="Y206" i="6" s="1"/>
  <c r="X206" i="6"/>
  <c r="X206" i="6" a="1"/>
  <c r="W206" i="6" a="1"/>
  <c r="W206" i="6" s="1"/>
  <c r="V206" i="6" a="1"/>
  <c r="V206" i="6" s="1"/>
  <c r="U206" i="6" a="1"/>
  <c r="U206" i="6" s="1"/>
  <c r="T206" i="6" a="1"/>
  <c r="T206" i="6" s="1"/>
  <c r="S206" i="6" a="1"/>
  <c r="S206" i="6" s="1"/>
  <c r="R206" i="6" a="1"/>
  <c r="R206" i="6" s="1"/>
  <c r="Q206" i="6"/>
  <c r="Q206" i="6" a="1"/>
  <c r="P206" i="6" a="1"/>
  <c r="P206" i="6" s="1"/>
  <c r="O206" i="6" a="1"/>
  <c r="O206" i="6" s="1"/>
  <c r="N206" i="6" a="1"/>
  <c r="N206" i="6" s="1"/>
  <c r="M206" i="6" a="1"/>
  <c r="M206" i="6" s="1"/>
  <c r="L206" i="6" a="1"/>
  <c r="L206" i="6" s="1"/>
  <c r="K206" i="6" a="1"/>
  <c r="K206" i="6" s="1"/>
  <c r="J206" i="6"/>
  <c r="J206" i="6" a="1"/>
  <c r="I206" i="6" a="1"/>
  <c r="I206" i="6" s="1"/>
  <c r="H206" i="6"/>
  <c r="H206" i="6" a="1"/>
  <c r="G206" i="6" a="1"/>
  <c r="G206" i="6" s="1"/>
  <c r="F206" i="6" a="1"/>
  <c r="F206" i="6" s="1"/>
  <c r="E206" i="6" a="1"/>
  <c r="E206" i="6" s="1"/>
  <c r="D206" i="6" a="1"/>
  <c r="D206" i="6" s="1"/>
  <c r="AH205" i="6"/>
  <c r="AH205" i="6" a="1"/>
  <c r="AG205" i="6" a="1"/>
  <c r="AG205" i="6" s="1"/>
  <c r="AF205" i="6"/>
  <c r="AF205" i="6" a="1"/>
  <c r="AE205" i="6" a="1"/>
  <c r="AE205" i="6" s="1"/>
  <c r="AD205" i="6" a="1"/>
  <c r="AD205" i="6" s="1"/>
  <c r="AC205" i="6"/>
  <c r="AC205" i="6" a="1"/>
  <c r="AB205" i="6" a="1"/>
  <c r="AB205" i="6" s="1"/>
  <c r="AA205" i="6"/>
  <c r="AA205" i="6" a="1"/>
  <c r="Z205" i="6" a="1"/>
  <c r="Z205" i="6" s="1"/>
  <c r="Y205" i="6" a="1"/>
  <c r="Y205" i="6" s="1"/>
  <c r="X205" i="6" a="1"/>
  <c r="X205" i="6" s="1"/>
  <c r="W205" i="6" a="1"/>
  <c r="W205" i="6" s="1"/>
  <c r="V205" i="6"/>
  <c r="V205" i="6" a="1"/>
  <c r="U205" i="6" a="1"/>
  <c r="U205" i="6" s="1"/>
  <c r="T205" i="6"/>
  <c r="T205" i="6" a="1"/>
  <c r="S205" i="6" a="1"/>
  <c r="S205" i="6" s="1"/>
  <c r="R205" i="6" a="1"/>
  <c r="R205" i="6" s="1"/>
  <c r="Q205" i="6" a="1"/>
  <c r="Q205" i="6" s="1"/>
  <c r="P205" i="6" a="1"/>
  <c r="P205" i="6" s="1"/>
  <c r="O205" i="6" a="1"/>
  <c r="O205" i="6" s="1"/>
  <c r="N205" i="6" a="1"/>
  <c r="N205" i="6" s="1"/>
  <c r="M205" i="6" a="1"/>
  <c r="M205" i="6" s="1"/>
  <c r="L205" i="6" a="1"/>
  <c r="L205" i="6" s="1"/>
  <c r="K205" i="6" a="1"/>
  <c r="K205" i="6" s="1"/>
  <c r="J205" i="6" a="1"/>
  <c r="J205" i="6" s="1"/>
  <c r="I205" i="6" a="1"/>
  <c r="I205" i="6" s="1"/>
  <c r="H205" i="6"/>
  <c r="H205" i="6" a="1"/>
  <c r="G205" i="6" a="1"/>
  <c r="G205" i="6" s="1"/>
  <c r="F205" i="6" a="1"/>
  <c r="F205" i="6" s="1"/>
  <c r="E205" i="6" a="1"/>
  <c r="E205" i="6" s="1"/>
  <c r="D205" i="6"/>
  <c r="D205" i="6" a="1"/>
  <c r="AH204" i="6" a="1"/>
  <c r="AH204" i="6" s="1"/>
  <c r="AG204" i="6" a="1"/>
  <c r="AG204" i="6" s="1"/>
  <c r="AF204" i="6" a="1"/>
  <c r="AF204" i="6" s="1"/>
  <c r="AE204" i="6" a="1"/>
  <c r="AE204" i="6" s="1"/>
  <c r="AD204" i="6"/>
  <c r="AD204" i="6" a="1"/>
  <c r="AC204" i="6" a="1"/>
  <c r="AC204" i="6" s="1"/>
  <c r="AB204" i="6" a="1"/>
  <c r="AB204" i="6" s="1"/>
  <c r="AA204" i="6" a="1"/>
  <c r="AA204" i="6" s="1"/>
  <c r="Z204" i="6" a="1"/>
  <c r="Z204" i="6" s="1"/>
  <c r="Y204" i="6" a="1"/>
  <c r="Y204" i="6" s="1"/>
  <c r="X204" i="6" a="1"/>
  <c r="X204" i="6" s="1"/>
  <c r="W204" i="6" a="1"/>
  <c r="W204" i="6" s="1"/>
  <c r="V204" i="6"/>
  <c r="V204" i="6" a="1"/>
  <c r="U204" i="6"/>
  <c r="U204" i="6" a="1"/>
  <c r="T204" i="6"/>
  <c r="T204" i="6" a="1"/>
  <c r="S204" i="6"/>
  <c r="S204" i="6" a="1"/>
  <c r="R204" i="6"/>
  <c r="R204" i="6" a="1"/>
  <c r="Q204" i="6" a="1"/>
  <c r="Q204" i="6" s="1"/>
  <c r="P204" i="6" a="1"/>
  <c r="P204" i="6" s="1"/>
  <c r="O204" i="6" a="1"/>
  <c r="O204" i="6" s="1"/>
  <c r="N204" i="6"/>
  <c r="N204" i="6" a="1"/>
  <c r="M204" i="6" a="1"/>
  <c r="M204" i="6" s="1"/>
  <c r="L204" i="6" a="1"/>
  <c r="L204" i="6" s="1"/>
  <c r="K204" i="6" a="1"/>
  <c r="K204" i="6" s="1"/>
  <c r="J204" i="6" a="1"/>
  <c r="J204" i="6" s="1"/>
  <c r="I204" i="6" a="1"/>
  <c r="I204" i="6" s="1"/>
  <c r="H204" i="6" a="1"/>
  <c r="H204" i="6" s="1"/>
  <c r="G204" i="6"/>
  <c r="G204" i="6" a="1"/>
  <c r="F204" i="6"/>
  <c r="F204" i="6" a="1"/>
  <c r="E204" i="6"/>
  <c r="E204" i="6" a="1"/>
  <c r="D204" i="6"/>
  <c r="D204" i="6" a="1"/>
  <c r="AH203" i="6" a="1"/>
  <c r="AH203" i="6" s="1"/>
  <c r="AG203" i="6" a="1"/>
  <c r="AG203" i="6" s="1"/>
  <c r="AF203" i="6"/>
  <c r="AF203" i="6" a="1"/>
  <c r="AE203" i="6" a="1"/>
  <c r="AE203" i="6" s="1"/>
  <c r="AD203" i="6"/>
  <c r="AD203" i="6" a="1"/>
  <c r="AC203" i="6" a="1"/>
  <c r="AC203" i="6" s="1"/>
  <c r="AB203" i="6" a="1"/>
  <c r="AB203" i="6" s="1"/>
  <c r="AA203" i="6" a="1"/>
  <c r="AA203" i="6" s="1"/>
  <c r="Z203" i="6"/>
  <c r="Z203" i="6" a="1"/>
  <c r="Y203" i="6" a="1"/>
  <c r="Y203" i="6" s="1"/>
  <c r="X203" i="6" a="1"/>
  <c r="X203" i="6" s="1"/>
  <c r="W203" i="6"/>
  <c r="W203" i="6" a="1"/>
  <c r="V203" i="6"/>
  <c r="V203" i="6" a="1"/>
  <c r="U203" i="6"/>
  <c r="U203" i="6" a="1"/>
  <c r="T203" i="6" a="1"/>
  <c r="T203" i="6" s="1"/>
  <c r="S203" i="6" a="1"/>
  <c r="S203" i="6" s="1"/>
  <c r="R203" i="6" a="1"/>
  <c r="R203" i="6" s="1"/>
  <c r="Q203" i="6"/>
  <c r="Q203" i="6" a="1"/>
  <c r="P203" i="6" a="1"/>
  <c r="P203" i="6" s="1"/>
  <c r="O203" i="6"/>
  <c r="O203" i="6" a="1"/>
  <c r="N203" i="6" a="1"/>
  <c r="N203" i="6" s="1"/>
  <c r="M203" i="6" a="1"/>
  <c r="M203" i="6" s="1"/>
  <c r="L203" i="6"/>
  <c r="L203" i="6" a="1"/>
  <c r="K203" i="6"/>
  <c r="K203" i="6" a="1"/>
  <c r="J203" i="6" a="1"/>
  <c r="J203" i="6" s="1"/>
  <c r="I203" i="6" a="1"/>
  <c r="I203" i="6" s="1"/>
  <c r="H203" i="6"/>
  <c r="H203" i="6" a="1"/>
  <c r="G203" i="6"/>
  <c r="G203" i="6" a="1"/>
  <c r="F203" i="6" a="1"/>
  <c r="F203" i="6" s="1"/>
  <c r="E203" i="6" a="1"/>
  <c r="E203" i="6" s="1"/>
  <c r="D203" i="6" a="1"/>
  <c r="D203" i="6" s="1"/>
  <c r="AH202" i="6" a="1"/>
  <c r="AH202" i="6" s="1"/>
  <c r="AG202" i="6"/>
  <c r="AG202" i="6" a="1"/>
  <c r="AF202" i="6" a="1"/>
  <c r="AF202" i="6" s="1"/>
  <c r="AE202" i="6"/>
  <c r="AE202" i="6" a="1"/>
  <c r="AD202" i="6" a="1"/>
  <c r="AD202" i="6" s="1"/>
  <c r="AC202" i="6"/>
  <c r="AC202" i="6" a="1"/>
  <c r="AB202" i="6"/>
  <c r="AB202" i="6" a="1"/>
  <c r="AA202" i="6"/>
  <c r="AA202" i="6" a="1"/>
  <c r="Z202" i="6" a="1"/>
  <c r="Z202" i="6" s="1"/>
  <c r="Y202" i="6" a="1"/>
  <c r="Y202" i="6" s="1"/>
  <c r="X202" i="6"/>
  <c r="X202" i="6" a="1"/>
  <c r="W202" i="6" a="1"/>
  <c r="W202" i="6" s="1"/>
  <c r="V202" i="6" a="1"/>
  <c r="V202" i="6" s="1"/>
  <c r="U202" i="6" a="1"/>
  <c r="U202" i="6" s="1"/>
  <c r="T202" i="6" a="1"/>
  <c r="T202" i="6" s="1"/>
  <c r="S202" i="6" a="1"/>
  <c r="S202" i="6" s="1"/>
  <c r="R202" i="6"/>
  <c r="R202" i="6" a="1"/>
  <c r="Q202" i="6" a="1"/>
  <c r="Q202" i="6" s="1"/>
  <c r="P202" i="6" a="1"/>
  <c r="P202" i="6" s="1"/>
  <c r="O202" i="6" a="1"/>
  <c r="O202" i="6" s="1"/>
  <c r="N202" i="6"/>
  <c r="N202" i="6" a="1"/>
  <c r="M202" i="6"/>
  <c r="M202" i="6" a="1"/>
  <c r="L202" i="6"/>
  <c r="L202" i="6" a="1"/>
  <c r="K202" i="6" a="1"/>
  <c r="K202" i="6" s="1"/>
  <c r="J202" i="6" a="1"/>
  <c r="J202" i="6" s="1"/>
  <c r="I202" i="6" a="1"/>
  <c r="I202" i="6" s="1"/>
  <c r="H202" i="6" a="1"/>
  <c r="H202" i="6" s="1"/>
  <c r="G202" i="6" a="1"/>
  <c r="G202" i="6" s="1"/>
  <c r="F202" i="6" a="1"/>
  <c r="F202" i="6" s="1"/>
  <c r="E202" i="6" a="1"/>
  <c r="E202" i="6" s="1"/>
  <c r="D202" i="6" a="1"/>
  <c r="D202" i="6" s="1"/>
  <c r="AH201" i="6"/>
  <c r="AH201" i="6" a="1"/>
  <c r="AG201" i="6" a="1"/>
  <c r="AG201" i="6" s="1"/>
  <c r="AF201" i="6"/>
  <c r="AF201" i="6" a="1"/>
  <c r="AE201" i="6"/>
  <c r="AE201" i="6" a="1"/>
  <c r="AD201" i="6"/>
  <c r="AD201" i="6" a="1"/>
  <c r="AC201" i="6"/>
  <c r="AC201" i="6" a="1"/>
  <c r="AB201" i="6"/>
  <c r="AB201" i="6" a="1"/>
  <c r="AA201" i="6"/>
  <c r="AA201" i="6" a="1"/>
  <c r="Z201" i="6" a="1"/>
  <c r="Z201" i="6" s="1"/>
  <c r="Y201" i="6" a="1"/>
  <c r="Y201" i="6" s="1"/>
  <c r="X201" i="6" a="1"/>
  <c r="X201" i="6" s="1"/>
  <c r="W201" i="6" a="1"/>
  <c r="W201" i="6" s="1"/>
  <c r="V201" i="6" a="1"/>
  <c r="V201" i="6" s="1"/>
  <c r="U201" i="6" a="1"/>
  <c r="U201" i="6" s="1"/>
  <c r="T201" i="6" a="1"/>
  <c r="T201" i="6" s="1"/>
  <c r="S201" i="6" a="1"/>
  <c r="S201" i="6" s="1"/>
  <c r="R201" i="6" a="1"/>
  <c r="R201" i="6" s="1"/>
  <c r="Q201" i="6"/>
  <c r="Q201" i="6" a="1"/>
  <c r="P201" i="6"/>
  <c r="P201" i="6" a="1"/>
  <c r="O201" i="6"/>
  <c r="O201" i="6" a="1"/>
  <c r="N201" i="6"/>
  <c r="N201" i="6" a="1"/>
  <c r="M201" i="6"/>
  <c r="M201" i="6" a="1"/>
  <c r="L201" i="6" a="1"/>
  <c r="L201" i="6" s="1"/>
  <c r="K201" i="6"/>
  <c r="K201" i="6" a="1"/>
  <c r="J201" i="6" a="1"/>
  <c r="J201" i="6" s="1"/>
  <c r="I201" i="6" a="1"/>
  <c r="I201" i="6" s="1"/>
  <c r="H201" i="6" a="1"/>
  <c r="H201" i="6" s="1"/>
  <c r="G201" i="6" a="1"/>
  <c r="G201" i="6" s="1"/>
  <c r="F201" i="6" a="1"/>
  <c r="F201" i="6" s="1"/>
  <c r="E201" i="6" a="1"/>
  <c r="E201" i="6" s="1"/>
  <c r="D201" i="6" a="1"/>
  <c r="D201" i="6" s="1"/>
  <c r="AH200" i="6" a="1"/>
  <c r="AH200" i="6" s="1"/>
  <c r="AG200" i="6"/>
  <c r="AG200" i="6" a="1"/>
  <c r="AF200" i="6"/>
  <c r="AF200" i="6" a="1"/>
  <c r="AE200" i="6"/>
  <c r="AE200" i="6" a="1"/>
  <c r="AD200" i="6"/>
  <c r="AD200" i="6" a="1"/>
  <c r="AC200" i="6" a="1"/>
  <c r="AC200" i="6" s="1"/>
  <c r="AB200" i="6" a="1"/>
  <c r="AB200" i="6" s="1"/>
  <c r="AA200" i="6"/>
  <c r="AA200" i="6" a="1"/>
  <c r="Z200" i="6" a="1"/>
  <c r="Z200" i="6" s="1"/>
  <c r="Y200" i="6" a="1"/>
  <c r="Y200" i="6" s="1"/>
  <c r="X200" i="6" a="1"/>
  <c r="X200" i="6" s="1"/>
  <c r="W200" i="6" a="1"/>
  <c r="W200" i="6" s="1"/>
  <c r="V200" i="6" a="1"/>
  <c r="V200" i="6" s="1"/>
  <c r="U200" i="6"/>
  <c r="U200" i="6" a="1"/>
  <c r="T200" i="6" a="1"/>
  <c r="T200" i="6" s="1"/>
  <c r="S200" i="6" a="1"/>
  <c r="S200" i="6" s="1"/>
  <c r="R200" i="6"/>
  <c r="R200" i="6" a="1"/>
  <c r="Q200" i="6"/>
  <c r="Q200" i="6" a="1"/>
  <c r="P200" i="6"/>
  <c r="P200" i="6" a="1"/>
  <c r="O200" i="6" a="1"/>
  <c r="O200" i="6" s="1"/>
  <c r="N200" i="6" a="1"/>
  <c r="N200" i="6" s="1"/>
  <c r="M200" i="6" a="1"/>
  <c r="M200" i="6" s="1"/>
  <c r="L200" i="6"/>
  <c r="L200" i="6" a="1"/>
  <c r="K200" i="6" a="1"/>
  <c r="K200" i="6" s="1"/>
  <c r="J200" i="6" a="1"/>
  <c r="J200" i="6" s="1"/>
  <c r="I200" i="6" a="1"/>
  <c r="I200" i="6" s="1"/>
  <c r="H200" i="6" a="1"/>
  <c r="H200" i="6" s="1"/>
  <c r="G200" i="6"/>
  <c r="G200" i="6" a="1"/>
  <c r="F200" i="6"/>
  <c r="F200" i="6" a="1"/>
  <c r="E200" i="6" a="1"/>
  <c r="E200" i="6" s="1"/>
  <c r="D200" i="6" a="1"/>
  <c r="D200" i="6" s="1"/>
  <c r="AH199" i="6"/>
  <c r="AH199" i="6" a="1"/>
  <c r="AG199" i="6"/>
  <c r="AG199" i="6" a="1"/>
  <c r="AF199" i="6" a="1"/>
  <c r="AF199" i="6" s="1"/>
  <c r="AE199" i="6" a="1"/>
  <c r="AE199" i="6" s="1"/>
  <c r="AD199" i="6" a="1"/>
  <c r="AD199" i="6" s="1"/>
  <c r="AC199" i="6" a="1"/>
  <c r="AC199" i="6" s="1"/>
  <c r="AB199" i="6"/>
  <c r="AB199" i="6" a="1"/>
  <c r="AA199" i="6" a="1"/>
  <c r="AA199" i="6" s="1"/>
  <c r="Z199" i="6" a="1"/>
  <c r="Z199" i="6" s="1"/>
  <c r="Y199" i="6" a="1"/>
  <c r="Y199" i="6" s="1"/>
  <c r="X199" i="6"/>
  <c r="X199" i="6" a="1"/>
  <c r="W199" i="6"/>
  <c r="W199" i="6" a="1"/>
  <c r="V199" i="6"/>
  <c r="V199" i="6" a="1"/>
  <c r="U199" i="6" a="1"/>
  <c r="U199" i="6" s="1"/>
  <c r="T199" i="6" a="1"/>
  <c r="T199" i="6" s="1"/>
  <c r="S199" i="6"/>
  <c r="S199" i="6" a="1"/>
  <c r="R199" i="6" a="1"/>
  <c r="R199" i="6" s="1"/>
  <c r="Q199" i="6" a="1"/>
  <c r="Q199" i="6" s="1"/>
  <c r="P199" i="6" a="1"/>
  <c r="P199" i="6" s="1"/>
  <c r="O199" i="6" a="1"/>
  <c r="O199" i="6" s="1"/>
  <c r="N199" i="6" a="1"/>
  <c r="N199" i="6" s="1"/>
  <c r="M199" i="6"/>
  <c r="M199" i="6" a="1"/>
  <c r="L199" i="6" a="1"/>
  <c r="L199" i="6" s="1"/>
  <c r="K199" i="6" a="1"/>
  <c r="K199" i="6" s="1"/>
  <c r="J199" i="6"/>
  <c r="J199" i="6" a="1"/>
  <c r="I199" i="6"/>
  <c r="I199" i="6" a="1"/>
  <c r="H199" i="6"/>
  <c r="H199" i="6" a="1"/>
  <c r="G199" i="6"/>
  <c r="G199" i="6" a="1"/>
  <c r="F199" i="6"/>
  <c r="F199" i="6" a="1"/>
  <c r="E199" i="6" a="1"/>
  <c r="E199" i="6" s="1"/>
  <c r="D199" i="6" a="1"/>
  <c r="D199" i="6" s="1"/>
  <c r="AH198" i="6" a="1"/>
  <c r="AH198" i="6" s="1"/>
  <c r="AG198" i="6" a="1"/>
  <c r="AG198" i="6" s="1"/>
  <c r="AF198" i="6" a="1"/>
  <c r="AF198" i="6" s="1"/>
  <c r="AE198" i="6" a="1"/>
  <c r="AE198" i="6" s="1"/>
  <c r="AD198" i="6" a="1"/>
  <c r="AD198" i="6" s="1"/>
  <c r="AC198" i="6"/>
  <c r="AC198" i="6" a="1"/>
  <c r="AB198" i="6" a="1"/>
  <c r="AB198" i="6" s="1"/>
  <c r="AA198" i="6"/>
  <c r="AA198" i="6" a="1"/>
  <c r="Z198" i="6"/>
  <c r="Z198" i="6" a="1"/>
  <c r="Y198" i="6"/>
  <c r="Y198" i="6" a="1"/>
  <c r="X198" i="6"/>
  <c r="X198" i="6" a="1"/>
  <c r="W198" i="6"/>
  <c r="W198" i="6" a="1"/>
  <c r="V198" i="6"/>
  <c r="V198" i="6" a="1"/>
  <c r="U198" i="6" a="1"/>
  <c r="U198" i="6" s="1"/>
  <c r="T198" i="6" a="1"/>
  <c r="T198" i="6" s="1"/>
  <c r="S198" i="6" a="1"/>
  <c r="S198" i="6" s="1"/>
  <c r="R198" i="6" a="1"/>
  <c r="R198" i="6" s="1"/>
  <c r="Q198" i="6" a="1"/>
  <c r="Q198" i="6" s="1"/>
  <c r="P198" i="6" a="1"/>
  <c r="P198" i="6" s="1"/>
  <c r="O198" i="6" a="1"/>
  <c r="O198" i="6" s="1"/>
  <c r="N198" i="6" a="1"/>
  <c r="N198" i="6" s="1"/>
  <c r="M198" i="6" a="1"/>
  <c r="M198" i="6" s="1"/>
  <c r="L198" i="6"/>
  <c r="L198" i="6" a="1"/>
  <c r="K198" i="6"/>
  <c r="K198" i="6" a="1"/>
  <c r="J198" i="6"/>
  <c r="J198" i="6" a="1"/>
  <c r="I198" i="6"/>
  <c r="I198" i="6" a="1"/>
  <c r="H198" i="6"/>
  <c r="H198" i="6" a="1"/>
  <c r="G198" i="6" a="1"/>
  <c r="G198" i="6" s="1"/>
  <c r="F198" i="6"/>
  <c r="F198" i="6" a="1"/>
  <c r="E198" i="6" a="1"/>
  <c r="E198" i="6" s="1"/>
  <c r="D198" i="6" a="1"/>
  <c r="D198" i="6" s="1"/>
  <c r="AH197" i="6" a="1"/>
  <c r="AH197" i="6" s="1"/>
  <c r="AG197" i="6" a="1"/>
  <c r="AG197" i="6" s="1"/>
  <c r="AF197" i="6" a="1"/>
  <c r="AF197" i="6" s="1"/>
  <c r="AE197" i="6" a="1"/>
  <c r="AE197" i="6" s="1"/>
  <c r="AD197" i="6"/>
  <c r="AD197" i="6" a="1"/>
  <c r="AC197" i="6" a="1"/>
  <c r="AC197" i="6" s="1"/>
  <c r="AB197" i="6"/>
  <c r="AB197" i="6" a="1"/>
  <c r="AA197" i="6"/>
  <c r="AA197" i="6" a="1"/>
  <c r="Z197" i="6"/>
  <c r="Z197" i="6" a="1"/>
  <c r="Y197" i="6"/>
  <c r="Y197" i="6" a="1"/>
  <c r="X197" i="6" a="1"/>
  <c r="X197" i="6" s="1"/>
  <c r="W197" i="6" a="1"/>
  <c r="W197" i="6" s="1"/>
  <c r="V197" i="6"/>
  <c r="V197" i="6" a="1"/>
  <c r="U197" i="6" a="1"/>
  <c r="U197" i="6" s="1"/>
  <c r="T197" i="6" a="1"/>
  <c r="T197" i="6" s="1"/>
  <c r="S197" i="6" a="1"/>
  <c r="S197" i="6" s="1"/>
  <c r="R197" i="6" a="1"/>
  <c r="R197" i="6" s="1"/>
  <c r="Q197" i="6" a="1"/>
  <c r="Q197" i="6" s="1"/>
  <c r="P197" i="6"/>
  <c r="P197" i="6" a="1"/>
  <c r="O197" i="6"/>
  <c r="O197" i="6" a="1"/>
  <c r="N197" i="6" a="1"/>
  <c r="N197" i="6" s="1"/>
  <c r="M197" i="6"/>
  <c r="M197" i="6" a="1"/>
  <c r="L197" i="6"/>
  <c r="L197" i="6" a="1"/>
  <c r="K197" i="6"/>
  <c r="K197" i="6" a="1"/>
  <c r="J197" i="6" a="1"/>
  <c r="J197" i="6" s="1"/>
  <c r="I197" i="6" a="1"/>
  <c r="I197" i="6" s="1"/>
  <c r="H197" i="6" a="1"/>
  <c r="H197" i="6" s="1"/>
  <c r="G197" i="6"/>
  <c r="G197" i="6" a="1"/>
  <c r="F197" i="6" a="1"/>
  <c r="F197" i="6" s="1"/>
  <c r="E197" i="6" a="1"/>
  <c r="E197" i="6" s="1"/>
  <c r="D197" i="6" a="1"/>
  <c r="D197" i="6" s="1"/>
  <c r="AH196" i="6" a="1"/>
  <c r="AH196" i="6" s="1"/>
  <c r="AG196" i="6"/>
  <c r="AG196" i="6" a="1"/>
  <c r="AF196" i="6"/>
  <c r="AF196" i="6" a="1"/>
  <c r="AE196" i="6"/>
  <c r="AE196" i="6" a="1"/>
  <c r="AD196" i="6" a="1"/>
  <c r="AD196" i="6" s="1"/>
  <c r="AC196" i="6"/>
  <c r="AC196" i="6" a="1"/>
  <c r="AB196" i="6"/>
  <c r="AB196" i="6" a="1"/>
  <c r="AA196" i="6" a="1"/>
  <c r="AA196" i="6" s="1"/>
  <c r="Z196" i="6" a="1"/>
  <c r="Z196" i="6" s="1"/>
  <c r="Y196" i="6" a="1"/>
  <c r="Y196" i="6" s="1"/>
  <c r="X196" i="6" a="1"/>
  <c r="X196" i="6" s="1"/>
  <c r="W196" i="6"/>
  <c r="W196" i="6" a="1"/>
  <c r="V196" i="6" a="1"/>
  <c r="V196" i="6" s="1"/>
  <c r="U196" i="6" a="1"/>
  <c r="U196" i="6" s="1"/>
  <c r="T196" i="6" a="1"/>
  <c r="T196" i="6" s="1"/>
  <c r="S196" i="6"/>
  <c r="S196" i="6" a="1"/>
  <c r="R196" i="6"/>
  <c r="R196" i="6" a="1"/>
  <c r="Q196" i="6"/>
  <c r="Q196" i="6" a="1"/>
  <c r="P196" i="6"/>
  <c r="P196" i="6" a="1"/>
  <c r="O196" i="6" a="1"/>
  <c r="O196" i="6" s="1"/>
  <c r="N196" i="6"/>
  <c r="N196" i="6" a="1"/>
  <c r="M196" i="6" a="1"/>
  <c r="M196" i="6" s="1"/>
  <c r="L196" i="6" a="1"/>
  <c r="L196" i="6" s="1"/>
  <c r="K196" i="6" a="1"/>
  <c r="K196" i="6" s="1"/>
  <c r="J196" i="6" a="1"/>
  <c r="J196" i="6" s="1"/>
  <c r="I196" i="6" a="1"/>
  <c r="I196" i="6" s="1"/>
  <c r="H196" i="6"/>
  <c r="H196" i="6" a="1"/>
  <c r="G196" i="6" a="1"/>
  <c r="G196" i="6" s="1"/>
  <c r="F196" i="6" a="1"/>
  <c r="F196" i="6" s="1"/>
  <c r="E196" i="6"/>
  <c r="E196" i="6" a="1"/>
  <c r="D196" i="6"/>
  <c r="D196" i="6" a="1"/>
  <c r="AH195" i="6"/>
  <c r="AH195" i="6" a="1"/>
  <c r="AG195" i="6"/>
  <c r="AG195" i="6" a="1"/>
  <c r="AF195" i="6"/>
  <c r="AF195" i="6" a="1"/>
  <c r="AE195" i="6" a="1"/>
  <c r="AE195" i="6" s="1"/>
  <c r="AD195" i="6" a="1"/>
  <c r="AD195" i="6" s="1"/>
  <c r="AC195" i="6" a="1"/>
  <c r="AC195" i="6" s="1"/>
  <c r="AB195" i="6" a="1"/>
  <c r="AB195" i="6" s="1"/>
  <c r="AA195" i="6" a="1"/>
  <c r="AA195" i="6" s="1"/>
  <c r="Z195" i="6" a="1"/>
  <c r="Z195" i="6" s="1"/>
  <c r="Y195" i="6" a="1"/>
  <c r="Y195" i="6" s="1"/>
  <c r="X195" i="6"/>
  <c r="X195" i="6" a="1"/>
  <c r="W195" i="6" a="1"/>
  <c r="W195" i="6" s="1"/>
  <c r="V195" i="6"/>
  <c r="V195" i="6" a="1"/>
  <c r="U195" i="6"/>
  <c r="U195" i="6" a="1"/>
  <c r="T195" i="6"/>
  <c r="T195" i="6" a="1"/>
  <c r="S195" i="6"/>
  <c r="S195" i="6" a="1"/>
  <c r="R195" i="6"/>
  <c r="R195" i="6" a="1"/>
  <c r="Q195" i="6"/>
  <c r="Q195" i="6" a="1"/>
  <c r="P195" i="6" a="1"/>
  <c r="P195" i="6" s="1"/>
  <c r="O195" i="6" a="1"/>
  <c r="O195" i="6" s="1"/>
  <c r="N195" i="6" a="1"/>
  <c r="N195" i="6" s="1"/>
  <c r="M195" i="6" a="1"/>
  <c r="M195" i="6" s="1"/>
  <c r="L195" i="6" a="1"/>
  <c r="L195" i="6" s="1"/>
  <c r="K195" i="6" a="1"/>
  <c r="K195" i="6" s="1"/>
  <c r="J195" i="6" a="1"/>
  <c r="J195" i="6" s="1"/>
  <c r="I195" i="6" a="1"/>
  <c r="I195" i="6" s="1"/>
  <c r="H195" i="6" a="1"/>
  <c r="H195" i="6" s="1"/>
  <c r="G195" i="6"/>
  <c r="G195" i="6" a="1"/>
  <c r="F195" i="6"/>
  <c r="F195" i="6" a="1"/>
  <c r="E195" i="6"/>
  <c r="E195" i="6" a="1"/>
  <c r="D195" i="6"/>
  <c r="D195" i="6" a="1"/>
  <c r="AH194" i="6"/>
  <c r="AH194" i="6" a="1"/>
  <c r="AG194" i="6" a="1"/>
  <c r="AG194" i="6" s="1"/>
  <c r="AF194" i="6"/>
  <c r="AF194" i="6" a="1"/>
  <c r="AE194" i="6" a="1"/>
  <c r="AE194" i="6" s="1"/>
  <c r="AD194" i="6" a="1"/>
  <c r="AD194" i="6" s="1"/>
  <c r="AC194" i="6" a="1"/>
  <c r="AC194" i="6" s="1"/>
  <c r="AB194" i="6" a="1"/>
  <c r="AB194" i="6" s="1"/>
  <c r="AA194" i="6" a="1"/>
  <c r="AA194" i="6" s="1"/>
  <c r="Z194" i="6" a="1"/>
  <c r="Z194" i="6" s="1"/>
  <c r="Y194" i="6"/>
  <c r="Y194" i="6" a="1"/>
  <c r="X194" i="6" a="1"/>
  <c r="X194" i="6" s="1"/>
  <c r="W194" i="6"/>
  <c r="W194" i="6" a="1"/>
  <c r="V194" i="6"/>
  <c r="V194" i="6" a="1"/>
  <c r="U194" i="6"/>
  <c r="U194" i="6" a="1"/>
  <c r="T194" i="6"/>
  <c r="T194" i="6" a="1"/>
  <c r="S194" i="6" a="1"/>
  <c r="S194" i="6" s="1"/>
  <c r="R194" i="6" a="1"/>
  <c r="R194" i="6" s="1"/>
  <c r="Q194" i="6"/>
  <c r="Q194" i="6" a="1"/>
  <c r="P194" i="6" a="1"/>
  <c r="P194" i="6" s="1"/>
  <c r="O194" i="6" a="1"/>
  <c r="O194" i="6" s="1"/>
  <c r="N194" i="6" a="1"/>
  <c r="N194" i="6" s="1"/>
  <c r="M194" i="6" a="1"/>
  <c r="M194" i="6" s="1"/>
  <c r="L194" i="6" a="1"/>
  <c r="L194" i="6" s="1"/>
  <c r="K194" i="6"/>
  <c r="K194" i="6" a="1"/>
  <c r="J194" i="6"/>
  <c r="J194" i="6" a="1"/>
  <c r="I194" i="6" a="1"/>
  <c r="I194" i="6" s="1"/>
  <c r="H194" i="6"/>
  <c r="H194" i="6" a="1"/>
  <c r="G194" i="6"/>
  <c r="G194" i="6" a="1"/>
  <c r="F194" i="6"/>
  <c r="F194" i="6" a="1"/>
  <c r="E194" i="6" a="1"/>
  <c r="E194" i="6" s="1"/>
  <c r="D194" i="6" a="1"/>
  <c r="D194" i="6" s="1"/>
  <c r="AH193" i="6" a="1"/>
  <c r="AH193" i="6" s="1"/>
  <c r="AG193" i="6"/>
  <c r="AG193" i="6" a="1"/>
  <c r="AF193" i="6" a="1"/>
  <c r="AF193" i="6" s="1"/>
  <c r="AE193" i="6" a="1"/>
  <c r="AE193" i="6" s="1"/>
  <c r="AD193" i="6" a="1"/>
  <c r="AD193" i="6" s="1"/>
  <c r="AC193" i="6" a="1"/>
  <c r="AC193" i="6" s="1"/>
  <c r="AB193" i="6"/>
  <c r="AB193" i="6" a="1"/>
  <c r="AA193" i="6"/>
  <c r="AA193" i="6" a="1"/>
  <c r="Z193" i="6"/>
  <c r="Z193" i="6" a="1"/>
  <c r="Y193" i="6" a="1"/>
  <c r="Y193" i="6" s="1"/>
  <c r="X193" i="6"/>
  <c r="X193" i="6" a="1"/>
  <c r="W193" i="6"/>
  <c r="W193" i="6" a="1"/>
  <c r="V193" i="6" a="1"/>
  <c r="V193" i="6" s="1"/>
  <c r="U193" i="6" a="1"/>
  <c r="U193" i="6" s="1"/>
  <c r="T193" i="6" a="1"/>
  <c r="T193" i="6" s="1"/>
  <c r="S193" i="6" a="1"/>
  <c r="S193" i="6" s="1"/>
  <c r="R193" i="6"/>
  <c r="R193" i="6" a="1"/>
  <c r="Q193" i="6" a="1"/>
  <c r="Q193" i="6" s="1"/>
  <c r="P193" i="6" a="1"/>
  <c r="P193" i="6" s="1"/>
  <c r="O193" i="6" a="1"/>
  <c r="O193" i="6" s="1"/>
  <c r="N193" i="6"/>
  <c r="N193" i="6" a="1"/>
  <c r="M193" i="6"/>
  <c r="M193" i="6" a="1"/>
  <c r="L193" i="6"/>
  <c r="L193" i="6" a="1"/>
  <c r="K193" i="6"/>
  <c r="K193" i="6" a="1"/>
  <c r="J193" i="6" a="1"/>
  <c r="J193" i="6" s="1"/>
  <c r="I193" i="6"/>
  <c r="I193" i="6" a="1"/>
  <c r="H193" i="6" a="1"/>
  <c r="H193" i="6" s="1"/>
  <c r="G193" i="6" a="1"/>
  <c r="G193" i="6" s="1"/>
  <c r="F193" i="6" a="1"/>
  <c r="F193" i="6" s="1"/>
  <c r="E193" i="6" a="1"/>
  <c r="E193" i="6" s="1"/>
  <c r="D193" i="6" a="1"/>
  <c r="D193" i="6" s="1"/>
  <c r="AH192" i="6"/>
  <c r="AH192" i="6" a="1"/>
  <c r="AG192" i="6" a="1"/>
  <c r="AG192" i="6" s="1"/>
  <c r="AF192" i="6" a="1"/>
  <c r="AF192" i="6" s="1"/>
  <c r="AE192" i="6"/>
  <c r="AE192" i="6" a="1"/>
  <c r="AD192" i="6"/>
  <c r="AD192" i="6" a="1"/>
  <c r="AC192" i="6"/>
  <c r="AC192" i="6" a="1"/>
  <c r="AB192" i="6"/>
  <c r="AB192" i="6" a="1"/>
  <c r="AA192" i="6"/>
  <c r="AA192" i="6" a="1"/>
  <c r="Z192" i="6" a="1"/>
  <c r="Z192" i="6" s="1"/>
  <c r="Y192" i="6" a="1"/>
  <c r="Y192" i="6" s="1"/>
  <c r="X192" i="6"/>
  <c r="X192" i="6" a="1"/>
  <c r="W192" i="6"/>
  <c r="W192" i="6" a="1"/>
  <c r="V192" i="6" a="1"/>
  <c r="V192" i="6" s="1"/>
  <c r="U192" i="6" a="1"/>
  <c r="U192" i="6" s="1"/>
  <c r="T192" i="6" a="1"/>
  <c r="T192" i="6" s="1"/>
  <c r="S192" i="6"/>
  <c r="S192" i="6" a="1"/>
  <c r="R192" i="6" a="1"/>
  <c r="R192" i="6" s="1"/>
  <c r="Q192" i="6" a="1"/>
  <c r="Q192" i="6" s="1"/>
  <c r="P192" i="6" a="1"/>
  <c r="P192" i="6" s="1"/>
  <c r="O192" i="6" a="1"/>
  <c r="O192" i="6" s="1"/>
  <c r="N192" i="6"/>
  <c r="N192" i="6" a="1"/>
  <c r="M192" i="6"/>
  <c r="M192" i="6" a="1"/>
  <c r="L192" i="6"/>
  <c r="L192" i="6" a="1"/>
  <c r="K192" i="6" a="1"/>
  <c r="K192" i="6" s="1"/>
  <c r="J192" i="6" a="1"/>
  <c r="J192" i="6" s="1"/>
  <c r="I192" i="6" a="1"/>
  <c r="I192" i="6" s="1"/>
  <c r="H192" i="6"/>
  <c r="H192" i="6" a="1"/>
  <c r="G192" i="6"/>
  <c r="G192" i="6" a="1"/>
  <c r="F192" i="6" a="1"/>
  <c r="F192" i="6" s="1"/>
  <c r="E192" i="6" a="1"/>
  <c r="E192" i="6" s="1"/>
  <c r="D192" i="6" a="1"/>
  <c r="D192" i="6" s="1"/>
  <c r="AH191" i="6" a="1"/>
  <c r="AH191" i="6" s="1"/>
  <c r="AG191" i="6" a="1"/>
  <c r="AG191" i="6" s="1"/>
  <c r="AF191" i="6" a="1"/>
  <c r="AF191" i="6" s="1"/>
  <c r="AE191" i="6" a="1"/>
  <c r="AE191" i="6" s="1"/>
  <c r="AD191" i="6"/>
  <c r="AD191" i="6" a="1"/>
  <c r="AC191" i="6"/>
  <c r="AC191" i="6" a="1"/>
  <c r="AB191" i="6" a="1"/>
  <c r="AB191" i="6" s="1"/>
  <c r="AA191" i="6"/>
  <c r="AA191" i="6" a="1"/>
  <c r="Z191" i="6"/>
  <c r="Z191" i="6" a="1"/>
  <c r="Y191" i="6"/>
  <c r="Y191" i="6" a="1"/>
  <c r="X191" i="6" a="1"/>
  <c r="X191" i="6" s="1"/>
  <c r="W191" i="6" a="1"/>
  <c r="W191" i="6" s="1"/>
  <c r="V191" i="6" a="1"/>
  <c r="V191" i="6" s="1"/>
  <c r="U191" i="6" a="1"/>
  <c r="U191" i="6" s="1"/>
  <c r="T191" i="6"/>
  <c r="T191" i="6" a="1"/>
  <c r="S191" i="6" a="1"/>
  <c r="S191" i="6" s="1"/>
  <c r="R191" i="6" a="1"/>
  <c r="R191" i="6" s="1"/>
  <c r="Q191" i="6" a="1"/>
  <c r="Q191" i="6" s="1"/>
  <c r="P191" i="6" a="1"/>
  <c r="P191" i="6" s="1"/>
  <c r="O191" i="6"/>
  <c r="O191" i="6" a="1"/>
  <c r="N191" i="6" a="1"/>
  <c r="N191" i="6" s="1"/>
  <c r="M191" i="6" a="1"/>
  <c r="M191" i="6" s="1"/>
  <c r="L191" i="6"/>
  <c r="L191" i="6" a="1"/>
  <c r="K191" i="6" a="1"/>
  <c r="K191" i="6" s="1"/>
  <c r="J191" i="6" a="1"/>
  <c r="J191" i="6" s="1"/>
  <c r="I191" i="6" a="1"/>
  <c r="I191" i="6" s="1"/>
  <c r="H191" i="6" a="1"/>
  <c r="H191" i="6" s="1"/>
  <c r="G191" i="6" a="1"/>
  <c r="G191" i="6" s="1"/>
  <c r="F191" i="6"/>
  <c r="F191" i="6" a="1"/>
  <c r="E191" i="6"/>
  <c r="E191" i="6" a="1"/>
  <c r="D191" i="6" a="1"/>
  <c r="D191" i="6" s="1"/>
  <c r="AH190" i="6" a="1"/>
  <c r="AH190" i="6" s="1"/>
  <c r="AG190" i="6" a="1"/>
  <c r="AG190" i="6" s="1"/>
  <c r="AF190" i="6" a="1"/>
  <c r="AF190" i="6" s="1"/>
  <c r="AE190" i="6"/>
  <c r="AE190" i="6" a="1"/>
  <c r="AD190" i="6"/>
  <c r="AD190" i="6" a="1"/>
  <c r="AC190" i="6"/>
  <c r="AC190" i="6" a="1"/>
  <c r="AB190" i="6" a="1"/>
  <c r="AB190" i="6" s="1"/>
  <c r="AA190" i="6"/>
  <c r="AA190" i="6" a="1"/>
  <c r="Z190" i="6"/>
  <c r="Z190" i="6" a="1"/>
  <c r="Y190" i="6"/>
  <c r="Y190" i="6" a="1"/>
  <c r="X190" i="6"/>
  <c r="X190" i="6" a="1"/>
  <c r="W190" i="6"/>
  <c r="W190" i="6" a="1"/>
  <c r="V190" i="6" a="1"/>
  <c r="V190" i="6" s="1"/>
  <c r="U190" i="6" a="1"/>
  <c r="U190" i="6" s="1"/>
  <c r="T190" i="6"/>
  <c r="T190" i="6" a="1"/>
  <c r="S190" i="6" a="1"/>
  <c r="S190" i="6" s="1"/>
  <c r="R190" i="6" a="1"/>
  <c r="R190" i="6" s="1"/>
  <c r="Q190" i="6" a="1"/>
  <c r="Q190" i="6" s="1"/>
  <c r="P190" i="6" a="1"/>
  <c r="P190" i="6" s="1"/>
  <c r="O190" i="6" a="1"/>
  <c r="O190" i="6" s="1"/>
  <c r="N190" i="6" a="1"/>
  <c r="N190" i="6" s="1"/>
  <c r="M190" i="6" a="1"/>
  <c r="M190" i="6" s="1"/>
  <c r="L190" i="6"/>
  <c r="L190" i="6" a="1"/>
  <c r="K190" i="6"/>
  <c r="K190" i="6" a="1"/>
  <c r="J190" i="6"/>
  <c r="J190" i="6" a="1"/>
  <c r="I190" i="6"/>
  <c r="I190" i="6" a="1"/>
  <c r="H190" i="6" a="1"/>
  <c r="H190" i="6" s="1"/>
  <c r="G190" i="6" a="1"/>
  <c r="G190" i="6" s="1"/>
  <c r="F190" i="6"/>
  <c r="F190" i="6" a="1"/>
  <c r="E190" i="6"/>
  <c r="E190" i="6" a="1"/>
  <c r="D190" i="6" a="1"/>
  <c r="D190" i="6" s="1"/>
  <c r="AH189" i="6" a="1"/>
  <c r="AH189" i="6" s="1"/>
  <c r="AG189" i="6" a="1"/>
  <c r="AG189" i="6" s="1"/>
  <c r="AF189" i="6" a="1"/>
  <c r="AF189" i="6" s="1"/>
  <c r="AE189" i="6" a="1"/>
  <c r="AE189" i="6" s="1"/>
  <c r="AD189" i="6" a="1"/>
  <c r="AD189" i="6" s="1"/>
  <c r="AC189" i="6" a="1"/>
  <c r="AC189" i="6" s="1"/>
  <c r="AB189" i="6"/>
  <c r="AB189" i="6" a="1"/>
  <c r="AA189" i="6"/>
  <c r="AA189" i="6" a="1"/>
  <c r="Z189" i="6"/>
  <c r="Z189" i="6" a="1"/>
  <c r="Y189" i="6"/>
  <c r="Y189" i="6" a="1"/>
  <c r="X189" i="6" a="1"/>
  <c r="X189" i="6" s="1"/>
  <c r="W189" i="6" a="1"/>
  <c r="W189" i="6" s="1"/>
  <c r="V189" i="6"/>
  <c r="V189" i="6" a="1"/>
  <c r="U189" i="6"/>
  <c r="U189" i="6" a="1"/>
  <c r="T189" i="6" a="1"/>
  <c r="T189" i="6" s="1"/>
  <c r="S189" i="6" a="1"/>
  <c r="S189" i="6" s="1"/>
  <c r="R189" i="6" a="1"/>
  <c r="R189" i="6" s="1"/>
  <c r="Q189" i="6" a="1"/>
  <c r="Q189" i="6" s="1"/>
  <c r="P189" i="6" a="1"/>
  <c r="P189" i="6" s="1"/>
  <c r="O189" i="6" a="1"/>
  <c r="O189" i="6" s="1"/>
  <c r="N189" i="6" a="1"/>
  <c r="N189" i="6" s="1"/>
  <c r="M189" i="6"/>
  <c r="M189" i="6" a="1"/>
  <c r="L189" i="6"/>
  <c r="L189" i="6" a="1"/>
  <c r="K189" i="6"/>
  <c r="K189" i="6" a="1"/>
  <c r="J189" i="6" a="1"/>
  <c r="J189" i="6" s="1"/>
  <c r="I189" i="6" a="1"/>
  <c r="I189" i="6" s="1"/>
  <c r="H189" i="6" a="1"/>
  <c r="H189" i="6" s="1"/>
  <c r="G189" i="6"/>
  <c r="G189" i="6" a="1"/>
  <c r="F189" i="6"/>
  <c r="F189" i="6" a="1"/>
  <c r="E189" i="6" a="1"/>
  <c r="E189" i="6" s="1"/>
  <c r="D189" i="6" a="1"/>
  <c r="D189" i="6" s="1"/>
  <c r="AH188" i="6" a="1"/>
  <c r="AH188" i="6" s="1"/>
  <c r="AG188" i="6"/>
  <c r="AG188" i="6" a="1"/>
  <c r="AF188" i="6" a="1"/>
  <c r="AF188" i="6" s="1"/>
  <c r="AE188" i="6" a="1"/>
  <c r="AE188" i="6" s="1"/>
  <c r="AD188" i="6" a="1"/>
  <c r="AD188" i="6" s="1"/>
  <c r="AC188" i="6"/>
  <c r="AC188" i="6" a="1"/>
  <c r="AB188" i="6"/>
  <c r="AB188" i="6" a="1"/>
  <c r="AA188" i="6" a="1"/>
  <c r="AA188" i="6" s="1"/>
  <c r="Z188" i="6" a="1"/>
  <c r="Z188" i="6" s="1"/>
  <c r="Y188" i="6" a="1"/>
  <c r="Y188" i="6" s="1"/>
  <c r="X188" i="6" a="1"/>
  <c r="X188" i="6" s="1"/>
  <c r="W188" i="6"/>
  <c r="W188" i="6" a="1"/>
  <c r="V188" i="6"/>
  <c r="V188" i="6" a="1"/>
  <c r="U188" i="6" a="1"/>
  <c r="U188" i="6" s="1"/>
  <c r="T188" i="6" a="1"/>
  <c r="T188" i="6" s="1"/>
  <c r="S188" i="6"/>
  <c r="S188" i="6" a="1"/>
  <c r="R188" i="6"/>
  <c r="R188" i="6" a="1"/>
  <c r="Q188" i="6" a="1"/>
  <c r="Q188" i="6" s="1"/>
  <c r="P188" i="6" a="1"/>
  <c r="P188" i="6" s="1"/>
  <c r="O188" i="6" a="1"/>
  <c r="O188" i="6" s="1"/>
  <c r="N188" i="6"/>
  <c r="N188" i="6" a="1"/>
  <c r="M188" i="6" a="1"/>
  <c r="M188" i="6" s="1"/>
  <c r="L188" i="6" a="1"/>
  <c r="L188" i="6" s="1"/>
  <c r="K188" i="6" a="1"/>
  <c r="K188" i="6" s="1"/>
  <c r="J188" i="6" a="1"/>
  <c r="J188" i="6" s="1"/>
  <c r="I188" i="6" a="1"/>
  <c r="I188" i="6" s="1"/>
  <c r="H188" i="6"/>
  <c r="H188" i="6" a="1"/>
  <c r="G188" i="6"/>
  <c r="G188" i="6" a="1"/>
  <c r="F188" i="6" a="1"/>
  <c r="F188" i="6" s="1"/>
  <c r="E188" i="6"/>
  <c r="E188" i="6" a="1"/>
  <c r="D188" i="6"/>
  <c r="D188" i="6" a="1"/>
  <c r="AH187" i="6"/>
  <c r="AH187" i="6" a="1"/>
  <c r="AG187" i="6" a="1"/>
  <c r="AG187" i="6" s="1"/>
  <c r="AF187" i="6" a="1"/>
  <c r="AF187" i="6" s="1"/>
  <c r="AE187" i="6" a="1"/>
  <c r="AE187" i="6" s="1"/>
  <c r="AD187" i="6" a="1"/>
  <c r="AD187" i="6" s="1"/>
  <c r="AC187" i="6" a="1"/>
  <c r="AC187" i="6" s="1"/>
  <c r="AB187" i="6" a="1"/>
  <c r="AB187" i="6" s="1"/>
  <c r="AA187" i="6" a="1"/>
  <c r="AA187" i="6" s="1"/>
  <c r="Z187" i="6" a="1"/>
  <c r="Z187" i="6" s="1"/>
  <c r="Y187" i="6" a="1"/>
  <c r="Y187" i="6" s="1"/>
  <c r="X187" i="6"/>
  <c r="X187" i="6" a="1"/>
  <c r="W187" i="6" a="1"/>
  <c r="W187" i="6" s="1"/>
  <c r="V187" i="6"/>
  <c r="V187" i="6" a="1"/>
  <c r="U187" i="6"/>
  <c r="U187" i="6" a="1"/>
  <c r="T187" i="6"/>
  <c r="T187" i="6" a="1"/>
  <c r="S187" i="6"/>
  <c r="S187" i="6" a="1"/>
  <c r="R187" i="6" a="1"/>
  <c r="R187" i="6" s="1"/>
  <c r="Q187" i="6" a="1"/>
  <c r="Q187" i="6" s="1"/>
  <c r="P187" i="6" a="1"/>
  <c r="P187" i="6" s="1"/>
  <c r="O187" i="6"/>
  <c r="O187" i="6" a="1"/>
  <c r="N187" i="6" a="1"/>
  <c r="N187" i="6" s="1"/>
  <c r="M187" i="6" a="1"/>
  <c r="M187" i="6" s="1"/>
  <c r="L187" i="6" a="1"/>
  <c r="L187" i="6" s="1"/>
  <c r="K187" i="6" a="1"/>
  <c r="K187" i="6" s="1"/>
  <c r="J187" i="6" a="1"/>
  <c r="J187" i="6" s="1"/>
  <c r="I187" i="6" a="1"/>
  <c r="I187" i="6" s="1"/>
  <c r="H187" i="6" a="1"/>
  <c r="H187" i="6" s="1"/>
  <c r="G187" i="6"/>
  <c r="G187" i="6" a="1"/>
  <c r="F187" i="6"/>
  <c r="F187" i="6" a="1"/>
  <c r="E187" i="6"/>
  <c r="E187" i="6" a="1"/>
  <c r="D187" i="6"/>
  <c r="D187" i="6" a="1"/>
  <c r="AH186" i="6" a="1"/>
  <c r="AH186" i="6" s="1"/>
  <c r="AG186" i="6" a="1"/>
  <c r="AG186" i="6" s="1"/>
  <c r="AF186" i="6"/>
  <c r="AF186" i="6" a="1"/>
  <c r="AE186" i="6"/>
  <c r="AE186" i="6" a="1"/>
  <c r="AD186" i="6" a="1"/>
  <c r="AD186" i="6" s="1"/>
  <c r="AC186" i="6" a="1"/>
  <c r="AC186" i="6" s="1"/>
  <c r="AB186" i="6" a="1"/>
  <c r="AB186" i="6" s="1"/>
  <c r="AA186" i="6" a="1"/>
  <c r="AA186" i="6" s="1"/>
  <c r="Z186" i="6" a="1"/>
  <c r="Z186" i="6" s="1"/>
  <c r="Y186" i="6" a="1"/>
  <c r="Y186" i="6" s="1"/>
  <c r="X186" i="6" a="1"/>
  <c r="X186" i="6" s="1"/>
  <c r="W186" i="6"/>
  <c r="W186" i="6" a="1"/>
  <c r="V186" i="6"/>
  <c r="V186" i="6" a="1"/>
  <c r="U186" i="6"/>
  <c r="U186" i="6" a="1"/>
  <c r="T186" i="6"/>
  <c r="T186" i="6" a="1"/>
  <c r="S186" i="6" a="1"/>
  <c r="S186" i="6" s="1"/>
  <c r="R186" i="6" a="1"/>
  <c r="R186" i="6" s="1"/>
  <c r="Q186" i="6"/>
  <c r="Q186" i="6" a="1"/>
  <c r="P186" i="6"/>
  <c r="P186" i="6" a="1"/>
  <c r="O186" i="6" a="1"/>
  <c r="O186" i="6" s="1"/>
  <c r="N186" i="6" a="1"/>
  <c r="N186" i="6" s="1"/>
  <c r="M186" i="6" a="1"/>
  <c r="M186" i="6" s="1"/>
  <c r="L186" i="6" a="1"/>
  <c r="L186" i="6" s="1"/>
  <c r="K186" i="6" a="1"/>
  <c r="K186" i="6" s="1"/>
  <c r="J186" i="6" a="1"/>
  <c r="J186" i="6" s="1"/>
  <c r="I186" i="6" a="1"/>
  <c r="I186" i="6" s="1"/>
  <c r="H186" i="6"/>
  <c r="H186" i="6" a="1"/>
  <c r="G186" i="6"/>
  <c r="G186" i="6" a="1"/>
  <c r="F186" i="6"/>
  <c r="F186" i="6" a="1"/>
  <c r="E186" i="6" a="1"/>
  <c r="E186" i="6" s="1"/>
  <c r="D186" i="6" a="1"/>
  <c r="D186" i="6" s="1"/>
  <c r="AH185" i="6" a="1"/>
  <c r="AH185" i="6" s="1"/>
  <c r="AG185" i="6"/>
  <c r="AG185" i="6" a="1"/>
  <c r="AF185" i="6"/>
  <c r="AF185" i="6" a="1"/>
  <c r="AE185" i="6" a="1"/>
  <c r="AE185" i="6" s="1"/>
  <c r="AD185" i="6" a="1"/>
  <c r="AD185" i="6" s="1"/>
  <c r="AC185" i="6" a="1"/>
  <c r="AC185" i="6" s="1"/>
  <c r="AB185" i="6"/>
  <c r="AB185" i="6" a="1"/>
  <c r="AA185" i="6" a="1"/>
  <c r="AA185" i="6" s="1"/>
  <c r="Z185" i="6" a="1"/>
  <c r="Z185" i="6" s="1"/>
  <c r="Y185" i="6" a="1"/>
  <c r="Y185" i="6" s="1"/>
  <c r="X185" i="6"/>
  <c r="X185" i="6" a="1"/>
  <c r="W185" i="6"/>
  <c r="W185" i="6" a="1"/>
  <c r="V185" i="6" a="1"/>
  <c r="V185" i="6" s="1"/>
  <c r="U185" i="6" a="1"/>
  <c r="U185" i="6" s="1"/>
  <c r="T185" i="6" a="1"/>
  <c r="T185" i="6" s="1"/>
  <c r="S185" i="6" a="1"/>
  <c r="S185" i="6" s="1"/>
  <c r="R185" i="6"/>
  <c r="R185" i="6" a="1"/>
  <c r="Q185" i="6"/>
  <c r="Q185" i="6" a="1"/>
  <c r="P185" i="6" a="1"/>
  <c r="P185" i="6" s="1"/>
  <c r="O185" i="6" a="1"/>
  <c r="O185" i="6" s="1"/>
  <c r="N185" i="6"/>
  <c r="N185" i="6" a="1"/>
  <c r="M185" i="6"/>
  <c r="M185" i="6" a="1"/>
  <c r="L185" i="6" a="1"/>
  <c r="L185" i="6" s="1"/>
  <c r="K185" i="6" a="1"/>
  <c r="K185" i="6" s="1"/>
  <c r="J185" i="6" a="1"/>
  <c r="J185" i="6" s="1"/>
  <c r="I185" i="6"/>
  <c r="I185" i="6" a="1"/>
  <c r="H185" i="6" a="1"/>
  <c r="H185" i="6" s="1"/>
  <c r="G185" i="6" a="1"/>
  <c r="G185" i="6" s="1"/>
  <c r="F185" i="6" a="1"/>
  <c r="F185" i="6" s="1"/>
  <c r="E185" i="6" a="1"/>
  <c r="E185" i="6" s="1"/>
  <c r="D185" i="6" a="1"/>
  <c r="D185" i="6" s="1"/>
  <c r="AH184" i="6"/>
  <c r="AH184" i="6" a="1"/>
  <c r="AG184" i="6"/>
  <c r="AG184" i="6" a="1"/>
  <c r="AF184" i="6" a="1"/>
  <c r="AF184" i="6" s="1"/>
  <c r="AE184" i="6"/>
  <c r="AE184" i="6" a="1"/>
  <c r="AD184" i="6"/>
  <c r="AD184" i="6" a="1"/>
  <c r="AC184" i="6"/>
  <c r="AC184" i="6" a="1"/>
  <c r="AB184" i="6" a="1"/>
  <c r="AB184" i="6" s="1"/>
  <c r="AA184" i="6" a="1"/>
  <c r="AA184" i="6" s="1"/>
  <c r="Z184" i="6" a="1"/>
  <c r="Z184" i="6" s="1"/>
  <c r="Y184" i="6" a="1"/>
  <c r="Y184" i="6" s="1"/>
  <c r="X184" i="6" a="1"/>
  <c r="X184" i="6" s="1"/>
  <c r="W184" i="6" a="1"/>
  <c r="W184" i="6" s="1"/>
  <c r="V184" i="6" a="1"/>
  <c r="V184" i="6" s="1"/>
  <c r="U184" i="6" a="1"/>
  <c r="U184" i="6" s="1"/>
  <c r="T184" i="6" a="1"/>
  <c r="T184" i="6" s="1"/>
  <c r="S184" i="6"/>
  <c r="S184" i="6" a="1"/>
  <c r="R184" i="6" a="1"/>
  <c r="R184" i="6" s="1"/>
  <c r="Q184" i="6"/>
  <c r="Q184" i="6" a="1"/>
  <c r="P184" i="6"/>
  <c r="P184" i="6" a="1"/>
  <c r="O184" i="6"/>
  <c r="O184" i="6" a="1"/>
  <c r="N184" i="6"/>
  <c r="N184" i="6" a="1"/>
  <c r="M184" i="6" a="1"/>
  <c r="M184" i="6" s="1"/>
  <c r="L184" i="6" a="1"/>
  <c r="L184" i="6" s="1"/>
  <c r="K184" i="6" a="1"/>
  <c r="K184" i="6" s="1"/>
  <c r="J184" i="6"/>
  <c r="J184" i="6" a="1"/>
  <c r="I184" i="6" a="1"/>
  <c r="I184" i="6" s="1"/>
  <c r="H184" i="6" a="1"/>
  <c r="H184" i="6" s="1"/>
  <c r="G184" i="6" a="1"/>
  <c r="G184" i="6" s="1"/>
  <c r="F184" i="6" a="1"/>
  <c r="F184" i="6" s="1"/>
  <c r="E184" i="6" a="1"/>
  <c r="E184" i="6" s="1"/>
  <c r="D184" i="6" a="1"/>
  <c r="D184" i="6" s="1"/>
  <c r="AH183" i="6" a="1"/>
  <c r="AH183" i="6" s="1"/>
  <c r="AG183" i="6"/>
  <c r="AG183" i="6" a="1"/>
  <c r="AF183" i="6"/>
  <c r="AF183" i="6" a="1"/>
  <c r="AE183" i="6"/>
  <c r="AE183" i="6" a="1"/>
  <c r="AD183" i="6"/>
  <c r="AD183" i="6" a="1"/>
  <c r="AC183" i="6" a="1"/>
  <c r="AC183" i="6" s="1"/>
  <c r="AB183" i="6" a="1"/>
  <c r="AB183" i="6" s="1"/>
  <c r="AA183" i="6"/>
  <c r="AA183" i="6" a="1"/>
  <c r="Z183" i="6"/>
  <c r="Z183" i="6" a="1"/>
  <c r="Y183" i="6" a="1"/>
  <c r="Y183" i="6" s="1"/>
  <c r="X183" i="6" a="1"/>
  <c r="X183" i="6" s="1"/>
  <c r="W183" i="6" a="1"/>
  <c r="W183" i="6" s="1"/>
  <c r="V183" i="6" a="1"/>
  <c r="V183" i="6" s="1"/>
  <c r="U183" i="6" a="1"/>
  <c r="U183" i="6" s="1"/>
  <c r="T183" i="6" a="1"/>
  <c r="T183" i="6" s="1"/>
  <c r="S183" i="6" a="1"/>
  <c r="S183" i="6" s="1"/>
  <c r="R183" i="6"/>
  <c r="R183" i="6" a="1"/>
  <c r="Q183" i="6"/>
  <c r="Q183" i="6" a="1"/>
  <c r="P183" i="6"/>
  <c r="P183" i="6" a="1"/>
  <c r="O183" i="6"/>
  <c r="O183" i="6" a="1"/>
  <c r="N183" i="6" a="1"/>
  <c r="N183" i="6" s="1"/>
  <c r="M183" i="6" a="1"/>
  <c r="M183" i="6" s="1"/>
  <c r="L183" i="6"/>
  <c r="L183" i="6" a="1"/>
  <c r="K183" i="6"/>
  <c r="K183" i="6" a="1"/>
  <c r="J183" i="6" a="1"/>
  <c r="J183" i="6" s="1"/>
  <c r="I183" i="6" a="1"/>
  <c r="I183" i="6" s="1"/>
  <c r="H183" i="6" a="1"/>
  <c r="H183" i="6" s="1"/>
  <c r="G183" i="6" a="1"/>
  <c r="G183" i="6" s="1"/>
  <c r="F183" i="6" a="1"/>
  <c r="F183" i="6" s="1"/>
  <c r="E183" i="6" a="1"/>
  <c r="E183" i="6" s="1"/>
  <c r="D183" i="6" a="1"/>
  <c r="D183" i="6" s="1"/>
  <c r="AH182" i="6"/>
  <c r="AH182" i="6" a="1"/>
  <c r="AG182" i="6"/>
  <c r="AG182" i="6" a="1"/>
  <c r="AF182" i="6"/>
  <c r="AF182" i="6" a="1"/>
  <c r="AE182" i="6" a="1"/>
  <c r="AE182" i="6" s="1"/>
  <c r="AD182" i="6" a="1"/>
  <c r="AD182" i="6" s="1"/>
  <c r="AC182" i="6" a="1"/>
  <c r="AC182" i="6" s="1"/>
  <c r="AB182" i="6"/>
  <c r="AB182" i="6" a="1"/>
  <c r="AA182" i="6"/>
  <c r="AA182" i="6" a="1"/>
  <c r="Z182" i="6" a="1"/>
  <c r="Z182" i="6" s="1"/>
  <c r="Y182" i="6" a="1"/>
  <c r="Y182" i="6" s="1"/>
  <c r="X182" i="6" a="1"/>
  <c r="X182" i="6" s="1"/>
  <c r="W182" i="6"/>
  <c r="W182" i="6" a="1"/>
  <c r="V182" i="6" a="1"/>
  <c r="V182" i="6" s="1"/>
  <c r="U182" i="6" a="1"/>
  <c r="U182" i="6" s="1"/>
  <c r="T182" i="6" a="1"/>
  <c r="T182" i="6" s="1"/>
  <c r="S182" i="6"/>
  <c r="S182" i="6" a="1"/>
  <c r="R182" i="6"/>
  <c r="R182" i="6" a="1"/>
  <c r="Q182" i="6" a="1"/>
  <c r="Q182" i="6" s="1"/>
  <c r="P182" i="6" a="1"/>
  <c r="P182" i="6" s="1"/>
  <c r="O182" i="6" a="1"/>
  <c r="O182" i="6" s="1"/>
  <c r="N182" i="6" a="1"/>
  <c r="N182" i="6" s="1"/>
  <c r="M182" i="6"/>
  <c r="M182" i="6" a="1"/>
  <c r="L182" i="6"/>
  <c r="L182" i="6" a="1"/>
  <c r="K182" i="6" a="1"/>
  <c r="K182" i="6" s="1"/>
  <c r="J182" i="6" a="1"/>
  <c r="J182" i="6" s="1"/>
  <c r="I182" i="6"/>
  <c r="I182" i="6" a="1"/>
  <c r="H182" i="6"/>
  <c r="H182" i="6" a="1"/>
  <c r="G182" i="6" a="1"/>
  <c r="G182" i="6" s="1"/>
  <c r="F182" i="6"/>
  <c r="F182" i="6" a="1"/>
  <c r="E182" i="6" a="1"/>
  <c r="E182" i="6" s="1"/>
  <c r="D182" i="6"/>
  <c r="D182" i="6" a="1"/>
  <c r="AH181" i="6" a="1"/>
  <c r="AH181" i="6" s="1"/>
  <c r="AG181" i="6" a="1"/>
  <c r="AG181" i="6" s="1"/>
  <c r="AF181" i="6"/>
  <c r="AF181" i="6" a="1"/>
  <c r="AE181" i="6" a="1"/>
  <c r="AE181" i="6" s="1"/>
  <c r="AD181" i="6" a="1"/>
  <c r="AD181" i="6" s="1"/>
  <c r="AC181" i="6"/>
  <c r="AC181" i="6" a="1"/>
  <c r="AB181" i="6"/>
  <c r="AB181" i="6" a="1"/>
  <c r="AA181" i="6" a="1"/>
  <c r="AA181" i="6" s="1"/>
  <c r="Z181" i="6"/>
  <c r="Z181" i="6" a="1"/>
  <c r="Y181" i="6" a="1"/>
  <c r="Y181" i="6" s="1"/>
  <c r="X181" i="6"/>
  <c r="X181" i="6" a="1"/>
  <c r="W181" i="6" a="1"/>
  <c r="W181" i="6" s="1"/>
  <c r="V181" i="6" a="1"/>
  <c r="V181" i="6" s="1"/>
  <c r="U181" i="6" a="1"/>
  <c r="U181" i="6" s="1"/>
  <c r="T181" i="6" a="1"/>
  <c r="T181" i="6" s="1"/>
  <c r="S181" i="6" a="1"/>
  <c r="S181" i="6" s="1"/>
  <c r="R181" i="6" a="1"/>
  <c r="R181" i="6" s="1"/>
  <c r="Q181" i="6" a="1"/>
  <c r="Q181" i="6" s="1"/>
  <c r="P181" i="6" a="1"/>
  <c r="P181" i="6" s="1"/>
  <c r="O181" i="6" a="1"/>
  <c r="O181" i="6" s="1"/>
  <c r="N181" i="6"/>
  <c r="N181" i="6" a="1"/>
  <c r="M181" i="6" a="1"/>
  <c r="M181" i="6" s="1"/>
  <c r="L181" i="6"/>
  <c r="L181" i="6" a="1"/>
  <c r="K181" i="6"/>
  <c r="K181" i="6" a="1"/>
  <c r="J181" i="6" a="1"/>
  <c r="J181" i="6" s="1"/>
  <c r="I181" i="6"/>
  <c r="I181" i="6" a="1"/>
  <c r="H181" i="6" a="1"/>
  <c r="H181" i="6" s="1"/>
  <c r="G181" i="6" a="1"/>
  <c r="G181" i="6" s="1"/>
  <c r="F181" i="6" a="1"/>
  <c r="F181" i="6" s="1"/>
  <c r="E181" i="6"/>
  <c r="E181" i="6" a="1"/>
  <c r="D181" i="6" a="1"/>
  <c r="D181" i="6" s="1"/>
  <c r="AH180" i="6" a="1"/>
  <c r="AH180" i="6" s="1"/>
  <c r="AG180" i="6" a="1"/>
  <c r="AG180" i="6" s="1"/>
  <c r="AF180" i="6" a="1"/>
  <c r="AF180" i="6" s="1"/>
  <c r="AE180" i="6"/>
  <c r="AE180" i="6" a="1"/>
  <c r="AD180" i="6" a="1"/>
  <c r="AD180" i="6" s="1"/>
  <c r="AC180" i="6" a="1"/>
  <c r="AC180" i="6" s="1"/>
  <c r="AB180" i="6"/>
  <c r="AB180" i="6" a="1"/>
  <c r="AA180" i="6"/>
  <c r="AA180" i="6" a="1"/>
  <c r="Z180" i="6"/>
  <c r="Z180" i="6" a="1"/>
  <c r="Y180" i="6"/>
  <c r="Y180" i="6" a="1"/>
  <c r="X180" i="6" a="1"/>
  <c r="X180" i="6" s="1"/>
  <c r="W180" i="6" a="1"/>
  <c r="W180" i="6" s="1"/>
  <c r="V180" i="6"/>
  <c r="V180" i="6" a="1"/>
  <c r="U180" i="6"/>
  <c r="U180" i="6" a="1"/>
  <c r="T180" i="6" a="1"/>
  <c r="T180" i="6" s="1"/>
  <c r="S180" i="6" a="1"/>
  <c r="S180" i="6" s="1"/>
  <c r="R180" i="6" a="1"/>
  <c r="R180" i="6" s="1"/>
  <c r="Q180" i="6" a="1"/>
  <c r="Q180" i="6" s="1"/>
  <c r="P180" i="6" a="1"/>
  <c r="P180" i="6" s="1"/>
  <c r="O180" i="6"/>
  <c r="O180" i="6" a="1"/>
  <c r="N180" i="6" a="1"/>
  <c r="N180" i="6" s="1"/>
  <c r="M180" i="6"/>
  <c r="M180" i="6" a="1"/>
  <c r="L180" i="6"/>
  <c r="L180" i="6" a="1"/>
  <c r="K180" i="6" a="1"/>
  <c r="K180" i="6" s="1"/>
  <c r="J180" i="6"/>
  <c r="J180" i="6" a="1"/>
  <c r="I180" i="6" a="1"/>
  <c r="I180" i="6" s="1"/>
  <c r="H180" i="6" a="1"/>
  <c r="H180" i="6" s="1"/>
  <c r="G180" i="6"/>
  <c r="G180" i="6" a="1"/>
  <c r="F180" i="6"/>
  <c r="F180" i="6" a="1"/>
  <c r="E180" i="6" a="1"/>
  <c r="E180" i="6" s="1"/>
  <c r="D180" i="6" a="1"/>
  <c r="D180" i="6" s="1"/>
  <c r="AH179" i="6"/>
  <c r="AH179" i="6" a="1"/>
  <c r="AG179" i="6" a="1"/>
  <c r="AG179" i="6" s="1"/>
  <c r="AF179" i="6" a="1"/>
  <c r="AF179" i="6" s="1"/>
  <c r="AE179" i="6" a="1"/>
  <c r="AE179" i="6" s="1"/>
  <c r="AD179" i="6" a="1"/>
  <c r="AD179" i="6" s="1"/>
  <c r="AC179" i="6"/>
  <c r="AC179" i="6" a="1"/>
  <c r="AB179" i="6"/>
  <c r="AB179" i="6" a="1"/>
  <c r="AA179" i="6" a="1"/>
  <c r="AA179" i="6" s="1"/>
  <c r="Z179" i="6" a="1"/>
  <c r="Z179" i="6" s="1"/>
  <c r="Y179" i="6" a="1"/>
  <c r="Y179" i="6" s="1"/>
  <c r="X179" i="6" a="1"/>
  <c r="X179" i="6" s="1"/>
  <c r="W179" i="6"/>
  <c r="W179" i="6" a="1"/>
  <c r="V179" i="6"/>
  <c r="V179" i="6" a="1"/>
  <c r="U179" i="6" a="1"/>
  <c r="U179" i="6" s="1"/>
  <c r="T179" i="6" a="1"/>
  <c r="T179" i="6" s="1"/>
  <c r="S179" i="6" a="1"/>
  <c r="S179" i="6" s="1"/>
  <c r="R179" i="6"/>
  <c r="R179" i="6" a="1"/>
  <c r="Q179" i="6" a="1"/>
  <c r="Q179" i="6" s="1"/>
  <c r="P179" i="6" a="1"/>
  <c r="P179" i="6" s="1"/>
  <c r="O179" i="6" a="1"/>
  <c r="O179" i="6" s="1"/>
  <c r="N179" i="6" a="1"/>
  <c r="N179" i="6" s="1"/>
  <c r="M179" i="6"/>
  <c r="M179" i="6" a="1"/>
  <c r="L179" i="6" a="1"/>
  <c r="L179" i="6" s="1"/>
  <c r="K179" i="6" a="1"/>
  <c r="K179" i="6" s="1"/>
  <c r="J179" i="6" a="1"/>
  <c r="J179" i="6" s="1"/>
  <c r="I179" i="6" a="1"/>
  <c r="I179" i="6" s="1"/>
  <c r="H179" i="6"/>
  <c r="H179" i="6" a="1"/>
  <c r="G179" i="6"/>
  <c r="G179" i="6" a="1"/>
  <c r="F179" i="6" a="1"/>
  <c r="F179" i="6" s="1"/>
  <c r="E179" i="6" a="1"/>
  <c r="E179" i="6" s="1"/>
  <c r="D179" i="6"/>
  <c r="D179" i="6" a="1"/>
  <c r="AH178" i="6"/>
  <c r="AH178" i="6" a="1"/>
  <c r="AG178" i="6" a="1"/>
  <c r="AG178" i="6" s="1"/>
  <c r="AF178" i="6"/>
  <c r="AF178" i="6" a="1"/>
  <c r="AE178" i="6" a="1"/>
  <c r="AE178" i="6" s="1"/>
  <c r="AD178" i="6" a="1"/>
  <c r="AD178" i="6" s="1"/>
  <c r="AC178" i="6" a="1"/>
  <c r="AC178" i="6" s="1"/>
  <c r="AB178" i="6" a="1"/>
  <c r="AB178" i="6" s="1"/>
  <c r="AA178" i="6"/>
  <c r="AA178" i="6" a="1"/>
  <c r="Z178" i="6" a="1"/>
  <c r="Z178" i="6" s="1"/>
  <c r="Y178" i="6"/>
  <c r="Y178" i="6" a="1"/>
  <c r="X178" i="6"/>
  <c r="X178" i="6" a="1"/>
  <c r="W178" i="6"/>
  <c r="W178" i="6" a="1"/>
  <c r="V178" i="6" a="1"/>
  <c r="V178" i="6" s="1"/>
  <c r="U178" i="6"/>
  <c r="U178" i="6" a="1"/>
  <c r="T178" i="6"/>
  <c r="T178" i="6" a="1"/>
  <c r="S178" i="6"/>
  <c r="S178" i="6" a="1"/>
  <c r="R178" i="6" a="1"/>
  <c r="R178" i="6" s="1"/>
  <c r="Q178" i="6"/>
  <c r="Q178" i="6" a="1"/>
  <c r="P178" i="6" a="1"/>
  <c r="P178" i="6" s="1"/>
  <c r="O178" i="6" a="1"/>
  <c r="O178" i="6" s="1"/>
  <c r="N178" i="6" a="1"/>
  <c r="N178" i="6" s="1"/>
  <c r="M178" i="6" a="1"/>
  <c r="M178" i="6" s="1"/>
  <c r="L178" i="6"/>
  <c r="L178" i="6" a="1"/>
  <c r="K178" i="6" a="1"/>
  <c r="K178" i="6" s="1"/>
  <c r="J178" i="6" a="1"/>
  <c r="J178" i="6" s="1"/>
  <c r="I178" i="6" a="1"/>
  <c r="I178" i="6" s="1"/>
  <c r="H178" i="6" a="1"/>
  <c r="H178" i="6" s="1"/>
  <c r="G178" i="6" a="1"/>
  <c r="G178" i="6" s="1"/>
  <c r="F178" i="6"/>
  <c r="F178" i="6" a="1"/>
  <c r="E178" i="6" a="1"/>
  <c r="E178" i="6" s="1"/>
  <c r="D178" i="6"/>
  <c r="D178" i="6" a="1"/>
  <c r="AH177" i="6" a="1"/>
  <c r="AH177" i="6" s="1"/>
  <c r="AG177" i="6" a="1"/>
  <c r="AG177" i="6" s="1"/>
  <c r="AF177" i="6" a="1"/>
  <c r="AF177" i="6" s="1"/>
  <c r="AE177" i="6" a="1"/>
  <c r="AE177" i="6" s="1"/>
  <c r="AD177" i="6"/>
  <c r="AD177" i="6" a="1"/>
  <c r="AC177" i="6" a="1"/>
  <c r="AC177" i="6" s="1"/>
  <c r="AB177" i="6"/>
  <c r="AB177" i="6" a="1"/>
  <c r="AA177" i="6"/>
  <c r="AA177" i="6" a="1"/>
  <c r="Z177" i="6"/>
  <c r="Z177" i="6" a="1"/>
  <c r="Y177" i="6"/>
  <c r="Y177" i="6" a="1"/>
  <c r="X177" i="6" a="1"/>
  <c r="X177" i="6" s="1"/>
  <c r="W177" i="6"/>
  <c r="W177" i="6" a="1"/>
  <c r="V177" i="6" a="1"/>
  <c r="V177" i="6" s="1"/>
  <c r="U177" i="6"/>
  <c r="U177" i="6" a="1"/>
  <c r="T177" i="6" a="1"/>
  <c r="T177" i="6" s="1"/>
  <c r="S177" i="6" a="1"/>
  <c r="S177" i="6" s="1"/>
  <c r="R177" i="6" a="1"/>
  <c r="R177" i="6" s="1"/>
  <c r="Q177" i="6" a="1"/>
  <c r="Q177" i="6" s="1"/>
  <c r="P177" i="6"/>
  <c r="P177" i="6" a="1"/>
  <c r="O177" i="6" a="1"/>
  <c r="O177" i="6" s="1"/>
  <c r="N177" i="6" a="1"/>
  <c r="N177" i="6" s="1"/>
  <c r="M177" i="6"/>
  <c r="M177" i="6" a="1"/>
  <c r="L177" i="6"/>
  <c r="L177" i="6" a="1"/>
  <c r="K177" i="6"/>
  <c r="K177" i="6" a="1"/>
  <c r="J177" i="6" a="1"/>
  <c r="J177" i="6" s="1"/>
  <c r="I177" i="6"/>
  <c r="I177" i="6" a="1"/>
  <c r="H177" i="6"/>
  <c r="H177" i="6" a="1"/>
  <c r="G177" i="6" a="1"/>
  <c r="G177" i="6" s="1"/>
  <c r="F177" i="6" a="1"/>
  <c r="F177" i="6" s="1"/>
  <c r="E177" i="6" a="1"/>
  <c r="E177" i="6" s="1"/>
  <c r="D177" i="6" a="1"/>
  <c r="D177" i="6" s="1"/>
  <c r="AH176" i="6" a="1"/>
  <c r="AH176" i="6" s="1"/>
  <c r="AG176" i="6"/>
  <c r="AG176" i="6" a="1"/>
  <c r="AF176" i="6" a="1"/>
  <c r="AF176" i="6" s="1"/>
  <c r="AE176" i="6" a="1"/>
  <c r="AE176" i="6" s="1"/>
  <c r="AD176" i="6" a="1"/>
  <c r="AD176" i="6" s="1"/>
  <c r="AC176" i="6"/>
  <c r="AC176" i="6" a="1"/>
  <c r="AB176" i="6"/>
  <c r="AB176" i="6" a="1"/>
  <c r="AA176" i="6" a="1"/>
  <c r="AA176" i="6" s="1"/>
  <c r="Z176" i="6" a="1"/>
  <c r="Z176" i="6" s="1"/>
  <c r="Y176" i="6" a="1"/>
  <c r="Y176" i="6" s="1"/>
  <c r="X176" i="6"/>
  <c r="X176" i="6" a="1"/>
  <c r="W176" i="6" a="1"/>
  <c r="W176" i="6" s="1"/>
  <c r="V176" i="6" a="1"/>
  <c r="V176" i="6" s="1"/>
  <c r="U176" i="6" a="1"/>
  <c r="U176" i="6" s="1"/>
  <c r="T176" i="6" a="1"/>
  <c r="T176" i="6" s="1"/>
  <c r="S176" i="6"/>
  <c r="S176" i="6" a="1"/>
  <c r="R176" i="6"/>
  <c r="R176" i="6" a="1"/>
  <c r="Q176" i="6" a="1"/>
  <c r="Q176" i="6" s="1"/>
  <c r="P176" i="6" a="1"/>
  <c r="P176" i="6" s="1"/>
  <c r="O176" i="6"/>
  <c r="O176" i="6" a="1"/>
  <c r="N176" i="6"/>
  <c r="N176" i="6" a="1"/>
  <c r="M176" i="6" a="1"/>
  <c r="M176" i="6" s="1"/>
  <c r="L176" i="6" a="1"/>
  <c r="L176" i="6" s="1"/>
  <c r="K176" i="6" a="1"/>
  <c r="K176" i="6" s="1"/>
  <c r="J176" i="6" a="1"/>
  <c r="J176" i="6" s="1"/>
  <c r="I176" i="6"/>
  <c r="I176" i="6" a="1"/>
  <c r="H176" i="6" a="1"/>
  <c r="H176" i="6" s="1"/>
  <c r="G176" i="6" a="1"/>
  <c r="G176" i="6" s="1"/>
  <c r="F176" i="6" a="1"/>
  <c r="F176" i="6" s="1"/>
  <c r="E176" i="6"/>
  <c r="E176" i="6" a="1"/>
  <c r="D176" i="6"/>
  <c r="D176" i="6" a="1"/>
  <c r="AH175" i="6"/>
  <c r="AH175" i="6" a="1"/>
  <c r="AG175" i="6" a="1"/>
  <c r="AG175" i="6" s="1"/>
  <c r="AF175" i="6" a="1"/>
  <c r="AF175" i="6" s="1"/>
  <c r="AE175" i="6"/>
  <c r="AE175" i="6" a="1"/>
  <c r="AD175" i="6" a="1"/>
  <c r="AD175" i="6" s="1"/>
  <c r="AC175" i="6" a="1"/>
  <c r="AC175" i="6" s="1"/>
  <c r="AB175" i="6" a="1"/>
  <c r="AB175" i="6" s="1"/>
  <c r="AA175" i="6" a="1"/>
  <c r="AA175" i="6" s="1"/>
  <c r="Z175" i="6" a="1"/>
  <c r="Z175" i="6" s="1"/>
  <c r="Y175" i="6"/>
  <c r="Y175" i="6" a="1"/>
  <c r="X175" i="6" a="1"/>
  <c r="X175" i="6" s="1"/>
  <c r="W175" i="6" a="1"/>
  <c r="W175" i="6" s="1"/>
  <c r="V175" i="6"/>
  <c r="V175" i="6" a="1"/>
  <c r="U175" i="6"/>
  <c r="U175" i="6" a="1"/>
  <c r="T175" i="6"/>
  <c r="T175" i="6" a="1"/>
  <c r="S175" i="6"/>
  <c r="S175" i="6" a="1"/>
  <c r="R175" i="6" a="1"/>
  <c r="R175" i="6" s="1"/>
  <c r="Q175" i="6" a="1"/>
  <c r="Q175" i="6" s="1"/>
  <c r="P175" i="6" a="1"/>
  <c r="P175" i="6" s="1"/>
  <c r="O175" i="6" a="1"/>
  <c r="O175" i="6" s="1"/>
  <c r="N175" i="6" a="1"/>
  <c r="N175" i="6" s="1"/>
  <c r="M175" i="6" a="1"/>
  <c r="M175" i="6" s="1"/>
  <c r="L175" i="6" a="1"/>
  <c r="L175" i="6" s="1"/>
  <c r="K175" i="6" a="1"/>
  <c r="K175" i="6" s="1"/>
  <c r="J175" i="6"/>
  <c r="J175" i="6" a="1"/>
  <c r="I175" i="6" a="1"/>
  <c r="I175" i="6" s="1"/>
  <c r="H175" i="6"/>
  <c r="H175" i="6" a="1"/>
  <c r="G175" i="6"/>
  <c r="G175" i="6" a="1"/>
  <c r="F175" i="6"/>
  <c r="F175" i="6" a="1"/>
  <c r="E175" i="6"/>
  <c r="E175" i="6" a="1"/>
  <c r="D175" i="6"/>
  <c r="D175" i="6" a="1"/>
  <c r="AH174" i="6" a="1"/>
  <c r="AH174" i="6" s="1"/>
  <c r="AG174" i="6" a="1"/>
  <c r="AG174" i="6" s="1"/>
  <c r="AF174" i="6" a="1"/>
  <c r="AF174" i="6" s="1"/>
  <c r="AE174" i="6" a="1"/>
  <c r="AE174" i="6" s="1"/>
  <c r="AD174" i="6" a="1"/>
  <c r="AD174" i="6" s="1"/>
  <c r="AC174" i="6" a="1"/>
  <c r="AC174" i="6" s="1"/>
  <c r="AB174" i="6" a="1"/>
  <c r="AB174" i="6" s="1"/>
  <c r="AA174" i="6" a="1"/>
  <c r="AA174" i="6" s="1"/>
  <c r="Z174" i="6" a="1"/>
  <c r="Z174" i="6" s="1"/>
  <c r="Y174" i="6" a="1"/>
  <c r="Y174" i="6" s="1"/>
  <c r="X174" i="6"/>
  <c r="X174" i="6" a="1"/>
  <c r="W174" i="6"/>
  <c r="W174" i="6" a="1"/>
  <c r="V174" i="6"/>
  <c r="V174" i="6" a="1"/>
  <c r="U174" i="6"/>
  <c r="U174" i="6" a="1"/>
  <c r="T174" i="6"/>
  <c r="T174" i="6" a="1"/>
  <c r="S174" i="6" a="1"/>
  <c r="S174" i="6" s="1"/>
  <c r="R174" i="6"/>
  <c r="R174" i="6" a="1"/>
  <c r="Q174" i="6" a="1"/>
  <c r="Q174" i="6" s="1"/>
  <c r="P174" i="6" a="1"/>
  <c r="P174" i="6" s="1"/>
  <c r="O174" i="6" a="1"/>
  <c r="O174" i="6" s="1"/>
  <c r="N174" i="6" a="1"/>
  <c r="N174" i="6" s="1"/>
  <c r="M174" i="6" a="1"/>
  <c r="M174" i="6" s="1"/>
  <c r="L174" i="6" a="1"/>
  <c r="L174" i="6" s="1"/>
  <c r="K174" i="6" a="1"/>
  <c r="K174" i="6" s="1"/>
  <c r="J174" i="6" a="1"/>
  <c r="J174" i="6" s="1"/>
  <c r="I174" i="6"/>
  <c r="I174" i="6" a="1"/>
  <c r="H174" i="6"/>
  <c r="H174" i="6" a="1"/>
  <c r="G174" i="6"/>
  <c r="G174" i="6" a="1"/>
  <c r="F174" i="6"/>
  <c r="F174" i="6" a="1"/>
  <c r="E174" i="6" a="1"/>
  <c r="E174" i="6" s="1"/>
  <c r="D174" i="6" a="1"/>
  <c r="D174" i="6" s="1"/>
  <c r="AH173" i="6"/>
  <c r="AH173" i="6" a="1"/>
  <c r="AG173" i="6" a="1"/>
  <c r="AG173" i="6" s="1"/>
  <c r="AF173" i="6" a="1"/>
  <c r="AF173" i="6" s="1"/>
  <c r="AE173" i="6" a="1"/>
  <c r="AE173" i="6" s="1"/>
  <c r="AD173" i="6" a="1"/>
  <c r="AD173" i="6" s="1"/>
  <c r="AC173" i="6" a="1"/>
  <c r="AC173" i="6" s="1"/>
  <c r="AB173" i="6"/>
  <c r="AB173" i="6" a="1"/>
  <c r="AA173" i="6" a="1"/>
  <c r="AA173" i="6" s="1"/>
  <c r="Z173" i="6" a="1"/>
  <c r="Z173" i="6" s="1"/>
  <c r="Y173" i="6"/>
  <c r="Y173" i="6" a="1"/>
  <c r="X173" i="6"/>
  <c r="X173" i="6" a="1"/>
  <c r="W173" i="6"/>
  <c r="W173" i="6" a="1"/>
  <c r="V173" i="6" a="1"/>
  <c r="V173" i="6" s="1"/>
  <c r="U173" i="6" a="1"/>
  <c r="U173" i="6" s="1"/>
  <c r="T173" i="6" a="1"/>
  <c r="T173" i="6" s="1"/>
  <c r="S173" i="6"/>
  <c r="S173" i="6" a="1"/>
  <c r="R173" i="6" a="1"/>
  <c r="R173" i="6" s="1"/>
  <c r="Q173" i="6" a="1"/>
  <c r="Q173" i="6" s="1"/>
  <c r="P173" i="6" a="1"/>
  <c r="P173" i="6" s="1"/>
  <c r="O173" i="6" a="1"/>
  <c r="O173" i="6" s="1"/>
  <c r="N173" i="6"/>
  <c r="N173" i="6" a="1"/>
  <c r="M173" i="6"/>
  <c r="M173" i="6" a="1"/>
  <c r="L173" i="6" a="1"/>
  <c r="L173" i="6" s="1"/>
  <c r="K173" i="6" a="1"/>
  <c r="K173" i="6" s="1"/>
  <c r="J173" i="6"/>
  <c r="J173" i="6" a="1"/>
  <c r="I173" i="6"/>
  <c r="I173" i="6" a="1"/>
  <c r="H173" i="6" a="1"/>
  <c r="H173" i="6" s="1"/>
  <c r="G173" i="6" a="1"/>
  <c r="G173" i="6" s="1"/>
  <c r="F173" i="6" a="1"/>
  <c r="F173" i="6" s="1"/>
  <c r="E173" i="6" a="1"/>
  <c r="E173" i="6" s="1"/>
  <c r="D173" i="6"/>
  <c r="D173" i="6" a="1"/>
  <c r="AH172" i="6" a="1"/>
  <c r="AH172" i="6" s="1"/>
  <c r="AG172" i="6" a="1"/>
  <c r="AG172" i="6" s="1"/>
  <c r="AF172" i="6" a="1"/>
  <c r="AF172" i="6" s="1"/>
  <c r="AE172" i="6"/>
  <c r="AE172" i="6" a="1"/>
  <c r="AD172" i="6"/>
  <c r="AD172" i="6" a="1"/>
  <c r="AC172" i="6"/>
  <c r="AC172" i="6" a="1"/>
  <c r="AB172" i="6" a="1"/>
  <c r="AB172" i="6" s="1"/>
  <c r="AA172" i="6" a="1"/>
  <c r="AA172" i="6" s="1"/>
  <c r="Z172" i="6"/>
  <c r="Z172" i="6" a="1"/>
  <c r="Y172" i="6" a="1"/>
  <c r="Y172" i="6" s="1"/>
  <c r="X172" i="6" a="1"/>
  <c r="X172" i="6" s="1"/>
  <c r="W172" i="6" a="1"/>
  <c r="W172" i="6" s="1"/>
  <c r="V172" i="6" a="1"/>
  <c r="V172" i="6" s="1"/>
  <c r="U172" i="6" a="1"/>
  <c r="U172" i="6" s="1"/>
  <c r="T172" i="6"/>
  <c r="T172" i="6" a="1"/>
  <c r="S172" i="6" a="1"/>
  <c r="S172" i="6" s="1"/>
  <c r="R172" i="6" a="1"/>
  <c r="R172" i="6" s="1"/>
  <c r="Q172" i="6"/>
  <c r="Q172" i="6" a="1"/>
  <c r="P172" i="6"/>
  <c r="P172" i="6" a="1"/>
  <c r="O172" i="6"/>
  <c r="O172" i="6" a="1"/>
  <c r="N172" i="6"/>
  <c r="N172" i="6" a="1"/>
  <c r="M172" i="6" a="1"/>
  <c r="M172" i="6" s="1"/>
  <c r="L172" i="6" a="1"/>
  <c r="L172" i="6" s="1"/>
  <c r="K172" i="6" a="1"/>
  <c r="K172" i="6" s="1"/>
  <c r="J172" i="6" a="1"/>
  <c r="J172" i="6" s="1"/>
  <c r="I172" i="6" a="1"/>
  <c r="I172" i="6" s="1"/>
  <c r="H172" i="6" a="1"/>
  <c r="H172" i="6" s="1"/>
  <c r="G172" i="6" a="1"/>
  <c r="G172" i="6" s="1"/>
  <c r="F172" i="6" a="1"/>
  <c r="F172" i="6" s="1"/>
  <c r="E172" i="6"/>
  <c r="E172" i="6" a="1"/>
  <c r="D172" i="6" a="1"/>
  <c r="D172" i="6" s="1"/>
  <c r="AH171" i="6"/>
  <c r="AH171" i="6" a="1"/>
  <c r="AG171" i="6"/>
  <c r="AG171" i="6" a="1"/>
  <c r="AF171" i="6"/>
  <c r="AF171" i="6" a="1"/>
  <c r="AE171" i="6"/>
  <c r="AE171" i="6" a="1"/>
  <c r="AD171" i="6"/>
  <c r="AD171" i="6" a="1"/>
  <c r="AC171" i="6" a="1"/>
  <c r="AC171" i="6" s="1"/>
  <c r="AB171" i="6" a="1"/>
  <c r="AB171" i="6" s="1"/>
  <c r="AA171" i="6" a="1"/>
  <c r="AA171" i="6" s="1"/>
  <c r="Z171" i="6" a="1"/>
  <c r="Z171" i="6" s="1"/>
  <c r="Y171" i="6" a="1"/>
  <c r="Y171" i="6" s="1"/>
  <c r="X171" i="6" a="1"/>
  <c r="X171" i="6" s="1"/>
  <c r="W171" i="6" a="1"/>
  <c r="W171" i="6" s="1"/>
  <c r="V171" i="6" a="1"/>
  <c r="V171" i="6" s="1"/>
  <c r="U171" i="6" a="1"/>
  <c r="U171" i="6" s="1"/>
  <c r="T171" i="6" a="1"/>
  <c r="T171" i="6" s="1"/>
  <c r="S171" i="6"/>
  <c r="S171" i="6" a="1"/>
  <c r="R171" i="6"/>
  <c r="R171" i="6" a="1"/>
  <c r="Q171" i="6"/>
  <c r="Q171" i="6" a="1"/>
  <c r="P171" i="6"/>
  <c r="P171" i="6" a="1"/>
  <c r="O171" i="6"/>
  <c r="O171" i="6" a="1"/>
  <c r="N171" i="6" a="1"/>
  <c r="N171" i="6" s="1"/>
  <c r="M171" i="6"/>
  <c r="M171" i="6" a="1"/>
  <c r="L171" i="6" a="1"/>
  <c r="L171" i="6" s="1"/>
  <c r="K171" i="6" a="1"/>
  <c r="K171" i="6" s="1"/>
  <c r="J171" i="6" a="1"/>
  <c r="J171" i="6" s="1"/>
  <c r="I171" i="6" a="1"/>
  <c r="I171" i="6" s="1"/>
  <c r="H171" i="6" a="1"/>
  <c r="H171" i="6" s="1"/>
  <c r="G171" i="6" a="1"/>
  <c r="G171" i="6" s="1"/>
  <c r="F171" i="6" a="1"/>
  <c r="F171" i="6" s="1"/>
  <c r="E171" i="6"/>
  <c r="E171" i="6" a="1"/>
  <c r="D171" i="6"/>
  <c r="D171" i="6" a="1"/>
  <c r="AH170" i="6"/>
  <c r="AH170" i="6" a="1"/>
  <c r="AG170" i="6"/>
  <c r="AG170" i="6" a="1"/>
  <c r="AF170" i="6"/>
  <c r="AF170" i="6" a="1"/>
  <c r="AE170" i="6" a="1"/>
  <c r="AE170" i="6" s="1"/>
  <c r="AD170" i="6" a="1"/>
  <c r="AD170" i="6" s="1"/>
  <c r="AC170" i="6"/>
  <c r="AC170" i="6" a="1"/>
  <c r="AB170" i="6" a="1"/>
  <c r="AB170" i="6" s="1"/>
  <c r="AA170" i="6" a="1"/>
  <c r="AA170" i="6" s="1"/>
  <c r="Z170" i="6" a="1"/>
  <c r="Z170" i="6" s="1"/>
  <c r="Y170" i="6" a="1"/>
  <c r="Y170" i="6" s="1"/>
  <c r="X170" i="6" a="1"/>
  <c r="X170" i="6" s="1"/>
  <c r="W170" i="6"/>
  <c r="W170" i="6" a="1"/>
  <c r="V170" i="6" a="1"/>
  <c r="V170" i="6" s="1"/>
  <c r="U170" i="6" a="1"/>
  <c r="U170" i="6" s="1"/>
  <c r="T170" i="6"/>
  <c r="T170" i="6" a="1"/>
  <c r="S170" i="6"/>
  <c r="S170" i="6" a="1"/>
  <c r="R170" i="6"/>
  <c r="R170" i="6" a="1"/>
  <c r="Q170" i="6" a="1"/>
  <c r="Q170" i="6" s="1"/>
  <c r="P170" i="6" a="1"/>
  <c r="P170" i="6" s="1"/>
  <c r="O170" i="6"/>
  <c r="O170" i="6" a="1"/>
  <c r="N170" i="6"/>
  <c r="N170" i="6" a="1"/>
  <c r="M170" i="6" a="1"/>
  <c r="M170" i="6" s="1"/>
  <c r="L170" i="6" a="1"/>
  <c r="L170" i="6" s="1"/>
  <c r="K170" i="6" a="1"/>
  <c r="K170" i="6" s="1"/>
  <c r="J170" i="6" a="1"/>
  <c r="J170" i="6" s="1"/>
  <c r="I170" i="6"/>
  <c r="I170" i="6" a="1"/>
  <c r="H170" i="6"/>
  <c r="H170" i="6" a="1"/>
  <c r="G170" i="6" a="1"/>
  <c r="G170" i="6" s="1"/>
  <c r="F170" i="6" a="1"/>
  <c r="F170" i="6" s="1"/>
  <c r="E170" i="6"/>
  <c r="E170" i="6" a="1"/>
  <c r="D170" i="6"/>
  <c r="D170" i="6" a="1"/>
  <c r="AH169" i="6" a="1"/>
  <c r="AH169" i="6" s="1"/>
  <c r="AG169" i="6" a="1"/>
  <c r="AG169" i="6" s="1"/>
  <c r="AF169" i="6" a="1"/>
  <c r="AF169" i="6" s="1"/>
  <c r="AE169" i="6"/>
  <c r="AE169" i="6" a="1"/>
  <c r="AD169" i="6"/>
  <c r="AD169" i="6" a="1"/>
  <c r="AC169" i="6" a="1"/>
  <c r="AC169" i="6" s="1"/>
  <c r="AB169" i="6" a="1"/>
  <c r="AB169" i="6" s="1"/>
  <c r="AA169" i="6" a="1"/>
  <c r="AA169" i="6" s="1"/>
  <c r="Z169" i="6"/>
  <c r="Z169" i="6" a="1"/>
  <c r="Y169" i="6"/>
  <c r="Y169" i="6" a="1"/>
  <c r="X169" i="6"/>
  <c r="X169" i="6" a="1"/>
  <c r="W169" i="6" a="1"/>
  <c r="W169" i="6" s="1"/>
  <c r="V169" i="6" a="1"/>
  <c r="V169" i="6" s="1"/>
  <c r="U169" i="6"/>
  <c r="U169" i="6" a="1"/>
  <c r="T169" i="6" a="1"/>
  <c r="T169" i="6" s="1"/>
  <c r="S169" i="6" a="1"/>
  <c r="S169" i="6" s="1"/>
  <c r="R169" i="6" a="1"/>
  <c r="R169" i="6" s="1"/>
  <c r="Q169" i="6" a="1"/>
  <c r="Q169" i="6" s="1"/>
  <c r="P169" i="6"/>
  <c r="P169" i="6" a="1"/>
  <c r="O169" i="6"/>
  <c r="O169" i="6" a="1"/>
  <c r="N169" i="6" a="1"/>
  <c r="N169" i="6" s="1"/>
  <c r="M169" i="6" a="1"/>
  <c r="M169" i="6" s="1"/>
  <c r="L169" i="6"/>
  <c r="L169" i="6" a="1"/>
  <c r="K169" i="6"/>
  <c r="K169" i="6" a="1"/>
  <c r="J169" i="6"/>
  <c r="J169" i="6" a="1"/>
  <c r="I169" i="6"/>
  <c r="I169" i="6" a="1"/>
  <c r="H169" i="6" a="1"/>
  <c r="H169" i="6" s="1"/>
  <c r="G169" i="6" a="1"/>
  <c r="G169" i="6" s="1"/>
  <c r="F169" i="6" a="1"/>
  <c r="F169" i="6" s="1"/>
  <c r="E169" i="6" a="1"/>
  <c r="E169" i="6" s="1"/>
  <c r="D169" i="6" a="1"/>
  <c r="D169" i="6" s="1"/>
  <c r="AH168" i="6" a="1"/>
  <c r="AH168" i="6" s="1"/>
  <c r="AG168" i="6" a="1"/>
  <c r="AG168" i="6" s="1"/>
  <c r="AF168" i="6"/>
  <c r="AF168" i="6" a="1"/>
  <c r="AE168" i="6"/>
  <c r="AE168" i="6" a="1"/>
  <c r="AD168" i="6" a="1"/>
  <c r="AD168" i="6" s="1"/>
  <c r="AC168" i="6"/>
  <c r="AC168" i="6" a="1"/>
  <c r="AB168" i="6"/>
  <c r="AB168" i="6" a="1"/>
  <c r="AA168" i="6"/>
  <c r="AA168" i="6" a="1"/>
  <c r="Z168" i="6"/>
  <c r="Z168" i="6" a="1"/>
  <c r="Y168" i="6"/>
  <c r="Y168" i="6" a="1"/>
  <c r="X168" i="6" a="1"/>
  <c r="X168" i="6" s="1"/>
  <c r="W168" i="6" a="1"/>
  <c r="W168" i="6" s="1"/>
  <c r="V168" i="6" a="1"/>
  <c r="V168" i="6" s="1"/>
  <c r="U168" i="6" a="1"/>
  <c r="U168" i="6" s="1"/>
  <c r="T168" i="6" a="1"/>
  <c r="T168" i="6" s="1"/>
  <c r="S168" i="6" a="1"/>
  <c r="S168" i="6" s="1"/>
  <c r="R168" i="6" a="1"/>
  <c r="R168" i="6" s="1"/>
  <c r="Q168" i="6"/>
  <c r="Q168" i="6" a="1"/>
  <c r="P168" i="6" a="1"/>
  <c r="P168" i="6" s="1"/>
  <c r="O168" i="6" a="1"/>
  <c r="O168" i="6" s="1"/>
  <c r="N168" i="6"/>
  <c r="N168" i="6" a="1"/>
  <c r="M168" i="6"/>
  <c r="M168" i="6" a="1"/>
  <c r="L168" i="6"/>
  <c r="L168" i="6" a="1"/>
  <c r="K168" i="6"/>
  <c r="K168" i="6" a="1"/>
  <c r="J168" i="6"/>
  <c r="J168" i="6" a="1"/>
  <c r="I168" i="6" a="1"/>
  <c r="I168" i="6" s="1"/>
  <c r="H168" i="6"/>
  <c r="H168" i="6" a="1"/>
  <c r="G168" i="6" a="1"/>
  <c r="G168" i="6" s="1"/>
  <c r="F168" i="6" a="1"/>
  <c r="F168" i="6" s="1"/>
  <c r="E168" i="6" a="1"/>
  <c r="E168" i="6" s="1"/>
  <c r="D168" i="6" a="1"/>
  <c r="D168" i="6" s="1"/>
  <c r="AH167" i="6" a="1"/>
  <c r="AH167" i="6" s="1"/>
  <c r="AG167" i="6" a="1"/>
  <c r="AG167" i="6" s="1"/>
  <c r="AF167" i="6" a="1"/>
  <c r="AF167" i="6" s="1"/>
  <c r="AE167" i="6" a="1"/>
  <c r="AE167" i="6" s="1"/>
  <c r="AD167" i="6"/>
  <c r="AD167" i="6" a="1"/>
  <c r="AC167" i="6"/>
  <c r="AC167" i="6" a="1"/>
  <c r="AB167" i="6"/>
  <c r="AB167" i="6" a="1"/>
  <c r="AA167" i="6"/>
  <c r="AA167" i="6" a="1"/>
  <c r="Z167" i="6" a="1"/>
  <c r="Z167" i="6" s="1"/>
  <c r="Y167" i="6"/>
  <c r="Y167" i="6" a="1"/>
  <c r="X167" i="6"/>
  <c r="X167" i="6" a="1"/>
  <c r="W167" i="6" a="1"/>
  <c r="W167" i="6" s="1"/>
  <c r="V167" i="6" a="1"/>
  <c r="V167" i="6" s="1"/>
  <c r="U167" i="6" a="1"/>
  <c r="U167" i="6" s="1"/>
  <c r="T167" i="6" a="1"/>
  <c r="T167" i="6" s="1"/>
  <c r="S167" i="6" a="1"/>
  <c r="S167" i="6" s="1"/>
  <c r="R167" i="6"/>
  <c r="R167" i="6" a="1"/>
  <c r="Q167" i="6" a="1"/>
  <c r="Q167" i="6" s="1"/>
  <c r="P167" i="6"/>
  <c r="P167" i="6" a="1"/>
  <c r="O167" i="6"/>
  <c r="O167" i="6" a="1"/>
  <c r="N167" i="6"/>
  <c r="N167" i="6" a="1"/>
  <c r="M167" i="6"/>
  <c r="M167" i="6" a="1"/>
  <c r="L167" i="6" a="1"/>
  <c r="L167" i="6" s="1"/>
  <c r="K167" i="6" a="1"/>
  <c r="K167" i="6" s="1"/>
  <c r="J167" i="6"/>
  <c r="J167" i="6" a="1"/>
  <c r="I167" i="6"/>
  <c r="I167" i="6" a="1"/>
  <c r="H167" i="6" a="1"/>
  <c r="H167" i="6" s="1"/>
  <c r="G167" i="6" a="1"/>
  <c r="G167" i="6" s="1"/>
  <c r="F167" i="6" a="1"/>
  <c r="F167" i="6" s="1"/>
  <c r="E167" i="6" a="1"/>
  <c r="E167" i="6" s="1"/>
  <c r="D167" i="6"/>
  <c r="D167" i="6" a="1"/>
  <c r="AH166" i="6"/>
  <c r="AH166" i="6" a="1"/>
  <c r="AG166" i="6" a="1"/>
  <c r="AG166" i="6" s="1"/>
  <c r="AF166" i="6"/>
  <c r="AF166" i="6" a="1"/>
  <c r="AE166" i="6"/>
  <c r="AE166" i="6" a="1"/>
  <c r="AD166" i="6"/>
  <c r="AD166" i="6" a="1"/>
  <c r="AC166" i="6" a="1"/>
  <c r="AC166" i="6" s="1"/>
  <c r="AB166" i="6" a="1"/>
  <c r="AB166" i="6" s="1"/>
  <c r="AA166" i="6" a="1"/>
  <c r="AA166" i="6" s="1"/>
  <c r="Z166" i="6"/>
  <c r="Z166" i="6" a="1"/>
  <c r="Y166" i="6"/>
  <c r="Y166" i="6" a="1"/>
  <c r="X166" i="6" a="1"/>
  <c r="X166" i="6" s="1"/>
  <c r="W166" i="6" a="1"/>
  <c r="W166" i="6" s="1"/>
  <c r="V166" i="6" a="1"/>
  <c r="V166" i="6" s="1"/>
  <c r="U166" i="6"/>
  <c r="U166" i="6" a="1"/>
  <c r="T166" i="6"/>
  <c r="T166" i="6" a="1"/>
  <c r="S166" i="6" a="1"/>
  <c r="S166" i="6" s="1"/>
  <c r="R166" i="6" a="1"/>
  <c r="R166" i="6" s="1"/>
  <c r="Q166" i="6"/>
  <c r="Q166" i="6" a="1"/>
  <c r="P166" i="6"/>
  <c r="P166" i="6" a="1"/>
  <c r="O166" i="6" a="1"/>
  <c r="O166" i="6" s="1"/>
  <c r="N166" i="6" a="1"/>
  <c r="N166" i="6" s="1"/>
  <c r="M166" i="6" a="1"/>
  <c r="M166" i="6" s="1"/>
  <c r="L166" i="6" a="1"/>
  <c r="L166" i="6" s="1"/>
  <c r="K166" i="6"/>
  <c r="K166" i="6" a="1"/>
  <c r="J166" i="6"/>
  <c r="J166" i="6" a="1"/>
  <c r="I166" i="6" a="1"/>
  <c r="I166" i="6" s="1"/>
  <c r="H166" i="6" a="1"/>
  <c r="H166" i="6" s="1"/>
  <c r="G166" i="6"/>
  <c r="G166" i="6" a="1"/>
  <c r="F166" i="6"/>
  <c r="F166" i="6" a="1"/>
  <c r="E166" i="6"/>
  <c r="E166" i="6" a="1"/>
  <c r="D166" i="6" a="1"/>
  <c r="D166" i="6" s="1"/>
  <c r="AH165" i="6" a="1"/>
  <c r="AH165" i="6" s="1"/>
  <c r="AG165" i="6"/>
  <c r="AG165" i="6" a="1"/>
  <c r="AF165" i="6" a="1"/>
  <c r="AF165" i="6" s="1"/>
  <c r="AE165" i="6" a="1"/>
  <c r="AE165" i="6" s="1"/>
  <c r="AD165" i="6" a="1"/>
  <c r="AD165" i="6" s="1"/>
  <c r="AC165" i="6" a="1"/>
  <c r="AC165" i="6" s="1"/>
  <c r="AB165" i="6" a="1"/>
  <c r="AB165" i="6" s="1"/>
  <c r="AA165" i="6"/>
  <c r="AA165" i="6" a="1"/>
  <c r="Z165" i="6"/>
  <c r="Z165" i="6" a="1"/>
  <c r="Y165" i="6" a="1"/>
  <c r="Y165" i="6" s="1"/>
  <c r="X165" i="6"/>
  <c r="X165" i="6" a="1"/>
  <c r="W165" i="6"/>
  <c r="W165" i="6" a="1"/>
  <c r="V165" i="6"/>
  <c r="V165" i="6" a="1"/>
  <c r="U165" i="6"/>
  <c r="U165" i="6" a="1"/>
  <c r="T165" i="6"/>
  <c r="T165" i="6" a="1"/>
  <c r="S165" i="6" a="1"/>
  <c r="S165" i="6" s="1"/>
  <c r="R165" i="6" a="1"/>
  <c r="R165" i="6" s="1"/>
  <c r="Q165" i="6" a="1"/>
  <c r="Q165" i="6" s="1"/>
  <c r="P165" i="6" a="1"/>
  <c r="P165" i="6" s="1"/>
  <c r="O165" i="6" a="1"/>
  <c r="O165" i="6" s="1"/>
  <c r="N165" i="6" a="1"/>
  <c r="N165" i="6" s="1"/>
  <c r="M165" i="6" a="1"/>
  <c r="M165" i="6" s="1"/>
  <c r="L165" i="6" a="1"/>
  <c r="L165" i="6" s="1"/>
  <c r="K165" i="6" a="1"/>
  <c r="K165" i="6" s="1"/>
  <c r="J165" i="6"/>
  <c r="J165" i="6" a="1"/>
  <c r="I165" i="6"/>
  <c r="I165" i="6" a="1"/>
  <c r="H165" i="6"/>
  <c r="H165" i="6" a="1"/>
  <c r="G165" i="6"/>
  <c r="G165" i="6" a="1"/>
  <c r="F165" i="6"/>
  <c r="F165" i="6" a="1"/>
  <c r="E165" i="6" a="1"/>
  <c r="E165" i="6" s="1"/>
  <c r="D165" i="6" a="1"/>
  <c r="D165" i="6" s="1"/>
  <c r="AH164" i="6"/>
  <c r="AH164" i="6" a="1"/>
  <c r="AG164" i="6" a="1"/>
  <c r="AG164" i="6" s="1"/>
  <c r="AF164" i="6" a="1"/>
  <c r="AF164" i="6" s="1"/>
  <c r="AE164" i="6" a="1"/>
  <c r="AE164" i="6" s="1"/>
  <c r="AD164" i="6" a="1"/>
  <c r="AD164" i="6" s="1"/>
  <c r="AC164" i="6" a="1"/>
  <c r="AC164" i="6" s="1"/>
  <c r="AB164" i="6" a="1"/>
  <c r="AB164" i="6" s="1"/>
  <c r="AA164" i="6" a="1"/>
  <c r="AA164" i="6" s="1"/>
  <c r="Z164" i="6"/>
  <c r="Z164" i="6" a="1"/>
  <c r="Y164" i="6"/>
  <c r="Y164" i="6" a="1"/>
  <c r="X164" i="6"/>
  <c r="X164" i="6" a="1"/>
  <c r="W164" i="6"/>
  <c r="W164" i="6" a="1"/>
  <c r="V164" i="6"/>
  <c r="V164" i="6" a="1"/>
  <c r="U164" i="6" a="1"/>
  <c r="U164" i="6" s="1"/>
  <c r="T164" i="6" a="1"/>
  <c r="T164" i="6" s="1"/>
  <c r="S164" i="6"/>
  <c r="S164" i="6" a="1"/>
  <c r="R164" i="6" a="1"/>
  <c r="R164" i="6" s="1"/>
  <c r="Q164" i="6" a="1"/>
  <c r="Q164" i="6" s="1"/>
  <c r="P164" i="6" a="1"/>
  <c r="P164" i="6" s="1"/>
  <c r="O164" i="6" a="1"/>
  <c r="O164" i="6" s="1"/>
  <c r="N164" i="6" a="1"/>
  <c r="N164" i="6" s="1"/>
  <c r="M164" i="6"/>
  <c r="M164" i="6" a="1"/>
  <c r="L164" i="6" a="1"/>
  <c r="L164" i="6" s="1"/>
  <c r="K164" i="6"/>
  <c r="K164" i="6" a="1"/>
  <c r="J164" i="6"/>
  <c r="J164" i="6" a="1"/>
  <c r="I164" i="6"/>
  <c r="I164" i="6" a="1"/>
  <c r="H164" i="6"/>
  <c r="H164" i="6" a="1"/>
  <c r="G164" i="6" a="1"/>
  <c r="G164" i="6" s="1"/>
  <c r="F164" i="6" a="1"/>
  <c r="F164" i="6" s="1"/>
  <c r="E164" i="6" a="1"/>
  <c r="E164" i="6" s="1"/>
  <c r="D164" i="6"/>
  <c r="D164" i="6" a="1"/>
  <c r="AH163" i="6" a="1"/>
  <c r="AH163" i="6" s="1"/>
  <c r="AG163" i="6" a="1"/>
  <c r="AG163" i="6" s="1"/>
  <c r="AF163" i="6" a="1"/>
  <c r="AF163" i="6" s="1"/>
  <c r="AE163" i="6" a="1"/>
  <c r="AE163" i="6" s="1"/>
  <c r="AD163" i="6"/>
  <c r="AD163" i="6" a="1"/>
  <c r="AC163" i="6" a="1"/>
  <c r="AC163" i="6" s="1"/>
  <c r="AB163" i="6"/>
  <c r="AB163" i="6" a="1"/>
  <c r="AA163" i="6"/>
  <c r="AA163" i="6" a="1"/>
  <c r="Z163" i="6"/>
  <c r="Z163" i="6" a="1"/>
  <c r="Y163" i="6"/>
  <c r="Y163" i="6" a="1"/>
  <c r="X163" i="6" a="1"/>
  <c r="X163" i="6" s="1"/>
  <c r="W163" i="6" a="1"/>
  <c r="W163" i="6" s="1"/>
  <c r="V163" i="6" a="1"/>
  <c r="V163" i="6" s="1"/>
  <c r="U163" i="6" a="1"/>
  <c r="U163" i="6" s="1"/>
  <c r="T163" i="6"/>
  <c r="T163" i="6" a="1"/>
  <c r="S163" i="6" a="1"/>
  <c r="S163" i="6" s="1"/>
  <c r="R163" i="6" a="1"/>
  <c r="R163" i="6" s="1"/>
  <c r="Q163" i="6" a="1"/>
  <c r="Q163" i="6" s="1"/>
  <c r="P163" i="6"/>
  <c r="P163" i="6" a="1"/>
  <c r="O163" i="6"/>
  <c r="O163" i="6" a="1"/>
  <c r="N163" i="6" a="1"/>
  <c r="N163" i="6" s="1"/>
  <c r="M163" i="6" a="1"/>
  <c r="M163" i="6" s="1"/>
  <c r="L163" i="6"/>
  <c r="L163" i="6" a="1"/>
  <c r="K163" i="6"/>
  <c r="K163" i="6" a="1"/>
  <c r="J163" i="6" a="1"/>
  <c r="J163" i="6" s="1"/>
  <c r="I163" i="6" a="1"/>
  <c r="I163" i="6" s="1"/>
  <c r="H163" i="6" a="1"/>
  <c r="H163" i="6" s="1"/>
  <c r="G163" i="6" a="1"/>
  <c r="G163" i="6" s="1"/>
  <c r="F163" i="6" a="1"/>
  <c r="F163" i="6" s="1"/>
  <c r="E163" i="6"/>
  <c r="E163" i="6" a="1"/>
  <c r="D163" i="6" a="1"/>
  <c r="D163" i="6" s="1"/>
  <c r="AH162" i="6" a="1"/>
  <c r="AH162" i="6" s="1"/>
  <c r="AG162" i="6"/>
  <c r="AG162" i="6" a="1"/>
  <c r="AF162" i="6"/>
  <c r="AF162" i="6" a="1"/>
  <c r="AE162" i="6"/>
  <c r="AE162" i="6" a="1"/>
  <c r="AD162" i="6" a="1"/>
  <c r="AD162" i="6" s="1"/>
  <c r="AC162" i="6" a="1"/>
  <c r="AC162" i="6" s="1"/>
  <c r="AB162" i="6"/>
  <c r="AB162" i="6" a="1"/>
  <c r="AA162" i="6" a="1"/>
  <c r="AA162" i="6" s="1"/>
  <c r="Z162" i="6" a="1"/>
  <c r="Z162" i="6" s="1"/>
  <c r="Y162" i="6" a="1"/>
  <c r="Y162" i="6" s="1"/>
  <c r="X162" i="6" a="1"/>
  <c r="X162" i="6" s="1"/>
  <c r="W162" i="6" a="1"/>
  <c r="W162" i="6" s="1"/>
  <c r="V162" i="6" a="1"/>
  <c r="V162" i="6" s="1"/>
  <c r="U162" i="6"/>
  <c r="U162" i="6" a="1"/>
  <c r="T162" i="6" a="1"/>
  <c r="T162" i="6" s="1"/>
  <c r="S162" i="6"/>
  <c r="S162" i="6" a="1"/>
  <c r="R162" i="6"/>
  <c r="R162" i="6" a="1"/>
  <c r="Q162" i="6"/>
  <c r="Q162" i="6" a="1"/>
  <c r="P162" i="6"/>
  <c r="P162" i="6" a="1"/>
  <c r="O162" i="6"/>
  <c r="O162" i="6" a="1"/>
  <c r="N162" i="6"/>
  <c r="N162" i="6" a="1"/>
  <c r="M162" i="6" a="1"/>
  <c r="M162" i="6" s="1"/>
  <c r="L162" i="6" a="1"/>
  <c r="L162" i="6" s="1"/>
  <c r="K162" i="6" a="1"/>
  <c r="K162" i="6" s="1"/>
  <c r="J162" i="6"/>
  <c r="J162" i="6" a="1"/>
  <c r="I162" i="6" a="1"/>
  <c r="I162" i="6" s="1"/>
  <c r="H162" i="6" a="1"/>
  <c r="H162" i="6" s="1"/>
  <c r="G162" i="6" a="1"/>
  <c r="G162" i="6" s="1"/>
  <c r="F162" i="6" a="1"/>
  <c r="F162" i="6" s="1"/>
  <c r="E162" i="6"/>
  <c r="E162" i="6" a="1"/>
  <c r="D162" i="6"/>
  <c r="D162" i="6" a="1"/>
  <c r="AH161" i="6" a="1"/>
  <c r="AH161" i="6" s="1"/>
  <c r="AG161" i="6"/>
  <c r="AG161" i="6" a="1"/>
  <c r="AF161" i="6"/>
  <c r="AF161" i="6" a="1"/>
  <c r="AE161" i="6" a="1"/>
  <c r="AE161" i="6" s="1"/>
  <c r="AD161" i="6" a="1"/>
  <c r="AD161" i="6" s="1"/>
  <c r="AC161" i="6"/>
  <c r="AC161" i="6" a="1"/>
  <c r="AB161" i="6" a="1"/>
  <c r="AB161" i="6" s="1"/>
  <c r="AA161" i="6" a="1"/>
  <c r="AA161" i="6" s="1"/>
  <c r="Z161" i="6"/>
  <c r="Z161" i="6" a="1"/>
  <c r="Y161" i="6" a="1"/>
  <c r="Y161" i="6" s="1"/>
  <c r="X161" i="6" a="1"/>
  <c r="X161" i="6" s="1"/>
  <c r="W161" i="6" a="1"/>
  <c r="W161" i="6" s="1"/>
  <c r="V161" i="6" a="1"/>
  <c r="V161" i="6" s="1"/>
  <c r="U161" i="6"/>
  <c r="U161" i="6" a="1"/>
  <c r="T161" i="6"/>
  <c r="T161" i="6" a="1"/>
  <c r="S161" i="6"/>
  <c r="S161" i="6" a="1"/>
  <c r="R161" i="6"/>
  <c r="R161" i="6" a="1"/>
  <c r="Q161" i="6"/>
  <c r="Q161" i="6" a="1"/>
  <c r="P161" i="6" a="1"/>
  <c r="P161" i="6" s="1"/>
  <c r="O161" i="6"/>
  <c r="O161" i="6" a="1"/>
  <c r="N161" i="6"/>
  <c r="N161" i="6" a="1"/>
  <c r="M161" i="6" a="1"/>
  <c r="M161" i="6" s="1"/>
  <c r="L161" i="6" a="1"/>
  <c r="L161" i="6" s="1"/>
  <c r="K161" i="6"/>
  <c r="K161" i="6" a="1"/>
  <c r="J161" i="6" a="1"/>
  <c r="J161" i="6" s="1"/>
  <c r="I161" i="6" a="1"/>
  <c r="I161" i="6" s="1"/>
  <c r="H161" i="6"/>
  <c r="H161" i="6" a="1"/>
  <c r="G161" i="6"/>
  <c r="G161" i="6" a="1"/>
  <c r="F161" i="6"/>
  <c r="F161" i="6" a="1"/>
  <c r="E161" i="6"/>
  <c r="E161" i="6" a="1"/>
  <c r="D161" i="6" a="1"/>
  <c r="D161" i="6" s="1"/>
  <c r="AH160" i="6"/>
  <c r="AH160" i="6" a="1"/>
  <c r="AG160" i="6" a="1"/>
  <c r="AG160" i="6" s="1"/>
  <c r="AF160" i="6"/>
  <c r="AF160" i="6" a="1"/>
  <c r="AE160" i="6" a="1"/>
  <c r="AE160" i="6" s="1"/>
  <c r="AD160" i="6"/>
  <c r="AD160" i="6" a="1"/>
  <c r="AC160" i="6" a="1"/>
  <c r="AC160" i="6" s="1"/>
  <c r="AB160" i="6" a="1"/>
  <c r="AB160" i="6" s="1"/>
  <c r="AA160" i="6" a="1"/>
  <c r="AA160" i="6" s="1"/>
  <c r="Z160" i="6" a="1"/>
  <c r="Z160" i="6" s="1"/>
  <c r="Y160" i="6" a="1"/>
  <c r="Y160" i="6" s="1"/>
  <c r="X160" i="6"/>
  <c r="X160" i="6" a="1"/>
  <c r="W160" i="6"/>
  <c r="W160" i="6" a="1"/>
  <c r="V160" i="6"/>
  <c r="V160" i="6" a="1"/>
  <c r="U160" i="6"/>
  <c r="U160" i="6" a="1"/>
  <c r="T160" i="6"/>
  <c r="T160" i="6" a="1"/>
  <c r="S160" i="6" a="1"/>
  <c r="S160" i="6" s="1"/>
  <c r="R160" i="6" a="1"/>
  <c r="R160" i="6" s="1"/>
  <c r="Q160" i="6" a="1"/>
  <c r="Q160" i="6" s="1"/>
  <c r="P160" i="6"/>
  <c r="P160" i="6" a="1"/>
  <c r="O160" i="6"/>
  <c r="O160" i="6" a="1"/>
  <c r="N160" i="6" a="1"/>
  <c r="N160" i="6" s="1"/>
  <c r="M160" i="6" a="1"/>
  <c r="M160" i="6" s="1"/>
  <c r="L160" i="6" a="1"/>
  <c r="L160" i="6" s="1"/>
  <c r="K160" i="6"/>
  <c r="K160" i="6" a="1"/>
  <c r="J160" i="6"/>
  <c r="J160" i="6" a="1"/>
  <c r="I160" i="6" a="1"/>
  <c r="I160" i="6" s="1"/>
  <c r="H160" i="6"/>
  <c r="H160" i="6" a="1"/>
  <c r="G160" i="6"/>
  <c r="G160" i="6" a="1"/>
  <c r="F160" i="6"/>
  <c r="F160" i="6" a="1"/>
  <c r="E160" i="6" a="1"/>
  <c r="E160" i="6" s="1"/>
  <c r="D160" i="6" a="1"/>
  <c r="D160" i="6" s="1"/>
  <c r="AH159" i="6" a="1"/>
  <c r="AH159" i="6" s="1"/>
  <c r="AG159" i="6" a="1"/>
  <c r="AG159" i="6" s="1"/>
  <c r="AF159" i="6" a="1"/>
  <c r="AF159" i="6" s="1"/>
  <c r="AE159" i="6"/>
  <c r="AE159" i="6" a="1"/>
  <c r="AD159" i="6" a="1"/>
  <c r="AD159" i="6" s="1"/>
  <c r="AC159" i="6" a="1"/>
  <c r="AC159" i="6" s="1"/>
  <c r="AB159" i="6" a="1"/>
  <c r="AB159" i="6" s="1"/>
  <c r="AA159" i="6" a="1"/>
  <c r="AA159" i="6" s="1"/>
  <c r="Z159" i="6" a="1"/>
  <c r="Z159" i="6" s="1"/>
  <c r="Y159" i="6" a="1"/>
  <c r="Y159" i="6" s="1"/>
  <c r="X159" i="6" a="1"/>
  <c r="X159" i="6" s="1"/>
  <c r="W159" i="6"/>
  <c r="W159" i="6" a="1"/>
  <c r="V159" i="6" a="1"/>
  <c r="V159" i="6" s="1"/>
  <c r="U159" i="6"/>
  <c r="U159" i="6" a="1"/>
  <c r="T159" i="6"/>
  <c r="T159" i="6" a="1"/>
  <c r="S159" i="6"/>
  <c r="S159" i="6" a="1"/>
  <c r="R159" i="6"/>
  <c r="R159" i="6" a="1"/>
  <c r="Q159" i="6"/>
  <c r="Q159" i="6" a="1"/>
  <c r="P159" i="6"/>
  <c r="P159" i="6" a="1"/>
  <c r="O159" i="6" a="1"/>
  <c r="O159" i="6" s="1"/>
  <c r="N159" i="6" a="1"/>
  <c r="N159" i="6" s="1"/>
  <c r="M159" i="6" a="1"/>
  <c r="M159" i="6" s="1"/>
  <c r="L159" i="6" a="1"/>
  <c r="L159" i="6" s="1"/>
  <c r="K159" i="6" a="1"/>
  <c r="K159" i="6" s="1"/>
  <c r="J159" i="6" a="1"/>
  <c r="J159" i="6" s="1"/>
  <c r="I159" i="6" a="1"/>
  <c r="I159" i="6" s="1"/>
  <c r="H159" i="6" a="1"/>
  <c r="H159" i="6" s="1"/>
  <c r="G159" i="6"/>
  <c r="G159" i="6" a="1"/>
  <c r="F159" i="6"/>
  <c r="F159" i="6" a="1"/>
  <c r="E159" i="6"/>
  <c r="E159" i="6" a="1"/>
  <c r="D159" i="6"/>
  <c r="D159" i="6" a="1"/>
  <c r="AH158" i="6"/>
  <c r="AH158" i="6" a="1"/>
  <c r="AG158" i="6"/>
  <c r="AG158" i="6" a="1"/>
  <c r="AF158" i="6" a="1"/>
  <c r="AF158" i="6" s="1"/>
  <c r="AE158" i="6"/>
  <c r="AE158" i="6" a="1"/>
  <c r="AD158" i="6" a="1"/>
  <c r="AD158" i="6" s="1"/>
  <c r="AC158" i="6" a="1"/>
  <c r="AC158" i="6" s="1"/>
  <c r="AB158" i="6" a="1"/>
  <c r="AB158" i="6" s="1"/>
  <c r="AA158" i="6" a="1"/>
  <c r="AA158" i="6" s="1"/>
  <c r="Z158" i="6" a="1"/>
  <c r="Z158" i="6" s="1"/>
  <c r="Y158" i="6" a="1"/>
  <c r="Y158" i="6" s="1"/>
  <c r="X158" i="6"/>
  <c r="X158" i="6" a="1"/>
  <c r="W158" i="6"/>
  <c r="W158" i="6" a="1"/>
  <c r="V158" i="6"/>
  <c r="V158" i="6" a="1"/>
  <c r="U158" i="6"/>
  <c r="U158" i="6" a="1"/>
  <c r="T158" i="6"/>
  <c r="T158" i="6" a="1"/>
  <c r="S158" i="6"/>
  <c r="S158" i="6" a="1"/>
  <c r="R158" i="6" a="1"/>
  <c r="R158" i="6" s="1"/>
  <c r="Q158" i="6" a="1"/>
  <c r="Q158" i="6" s="1"/>
  <c r="P158" i="6"/>
  <c r="P158" i="6" a="1"/>
  <c r="O158" i="6" a="1"/>
  <c r="O158" i="6" s="1"/>
  <c r="N158" i="6" a="1"/>
  <c r="N158" i="6" s="1"/>
  <c r="M158" i="6" a="1"/>
  <c r="M158" i="6" s="1"/>
  <c r="L158" i="6" a="1"/>
  <c r="L158" i="6" s="1"/>
  <c r="K158" i="6" a="1"/>
  <c r="K158" i="6" s="1"/>
  <c r="J158" i="6"/>
  <c r="J158" i="6" a="1"/>
  <c r="I158" i="6"/>
  <c r="I158" i="6" a="1"/>
  <c r="H158" i="6"/>
  <c r="H158" i="6" a="1"/>
  <c r="G158" i="6"/>
  <c r="G158" i="6" a="1"/>
  <c r="F158" i="6"/>
  <c r="F158" i="6" a="1"/>
  <c r="E158" i="6"/>
  <c r="E158" i="6" a="1"/>
  <c r="D158" i="6" a="1"/>
  <c r="D158" i="6" s="1"/>
  <c r="AH157" i="6" a="1"/>
  <c r="AH157" i="6" s="1"/>
  <c r="AG157" i="6" a="1"/>
  <c r="AG157" i="6" s="1"/>
  <c r="AF157" i="6"/>
  <c r="AF157" i="6" a="1"/>
  <c r="AE157" i="6" a="1"/>
  <c r="AE157" i="6" s="1"/>
  <c r="AD157" i="6" a="1"/>
  <c r="AD157" i="6" s="1"/>
  <c r="AC157" i="6" a="1"/>
  <c r="AC157" i="6" s="1"/>
  <c r="AB157" i="6" a="1"/>
  <c r="AB157" i="6" s="1"/>
  <c r="AA157" i="6"/>
  <c r="AA157" i="6" a="1"/>
  <c r="Z157" i="6"/>
  <c r="Z157" i="6" a="1"/>
  <c r="Y157" i="6"/>
  <c r="Y157" i="6" a="1"/>
  <c r="X157" i="6"/>
  <c r="X157" i="6" a="1"/>
  <c r="W157" i="6"/>
  <c r="W157" i="6" a="1"/>
  <c r="V157" i="6"/>
  <c r="V157" i="6" a="1"/>
  <c r="U157" i="6" a="1"/>
  <c r="U157" i="6" s="1"/>
  <c r="T157" i="6" a="1"/>
  <c r="T157" i="6" s="1"/>
  <c r="S157" i="6" a="1"/>
  <c r="S157" i="6" s="1"/>
  <c r="R157" i="6" a="1"/>
  <c r="R157" i="6" s="1"/>
  <c r="Q157" i="6"/>
  <c r="Q157" i="6" a="1"/>
  <c r="P157" i="6" a="1"/>
  <c r="P157" i="6" s="1"/>
  <c r="O157" i="6" a="1"/>
  <c r="O157" i="6" s="1"/>
  <c r="N157" i="6" a="1"/>
  <c r="N157" i="6" s="1"/>
  <c r="M157" i="6"/>
  <c r="M157" i="6" a="1"/>
  <c r="L157" i="6"/>
  <c r="L157" i="6" a="1"/>
  <c r="K157" i="6"/>
  <c r="K157" i="6" a="1"/>
  <c r="J157" i="6"/>
  <c r="J157" i="6" a="1"/>
  <c r="I157" i="6"/>
  <c r="I157" i="6" a="1"/>
  <c r="H157" i="6"/>
  <c r="H157" i="6" a="1"/>
  <c r="G157" i="6" a="1"/>
  <c r="G157" i="6" s="1"/>
  <c r="F157" i="6" a="1"/>
  <c r="F157" i="6" s="1"/>
  <c r="E157" i="6" a="1"/>
  <c r="E157" i="6" s="1"/>
  <c r="D157" i="6" a="1"/>
  <c r="D157" i="6" s="1"/>
  <c r="AH156" i="6" a="1"/>
  <c r="AH156" i="6" s="1"/>
  <c r="AG156" i="6"/>
  <c r="AG156" i="6" a="1"/>
  <c r="AF156" i="6" a="1"/>
  <c r="AF156" i="6" s="1"/>
  <c r="AE156" i="6" a="1"/>
  <c r="AE156" i="6" s="1"/>
  <c r="AD156" i="6"/>
  <c r="AD156" i="6" a="1"/>
  <c r="AC156" i="6"/>
  <c r="AC156" i="6" a="1"/>
  <c r="AB156" i="6"/>
  <c r="AB156" i="6" a="1"/>
  <c r="AA156" i="6"/>
  <c r="AA156" i="6" a="1"/>
  <c r="Z156" i="6"/>
  <c r="Z156" i="6" a="1"/>
  <c r="Y156" i="6"/>
  <c r="Y156" i="6" a="1"/>
  <c r="X156" i="6" a="1"/>
  <c r="X156" i="6" s="1"/>
  <c r="W156" i="6" a="1"/>
  <c r="W156" i="6" s="1"/>
  <c r="V156" i="6" a="1"/>
  <c r="V156" i="6" s="1"/>
  <c r="U156" i="6" a="1"/>
  <c r="U156" i="6" s="1"/>
  <c r="T156" i="6" a="1"/>
  <c r="T156" i="6" s="1"/>
  <c r="S156" i="6" a="1"/>
  <c r="S156" i="6" s="1"/>
  <c r="R156" i="6"/>
  <c r="R156" i="6" a="1"/>
  <c r="Q156" i="6" a="1"/>
  <c r="Q156" i="6" s="1"/>
  <c r="P156" i="6"/>
  <c r="P156" i="6" a="1"/>
  <c r="O156" i="6"/>
  <c r="O156" i="6" a="1"/>
  <c r="N156" i="6"/>
  <c r="N156" i="6" a="1"/>
  <c r="M156" i="6"/>
  <c r="M156" i="6" a="1"/>
  <c r="L156" i="6"/>
  <c r="L156" i="6" a="1"/>
  <c r="K156" i="6"/>
  <c r="K156" i="6" a="1"/>
  <c r="J156" i="6" a="1"/>
  <c r="J156" i="6" s="1"/>
  <c r="I156" i="6" a="1"/>
  <c r="I156" i="6" s="1"/>
  <c r="H156" i="6" a="1"/>
  <c r="H156" i="6" s="1"/>
  <c r="G156" i="6" a="1"/>
  <c r="G156" i="6" s="1"/>
  <c r="F156" i="6" a="1"/>
  <c r="F156" i="6" s="1"/>
  <c r="E156" i="6" a="1"/>
  <c r="E156" i="6" s="1"/>
  <c r="D156" i="6" a="1"/>
  <c r="D156" i="6" s="1"/>
  <c r="AH155" i="6" a="1"/>
  <c r="AH155" i="6" s="1"/>
  <c r="AG155" i="6"/>
  <c r="AG155" i="6" a="1"/>
  <c r="AF155" i="6"/>
  <c r="AF155" i="6" a="1"/>
  <c r="AE155" i="6"/>
  <c r="AE155" i="6" a="1"/>
  <c r="AD155" i="6"/>
  <c r="AD155" i="6" a="1"/>
  <c r="AC155" i="6"/>
  <c r="AC155" i="6" a="1"/>
  <c r="AB155" i="6"/>
  <c r="AB155" i="6" a="1"/>
  <c r="AA155" i="6" a="1"/>
  <c r="AA155" i="6" s="1"/>
  <c r="Z155" i="6"/>
  <c r="Z155" i="6" a="1"/>
  <c r="Y155" i="6" a="1"/>
  <c r="Y155" i="6" s="1"/>
  <c r="X155" i="6" a="1"/>
  <c r="X155" i="6" s="1"/>
  <c r="W155" i="6" a="1"/>
  <c r="W155" i="6" s="1"/>
  <c r="V155" i="6" a="1"/>
  <c r="V155" i="6" s="1"/>
  <c r="U155" i="6" a="1"/>
  <c r="U155" i="6" s="1"/>
  <c r="T155" i="6" a="1"/>
  <c r="T155" i="6" s="1"/>
  <c r="S155" i="6"/>
  <c r="S155" i="6" a="1"/>
  <c r="R155" i="6"/>
  <c r="R155" i="6" a="1"/>
  <c r="Q155" i="6"/>
  <c r="Q155" i="6" a="1"/>
  <c r="P155" i="6"/>
  <c r="P155" i="6" a="1"/>
  <c r="O155" i="6"/>
  <c r="O155" i="6" a="1"/>
  <c r="N155" i="6"/>
  <c r="N155" i="6" a="1"/>
  <c r="M155" i="6" a="1"/>
  <c r="M155" i="6" s="1"/>
  <c r="L155" i="6" a="1"/>
  <c r="L155" i="6" s="1"/>
  <c r="K155" i="6"/>
  <c r="K155" i="6" a="1"/>
  <c r="J155" i="6" a="1"/>
  <c r="J155" i="6" s="1"/>
  <c r="I155" i="6" a="1"/>
  <c r="I155" i="6" s="1"/>
  <c r="H155" i="6" a="1"/>
  <c r="H155" i="6" s="1"/>
  <c r="G155" i="6" a="1"/>
  <c r="G155" i="6" s="1"/>
  <c r="F155" i="6" a="1"/>
  <c r="F155" i="6" s="1"/>
  <c r="E155" i="6"/>
  <c r="E155" i="6" a="1"/>
  <c r="D155" i="6"/>
  <c r="D155" i="6" a="1"/>
  <c r="AH154" i="6"/>
  <c r="AH154" i="6" a="1"/>
  <c r="AG154" i="6"/>
  <c r="AG154" i="6" a="1"/>
  <c r="AF154" i="6"/>
  <c r="AF154" i="6" a="1"/>
  <c r="AE154" i="6"/>
  <c r="AE154" i="6" a="1"/>
  <c r="AD154" i="6" a="1"/>
  <c r="AD154" i="6" s="1"/>
  <c r="AC154" i="6" a="1"/>
  <c r="AC154" i="6" s="1"/>
  <c r="AB154" i="6" a="1"/>
  <c r="AB154" i="6" s="1"/>
  <c r="AA154" i="6"/>
  <c r="AA154" i="6" a="1"/>
  <c r="Z154" i="6" a="1"/>
  <c r="Z154" i="6" s="1"/>
  <c r="Y154" i="6" a="1"/>
  <c r="Y154" i="6" s="1"/>
  <c r="X154" i="6" a="1"/>
  <c r="X154" i="6" s="1"/>
  <c r="W154" i="6" a="1"/>
  <c r="W154" i="6" s="1"/>
  <c r="V154" i="6"/>
  <c r="V154" i="6" a="1"/>
  <c r="U154" i="6"/>
  <c r="U154" i="6" a="1"/>
  <c r="T154" i="6"/>
  <c r="T154" i="6" a="1"/>
  <c r="S154" i="6"/>
  <c r="S154" i="6" a="1"/>
  <c r="R154" i="6"/>
  <c r="R154" i="6" a="1"/>
  <c r="Q154" i="6"/>
  <c r="Q154" i="6" a="1"/>
  <c r="P154" i="6" a="1"/>
  <c r="P154" i="6" s="1"/>
  <c r="O154" i="6" a="1"/>
  <c r="O154" i="6" s="1"/>
  <c r="N154" i="6" a="1"/>
  <c r="N154" i="6" s="1"/>
  <c r="M154" i="6" a="1"/>
  <c r="M154" i="6" s="1"/>
  <c r="L154" i="6"/>
  <c r="L154" i="6" a="1"/>
  <c r="K154" i="6" a="1"/>
  <c r="K154" i="6" s="1"/>
  <c r="J154" i="6" a="1"/>
  <c r="J154" i="6" s="1"/>
  <c r="I154" i="6" a="1"/>
  <c r="I154" i="6" s="1"/>
  <c r="H154" i="6"/>
  <c r="H154" i="6" a="1"/>
  <c r="G154" i="6"/>
  <c r="G154" i="6" a="1"/>
  <c r="F154" i="6"/>
  <c r="F154" i="6" a="1"/>
  <c r="E154" i="6"/>
  <c r="E154" i="6" a="1"/>
  <c r="D154" i="6"/>
  <c r="D154" i="6" a="1"/>
  <c r="AH153" i="6"/>
  <c r="AH153" i="6" a="1"/>
  <c r="AG153" i="6" a="1"/>
  <c r="AG153" i="6" s="1"/>
  <c r="AF153" i="6" a="1"/>
  <c r="AF153" i="6" s="1"/>
  <c r="AE153" i="6" a="1"/>
  <c r="AE153" i="6" s="1"/>
  <c r="AD153" i="6" a="1"/>
  <c r="AD153" i="6" s="1"/>
  <c r="AC153" i="6" a="1"/>
  <c r="AC153" i="6" s="1"/>
  <c r="AB153" i="6"/>
  <c r="AB153" i="6" a="1"/>
  <c r="AA153" i="6" a="1"/>
  <c r="AA153" i="6" s="1"/>
  <c r="Z153" i="6" a="1"/>
  <c r="Z153" i="6" s="1"/>
  <c r="Y153" i="6"/>
  <c r="Y153" i="6" a="1"/>
  <c r="X153" i="6"/>
  <c r="X153" i="6" a="1"/>
  <c r="W153" i="6"/>
  <c r="W153" i="6" a="1"/>
  <c r="V153" i="6"/>
  <c r="V153" i="6" a="1"/>
  <c r="U153" i="6"/>
  <c r="U153" i="6" a="1"/>
  <c r="T153" i="6"/>
  <c r="T153" i="6" a="1"/>
  <c r="S153" i="6" a="1"/>
  <c r="S153" i="6" s="1"/>
  <c r="R153" i="6" a="1"/>
  <c r="R153" i="6" s="1"/>
  <c r="Q153" i="6" a="1"/>
  <c r="Q153" i="6" s="1"/>
  <c r="P153" i="6" a="1"/>
  <c r="P153" i="6" s="1"/>
  <c r="O153" i="6" a="1"/>
  <c r="O153" i="6" s="1"/>
  <c r="N153" i="6" a="1"/>
  <c r="N153" i="6" s="1"/>
  <c r="M153" i="6"/>
  <c r="M153" i="6" a="1"/>
  <c r="L153" i="6" a="1"/>
  <c r="L153" i="6" s="1"/>
  <c r="K153" i="6"/>
  <c r="K153" i="6" a="1"/>
  <c r="J153" i="6"/>
  <c r="J153" i="6" a="1"/>
  <c r="I153" i="6"/>
  <c r="I153" i="6" a="1"/>
  <c r="H153" i="6"/>
  <c r="H153" i="6" a="1"/>
  <c r="G153" i="6"/>
  <c r="G153" i="6" a="1"/>
  <c r="F153" i="6"/>
  <c r="F153" i="6" a="1"/>
  <c r="E153" i="6" a="1"/>
  <c r="E153" i="6" s="1"/>
  <c r="D153" i="6" a="1"/>
  <c r="D153" i="6" s="1"/>
  <c r="AH152" i="6" a="1"/>
  <c r="AH152" i="6" s="1"/>
  <c r="AG152" i="6" a="1"/>
  <c r="AG152" i="6" s="1"/>
  <c r="AF152" i="6" a="1"/>
  <c r="AF152" i="6" s="1"/>
  <c r="AE152" i="6" a="1"/>
  <c r="AE152" i="6" s="1"/>
  <c r="AD152" i="6" a="1"/>
  <c r="AD152" i="6" s="1"/>
  <c r="AC152" i="6" a="1"/>
  <c r="AC152" i="6" s="1"/>
  <c r="AB152" i="6"/>
  <c r="AB152" i="6" a="1"/>
  <c r="AA152" i="6"/>
  <c r="AA152" i="6" a="1"/>
  <c r="Z152" i="6"/>
  <c r="Z152" i="6" a="1"/>
  <c r="Y152" i="6"/>
  <c r="Y152" i="6" a="1"/>
  <c r="X152" i="6"/>
  <c r="X152" i="6" a="1"/>
  <c r="W152" i="6"/>
  <c r="W152" i="6" a="1"/>
  <c r="V152" i="6" a="1"/>
  <c r="V152" i="6" s="1"/>
  <c r="U152" i="6"/>
  <c r="U152" i="6" a="1"/>
  <c r="T152" i="6" a="1"/>
  <c r="T152" i="6" s="1"/>
  <c r="S152" i="6" a="1"/>
  <c r="S152" i="6" s="1"/>
  <c r="R152" i="6" a="1"/>
  <c r="R152" i="6" s="1"/>
  <c r="Q152" i="6" a="1"/>
  <c r="Q152" i="6" s="1"/>
  <c r="P152" i="6" a="1"/>
  <c r="P152" i="6" s="1"/>
  <c r="O152" i="6" a="1"/>
  <c r="O152" i="6" s="1"/>
  <c r="N152" i="6"/>
  <c r="N152" i="6" a="1"/>
  <c r="M152" i="6"/>
  <c r="M152" i="6" a="1"/>
  <c r="L152" i="6"/>
  <c r="L152" i="6" a="1"/>
  <c r="K152" i="6"/>
  <c r="K152" i="6" a="1"/>
  <c r="J152" i="6"/>
  <c r="J152" i="6" a="1"/>
  <c r="I152" i="6"/>
  <c r="I152" i="6" a="1"/>
  <c r="H152" i="6" a="1"/>
  <c r="H152" i="6" s="1"/>
  <c r="G152" i="6" a="1"/>
  <c r="G152" i="6" s="1"/>
  <c r="F152" i="6"/>
  <c r="F152" i="6" a="1"/>
  <c r="E152" i="6" a="1"/>
  <c r="E152" i="6" s="1"/>
  <c r="D152" i="6" a="1"/>
  <c r="D152" i="6" s="1"/>
  <c r="AH151" i="6" a="1"/>
  <c r="AH151" i="6" s="1"/>
  <c r="AG151" i="6" a="1"/>
  <c r="AG151" i="6" s="1"/>
  <c r="AF151" i="6" a="1"/>
  <c r="AF151" i="6" s="1"/>
  <c r="AE151" i="6" a="1"/>
  <c r="AE151" i="6" s="1"/>
  <c r="AD151" i="6"/>
  <c r="AD151" i="6" a="1"/>
  <c r="AC151" i="6"/>
  <c r="AC151" i="6" a="1"/>
  <c r="AB151" i="6"/>
  <c r="AB151" i="6" a="1"/>
  <c r="AA151" i="6"/>
  <c r="AA151" i="6" a="1"/>
  <c r="Z151" i="6"/>
  <c r="Z151" i="6" a="1"/>
  <c r="Y151" i="6" a="1"/>
  <c r="Y151" i="6" s="1"/>
  <c r="X151" i="6" a="1"/>
  <c r="X151" i="6" s="1"/>
  <c r="W151" i="6" a="1"/>
  <c r="W151" i="6" s="1"/>
  <c r="V151" i="6"/>
  <c r="V151" i="6" a="1"/>
  <c r="U151" i="6" a="1"/>
  <c r="U151" i="6" s="1"/>
  <c r="T151" i="6" a="1"/>
  <c r="T151" i="6" s="1"/>
  <c r="S151" i="6" a="1"/>
  <c r="S151" i="6" s="1"/>
  <c r="R151" i="6" a="1"/>
  <c r="R151" i="6" s="1"/>
  <c r="Q151" i="6"/>
  <c r="Q151" i="6" a="1"/>
  <c r="P151" i="6" a="1"/>
  <c r="P151" i="6" s="1"/>
  <c r="O151" i="6"/>
  <c r="O151" i="6" a="1"/>
  <c r="N151" i="6"/>
  <c r="N151" i="6" a="1"/>
  <c r="M151" i="6"/>
  <c r="M151" i="6" a="1"/>
  <c r="L151" i="6"/>
  <c r="L151" i="6" a="1"/>
  <c r="K151" i="6" a="1"/>
  <c r="K151" i="6" s="1"/>
  <c r="J151" i="6" a="1"/>
  <c r="J151" i="6" s="1"/>
  <c r="I151" i="6" a="1"/>
  <c r="I151" i="6" s="1"/>
  <c r="H151" i="6" a="1"/>
  <c r="H151" i="6" s="1"/>
  <c r="G151" i="6"/>
  <c r="G151" i="6" a="1"/>
  <c r="F151" i="6" a="1"/>
  <c r="F151" i="6" s="1"/>
  <c r="E151" i="6" a="1"/>
  <c r="E151" i="6" s="1"/>
  <c r="D151" i="6" a="1"/>
  <c r="D151" i="6" s="1"/>
  <c r="AH150" i="6" a="1"/>
  <c r="AH150" i="6" s="1"/>
  <c r="AG150" i="6"/>
  <c r="AG150" i="6" a="1"/>
  <c r="AF150" i="6" a="1"/>
  <c r="AF150" i="6" s="1"/>
  <c r="AE150" i="6"/>
  <c r="AE150" i="6" a="1"/>
  <c r="AD150" i="6"/>
  <c r="AD150" i="6" a="1"/>
  <c r="AC150" i="6"/>
  <c r="AC150" i="6" a="1"/>
  <c r="AB150" i="6" a="1"/>
  <c r="AB150" i="6" s="1"/>
  <c r="AA150" i="6" a="1"/>
  <c r="AA150" i="6" s="1"/>
  <c r="Z150" i="6" a="1"/>
  <c r="Z150" i="6" s="1"/>
  <c r="Y150" i="6" a="1"/>
  <c r="Y150" i="6" s="1"/>
  <c r="X150" i="6" a="1"/>
  <c r="X150" i="6" s="1"/>
  <c r="W150" i="6"/>
  <c r="W150" i="6" a="1"/>
  <c r="V150" i="6" a="1"/>
  <c r="V150" i="6" s="1"/>
  <c r="U150" i="6" a="1"/>
  <c r="U150" i="6" s="1"/>
  <c r="T150" i="6" a="1"/>
  <c r="T150" i="6" s="1"/>
  <c r="S150" i="6"/>
  <c r="S150" i="6" a="1"/>
  <c r="R150" i="6"/>
  <c r="R150" i="6" a="1"/>
  <c r="Q150" i="6" a="1"/>
  <c r="Q150" i="6" s="1"/>
  <c r="P150" i="6" a="1"/>
  <c r="P150" i="6" s="1"/>
  <c r="O150" i="6"/>
  <c r="O150" i="6" a="1"/>
  <c r="N150" i="6" a="1"/>
  <c r="N150" i="6" s="1"/>
  <c r="M150" i="6" a="1"/>
  <c r="M150" i="6" s="1"/>
  <c r="L150" i="6" a="1"/>
  <c r="L150" i="6" s="1"/>
  <c r="K150" i="6" a="1"/>
  <c r="K150" i="6" s="1"/>
  <c r="J150" i="6" a="1"/>
  <c r="J150" i="6" s="1"/>
  <c r="I150" i="6" a="1"/>
  <c r="I150" i="6" s="1"/>
  <c r="H150" i="6" a="1"/>
  <c r="H150" i="6" s="1"/>
  <c r="G150" i="6" a="1"/>
  <c r="G150" i="6" s="1"/>
  <c r="F150" i="6" a="1"/>
  <c r="F150" i="6" s="1"/>
  <c r="E150" i="6" a="1"/>
  <c r="E150" i="6" s="1"/>
  <c r="D150" i="6" a="1"/>
  <c r="D150" i="6" s="1"/>
  <c r="AH149" i="6"/>
  <c r="AH149" i="6" a="1"/>
  <c r="AG149" i="6" a="1"/>
  <c r="AG149" i="6" s="1"/>
  <c r="AF149" i="6"/>
  <c r="AF149" i="6" a="1"/>
  <c r="AE149" i="6" a="1"/>
  <c r="AE149" i="6" s="1"/>
  <c r="AD149" i="6" a="1"/>
  <c r="AD149" i="6" s="1"/>
  <c r="AC149" i="6" a="1"/>
  <c r="AC149" i="6" s="1"/>
  <c r="AB149" i="6" a="1"/>
  <c r="AB149" i="6" s="1"/>
  <c r="AA149" i="6" a="1"/>
  <c r="AA149" i="6" s="1"/>
  <c r="Z149" i="6" a="1"/>
  <c r="Z149" i="6" s="1"/>
  <c r="Y149" i="6" a="1"/>
  <c r="Y149" i="6" s="1"/>
  <c r="X149" i="6" a="1"/>
  <c r="X149" i="6" s="1"/>
  <c r="W149" i="6"/>
  <c r="W149" i="6" a="1"/>
  <c r="V149" i="6"/>
  <c r="V149" i="6" a="1"/>
  <c r="U149" i="6"/>
  <c r="U149" i="6" a="1"/>
  <c r="T149" i="6"/>
  <c r="T149" i="6" a="1"/>
  <c r="S149" i="6"/>
  <c r="S149" i="6" a="1"/>
  <c r="R149" i="6" a="1"/>
  <c r="R149" i="6" s="1"/>
  <c r="Q149" i="6" a="1"/>
  <c r="Q149" i="6" s="1"/>
  <c r="P149" i="6"/>
  <c r="P149" i="6" a="1"/>
  <c r="O149" i="6" a="1"/>
  <c r="O149" i="6" s="1"/>
  <c r="N149" i="6" a="1"/>
  <c r="N149" i="6" s="1"/>
  <c r="M149" i="6"/>
  <c r="M149" i="6" a="1"/>
  <c r="L149" i="6"/>
  <c r="L149" i="6" a="1"/>
  <c r="K149" i="6"/>
  <c r="K149" i="6" a="1"/>
  <c r="J149" i="6" a="1"/>
  <c r="J149" i="6" s="1"/>
  <c r="I149" i="6" a="1"/>
  <c r="I149" i="6" s="1"/>
  <c r="H149" i="6"/>
  <c r="H149" i="6" a="1"/>
  <c r="G149" i="6"/>
  <c r="G149" i="6" a="1"/>
  <c r="F149" i="6" a="1"/>
  <c r="F149" i="6" s="1"/>
  <c r="E149" i="6" a="1"/>
  <c r="E149" i="6" s="1"/>
  <c r="D149" i="6" a="1"/>
  <c r="D149" i="6" s="1"/>
  <c r="AH148" i="6" a="1"/>
  <c r="AH148" i="6" s="1"/>
  <c r="AG148" i="6"/>
  <c r="AG148" i="6" a="1"/>
  <c r="AF148" i="6" a="1"/>
  <c r="AF148" i="6" s="1"/>
  <c r="AE148" i="6" a="1"/>
  <c r="AE148" i="6" s="1"/>
  <c r="AD148" i="6"/>
  <c r="AD148" i="6" a="1"/>
  <c r="AC148" i="6" a="1"/>
  <c r="AC148" i="6" s="1"/>
  <c r="AB148" i="6" a="1"/>
  <c r="AB148" i="6" s="1"/>
  <c r="AA148" i="6" a="1"/>
  <c r="AA148" i="6" s="1"/>
  <c r="Z148" i="6"/>
  <c r="Z148" i="6" a="1"/>
  <c r="Y148" i="6" a="1"/>
  <c r="Y148" i="6" s="1"/>
  <c r="X148" i="6"/>
  <c r="X148" i="6" a="1"/>
  <c r="W148" i="6" a="1"/>
  <c r="W148" i="6" s="1"/>
  <c r="V148" i="6"/>
  <c r="V148" i="6" a="1"/>
  <c r="U148" i="6"/>
  <c r="U148" i="6" a="1"/>
  <c r="T148" i="6" a="1"/>
  <c r="T148" i="6" s="1"/>
  <c r="S148" i="6" a="1"/>
  <c r="S148" i="6" s="1"/>
  <c r="R148" i="6" a="1"/>
  <c r="R148" i="6" s="1"/>
  <c r="Q148" i="6" a="1"/>
  <c r="Q148" i="6" s="1"/>
  <c r="P148" i="6" a="1"/>
  <c r="P148" i="6" s="1"/>
  <c r="O148" i="6" a="1"/>
  <c r="O148" i="6" s="1"/>
  <c r="N148" i="6"/>
  <c r="N148" i="6" a="1"/>
  <c r="M148" i="6"/>
  <c r="M148" i="6" a="1"/>
  <c r="L148" i="6"/>
  <c r="L148" i="6" a="1"/>
  <c r="K148" i="6"/>
  <c r="K148" i="6" a="1"/>
  <c r="J148" i="6" a="1"/>
  <c r="J148" i="6" s="1"/>
  <c r="I148" i="6" a="1"/>
  <c r="I148" i="6" s="1"/>
  <c r="H148" i="6"/>
  <c r="H148" i="6" a="1"/>
  <c r="G148" i="6"/>
  <c r="G148" i="6" a="1"/>
  <c r="F148" i="6" a="1"/>
  <c r="F148" i="6" s="1"/>
  <c r="E148" i="6" a="1"/>
  <c r="E148" i="6" s="1"/>
  <c r="D148" i="6" a="1"/>
  <c r="D148" i="6" s="1"/>
  <c r="AH147" i="6" a="1"/>
  <c r="AH147" i="6" s="1"/>
  <c r="AG147" i="6" a="1"/>
  <c r="AG147" i="6" s="1"/>
  <c r="AF147" i="6" a="1"/>
  <c r="AF147" i="6" s="1"/>
  <c r="AE147" i="6" a="1"/>
  <c r="AE147" i="6" s="1"/>
  <c r="AD147" i="6"/>
  <c r="AD147" i="6" a="1"/>
  <c r="AC147" i="6"/>
  <c r="AC147" i="6" a="1"/>
  <c r="AB147" i="6"/>
  <c r="AB147" i="6" a="1"/>
  <c r="AA147" i="6"/>
  <c r="AA147" i="6" a="1"/>
  <c r="Z147" i="6" a="1"/>
  <c r="Z147" i="6" s="1"/>
  <c r="Y147" i="6" a="1"/>
  <c r="Y147" i="6" s="1"/>
  <c r="X147" i="6"/>
  <c r="X147" i="6" a="1"/>
  <c r="W147" i="6"/>
  <c r="W147" i="6" a="1"/>
  <c r="V147" i="6" a="1"/>
  <c r="V147" i="6" s="1"/>
  <c r="U147" i="6" a="1"/>
  <c r="U147" i="6" s="1"/>
  <c r="T147" i="6" a="1"/>
  <c r="T147" i="6" s="1"/>
  <c r="S147" i="6" a="1"/>
  <c r="S147" i="6" s="1"/>
  <c r="R147" i="6" a="1"/>
  <c r="R147" i="6" s="1"/>
  <c r="Q147" i="6" a="1"/>
  <c r="Q147" i="6" s="1"/>
  <c r="P147" i="6" a="1"/>
  <c r="P147" i="6" s="1"/>
  <c r="O147" i="6"/>
  <c r="O147" i="6" a="1"/>
  <c r="N147" i="6"/>
  <c r="N147" i="6" a="1"/>
  <c r="M147" i="6"/>
  <c r="M147" i="6" a="1"/>
  <c r="L147" i="6" a="1"/>
  <c r="L147" i="6" s="1"/>
  <c r="K147" i="6"/>
  <c r="K147" i="6" a="1"/>
  <c r="J147" i="6" a="1"/>
  <c r="J147" i="6" s="1"/>
  <c r="I147" i="6"/>
  <c r="I147" i="6" a="1"/>
  <c r="H147" i="6"/>
  <c r="H147" i="6" a="1"/>
  <c r="G147" i="6" a="1"/>
  <c r="G147" i="6" s="1"/>
  <c r="F147" i="6" a="1"/>
  <c r="F147" i="6" s="1"/>
  <c r="E147" i="6" a="1"/>
  <c r="E147" i="6" s="1"/>
  <c r="D147" i="6"/>
  <c r="D147" i="6" a="1"/>
  <c r="AH146" i="6" a="1"/>
  <c r="AH146" i="6" s="1"/>
  <c r="AG146" i="6" a="1"/>
  <c r="AG146" i="6" s="1"/>
  <c r="AF146" i="6" a="1"/>
  <c r="AF146" i="6" s="1"/>
  <c r="AE146" i="6"/>
  <c r="AE146" i="6" a="1"/>
  <c r="AD146" i="6"/>
  <c r="AD146" i="6" a="1"/>
  <c r="AC146" i="6" a="1"/>
  <c r="AC146" i="6" s="1"/>
  <c r="AB146" i="6" a="1"/>
  <c r="AB146" i="6" s="1"/>
  <c r="AA146" i="6" a="1"/>
  <c r="AA146" i="6" s="1"/>
  <c r="Z146" i="6" a="1"/>
  <c r="Z146" i="6" s="1"/>
  <c r="Y146" i="6"/>
  <c r="Y146" i="6" a="1"/>
  <c r="X146" i="6"/>
  <c r="X146" i="6" a="1"/>
  <c r="W146" i="6" a="1"/>
  <c r="W146" i="6" s="1"/>
  <c r="V146" i="6" a="1"/>
  <c r="V146" i="6" s="1"/>
  <c r="U146" i="6" a="1"/>
  <c r="U146" i="6" s="1"/>
  <c r="T146" i="6"/>
  <c r="T146" i="6" a="1"/>
  <c r="S146" i="6"/>
  <c r="S146" i="6" a="1"/>
  <c r="R146" i="6" a="1"/>
  <c r="R146" i="6" s="1"/>
  <c r="Q146" i="6" a="1"/>
  <c r="Q146" i="6" s="1"/>
  <c r="P146" i="6"/>
  <c r="P146" i="6" a="1"/>
  <c r="O146" i="6" a="1"/>
  <c r="O146" i="6" s="1"/>
  <c r="N146" i="6" a="1"/>
  <c r="N146" i="6" s="1"/>
  <c r="M146" i="6" a="1"/>
  <c r="M146" i="6" s="1"/>
  <c r="L146" i="6"/>
  <c r="L146" i="6" a="1"/>
  <c r="K146" i="6" a="1"/>
  <c r="K146" i="6" s="1"/>
  <c r="J146" i="6"/>
  <c r="J146" i="6" a="1"/>
  <c r="I146" i="6"/>
  <c r="I146" i="6" a="1"/>
  <c r="H146" i="6" a="1"/>
  <c r="H146" i="6" s="1"/>
  <c r="G146" i="6"/>
  <c r="G146" i="6" a="1"/>
  <c r="F146" i="6" a="1"/>
  <c r="F146" i="6" s="1"/>
  <c r="E146" i="6"/>
  <c r="E146" i="6" a="1"/>
  <c r="D146" i="6"/>
  <c r="D146" i="6" a="1"/>
  <c r="AH145" i="6" a="1"/>
  <c r="AH145" i="6" s="1"/>
  <c r="AG145" i="6" a="1"/>
  <c r="AG145" i="6" s="1"/>
  <c r="AF145" i="6" a="1"/>
  <c r="AF145" i="6" s="1"/>
  <c r="AE145" i="6" a="1"/>
  <c r="AE145" i="6" s="1"/>
  <c r="AD145" i="6" a="1"/>
  <c r="AD145" i="6" s="1"/>
  <c r="AC145" i="6" a="1"/>
  <c r="AC145" i="6" s="1"/>
  <c r="AB145" i="6"/>
  <c r="AB145" i="6" a="1"/>
  <c r="AA145" i="6" a="1"/>
  <c r="AA145" i="6" s="1"/>
  <c r="Z145" i="6"/>
  <c r="Z145" i="6" a="1"/>
  <c r="Y145" i="6" a="1"/>
  <c r="Y145" i="6" s="1"/>
  <c r="X145" i="6"/>
  <c r="X145" i="6" a="1"/>
  <c r="W145" i="6"/>
  <c r="W145" i="6" a="1"/>
  <c r="V145" i="6" a="1"/>
  <c r="V145" i="6" s="1"/>
  <c r="U145" i="6"/>
  <c r="U145" i="6" a="1"/>
  <c r="T145" i="6"/>
  <c r="T145" i="6" a="1"/>
  <c r="S145" i="6" a="1"/>
  <c r="S145" i="6" s="1"/>
  <c r="R145" i="6" a="1"/>
  <c r="R145" i="6" s="1"/>
  <c r="Q145" i="6" a="1"/>
  <c r="Q145" i="6" s="1"/>
  <c r="P145" i="6" a="1"/>
  <c r="P145" i="6" s="1"/>
  <c r="O145" i="6" a="1"/>
  <c r="O145" i="6" s="1"/>
  <c r="N145" i="6" a="1"/>
  <c r="N145" i="6" s="1"/>
  <c r="M145" i="6"/>
  <c r="M145" i="6" a="1"/>
  <c r="L145" i="6" a="1"/>
  <c r="L145" i="6" s="1"/>
  <c r="K145" i="6" a="1"/>
  <c r="K145" i="6" s="1"/>
  <c r="J145" i="6" a="1"/>
  <c r="J145" i="6" s="1"/>
  <c r="I145" i="6"/>
  <c r="I145" i="6" a="1"/>
  <c r="H145" i="6"/>
  <c r="H145" i="6" a="1"/>
  <c r="G145" i="6" a="1"/>
  <c r="G145" i="6" s="1"/>
  <c r="F145" i="6"/>
  <c r="F145" i="6" a="1"/>
  <c r="E145" i="6"/>
  <c r="E145" i="6" a="1"/>
  <c r="D145" i="6" a="1"/>
  <c r="D145" i="6" s="1"/>
  <c r="AH144" i="6"/>
  <c r="AH144" i="6" a="1"/>
  <c r="AG144" i="6" a="1"/>
  <c r="AG144" i="6" s="1"/>
  <c r="AF144" i="6" a="1"/>
  <c r="AF144" i="6" s="1"/>
  <c r="AE144" i="6" a="1"/>
  <c r="AE144" i="6" s="1"/>
  <c r="AD144" i="6" a="1"/>
  <c r="AD144" i="6" s="1"/>
  <c r="AC144" i="6"/>
  <c r="AC144" i="6" a="1"/>
  <c r="AB144" i="6" a="1"/>
  <c r="AB144" i="6" s="1"/>
  <c r="AA144" i="6" a="1"/>
  <c r="AA144" i="6" s="1"/>
  <c r="Z144" i="6" a="1"/>
  <c r="Z144" i="6" s="1"/>
  <c r="Y144" i="6"/>
  <c r="Y144" i="6" a="1"/>
  <c r="X144" i="6"/>
  <c r="X144" i="6" a="1"/>
  <c r="W144" i="6" a="1"/>
  <c r="W144" i="6" s="1"/>
  <c r="V144" i="6"/>
  <c r="V144" i="6" a="1"/>
  <c r="U144" i="6" a="1"/>
  <c r="U144" i="6" s="1"/>
  <c r="T144" i="6" a="1"/>
  <c r="T144" i="6" s="1"/>
  <c r="S144" i="6"/>
  <c r="S144" i="6" a="1"/>
  <c r="R144" i="6" a="1"/>
  <c r="R144" i="6" s="1"/>
  <c r="Q144" i="6" a="1"/>
  <c r="Q144" i="6" s="1"/>
  <c r="P144" i="6" a="1"/>
  <c r="P144" i="6" s="1"/>
  <c r="O144" i="6" a="1"/>
  <c r="O144" i="6" s="1"/>
  <c r="N144" i="6" a="1"/>
  <c r="N144" i="6" s="1"/>
  <c r="M144" i="6"/>
  <c r="M144" i="6" a="1"/>
  <c r="L144" i="6" a="1"/>
  <c r="L144" i="6" s="1"/>
  <c r="K144" i="6" a="1"/>
  <c r="K144" i="6" s="1"/>
  <c r="J144" i="6"/>
  <c r="J144" i="6" a="1"/>
  <c r="I144" i="6"/>
  <c r="I144" i="6" a="1"/>
  <c r="H144" i="6" a="1"/>
  <c r="H144" i="6" s="1"/>
  <c r="G144" i="6" a="1"/>
  <c r="G144" i="6" s="1"/>
  <c r="F144" i="6"/>
  <c r="F144" i="6" a="1"/>
  <c r="E144" i="6" a="1"/>
  <c r="E144" i="6" s="1"/>
  <c r="D144" i="6"/>
  <c r="D144" i="6" a="1"/>
  <c r="AH143" i="6" a="1"/>
  <c r="AH143" i="6" s="1"/>
  <c r="AG143" i="6" a="1"/>
  <c r="AG143" i="6" s="1"/>
  <c r="AF143" i="6" a="1"/>
  <c r="AF143" i="6" s="1"/>
  <c r="AE143" i="6" a="1"/>
  <c r="AE143" i="6" s="1"/>
  <c r="AD143" i="6"/>
  <c r="AD143" i="6" a="1"/>
  <c r="AC143" i="6"/>
  <c r="AC143" i="6" a="1"/>
  <c r="AB143" i="6" a="1"/>
  <c r="AB143" i="6" s="1"/>
  <c r="AA143" i="6" a="1"/>
  <c r="AA143" i="6" s="1"/>
  <c r="Z143" i="6"/>
  <c r="Z143" i="6" a="1"/>
  <c r="Y143" i="6"/>
  <c r="Y143" i="6" a="1"/>
  <c r="X143" i="6" a="1"/>
  <c r="X143" i="6" s="1"/>
  <c r="W143" i="6" a="1"/>
  <c r="W143" i="6" s="1"/>
  <c r="V143" i="6"/>
  <c r="V143" i="6" a="1"/>
  <c r="U143" i="6" a="1"/>
  <c r="U143" i="6" s="1"/>
  <c r="T143" i="6"/>
  <c r="T143" i="6" a="1"/>
  <c r="S143" i="6" a="1"/>
  <c r="S143" i="6" s="1"/>
  <c r="R143" i="6" a="1"/>
  <c r="R143" i="6" s="1"/>
  <c r="Q143" i="6" a="1"/>
  <c r="Q143" i="6" s="1"/>
  <c r="P143" i="6" a="1"/>
  <c r="P143" i="6" s="1"/>
  <c r="O143" i="6"/>
  <c r="O143" i="6" a="1"/>
  <c r="N143" i="6"/>
  <c r="N143" i="6" a="1"/>
  <c r="M143" i="6" a="1"/>
  <c r="M143" i="6" s="1"/>
  <c r="L143" i="6" a="1"/>
  <c r="L143" i="6" s="1"/>
  <c r="K143" i="6"/>
  <c r="K143" i="6" a="1"/>
  <c r="J143" i="6" a="1"/>
  <c r="J143" i="6" s="1"/>
  <c r="I143" i="6" a="1"/>
  <c r="I143" i="6" s="1"/>
  <c r="H143" i="6" a="1"/>
  <c r="H143" i="6" s="1"/>
  <c r="G143" i="6"/>
  <c r="G143" i="6" a="1"/>
  <c r="F143" i="6" a="1"/>
  <c r="F143" i="6" s="1"/>
  <c r="E143" i="6"/>
  <c r="E143" i="6" a="1"/>
  <c r="D143" i="6" a="1"/>
  <c r="D143" i="6" s="1"/>
  <c r="AH142" i="6" a="1"/>
  <c r="AH142" i="6" s="1"/>
  <c r="AG142" i="6"/>
  <c r="AG142" i="6" a="1"/>
  <c r="AF142" i="6" a="1"/>
  <c r="AF142" i="6" s="1"/>
  <c r="AE142" i="6"/>
  <c r="AE142" i="6" a="1"/>
  <c r="AD142" i="6"/>
  <c r="AD142" i="6" a="1"/>
  <c r="AC142" i="6" a="1"/>
  <c r="AC142" i="6" s="1"/>
  <c r="AB142" i="6" a="1"/>
  <c r="AB142" i="6" s="1"/>
  <c r="AA142" i="6" a="1"/>
  <c r="AA142" i="6" s="1"/>
  <c r="Z142" i="6" a="1"/>
  <c r="Z142" i="6" s="1"/>
  <c r="Y142" i="6" a="1"/>
  <c r="Y142" i="6" s="1"/>
  <c r="X142" i="6" a="1"/>
  <c r="X142" i="6" s="1"/>
  <c r="W142" i="6"/>
  <c r="W142" i="6" a="1"/>
  <c r="V142" i="6" a="1"/>
  <c r="V142" i="6" s="1"/>
  <c r="U142" i="6"/>
  <c r="U142" i="6" a="1"/>
  <c r="T142" i="6" a="1"/>
  <c r="T142" i="6" s="1"/>
  <c r="S142" i="6"/>
  <c r="S142" i="6" a="1"/>
  <c r="R142" i="6"/>
  <c r="R142" i="6" a="1"/>
  <c r="Q142" i="6" a="1"/>
  <c r="Q142" i="6" s="1"/>
  <c r="P142" i="6"/>
  <c r="P142" i="6" a="1"/>
  <c r="O142" i="6"/>
  <c r="O142" i="6" a="1"/>
  <c r="N142" i="6" a="1"/>
  <c r="N142" i="6" s="1"/>
  <c r="M142" i="6" a="1"/>
  <c r="M142" i="6" s="1"/>
  <c r="L142" i="6" a="1"/>
  <c r="L142" i="6" s="1"/>
  <c r="K142" i="6" a="1"/>
  <c r="K142" i="6" s="1"/>
  <c r="J142" i="6" a="1"/>
  <c r="J142" i="6" s="1"/>
  <c r="I142" i="6" a="1"/>
  <c r="I142" i="6" s="1"/>
  <c r="H142" i="6" a="1"/>
  <c r="H142" i="6" s="1"/>
  <c r="G142" i="6" a="1"/>
  <c r="G142" i="6" s="1"/>
  <c r="F142" i="6" a="1"/>
  <c r="F142" i="6" s="1"/>
  <c r="E142" i="6" a="1"/>
  <c r="E142" i="6" s="1"/>
  <c r="D142" i="6"/>
  <c r="D142" i="6" a="1"/>
  <c r="AH141" i="6"/>
  <c r="AH141" i="6" a="1"/>
  <c r="AG141" i="6" a="1"/>
  <c r="AG141" i="6" s="1"/>
  <c r="AF141" i="6"/>
  <c r="AF141" i="6" a="1"/>
  <c r="AE141" i="6"/>
  <c r="AE141" i="6" a="1"/>
  <c r="AD141" i="6" a="1"/>
  <c r="AD141" i="6" s="1"/>
  <c r="AC141" i="6"/>
  <c r="AC141" i="6" a="1"/>
  <c r="AB141" i="6" a="1"/>
  <c r="AB141" i="6" s="1"/>
  <c r="AA141" i="6" a="1"/>
  <c r="AA141" i="6" s="1"/>
  <c r="Z141" i="6" a="1"/>
  <c r="Z141" i="6" s="1"/>
  <c r="Y141" i="6" a="1"/>
  <c r="Y141" i="6" s="1"/>
  <c r="X141" i="6" a="1"/>
  <c r="X141" i="6" s="1"/>
  <c r="W141" i="6" a="1"/>
  <c r="W141" i="6" s="1"/>
  <c r="V141" i="6" a="1"/>
  <c r="V141" i="6" s="1"/>
  <c r="U141" i="6" a="1"/>
  <c r="U141" i="6" s="1"/>
  <c r="T141" i="6"/>
  <c r="T141" i="6" a="1"/>
  <c r="S141" i="6"/>
  <c r="S141" i="6" a="1"/>
  <c r="R141" i="6" a="1"/>
  <c r="R141" i="6" s="1"/>
  <c r="Q141" i="6"/>
  <c r="Q141" i="6" a="1"/>
  <c r="P141" i="6" a="1"/>
  <c r="P141" i="6" s="1"/>
  <c r="O141" i="6" a="1"/>
  <c r="O141" i="6" s="1"/>
  <c r="N141" i="6"/>
  <c r="N141" i="6" a="1"/>
  <c r="M141" i="6" a="1"/>
  <c r="M141" i="6" s="1"/>
  <c r="L141" i="6" a="1"/>
  <c r="L141" i="6" s="1"/>
  <c r="K141" i="6" a="1"/>
  <c r="K141" i="6" s="1"/>
  <c r="J141" i="6" a="1"/>
  <c r="J141" i="6" s="1"/>
  <c r="I141" i="6" a="1"/>
  <c r="I141" i="6" s="1"/>
  <c r="H141" i="6"/>
  <c r="H141" i="6" a="1"/>
  <c r="G141" i="6" a="1"/>
  <c r="G141" i="6" s="1"/>
  <c r="F141" i="6" a="1"/>
  <c r="F141" i="6" s="1"/>
  <c r="E141" i="6"/>
  <c r="E141" i="6" a="1"/>
  <c r="D141" i="6"/>
  <c r="D141" i="6" a="1"/>
  <c r="AH140" i="6" a="1"/>
  <c r="AH140" i="6" s="1"/>
  <c r="AG140" i="6" a="1"/>
  <c r="AG140" i="6" s="1"/>
  <c r="AF140" i="6" a="1"/>
  <c r="AF140" i="6" s="1"/>
  <c r="AE140" i="6" a="1"/>
  <c r="AE140" i="6" s="1"/>
  <c r="AD140" i="6"/>
  <c r="AD140" i="6" a="1"/>
  <c r="AC140" i="6" a="1"/>
  <c r="AC140" i="6" s="1"/>
  <c r="AB140" i="6" a="1"/>
  <c r="AB140" i="6" s="1"/>
  <c r="AA140" i="6" a="1"/>
  <c r="AA140" i="6" s="1"/>
  <c r="Z140" i="6" a="1"/>
  <c r="Z140" i="6" s="1"/>
  <c r="Y140" i="6"/>
  <c r="Y140" i="6" a="1"/>
  <c r="X140" i="6"/>
  <c r="X140" i="6" a="1"/>
  <c r="W140" i="6" a="1"/>
  <c r="W140" i="6" s="1"/>
  <c r="V140" i="6" a="1"/>
  <c r="V140" i="6" s="1"/>
  <c r="U140" i="6"/>
  <c r="U140" i="6" a="1"/>
  <c r="T140" i="6"/>
  <c r="T140" i="6" a="1"/>
  <c r="S140" i="6" a="1"/>
  <c r="S140" i="6" s="1"/>
  <c r="R140" i="6" a="1"/>
  <c r="R140" i="6" s="1"/>
  <c r="Q140" i="6"/>
  <c r="Q140" i="6" a="1"/>
  <c r="P140" i="6" a="1"/>
  <c r="P140" i="6" s="1"/>
  <c r="O140" i="6"/>
  <c r="O140" i="6" a="1"/>
  <c r="N140" i="6" a="1"/>
  <c r="N140" i="6" s="1"/>
  <c r="M140" i="6" a="1"/>
  <c r="M140" i="6" s="1"/>
  <c r="L140" i="6" a="1"/>
  <c r="L140" i="6" s="1"/>
  <c r="K140" i="6" a="1"/>
  <c r="K140" i="6" s="1"/>
  <c r="J140" i="6"/>
  <c r="J140" i="6" a="1"/>
  <c r="I140" i="6"/>
  <c r="I140" i="6" a="1"/>
  <c r="H140" i="6"/>
  <c r="H140" i="6" a="1"/>
  <c r="G140" i="6" a="1"/>
  <c r="G140" i="6" s="1"/>
  <c r="F140" i="6"/>
  <c r="F140" i="6" a="1"/>
  <c r="E140" i="6" a="1"/>
  <c r="E140" i="6" s="1"/>
  <c r="D140" i="6" a="1"/>
  <c r="D140" i="6" s="1"/>
  <c r="AH139" i="6" a="1"/>
  <c r="AH139" i="6" s="1"/>
  <c r="AG139" i="6"/>
  <c r="AG139" i="6" a="1"/>
  <c r="AF139" i="6" a="1"/>
  <c r="AF139" i="6" s="1"/>
  <c r="AE139" i="6"/>
  <c r="AE139" i="6" a="1"/>
  <c r="AD139" i="6" a="1"/>
  <c r="AD139" i="6" s="1"/>
  <c r="AC139" i="6" a="1"/>
  <c r="AC139" i="6" s="1"/>
  <c r="AB139" i="6"/>
  <c r="AB139" i="6" a="1"/>
  <c r="AA139" i="6" a="1"/>
  <c r="AA139" i="6" s="1"/>
  <c r="Z139" i="6" a="1"/>
  <c r="Z139" i="6" s="1"/>
  <c r="Y139" i="6"/>
  <c r="Y139" i="6" a="1"/>
  <c r="X139" i="6" a="1"/>
  <c r="X139" i="6" s="1"/>
  <c r="W139" i="6" a="1"/>
  <c r="W139" i="6" s="1"/>
  <c r="V139" i="6" a="1"/>
  <c r="V139" i="6" s="1"/>
  <c r="U139" i="6" a="1"/>
  <c r="U139" i="6" s="1"/>
  <c r="T139" i="6" a="1"/>
  <c r="T139" i="6" s="1"/>
  <c r="S139" i="6" a="1"/>
  <c r="S139" i="6" s="1"/>
  <c r="R139" i="6"/>
  <c r="R139" i="6" a="1"/>
  <c r="Q139" i="6" a="1"/>
  <c r="Q139" i="6" s="1"/>
  <c r="P139" i="6"/>
  <c r="P139" i="6" a="1"/>
  <c r="O139" i="6" a="1"/>
  <c r="O139" i="6" s="1"/>
  <c r="N139" i="6"/>
  <c r="N139" i="6" a="1"/>
  <c r="M139" i="6"/>
  <c r="M139" i="6" a="1"/>
  <c r="L139" i="6" a="1"/>
  <c r="L139" i="6" s="1"/>
  <c r="K139" i="6" a="1"/>
  <c r="K139" i="6" s="1"/>
  <c r="J139" i="6"/>
  <c r="J139" i="6" a="1"/>
  <c r="I139" i="6" a="1"/>
  <c r="I139" i="6" s="1"/>
  <c r="H139" i="6" a="1"/>
  <c r="H139" i="6" s="1"/>
  <c r="G139" i="6" a="1"/>
  <c r="G139" i="6" s="1"/>
  <c r="F139" i="6" a="1"/>
  <c r="F139" i="6" s="1"/>
  <c r="E139" i="6" a="1"/>
  <c r="E139" i="6" s="1"/>
  <c r="D139" i="6" a="1"/>
  <c r="D139" i="6" s="1"/>
  <c r="AH138" i="6" a="1"/>
  <c r="AH138" i="6" s="1"/>
  <c r="AG138" i="6" a="1"/>
  <c r="AG138" i="6" s="1"/>
  <c r="AF138" i="6" a="1"/>
  <c r="AF138" i="6" s="1"/>
  <c r="AE138" i="6" a="1"/>
  <c r="AE138" i="6" s="1"/>
  <c r="AD138" i="6"/>
  <c r="AD138" i="6" a="1"/>
  <c r="AC138" i="6"/>
  <c r="AC138" i="6" a="1"/>
  <c r="AB138" i="6" a="1"/>
  <c r="AB138" i="6" s="1"/>
  <c r="AA138" i="6"/>
  <c r="AA138" i="6" a="1"/>
  <c r="Z138" i="6"/>
  <c r="Z138" i="6" a="1"/>
  <c r="Y138" i="6" a="1"/>
  <c r="Y138" i="6" s="1"/>
  <c r="X138" i="6"/>
  <c r="X138" i="6" a="1"/>
  <c r="W138" i="6" a="1"/>
  <c r="W138" i="6" s="1"/>
  <c r="V138" i="6" a="1"/>
  <c r="V138" i="6" s="1"/>
  <c r="U138" i="6" a="1"/>
  <c r="U138" i="6" s="1"/>
  <c r="T138" i="6" a="1"/>
  <c r="T138" i="6" s="1"/>
  <c r="S138" i="6" a="1"/>
  <c r="S138" i="6" s="1"/>
  <c r="R138" i="6" a="1"/>
  <c r="R138" i="6" s="1"/>
  <c r="Q138" i="6"/>
  <c r="Q138" i="6" a="1"/>
  <c r="P138" i="6" a="1"/>
  <c r="P138" i="6" s="1"/>
  <c r="O138" i="6"/>
  <c r="O138" i="6" a="1"/>
  <c r="N138" i="6"/>
  <c r="N138" i="6" a="1"/>
  <c r="M138" i="6" a="1"/>
  <c r="M138" i="6" s="1"/>
  <c r="L138" i="6" a="1"/>
  <c r="L138" i="6" s="1"/>
  <c r="K138" i="6" a="1"/>
  <c r="K138" i="6" s="1"/>
  <c r="J138" i="6" a="1"/>
  <c r="J138" i="6" s="1"/>
  <c r="I138" i="6"/>
  <c r="I138" i="6" a="1"/>
  <c r="H138" i="6" a="1"/>
  <c r="H138" i="6" s="1"/>
  <c r="G138" i="6" a="1"/>
  <c r="G138" i="6" s="1"/>
  <c r="F138" i="6" a="1"/>
  <c r="F138" i="6" s="1"/>
  <c r="E138" i="6" a="1"/>
  <c r="E138" i="6" s="1"/>
  <c r="D138" i="6" a="1"/>
  <c r="D138" i="6" s="1"/>
  <c r="AH137" i="6"/>
  <c r="AH137" i="6" a="1"/>
  <c r="AG137" i="6" a="1"/>
  <c r="AG137" i="6" s="1"/>
  <c r="AF137" i="6" a="1"/>
  <c r="AF137" i="6" s="1"/>
  <c r="AE137" i="6"/>
  <c r="AE137" i="6" a="1"/>
  <c r="AD137" i="6"/>
  <c r="AD137" i="6" a="1"/>
  <c r="AC137" i="6" a="1"/>
  <c r="AC137" i="6" s="1"/>
  <c r="AB137" i="6" a="1"/>
  <c r="AB137" i="6" s="1"/>
  <c r="AA137" i="6" a="1"/>
  <c r="AA137" i="6" s="1"/>
  <c r="Z137" i="6" a="1"/>
  <c r="Z137" i="6" s="1"/>
  <c r="Y137" i="6"/>
  <c r="Y137" i="6" a="1"/>
  <c r="X137" i="6" a="1"/>
  <c r="X137" i="6" s="1"/>
  <c r="W137" i="6" a="1"/>
  <c r="W137" i="6" s="1"/>
  <c r="V137" i="6" a="1"/>
  <c r="V137" i="6" s="1"/>
  <c r="U137" i="6" a="1"/>
  <c r="U137" i="6" s="1"/>
  <c r="T137" i="6" a="1"/>
  <c r="T137" i="6" s="1"/>
  <c r="S137" i="6"/>
  <c r="S137" i="6" a="1"/>
  <c r="R137" i="6" a="1"/>
  <c r="R137" i="6" s="1"/>
  <c r="Q137" i="6" a="1"/>
  <c r="Q137" i="6" s="1"/>
  <c r="P137" i="6"/>
  <c r="P137" i="6" a="1"/>
  <c r="O137" i="6"/>
  <c r="O137" i="6" a="1"/>
  <c r="N137" i="6" a="1"/>
  <c r="N137" i="6" s="1"/>
  <c r="M137" i="6" a="1"/>
  <c r="M137" i="6" s="1"/>
  <c r="L137" i="6"/>
  <c r="L137" i="6" a="1"/>
  <c r="K137" i="6" a="1"/>
  <c r="K137" i="6" s="1"/>
  <c r="J137" i="6"/>
  <c r="J137" i="6" a="1"/>
  <c r="I137" i="6" a="1"/>
  <c r="I137" i="6" s="1"/>
  <c r="H137" i="6" a="1"/>
  <c r="H137" i="6" s="1"/>
  <c r="G137" i="6" a="1"/>
  <c r="G137" i="6" s="1"/>
  <c r="F137" i="6" a="1"/>
  <c r="F137" i="6" s="1"/>
  <c r="E137" i="6" a="1"/>
  <c r="E137" i="6" s="1"/>
  <c r="D137" i="6"/>
  <c r="D137" i="6" a="1"/>
  <c r="AH136" i="6" a="1"/>
  <c r="AH136" i="6" s="1"/>
  <c r="AG136" i="6" a="1"/>
  <c r="AG136" i="6" s="1"/>
  <c r="AF136" i="6"/>
  <c r="AF136" i="6" a="1"/>
  <c r="AE136" i="6" a="1"/>
  <c r="AE136" i="6" s="1"/>
  <c r="AD136" i="6" a="1"/>
  <c r="AD136" i="6" s="1"/>
  <c r="AC136" i="6" a="1"/>
  <c r="AC136" i="6" s="1"/>
  <c r="AB136" i="6"/>
  <c r="AB136" i="6" a="1"/>
  <c r="AA136" i="6" a="1"/>
  <c r="AA136" i="6" s="1"/>
  <c r="Z136" i="6"/>
  <c r="Z136" i="6" a="1"/>
  <c r="Y136" i="6" a="1"/>
  <c r="Y136" i="6" s="1"/>
  <c r="X136" i="6" a="1"/>
  <c r="X136" i="6" s="1"/>
  <c r="W136" i="6"/>
  <c r="W136" i="6" a="1"/>
  <c r="V136" i="6" a="1"/>
  <c r="V136" i="6" s="1"/>
  <c r="U136" i="6" a="1"/>
  <c r="U136" i="6" s="1"/>
  <c r="T136" i="6"/>
  <c r="T136" i="6" a="1"/>
  <c r="S136" i="6" a="1"/>
  <c r="S136" i="6" s="1"/>
  <c r="R136" i="6" a="1"/>
  <c r="R136" i="6" s="1"/>
  <c r="Q136" i="6" a="1"/>
  <c r="Q136" i="6" s="1"/>
  <c r="P136" i="6" a="1"/>
  <c r="P136" i="6" s="1"/>
  <c r="O136" i="6" a="1"/>
  <c r="O136" i="6" s="1"/>
  <c r="N136" i="6"/>
  <c r="N136" i="6" a="1"/>
  <c r="M136" i="6" a="1"/>
  <c r="M136" i="6" s="1"/>
  <c r="L136" i="6" a="1"/>
  <c r="L136" i="6" s="1"/>
  <c r="K136" i="6"/>
  <c r="K136" i="6" a="1"/>
  <c r="J136" i="6" a="1"/>
  <c r="J136" i="6" s="1"/>
  <c r="I136" i="6"/>
  <c r="I136" i="6" a="1"/>
  <c r="H136" i="6"/>
  <c r="H136" i="6" a="1"/>
  <c r="G136" i="6" a="1"/>
  <c r="G136" i="6" s="1"/>
  <c r="F136" i="6" a="1"/>
  <c r="F136" i="6" s="1"/>
  <c r="E136" i="6" a="1"/>
  <c r="E136" i="6" s="1"/>
  <c r="D136" i="6" a="1"/>
  <c r="D136" i="6" s="1"/>
  <c r="AH135" i="6" a="1"/>
  <c r="AH135" i="6" s="1"/>
  <c r="AG135" i="6" a="1"/>
  <c r="AG135" i="6" s="1"/>
  <c r="AF135" i="6" a="1"/>
  <c r="AF135" i="6" s="1"/>
  <c r="AE135" i="6" a="1"/>
  <c r="AE135" i="6" s="1"/>
  <c r="AD135" i="6"/>
  <c r="AD135" i="6" a="1"/>
  <c r="AC135" i="6" a="1"/>
  <c r="AC135" i="6" s="1"/>
  <c r="AB135" i="6" a="1"/>
  <c r="AB135" i="6" s="1"/>
  <c r="AA135" i="6" a="1"/>
  <c r="AA135" i="6" s="1"/>
  <c r="Z135" i="6" a="1"/>
  <c r="Z135" i="6" s="1"/>
  <c r="Y135" i="6" a="1"/>
  <c r="Y135" i="6" s="1"/>
  <c r="X135" i="6" a="1"/>
  <c r="X135" i="6" s="1"/>
  <c r="W135" i="6" a="1"/>
  <c r="W135" i="6" s="1"/>
  <c r="V135" i="6"/>
  <c r="V135" i="6" a="1"/>
  <c r="U135" i="6" a="1"/>
  <c r="U135" i="6" s="1"/>
  <c r="T135" i="6" a="1"/>
  <c r="T135" i="6" s="1"/>
  <c r="S135" i="6"/>
  <c r="S135" i="6" a="1"/>
  <c r="R135" i="6"/>
  <c r="R135" i="6" a="1"/>
  <c r="Q135" i="6"/>
  <c r="Q135" i="6" a="1"/>
  <c r="P135" i="6"/>
  <c r="P135" i="6" a="1"/>
  <c r="O135" i="6" a="1"/>
  <c r="O135" i="6" s="1"/>
  <c r="N135" i="6" a="1"/>
  <c r="N135" i="6" s="1"/>
  <c r="M135" i="6" a="1"/>
  <c r="M135" i="6" s="1"/>
  <c r="L135" i="6" a="1"/>
  <c r="L135" i="6" s="1"/>
  <c r="K135" i="6" a="1"/>
  <c r="K135" i="6" s="1"/>
  <c r="J135" i="6"/>
  <c r="J135" i="6" a="1"/>
  <c r="I135" i="6"/>
  <c r="I135" i="6" a="1"/>
  <c r="H135" i="6"/>
  <c r="H135" i="6" a="1"/>
  <c r="G135" i="6" a="1"/>
  <c r="G135" i="6" s="1"/>
  <c r="F135" i="6" a="1"/>
  <c r="F135" i="6" s="1"/>
  <c r="E135" i="6" a="1"/>
  <c r="E135" i="6" s="1"/>
  <c r="D135" i="6" a="1"/>
  <c r="D135" i="6" s="1"/>
  <c r="AH134" i="6"/>
  <c r="AH134" i="6" a="1"/>
  <c r="AG134" i="6" a="1"/>
  <c r="AG134" i="6" s="1"/>
  <c r="AF134" i="6" a="1"/>
  <c r="AF134" i="6" s="1"/>
  <c r="AE134" i="6" a="1"/>
  <c r="AE134" i="6" s="1"/>
  <c r="AD134" i="6"/>
  <c r="AD134" i="6" a="1"/>
  <c r="AC134" i="6" a="1"/>
  <c r="AC134" i="6" s="1"/>
  <c r="AB134" i="6" a="1"/>
  <c r="AB134" i="6" s="1"/>
  <c r="AA134" i="6"/>
  <c r="AA134" i="6" a="1"/>
  <c r="Z134" i="6"/>
  <c r="Z134" i="6" a="1"/>
  <c r="Y134" i="6"/>
  <c r="Y134" i="6" a="1"/>
  <c r="X134" i="6"/>
  <c r="X134" i="6" a="1"/>
  <c r="W134" i="6" a="1"/>
  <c r="W134" i="6" s="1"/>
  <c r="V134" i="6" a="1"/>
  <c r="V134" i="6" s="1"/>
  <c r="U134" i="6" a="1"/>
  <c r="U134" i="6" s="1"/>
  <c r="T134" i="6" a="1"/>
  <c r="T134" i="6" s="1"/>
  <c r="S134" i="6"/>
  <c r="S134" i="6" a="1"/>
  <c r="R134" i="6" a="1"/>
  <c r="R134" i="6" s="1"/>
  <c r="Q134" i="6" a="1"/>
  <c r="Q134" i="6" s="1"/>
  <c r="P134" i="6" a="1"/>
  <c r="P134" i="6" s="1"/>
  <c r="O134" i="6"/>
  <c r="O134" i="6" a="1"/>
  <c r="N134" i="6" a="1"/>
  <c r="N134" i="6" s="1"/>
  <c r="M134" i="6" a="1"/>
  <c r="M134" i="6" s="1"/>
  <c r="L134" i="6"/>
  <c r="L134" i="6" a="1"/>
  <c r="K134" i="6"/>
  <c r="K134" i="6" a="1"/>
  <c r="J134" i="6"/>
  <c r="J134" i="6" a="1"/>
  <c r="I134" i="6"/>
  <c r="I134" i="6" a="1"/>
  <c r="H134" i="6" a="1"/>
  <c r="H134" i="6" s="1"/>
  <c r="G134" i="6" a="1"/>
  <c r="G134" i="6" s="1"/>
  <c r="F134" i="6" a="1"/>
  <c r="F134" i="6" s="1"/>
  <c r="E134" i="6" a="1"/>
  <c r="E134" i="6" s="1"/>
  <c r="D134" i="6"/>
  <c r="D134" i="6" a="1"/>
  <c r="AH133" i="6" a="1"/>
  <c r="AH133" i="6" s="1"/>
  <c r="AG133" i="6" a="1"/>
  <c r="AG133" i="6" s="1"/>
  <c r="AF133" i="6" a="1"/>
  <c r="AF133" i="6" s="1"/>
  <c r="AE133" i="6" a="1"/>
  <c r="AE133" i="6" s="1"/>
  <c r="AD133" i="6" a="1"/>
  <c r="AD133" i="6" s="1"/>
  <c r="AC133" i="6" a="1"/>
  <c r="AC133" i="6" s="1"/>
  <c r="AB133" i="6" a="1"/>
  <c r="AB133" i="6" s="1"/>
  <c r="AA133" i="6"/>
  <c r="AA133" i="6" a="1"/>
  <c r="Z133" i="6"/>
  <c r="Z133" i="6" a="1"/>
  <c r="Y133" i="6"/>
  <c r="Y133" i="6" a="1"/>
  <c r="X133" i="6" a="1"/>
  <c r="X133" i="6" s="1"/>
  <c r="W133" i="6"/>
  <c r="W133" i="6" a="1"/>
  <c r="V133" i="6" a="1"/>
  <c r="V133" i="6" s="1"/>
  <c r="U133" i="6" a="1"/>
  <c r="U133" i="6" s="1"/>
  <c r="T133" i="6"/>
  <c r="T133" i="6" a="1"/>
  <c r="S133" i="6" a="1"/>
  <c r="S133" i="6" s="1"/>
  <c r="R133" i="6" a="1"/>
  <c r="R133" i="6" s="1"/>
  <c r="Q133" i="6" a="1"/>
  <c r="Q133" i="6" s="1"/>
  <c r="P133" i="6" a="1"/>
  <c r="P133" i="6" s="1"/>
  <c r="O133" i="6" a="1"/>
  <c r="O133" i="6" s="1"/>
  <c r="N133" i="6"/>
  <c r="N133" i="6" a="1"/>
  <c r="M133" i="6"/>
  <c r="M133" i="6" a="1"/>
  <c r="L133" i="6"/>
  <c r="L133" i="6" a="1"/>
  <c r="K133" i="6"/>
  <c r="K133" i="6" a="1"/>
  <c r="J133" i="6" a="1"/>
  <c r="J133" i="6" s="1"/>
  <c r="I133" i="6" a="1"/>
  <c r="I133" i="6" s="1"/>
  <c r="H133" i="6"/>
  <c r="H133" i="6" a="1"/>
  <c r="G133" i="6" a="1"/>
  <c r="G133" i="6" s="1"/>
  <c r="F133" i="6" a="1"/>
  <c r="F133" i="6" s="1"/>
  <c r="E133" i="6"/>
  <c r="E133" i="6" a="1"/>
  <c r="D133" i="6" a="1"/>
  <c r="D133" i="6" s="1"/>
  <c r="AH132" i="6" a="1"/>
  <c r="AH132" i="6" s="1"/>
  <c r="AG132" i="6"/>
  <c r="AG132" i="6" a="1"/>
  <c r="AF132" i="6" a="1"/>
  <c r="AF132" i="6" s="1"/>
  <c r="AE132" i="6" a="1"/>
  <c r="AE132" i="6" s="1"/>
  <c r="AD132" i="6"/>
  <c r="AD132" i="6" a="1"/>
  <c r="AC132" i="6"/>
  <c r="AC132" i="6" a="1"/>
  <c r="AB132" i="6"/>
  <c r="AB132" i="6" a="1"/>
  <c r="AA132" i="6" a="1"/>
  <c r="AA132" i="6" s="1"/>
  <c r="Z132" i="6" a="1"/>
  <c r="Z132" i="6" s="1"/>
  <c r="Y132" i="6" a="1"/>
  <c r="Y132" i="6" s="1"/>
  <c r="X132" i="6"/>
  <c r="X132" i="6" a="1"/>
  <c r="W132" i="6" a="1"/>
  <c r="W132" i="6" s="1"/>
  <c r="V132" i="6" a="1"/>
  <c r="V132" i="6" s="1"/>
  <c r="U132" i="6"/>
  <c r="U132" i="6" a="1"/>
  <c r="T132" i="6" a="1"/>
  <c r="T132" i="6" s="1"/>
  <c r="S132" i="6"/>
  <c r="S132" i="6" a="1"/>
  <c r="R132" i="6"/>
  <c r="R132" i="6" a="1"/>
  <c r="Q132" i="6" a="1"/>
  <c r="Q132" i="6" s="1"/>
  <c r="P132" i="6" a="1"/>
  <c r="P132" i="6" s="1"/>
  <c r="O132" i="6"/>
  <c r="O132" i="6" a="1"/>
  <c r="N132" i="6"/>
  <c r="N132" i="6" a="1"/>
  <c r="M132" i="6" a="1"/>
  <c r="M132" i="6" s="1"/>
  <c r="L132" i="6"/>
  <c r="L132" i="6" a="1"/>
  <c r="K132" i="6" a="1"/>
  <c r="K132" i="6" s="1"/>
  <c r="J132" i="6" a="1"/>
  <c r="J132" i="6" s="1"/>
  <c r="I132" i="6"/>
  <c r="I132" i="6" a="1"/>
  <c r="H132" i="6" a="1"/>
  <c r="H132" i="6" s="1"/>
  <c r="G132" i="6" a="1"/>
  <c r="G132" i="6" s="1"/>
  <c r="F132" i="6" a="1"/>
  <c r="F132" i="6" s="1"/>
  <c r="E132" i="6"/>
  <c r="E132" i="6" a="1"/>
  <c r="D132" i="6"/>
  <c r="D132" i="6" a="1"/>
  <c r="AH131" i="6"/>
  <c r="AH131" i="6" a="1"/>
  <c r="AG131" i="6" a="1"/>
  <c r="AG131" i="6" s="1"/>
  <c r="AF131" i="6" a="1"/>
  <c r="AF131" i="6" s="1"/>
  <c r="AE131" i="6"/>
  <c r="AE131" i="6" a="1"/>
  <c r="AD131" i="6" a="1"/>
  <c r="AD131" i="6" s="1"/>
  <c r="AC131" i="6"/>
  <c r="AC131" i="6" a="1"/>
  <c r="AB131" i="6"/>
  <c r="AB131" i="6" a="1"/>
  <c r="AA131" i="6" a="1"/>
  <c r="AA131" i="6" s="1"/>
  <c r="Z131" i="6" a="1"/>
  <c r="Z131" i="6" s="1"/>
  <c r="Y131" i="6"/>
  <c r="Y131" i="6" a="1"/>
  <c r="X131" i="6" a="1"/>
  <c r="X131" i="6" s="1"/>
  <c r="W131" i="6" a="1"/>
  <c r="W131" i="6" s="1"/>
  <c r="V131" i="6"/>
  <c r="V131" i="6" a="1"/>
  <c r="U131" i="6"/>
  <c r="U131" i="6" a="1"/>
  <c r="T131" i="6"/>
  <c r="T131" i="6" a="1"/>
  <c r="S131" i="6"/>
  <c r="S131" i="6" a="1"/>
  <c r="R131" i="6" a="1"/>
  <c r="R131" i="6" s="1"/>
  <c r="Q131" i="6" a="1"/>
  <c r="Q131" i="6" s="1"/>
  <c r="P131" i="6" a="1"/>
  <c r="P131" i="6" s="1"/>
  <c r="O131" i="6" a="1"/>
  <c r="O131" i="6" s="1"/>
  <c r="N131" i="6"/>
  <c r="N131" i="6" a="1"/>
  <c r="M131" i="6"/>
  <c r="M131" i="6" a="1"/>
  <c r="L131" i="6" a="1"/>
  <c r="L131" i="6" s="1"/>
  <c r="K131" i="6" a="1"/>
  <c r="K131" i="6" s="1"/>
  <c r="J131" i="6"/>
  <c r="J131" i="6" a="1"/>
  <c r="I131" i="6" a="1"/>
  <c r="I131" i="6" s="1"/>
  <c r="H131" i="6"/>
  <c r="H131" i="6" a="1"/>
  <c r="G131" i="6"/>
  <c r="G131" i="6" a="1"/>
  <c r="F131" i="6"/>
  <c r="F131" i="6" a="1"/>
  <c r="E131" i="6"/>
  <c r="E131" i="6" a="1"/>
  <c r="D131" i="6"/>
  <c r="D131" i="6" a="1"/>
  <c r="AH130" i="6" a="1"/>
  <c r="AH130" i="6" s="1"/>
  <c r="AG130" i="6" a="1"/>
  <c r="AG130" i="6" s="1"/>
  <c r="AF130" i="6" a="1"/>
  <c r="AF130" i="6" s="1"/>
  <c r="AE130" i="6" a="1"/>
  <c r="AE130" i="6" s="1"/>
  <c r="AD130" i="6"/>
  <c r="AD130" i="6" a="1"/>
  <c r="AC130" i="6"/>
  <c r="AC130" i="6" a="1"/>
  <c r="AB130" i="6" a="1"/>
  <c r="AB130" i="6" s="1"/>
  <c r="AA130" i="6" a="1"/>
  <c r="AA130" i="6" s="1"/>
  <c r="Z130" i="6" a="1"/>
  <c r="Z130" i="6" s="1"/>
  <c r="Y130" i="6" a="1"/>
  <c r="Y130" i="6" s="1"/>
  <c r="X130" i="6"/>
  <c r="X130" i="6" a="1"/>
  <c r="W130" i="6"/>
  <c r="W130" i="6" a="1"/>
  <c r="V130" i="6"/>
  <c r="V130" i="6" a="1"/>
  <c r="U130" i="6"/>
  <c r="U130" i="6" a="1"/>
  <c r="T130" i="6"/>
  <c r="T130" i="6" a="1"/>
  <c r="S130" i="6" a="1"/>
  <c r="S130" i="6" s="1"/>
  <c r="R130" i="6"/>
  <c r="R130" i="6" a="1"/>
  <c r="Q130" i="6" a="1"/>
  <c r="Q130" i="6" s="1"/>
  <c r="P130" i="6" a="1"/>
  <c r="P130" i="6" s="1"/>
  <c r="O130" i="6"/>
  <c r="O130" i="6" a="1"/>
  <c r="N130" i="6"/>
  <c r="N130" i="6" a="1"/>
  <c r="M130" i="6" a="1"/>
  <c r="M130" i="6" s="1"/>
  <c r="L130" i="6" a="1"/>
  <c r="L130" i="6" s="1"/>
  <c r="K130" i="6" a="1"/>
  <c r="K130" i="6" s="1"/>
  <c r="J130" i="6" a="1"/>
  <c r="J130" i="6" s="1"/>
  <c r="I130" i="6"/>
  <c r="I130" i="6" a="1"/>
  <c r="H130" i="6" a="1"/>
  <c r="H130" i="6" s="1"/>
  <c r="G130" i="6"/>
  <c r="G130" i="6" a="1"/>
  <c r="F130" i="6"/>
  <c r="F130" i="6" a="1"/>
  <c r="E130" i="6" a="1"/>
  <c r="E130" i="6" s="1"/>
  <c r="D130" i="6" a="1"/>
  <c r="D130" i="6" s="1"/>
  <c r="AH129" i="6"/>
  <c r="AH129" i="6" a="1"/>
  <c r="AG129" i="6" a="1"/>
  <c r="AG129" i="6" s="1"/>
  <c r="AF129" i="6" a="1"/>
  <c r="AF129" i="6" s="1"/>
  <c r="AE129" i="6"/>
  <c r="AE129" i="6" a="1"/>
  <c r="AD129" i="6"/>
  <c r="AD129" i="6" a="1"/>
  <c r="AC129" i="6" a="1"/>
  <c r="AC129" i="6" s="1"/>
  <c r="AB129" i="6"/>
  <c r="AB129" i="6" a="1"/>
  <c r="AA129" i="6" a="1"/>
  <c r="AA129" i="6" s="1"/>
  <c r="Z129" i="6" a="1"/>
  <c r="Z129" i="6" s="1"/>
  <c r="Y129" i="6"/>
  <c r="Y129" i="6" a="1"/>
  <c r="X129" i="6"/>
  <c r="X129" i="6" a="1"/>
  <c r="W129" i="6"/>
  <c r="W129" i="6" a="1"/>
  <c r="V129" i="6" a="1"/>
  <c r="V129" i="6" s="1"/>
  <c r="U129" i="6" a="1"/>
  <c r="U129" i="6" s="1"/>
  <c r="T129" i="6" a="1"/>
  <c r="T129" i="6" s="1"/>
  <c r="S129" i="6"/>
  <c r="S129" i="6" a="1"/>
  <c r="R129" i="6" a="1"/>
  <c r="R129" i="6" s="1"/>
  <c r="Q129" i="6" a="1"/>
  <c r="Q129" i="6" s="1"/>
  <c r="P129" i="6"/>
  <c r="P129" i="6" a="1"/>
  <c r="O129" i="6" a="1"/>
  <c r="O129" i="6" s="1"/>
  <c r="N129" i="6"/>
  <c r="N129" i="6" a="1"/>
  <c r="M129" i="6"/>
  <c r="M129" i="6" a="1"/>
  <c r="L129" i="6" a="1"/>
  <c r="L129" i="6" s="1"/>
  <c r="K129" i="6" a="1"/>
  <c r="K129" i="6" s="1"/>
  <c r="J129" i="6"/>
  <c r="J129" i="6" a="1"/>
  <c r="I129" i="6"/>
  <c r="I129" i="6" a="1"/>
  <c r="H129" i="6" a="1"/>
  <c r="H129" i="6" s="1"/>
  <c r="G129" i="6"/>
  <c r="G129" i="6" a="1"/>
  <c r="F129" i="6" a="1"/>
  <c r="F129" i="6" s="1"/>
  <c r="E129" i="6" a="1"/>
  <c r="E129" i="6" s="1"/>
  <c r="D129" i="6"/>
  <c r="D129" i="6" a="1"/>
  <c r="AH128" i="6" a="1"/>
  <c r="AH128" i="6" s="1"/>
  <c r="AG128" i="6" a="1"/>
  <c r="AG128" i="6" s="1"/>
  <c r="AF128" i="6" a="1"/>
  <c r="AF128" i="6" s="1"/>
  <c r="AE128" i="6"/>
  <c r="AE128" i="6" a="1"/>
  <c r="AD128" i="6"/>
  <c r="AD128" i="6" a="1"/>
  <c r="AC128" i="6"/>
  <c r="AC128" i="6" a="1"/>
  <c r="AB128" i="6" a="1"/>
  <c r="AB128" i="6" s="1"/>
  <c r="AA128" i="6" a="1"/>
  <c r="AA128" i="6" s="1"/>
  <c r="Z128" i="6"/>
  <c r="Z128" i="6" a="1"/>
  <c r="Y128" i="6" a="1"/>
  <c r="Y128" i="6" s="1"/>
  <c r="X128" i="6"/>
  <c r="X128" i="6" a="1"/>
  <c r="W128" i="6"/>
  <c r="W128" i="6" a="1"/>
  <c r="V128" i="6" a="1"/>
  <c r="V128" i="6" s="1"/>
  <c r="U128" i="6" a="1"/>
  <c r="U128" i="6" s="1"/>
  <c r="T128" i="6"/>
  <c r="T128" i="6" a="1"/>
  <c r="S128" i="6" a="1"/>
  <c r="S128" i="6" s="1"/>
  <c r="R128" i="6" a="1"/>
  <c r="R128" i="6" s="1"/>
  <c r="Q128" i="6" a="1"/>
  <c r="Q128" i="6" s="1"/>
  <c r="P128" i="6"/>
  <c r="P128" i="6" a="1"/>
  <c r="O128" i="6"/>
  <c r="O128" i="6" a="1"/>
  <c r="N128" i="6"/>
  <c r="N128" i="6" a="1"/>
  <c r="M128" i="6" a="1"/>
  <c r="M128" i="6" s="1"/>
  <c r="L128" i="6" a="1"/>
  <c r="L128" i="6" s="1"/>
  <c r="K128" i="6" a="1"/>
  <c r="K128" i="6" s="1"/>
  <c r="J128" i="6" a="1"/>
  <c r="J128" i="6" s="1"/>
  <c r="I128" i="6"/>
  <c r="I128" i="6" a="1"/>
  <c r="H128" i="6"/>
  <c r="H128" i="6" a="1"/>
  <c r="G128" i="6" a="1"/>
  <c r="G128" i="6" s="1"/>
  <c r="F128" i="6" a="1"/>
  <c r="F128" i="6" s="1"/>
  <c r="E128" i="6"/>
  <c r="E128" i="6" a="1"/>
  <c r="D128" i="6" a="1"/>
  <c r="D128" i="6" s="1"/>
  <c r="AH127" i="6"/>
  <c r="AH127" i="6" a="1"/>
  <c r="AG127" i="6" a="1"/>
  <c r="AG127" i="6" s="1"/>
  <c r="AF127" i="6"/>
  <c r="AF127" i="6" a="1"/>
  <c r="AE127" i="6"/>
  <c r="AE127" i="6" a="1"/>
  <c r="AD127" i="6"/>
  <c r="AD127" i="6" a="1"/>
  <c r="AC127" i="6" a="1"/>
  <c r="AC127" i="6" s="1"/>
  <c r="AB127" i="6" a="1"/>
  <c r="AB127" i="6" s="1"/>
  <c r="AA127" i="6" a="1"/>
  <c r="AA127" i="6" s="1"/>
  <c r="Z127" i="6" a="1"/>
  <c r="Z127" i="6" s="1"/>
  <c r="Y127" i="6"/>
  <c r="Y127" i="6" a="1"/>
  <c r="X127" i="6"/>
  <c r="X127" i="6" a="1"/>
  <c r="W127" i="6" a="1"/>
  <c r="W127" i="6" s="1"/>
  <c r="V127" i="6" a="1"/>
  <c r="V127" i="6" s="1"/>
  <c r="U127" i="6" a="1"/>
  <c r="U127" i="6" s="1"/>
  <c r="T127" i="6" a="1"/>
  <c r="T127" i="6" s="1"/>
  <c r="S127" i="6" a="1"/>
  <c r="S127" i="6" s="1"/>
  <c r="R127" i="6" a="1"/>
  <c r="R127" i="6" s="1"/>
  <c r="Q127" i="6"/>
  <c r="Q127" i="6" a="1"/>
  <c r="P127" i="6"/>
  <c r="P127" i="6" a="1"/>
  <c r="O127" i="6"/>
  <c r="O127" i="6" a="1"/>
  <c r="N127" i="6" a="1"/>
  <c r="N127" i="6" s="1"/>
  <c r="M127" i="6"/>
  <c r="M127" i="6" a="1"/>
  <c r="L127" i="6" a="1"/>
  <c r="L127" i="6" s="1"/>
  <c r="K127" i="6" a="1"/>
  <c r="K127" i="6" s="1"/>
  <c r="J127" i="6" a="1"/>
  <c r="J127" i="6" s="1"/>
  <c r="I127" i="6"/>
  <c r="I127" i="6" a="1"/>
  <c r="H127" i="6" a="1"/>
  <c r="H127" i="6" s="1"/>
  <c r="G127" i="6" a="1"/>
  <c r="G127" i="6" s="1"/>
  <c r="F127" i="6" a="1"/>
  <c r="F127" i="6" s="1"/>
  <c r="E127" i="6" a="1"/>
  <c r="E127" i="6" s="1"/>
  <c r="D127" i="6" a="1"/>
  <c r="D127" i="6" s="1"/>
  <c r="AH126" i="6" a="1"/>
  <c r="AH126" i="6" s="1"/>
  <c r="AG126" i="6" a="1"/>
  <c r="AG126" i="6" s="1"/>
  <c r="AF126" i="6"/>
  <c r="AF126" i="6" a="1"/>
  <c r="AE126" i="6" a="1"/>
  <c r="AE126" i="6" s="1"/>
  <c r="AD126" i="6" a="1"/>
  <c r="AD126" i="6" s="1"/>
  <c r="AC126" i="6"/>
  <c r="AC126" i="6" a="1"/>
  <c r="AB126" i="6" a="1"/>
  <c r="AB126" i="6" s="1"/>
  <c r="AA126" i="6"/>
  <c r="AA126" i="6" a="1"/>
  <c r="Z126" i="6" a="1"/>
  <c r="Z126" i="6" s="1"/>
  <c r="Y126" i="6"/>
  <c r="Y126" i="6" a="1"/>
  <c r="X126" i="6" a="1"/>
  <c r="X126" i="6" s="1"/>
  <c r="W126" i="6"/>
  <c r="W126" i="6" a="1"/>
  <c r="V126" i="6" a="1"/>
  <c r="V126" i="6" s="1"/>
  <c r="U126" i="6" a="1"/>
  <c r="U126" i="6" s="1"/>
  <c r="T126" i="6" a="1"/>
  <c r="T126" i="6" s="1"/>
  <c r="S126" i="6" a="1"/>
  <c r="S126" i="6" s="1"/>
  <c r="R126" i="6" a="1"/>
  <c r="R126" i="6" s="1"/>
  <c r="Q126" i="6" a="1"/>
  <c r="Q126" i="6" s="1"/>
  <c r="P126" i="6" a="1"/>
  <c r="P126" i="6" s="1"/>
  <c r="O126" i="6" a="1"/>
  <c r="O126" i="6" s="1"/>
  <c r="N126" i="6"/>
  <c r="N126" i="6" a="1"/>
  <c r="M126" i="6" a="1"/>
  <c r="M126" i="6" s="1"/>
  <c r="L126" i="6" a="1"/>
  <c r="L126" i="6" s="1"/>
  <c r="K126" i="6" a="1"/>
  <c r="K126" i="6" s="1"/>
  <c r="J126" i="6" a="1"/>
  <c r="J126" i="6" s="1"/>
  <c r="I126" i="6"/>
  <c r="I126" i="6" a="1"/>
  <c r="H126" i="6"/>
  <c r="H126" i="6" a="1"/>
  <c r="G126" i="6" a="1"/>
  <c r="G126" i="6" s="1"/>
  <c r="F126" i="6" a="1"/>
  <c r="F126" i="6" s="1"/>
  <c r="E126" i="6"/>
  <c r="E126" i="6" a="1"/>
  <c r="D126" i="6"/>
  <c r="D126" i="6" a="1"/>
  <c r="AH125" i="6" a="1"/>
  <c r="AH125" i="6" s="1"/>
  <c r="AG125" i="6"/>
  <c r="AG125" i="6" a="1"/>
  <c r="AF125" i="6" a="1"/>
  <c r="AF125" i="6" s="1"/>
  <c r="AE125" i="6" a="1"/>
  <c r="AE125" i="6" s="1"/>
  <c r="AD125" i="6"/>
  <c r="AD125" i="6" a="1"/>
  <c r="AC125" i="6" a="1"/>
  <c r="AC125" i="6" s="1"/>
  <c r="AB125" i="6"/>
  <c r="AB125" i="6" a="1"/>
  <c r="AA125" i="6" a="1"/>
  <c r="AA125" i="6" s="1"/>
  <c r="Z125" i="6" a="1"/>
  <c r="Z125" i="6" s="1"/>
  <c r="Y125" i="6"/>
  <c r="Y125" i="6" a="1"/>
  <c r="X125" i="6"/>
  <c r="X125" i="6" a="1"/>
  <c r="W125" i="6" a="1"/>
  <c r="W125" i="6" s="1"/>
  <c r="V125" i="6" a="1"/>
  <c r="V125" i="6" s="1"/>
  <c r="U125" i="6" a="1"/>
  <c r="U125" i="6" s="1"/>
  <c r="T125" i="6" a="1"/>
  <c r="T125" i="6" s="1"/>
  <c r="S125" i="6"/>
  <c r="S125" i="6" a="1"/>
  <c r="R125" i="6"/>
  <c r="R125" i="6" a="1"/>
  <c r="Q125" i="6" a="1"/>
  <c r="Q125" i="6" s="1"/>
  <c r="P125" i="6" a="1"/>
  <c r="P125" i="6" s="1"/>
  <c r="O125" i="6"/>
  <c r="O125" i="6" a="1"/>
  <c r="N125" i="6" a="1"/>
  <c r="N125" i="6" s="1"/>
  <c r="M125" i="6" a="1"/>
  <c r="M125" i="6" s="1"/>
  <c r="L125" i="6"/>
  <c r="L125" i="6" a="1"/>
  <c r="K125" i="6"/>
  <c r="K125" i="6" a="1"/>
  <c r="J125" i="6"/>
  <c r="J125" i="6" a="1"/>
  <c r="I125" i="6"/>
  <c r="I125" i="6" a="1"/>
  <c r="H125" i="6" a="1"/>
  <c r="H125" i="6" s="1"/>
  <c r="G125" i="6" a="1"/>
  <c r="G125" i="6" s="1"/>
  <c r="F125" i="6" a="1"/>
  <c r="F125" i="6" s="1"/>
  <c r="E125" i="6" a="1"/>
  <c r="E125" i="6" s="1"/>
  <c r="D125" i="6"/>
  <c r="D125" i="6" a="1"/>
  <c r="AH124" i="6"/>
  <c r="AH124" i="6" a="1"/>
  <c r="AG124" i="6" a="1"/>
  <c r="AG124" i="6" s="1"/>
  <c r="AF124" i="6" a="1"/>
  <c r="AF124" i="6" s="1"/>
  <c r="AE124" i="6"/>
  <c r="AE124" i="6" a="1"/>
  <c r="AD124" i="6" a="1"/>
  <c r="AD124" i="6" s="1"/>
  <c r="AC124" i="6"/>
  <c r="AC124" i="6" a="1"/>
  <c r="AB124" i="6"/>
  <c r="AB124" i="6" a="1"/>
  <c r="AA124" i="6" a="1"/>
  <c r="AA124" i="6" s="1"/>
  <c r="Z124" i="6"/>
  <c r="Z124" i="6" a="1"/>
  <c r="Y124" i="6"/>
  <c r="Y124" i="6" a="1"/>
  <c r="X124" i="6" a="1"/>
  <c r="X124" i="6" s="1"/>
  <c r="W124" i="6" a="1"/>
  <c r="W124" i="6" s="1"/>
  <c r="V124" i="6" a="1"/>
  <c r="V124" i="6" s="1"/>
  <c r="U124" i="6" a="1"/>
  <c r="U124" i="6" s="1"/>
  <c r="T124" i="6" a="1"/>
  <c r="T124" i="6" s="1"/>
  <c r="S124" i="6"/>
  <c r="S124" i="6" a="1"/>
  <c r="R124" i="6" a="1"/>
  <c r="R124" i="6" s="1"/>
  <c r="Q124" i="6" a="1"/>
  <c r="Q124" i="6" s="1"/>
  <c r="P124" i="6" a="1"/>
  <c r="P124" i="6" s="1"/>
  <c r="O124" i="6" a="1"/>
  <c r="O124" i="6" s="1"/>
  <c r="N124" i="6" a="1"/>
  <c r="N124" i="6" s="1"/>
  <c r="M124" i="6" a="1"/>
  <c r="M124" i="6" s="1"/>
  <c r="L124" i="6" a="1"/>
  <c r="L124" i="6" s="1"/>
  <c r="K124" i="6"/>
  <c r="K124" i="6" a="1"/>
  <c r="J124" i="6"/>
  <c r="J124" i="6" a="1"/>
  <c r="I124" i="6" a="1"/>
  <c r="I124" i="6" s="1"/>
  <c r="H124" i="6"/>
  <c r="H124" i="6" a="1"/>
  <c r="G124" i="6" a="1"/>
  <c r="G124" i="6" s="1"/>
  <c r="F124" i="6"/>
  <c r="F124" i="6" a="1"/>
  <c r="E124" i="6"/>
  <c r="E124" i="6" a="1"/>
  <c r="D124" i="6"/>
  <c r="D124" i="6" a="1"/>
  <c r="AH123" i="6" a="1"/>
  <c r="AH123" i="6" s="1"/>
  <c r="AG123" i="6" a="1"/>
  <c r="AG123" i="6" s="1"/>
  <c r="AF123" i="6" a="1"/>
  <c r="AF123" i="6" s="1"/>
  <c r="AE123" i="6" a="1"/>
  <c r="AE123" i="6" s="1"/>
  <c r="AD123" i="6" a="1"/>
  <c r="AD123" i="6" s="1"/>
  <c r="AC123" i="6" a="1"/>
  <c r="AC123" i="6" s="1"/>
  <c r="AB123" i="6" a="1"/>
  <c r="AB123" i="6" s="1"/>
  <c r="AA123" i="6"/>
  <c r="AA123" i="6" a="1"/>
  <c r="Z123" i="6" a="1"/>
  <c r="Z123" i="6" s="1"/>
  <c r="Y123" i="6"/>
  <c r="Y123" i="6" a="1"/>
  <c r="X123" i="6"/>
  <c r="X123" i="6" a="1"/>
  <c r="W123" i="6"/>
  <c r="W123" i="6" a="1"/>
  <c r="V123" i="6" a="1"/>
  <c r="V123" i="6" s="1"/>
  <c r="U123" i="6"/>
  <c r="U123" i="6" a="1"/>
  <c r="T123" i="6"/>
  <c r="T123" i="6" a="1"/>
  <c r="S123" i="6" a="1"/>
  <c r="S123" i="6" s="1"/>
  <c r="R123" i="6" a="1"/>
  <c r="R123" i="6" s="1"/>
  <c r="Q123" i="6" a="1"/>
  <c r="Q123" i="6" s="1"/>
  <c r="P123" i="6" a="1"/>
  <c r="P123" i="6" s="1"/>
  <c r="O123" i="6" a="1"/>
  <c r="O123" i="6" s="1"/>
  <c r="N123" i="6" a="1"/>
  <c r="N123" i="6" s="1"/>
  <c r="M123" i="6" a="1"/>
  <c r="M123" i="6" s="1"/>
  <c r="L123" i="6" a="1"/>
  <c r="L123" i="6" s="1"/>
  <c r="K123" i="6" a="1"/>
  <c r="K123" i="6" s="1"/>
  <c r="J123" i="6"/>
  <c r="J123" i="6" a="1"/>
  <c r="I123" i="6"/>
  <c r="I123" i="6" a="1"/>
  <c r="H123" i="6" a="1"/>
  <c r="H123" i="6" s="1"/>
  <c r="G123" i="6" a="1"/>
  <c r="G123" i="6" s="1"/>
  <c r="F123" i="6" a="1"/>
  <c r="F123" i="6" s="1"/>
  <c r="E123" i="6" a="1"/>
  <c r="E123" i="6" s="1"/>
  <c r="D123" i="6" a="1"/>
  <c r="D123" i="6" s="1"/>
  <c r="AH122" i="6" a="1"/>
  <c r="AH122" i="6" s="1"/>
  <c r="AG122" i="6"/>
  <c r="AG122" i="6" a="1"/>
  <c r="AF122" i="6" a="1"/>
  <c r="AF122" i="6" s="1"/>
  <c r="AE122" i="6"/>
  <c r="AE122" i="6" a="1"/>
  <c r="AD122" i="6"/>
  <c r="AD122" i="6" a="1"/>
  <c r="AC122" i="6"/>
  <c r="AC122" i="6" a="1"/>
  <c r="AB122" i="6" a="1"/>
  <c r="AB122" i="6" s="1"/>
  <c r="AA122" i="6"/>
  <c r="AA122" i="6" a="1"/>
  <c r="Z122" i="6"/>
  <c r="Z122" i="6" a="1"/>
  <c r="Y122" i="6"/>
  <c r="Y122" i="6" a="1"/>
  <c r="X122" i="6" a="1"/>
  <c r="X122" i="6" s="1"/>
  <c r="W122" i="6" a="1"/>
  <c r="W122" i="6" s="1"/>
  <c r="V122" i="6" a="1"/>
  <c r="V122" i="6" s="1"/>
  <c r="U122" i="6" a="1"/>
  <c r="U122" i="6" s="1"/>
  <c r="T122" i="6" a="1"/>
  <c r="T122" i="6" s="1"/>
  <c r="S122" i="6" a="1"/>
  <c r="S122" i="6" s="1"/>
  <c r="R122" i="6" a="1"/>
  <c r="R122" i="6" s="1"/>
  <c r="Q122" i="6" a="1"/>
  <c r="Q122" i="6" s="1"/>
  <c r="P122" i="6"/>
  <c r="P122" i="6" a="1"/>
  <c r="O122" i="6"/>
  <c r="O122" i="6" a="1"/>
  <c r="N122" i="6" a="1"/>
  <c r="N122" i="6" s="1"/>
  <c r="M122" i="6" a="1"/>
  <c r="M122" i="6" s="1"/>
  <c r="L122" i="6"/>
  <c r="L122" i="6" a="1"/>
  <c r="K122" i="6"/>
  <c r="K122" i="6" a="1"/>
  <c r="J122" i="6"/>
  <c r="J122" i="6" a="1"/>
  <c r="I122" i="6" a="1"/>
  <c r="I122" i="6" s="1"/>
  <c r="H122" i="6" a="1"/>
  <c r="H122" i="6" s="1"/>
  <c r="G122" i="6" a="1"/>
  <c r="G122" i="6" s="1"/>
  <c r="F122" i="6"/>
  <c r="F122" i="6" a="1"/>
  <c r="E122" i="6" a="1"/>
  <c r="E122" i="6" s="1"/>
  <c r="D122" i="6" a="1"/>
  <c r="D122" i="6" s="1"/>
  <c r="AH121" i="6" a="1"/>
  <c r="AH121" i="6" s="1"/>
  <c r="AG121" i="6" a="1"/>
  <c r="AG121" i="6" s="1"/>
  <c r="AF121" i="6"/>
  <c r="AF121" i="6" a="1"/>
  <c r="AE121" i="6" a="1"/>
  <c r="AE121" i="6" s="1"/>
  <c r="AD121" i="6" a="1"/>
  <c r="AD121" i="6" s="1"/>
  <c r="AC121" i="6" a="1"/>
  <c r="AC121" i="6" s="1"/>
  <c r="AB121" i="6"/>
  <c r="AB121" i="6" a="1"/>
  <c r="AA121" i="6"/>
  <c r="AA121" i="6" a="1"/>
  <c r="Z121" i="6"/>
  <c r="Z121" i="6" a="1"/>
  <c r="Y121" i="6" a="1"/>
  <c r="Y121" i="6" s="1"/>
  <c r="X121" i="6" a="1"/>
  <c r="X121" i="6" s="1"/>
  <c r="W121" i="6"/>
  <c r="W121" i="6" a="1"/>
  <c r="V121" i="6"/>
  <c r="V121" i="6" a="1"/>
  <c r="U121" i="6" a="1"/>
  <c r="U121" i="6" s="1"/>
  <c r="T121" i="6" a="1"/>
  <c r="T121" i="6" s="1"/>
  <c r="S121" i="6" a="1"/>
  <c r="S121" i="6" s="1"/>
  <c r="R121" i="6" a="1"/>
  <c r="R121" i="6" s="1"/>
  <c r="Q121" i="6" a="1"/>
  <c r="Q121" i="6" s="1"/>
  <c r="P121" i="6" a="1"/>
  <c r="P121" i="6" s="1"/>
  <c r="O121" i="6" a="1"/>
  <c r="O121" i="6" s="1"/>
  <c r="N121" i="6" a="1"/>
  <c r="N121" i="6" s="1"/>
  <c r="M121" i="6"/>
  <c r="M121" i="6" a="1"/>
  <c r="L121" i="6"/>
  <c r="L121" i="6" a="1"/>
  <c r="K121" i="6"/>
  <c r="K121" i="6" a="1"/>
  <c r="J121" i="6" a="1"/>
  <c r="J121" i="6" s="1"/>
  <c r="I121" i="6"/>
  <c r="I121" i="6" a="1"/>
  <c r="H121" i="6"/>
  <c r="H121" i="6" a="1"/>
  <c r="G121" i="6"/>
  <c r="G121" i="6" a="1"/>
  <c r="F121" i="6" a="1"/>
  <c r="F121" i="6" s="1"/>
  <c r="E121" i="6" a="1"/>
  <c r="E121" i="6" s="1"/>
  <c r="D121" i="6" a="1"/>
  <c r="D121" i="6" s="1"/>
  <c r="AH120" i="6" a="1"/>
  <c r="AH120" i="6" s="1"/>
  <c r="AG120" i="6" a="1"/>
  <c r="AG120" i="6" s="1"/>
  <c r="AF120" i="6" a="1"/>
  <c r="AF120" i="6" s="1"/>
  <c r="AE120" i="6" a="1"/>
  <c r="AE120" i="6" s="1"/>
  <c r="AD120" i="6" a="1"/>
  <c r="AD120" i="6" s="1"/>
  <c r="AC120" i="6"/>
  <c r="AC120" i="6" a="1"/>
  <c r="AB120" i="6"/>
  <c r="AB120" i="6" a="1"/>
  <c r="AA120" i="6" a="1"/>
  <c r="AA120" i="6" s="1"/>
  <c r="Z120" i="6" a="1"/>
  <c r="Z120" i="6" s="1"/>
  <c r="Y120" i="6"/>
  <c r="Y120" i="6" a="1"/>
  <c r="X120" i="6"/>
  <c r="X120" i="6" a="1"/>
  <c r="W120" i="6"/>
  <c r="W120" i="6" a="1"/>
  <c r="V120" i="6" a="1"/>
  <c r="V120" i="6" s="1"/>
  <c r="U120" i="6" a="1"/>
  <c r="U120" i="6" s="1"/>
  <c r="T120" i="6" a="1"/>
  <c r="T120" i="6" s="1"/>
  <c r="S120" i="6"/>
  <c r="S120" i="6" a="1"/>
  <c r="R120" i="6" a="1"/>
  <c r="R120" i="6" s="1"/>
  <c r="Q120" i="6" a="1"/>
  <c r="Q120" i="6" s="1"/>
  <c r="P120" i="6" a="1"/>
  <c r="P120" i="6" s="1"/>
  <c r="O120" i="6" a="1"/>
  <c r="O120" i="6" s="1"/>
  <c r="N120" i="6"/>
  <c r="N120" i="6" a="1"/>
  <c r="M120" i="6" a="1"/>
  <c r="M120" i="6" s="1"/>
  <c r="L120" i="6"/>
  <c r="L120" i="6" a="1"/>
  <c r="K120" i="6" a="1"/>
  <c r="K120" i="6" s="1"/>
  <c r="J120" i="6"/>
  <c r="J120" i="6" a="1"/>
  <c r="I120" i="6"/>
  <c r="I120" i="6" a="1"/>
  <c r="H120" i="6"/>
  <c r="H120" i="6" a="1"/>
  <c r="G120" i="6" a="1"/>
  <c r="G120" i="6" s="1"/>
  <c r="F120" i="6" a="1"/>
  <c r="F120" i="6" s="1"/>
  <c r="E120" i="6"/>
  <c r="E120" i="6" a="1"/>
  <c r="D120" i="6"/>
  <c r="D120" i="6" a="1"/>
  <c r="AH119" i="6" a="1"/>
  <c r="AH119" i="6" s="1"/>
  <c r="AG119" i="6" a="1"/>
  <c r="AG119" i="6" s="1"/>
  <c r="AF119" i="6" a="1"/>
  <c r="AF119" i="6" s="1"/>
  <c r="AE119" i="6" a="1"/>
  <c r="AE119" i="6" s="1"/>
  <c r="AD119" i="6" a="1"/>
  <c r="AD119" i="6" s="1"/>
  <c r="AC119" i="6" a="1"/>
  <c r="AC119" i="6" s="1"/>
  <c r="AB119" i="6" a="1"/>
  <c r="AB119" i="6" s="1"/>
  <c r="AA119" i="6" a="1"/>
  <c r="AA119" i="6" s="1"/>
  <c r="Z119" i="6"/>
  <c r="Z119" i="6" a="1"/>
  <c r="Y119" i="6"/>
  <c r="Y119" i="6" a="1"/>
  <c r="X119" i="6"/>
  <c r="X119" i="6" a="1"/>
  <c r="W119" i="6" a="1"/>
  <c r="W119" i="6" s="1"/>
  <c r="V119" i="6"/>
  <c r="V119" i="6" a="1"/>
  <c r="U119" i="6"/>
  <c r="U119" i="6" a="1"/>
  <c r="T119" i="6"/>
  <c r="T119" i="6" a="1"/>
  <c r="S119" i="6" a="1"/>
  <c r="S119" i="6" s="1"/>
  <c r="R119" i="6" a="1"/>
  <c r="R119" i="6" s="1"/>
  <c r="Q119" i="6"/>
  <c r="Q119" i="6" a="1"/>
  <c r="P119" i="6" a="1"/>
  <c r="P119" i="6" s="1"/>
  <c r="O119" i="6"/>
  <c r="O119" i="6" a="1"/>
  <c r="N119" i="6" a="1"/>
  <c r="N119" i="6" s="1"/>
  <c r="M119" i="6"/>
  <c r="M119" i="6" a="1"/>
  <c r="L119" i="6" a="1"/>
  <c r="L119" i="6" s="1"/>
  <c r="K119" i="6"/>
  <c r="K119" i="6" a="1"/>
  <c r="J119" i="6"/>
  <c r="J119" i="6" a="1"/>
  <c r="I119" i="6" a="1"/>
  <c r="I119" i="6" s="1"/>
  <c r="H119" i="6" a="1"/>
  <c r="H119" i="6" s="1"/>
  <c r="G119" i="6"/>
  <c r="G119" i="6" a="1"/>
  <c r="F119" i="6"/>
  <c r="F119" i="6" a="1"/>
  <c r="E119" i="6"/>
  <c r="E119" i="6" a="1"/>
  <c r="D119" i="6" a="1"/>
  <c r="D119" i="6" s="1"/>
  <c r="AH118" i="6" a="1"/>
  <c r="AH118" i="6" s="1"/>
  <c r="AG118" i="6" a="1"/>
  <c r="AG118" i="6" s="1"/>
  <c r="AF118" i="6"/>
  <c r="AF118" i="6" a="1"/>
  <c r="AE118" i="6"/>
  <c r="AE118" i="6" a="1"/>
  <c r="AD118" i="6" a="1"/>
  <c r="AD118" i="6" s="1"/>
  <c r="AC118" i="6"/>
  <c r="AC118" i="6" a="1"/>
  <c r="AB118" i="6" a="1"/>
  <c r="AB118" i="6" s="1"/>
  <c r="AA118" i="6" a="1"/>
  <c r="AA118" i="6" s="1"/>
  <c r="Z118" i="6" a="1"/>
  <c r="Z118" i="6" s="1"/>
  <c r="Y118" i="6" a="1"/>
  <c r="Y118" i="6" s="1"/>
  <c r="X118" i="6" a="1"/>
  <c r="X118" i="6" s="1"/>
  <c r="W118" i="6"/>
  <c r="W118" i="6" a="1"/>
  <c r="V118" i="6"/>
  <c r="V118" i="6" a="1"/>
  <c r="U118" i="6"/>
  <c r="U118" i="6" a="1"/>
  <c r="T118" i="6" a="1"/>
  <c r="T118" i="6" s="1"/>
  <c r="S118" i="6" a="1"/>
  <c r="S118" i="6" s="1"/>
  <c r="R118" i="6"/>
  <c r="R118" i="6" a="1"/>
  <c r="Q118" i="6"/>
  <c r="Q118" i="6" a="1"/>
  <c r="P118" i="6"/>
  <c r="P118" i="6" a="1"/>
  <c r="O118" i="6" a="1"/>
  <c r="O118" i="6" s="1"/>
  <c r="N118" i="6"/>
  <c r="N118" i="6" a="1"/>
  <c r="M118" i="6" a="1"/>
  <c r="M118" i="6" s="1"/>
  <c r="L118" i="6" a="1"/>
  <c r="L118" i="6" s="1"/>
  <c r="K118" i="6" a="1"/>
  <c r="K118" i="6" s="1"/>
  <c r="J118" i="6"/>
  <c r="J118" i="6" a="1"/>
  <c r="I118" i="6" a="1"/>
  <c r="I118" i="6" s="1"/>
  <c r="H118" i="6"/>
  <c r="H118" i="6" a="1"/>
  <c r="G118" i="6"/>
  <c r="G118" i="6" a="1"/>
  <c r="F118" i="6"/>
  <c r="F118" i="6" a="1"/>
  <c r="E118" i="6" a="1"/>
  <c r="E118" i="6" s="1"/>
  <c r="D118" i="6" a="1"/>
  <c r="D118" i="6" s="1"/>
  <c r="AH117" i="6"/>
  <c r="AH117" i="6" a="1"/>
  <c r="AG117" i="6"/>
  <c r="AG117" i="6" a="1"/>
  <c r="AF117" i="6"/>
  <c r="AF117" i="6" a="1"/>
  <c r="AE117" i="6" a="1"/>
  <c r="AE117" i="6" s="1"/>
  <c r="AD117" i="6"/>
  <c r="AD117" i="6" a="1"/>
  <c r="AC117" i="6" a="1"/>
  <c r="AC117" i="6" s="1"/>
  <c r="AB117" i="6" a="1"/>
  <c r="AB117" i="6" s="1"/>
  <c r="AA117" i="6" a="1"/>
  <c r="AA117" i="6" s="1"/>
  <c r="Z117" i="6"/>
  <c r="Z117" i="6" a="1"/>
  <c r="Y117" i="6" a="1"/>
  <c r="Y117" i="6" s="1"/>
  <c r="X117" i="6"/>
  <c r="X117" i="6" a="1"/>
  <c r="W117" i="6"/>
  <c r="W117" i="6" a="1"/>
  <c r="V117" i="6" a="1"/>
  <c r="V117" i="6" s="1"/>
  <c r="U117" i="6" a="1"/>
  <c r="U117" i="6" s="1"/>
  <c r="T117" i="6" a="1"/>
  <c r="T117" i="6" s="1"/>
  <c r="S117" i="6"/>
  <c r="S117" i="6" a="1"/>
  <c r="R117" i="6"/>
  <c r="R117" i="6" a="1"/>
  <c r="Q117" i="6"/>
  <c r="Q117" i="6" a="1"/>
  <c r="P117" i="6" a="1"/>
  <c r="P117" i="6" s="1"/>
  <c r="O117" i="6" a="1"/>
  <c r="O117" i="6" s="1"/>
  <c r="N117" i="6"/>
  <c r="N117" i="6" a="1"/>
  <c r="M117" i="6" a="1"/>
  <c r="M117" i="6" s="1"/>
  <c r="L117" i="6" a="1"/>
  <c r="L117" i="6" s="1"/>
  <c r="K117" i="6"/>
  <c r="K117" i="6" a="1"/>
  <c r="J117" i="6" a="1"/>
  <c r="J117" i="6" s="1"/>
  <c r="I117" i="6"/>
  <c r="I117" i="6" a="1"/>
  <c r="H117" i="6" a="1"/>
  <c r="H117" i="6" s="1"/>
  <c r="G117" i="6"/>
  <c r="G117" i="6" a="1"/>
  <c r="F117" i="6" a="1"/>
  <c r="F117" i="6" s="1"/>
  <c r="E117" i="6" a="1"/>
  <c r="E117" i="6" s="1"/>
  <c r="D117" i="6"/>
  <c r="D117" i="6" a="1"/>
  <c r="AH116" i="6"/>
  <c r="AH116" i="6" a="1"/>
  <c r="AG116" i="6"/>
  <c r="AG116" i="6" a="1"/>
  <c r="AF116" i="6" a="1"/>
  <c r="AF116" i="6" s="1"/>
  <c r="AE116" i="6"/>
  <c r="AE116" i="6" a="1"/>
  <c r="AD116" i="6"/>
  <c r="AD116" i="6" a="1"/>
  <c r="AC116" i="6" a="1"/>
  <c r="AC116" i="6" s="1"/>
  <c r="AB116" i="6" a="1"/>
  <c r="AB116" i="6" s="1"/>
  <c r="AA116" i="6"/>
  <c r="AA116" i="6" a="1"/>
  <c r="Z116" i="6" a="1"/>
  <c r="Z116" i="6" s="1"/>
  <c r="Y116" i="6" a="1"/>
  <c r="Y116" i="6" s="1"/>
  <c r="X116" i="6" a="1"/>
  <c r="X116" i="6" s="1"/>
  <c r="W116" i="6"/>
  <c r="W116" i="6" a="1"/>
  <c r="V116" i="6" a="1"/>
  <c r="V116" i="6" s="1"/>
  <c r="U116" i="6" a="1"/>
  <c r="U116" i="6" s="1"/>
  <c r="T116" i="6"/>
  <c r="T116" i="6" a="1"/>
  <c r="S116" i="6"/>
  <c r="S116" i="6" a="1"/>
  <c r="R116" i="6" a="1"/>
  <c r="R116" i="6" s="1"/>
  <c r="Q116" i="6"/>
  <c r="Q116" i="6" a="1"/>
  <c r="P116" i="6"/>
  <c r="P116" i="6" a="1"/>
  <c r="O116" i="6"/>
  <c r="O116" i="6" a="1"/>
  <c r="N116" i="6" a="1"/>
  <c r="N116" i="6" s="1"/>
  <c r="M116" i="6" a="1"/>
  <c r="M116" i="6" s="1"/>
  <c r="L116" i="6"/>
  <c r="L116" i="6" a="1"/>
  <c r="K116" i="6" a="1"/>
  <c r="K116" i="6" s="1"/>
  <c r="J116" i="6"/>
  <c r="J116" i="6" a="1"/>
  <c r="I116" i="6" a="1"/>
  <c r="I116" i="6" s="1"/>
  <c r="H116" i="6"/>
  <c r="H116" i="6" a="1"/>
  <c r="G116" i="6" a="1"/>
  <c r="G116" i="6" s="1"/>
  <c r="F116" i="6" a="1"/>
  <c r="F116" i="6" s="1"/>
  <c r="E116" i="6"/>
  <c r="E116" i="6" a="1"/>
  <c r="D116" i="6" a="1"/>
  <c r="D116" i="6" s="1"/>
  <c r="AH115" i="6" a="1"/>
  <c r="AH115" i="6" s="1"/>
  <c r="AG115" i="6"/>
  <c r="AG115" i="6" a="1"/>
  <c r="AF115" i="6"/>
  <c r="AF115" i="6" a="1"/>
  <c r="AE115" i="6"/>
  <c r="AE115" i="6" a="1"/>
  <c r="AD115" i="6" a="1"/>
  <c r="AD115" i="6" s="1"/>
  <c r="AC115" i="6" a="1"/>
  <c r="AC115" i="6" s="1"/>
  <c r="AB115" i="6" a="1"/>
  <c r="AB115" i="6" s="1"/>
  <c r="AA115" i="6"/>
  <c r="AA115" i="6" a="1"/>
  <c r="Z115" i="6"/>
  <c r="Z115" i="6" a="1"/>
  <c r="Y115" i="6" a="1"/>
  <c r="Y115" i="6" s="1"/>
  <c r="X115" i="6"/>
  <c r="X115" i="6" a="1"/>
  <c r="W115" i="6" a="1"/>
  <c r="W115" i="6" s="1"/>
  <c r="V115" i="6" a="1"/>
  <c r="V115" i="6" s="1"/>
  <c r="U115" i="6" a="1"/>
  <c r="U115" i="6" s="1"/>
  <c r="T115" i="6"/>
  <c r="T115" i="6" a="1"/>
  <c r="S115" i="6" a="1"/>
  <c r="S115" i="6" s="1"/>
  <c r="R115" i="6"/>
  <c r="R115" i="6" a="1"/>
  <c r="Q115" i="6"/>
  <c r="Q115" i="6" a="1"/>
  <c r="P115" i="6"/>
  <c r="P115" i="6" a="1"/>
  <c r="O115" i="6" a="1"/>
  <c r="O115" i="6" s="1"/>
  <c r="N115" i="6" a="1"/>
  <c r="N115" i="6" s="1"/>
  <c r="M115" i="6" a="1"/>
  <c r="M115" i="6" s="1"/>
  <c r="L115" i="6"/>
  <c r="L115" i="6" a="1"/>
  <c r="K115" i="6"/>
  <c r="K115" i="6" a="1"/>
  <c r="J115" i="6" a="1"/>
  <c r="J115" i="6" s="1"/>
  <c r="I115" i="6"/>
  <c r="I115" i="6" a="1"/>
  <c r="H115" i="6" a="1"/>
  <c r="H115" i="6" s="1"/>
  <c r="G115" i="6" a="1"/>
  <c r="G115" i="6" s="1"/>
  <c r="F115" i="6" a="1"/>
  <c r="F115" i="6" s="1"/>
  <c r="E115" i="6"/>
  <c r="E115" i="6" a="1"/>
  <c r="D115" i="6" a="1"/>
  <c r="D115" i="6" s="1"/>
  <c r="AH114" i="6"/>
  <c r="AH114" i="6" a="1"/>
  <c r="AG114" i="6"/>
  <c r="AG114" i="6" a="1"/>
  <c r="AF114" i="6"/>
  <c r="AF114" i="6" a="1"/>
  <c r="AE114" i="6" a="1"/>
  <c r="AE114" i="6" s="1"/>
  <c r="AD114" i="6" a="1"/>
  <c r="AD114" i="6" s="1"/>
  <c r="AC114" i="6"/>
  <c r="AC114" i="6" a="1"/>
  <c r="AB114" i="6"/>
  <c r="AB114" i="6" a="1"/>
  <c r="AA114" i="6"/>
  <c r="AA114" i="6" a="1"/>
  <c r="Z114" i="6" a="1"/>
  <c r="Z114" i="6" s="1"/>
  <c r="Y114" i="6"/>
  <c r="Y114" i="6" a="1"/>
  <c r="X114" i="6" a="1"/>
  <c r="X114" i="6" s="1"/>
  <c r="W114" i="6" a="1"/>
  <c r="W114" i="6" s="1"/>
  <c r="V114" i="6" a="1"/>
  <c r="V114" i="6" s="1"/>
  <c r="U114" i="6"/>
  <c r="U114" i="6" a="1"/>
  <c r="T114" i="6" a="1"/>
  <c r="T114" i="6" s="1"/>
  <c r="S114" i="6"/>
  <c r="S114" i="6" a="1"/>
  <c r="R114" i="6"/>
  <c r="R114" i="6" a="1"/>
  <c r="Q114" i="6" a="1"/>
  <c r="Q114" i="6" s="1"/>
  <c r="P114" i="6" a="1"/>
  <c r="P114" i="6" s="1"/>
  <c r="O114" i="6" a="1"/>
  <c r="O114" i="6" s="1"/>
  <c r="N114" i="6"/>
  <c r="N114" i="6" a="1"/>
  <c r="M114" i="6"/>
  <c r="M114" i="6" a="1"/>
  <c r="L114" i="6"/>
  <c r="L114" i="6" a="1"/>
  <c r="K114" i="6" a="1"/>
  <c r="K114" i="6" s="1"/>
  <c r="J114" i="6" a="1"/>
  <c r="J114" i="6" s="1"/>
  <c r="I114" i="6"/>
  <c r="I114" i="6" a="1"/>
  <c r="H114" i="6" a="1"/>
  <c r="H114" i="6" s="1"/>
  <c r="G114" i="6" a="1"/>
  <c r="G114" i="6" s="1"/>
  <c r="F114" i="6"/>
  <c r="F114" i="6" a="1"/>
  <c r="E114" i="6" a="1"/>
  <c r="E114" i="6" s="1"/>
  <c r="D114" i="6"/>
  <c r="D114" i="6" a="1"/>
  <c r="AH113" i="6" a="1"/>
  <c r="AH113" i="6" s="1"/>
  <c r="AG113" i="6"/>
  <c r="AG113" i="6" a="1"/>
  <c r="AF113" i="6" a="1"/>
  <c r="AF113" i="6" s="1"/>
  <c r="AE113" i="6" a="1"/>
  <c r="AE113" i="6" s="1"/>
  <c r="AD113" i="6"/>
  <c r="AD113" i="6" a="1"/>
  <c r="AC113" i="6"/>
  <c r="AC113" i="6" a="1"/>
  <c r="AB113" i="6"/>
  <c r="AB113" i="6" a="1"/>
  <c r="AA113" i="6" a="1"/>
  <c r="AA113" i="6" s="1"/>
  <c r="Z113" i="6"/>
  <c r="Z113" i="6" a="1"/>
  <c r="Y113" i="6"/>
  <c r="Y113" i="6" a="1"/>
  <c r="X113" i="6" a="1"/>
  <c r="X113" i="6" s="1"/>
  <c r="W113" i="6" a="1"/>
  <c r="W113" i="6" s="1"/>
  <c r="V113" i="6"/>
  <c r="V113" i="6" a="1"/>
  <c r="U113" i="6" a="1"/>
  <c r="U113" i="6" s="1"/>
  <c r="T113" i="6" a="1"/>
  <c r="T113" i="6" s="1"/>
  <c r="S113" i="6" a="1"/>
  <c r="S113" i="6" s="1"/>
  <c r="R113" i="6"/>
  <c r="R113" i="6" a="1"/>
  <c r="Q113" i="6" a="1"/>
  <c r="Q113" i="6" s="1"/>
  <c r="P113" i="6" a="1"/>
  <c r="P113" i="6" s="1"/>
  <c r="O113" i="6"/>
  <c r="O113" i="6" a="1"/>
  <c r="N113" i="6"/>
  <c r="N113" i="6" a="1"/>
  <c r="M113" i="6" a="1"/>
  <c r="M113" i="6" s="1"/>
  <c r="L113" i="6"/>
  <c r="L113" i="6" a="1"/>
  <c r="K113" i="6"/>
  <c r="K113" i="6" a="1"/>
  <c r="J113" i="6"/>
  <c r="J113" i="6" a="1"/>
  <c r="I113" i="6" a="1"/>
  <c r="I113" i="6" s="1"/>
  <c r="H113" i="6" a="1"/>
  <c r="H113" i="6" s="1"/>
  <c r="G113" i="6"/>
  <c r="G113" i="6" a="1"/>
  <c r="F113" i="6" a="1"/>
  <c r="F113" i="6" s="1"/>
  <c r="E113" i="6"/>
  <c r="E113" i="6" a="1"/>
  <c r="D113" i="6" a="1"/>
  <c r="D113" i="6" s="1"/>
  <c r="AH112" i="6"/>
  <c r="AH112" i="6" a="1"/>
  <c r="AG112" i="6" a="1"/>
  <c r="AG112" i="6" s="1"/>
  <c r="AF112" i="6" a="1"/>
  <c r="AF112" i="6" s="1"/>
  <c r="AE112" i="6"/>
  <c r="AE112" i="6" a="1"/>
  <c r="AD112" i="6" a="1"/>
  <c r="AD112" i="6" s="1"/>
  <c r="AC112" i="6" a="1"/>
  <c r="AC112" i="6" s="1"/>
  <c r="AB112" i="6"/>
  <c r="AB112" i="6" a="1"/>
  <c r="AA112" i="6"/>
  <c r="AA112" i="6" a="1"/>
  <c r="Z112" i="6"/>
  <c r="Z112" i="6" a="1"/>
  <c r="Y112" i="6" a="1"/>
  <c r="Y112" i="6" s="1"/>
  <c r="X112" i="6" a="1"/>
  <c r="X112" i="6" s="1"/>
  <c r="W112" i="6" a="1"/>
  <c r="W112" i="6" s="1"/>
  <c r="V112" i="6"/>
  <c r="V112" i="6" a="1"/>
  <c r="U112" i="6"/>
  <c r="U112" i="6" a="1"/>
  <c r="T112" i="6" a="1"/>
  <c r="T112" i="6" s="1"/>
  <c r="S112" i="6"/>
  <c r="S112" i="6" a="1"/>
  <c r="R112" i="6" a="1"/>
  <c r="R112" i="6" s="1"/>
  <c r="Q112" i="6" a="1"/>
  <c r="Q112" i="6" s="1"/>
  <c r="P112" i="6" a="1"/>
  <c r="P112" i="6" s="1"/>
  <c r="O112" i="6"/>
  <c r="O112" i="6" a="1"/>
  <c r="N112" i="6" a="1"/>
  <c r="N112" i="6" s="1"/>
  <c r="M112" i="6"/>
  <c r="M112" i="6" a="1"/>
  <c r="L112" i="6"/>
  <c r="L112" i="6" a="1"/>
  <c r="K112" i="6"/>
  <c r="K112" i="6" a="1"/>
  <c r="J112" i="6" a="1"/>
  <c r="J112" i="6" s="1"/>
  <c r="I112" i="6" a="1"/>
  <c r="I112" i="6" s="1"/>
  <c r="H112" i="6"/>
  <c r="H112" i="6" a="1"/>
  <c r="G112" i="6"/>
  <c r="G112" i="6" a="1"/>
  <c r="F112" i="6"/>
  <c r="F112" i="6" a="1"/>
  <c r="E112" i="6" a="1"/>
  <c r="E112" i="6" s="1"/>
  <c r="D112" i="6"/>
  <c r="D112" i="6" a="1"/>
  <c r="AH111" i="6" a="1"/>
  <c r="AH111" i="6" s="1"/>
  <c r="AG111" i="6" a="1"/>
  <c r="AG111" i="6" s="1"/>
  <c r="AF111" i="6" a="1"/>
  <c r="AF111" i="6" s="1"/>
  <c r="AE111" i="6"/>
  <c r="AE111" i="6" a="1"/>
  <c r="AD111" i="6" a="1"/>
  <c r="AD111" i="6" s="1"/>
  <c r="AC111" i="6"/>
  <c r="AC111" i="6" a="1"/>
  <c r="AB111" i="6"/>
  <c r="AB111" i="6" a="1"/>
  <c r="AA111" i="6"/>
  <c r="AA111" i="6" a="1"/>
  <c r="Z111" i="6" a="1"/>
  <c r="Z111" i="6" s="1"/>
  <c r="Y111" i="6" a="1"/>
  <c r="Y111" i="6" s="1"/>
  <c r="X111" i="6"/>
  <c r="X111" i="6" a="1"/>
  <c r="W111" i="6"/>
  <c r="W111" i="6" a="1"/>
  <c r="V111" i="6"/>
  <c r="V111" i="6" a="1"/>
  <c r="U111" i="6" a="1"/>
  <c r="U111" i="6" s="1"/>
  <c r="T111" i="6"/>
  <c r="T111" i="6" a="1"/>
  <c r="S111" i="6" a="1"/>
  <c r="S111" i="6" s="1"/>
  <c r="R111" i="6" a="1"/>
  <c r="R111" i="6" s="1"/>
  <c r="Q111" i="6" a="1"/>
  <c r="Q111" i="6" s="1"/>
  <c r="P111" i="6"/>
  <c r="P111" i="6" a="1"/>
  <c r="O111" i="6" a="1"/>
  <c r="O111" i="6" s="1"/>
  <c r="N111" i="6"/>
  <c r="N111" i="6" a="1"/>
  <c r="M111" i="6"/>
  <c r="M111" i="6" a="1"/>
  <c r="L111" i="6" a="1"/>
  <c r="L111" i="6" s="1"/>
  <c r="K111" i="6" a="1"/>
  <c r="K111" i="6" s="1"/>
  <c r="J111" i="6" a="1"/>
  <c r="J111" i="6" s="1"/>
  <c r="I111" i="6"/>
  <c r="I111" i="6" a="1"/>
  <c r="H111" i="6"/>
  <c r="H111" i="6" a="1"/>
  <c r="G111" i="6"/>
  <c r="G111" i="6" a="1"/>
  <c r="F111" i="6" a="1"/>
  <c r="F111" i="6" s="1"/>
  <c r="E111" i="6" a="1"/>
  <c r="E111" i="6" s="1"/>
  <c r="D111" i="6"/>
  <c r="D111" i="6" a="1"/>
  <c r="AH110" i="6" a="1"/>
  <c r="AH110" i="6" s="1"/>
  <c r="AG110" i="6" a="1"/>
  <c r="AG110" i="6" s="1"/>
  <c r="AF110" i="6"/>
  <c r="AF110" i="6" a="1"/>
  <c r="AE110" i="6" a="1"/>
  <c r="AE110" i="6" s="1"/>
  <c r="AD110" i="6"/>
  <c r="AD110" i="6" a="1"/>
  <c r="AC110" i="6" a="1"/>
  <c r="AC110" i="6" s="1"/>
  <c r="AB110" i="6"/>
  <c r="AB110" i="6" a="1"/>
  <c r="AA110" i="6" a="1"/>
  <c r="AA110" i="6" s="1"/>
  <c r="Z110" i="6" a="1"/>
  <c r="Z110" i="6" s="1"/>
  <c r="Y110" i="6"/>
  <c r="Y110" i="6" a="1"/>
  <c r="X110" i="6"/>
  <c r="X110" i="6" a="1"/>
  <c r="W110" i="6"/>
  <c r="W110" i="6" a="1"/>
  <c r="V110" i="6" a="1"/>
  <c r="V110" i="6" s="1"/>
  <c r="U110" i="6"/>
  <c r="U110" i="6" a="1"/>
  <c r="T110" i="6"/>
  <c r="T110" i="6" a="1"/>
  <c r="S110" i="6" a="1"/>
  <c r="S110" i="6" s="1"/>
  <c r="R110" i="6" a="1"/>
  <c r="R110" i="6" s="1"/>
  <c r="Q110" i="6"/>
  <c r="Q110" i="6" a="1"/>
  <c r="P110" i="6" a="1"/>
  <c r="P110" i="6" s="1"/>
  <c r="O110" i="6" a="1"/>
  <c r="O110" i="6" s="1"/>
  <c r="N110" i="6" a="1"/>
  <c r="N110" i="6" s="1"/>
  <c r="M110" i="6"/>
  <c r="M110" i="6" a="1"/>
  <c r="L110" i="6" a="1"/>
  <c r="L110" i="6" s="1"/>
  <c r="K110" i="6" a="1"/>
  <c r="K110" i="6" s="1"/>
  <c r="J110" i="6"/>
  <c r="J110" i="6" a="1"/>
  <c r="I110" i="6"/>
  <c r="I110" i="6" a="1"/>
  <c r="H110" i="6" a="1"/>
  <c r="H110" i="6" s="1"/>
  <c r="G110" i="6"/>
  <c r="G110" i="6" a="1"/>
  <c r="F110" i="6"/>
  <c r="F110" i="6" a="1"/>
  <c r="E110" i="6"/>
  <c r="E110" i="6" a="1"/>
  <c r="D110" i="6" a="1"/>
  <c r="D110" i="6" s="1"/>
  <c r="AH109" i="6" a="1"/>
  <c r="AH109" i="6" s="1"/>
  <c r="AG109" i="6"/>
  <c r="AG109" i="6" a="1"/>
  <c r="AF109" i="6" a="1"/>
  <c r="AF109" i="6" s="1"/>
  <c r="AE109" i="6"/>
  <c r="AE109" i="6" a="1"/>
  <c r="AD109" i="6" a="1"/>
  <c r="AD109" i="6" s="1"/>
  <c r="AC109" i="6"/>
  <c r="AC109" i="6" a="1"/>
  <c r="AB109" i="6" a="1"/>
  <c r="AB109" i="6" s="1"/>
  <c r="AA109" i="6" a="1"/>
  <c r="AA109" i="6" s="1"/>
  <c r="Z109" i="6"/>
  <c r="Z109" i="6" a="1"/>
  <c r="Y109" i="6" a="1"/>
  <c r="Y109" i="6" s="1"/>
  <c r="X109" i="6" a="1"/>
  <c r="X109" i="6" s="1"/>
  <c r="W109" i="6"/>
  <c r="W109" i="6" a="1"/>
  <c r="V109" i="6"/>
  <c r="V109" i="6" a="1"/>
  <c r="U109" i="6"/>
  <c r="U109" i="6" a="1"/>
  <c r="T109" i="6" a="1"/>
  <c r="T109" i="6" s="1"/>
  <c r="S109" i="6" a="1"/>
  <c r="S109" i="6" s="1"/>
  <c r="R109" i="6" a="1"/>
  <c r="R109" i="6" s="1"/>
  <c r="Q109" i="6"/>
  <c r="Q109" i="6" a="1"/>
  <c r="P109" i="6"/>
  <c r="P109" i="6" a="1"/>
  <c r="O109" i="6" a="1"/>
  <c r="O109" i="6" s="1"/>
  <c r="N109" i="6"/>
  <c r="N109" i="6" a="1"/>
  <c r="M109" i="6" a="1"/>
  <c r="M109" i="6" s="1"/>
  <c r="L109" i="6" a="1"/>
  <c r="L109" i="6" s="1"/>
  <c r="K109" i="6" a="1"/>
  <c r="K109" i="6" s="1"/>
  <c r="J109" i="6"/>
  <c r="J109" i="6" a="1"/>
  <c r="I109" i="6" a="1"/>
  <c r="I109" i="6" s="1"/>
  <c r="H109" i="6"/>
  <c r="H109" i="6" a="1"/>
  <c r="G109" i="6"/>
  <c r="G109" i="6" a="1"/>
  <c r="F109" i="6"/>
  <c r="F109" i="6" a="1"/>
  <c r="E109" i="6" a="1"/>
  <c r="E109" i="6" s="1"/>
  <c r="D109" i="6" a="1"/>
  <c r="D109" i="6" s="1"/>
  <c r="AH108" i="6"/>
  <c r="AH108" i="6" a="1"/>
  <c r="AG108" i="6"/>
  <c r="AG108" i="6" a="1"/>
  <c r="AF108" i="6"/>
  <c r="AF108" i="6" a="1"/>
  <c r="AE108" i="6" a="1"/>
  <c r="AE108" i="6" s="1"/>
  <c r="AD108" i="6"/>
  <c r="AD108" i="6" a="1"/>
  <c r="AC108" i="6" a="1"/>
  <c r="AC108" i="6" s="1"/>
  <c r="AB108" i="6" a="1"/>
  <c r="AB108" i="6" s="1"/>
  <c r="AA108" i="6" a="1"/>
  <c r="AA108" i="6" s="1"/>
  <c r="Z108" i="6"/>
  <c r="Z108" i="6" a="1"/>
  <c r="Y108" i="6" a="1"/>
  <c r="Y108" i="6" s="1"/>
  <c r="X108" i="6"/>
  <c r="X108" i="6" a="1"/>
  <c r="W108" i="6"/>
  <c r="W108" i="6" a="1"/>
  <c r="V108" i="6"/>
  <c r="V108" i="6" a="1"/>
  <c r="U108" i="6" a="1"/>
  <c r="U108" i="6" s="1"/>
  <c r="T108" i="6" a="1"/>
  <c r="T108" i="6" s="1"/>
  <c r="S108" i="6"/>
  <c r="S108" i="6" a="1"/>
  <c r="R108" i="6"/>
  <c r="R108" i="6" a="1"/>
  <c r="Q108" i="6"/>
  <c r="Q108" i="6" a="1"/>
  <c r="P108" i="6" a="1"/>
  <c r="P108" i="6" s="1"/>
  <c r="O108" i="6"/>
  <c r="O108" i="6" a="1"/>
  <c r="N108" i="6" a="1"/>
  <c r="N108" i="6" s="1"/>
  <c r="M108" i="6" a="1"/>
  <c r="M108" i="6" s="1"/>
  <c r="L108" i="6" a="1"/>
  <c r="L108" i="6" s="1"/>
  <c r="K108" i="6"/>
  <c r="K108" i="6" a="1"/>
  <c r="J108" i="6" a="1"/>
  <c r="J108" i="6" s="1"/>
  <c r="I108" i="6"/>
  <c r="I108" i="6" a="1"/>
  <c r="H108" i="6"/>
  <c r="H108" i="6" a="1"/>
  <c r="G108" i="6" a="1"/>
  <c r="G108" i="6" s="1"/>
  <c r="F108" i="6" a="1"/>
  <c r="F108" i="6" s="1"/>
  <c r="E108" i="6" a="1"/>
  <c r="E108" i="6" s="1"/>
  <c r="D108" i="6"/>
  <c r="D108" i="6" a="1"/>
  <c r="AH107" i="6"/>
  <c r="AH107" i="6" a="1"/>
  <c r="AG107" i="6"/>
  <c r="AG107" i="6" a="1"/>
  <c r="AF107" i="6" a="1"/>
  <c r="AF107" i="6" s="1"/>
  <c r="AE107" i="6" a="1"/>
  <c r="AE107" i="6" s="1"/>
  <c r="AD107" i="6"/>
  <c r="AD107" i="6" a="1"/>
  <c r="AC107" i="6" a="1"/>
  <c r="AC107" i="6" s="1"/>
  <c r="AB107" i="6" a="1"/>
  <c r="AB107" i="6" s="1"/>
  <c r="AA107" i="6"/>
  <c r="AA107" i="6" a="1"/>
  <c r="Z107" i="6" a="1"/>
  <c r="Z107" i="6" s="1"/>
  <c r="Y107" i="6"/>
  <c r="Y107" i="6" a="1"/>
  <c r="X107" i="6" a="1"/>
  <c r="X107" i="6" s="1"/>
  <c r="W107" i="6"/>
  <c r="W107" i="6" a="1"/>
  <c r="V107" i="6" a="1"/>
  <c r="V107" i="6" s="1"/>
  <c r="U107" i="6" a="1"/>
  <c r="U107" i="6" s="1"/>
  <c r="T107" i="6"/>
  <c r="T107" i="6" a="1"/>
  <c r="S107" i="6"/>
  <c r="S107" i="6" a="1"/>
  <c r="R107" i="6"/>
  <c r="R107" i="6" a="1"/>
  <c r="Q107" i="6" a="1"/>
  <c r="Q107" i="6" s="1"/>
  <c r="P107" i="6"/>
  <c r="P107" i="6" a="1"/>
  <c r="O107" i="6"/>
  <c r="O107" i="6" a="1"/>
  <c r="N107" i="6" a="1"/>
  <c r="N107" i="6" s="1"/>
  <c r="M107" i="6" a="1"/>
  <c r="M107" i="6" s="1"/>
  <c r="L107" i="6"/>
  <c r="L107" i="6" a="1"/>
  <c r="K107" i="6" a="1"/>
  <c r="K107" i="6" s="1"/>
  <c r="J107" i="6" a="1"/>
  <c r="J107" i="6" s="1"/>
  <c r="I107" i="6" a="1"/>
  <c r="I107" i="6" s="1"/>
  <c r="H107" i="6"/>
  <c r="H107" i="6" a="1"/>
  <c r="G107" i="6" a="1"/>
  <c r="G107" i="6" s="1"/>
  <c r="F107" i="6" a="1"/>
  <c r="F107" i="6" s="1"/>
  <c r="E107" i="6"/>
  <c r="E107" i="6" a="1"/>
  <c r="D107" i="6"/>
  <c r="D107" i="6" a="1"/>
  <c r="AH106" i="6" a="1"/>
  <c r="AH106" i="6" s="1"/>
  <c r="AG106" i="6"/>
  <c r="AG106" i="6" a="1"/>
  <c r="AF106" i="6"/>
  <c r="AF106" i="6" a="1"/>
  <c r="AE106" i="6"/>
  <c r="AE106" i="6" a="1"/>
  <c r="AD106" i="6" a="1"/>
  <c r="AD106" i="6" s="1"/>
  <c r="AC106" i="6" a="1"/>
  <c r="AC106" i="6" s="1"/>
  <c r="AB106" i="6"/>
  <c r="AB106" i="6" a="1"/>
  <c r="AA106" i="6" a="1"/>
  <c r="AA106" i="6" s="1"/>
  <c r="Z106" i="6"/>
  <c r="Z106" i="6" a="1"/>
  <c r="Y106" i="6" a="1"/>
  <c r="Y106" i="6" s="1"/>
  <c r="X106" i="6"/>
  <c r="X106" i="6" a="1"/>
  <c r="W106" i="6" a="1"/>
  <c r="W106" i="6" s="1"/>
  <c r="V106" i="6" a="1"/>
  <c r="V106" i="6" s="1"/>
  <c r="U106" i="6"/>
  <c r="U106" i="6" a="1"/>
  <c r="T106" i="6" a="1"/>
  <c r="T106" i="6" s="1"/>
  <c r="S106" i="6" a="1"/>
  <c r="S106" i="6" s="1"/>
  <c r="R106" i="6"/>
  <c r="R106" i="6" a="1"/>
  <c r="Q106" i="6"/>
  <c r="Q106" i="6" a="1"/>
  <c r="P106" i="6"/>
  <c r="P106" i="6" a="1"/>
  <c r="O106" i="6" a="1"/>
  <c r="O106" i="6" s="1"/>
  <c r="N106" i="6" a="1"/>
  <c r="N106" i="6" s="1"/>
  <c r="M106" i="6" a="1"/>
  <c r="M106" i="6" s="1"/>
  <c r="L106" i="6"/>
  <c r="L106" i="6" a="1"/>
  <c r="K106" i="6"/>
  <c r="K106" i="6" a="1"/>
  <c r="J106" i="6" a="1"/>
  <c r="J106" i="6" s="1"/>
  <c r="I106" i="6"/>
  <c r="I106" i="6" a="1"/>
  <c r="H106" i="6" a="1"/>
  <c r="H106" i="6" s="1"/>
  <c r="G106" i="6" a="1"/>
  <c r="G106" i="6" s="1"/>
  <c r="F106" i="6" a="1"/>
  <c r="F106" i="6" s="1"/>
  <c r="E106" i="6"/>
  <c r="E106" i="6" a="1"/>
  <c r="D106" i="6" a="1"/>
  <c r="D106" i="6" s="1"/>
  <c r="AH105" i="6"/>
  <c r="AH105" i="6" a="1"/>
  <c r="AG105" i="6"/>
  <c r="AG105" i="6" a="1"/>
  <c r="AF105" i="6"/>
  <c r="AF105" i="6" a="1"/>
  <c r="AE105" i="6" a="1"/>
  <c r="AE105" i="6" s="1"/>
  <c r="AD105" i="6" a="1"/>
  <c r="AD105" i="6" s="1"/>
  <c r="AC105" i="6"/>
  <c r="AC105" i="6" a="1"/>
  <c r="AB105" i="6"/>
  <c r="AB105" i="6" a="1"/>
  <c r="AA105" i="6"/>
  <c r="AA105" i="6" a="1"/>
  <c r="Z105" i="6" a="1"/>
  <c r="Z105" i="6" s="1"/>
  <c r="Y105" i="6"/>
  <c r="Y105" i="6" a="1"/>
  <c r="X105" i="6" a="1"/>
  <c r="X105" i="6" s="1"/>
  <c r="W105" i="6" a="1"/>
  <c r="W105" i="6" s="1"/>
  <c r="V105" i="6" a="1"/>
  <c r="V105" i="6" s="1"/>
  <c r="U105" i="6"/>
  <c r="U105" i="6" a="1"/>
  <c r="T105" i="6" a="1"/>
  <c r="T105" i="6" s="1"/>
  <c r="S105" i="6"/>
  <c r="S105" i="6" a="1"/>
  <c r="R105" i="6"/>
  <c r="R105" i="6" a="1"/>
  <c r="Q105" i="6"/>
  <c r="Q105" i="6" a="1"/>
  <c r="P105" i="6" a="1"/>
  <c r="P105" i="6" s="1"/>
  <c r="O105" i="6" a="1"/>
  <c r="O105" i="6" s="1"/>
  <c r="N105" i="6"/>
  <c r="N105" i="6" a="1"/>
  <c r="M105" i="6"/>
  <c r="M105" i="6" a="1"/>
  <c r="L105" i="6"/>
  <c r="L105" i="6" a="1"/>
  <c r="K105" i="6" a="1"/>
  <c r="K105" i="6" s="1"/>
  <c r="J105" i="6"/>
  <c r="J105" i="6" a="1"/>
  <c r="I105" i="6" a="1"/>
  <c r="I105" i="6" s="1"/>
  <c r="H105" i="6" a="1"/>
  <c r="H105" i="6" s="1"/>
  <c r="G105" i="6" a="1"/>
  <c r="G105" i="6" s="1"/>
  <c r="F105" i="6"/>
  <c r="F105" i="6" a="1"/>
  <c r="E105" i="6" a="1"/>
  <c r="E105" i="6" s="1"/>
  <c r="D105" i="6"/>
  <c r="D105" i="6" a="1"/>
  <c r="AH104" i="6"/>
  <c r="AH104" i="6" a="1"/>
  <c r="AG104" i="6" a="1"/>
  <c r="AG104" i="6" s="1"/>
  <c r="AF104" i="6" a="1"/>
  <c r="AF104" i="6" s="1"/>
  <c r="AE104" i="6" a="1"/>
  <c r="AE104" i="6" s="1"/>
  <c r="AD104" i="6"/>
  <c r="AD104" i="6" a="1"/>
  <c r="AC104" i="6"/>
  <c r="AC104" i="6" a="1"/>
  <c r="AB104" i="6"/>
  <c r="AB104" i="6" a="1"/>
  <c r="AA104" i="6" a="1"/>
  <c r="AA104" i="6" s="1"/>
  <c r="Z104" i="6" a="1"/>
  <c r="Z104" i="6" s="1"/>
  <c r="Y104" i="6"/>
  <c r="Y104" i="6" a="1"/>
  <c r="X104" i="6" a="1"/>
  <c r="X104" i="6" s="1"/>
  <c r="W104" i="6" a="1"/>
  <c r="W104" i="6" s="1"/>
  <c r="V104" i="6"/>
  <c r="V104" i="6" a="1"/>
  <c r="U104" i="6" a="1"/>
  <c r="U104" i="6" s="1"/>
  <c r="T104" i="6"/>
  <c r="T104" i="6" a="1"/>
  <c r="S104" i="6" a="1"/>
  <c r="S104" i="6" s="1"/>
  <c r="R104" i="6"/>
  <c r="R104" i="6" a="1"/>
  <c r="Q104" i="6" a="1"/>
  <c r="Q104" i="6" s="1"/>
  <c r="P104" i="6" a="1"/>
  <c r="P104" i="6" s="1"/>
  <c r="O104" i="6"/>
  <c r="O104" i="6" a="1"/>
  <c r="N104" i="6"/>
  <c r="N104" i="6" a="1"/>
  <c r="M104" i="6"/>
  <c r="M104" i="6" a="1"/>
  <c r="L104" i="6" a="1"/>
  <c r="L104" i="6" s="1"/>
  <c r="K104" i="6"/>
  <c r="K104" i="6" a="1"/>
  <c r="J104" i="6"/>
  <c r="J104" i="6" a="1"/>
  <c r="I104" i="6" a="1"/>
  <c r="I104" i="6" s="1"/>
  <c r="H104" i="6" a="1"/>
  <c r="H104" i="6" s="1"/>
  <c r="G104" i="6"/>
  <c r="G104" i="6" a="1"/>
  <c r="F104" i="6" a="1"/>
  <c r="F104" i="6" s="1"/>
  <c r="E104" i="6" a="1"/>
  <c r="E104" i="6" s="1"/>
  <c r="D104" i="6" a="1"/>
  <c r="D104" i="6" s="1"/>
  <c r="AH103" i="6"/>
  <c r="AH103" i="6" a="1"/>
  <c r="AG103" i="6" a="1"/>
  <c r="AG103" i="6" s="1"/>
  <c r="AF103" i="6" a="1"/>
  <c r="AF103" i="6" s="1"/>
  <c r="AE103" i="6"/>
  <c r="AE103" i="6" a="1"/>
  <c r="AD103" i="6"/>
  <c r="AD103" i="6" a="1"/>
  <c r="AC103" i="6" a="1"/>
  <c r="AC103" i="6" s="1"/>
  <c r="AB103" i="6"/>
  <c r="AB103" i="6" a="1"/>
  <c r="AA103" i="6"/>
  <c r="AA103" i="6" a="1"/>
  <c r="Z103" i="6"/>
  <c r="Z103" i="6" a="1"/>
  <c r="Y103" i="6" a="1"/>
  <c r="Y103" i="6" s="1"/>
  <c r="X103" i="6" a="1"/>
  <c r="X103" i="6" s="1"/>
  <c r="W103" i="6"/>
  <c r="W103" i="6" a="1"/>
  <c r="V103" i="6" a="1"/>
  <c r="V103" i="6" s="1"/>
  <c r="U103" i="6"/>
  <c r="U103" i="6" a="1"/>
  <c r="T103" i="6" a="1"/>
  <c r="T103" i="6" s="1"/>
  <c r="S103" i="6"/>
  <c r="S103" i="6" a="1"/>
  <c r="R103" i="6" a="1"/>
  <c r="R103" i="6" s="1"/>
  <c r="Q103" i="6" a="1"/>
  <c r="Q103" i="6" s="1"/>
  <c r="P103" i="6"/>
  <c r="P103" i="6" a="1"/>
  <c r="O103" i="6" a="1"/>
  <c r="O103" i="6" s="1"/>
  <c r="N103" i="6" a="1"/>
  <c r="N103" i="6" s="1"/>
  <c r="M103" i="6"/>
  <c r="M103" i="6" a="1"/>
  <c r="L103" i="6"/>
  <c r="L103" i="6" a="1"/>
  <c r="K103" i="6"/>
  <c r="K103" i="6" a="1"/>
  <c r="J103" i="6" a="1"/>
  <c r="J103" i="6" s="1"/>
  <c r="I103" i="6" a="1"/>
  <c r="I103" i="6" s="1"/>
  <c r="H103" i="6" a="1"/>
  <c r="H103" i="6" s="1"/>
  <c r="G103" i="6"/>
  <c r="G103" i="6" a="1"/>
  <c r="F103" i="6"/>
  <c r="F103" i="6" a="1"/>
  <c r="E103" i="6" a="1"/>
  <c r="E103" i="6" s="1"/>
  <c r="D103" i="6"/>
  <c r="D103" i="6" a="1"/>
  <c r="AH102" i="6" a="1"/>
  <c r="AH102" i="6" s="1"/>
  <c r="AG102" i="6" a="1"/>
  <c r="AG102" i="6" s="1"/>
  <c r="AF102" i="6" a="1"/>
  <c r="AF102" i="6" s="1"/>
  <c r="AE102" i="6"/>
  <c r="AE102" i="6" a="1"/>
  <c r="AD102" i="6" a="1"/>
  <c r="AD102" i="6" s="1"/>
  <c r="AC102" i="6"/>
  <c r="AC102" i="6" a="1"/>
  <c r="AB102" i="6"/>
  <c r="AB102" i="6" a="1"/>
  <c r="AA102" i="6"/>
  <c r="AA102" i="6" a="1"/>
  <c r="Z102" i="6" a="1"/>
  <c r="Z102" i="6" s="1"/>
  <c r="Y102" i="6" a="1"/>
  <c r="Y102" i="6" s="1"/>
  <c r="X102" i="6"/>
  <c r="X102" i="6" a="1"/>
  <c r="W102" i="6"/>
  <c r="W102" i="6" a="1"/>
  <c r="V102" i="6"/>
  <c r="V102" i="6" a="1"/>
  <c r="U102" i="6" a="1"/>
  <c r="U102" i="6" s="1"/>
  <c r="T102" i="6"/>
  <c r="T102" i="6" a="1"/>
  <c r="S102" i="6" a="1"/>
  <c r="S102" i="6" s="1"/>
  <c r="R102" i="6" a="1"/>
  <c r="R102" i="6" s="1"/>
  <c r="Q102" i="6" a="1"/>
  <c r="Q102" i="6" s="1"/>
  <c r="P102" i="6"/>
  <c r="P102" i="6" a="1"/>
  <c r="O102" i="6" a="1"/>
  <c r="O102" i="6" s="1"/>
  <c r="N102" i="6"/>
  <c r="N102" i="6" a="1"/>
  <c r="M102" i="6"/>
  <c r="M102" i="6" a="1"/>
  <c r="L102" i="6"/>
  <c r="L102" i="6" a="1"/>
  <c r="K102" i="6" a="1"/>
  <c r="K102" i="6" s="1"/>
  <c r="J102" i="6" a="1"/>
  <c r="J102" i="6" s="1"/>
  <c r="I102" i="6"/>
  <c r="I102" i="6" a="1"/>
  <c r="H102" i="6"/>
  <c r="H102" i="6" a="1"/>
  <c r="G102" i="6"/>
  <c r="G102" i="6" a="1"/>
  <c r="F102" i="6" a="1"/>
  <c r="F102" i="6" s="1"/>
  <c r="E102" i="6"/>
  <c r="E102" i="6" a="1"/>
  <c r="D102" i="6" a="1"/>
  <c r="D102" i="6" s="1"/>
  <c r="AH101" i="6" a="1"/>
  <c r="AH101" i="6" s="1"/>
  <c r="AG101" i="6" a="1"/>
  <c r="AG101" i="6" s="1"/>
  <c r="AF101" i="6"/>
  <c r="AF101" i="6" a="1"/>
  <c r="AE101" i="6" a="1"/>
  <c r="AE101" i="6" s="1"/>
  <c r="AD101" i="6"/>
  <c r="AD101" i="6" a="1"/>
  <c r="AC101" i="6"/>
  <c r="AC101" i="6" a="1"/>
  <c r="AB101" i="6" a="1"/>
  <c r="AB101" i="6" s="1"/>
  <c r="AA101" i="6" a="1"/>
  <c r="AA101" i="6" s="1"/>
  <c r="Z101" i="6" a="1"/>
  <c r="Z101" i="6" s="1"/>
  <c r="Y101" i="6"/>
  <c r="Y101" i="6" a="1"/>
  <c r="X101" i="6"/>
  <c r="X101" i="6" a="1"/>
  <c r="W101" i="6"/>
  <c r="W101" i="6" a="1"/>
  <c r="V101" i="6" a="1"/>
  <c r="V101" i="6" s="1"/>
  <c r="U101" i="6" a="1"/>
  <c r="U101" i="6" s="1"/>
  <c r="T101" i="6"/>
  <c r="T101" i="6" a="1"/>
  <c r="S101" i="6" a="1"/>
  <c r="S101" i="6" s="1"/>
  <c r="R101" i="6" a="1"/>
  <c r="R101" i="6" s="1"/>
  <c r="Q101" i="6"/>
  <c r="Q101" i="6" a="1"/>
  <c r="P101" i="6" a="1"/>
  <c r="P101" i="6" s="1"/>
  <c r="O101" i="6"/>
  <c r="O101" i="6" a="1"/>
  <c r="N101" i="6" a="1"/>
  <c r="N101" i="6" s="1"/>
  <c r="M101" i="6"/>
  <c r="M101" i="6" a="1"/>
  <c r="L101" i="6" a="1"/>
  <c r="L101" i="6" s="1"/>
  <c r="K101" i="6" a="1"/>
  <c r="K101" i="6" s="1"/>
  <c r="J101" i="6"/>
  <c r="J101" i="6" a="1"/>
  <c r="I101" i="6"/>
  <c r="I101" i="6" a="1"/>
  <c r="H101" i="6"/>
  <c r="H101" i="6" a="1"/>
  <c r="G101" i="6" a="1"/>
  <c r="G101" i="6" s="1"/>
  <c r="F101" i="6"/>
  <c r="F101" i="6" a="1"/>
  <c r="E101" i="6"/>
  <c r="E101" i="6" a="1"/>
  <c r="D101" i="6" a="1"/>
  <c r="D101" i="6" s="1"/>
  <c r="AH100" i="6" a="1"/>
  <c r="AH100" i="6" s="1"/>
  <c r="AG100" i="6"/>
  <c r="AG100" i="6" a="1"/>
  <c r="AF100" i="6" a="1"/>
  <c r="AF100" i="6" s="1"/>
  <c r="AE100" i="6" a="1"/>
  <c r="AE100" i="6" s="1"/>
  <c r="AD100" i="6" a="1"/>
  <c r="AD100" i="6" s="1"/>
  <c r="AC100" i="6"/>
  <c r="AC100" i="6" a="1"/>
  <c r="AB100" i="6" a="1"/>
  <c r="AB100" i="6" s="1"/>
  <c r="AA100" i="6" a="1"/>
  <c r="AA100" i="6" s="1"/>
  <c r="Z100" i="6"/>
  <c r="Z100" i="6" a="1"/>
  <c r="Y100" i="6"/>
  <c r="Y100" i="6" a="1"/>
  <c r="X100" i="6" a="1"/>
  <c r="X100" i="6" s="1"/>
  <c r="W100" i="6"/>
  <c r="W100" i="6" a="1"/>
  <c r="V100" i="6"/>
  <c r="V100" i="6" a="1"/>
  <c r="U100" i="6"/>
  <c r="U100" i="6" a="1"/>
  <c r="T100" i="6" a="1"/>
  <c r="T100" i="6" s="1"/>
  <c r="S100" i="6" a="1"/>
  <c r="S100" i="6" s="1"/>
  <c r="R100" i="6"/>
  <c r="R100" i="6" a="1"/>
  <c r="Q100" i="6" a="1"/>
  <c r="Q100" i="6" s="1"/>
  <c r="P100" i="6"/>
  <c r="P100" i="6" a="1"/>
  <c r="O100" i="6" a="1"/>
  <c r="O100" i="6" s="1"/>
  <c r="N100" i="6"/>
  <c r="N100" i="6" a="1"/>
  <c r="M100" i="6"/>
  <c r="M100" i="6" a="1"/>
  <c r="L100" i="6" a="1"/>
  <c r="L100" i="6" s="1"/>
  <c r="K100" i="6"/>
  <c r="K100" i="6" a="1"/>
  <c r="J100" i="6" a="1"/>
  <c r="J100" i="6" s="1"/>
  <c r="I100" i="6" a="1"/>
  <c r="I100" i="6" s="1"/>
  <c r="H100" i="6"/>
  <c r="H100" i="6" a="1"/>
  <c r="G100" i="6"/>
  <c r="G100" i="6" a="1"/>
  <c r="F100" i="6"/>
  <c r="F100" i="6" a="1"/>
  <c r="E100" i="6" a="1"/>
  <c r="E100" i="6" s="1"/>
  <c r="D100" i="6" a="1"/>
  <c r="D100" i="6" s="1"/>
  <c r="AH99" i="6" a="1"/>
  <c r="AH99" i="6" s="1"/>
  <c r="AG99" i="6"/>
  <c r="AG99" i="6" a="1"/>
  <c r="AF99" i="6"/>
  <c r="AF99" i="6" a="1"/>
  <c r="AE99" i="6" a="1"/>
  <c r="AE99" i="6" s="1"/>
  <c r="AD99" i="6"/>
  <c r="AD99" i="6" a="1"/>
  <c r="AC99" i="6"/>
  <c r="AC99" i="6" a="1"/>
  <c r="AB99" i="6" a="1"/>
  <c r="AB99" i="6" s="1"/>
  <c r="AA99" i="6" a="1"/>
  <c r="AA99" i="6" s="1"/>
  <c r="Z99" i="6"/>
  <c r="Z99" i="6" a="1"/>
  <c r="Y99" i="6" a="1"/>
  <c r="Y99" i="6" s="1"/>
  <c r="X99" i="6"/>
  <c r="X99" i="6" a="1"/>
  <c r="W99" i="6"/>
  <c r="W99" i="6" a="1"/>
  <c r="V99" i="6"/>
  <c r="V99" i="6" a="1"/>
  <c r="U99" i="6" a="1"/>
  <c r="U99" i="6" s="1"/>
  <c r="T99" i="6" a="1"/>
  <c r="T99" i="6" s="1"/>
  <c r="S99" i="6"/>
  <c r="S99" i="6" a="1"/>
  <c r="R99" i="6"/>
  <c r="R99" i="6" a="1"/>
  <c r="Q99" i="6"/>
  <c r="Q99" i="6" a="1"/>
  <c r="P99" i="6" a="1"/>
  <c r="P99" i="6" s="1"/>
  <c r="O99" i="6"/>
  <c r="O99" i="6" a="1"/>
  <c r="N99" i="6"/>
  <c r="N99" i="6" a="1"/>
  <c r="M99" i="6" a="1"/>
  <c r="M99" i="6" s="1"/>
  <c r="L99" i="6" a="1"/>
  <c r="L99" i="6" s="1"/>
  <c r="K99" i="6"/>
  <c r="K99" i="6" a="1"/>
  <c r="J99" i="6" a="1"/>
  <c r="J99" i="6" s="1"/>
  <c r="I99" i="6"/>
  <c r="I99" i="6" a="1"/>
  <c r="H99" i="6"/>
  <c r="H99" i="6" a="1"/>
  <c r="G99" i="6"/>
  <c r="G99" i="6" a="1"/>
  <c r="F99" i="6" a="1"/>
  <c r="F99" i="6" s="1"/>
  <c r="E99" i="6" a="1"/>
  <c r="E99" i="6" s="1"/>
  <c r="D99" i="6"/>
  <c r="D99" i="6" a="1"/>
  <c r="AH98" i="6"/>
  <c r="AH98" i="6" a="1"/>
  <c r="AG98" i="6"/>
  <c r="AG98" i="6" a="1"/>
  <c r="AF98" i="6" a="1"/>
  <c r="AF98" i="6" s="1"/>
  <c r="AE98" i="6"/>
  <c r="AE98" i="6" a="1"/>
  <c r="AD98" i="6" a="1"/>
  <c r="AD98" i="6" s="1"/>
  <c r="AC98" i="6" a="1"/>
  <c r="AC98" i="6" s="1"/>
  <c r="AB98" i="6" a="1"/>
  <c r="AB98" i="6" s="1"/>
  <c r="AA98" i="6"/>
  <c r="AA98" i="6" a="1"/>
  <c r="Z98" i="6" a="1"/>
  <c r="Z98" i="6" s="1"/>
  <c r="Y98" i="6"/>
  <c r="Y98" i="6" a="1"/>
  <c r="X98" i="6"/>
  <c r="X98" i="6" a="1"/>
  <c r="W98" i="6" a="1"/>
  <c r="W98" i="6" s="1"/>
  <c r="V98" i="6"/>
  <c r="V98" i="6" a="1"/>
  <c r="U98" i="6" a="1"/>
  <c r="U98" i="6" s="1"/>
  <c r="T98" i="6"/>
  <c r="T98" i="6" a="1"/>
  <c r="S98" i="6"/>
  <c r="S98" i="6" a="1"/>
  <c r="R98" i="6"/>
  <c r="R98" i="6" a="1"/>
  <c r="Q98" i="6" a="1"/>
  <c r="Q98" i="6" s="1"/>
  <c r="P98" i="6" a="1"/>
  <c r="P98" i="6" s="1"/>
  <c r="O98" i="6"/>
  <c r="O98" i="6" a="1"/>
  <c r="N98" i="6" a="1"/>
  <c r="N98" i="6" s="1"/>
  <c r="M98" i="6" a="1"/>
  <c r="M98" i="6" s="1"/>
  <c r="L98" i="6"/>
  <c r="L98" i="6" a="1"/>
  <c r="K98" i="6" a="1"/>
  <c r="K98" i="6" s="1"/>
  <c r="J98" i="6"/>
  <c r="J98" i="6" a="1"/>
  <c r="I98" i="6" a="1"/>
  <c r="I98" i="6" s="1"/>
  <c r="H98" i="6"/>
  <c r="H98" i="6" a="1"/>
  <c r="G98" i="6"/>
  <c r="G98" i="6" a="1"/>
  <c r="F98" i="6" a="1"/>
  <c r="F98" i="6" s="1"/>
  <c r="E98" i="6"/>
  <c r="E98" i="6" a="1"/>
  <c r="D98" i="6"/>
  <c r="D98" i="6" a="1"/>
  <c r="AH97" i="6"/>
  <c r="AH97" i="6" a="1"/>
  <c r="AG97" i="6" a="1"/>
  <c r="AG97" i="6" s="1"/>
  <c r="AF97" i="6"/>
  <c r="AF97" i="6" a="1"/>
  <c r="AE97" i="6"/>
  <c r="AE97" i="6" a="1"/>
  <c r="AD97" i="6" a="1"/>
  <c r="AD97" i="6" s="1"/>
  <c r="AC97" i="6" a="1"/>
  <c r="AC97" i="6" s="1"/>
  <c r="AB97" i="6"/>
  <c r="AB97" i="6" a="1"/>
  <c r="AA97" i="6" a="1"/>
  <c r="AA97" i="6" s="1"/>
  <c r="Z97" i="6" a="1"/>
  <c r="Z97" i="6" s="1"/>
  <c r="Y97" i="6" a="1"/>
  <c r="Y97" i="6" s="1"/>
  <c r="X97" i="6"/>
  <c r="X97" i="6" a="1"/>
  <c r="W97" i="6"/>
  <c r="W97" i="6" a="1"/>
  <c r="V97" i="6" a="1"/>
  <c r="V97" i="6" s="1"/>
  <c r="U97" i="6"/>
  <c r="U97" i="6" a="1"/>
  <c r="T97" i="6"/>
  <c r="T97" i="6" a="1"/>
  <c r="S97" i="6" a="1"/>
  <c r="S97" i="6" s="1"/>
  <c r="R97" i="6"/>
  <c r="R97" i="6" a="1"/>
  <c r="Q97" i="6"/>
  <c r="Q97" i="6" a="1"/>
  <c r="P97" i="6"/>
  <c r="P97" i="6" a="1"/>
  <c r="O97" i="6" a="1"/>
  <c r="O97" i="6" s="1"/>
  <c r="N97" i="6" a="1"/>
  <c r="N97" i="6" s="1"/>
  <c r="M97" i="6"/>
  <c r="M97" i="6" a="1"/>
  <c r="L97" i="6" a="1"/>
  <c r="L97" i="6" s="1"/>
  <c r="K97" i="6"/>
  <c r="K97" i="6" a="1"/>
  <c r="J97" i="6" a="1"/>
  <c r="J97" i="6" s="1"/>
  <c r="I97" i="6"/>
  <c r="I97" i="6" a="1"/>
  <c r="H97" i="6"/>
  <c r="H97" i="6" a="1"/>
  <c r="G97" i="6" a="1"/>
  <c r="G97" i="6" s="1"/>
  <c r="F97" i="6"/>
  <c r="F97" i="6" a="1"/>
  <c r="E97" i="6" a="1"/>
  <c r="E97" i="6" s="1"/>
  <c r="D97" i="6" a="1"/>
  <c r="D97" i="6" s="1"/>
  <c r="AH96" i="6"/>
  <c r="AH96" i="6" a="1"/>
  <c r="AG96" i="6"/>
  <c r="AG96" i="6" a="1"/>
  <c r="AF96" i="6"/>
  <c r="AF96" i="6" a="1"/>
  <c r="AE96" i="6" a="1"/>
  <c r="AE96" i="6" s="1"/>
  <c r="AD96" i="6" a="1"/>
  <c r="AD96" i="6" s="1"/>
  <c r="AC96" i="6" a="1"/>
  <c r="AC96" i="6" s="1"/>
  <c r="AB96" i="6"/>
  <c r="AB96" i="6" a="1"/>
  <c r="AA96" i="6"/>
  <c r="AA96" i="6" a="1"/>
  <c r="Z96" i="6" a="1"/>
  <c r="Z96" i="6" s="1"/>
  <c r="Y96" i="6"/>
  <c r="Y96" i="6" a="1"/>
  <c r="X96" i="6"/>
  <c r="X96" i="6" a="1"/>
  <c r="W96" i="6" a="1"/>
  <c r="W96" i="6" s="1"/>
  <c r="V96" i="6" a="1"/>
  <c r="V96" i="6" s="1"/>
  <c r="U96" i="6"/>
  <c r="U96" i="6" a="1"/>
  <c r="T96" i="6" a="1"/>
  <c r="T96" i="6" s="1"/>
  <c r="S96" i="6"/>
  <c r="S96" i="6" a="1"/>
  <c r="R96" i="6"/>
  <c r="R96" i="6" a="1"/>
  <c r="Q96" i="6"/>
  <c r="Q96" i="6" a="1"/>
  <c r="P96" i="6" a="1"/>
  <c r="P96" i="6" s="1"/>
  <c r="O96" i="6" a="1"/>
  <c r="O96" i="6" s="1"/>
  <c r="N96" i="6"/>
  <c r="N96" i="6" a="1"/>
  <c r="M96" i="6"/>
  <c r="M96" i="6" a="1"/>
  <c r="L96" i="6"/>
  <c r="L96" i="6" a="1"/>
  <c r="K96" i="6" a="1"/>
  <c r="K96" i="6" s="1"/>
  <c r="J96" i="6"/>
  <c r="J96" i="6" a="1"/>
  <c r="I96" i="6"/>
  <c r="I96" i="6" a="1"/>
  <c r="H96" i="6" a="1"/>
  <c r="H96" i="6" s="1"/>
  <c r="G96" i="6" a="1"/>
  <c r="G96" i="6" s="1"/>
  <c r="F96" i="6"/>
  <c r="F96" i="6" a="1"/>
  <c r="E96" i="6" a="1"/>
  <c r="E96" i="6" s="1"/>
  <c r="D96" i="6"/>
  <c r="D96" i="6" a="1"/>
  <c r="AH95" i="6"/>
  <c r="AH95" i="6" a="1"/>
  <c r="AG95" i="6"/>
  <c r="AG95" i="6" a="1"/>
  <c r="AF95" i="6" a="1"/>
  <c r="AF95" i="6" s="1"/>
  <c r="AE95" i="6" a="1"/>
  <c r="AE95" i="6" s="1"/>
  <c r="AD95" i="6"/>
  <c r="AD95" i="6" a="1"/>
  <c r="AC95" i="6"/>
  <c r="AC95" i="6" a="1"/>
  <c r="AB95" i="6"/>
  <c r="AB95" i="6" a="1"/>
  <c r="AA95" i="6" a="1"/>
  <c r="AA95" i="6" s="1"/>
  <c r="Z95" i="6"/>
  <c r="Z95" i="6" a="1"/>
  <c r="Y95" i="6" a="1"/>
  <c r="Y95" i="6" s="1"/>
  <c r="X95" i="6" a="1"/>
  <c r="X95" i="6" s="1"/>
  <c r="W95" i="6" a="1"/>
  <c r="W95" i="6" s="1"/>
  <c r="V95" i="6"/>
  <c r="V95" i="6" a="1"/>
  <c r="U95" i="6" a="1"/>
  <c r="U95" i="6" s="1"/>
  <c r="T95" i="6"/>
  <c r="T95" i="6" a="1"/>
  <c r="S95" i="6" a="1"/>
  <c r="S95" i="6" s="1"/>
  <c r="R95" i="6" a="1"/>
  <c r="R95" i="6" s="1"/>
  <c r="Q95" i="6"/>
  <c r="Q95" i="6" a="1"/>
  <c r="P95" i="6" a="1"/>
  <c r="P95" i="6" s="1"/>
  <c r="O95" i="6"/>
  <c r="O95" i="6" a="1"/>
  <c r="N95" i="6"/>
  <c r="N95" i="6" a="1"/>
  <c r="M95" i="6"/>
  <c r="M95" i="6" a="1"/>
  <c r="L95" i="6" a="1"/>
  <c r="L95" i="6" s="1"/>
  <c r="K95" i="6" a="1"/>
  <c r="K95" i="6" s="1"/>
  <c r="J95" i="6"/>
  <c r="J95" i="6" a="1"/>
  <c r="I95" i="6" a="1"/>
  <c r="I95" i="6" s="1"/>
  <c r="H95" i="6" a="1"/>
  <c r="H95" i="6" s="1"/>
  <c r="G95" i="6"/>
  <c r="G95" i="6" a="1"/>
  <c r="F95" i="6" a="1"/>
  <c r="F95" i="6" s="1"/>
  <c r="E95" i="6"/>
  <c r="E95" i="6" a="1"/>
  <c r="D95" i="6" a="1"/>
  <c r="D95" i="6" s="1"/>
  <c r="AH94" i="6"/>
  <c r="AH94" i="6" a="1"/>
  <c r="AG94" i="6"/>
  <c r="AG94" i="6" a="1"/>
  <c r="AF94" i="6" a="1"/>
  <c r="AF94" i="6" s="1"/>
  <c r="AE94" i="6"/>
  <c r="AE94" i="6" a="1"/>
  <c r="AD94" i="6"/>
  <c r="AD94" i="6" a="1"/>
  <c r="AC94" i="6"/>
  <c r="AC94" i="6" a="1"/>
  <c r="AB94" i="6" a="1"/>
  <c r="AB94" i="6" s="1"/>
  <c r="AA94" i="6" a="1"/>
  <c r="AA94" i="6" s="1"/>
  <c r="Z94" i="6"/>
  <c r="Z94" i="6" a="1"/>
  <c r="Y94" i="6" a="1"/>
  <c r="Y94" i="6" s="1"/>
  <c r="X94" i="6" a="1"/>
  <c r="X94" i="6" s="1"/>
  <c r="W94" i="6"/>
  <c r="W94" i="6" a="1"/>
  <c r="V94" i="6" a="1"/>
  <c r="V94" i="6" s="1"/>
  <c r="U94" i="6" a="1"/>
  <c r="U94" i="6" s="1"/>
  <c r="T94" i="6" a="1"/>
  <c r="T94" i="6" s="1"/>
  <c r="S94" i="6"/>
  <c r="S94" i="6" a="1"/>
  <c r="R94" i="6"/>
  <c r="R94" i="6" a="1"/>
  <c r="Q94" i="6" a="1"/>
  <c r="Q94" i="6" s="1"/>
  <c r="P94" i="6"/>
  <c r="P94" i="6" a="1"/>
  <c r="O94" i="6"/>
  <c r="O94" i="6" a="1"/>
  <c r="N94" i="6" a="1"/>
  <c r="N94" i="6" s="1"/>
  <c r="M94" i="6"/>
  <c r="M94" i="6" a="1"/>
  <c r="L94" i="6" a="1"/>
  <c r="L94" i="6" s="1"/>
  <c r="K94" i="6"/>
  <c r="K94" i="6" a="1"/>
  <c r="J94" i="6" a="1"/>
  <c r="J94" i="6" s="1"/>
  <c r="I94" i="6" a="1"/>
  <c r="I94" i="6" s="1"/>
  <c r="H94" i="6"/>
  <c r="H94" i="6" a="1"/>
  <c r="G94" i="6" a="1"/>
  <c r="G94" i="6" s="1"/>
  <c r="F94" i="6"/>
  <c r="F94" i="6" a="1"/>
  <c r="E94" i="6" a="1"/>
  <c r="E94" i="6" s="1"/>
  <c r="D94" i="6"/>
  <c r="D94" i="6" a="1"/>
  <c r="AH93" i="6"/>
  <c r="AH93" i="6" a="1"/>
  <c r="AG93" i="6" a="1"/>
  <c r="AG93" i="6" s="1"/>
  <c r="AF93" i="6"/>
  <c r="AF93" i="6" a="1"/>
  <c r="AE93" i="6" a="1"/>
  <c r="AE93" i="6" s="1"/>
  <c r="AD93" i="6" a="1"/>
  <c r="AD93" i="6" s="1"/>
  <c r="AC93" i="6"/>
  <c r="AC93" i="6" a="1"/>
  <c r="AB93" i="6" a="1"/>
  <c r="AB93" i="6" s="1"/>
  <c r="AA93" i="6"/>
  <c r="AA93" i="6" a="1"/>
  <c r="Z93" i="6" a="1"/>
  <c r="Z93" i="6" s="1"/>
  <c r="Y93" i="6" a="1"/>
  <c r="Y93" i="6" s="1"/>
  <c r="X93" i="6" a="1"/>
  <c r="X93" i="6" s="1"/>
  <c r="W93" i="6"/>
  <c r="W93" i="6" a="1"/>
  <c r="V93" i="6"/>
  <c r="V93" i="6" a="1"/>
  <c r="U93" i="6" a="1"/>
  <c r="U93" i="6" s="1"/>
  <c r="T93" i="6"/>
  <c r="T93" i="6" a="1"/>
  <c r="S93" i="6"/>
  <c r="S93" i="6" a="1"/>
  <c r="R93" i="6" a="1"/>
  <c r="R93" i="6" s="1"/>
  <c r="Q93" i="6" a="1"/>
  <c r="Q93" i="6" s="1"/>
  <c r="P93" i="6"/>
  <c r="P93" i="6" a="1"/>
  <c r="O93" i="6" a="1"/>
  <c r="O93" i="6" s="1"/>
  <c r="N93" i="6"/>
  <c r="N93" i="6" a="1"/>
  <c r="M93" i="6" a="1"/>
  <c r="M93" i="6" s="1"/>
  <c r="L93" i="6"/>
  <c r="L93" i="6" a="1"/>
  <c r="K93" i="6" a="1"/>
  <c r="K93" i="6" s="1"/>
  <c r="J93" i="6" a="1"/>
  <c r="J93" i="6" s="1"/>
  <c r="I93" i="6"/>
  <c r="I93" i="6" a="1"/>
  <c r="H93" i="6"/>
  <c r="H93" i="6" a="1"/>
  <c r="G93" i="6"/>
  <c r="G93" i="6" a="1"/>
  <c r="F93" i="6" a="1"/>
  <c r="F93" i="6" s="1"/>
  <c r="E93" i="6"/>
  <c r="E93" i="6" a="1"/>
  <c r="D93" i="6"/>
  <c r="D93" i="6" a="1"/>
  <c r="AH92" i="6" a="1"/>
  <c r="AH92" i="6" s="1"/>
  <c r="AG92" i="6" a="1"/>
  <c r="AG92" i="6" s="1"/>
  <c r="AF92" i="6"/>
  <c r="AF92" i="6" a="1"/>
  <c r="AE92" i="6" a="1"/>
  <c r="AE92" i="6" s="1"/>
  <c r="AD92" i="6"/>
  <c r="AD92" i="6" a="1"/>
  <c r="AC92" i="6" a="1"/>
  <c r="AC92" i="6" s="1"/>
  <c r="AB92" i="6"/>
  <c r="AB92" i="6" a="1"/>
  <c r="AA92" i="6" a="1"/>
  <c r="AA92" i="6" s="1"/>
  <c r="Z92" i="6" a="1"/>
  <c r="Z92" i="6" s="1"/>
  <c r="Y92" i="6" a="1"/>
  <c r="Y92" i="6" s="1"/>
  <c r="X92" i="6"/>
  <c r="X92" i="6" a="1"/>
  <c r="W92" i="6"/>
  <c r="W92" i="6" a="1"/>
  <c r="V92" i="6" a="1"/>
  <c r="V92" i="6" s="1"/>
  <c r="U92" i="6"/>
  <c r="U92" i="6" a="1"/>
  <c r="T92" i="6" a="1"/>
  <c r="T92" i="6" s="1"/>
  <c r="S92" i="6" a="1"/>
  <c r="S92" i="6" s="1"/>
  <c r="R92" i="6" a="1"/>
  <c r="R92" i="6" s="1"/>
  <c r="Q92" i="6"/>
  <c r="Q92" i="6" a="1"/>
  <c r="P92" i="6" a="1"/>
  <c r="P92" i="6" s="1"/>
  <c r="O92" i="6"/>
  <c r="O92" i="6" a="1"/>
  <c r="N92" i="6" a="1"/>
  <c r="N92" i="6" s="1"/>
  <c r="M92" i="6" a="1"/>
  <c r="M92" i="6" s="1"/>
  <c r="L92" i="6"/>
  <c r="L92" i="6" a="1"/>
  <c r="K92" i="6" a="1"/>
  <c r="K92" i="6" s="1"/>
  <c r="J92" i="6" a="1"/>
  <c r="J92" i="6" s="1"/>
  <c r="I92" i="6"/>
  <c r="I92" i="6" a="1"/>
  <c r="H92" i="6"/>
  <c r="H92" i="6" a="1"/>
  <c r="G92" i="6" a="1"/>
  <c r="G92" i="6" s="1"/>
  <c r="F92" i="6" a="1"/>
  <c r="F92" i="6" s="1"/>
  <c r="E92" i="6"/>
  <c r="E92" i="6" a="1"/>
  <c r="D92" i="6" a="1"/>
  <c r="D92" i="6" s="1"/>
  <c r="AH91" i="6" a="1"/>
  <c r="AH91" i="6" s="1"/>
  <c r="AG91" i="6"/>
  <c r="AG91" i="6" a="1"/>
  <c r="AF91" i="6" a="1"/>
  <c r="AF91" i="6" s="1"/>
  <c r="AE91" i="6"/>
  <c r="AE91" i="6" a="1"/>
  <c r="AD91" i="6" a="1"/>
  <c r="AD91" i="6" s="1"/>
  <c r="AC91" i="6" a="1"/>
  <c r="AC91" i="6" s="1"/>
  <c r="AB91" i="6"/>
  <c r="AB91" i="6" a="1"/>
  <c r="AA91" i="6" a="1"/>
  <c r="AA91" i="6" s="1"/>
  <c r="Z91" i="6" a="1"/>
  <c r="Z91" i="6" s="1"/>
  <c r="Y91" i="6"/>
  <c r="Y91" i="6" a="1"/>
  <c r="X91" i="6"/>
  <c r="X91" i="6" a="1"/>
  <c r="W91" i="6" a="1"/>
  <c r="W91" i="6" s="1"/>
  <c r="V91" i="6" a="1"/>
  <c r="V91" i="6" s="1"/>
  <c r="U91" i="6"/>
  <c r="U91" i="6" a="1"/>
  <c r="T91" i="6" a="1"/>
  <c r="T91" i="6" s="1"/>
  <c r="S91" i="6" a="1"/>
  <c r="S91" i="6" s="1"/>
  <c r="R91" i="6"/>
  <c r="R91" i="6" a="1"/>
  <c r="Q91" i="6" a="1"/>
  <c r="Q91" i="6" s="1"/>
  <c r="P91" i="6" a="1"/>
  <c r="P91" i="6" s="1"/>
  <c r="O91" i="6" a="1"/>
  <c r="O91" i="6" s="1"/>
  <c r="N91" i="6" a="1"/>
  <c r="N91" i="6" s="1"/>
  <c r="M91" i="6"/>
  <c r="M91" i="6" a="1"/>
  <c r="L91" i="6" a="1"/>
  <c r="L91" i="6" s="1"/>
  <c r="K91" i="6" a="1"/>
  <c r="K91" i="6" s="1"/>
  <c r="J91" i="6"/>
  <c r="J91" i="6" a="1"/>
  <c r="I91" i="6" a="1"/>
  <c r="I91" i="6" s="1"/>
  <c r="H91" i="6"/>
  <c r="H91" i="6" a="1"/>
  <c r="G91" i="6" a="1"/>
  <c r="G91" i="6" s="1"/>
  <c r="F91" i="6"/>
  <c r="F91" i="6" a="1"/>
  <c r="E91" i="6" a="1"/>
  <c r="E91" i="6" s="1"/>
  <c r="D91" i="6" a="1"/>
  <c r="D91" i="6" s="1"/>
  <c r="AH90" i="6"/>
  <c r="AH90" i="6" a="1"/>
  <c r="AG90" i="6" a="1"/>
  <c r="AG90" i="6" s="1"/>
  <c r="AF90" i="6"/>
  <c r="AF90" i="6" a="1"/>
  <c r="AE90" i="6" a="1"/>
  <c r="AE90" i="6" s="1"/>
  <c r="AD90" i="6" a="1"/>
  <c r="AD90" i="6" s="1"/>
  <c r="AC90" i="6"/>
  <c r="AC90" i="6" a="1"/>
  <c r="AB90" i="6" a="1"/>
  <c r="AB90" i="6" s="1"/>
  <c r="AA90" i="6" a="1"/>
  <c r="AA90" i="6" s="1"/>
  <c r="Z90" i="6" a="1"/>
  <c r="Z90" i="6" s="1"/>
  <c r="Y90" i="6"/>
  <c r="Y90" i="6" a="1"/>
  <c r="X90" i="6" a="1"/>
  <c r="X90" i="6" s="1"/>
  <c r="W90" i="6" a="1"/>
  <c r="W90" i="6" s="1"/>
  <c r="V90" i="6"/>
  <c r="V90" i="6" a="1"/>
  <c r="U90" i="6" a="1"/>
  <c r="U90" i="6" s="1"/>
  <c r="T90" i="6" a="1"/>
  <c r="T90" i="6" s="1"/>
  <c r="S90" i="6" a="1"/>
  <c r="S90" i="6" s="1"/>
  <c r="R90" i="6" a="1"/>
  <c r="R90" i="6" s="1"/>
  <c r="Q90" i="6" a="1"/>
  <c r="Q90" i="6" s="1"/>
  <c r="P90" i="6" a="1"/>
  <c r="P90" i="6" s="1"/>
  <c r="O90" i="6"/>
  <c r="O90" i="6" a="1"/>
  <c r="N90" i="6" a="1"/>
  <c r="N90" i="6" s="1"/>
  <c r="M90" i="6" a="1"/>
  <c r="M90" i="6" s="1"/>
  <c r="L90" i="6" a="1"/>
  <c r="L90" i="6" s="1"/>
  <c r="K90" i="6" a="1"/>
  <c r="K90" i="6" s="1"/>
  <c r="J90" i="6" a="1"/>
  <c r="J90" i="6" s="1"/>
  <c r="I90" i="6" a="1"/>
  <c r="I90" i="6" s="1"/>
  <c r="H90" i="6"/>
  <c r="H90" i="6" a="1"/>
  <c r="G90" i="6" a="1"/>
  <c r="G90" i="6" s="1"/>
  <c r="F90" i="6" a="1"/>
  <c r="F90" i="6" s="1"/>
  <c r="D90" i="6" a="1"/>
  <c r="D90" i="6" s="1"/>
  <c r="P252" i="19" a="1"/>
  <c r="P252" i="19" s="1"/>
  <c r="O252" i="19" a="1"/>
  <c r="O252" i="19" s="1"/>
  <c r="AD252" i="19" a="1"/>
  <c r="AD252" i="19" s="1"/>
  <c r="AC252" i="19" a="1"/>
  <c r="AC252" i="19" s="1"/>
  <c r="Z252" i="19" a="1"/>
  <c r="Z252" i="19" s="1"/>
  <c r="Y252" i="19" a="1"/>
  <c r="Y252" i="19" s="1"/>
  <c r="V252" i="19" a="1"/>
  <c r="V252" i="19" s="1"/>
  <c r="U252" i="19" a="1"/>
  <c r="U252" i="19" s="1"/>
  <c r="R252" i="19" a="1"/>
  <c r="R252" i="19" s="1"/>
  <c r="Q252" i="19" a="1"/>
  <c r="Q252" i="19" s="1"/>
  <c r="E252" i="19" a="1"/>
  <c r="E252" i="19" s="1"/>
  <c r="D252" i="19" a="1"/>
  <c r="D252" i="19" s="1"/>
  <c r="D236" i="19" a="1"/>
  <c r="D236" i="19" s="1"/>
  <c r="G12" i="7"/>
  <c r="G14" i="7"/>
  <c r="H56" i="7"/>
  <c r="I56" i="7" s="1"/>
  <c r="G56" i="7"/>
  <c r="J56" i="7" s="1"/>
  <c r="H55" i="7"/>
  <c r="I55" i="7" s="1"/>
  <c r="G55" i="7"/>
  <c r="J55" i="7" s="1"/>
  <c r="H54" i="7"/>
  <c r="I54" i="7" s="1"/>
  <c r="G54" i="7"/>
  <c r="K44" i="7"/>
  <c r="F44" i="7"/>
  <c r="G44" i="7" s="1"/>
  <c r="K43" i="7"/>
  <c r="F43" i="7"/>
  <c r="G43" i="7" s="1"/>
  <c r="K42" i="7"/>
  <c r="D40" i="7" s="1"/>
  <c r="F42" i="7"/>
  <c r="G42" i="7" s="1"/>
  <c r="F34" i="7"/>
  <c r="G34" i="7" s="1"/>
  <c r="F33" i="7"/>
  <c r="G33" i="7" s="1"/>
  <c r="F32" i="7"/>
  <c r="G32" i="7" s="1"/>
  <c r="F31" i="7"/>
  <c r="G31" i="7" s="1"/>
  <c r="F30" i="7"/>
  <c r="G30" i="7" s="1"/>
  <c r="F29" i="7"/>
  <c r="G29" i="7" s="1"/>
  <c r="F28" i="7"/>
  <c r="G28" i="7" s="1"/>
  <c r="F27" i="7"/>
  <c r="G27" i="7" s="1"/>
  <c r="F26" i="7"/>
  <c r="G26" i="7" s="1"/>
  <c r="F25" i="7"/>
  <c r="G25" i="7" s="1"/>
  <c r="G21" i="7"/>
  <c r="G20" i="7"/>
  <c r="G19" i="7"/>
  <c r="G18" i="7"/>
  <c r="G17" i="7"/>
  <c r="G16" i="7"/>
  <c r="G15" i="7"/>
  <c r="G13" i="7"/>
  <c r="V13" i="7" l="1"/>
  <c r="AH236" i="19" a="1"/>
  <c r="AH236" i="19" s="1"/>
  <c r="AD236" i="19" a="1"/>
  <c r="AD236" i="19" s="1"/>
  <c r="V16" i="7"/>
  <c r="V21" i="7"/>
  <c r="U236" i="19" a="1"/>
  <c r="U236" i="19" s="1"/>
  <c r="V18" i="7"/>
  <c r="X18" i="7" s="1"/>
  <c r="R236" i="19" a="1"/>
  <c r="R236" i="19" s="1"/>
  <c r="AK236" i="19" a="1"/>
  <c r="AK236" i="19" s="1"/>
  <c r="V15" i="7"/>
  <c r="AL236" i="19" a="1"/>
  <c r="AL236" i="19" s="1"/>
  <c r="V20" i="7"/>
  <c r="V236" i="19" a="1"/>
  <c r="V236" i="19" s="1"/>
  <c r="Y236" i="19" a="1"/>
  <c r="Y236" i="19" s="1"/>
  <c r="V17" i="7"/>
  <c r="X17" i="7" s="1"/>
  <c r="Z236" i="19" a="1"/>
  <c r="Z236" i="19" s="1"/>
  <c r="V14" i="7"/>
  <c r="V19" i="7"/>
  <c r="AC236" i="19" a="1"/>
  <c r="AC236" i="19" s="1"/>
  <c r="V12" i="7"/>
  <c r="I13" i="7"/>
  <c r="X21" i="7"/>
  <c r="X13" i="7"/>
  <c r="X15" i="7"/>
  <c r="X16" i="7"/>
  <c r="J54" i="7"/>
  <c r="X19" i="7"/>
  <c r="X12" i="7"/>
  <c r="X20" i="7"/>
  <c r="X14" i="7"/>
  <c r="I14" i="7"/>
  <c r="I21" i="7"/>
  <c r="I19" i="7"/>
  <c r="I12" i="7"/>
  <c r="I17" i="7"/>
  <c r="I15" i="7"/>
  <c r="I20" i="7"/>
  <c r="I18" i="7"/>
  <c r="I16" i="7"/>
  <c r="E236" i="19" l="1" a="1"/>
  <c r="E236" i="19" s="1"/>
  <c r="D172" i="19" a="1"/>
  <c r="D172" i="19" s="1"/>
  <c r="G172" i="19" a="1"/>
  <c r="G172" i="19" s="1"/>
  <c r="F168" i="19" a="1"/>
  <c r="F168" i="19"/>
  <c r="G107" i="19" a="1"/>
  <c r="G107" i="19" s="1"/>
  <c r="D107" i="19" a="1"/>
  <c r="D107" i="19" s="1"/>
  <c r="D100" i="19" a="1"/>
  <c r="D100" i="19" s="1"/>
  <c r="D153" i="19"/>
  <c r="D152" i="19"/>
  <c r="D151" i="19"/>
  <c r="D150" i="19"/>
  <c r="D149" i="19"/>
  <c r="D148" i="19"/>
  <c r="I158" i="20" a="1"/>
  <c r="I158" i="20" s="1"/>
  <c r="H158" i="20" a="1"/>
  <c r="H158" i="20" s="1"/>
  <c r="G158" i="20" a="1"/>
  <c r="G158" i="20" s="1"/>
  <c r="F158" i="20" a="1"/>
  <c r="F158" i="20" s="1"/>
  <c r="P158" i="20" s="1"/>
  <c r="D158" i="20" a="1"/>
  <c r="D158" i="20" s="1"/>
  <c r="E158" i="20" a="1"/>
  <c r="E158" i="20" s="1"/>
  <c r="O158" i="20" s="1"/>
  <c r="Q157" i="20" s="1"/>
  <c r="I157" i="20" a="1"/>
  <c r="I157" i="20" s="1"/>
  <c r="H157" i="20" a="1"/>
  <c r="H157" i="20" s="1"/>
  <c r="G157" i="20" a="1"/>
  <c r="G157" i="20" s="1"/>
  <c r="F157" i="20" a="1"/>
  <c r="F157" i="20" s="1"/>
  <c r="E157" i="20" a="1"/>
  <c r="E157" i="20" s="1"/>
  <c r="D157" i="20" a="1"/>
  <c r="D157" i="20" s="1"/>
  <c r="I156" i="20" a="1"/>
  <c r="I156" i="20" s="1"/>
  <c r="H156" i="20" a="1"/>
  <c r="H156" i="20" s="1"/>
  <c r="G156" i="20" a="1"/>
  <c r="G156" i="20" s="1"/>
  <c r="F156" i="20" a="1"/>
  <c r="F156" i="20" s="1"/>
  <c r="E156" i="20" a="1"/>
  <c r="E156" i="20" s="1"/>
  <c r="D156" i="20" a="1"/>
  <c r="D156" i="20" s="1"/>
  <c r="I155" i="20" a="1"/>
  <c r="I155" i="20" s="1"/>
  <c r="H155" i="20" a="1"/>
  <c r="H155" i="20" s="1"/>
  <c r="G155" i="20" a="1"/>
  <c r="G155" i="20" s="1"/>
  <c r="F155" i="20" a="1"/>
  <c r="F155" i="20" s="1"/>
  <c r="E155" i="20" a="1"/>
  <c r="E155" i="20" s="1"/>
  <c r="D155" i="20" a="1"/>
  <c r="D155" i="20" s="1"/>
  <c r="I154" i="20" a="1"/>
  <c r="I154" i="20" s="1"/>
  <c r="H154" i="20" a="1"/>
  <c r="H154" i="20" s="1"/>
  <c r="G154" i="20" a="1"/>
  <c r="G154" i="20" s="1"/>
  <c r="F154" i="20" a="1"/>
  <c r="F154" i="20" s="1"/>
  <c r="E154" i="20" a="1"/>
  <c r="E154" i="20" s="1"/>
  <c r="I153" i="20" a="1"/>
  <c r="I153" i="20" s="1"/>
  <c r="H153" i="20" a="1"/>
  <c r="H153" i="20" s="1"/>
  <c r="G153" i="20" a="1"/>
  <c r="G153" i="20" s="1"/>
  <c r="F153" i="20" a="1"/>
  <c r="F153" i="20" s="1"/>
  <c r="E153" i="20" a="1"/>
  <c r="E153" i="20" s="1"/>
  <c r="I152" i="20" a="1"/>
  <c r="I152" i="20" s="1"/>
  <c r="H152" i="20" a="1"/>
  <c r="H152" i="20" s="1"/>
  <c r="G152" i="20" a="1"/>
  <c r="G152" i="20" s="1"/>
  <c r="F152" i="20" a="1"/>
  <c r="F152" i="20" s="1"/>
  <c r="E152" i="20" a="1"/>
  <c r="E152" i="20" s="1"/>
  <c r="I151" i="20" a="1"/>
  <c r="I151" i="20" s="1"/>
  <c r="H151" i="20" a="1"/>
  <c r="H151" i="20" s="1"/>
  <c r="G151" i="20" a="1"/>
  <c r="G151" i="20" s="1"/>
  <c r="F151" i="20" a="1"/>
  <c r="F151" i="20" s="1"/>
  <c r="E151" i="20" a="1"/>
  <c r="E151" i="20" s="1"/>
  <c r="I150" i="20" a="1"/>
  <c r="I150" i="20" s="1"/>
  <c r="H150" i="20" a="1"/>
  <c r="H150" i="20" s="1"/>
  <c r="G150" i="20" a="1"/>
  <c r="G150" i="20" s="1"/>
  <c r="F150" i="20" a="1"/>
  <c r="F150" i="20" s="1"/>
  <c r="E150" i="20" a="1"/>
  <c r="E150" i="20" s="1"/>
  <c r="I149" i="20" a="1"/>
  <c r="I149" i="20" s="1"/>
  <c r="H149" i="20" a="1"/>
  <c r="H149" i="20" s="1"/>
  <c r="G149" i="20" a="1"/>
  <c r="G149" i="20" s="1"/>
  <c r="F149" i="20" a="1"/>
  <c r="F149" i="20" s="1"/>
  <c r="E149" i="20" a="1"/>
  <c r="E149" i="20" s="1"/>
  <c r="I148" i="20" a="1"/>
  <c r="I148" i="20" s="1"/>
  <c r="H148" i="20" a="1"/>
  <c r="H148" i="20" s="1"/>
  <c r="G148" i="20" a="1"/>
  <c r="G148" i="20" s="1"/>
  <c r="F148" i="20" a="1"/>
  <c r="F148" i="20" s="1"/>
  <c r="E148" i="20" a="1"/>
  <c r="E148" i="20" s="1"/>
  <c r="I147" i="20" a="1"/>
  <c r="I147" i="20" s="1"/>
  <c r="H147" i="20" a="1"/>
  <c r="H147" i="20" s="1"/>
  <c r="G147" i="20" a="1"/>
  <c r="G147" i="20" s="1"/>
  <c r="F147" i="20" a="1"/>
  <c r="F147" i="20" s="1"/>
  <c r="E147" i="20" a="1"/>
  <c r="E147" i="20" s="1"/>
  <c r="I146" i="20" a="1"/>
  <c r="I146" i="20" s="1"/>
  <c r="H146" i="20" a="1"/>
  <c r="H146" i="20" s="1"/>
  <c r="G146" i="20" a="1"/>
  <c r="G146" i="20" s="1"/>
  <c r="F146" i="20" a="1"/>
  <c r="F146" i="20" s="1"/>
  <c r="E146" i="20" a="1"/>
  <c r="E146" i="20" s="1"/>
  <c r="I145" i="20" a="1"/>
  <c r="I145" i="20" s="1"/>
  <c r="H145" i="20" a="1"/>
  <c r="H145" i="20" s="1"/>
  <c r="G145" i="20" a="1"/>
  <c r="G145" i="20" s="1"/>
  <c r="F145" i="20" a="1"/>
  <c r="F145" i="20" s="1"/>
  <c r="E145" i="20" a="1"/>
  <c r="E145" i="20" s="1"/>
  <c r="I144" i="20" a="1"/>
  <c r="I144" i="20" s="1"/>
  <c r="H144" i="20" a="1"/>
  <c r="H144" i="20" s="1"/>
  <c r="G144" i="20" a="1"/>
  <c r="G144" i="20" s="1"/>
  <c r="F144" i="20" a="1"/>
  <c r="F144" i="20" s="1"/>
  <c r="E144" i="20" a="1"/>
  <c r="E144" i="20" s="1"/>
  <c r="I143" i="20" a="1"/>
  <c r="I143" i="20" s="1"/>
  <c r="H143" i="20" a="1"/>
  <c r="H143" i="20" s="1"/>
  <c r="G143" i="20" a="1"/>
  <c r="G143" i="20" s="1"/>
  <c r="F143" i="20" a="1"/>
  <c r="F143" i="20" s="1"/>
  <c r="E143" i="20" a="1"/>
  <c r="E143" i="20" s="1"/>
  <c r="I142" i="20" a="1"/>
  <c r="I142" i="20" s="1"/>
  <c r="H142" i="20" a="1"/>
  <c r="H142" i="20" s="1"/>
  <c r="G142" i="20" a="1"/>
  <c r="G142" i="20" s="1"/>
  <c r="F142" i="20" a="1"/>
  <c r="F142" i="20" s="1"/>
  <c r="E142" i="20" a="1"/>
  <c r="E142" i="20" s="1"/>
  <c r="I141" i="20" a="1"/>
  <c r="I141" i="20" s="1"/>
  <c r="H141" i="20" a="1"/>
  <c r="H141" i="20" s="1"/>
  <c r="G141" i="20" a="1"/>
  <c r="G141" i="20" s="1"/>
  <c r="F141" i="20" a="1"/>
  <c r="F141" i="20" s="1"/>
  <c r="E141" i="20" a="1"/>
  <c r="E141" i="20" s="1"/>
  <c r="I140" i="20" a="1"/>
  <c r="I140" i="20" s="1"/>
  <c r="H140" i="20" a="1"/>
  <c r="H140" i="20" s="1"/>
  <c r="G140" i="20" a="1"/>
  <c r="G140" i="20" s="1"/>
  <c r="F140" i="20" a="1"/>
  <c r="F140" i="20" s="1"/>
  <c r="E140" i="20" a="1"/>
  <c r="E140" i="20" s="1"/>
  <c r="I139" i="20" a="1"/>
  <c r="I139" i="20" s="1"/>
  <c r="H139" i="20" a="1"/>
  <c r="H139" i="20" s="1"/>
  <c r="G139" i="20" a="1"/>
  <c r="G139" i="20" s="1"/>
  <c r="F139" i="20" a="1"/>
  <c r="F139" i="20" s="1"/>
  <c r="E139" i="20" a="1"/>
  <c r="E139" i="20" s="1"/>
  <c r="I138" i="20" a="1"/>
  <c r="I138" i="20" s="1"/>
  <c r="H138" i="20" a="1"/>
  <c r="H138" i="20" s="1"/>
  <c r="G138" i="20" a="1"/>
  <c r="G138" i="20" s="1"/>
  <c r="F138" i="20" a="1"/>
  <c r="F138" i="20" s="1"/>
  <c r="E138" i="20" a="1"/>
  <c r="E138" i="20" s="1"/>
  <c r="I137" i="20" a="1"/>
  <c r="I137" i="20" s="1"/>
  <c r="H137" i="20" a="1"/>
  <c r="H137" i="20" s="1"/>
  <c r="G137" i="20" a="1"/>
  <c r="G137" i="20" s="1"/>
  <c r="F137" i="20" a="1"/>
  <c r="F137" i="20" s="1"/>
  <c r="E137" i="20" a="1"/>
  <c r="E137" i="20" s="1"/>
  <c r="I136" i="20" a="1"/>
  <c r="I136" i="20" s="1"/>
  <c r="H136" i="20" a="1"/>
  <c r="H136" i="20" s="1"/>
  <c r="G136" i="20" a="1"/>
  <c r="G136" i="20" s="1"/>
  <c r="F136" i="20" a="1"/>
  <c r="F136" i="20" s="1"/>
  <c r="E136" i="20" a="1"/>
  <c r="E136" i="20" s="1"/>
  <c r="I135" i="20" a="1"/>
  <c r="I135" i="20" s="1"/>
  <c r="H135" i="20" a="1"/>
  <c r="H135" i="20" s="1"/>
  <c r="G135" i="20" a="1"/>
  <c r="G135" i="20" s="1"/>
  <c r="F135" i="20" a="1"/>
  <c r="F135" i="20" s="1"/>
  <c r="E135" i="20" a="1"/>
  <c r="E135" i="20" s="1"/>
  <c r="I134" i="20" a="1"/>
  <c r="I134" i="20" s="1"/>
  <c r="H134" i="20" a="1"/>
  <c r="H134" i="20" s="1"/>
  <c r="G134" i="20" a="1"/>
  <c r="G134" i="20" s="1"/>
  <c r="F134" i="20" a="1"/>
  <c r="F134" i="20" s="1"/>
  <c r="E134" i="20" a="1"/>
  <c r="E134" i="20" s="1"/>
  <c r="I133" i="20" a="1"/>
  <c r="I133" i="20" s="1"/>
  <c r="H133" i="20" a="1"/>
  <c r="H133" i="20" s="1"/>
  <c r="G133" i="20" a="1"/>
  <c r="G133" i="20" s="1"/>
  <c r="F133" i="20" a="1"/>
  <c r="F133" i="20" s="1"/>
  <c r="E133" i="20" a="1"/>
  <c r="E133" i="20" s="1"/>
  <c r="I132" i="20" a="1"/>
  <c r="I132" i="20" s="1"/>
  <c r="H132" i="20" a="1"/>
  <c r="H132" i="20" s="1"/>
  <c r="G132" i="20" a="1"/>
  <c r="G132" i="20" s="1"/>
  <c r="F132" i="20" a="1"/>
  <c r="F132" i="20" s="1"/>
  <c r="E132" i="20" a="1"/>
  <c r="E132" i="20" s="1"/>
  <c r="I131" i="20" a="1"/>
  <c r="I131" i="20" s="1"/>
  <c r="H131" i="20" a="1"/>
  <c r="H131" i="20" s="1"/>
  <c r="G131" i="20" a="1"/>
  <c r="G131" i="20" s="1"/>
  <c r="F131" i="20" a="1"/>
  <c r="F131" i="20" s="1"/>
  <c r="E131" i="20" a="1"/>
  <c r="E131" i="20" s="1"/>
  <c r="I130" i="20" a="1"/>
  <c r="I130" i="20" s="1"/>
  <c r="H130" i="20" a="1"/>
  <c r="H130" i="20" s="1"/>
  <c r="G130" i="20" a="1"/>
  <c r="G130" i="20" s="1"/>
  <c r="F130" i="20" a="1"/>
  <c r="F130" i="20" s="1"/>
  <c r="E130" i="20" a="1"/>
  <c r="E130" i="20" s="1"/>
  <c r="I129" i="20" a="1"/>
  <c r="I129" i="20" s="1"/>
  <c r="H129" i="20" a="1"/>
  <c r="H129" i="20" s="1"/>
  <c r="G129" i="20" a="1"/>
  <c r="G129" i="20" s="1"/>
  <c r="F129" i="20" a="1"/>
  <c r="F129" i="20" s="1"/>
  <c r="E129" i="20" a="1"/>
  <c r="E129" i="20" s="1"/>
  <c r="I128" i="20" a="1"/>
  <c r="I128" i="20" s="1"/>
  <c r="H128" i="20" a="1"/>
  <c r="H128" i="20" s="1"/>
  <c r="G128" i="20" a="1"/>
  <c r="G128" i="20" s="1"/>
  <c r="F128" i="20" a="1"/>
  <c r="F128" i="20" s="1"/>
  <c r="E128" i="20" a="1"/>
  <c r="E128" i="20" s="1"/>
  <c r="I127" i="20" a="1"/>
  <c r="I127" i="20" s="1"/>
  <c r="H127" i="20" a="1"/>
  <c r="H127" i="20" s="1"/>
  <c r="G127" i="20" a="1"/>
  <c r="G127" i="20" s="1"/>
  <c r="F127" i="20" a="1"/>
  <c r="F127" i="20" s="1"/>
  <c r="E127" i="20" a="1"/>
  <c r="E127" i="20" s="1"/>
  <c r="I126" i="20" a="1"/>
  <c r="I126" i="20" s="1"/>
  <c r="H126" i="20" a="1"/>
  <c r="H126" i="20" s="1"/>
  <c r="G126" i="20" a="1"/>
  <c r="G126" i="20" s="1"/>
  <c r="F126" i="20" a="1"/>
  <c r="F126" i="20" s="1"/>
  <c r="E126" i="20" a="1"/>
  <c r="E126" i="20" s="1"/>
  <c r="I125" i="20" a="1"/>
  <c r="I125" i="20" s="1"/>
  <c r="H125" i="20" a="1"/>
  <c r="H125" i="20" s="1"/>
  <c r="G125" i="20" a="1"/>
  <c r="G125" i="20" s="1"/>
  <c r="F125" i="20" a="1"/>
  <c r="F125" i="20" s="1"/>
  <c r="E125" i="20" a="1"/>
  <c r="E125" i="20" s="1"/>
  <c r="I124" i="20" a="1"/>
  <c r="I124" i="20" s="1"/>
  <c r="H124" i="20" a="1"/>
  <c r="H124" i="20" s="1"/>
  <c r="G124" i="20" a="1"/>
  <c r="G124" i="20" s="1"/>
  <c r="F124" i="20" a="1"/>
  <c r="F124" i="20" s="1"/>
  <c r="E124" i="20" a="1"/>
  <c r="E124" i="20" s="1"/>
  <c r="I123" i="20" a="1"/>
  <c r="I123" i="20" s="1"/>
  <c r="H123" i="20" a="1"/>
  <c r="H123" i="20" s="1"/>
  <c r="G123" i="20" a="1"/>
  <c r="G123" i="20" s="1"/>
  <c r="F123" i="20" a="1"/>
  <c r="F123" i="20" s="1"/>
  <c r="E123" i="20" a="1"/>
  <c r="E123" i="20" s="1"/>
  <c r="I122" i="20" a="1"/>
  <c r="I122" i="20" s="1"/>
  <c r="H122" i="20" a="1"/>
  <c r="H122" i="20" s="1"/>
  <c r="G122" i="20" a="1"/>
  <c r="G122" i="20" s="1"/>
  <c r="F122" i="20" a="1"/>
  <c r="F122" i="20" s="1"/>
  <c r="E122" i="20" a="1"/>
  <c r="E122" i="20" s="1"/>
  <c r="I121" i="20" a="1"/>
  <c r="I121" i="20" s="1"/>
  <c r="H121" i="20" a="1"/>
  <c r="H121" i="20" s="1"/>
  <c r="G121" i="20" a="1"/>
  <c r="G121" i="20" s="1"/>
  <c r="F121" i="20" a="1"/>
  <c r="F121" i="20" s="1"/>
  <c r="E121" i="20" a="1"/>
  <c r="E121" i="20" s="1"/>
  <c r="I120" i="20" a="1"/>
  <c r="I120" i="20" s="1"/>
  <c r="H120" i="20" a="1"/>
  <c r="H120" i="20" s="1"/>
  <c r="G120" i="20" a="1"/>
  <c r="G120" i="20" s="1"/>
  <c r="F120" i="20" a="1"/>
  <c r="F120" i="20" s="1"/>
  <c r="E120" i="20" a="1"/>
  <c r="E120" i="20" s="1"/>
  <c r="I119" i="20" a="1"/>
  <c r="I119" i="20" s="1"/>
  <c r="H119" i="20" a="1"/>
  <c r="H119" i="20" s="1"/>
  <c r="G119" i="20" a="1"/>
  <c r="G119" i="20" s="1"/>
  <c r="F119" i="20" a="1"/>
  <c r="F119" i="20" s="1"/>
  <c r="E119" i="20" a="1"/>
  <c r="E119" i="20" s="1"/>
  <c r="I118" i="20" a="1"/>
  <c r="I118" i="20" s="1"/>
  <c r="H118" i="20" a="1"/>
  <c r="H118" i="20" s="1"/>
  <c r="G118" i="20" a="1"/>
  <c r="G118" i="20" s="1"/>
  <c r="F118" i="20" a="1"/>
  <c r="F118" i="20" s="1"/>
  <c r="E118" i="20" a="1"/>
  <c r="E118" i="20" s="1"/>
  <c r="I117" i="20" a="1"/>
  <c r="I117" i="20" s="1"/>
  <c r="H117" i="20" a="1"/>
  <c r="H117" i="20" s="1"/>
  <c r="G117" i="20" a="1"/>
  <c r="G117" i="20" s="1"/>
  <c r="F117" i="20" a="1"/>
  <c r="F117" i="20" s="1"/>
  <c r="E117" i="20" a="1"/>
  <c r="E117" i="20" s="1"/>
  <c r="I116" i="20" a="1"/>
  <c r="I116" i="20" s="1"/>
  <c r="H116" i="20" a="1"/>
  <c r="H116" i="20" s="1"/>
  <c r="G116" i="20" a="1"/>
  <c r="G116" i="20" s="1"/>
  <c r="F116" i="20" a="1"/>
  <c r="F116" i="20" s="1"/>
  <c r="E116" i="20" a="1"/>
  <c r="E116" i="20" s="1"/>
  <c r="I115" i="20" a="1"/>
  <c r="I115" i="20" s="1"/>
  <c r="H115" i="20" a="1"/>
  <c r="H115" i="20" s="1"/>
  <c r="G115" i="20" a="1"/>
  <c r="G115" i="20" s="1"/>
  <c r="F115" i="20" a="1"/>
  <c r="F115" i="20" s="1"/>
  <c r="E115" i="20" a="1"/>
  <c r="E115" i="20" s="1"/>
  <c r="I114" i="20" a="1"/>
  <c r="I114" i="20" s="1"/>
  <c r="H114" i="20" a="1"/>
  <c r="H114" i="20" s="1"/>
  <c r="G114" i="20" a="1"/>
  <c r="G114" i="20" s="1"/>
  <c r="F114" i="20" a="1"/>
  <c r="F114" i="20" s="1"/>
  <c r="E114" i="20" a="1"/>
  <c r="E114" i="20" s="1"/>
  <c r="I113" i="20" a="1"/>
  <c r="I113" i="20" s="1"/>
  <c r="H113" i="20" a="1"/>
  <c r="H113" i="20" s="1"/>
  <c r="G113" i="20" a="1"/>
  <c r="G113" i="20" s="1"/>
  <c r="F113" i="20" a="1"/>
  <c r="F113" i="20" s="1"/>
  <c r="E113" i="20" a="1"/>
  <c r="E113" i="20" s="1"/>
  <c r="I112" i="20" a="1"/>
  <c r="I112" i="20" s="1"/>
  <c r="H112" i="20" a="1"/>
  <c r="H112" i="20" s="1"/>
  <c r="G112" i="20" a="1"/>
  <c r="G112" i="20" s="1"/>
  <c r="F112" i="20" a="1"/>
  <c r="F112" i="20" s="1"/>
  <c r="E112" i="20" a="1"/>
  <c r="E112" i="20" s="1"/>
  <c r="I111" i="20" a="1"/>
  <c r="I111" i="20" s="1"/>
  <c r="H111" i="20" a="1"/>
  <c r="H111" i="20" s="1"/>
  <c r="G111" i="20" a="1"/>
  <c r="G111" i="20" s="1"/>
  <c r="F111" i="20" a="1"/>
  <c r="F111" i="20" s="1"/>
  <c r="E111" i="20" a="1"/>
  <c r="E111" i="20" s="1"/>
  <c r="I110" i="20" a="1"/>
  <c r="I110" i="20" s="1"/>
  <c r="H110" i="20" a="1"/>
  <c r="H110" i="20" s="1"/>
  <c r="G110" i="20" a="1"/>
  <c r="G110" i="20" s="1"/>
  <c r="F110" i="20" a="1"/>
  <c r="F110" i="20" s="1"/>
  <c r="E110" i="20" a="1"/>
  <c r="E110" i="20" s="1"/>
  <c r="I109" i="20" a="1"/>
  <c r="I109" i="20" s="1"/>
  <c r="H109" i="20" a="1"/>
  <c r="H109" i="20" s="1"/>
  <c r="G109" i="20" a="1"/>
  <c r="G109" i="20" s="1"/>
  <c r="F109" i="20" a="1"/>
  <c r="F109" i="20" s="1"/>
  <c r="E109" i="20" a="1"/>
  <c r="E109" i="20" s="1"/>
  <c r="I108" i="20" a="1"/>
  <c r="I108" i="20" s="1"/>
  <c r="H108" i="20" a="1"/>
  <c r="H108" i="20" s="1"/>
  <c r="G108" i="20" a="1"/>
  <c r="G108" i="20" s="1"/>
  <c r="F108" i="20" a="1"/>
  <c r="F108" i="20" s="1"/>
  <c r="E108" i="20" a="1"/>
  <c r="E108" i="20" s="1"/>
  <c r="I107" i="20" a="1"/>
  <c r="I107" i="20" s="1"/>
  <c r="H107" i="20" a="1"/>
  <c r="H107" i="20" s="1"/>
  <c r="G107" i="20" a="1"/>
  <c r="G107" i="20" s="1"/>
  <c r="F107" i="20" a="1"/>
  <c r="F107" i="20" s="1"/>
  <c r="E107" i="20" a="1"/>
  <c r="E107" i="20" s="1"/>
  <c r="I106" i="20" a="1"/>
  <c r="I106" i="20" s="1"/>
  <c r="H106" i="20" a="1"/>
  <c r="H106" i="20" s="1"/>
  <c r="G106" i="20" a="1"/>
  <c r="G106" i="20" s="1"/>
  <c r="F106" i="20" a="1"/>
  <c r="F106" i="20" s="1"/>
  <c r="E106" i="20" a="1"/>
  <c r="E106" i="20" s="1"/>
  <c r="I105" i="20" a="1"/>
  <c r="I105" i="20" s="1"/>
  <c r="H105" i="20" a="1"/>
  <c r="H105" i="20" s="1"/>
  <c r="G105" i="20" a="1"/>
  <c r="G105" i="20" s="1"/>
  <c r="F105" i="20" a="1"/>
  <c r="F105" i="20" s="1"/>
  <c r="E105" i="20" a="1"/>
  <c r="E105" i="20" s="1"/>
  <c r="I104" i="20" a="1"/>
  <c r="I104" i="20" s="1"/>
  <c r="H104" i="20" a="1"/>
  <c r="H104" i="20" s="1"/>
  <c r="G104" i="20" a="1"/>
  <c r="G104" i="20" s="1"/>
  <c r="F104" i="20" a="1"/>
  <c r="F104" i="20" s="1"/>
  <c r="E104" i="20" a="1"/>
  <c r="E104" i="20" s="1"/>
  <c r="I103" i="20" a="1"/>
  <c r="I103" i="20" s="1"/>
  <c r="H103" i="20" a="1"/>
  <c r="H103" i="20" s="1"/>
  <c r="G103" i="20" a="1"/>
  <c r="G103" i="20" s="1"/>
  <c r="F103" i="20" a="1"/>
  <c r="F103" i="20" s="1"/>
  <c r="E103" i="20" a="1"/>
  <c r="E103" i="20" s="1"/>
  <c r="I102" i="20" a="1"/>
  <c r="I102" i="20" s="1"/>
  <c r="H102" i="20" a="1"/>
  <c r="H102" i="20" s="1"/>
  <c r="G102" i="20" a="1"/>
  <c r="G102" i="20" s="1"/>
  <c r="F102" i="20" a="1"/>
  <c r="F102" i="20" s="1"/>
  <c r="E102" i="20" a="1"/>
  <c r="E102" i="20" s="1"/>
  <c r="I101" i="20" a="1"/>
  <c r="I101" i="20" s="1"/>
  <c r="H101" i="20" a="1"/>
  <c r="H101" i="20" s="1"/>
  <c r="G101" i="20" a="1"/>
  <c r="G101" i="20" s="1"/>
  <c r="F101" i="20" a="1"/>
  <c r="F101" i="20" s="1"/>
  <c r="E101" i="20" a="1"/>
  <c r="E101" i="20" s="1"/>
  <c r="I100" i="20" a="1"/>
  <c r="I100" i="20" s="1"/>
  <c r="H100" i="20" a="1"/>
  <c r="H100" i="20" s="1"/>
  <c r="G100" i="20" a="1"/>
  <c r="G100" i="20" s="1"/>
  <c r="F100" i="20" a="1"/>
  <c r="F100" i="20" s="1"/>
  <c r="E100" i="20" a="1"/>
  <c r="E100" i="20" s="1"/>
  <c r="I99" i="20" a="1"/>
  <c r="I99" i="20" s="1"/>
  <c r="H99" i="20" a="1"/>
  <c r="H99" i="20" s="1"/>
  <c r="G99" i="20" a="1"/>
  <c r="G99" i="20" s="1"/>
  <c r="F99" i="20" a="1"/>
  <c r="F99" i="20" s="1"/>
  <c r="E99" i="20" a="1"/>
  <c r="E99" i="20" s="1"/>
  <c r="I98" i="20" a="1"/>
  <c r="I98" i="20" s="1"/>
  <c r="H98" i="20" a="1"/>
  <c r="H98" i="20" s="1"/>
  <c r="G98" i="20" a="1"/>
  <c r="G98" i="20" s="1"/>
  <c r="F98" i="20" a="1"/>
  <c r="F98" i="20" s="1"/>
  <c r="E98" i="20" a="1"/>
  <c r="E98" i="20" s="1"/>
  <c r="I97" i="20" a="1"/>
  <c r="I97" i="20" s="1"/>
  <c r="H97" i="20" a="1"/>
  <c r="H97" i="20" s="1"/>
  <c r="G97" i="20" a="1"/>
  <c r="G97" i="20" s="1"/>
  <c r="F97" i="20" a="1"/>
  <c r="F97" i="20" s="1"/>
  <c r="E97" i="20" a="1"/>
  <c r="E97" i="20" s="1"/>
  <c r="I96" i="20" a="1"/>
  <c r="I96" i="20" s="1"/>
  <c r="H96" i="20" a="1"/>
  <c r="H96" i="20" s="1"/>
  <c r="G96" i="20" a="1"/>
  <c r="G96" i="20" s="1"/>
  <c r="F96" i="20" a="1"/>
  <c r="F96" i="20" s="1"/>
  <c r="E96" i="20" a="1"/>
  <c r="E96" i="20" s="1"/>
  <c r="I95" i="20" a="1"/>
  <c r="I95" i="20" s="1"/>
  <c r="H95" i="20" a="1"/>
  <c r="H95" i="20" s="1"/>
  <c r="G95" i="20" a="1"/>
  <c r="G95" i="20" s="1"/>
  <c r="F95" i="20" a="1"/>
  <c r="F95" i="20" s="1"/>
  <c r="E95" i="20" a="1"/>
  <c r="E95" i="20" s="1"/>
  <c r="I94" i="20" a="1"/>
  <c r="I94" i="20" s="1"/>
  <c r="H94" i="20" a="1"/>
  <c r="H94" i="20" s="1"/>
  <c r="G94" i="20" a="1"/>
  <c r="G94" i="20" s="1"/>
  <c r="F94" i="20" a="1"/>
  <c r="F94" i="20" s="1"/>
  <c r="E94" i="20" a="1"/>
  <c r="E94" i="20" s="1"/>
  <c r="I93" i="20" a="1"/>
  <c r="I93" i="20" s="1"/>
  <c r="H93" i="20" a="1"/>
  <c r="H93" i="20" s="1"/>
  <c r="G93" i="20" a="1"/>
  <c r="G93" i="20" s="1"/>
  <c r="F93" i="20" a="1"/>
  <c r="F93" i="20" s="1"/>
  <c r="E93" i="20" a="1"/>
  <c r="E93" i="20" s="1"/>
  <c r="I92" i="20" a="1"/>
  <c r="I92" i="20" s="1"/>
  <c r="H92" i="20" a="1"/>
  <c r="H92" i="20" s="1"/>
  <c r="G92" i="20" a="1"/>
  <c r="G92" i="20" s="1"/>
  <c r="F92" i="20" a="1"/>
  <c r="F92" i="20" s="1"/>
  <c r="E92" i="20" a="1"/>
  <c r="E92" i="20" s="1"/>
  <c r="I91" i="20" a="1"/>
  <c r="I91" i="20" s="1"/>
  <c r="H91" i="20" a="1"/>
  <c r="H91" i="20" s="1"/>
  <c r="G91" i="20" a="1"/>
  <c r="G91" i="20" s="1"/>
  <c r="F91" i="20" a="1"/>
  <c r="F91" i="20" s="1"/>
  <c r="E91" i="20" a="1"/>
  <c r="E91" i="20" s="1"/>
  <c r="I90" i="20" a="1"/>
  <c r="I90" i="20" s="1"/>
  <c r="H90" i="20" a="1"/>
  <c r="H90" i="20" s="1"/>
  <c r="G90" i="20" a="1"/>
  <c r="G90" i="20" s="1"/>
  <c r="F90" i="20" a="1"/>
  <c r="F90" i="20" s="1"/>
  <c r="E90" i="20" a="1"/>
  <c r="E90" i="20" s="1"/>
  <c r="D154" i="20" a="1"/>
  <c r="D154" i="20" s="1"/>
  <c r="D153" i="20" a="1"/>
  <c r="D153" i="20" s="1"/>
  <c r="D152" i="20" a="1"/>
  <c r="D152" i="20" s="1"/>
  <c r="D151" i="20" a="1"/>
  <c r="D151" i="20" s="1"/>
  <c r="D150" i="20" a="1"/>
  <c r="D150" i="20" s="1"/>
  <c r="D149" i="20" a="1"/>
  <c r="D149" i="20" s="1"/>
  <c r="D148" i="20" a="1"/>
  <c r="D148" i="20" s="1"/>
  <c r="D147" i="20" a="1"/>
  <c r="D147" i="20" s="1"/>
  <c r="D146" i="20" a="1"/>
  <c r="D146" i="20" s="1"/>
  <c r="D145" i="20" a="1"/>
  <c r="D145" i="20" s="1"/>
  <c r="D144" i="20" a="1"/>
  <c r="D144" i="20" s="1"/>
  <c r="D143" i="20" a="1"/>
  <c r="D143" i="20" s="1"/>
  <c r="D142" i="20" a="1"/>
  <c r="D142" i="20" s="1"/>
  <c r="D141" i="20" a="1"/>
  <c r="D141" i="20" s="1"/>
  <c r="D140" i="20" a="1"/>
  <c r="D140" i="20" s="1"/>
  <c r="D139" i="20" a="1"/>
  <c r="D139" i="20" s="1"/>
  <c r="D138" i="20" a="1"/>
  <c r="D138" i="20" s="1"/>
  <c r="D137" i="20" a="1"/>
  <c r="D137" i="20" s="1"/>
  <c r="D136" i="20" a="1"/>
  <c r="D136" i="20" s="1"/>
  <c r="D135" i="20" a="1"/>
  <c r="D135" i="20" s="1"/>
  <c r="D134" i="20" a="1"/>
  <c r="D134" i="20" s="1"/>
  <c r="D133" i="20" a="1"/>
  <c r="D133" i="20" s="1"/>
  <c r="D132" i="20" a="1"/>
  <c r="D132" i="20" s="1"/>
  <c r="D131" i="20" a="1"/>
  <c r="D131" i="20" s="1"/>
  <c r="D130" i="20" a="1"/>
  <c r="D130" i="20" s="1"/>
  <c r="D129" i="20" a="1"/>
  <c r="D129" i="20" s="1"/>
  <c r="D128" i="20" a="1"/>
  <c r="D128" i="20" s="1"/>
  <c r="D127" i="20" a="1"/>
  <c r="D127" i="20" s="1"/>
  <c r="D126" i="20" a="1"/>
  <c r="D126" i="20" s="1"/>
  <c r="D125" i="20" a="1"/>
  <c r="D125" i="20" s="1"/>
  <c r="D124" i="20" a="1"/>
  <c r="D124" i="20" s="1"/>
  <c r="D123" i="20" a="1"/>
  <c r="D123" i="20" s="1"/>
  <c r="D122" i="20" a="1"/>
  <c r="D122" i="20" s="1"/>
  <c r="D121" i="20" a="1"/>
  <c r="D121" i="20" s="1"/>
  <c r="D120" i="20" a="1"/>
  <c r="D120" i="20" s="1"/>
  <c r="D119" i="20" a="1"/>
  <c r="D119" i="20" s="1"/>
  <c r="D118" i="20" a="1"/>
  <c r="D118" i="20" s="1"/>
  <c r="D117" i="20" a="1"/>
  <c r="D117" i="20" s="1"/>
  <c r="D116" i="20" a="1"/>
  <c r="D116" i="20" s="1"/>
  <c r="D115" i="20" a="1"/>
  <c r="D115" i="20" s="1"/>
  <c r="D114" i="20" a="1"/>
  <c r="D114" i="20" s="1"/>
  <c r="D113" i="20" a="1"/>
  <c r="D113" i="20" s="1"/>
  <c r="D112" i="20" a="1"/>
  <c r="D112" i="20" s="1"/>
  <c r="D111" i="20" a="1"/>
  <c r="D111" i="20" s="1"/>
  <c r="D110" i="20" a="1"/>
  <c r="D110" i="20" s="1"/>
  <c r="D109" i="20" a="1"/>
  <c r="D109" i="20" s="1"/>
  <c r="D108" i="20" a="1"/>
  <c r="D108" i="20" s="1"/>
  <c r="D107" i="20" a="1"/>
  <c r="D107" i="20" s="1"/>
  <c r="D106" i="20" a="1"/>
  <c r="D106" i="20" s="1"/>
  <c r="D105" i="20" a="1"/>
  <c r="D105" i="20" s="1"/>
  <c r="D104" i="20" a="1"/>
  <c r="D104" i="20" s="1"/>
  <c r="D103" i="20" a="1"/>
  <c r="D103" i="20" s="1"/>
  <c r="D102" i="20" a="1"/>
  <c r="D102" i="20" s="1"/>
  <c r="D101" i="20" a="1"/>
  <c r="D101" i="20" s="1"/>
  <c r="D100" i="20" a="1"/>
  <c r="D100" i="20" s="1"/>
  <c r="D99" i="20" a="1"/>
  <c r="D99" i="20" s="1"/>
  <c r="D98" i="20" a="1"/>
  <c r="D98" i="20" s="1"/>
  <c r="D97" i="20" a="1"/>
  <c r="D97" i="20" s="1"/>
  <c r="D96" i="20" a="1"/>
  <c r="D96" i="20" s="1"/>
  <c r="D95" i="20" a="1"/>
  <c r="D95" i="20" s="1"/>
  <c r="D94" i="20" a="1"/>
  <c r="D94" i="20" s="1"/>
  <c r="D93" i="20" a="1"/>
  <c r="D93" i="20" s="1"/>
  <c r="D92" i="20" a="1"/>
  <c r="D92" i="20" s="1"/>
  <c r="D91" i="20" a="1"/>
  <c r="D91" i="20" s="1"/>
  <c r="D90" i="20" a="1"/>
  <c r="D90" i="20" s="1"/>
  <c r="I247" i="20" a="1"/>
  <c r="I247" i="20" s="1"/>
  <c r="H247" i="20" a="1"/>
  <c r="H247" i="20" s="1"/>
  <c r="G247" i="20" a="1"/>
  <c r="G247" i="20" s="1"/>
  <c r="F247" i="20" a="1"/>
  <c r="F247" i="20" s="1"/>
  <c r="E247" i="20" a="1"/>
  <c r="E247" i="20" s="1"/>
  <c r="D247" i="20" a="1"/>
  <c r="D247" i="20" s="1"/>
  <c r="I246" i="20" a="1"/>
  <c r="I246" i="20" s="1"/>
  <c r="H246" i="20" a="1"/>
  <c r="H246" i="20" s="1"/>
  <c r="G246" i="20" a="1"/>
  <c r="G246" i="20" s="1"/>
  <c r="F246" i="20" a="1"/>
  <c r="F246" i="20" s="1"/>
  <c r="E246" i="20" a="1"/>
  <c r="E246" i="20" s="1"/>
  <c r="D246" i="20" a="1"/>
  <c r="D246" i="20" s="1"/>
  <c r="I245" i="20" a="1"/>
  <c r="I245" i="20" s="1"/>
  <c r="H245" i="20" a="1"/>
  <c r="H245" i="20" s="1"/>
  <c r="G245" i="20" a="1"/>
  <c r="G245" i="20" s="1"/>
  <c r="F245" i="20" a="1"/>
  <c r="F245" i="20" s="1"/>
  <c r="E245" i="20" a="1"/>
  <c r="E245" i="20" s="1"/>
  <c r="D245" i="20" a="1"/>
  <c r="D245" i="20" s="1"/>
  <c r="I244" i="20" a="1"/>
  <c r="I244" i="20" s="1"/>
  <c r="H244" i="20" a="1"/>
  <c r="H244" i="20" s="1"/>
  <c r="G244" i="20" a="1"/>
  <c r="G244" i="20" s="1"/>
  <c r="F244" i="20" a="1"/>
  <c r="F244" i="20" s="1"/>
  <c r="E244" i="20" a="1"/>
  <c r="E244" i="20" s="1"/>
  <c r="D244" i="20" a="1"/>
  <c r="D244" i="20" s="1"/>
  <c r="I243" i="20" a="1"/>
  <c r="I243" i="20" s="1"/>
  <c r="H243" i="20" a="1"/>
  <c r="H243" i="20" s="1"/>
  <c r="G243" i="20" a="1"/>
  <c r="G243" i="20" s="1"/>
  <c r="F243" i="20" a="1"/>
  <c r="F243" i="20" s="1"/>
  <c r="M243" i="20" s="1"/>
  <c r="E243" i="20" a="1"/>
  <c r="E243" i="20" s="1"/>
  <c r="L243" i="20" s="1"/>
  <c r="D243" i="20" a="1"/>
  <c r="D243" i="20" s="1"/>
  <c r="I242" i="20" a="1"/>
  <c r="I242" i="20" s="1"/>
  <c r="H242" i="20" a="1"/>
  <c r="H242" i="20" s="1"/>
  <c r="G242" i="20" a="1"/>
  <c r="G242" i="20" s="1"/>
  <c r="F242" i="20" a="1"/>
  <c r="F242" i="20" s="1"/>
  <c r="M242" i="20" s="1"/>
  <c r="E242" i="20" a="1"/>
  <c r="E242" i="20" s="1"/>
  <c r="F148" i="19" s="1" a="1"/>
  <c r="F148" i="19" s="1"/>
  <c r="D242" i="20" a="1"/>
  <c r="D242" i="20" s="1"/>
  <c r="E179" i="19"/>
  <c r="I179" i="19" s="1" a="1"/>
  <c r="I179" i="19" s="1"/>
  <c r="E178" i="19"/>
  <c r="I178" i="19" s="1" a="1"/>
  <c r="I178" i="19" s="1"/>
  <c r="E177" i="19"/>
  <c r="I177" i="19" s="1" a="1"/>
  <c r="I177" i="19" s="1"/>
  <c r="E140" i="19"/>
  <c r="E139" i="19"/>
  <c r="E138" i="19"/>
  <c r="I138" i="19" s="1" a="1"/>
  <c r="I138" i="19" s="1"/>
  <c r="I137" i="19" a="1"/>
  <c r="I137" i="19" s="1"/>
  <c r="E496" i="19"/>
  <c r="E495" i="19"/>
  <c r="E494" i="19"/>
  <c r="E485" i="19"/>
  <c r="E484" i="19"/>
  <c r="E483" i="19"/>
  <c r="E482" i="19"/>
  <c r="E481" i="19"/>
  <c r="E259" i="61" a="1"/>
  <c r="E259" i="61" s="1"/>
  <c r="D259" i="61" a="1"/>
  <c r="D259" i="61" s="1"/>
  <c r="E258" i="61" a="1"/>
  <c r="E258" i="61" s="1"/>
  <c r="D258" i="61" a="1"/>
  <c r="D258" i="61" s="1"/>
  <c r="D256" i="61" a="1"/>
  <c r="D256" i="61" s="1"/>
  <c r="D255" i="61" a="1"/>
  <c r="D255" i="61" s="1"/>
  <c r="D254" i="61" a="1"/>
  <c r="D254" i="61" s="1"/>
  <c r="D253" i="61" a="1"/>
  <c r="D253" i="61" s="1"/>
  <c r="S250" i="61" a="1"/>
  <c r="S250" i="61" s="1"/>
  <c r="R250" i="61" a="1"/>
  <c r="R250" i="61" s="1"/>
  <c r="Q250" i="61" a="1"/>
  <c r="Q250" i="61" s="1"/>
  <c r="P250" i="61" a="1"/>
  <c r="P250" i="61" s="1"/>
  <c r="O250" i="61" a="1"/>
  <c r="O250" i="61" s="1"/>
  <c r="N250" i="61" a="1"/>
  <c r="N250" i="61" s="1"/>
  <c r="M250" i="61" a="1"/>
  <c r="M250" i="61" s="1"/>
  <c r="L250" i="61" a="1"/>
  <c r="L250" i="61" s="1"/>
  <c r="K250" i="61" a="1"/>
  <c r="K250" i="61" s="1"/>
  <c r="J250" i="61" a="1"/>
  <c r="J250" i="61" s="1"/>
  <c r="I250" i="61" a="1"/>
  <c r="I250" i="61" s="1"/>
  <c r="H250" i="61" a="1"/>
  <c r="H250" i="61" s="1"/>
  <c r="G250" i="61" a="1"/>
  <c r="G250" i="61" s="1"/>
  <c r="F250" i="61" a="1"/>
  <c r="F250" i="61" s="1"/>
  <c r="E250" i="61" a="1"/>
  <c r="E250" i="61" s="1"/>
  <c r="D250" i="61" a="1"/>
  <c r="D250" i="61" s="1"/>
  <c r="S249" i="61" a="1"/>
  <c r="S249" i="61" s="1"/>
  <c r="R249" i="61" a="1"/>
  <c r="R249" i="61" s="1"/>
  <c r="Q249" i="61" a="1"/>
  <c r="Q249" i="61" s="1"/>
  <c r="P249" i="61" a="1"/>
  <c r="P249" i="61" s="1"/>
  <c r="O249" i="61" a="1"/>
  <c r="O249" i="61" s="1"/>
  <c r="N249" i="61" a="1"/>
  <c r="N249" i="61" s="1"/>
  <c r="M249" i="61" a="1"/>
  <c r="M249" i="61" s="1"/>
  <c r="L249" i="61" a="1"/>
  <c r="L249" i="61" s="1"/>
  <c r="K249" i="61" a="1"/>
  <c r="K249" i="61" s="1"/>
  <c r="J249" i="61" a="1"/>
  <c r="J249" i="61" s="1"/>
  <c r="I249" i="61" a="1"/>
  <c r="I249" i="61" s="1"/>
  <c r="H249" i="61" a="1"/>
  <c r="H249" i="61" s="1"/>
  <c r="G249" i="61" a="1"/>
  <c r="G249" i="61" s="1"/>
  <c r="F249" i="61" a="1"/>
  <c r="F249" i="61" s="1"/>
  <c r="E249" i="61" a="1"/>
  <c r="E249" i="61" s="1"/>
  <c r="D249" i="61" a="1"/>
  <c r="D249" i="61" s="1"/>
  <c r="S248" i="61" a="1"/>
  <c r="S248" i="61" s="1"/>
  <c r="R248" i="61" a="1"/>
  <c r="R248" i="61" s="1"/>
  <c r="Q248" i="61" a="1"/>
  <c r="Q248" i="61" s="1"/>
  <c r="P248" i="61" a="1"/>
  <c r="P248" i="61" s="1"/>
  <c r="O248" i="61" a="1"/>
  <c r="O248" i="61" s="1"/>
  <c r="N248" i="61" a="1"/>
  <c r="N248" i="61" s="1"/>
  <c r="M248" i="61" a="1"/>
  <c r="M248" i="61" s="1"/>
  <c r="L248" i="61" a="1"/>
  <c r="L248" i="61" s="1"/>
  <c r="K248" i="61" a="1"/>
  <c r="K248" i="61" s="1"/>
  <c r="J248" i="61" a="1"/>
  <c r="J248" i="61" s="1"/>
  <c r="I248" i="61" a="1"/>
  <c r="I248" i="61" s="1"/>
  <c r="H248" i="61" a="1"/>
  <c r="H248" i="61" s="1"/>
  <c r="G248" i="61" a="1"/>
  <c r="G248" i="61" s="1"/>
  <c r="F248" i="61" a="1"/>
  <c r="F248" i="61" s="1"/>
  <c r="E248" i="61" a="1"/>
  <c r="E248" i="61" s="1"/>
  <c r="D248" i="61" a="1"/>
  <c r="D248" i="61" s="1"/>
  <c r="S247" i="61" a="1"/>
  <c r="S247" i="61" s="1"/>
  <c r="R247" i="61" a="1"/>
  <c r="R247" i="61" s="1"/>
  <c r="Q247" i="61" a="1"/>
  <c r="Q247" i="61" s="1"/>
  <c r="P247" i="61" a="1"/>
  <c r="P247" i="61" s="1"/>
  <c r="O247" i="61" a="1"/>
  <c r="O247" i="61" s="1"/>
  <c r="N247" i="61" a="1"/>
  <c r="N247" i="61" s="1"/>
  <c r="M247" i="61" a="1"/>
  <c r="M247" i="61" s="1"/>
  <c r="L247" i="61" a="1"/>
  <c r="L247" i="61" s="1"/>
  <c r="K247" i="61" a="1"/>
  <c r="K247" i="61" s="1"/>
  <c r="J247" i="61" a="1"/>
  <c r="J247" i="61" s="1"/>
  <c r="I247" i="61" a="1"/>
  <c r="I247" i="61" s="1"/>
  <c r="H247" i="61" a="1"/>
  <c r="H247" i="61" s="1"/>
  <c r="G247" i="61" a="1"/>
  <c r="G247" i="61" s="1"/>
  <c r="F247" i="61" a="1"/>
  <c r="F247" i="61" s="1"/>
  <c r="E247" i="61" a="1"/>
  <c r="E247" i="61" s="1"/>
  <c r="D247" i="61" a="1"/>
  <c r="D247" i="61" s="1"/>
  <c r="S246" i="61" a="1"/>
  <c r="S246" i="61" s="1"/>
  <c r="R246" i="61" a="1"/>
  <c r="R246" i="61" s="1"/>
  <c r="Q246" i="61" a="1"/>
  <c r="Q246" i="61" s="1"/>
  <c r="P246" i="61" a="1"/>
  <c r="P246" i="61" s="1"/>
  <c r="O246" i="61" a="1"/>
  <c r="O246" i="61" s="1"/>
  <c r="N246" i="61" a="1"/>
  <c r="N246" i="61" s="1"/>
  <c r="M246" i="61" a="1"/>
  <c r="M246" i="61" s="1"/>
  <c r="L246" i="61" a="1"/>
  <c r="L246" i="61" s="1"/>
  <c r="K246" i="61" a="1"/>
  <c r="K246" i="61" s="1"/>
  <c r="J246" i="61" a="1"/>
  <c r="J246" i="61" s="1"/>
  <c r="I246" i="61" a="1"/>
  <c r="I246" i="61" s="1"/>
  <c r="H246" i="61" a="1"/>
  <c r="H246" i="61" s="1"/>
  <c r="G246" i="61" a="1"/>
  <c r="G246" i="61" s="1"/>
  <c r="F246" i="61" a="1"/>
  <c r="F246" i="61" s="1"/>
  <c r="E246" i="61" a="1"/>
  <c r="E246" i="61" s="1"/>
  <c r="D246" i="61" a="1"/>
  <c r="D246" i="61" s="1"/>
  <c r="S245" i="61" a="1"/>
  <c r="S245" i="61" s="1"/>
  <c r="R245" i="61" a="1"/>
  <c r="R245" i="61" s="1"/>
  <c r="Q245" i="61" a="1"/>
  <c r="Q245" i="61" s="1"/>
  <c r="P245" i="61" a="1"/>
  <c r="P245" i="61" s="1"/>
  <c r="O245" i="61" a="1"/>
  <c r="O245" i="61" s="1"/>
  <c r="N245" i="61" a="1"/>
  <c r="N245" i="61" s="1"/>
  <c r="M245" i="61" a="1"/>
  <c r="M245" i="61" s="1"/>
  <c r="L245" i="61" a="1"/>
  <c r="L245" i="61" s="1"/>
  <c r="K245" i="61" a="1"/>
  <c r="K245" i="61" s="1"/>
  <c r="J245" i="61" a="1"/>
  <c r="J245" i="61" s="1"/>
  <c r="I245" i="61" a="1"/>
  <c r="I245" i="61" s="1"/>
  <c r="H245" i="61" a="1"/>
  <c r="H245" i="61" s="1"/>
  <c r="G245" i="61" a="1"/>
  <c r="G245" i="61" s="1"/>
  <c r="F245" i="61" a="1"/>
  <c r="F245" i="61" s="1"/>
  <c r="E245" i="61" a="1"/>
  <c r="E245" i="61" s="1"/>
  <c r="D245" i="61" a="1"/>
  <c r="D245" i="61" s="1"/>
  <c r="S244" i="61" a="1"/>
  <c r="S244" i="61" s="1"/>
  <c r="R244" i="61" a="1"/>
  <c r="R244" i="61" s="1"/>
  <c r="Q244" i="61" a="1"/>
  <c r="Q244" i="61" s="1"/>
  <c r="P244" i="61" a="1"/>
  <c r="P244" i="61" s="1"/>
  <c r="O244" i="61" a="1"/>
  <c r="O244" i="61" s="1"/>
  <c r="N244" i="61" a="1"/>
  <c r="N244" i="61" s="1"/>
  <c r="M244" i="61" a="1"/>
  <c r="M244" i="61" s="1"/>
  <c r="L244" i="61" a="1"/>
  <c r="L244" i="61" s="1"/>
  <c r="K244" i="61" a="1"/>
  <c r="K244" i="61" s="1"/>
  <c r="J244" i="61" a="1"/>
  <c r="J244" i="61" s="1"/>
  <c r="I244" i="61" a="1"/>
  <c r="I244" i="61" s="1"/>
  <c r="H244" i="61" a="1"/>
  <c r="H244" i="61" s="1"/>
  <c r="G244" i="61" a="1"/>
  <c r="G244" i="61" s="1"/>
  <c r="F244" i="61" a="1"/>
  <c r="F244" i="61" s="1"/>
  <c r="E244" i="61" a="1"/>
  <c r="E244" i="61" s="1"/>
  <c r="D244" i="61" a="1"/>
  <c r="D244" i="61" s="1"/>
  <c r="S243" i="61" a="1"/>
  <c r="S243" i="61" s="1"/>
  <c r="R243" i="61" a="1"/>
  <c r="R243" i="61" s="1"/>
  <c r="Q243" i="61" a="1"/>
  <c r="Q243" i="61" s="1"/>
  <c r="P243" i="61" a="1"/>
  <c r="P243" i="61" s="1"/>
  <c r="O243" i="61" a="1"/>
  <c r="O243" i="61" s="1"/>
  <c r="N243" i="61" a="1"/>
  <c r="N243" i="61" s="1"/>
  <c r="M243" i="61" a="1"/>
  <c r="M243" i="61" s="1"/>
  <c r="L243" i="61" a="1"/>
  <c r="L243" i="61" s="1"/>
  <c r="K243" i="61" a="1"/>
  <c r="K243" i="61" s="1"/>
  <c r="J243" i="61" a="1"/>
  <c r="J243" i="61" s="1"/>
  <c r="I243" i="61" a="1"/>
  <c r="I243" i="61" s="1"/>
  <c r="H243" i="61" a="1"/>
  <c r="H243" i="61" s="1"/>
  <c r="G243" i="61" a="1"/>
  <c r="G243" i="61" s="1"/>
  <c r="F243" i="61" a="1"/>
  <c r="F243" i="61" s="1"/>
  <c r="E243" i="61" a="1"/>
  <c r="E243" i="61" s="1"/>
  <c r="D243" i="61" a="1"/>
  <c r="D243" i="61" s="1"/>
  <c r="S242" i="61" a="1"/>
  <c r="S242" i="61" s="1"/>
  <c r="R242" i="61" a="1"/>
  <c r="R242" i="61" s="1"/>
  <c r="Q242" i="61" a="1"/>
  <c r="Q242" i="61" s="1"/>
  <c r="P242" i="61" a="1"/>
  <c r="P242" i="61" s="1"/>
  <c r="O242" i="61" a="1"/>
  <c r="O242" i="61" s="1"/>
  <c r="N242" i="61" a="1"/>
  <c r="N242" i="61" s="1"/>
  <c r="M242" i="61" a="1"/>
  <c r="M242" i="61" s="1"/>
  <c r="L242" i="61" a="1"/>
  <c r="L242" i="61" s="1"/>
  <c r="K242" i="61" a="1"/>
  <c r="K242" i="61" s="1"/>
  <c r="J242" i="61" a="1"/>
  <c r="J242" i="61" s="1"/>
  <c r="I242" i="61" a="1"/>
  <c r="I242" i="61" s="1"/>
  <c r="H242" i="61" a="1"/>
  <c r="H242" i="61" s="1"/>
  <c r="G242" i="61" a="1"/>
  <c r="G242" i="61" s="1"/>
  <c r="F242" i="61" a="1"/>
  <c r="F242" i="61" s="1"/>
  <c r="E242" i="61" a="1"/>
  <c r="E242" i="61" s="1"/>
  <c r="D242" i="61" a="1"/>
  <c r="D242" i="61" s="1"/>
  <c r="S241" i="61" a="1"/>
  <c r="S241" i="61" s="1"/>
  <c r="R241" i="61" a="1"/>
  <c r="R241" i="61" s="1"/>
  <c r="Q241" i="61" a="1"/>
  <c r="Q241" i="61" s="1"/>
  <c r="P241" i="61" a="1"/>
  <c r="P241" i="61" s="1"/>
  <c r="O241" i="61" a="1"/>
  <c r="O241" i="61" s="1"/>
  <c r="N241" i="61" a="1"/>
  <c r="N241" i="61" s="1"/>
  <c r="M241" i="61" a="1"/>
  <c r="M241" i="61" s="1"/>
  <c r="L241" i="61" a="1"/>
  <c r="L241" i="61" s="1"/>
  <c r="K241" i="61" a="1"/>
  <c r="K241" i="61" s="1"/>
  <c r="J241" i="61" a="1"/>
  <c r="J241" i="61" s="1"/>
  <c r="I241" i="61" a="1"/>
  <c r="I241" i="61" s="1"/>
  <c r="H241" i="61" a="1"/>
  <c r="H241" i="61" s="1"/>
  <c r="G241" i="61" a="1"/>
  <c r="G241" i="61" s="1"/>
  <c r="F241" i="61" a="1"/>
  <c r="F241" i="61" s="1"/>
  <c r="E241" i="61" a="1"/>
  <c r="E241" i="61" s="1"/>
  <c r="D241" i="61" a="1"/>
  <c r="D241" i="61" s="1"/>
  <c r="S240" i="61" a="1"/>
  <c r="S240" i="61" s="1"/>
  <c r="R240" i="61" a="1"/>
  <c r="R240" i="61" s="1"/>
  <c r="Q240" i="61" a="1"/>
  <c r="Q240" i="61" s="1"/>
  <c r="P240" i="61" a="1"/>
  <c r="P240" i="61" s="1"/>
  <c r="O240" i="61" a="1"/>
  <c r="O240" i="61" s="1"/>
  <c r="N240" i="61" a="1"/>
  <c r="N240" i="61" s="1"/>
  <c r="M240" i="61" a="1"/>
  <c r="M240" i="61" s="1"/>
  <c r="L240" i="61" a="1"/>
  <c r="L240" i="61" s="1"/>
  <c r="K240" i="61" a="1"/>
  <c r="K240" i="61" s="1"/>
  <c r="J240" i="61" a="1"/>
  <c r="J240" i="61" s="1"/>
  <c r="I240" i="61" a="1"/>
  <c r="I240" i="61" s="1"/>
  <c r="H240" i="61" a="1"/>
  <c r="H240" i="61" s="1"/>
  <c r="G240" i="61" a="1"/>
  <c r="G240" i="61" s="1"/>
  <c r="F240" i="61" a="1"/>
  <c r="F240" i="61" s="1"/>
  <c r="E240" i="61" a="1"/>
  <c r="E240" i="61" s="1"/>
  <c r="D240" i="61" a="1"/>
  <c r="D240" i="61" s="1"/>
  <c r="S239" i="61" a="1"/>
  <c r="S239" i="61" s="1"/>
  <c r="R239" i="61" a="1"/>
  <c r="R239" i="61" s="1"/>
  <c r="Q239" i="61" a="1"/>
  <c r="Q239" i="61" s="1"/>
  <c r="P239" i="61" a="1"/>
  <c r="P239" i="61" s="1"/>
  <c r="O239" i="61" a="1"/>
  <c r="O239" i="61" s="1"/>
  <c r="N239" i="61" a="1"/>
  <c r="N239" i="61" s="1"/>
  <c r="M239" i="61" a="1"/>
  <c r="M239" i="61" s="1"/>
  <c r="L239" i="61" a="1"/>
  <c r="L239" i="61" s="1"/>
  <c r="K239" i="61" a="1"/>
  <c r="K239" i="61" s="1"/>
  <c r="J239" i="61" a="1"/>
  <c r="J239" i="61" s="1"/>
  <c r="I239" i="61" a="1"/>
  <c r="I239" i="61" s="1"/>
  <c r="H239" i="61" a="1"/>
  <c r="H239" i="61" s="1"/>
  <c r="G239" i="61" a="1"/>
  <c r="G239" i="61" s="1"/>
  <c r="F239" i="61" a="1"/>
  <c r="F239" i="61" s="1"/>
  <c r="E239" i="61" a="1"/>
  <c r="E239" i="61" s="1"/>
  <c r="D239" i="61" a="1"/>
  <c r="D239" i="61" s="1"/>
  <c r="S238" i="61" a="1"/>
  <c r="S238" i="61" s="1"/>
  <c r="R238" i="61" a="1"/>
  <c r="R238" i="61" s="1"/>
  <c r="Q238" i="61" a="1"/>
  <c r="Q238" i="61" s="1"/>
  <c r="P238" i="61" a="1"/>
  <c r="P238" i="61" s="1"/>
  <c r="O238" i="61" a="1"/>
  <c r="O238" i="61" s="1"/>
  <c r="N238" i="61" a="1"/>
  <c r="N238" i="61" s="1"/>
  <c r="M238" i="61" a="1"/>
  <c r="M238" i="61" s="1"/>
  <c r="L238" i="61" a="1"/>
  <c r="L238" i="61" s="1"/>
  <c r="K238" i="61" a="1"/>
  <c r="K238" i="61" s="1"/>
  <c r="J238" i="61" a="1"/>
  <c r="J238" i="61" s="1"/>
  <c r="I238" i="61" a="1"/>
  <c r="I238" i="61" s="1"/>
  <c r="H238" i="61" a="1"/>
  <c r="H238" i="61" s="1"/>
  <c r="G238" i="61" a="1"/>
  <c r="G238" i="61" s="1"/>
  <c r="F238" i="61" a="1"/>
  <c r="F238" i="61" s="1"/>
  <c r="E238" i="61" a="1"/>
  <c r="E238" i="61" s="1"/>
  <c r="D238" i="61" a="1"/>
  <c r="D238" i="61" s="1"/>
  <c r="S237" i="61" a="1"/>
  <c r="S237" i="61" s="1"/>
  <c r="R237" i="61" a="1"/>
  <c r="R237" i="61" s="1"/>
  <c r="Q237" i="61" a="1"/>
  <c r="Q237" i="61" s="1"/>
  <c r="P237" i="61" a="1"/>
  <c r="P237" i="61" s="1"/>
  <c r="O237" i="61" a="1"/>
  <c r="O237" i="61" s="1"/>
  <c r="N237" i="61" a="1"/>
  <c r="N237" i="61" s="1"/>
  <c r="M237" i="61" a="1"/>
  <c r="M237" i="61" s="1"/>
  <c r="L237" i="61" a="1"/>
  <c r="L237" i="61" s="1"/>
  <c r="K237" i="61" a="1"/>
  <c r="K237" i="61" s="1"/>
  <c r="J237" i="61" a="1"/>
  <c r="J237" i="61" s="1"/>
  <c r="I237" i="61" a="1"/>
  <c r="I237" i="61" s="1"/>
  <c r="H237" i="61" a="1"/>
  <c r="H237" i="61" s="1"/>
  <c r="G237" i="61" a="1"/>
  <c r="G237" i="61" s="1"/>
  <c r="F237" i="61" a="1"/>
  <c r="F237" i="61" s="1"/>
  <c r="E237" i="61" a="1"/>
  <c r="E237" i="61" s="1"/>
  <c r="D237" i="61" a="1"/>
  <c r="D237" i="61" s="1"/>
  <c r="S236" i="61" a="1"/>
  <c r="S236" i="61" s="1"/>
  <c r="R236" i="61" a="1"/>
  <c r="R236" i="61" s="1"/>
  <c r="Q236" i="61" a="1"/>
  <c r="Q236" i="61" s="1"/>
  <c r="P236" i="61" a="1"/>
  <c r="P236" i="61" s="1"/>
  <c r="O236" i="61" a="1"/>
  <c r="O236" i="61" s="1"/>
  <c r="N236" i="61" a="1"/>
  <c r="N236" i="61" s="1"/>
  <c r="M236" i="61" a="1"/>
  <c r="M236" i="61" s="1"/>
  <c r="L236" i="61" a="1"/>
  <c r="L236" i="61" s="1"/>
  <c r="K236" i="61" a="1"/>
  <c r="K236" i="61" s="1"/>
  <c r="J236" i="61" a="1"/>
  <c r="J236" i="61" s="1"/>
  <c r="I236" i="61" a="1"/>
  <c r="I236" i="61" s="1"/>
  <c r="H236" i="61" a="1"/>
  <c r="H236" i="61" s="1"/>
  <c r="G236" i="61" a="1"/>
  <c r="G236" i="61" s="1"/>
  <c r="F236" i="61" a="1"/>
  <c r="F236" i="61" s="1"/>
  <c r="E236" i="61" a="1"/>
  <c r="E236" i="61" s="1"/>
  <c r="D236" i="61" a="1"/>
  <c r="D236" i="61" s="1"/>
  <c r="S235" i="61" a="1"/>
  <c r="S235" i="61" s="1"/>
  <c r="R235" i="61" a="1"/>
  <c r="R235" i="61" s="1"/>
  <c r="Q235" i="61" a="1"/>
  <c r="Q235" i="61" s="1"/>
  <c r="P235" i="61" a="1"/>
  <c r="P235" i="61" s="1"/>
  <c r="O235" i="61" a="1"/>
  <c r="O235" i="61" s="1"/>
  <c r="N235" i="61" a="1"/>
  <c r="N235" i="61" s="1"/>
  <c r="M235" i="61" a="1"/>
  <c r="M235" i="61" s="1"/>
  <c r="L235" i="61" a="1"/>
  <c r="L235" i="61" s="1"/>
  <c r="K235" i="61" a="1"/>
  <c r="K235" i="61" s="1"/>
  <c r="J235" i="61" a="1"/>
  <c r="J235" i="61" s="1"/>
  <c r="I235" i="61" a="1"/>
  <c r="I235" i="61" s="1"/>
  <c r="H235" i="61" a="1"/>
  <c r="H235" i="61" s="1"/>
  <c r="G235" i="61" a="1"/>
  <c r="G235" i="61" s="1"/>
  <c r="F235" i="61" a="1"/>
  <c r="F235" i="61" s="1"/>
  <c r="E235" i="61" a="1"/>
  <c r="E235" i="61" s="1"/>
  <c r="D235" i="61" a="1"/>
  <c r="D235" i="61" s="1"/>
  <c r="S234" i="61" a="1"/>
  <c r="S234" i="61" s="1"/>
  <c r="R234" i="61" a="1"/>
  <c r="R234" i="61" s="1"/>
  <c r="Q234" i="61" a="1"/>
  <c r="Q234" i="61" s="1"/>
  <c r="P234" i="61" a="1"/>
  <c r="P234" i="61" s="1"/>
  <c r="O234" i="61" a="1"/>
  <c r="O234" i="61" s="1"/>
  <c r="N234" i="61" a="1"/>
  <c r="N234" i="61" s="1"/>
  <c r="M234" i="61" a="1"/>
  <c r="M234" i="61" s="1"/>
  <c r="L234" i="61" a="1"/>
  <c r="L234" i="61" s="1"/>
  <c r="K234" i="61" a="1"/>
  <c r="K234" i="61" s="1"/>
  <c r="J234" i="61" a="1"/>
  <c r="J234" i="61" s="1"/>
  <c r="I234" i="61" a="1"/>
  <c r="I234" i="61" s="1"/>
  <c r="H234" i="61" a="1"/>
  <c r="H234" i="61" s="1"/>
  <c r="G234" i="61" a="1"/>
  <c r="G234" i="61" s="1"/>
  <c r="F234" i="61" a="1"/>
  <c r="F234" i="61" s="1"/>
  <c r="E234" i="61" a="1"/>
  <c r="E234" i="61" s="1"/>
  <c r="D234" i="61" a="1"/>
  <c r="D234" i="61" s="1"/>
  <c r="S233" i="61" a="1"/>
  <c r="S233" i="61" s="1"/>
  <c r="R233" i="61" a="1"/>
  <c r="R233" i="61" s="1"/>
  <c r="Q233" i="61" a="1"/>
  <c r="Q233" i="61" s="1"/>
  <c r="P233" i="61" a="1"/>
  <c r="P233" i="61" s="1"/>
  <c r="O233" i="61" a="1"/>
  <c r="O233" i="61" s="1"/>
  <c r="N233" i="61" a="1"/>
  <c r="N233" i="61" s="1"/>
  <c r="M233" i="61" a="1"/>
  <c r="M233" i="61" s="1"/>
  <c r="L233" i="61" a="1"/>
  <c r="L233" i="61" s="1"/>
  <c r="K233" i="61" a="1"/>
  <c r="K233" i="61" s="1"/>
  <c r="J233" i="61" a="1"/>
  <c r="J233" i="61" s="1"/>
  <c r="I233" i="61" a="1"/>
  <c r="I233" i="61" s="1"/>
  <c r="H233" i="61" a="1"/>
  <c r="H233" i="61" s="1"/>
  <c r="G233" i="61" a="1"/>
  <c r="G233" i="61" s="1"/>
  <c r="F233" i="61" a="1"/>
  <c r="F233" i="61" s="1"/>
  <c r="E233" i="61" a="1"/>
  <c r="E233" i="61" s="1"/>
  <c r="D233" i="61" a="1"/>
  <c r="D233" i="61" s="1"/>
  <c r="S232" i="61" a="1"/>
  <c r="S232" i="61" s="1"/>
  <c r="R232" i="61" a="1"/>
  <c r="R232" i="61" s="1"/>
  <c r="Q232" i="61" a="1"/>
  <c r="Q232" i="61" s="1"/>
  <c r="P232" i="61" a="1"/>
  <c r="P232" i="61" s="1"/>
  <c r="O232" i="61" a="1"/>
  <c r="O232" i="61" s="1"/>
  <c r="N232" i="61" a="1"/>
  <c r="N232" i="61" s="1"/>
  <c r="M232" i="61" a="1"/>
  <c r="M232" i="61" s="1"/>
  <c r="L232" i="61" a="1"/>
  <c r="L232" i="61" s="1"/>
  <c r="K232" i="61" a="1"/>
  <c r="K232" i="61" s="1"/>
  <c r="J232" i="61" a="1"/>
  <c r="J232" i="61" s="1"/>
  <c r="I232" i="61" a="1"/>
  <c r="I232" i="61" s="1"/>
  <c r="H232" i="61" a="1"/>
  <c r="H232" i="61" s="1"/>
  <c r="G232" i="61" a="1"/>
  <c r="G232" i="61" s="1"/>
  <c r="F232" i="61" a="1"/>
  <c r="F232" i="61" s="1"/>
  <c r="E232" i="61" a="1"/>
  <c r="E232" i="61" s="1"/>
  <c r="D232" i="61" a="1"/>
  <c r="D232" i="61" s="1"/>
  <c r="D229" i="61" a="1"/>
  <c r="D229" i="61" s="1"/>
  <c r="D228" i="61" a="1"/>
  <c r="D228" i="61" s="1"/>
  <c r="D227" i="61" a="1"/>
  <c r="D227" i="61" s="1"/>
  <c r="E224" i="61" a="1"/>
  <c r="E224" i="61" s="1"/>
  <c r="D224" i="61" a="1"/>
  <c r="D224" i="61" s="1"/>
  <c r="E223" i="61" a="1"/>
  <c r="E223" i="61" s="1"/>
  <c r="D223" i="61" a="1"/>
  <c r="D223" i="61" s="1"/>
  <c r="E222" i="61" a="1"/>
  <c r="E222" i="61" s="1"/>
  <c r="D222" i="61" a="1"/>
  <c r="D222" i="61" s="1"/>
  <c r="E221" i="61" a="1"/>
  <c r="E221" i="61" s="1"/>
  <c r="D221" i="61" a="1"/>
  <c r="D221" i="61" s="1"/>
  <c r="E220" i="61" a="1"/>
  <c r="E220" i="61" s="1"/>
  <c r="D220" i="61" a="1"/>
  <c r="D220" i="61" s="1"/>
  <c r="E219" i="61" a="1"/>
  <c r="E219" i="61" s="1"/>
  <c r="D219" i="61" a="1"/>
  <c r="D219" i="61" s="1"/>
  <c r="E218" i="61" a="1"/>
  <c r="E218" i="61" s="1"/>
  <c r="D218" i="61" a="1"/>
  <c r="D218" i="61" s="1"/>
  <c r="E217" i="61" a="1"/>
  <c r="E217" i="61" s="1"/>
  <c r="D217" i="61" a="1"/>
  <c r="D217" i="61" s="1"/>
  <c r="E216" i="61" a="1"/>
  <c r="E216" i="61" s="1"/>
  <c r="D216" i="61" a="1"/>
  <c r="D216" i="61" s="1"/>
  <c r="E215" i="61" a="1"/>
  <c r="E215" i="61" s="1"/>
  <c r="D215" i="61" a="1"/>
  <c r="D215" i="61" s="1"/>
  <c r="E214" i="61" a="1"/>
  <c r="E214" i="61" s="1"/>
  <c r="D214" i="61" a="1"/>
  <c r="D214" i="61" s="1"/>
  <c r="E213" i="61" a="1"/>
  <c r="E213" i="61" s="1"/>
  <c r="D213" i="61" a="1"/>
  <c r="D213" i="61" s="1"/>
  <c r="D211" i="61" a="1"/>
  <c r="D211" i="61" s="1"/>
  <c r="E208" i="61" a="1"/>
  <c r="E208" i="61" s="1"/>
  <c r="D208" i="61" a="1"/>
  <c r="D208" i="61" s="1"/>
  <c r="E207" i="61" a="1"/>
  <c r="E207" i="61" s="1"/>
  <c r="D207" i="61" a="1"/>
  <c r="D207" i="61" s="1"/>
  <c r="D205" i="61" a="1"/>
  <c r="D205" i="61" s="1"/>
  <c r="D204" i="61" a="1"/>
  <c r="D204" i="61" s="1"/>
  <c r="D203" i="61" a="1"/>
  <c r="D203" i="61" s="1"/>
  <c r="D202" i="61" a="1"/>
  <c r="D202" i="61" s="1"/>
  <c r="H199" i="61" a="1"/>
  <c r="H199" i="61" s="1"/>
  <c r="G199" i="61" a="1"/>
  <c r="G199" i="61" s="1"/>
  <c r="F199" i="61" a="1"/>
  <c r="F199" i="61" s="1"/>
  <c r="E199" i="61" a="1"/>
  <c r="E199" i="61" s="1"/>
  <c r="D199" i="61" a="1"/>
  <c r="D199" i="61" s="1"/>
  <c r="H198" i="61" a="1"/>
  <c r="H198" i="61" s="1"/>
  <c r="G198" i="61" a="1"/>
  <c r="G198" i="61" s="1"/>
  <c r="F198" i="61" a="1"/>
  <c r="F198" i="61" s="1"/>
  <c r="E198" i="61" a="1"/>
  <c r="E198" i="61" s="1"/>
  <c r="D198" i="61" a="1"/>
  <c r="D198" i="61" s="1"/>
  <c r="H197" i="61" a="1"/>
  <c r="H197" i="61" s="1"/>
  <c r="G197" i="61" a="1"/>
  <c r="G197" i="61" s="1"/>
  <c r="F197" i="61" a="1"/>
  <c r="F197" i="61" s="1"/>
  <c r="E197" i="61" a="1"/>
  <c r="E197" i="61" s="1"/>
  <c r="D197" i="61" a="1"/>
  <c r="D197" i="61" s="1"/>
  <c r="H196" i="61" a="1"/>
  <c r="H196" i="61" s="1"/>
  <c r="G196" i="61" a="1"/>
  <c r="G196" i="61" s="1"/>
  <c r="F196" i="61" a="1"/>
  <c r="F196" i="61" s="1"/>
  <c r="E196" i="61" a="1"/>
  <c r="E196" i="61" s="1"/>
  <c r="D196" i="61" a="1"/>
  <c r="D196" i="61" s="1"/>
  <c r="H195" i="61" a="1"/>
  <c r="H195" i="61" s="1"/>
  <c r="G195" i="61" a="1"/>
  <c r="G195" i="61" s="1"/>
  <c r="F195" i="61" a="1"/>
  <c r="F195" i="61" s="1"/>
  <c r="E195" i="61" a="1"/>
  <c r="E195" i="61" s="1"/>
  <c r="D195" i="61" a="1"/>
  <c r="D195" i="61" s="1"/>
  <c r="H194" i="61" a="1"/>
  <c r="H194" i="61" s="1"/>
  <c r="G194" i="61" a="1"/>
  <c r="G194" i="61" s="1"/>
  <c r="F194" i="61" a="1"/>
  <c r="F194" i="61" s="1"/>
  <c r="E194" i="61" a="1"/>
  <c r="E194" i="61" s="1"/>
  <c r="D194" i="61" a="1"/>
  <c r="D194" i="61" s="1"/>
  <c r="H193" i="61" a="1"/>
  <c r="H193" i="61" s="1"/>
  <c r="G193" i="61" a="1"/>
  <c r="G193" i="61" s="1"/>
  <c r="F193" i="61" a="1"/>
  <c r="F193" i="61" s="1"/>
  <c r="E193" i="61" a="1"/>
  <c r="E193" i="61" s="1"/>
  <c r="D193" i="61" a="1"/>
  <c r="D193" i="61" s="1"/>
  <c r="H192" i="61" a="1"/>
  <c r="H192" i="61" s="1"/>
  <c r="G192" i="61" a="1"/>
  <c r="G192" i="61" s="1"/>
  <c r="F192" i="61" a="1"/>
  <c r="F192" i="61" s="1"/>
  <c r="E192" i="61" a="1"/>
  <c r="E192" i="61" s="1"/>
  <c r="D192" i="61" a="1"/>
  <c r="D192" i="61" s="1"/>
  <c r="H191" i="61" a="1"/>
  <c r="H191" i="61" s="1"/>
  <c r="G191" i="61" a="1"/>
  <c r="G191" i="61" s="1"/>
  <c r="F191" i="61" a="1"/>
  <c r="F191" i="61" s="1"/>
  <c r="E191" i="61" a="1"/>
  <c r="E191" i="61" s="1"/>
  <c r="D191" i="61" a="1"/>
  <c r="D191" i="61" s="1"/>
  <c r="H190" i="61" a="1"/>
  <c r="H190" i="61" s="1"/>
  <c r="G190" i="61" a="1"/>
  <c r="G190" i="61" s="1"/>
  <c r="F190" i="61" a="1"/>
  <c r="F190" i="61" s="1"/>
  <c r="E190" i="61" a="1"/>
  <c r="E190" i="61" s="1"/>
  <c r="D190" i="61" a="1"/>
  <c r="D190" i="61" s="1"/>
  <c r="H189" i="61" a="1"/>
  <c r="H189" i="61" s="1"/>
  <c r="G189" i="61" a="1"/>
  <c r="G189" i="61" s="1"/>
  <c r="F189" i="61" a="1"/>
  <c r="F189" i="61" s="1"/>
  <c r="E189" i="61" a="1"/>
  <c r="E189" i="61" s="1"/>
  <c r="D189" i="61" a="1"/>
  <c r="D189" i="61" s="1"/>
  <c r="H188" i="61" a="1"/>
  <c r="H188" i="61" s="1"/>
  <c r="G188" i="61" a="1"/>
  <c r="G188" i="61" s="1"/>
  <c r="F188" i="61" a="1"/>
  <c r="F188" i="61" s="1"/>
  <c r="D9" i="22" s="1"/>
  <c r="E188" i="61" a="1"/>
  <c r="E188" i="61" s="1"/>
  <c r="D188" i="61" a="1"/>
  <c r="D188" i="61" s="1"/>
  <c r="H187" i="61" a="1"/>
  <c r="H187" i="61" s="1"/>
  <c r="G187" i="61" a="1"/>
  <c r="G187" i="61" s="1"/>
  <c r="F187" i="61" a="1"/>
  <c r="F187" i="61" s="1"/>
  <c r="D8" i="22" s="1"/>
  <c r="E187" i="61" a="1"/>
  <c r="E187" i="61" s="1"/>
  <c r="D187" i="61" a="1"/>
  <c r="D187" i="61" s="1"/>
  <c r="D181" i="61" a="1"/>
  <c r="D181" i="61" s="1"/>
  <c r="D180" i="61" a="1"/>
  <c r="D180" i="61" s="1"/>
  <c r="D179" i="61" a="1"/>
  <c r="D179" i="61" s="1"/>
  <c r="D178" i="61" a="1"/>
  <c r="D178" i="61" s="1"/>
  <c r="E175" i="61" a="1"/>
  <c r="E175" i="61" s="1"/>
  <c r="D175" i="61" a="1"/>
  <c r="D175" i="61" s="1"/>
  <c r="D174" i="61" a="1"/>
  <c r="D174" i="61" s="1"/>
  <c r="D173" i="61" a="1"/>
  <c r="D173" i="61" s="1"/>
  <c r="D170" i="61" a="1"/>
  <c r="D170" i="61" s="1"/>
  <c r="D169" i="61" a="1"/>
  <c r="D169" i="61" s="1"/>
  <c r="D168" i="61" a="1"/>
  <c r="D168" i="61" s="1"/>
  <c r="D167" i="61" a="1"/>
  <c r="D167" i="61" s="1"/>
  <c r="D164" i="61" a="1"/>
  <c r="D164" i="61" s="1"/>
  <c r="D163" i="61" a="1"/>
  <c r="D163" i="61" s="1"/>
  <c r="D162" i="61" a="1"/>
  <c r="D162" i="61" s="1"/>
  <c r="D161" i="61" a="1"/>
  <c r="D161" i="61" s="1"/>
  <c r="E158" i="61" a="1"/>
  <c r="E158" i="61" s="1"/>
  <c r="D158" i="61" a="1"/>
  <c r="D158" i="61" s="1"/>
  <c r="E157" i="61" a="1"/>
  <c r="E157" i="61" s="1"/>
  <c r="D157" i="61" a="1"/>
  <c r="D157" i="61" s="1"/>
  <c r="E156" i="61" a="1"/>
  <c r="E156" i="61" s="1"/>
  <c r="D156" i="61" a="1"/>
  <c r="D156" i="61" s="1"/>
  <c r="E155" i="61" a="1"/>
  <c r="E155" i="61" s="1"/>
  <c r="D155" i="61" a="1"/>
  <c r="D155" i="61" s="1"/>
  <c r="E154" i="61" a="1"/>
  <c r="E154" i="61" s="1"/>
  <c r="D154" i="61" a="1"/>
  <c r="D154" i="61" s="1"/>
  <c r="D151" i="61" a="1"/>
  <c r="D151" i="61" s="1"/>
  <c r="D150" i="61" a="1"/>
  <c r="D150" i="61" s="1"/>
  <c r="E147" i="61" a="1"/>
  <c r="E147" i="61" s="1"/>
  <c r="D147" i="61" a="1"/>
  <c r="D147" i="61" s="1"/>
  <c r="E146" i="61" a="1"/>
  <c r="E146" i="61" s="1"/>
  <c r="D146" i="61" a="1"/>
  <c r="D146" i="61" s="1"/>
  <c r="E145" i="61" a="1"/>
  <c r="E145" i="61" s="1"/>
  <c r="D145" i="61" a="1"/>
  <c r="D145" i="61" s="1"/>
  <c r="E144" i="61" a="1"/>
  <c r="E144" i="61" s="1"/>
  <c r="D144" i="61" a="1"/>
  <c r="D144" i="61" s="1"/>
  <c r="E143" i="61" a="1"/>
  <c r="E143" i="61" s="1"/>
  <c r="D143" i="61" a="1"/>
  <c r="D143" i="61" s="1"/>
  <c r="D141" i="61" a="1"/>
  <c r="D141" i="61" s="1"/>
  <c r="D140" i="61" a="1"/>
  <c r="D140" i="61" s="1"/>
  <c r="D139" i="61" a="1"/>
  <c r="D139" i="61" s="1"/>
  <c r="E136" i="61" a="1"/>
  <c r="E136" i="61" s="1"/>
  <c r="D136" i="61" a="1"/>
  <c r="D136" i="61" s="1"/>
  <c r="E135" i="61" a="1"/>
  <c r="E135" i="61" s="1"/>
  <c r="D135" i="61" a="1"/>
  <c r="D135" i="61" s="1"/>
  <c r="D133" i="61" a="1"/>
  <c r="D133" i="61" s="1"/>
  <c r="D132" i="61" a="1"/>
  <c r="D132" i="61" s="1"/>
  <c r="E129" i="61" a="1"/>
  <c r="E129" i="61" s="1"/>
  <c r="D129" i="61" a="1"/>
  <c r="D129" i="61" s="1"/>
  <c r="E128" i="61" a="1"/>
  <c r="E128" i="61" s="1"/>
  <c r="D128" i="61" a="1"/>
  <c r="D128" i="61" s="1"/>
  <c r="D125" i="61" a="1"/>
  <c r="D125" i="61" s="1"/>
  <c r="D124" i="61" a="1"/>
  <c r="D124" i="61" s="1"/>
  <c r="G121" i="61" a="1"/>
  <c r="G121" i="61" s="1"/>
  <c r="F121" i="61" a="1"/>
  <c r="F121" i="61" s="1"/>
  <c r="E121" i="61" a="1"/>
  <c r="E121" i="61" s="1"/>
  <c r="D121" i="61" a="1"/>
  <c r="D121" i="61" s="1"/>
  <c r="G120" i="61" a="1"/>
  <c r="G120" i="61" s="1"/>
  <c r="F120" i="61" a="1"/>
  <c r="F120" i="61" s="1"/>
  <c r="E30" i="10" s="1"/>
  <c r="E120" i="61" a="1"/>
  <c r="E120" i="61" s="1"/>
  <c r="D120" i="61" a="1"/>
  <c r="D120" i="61" s="1"/>
  <c r="D117" i="61" a="1"/>
  <c r="D117" i="61" s="1"/>
  <c r="D116" i="61" a="1"/>
  <c r="D116" i="61" s="1"/>
  <c r="D115" i="61" a="1"/>
  <c r="D115" i="61" s="1"/>
  <c r="G112" i="61" a="1"/>
  <c r="G112" i="61" s="1"/>
  <c r="F112" i="61" a="1"/>
  <c r="F112" i="61" s="1"/>
  <c r="E112" i="61" a="1"/>
  <c r="E112" i="61" s="1"/>
  <c r="D112" i="61" a="1"/>
  <c r="D112" i="61" s="1"/>
  <c r="G111" i="61" a="1"/>
  <c r="G111" i="61" s="1"/>
  <c r="F111" i="61" a="1"/>
  <c r="F111" i="61" s="1"/>
  <c r="E111" i="61" a="1"/>
  <c r="E111" i="61" s="1"/>
  <c r="D111" i="61" a="1"/>
  <c r="D111" i="61" s="1"/>
  <c r="G110" i="61" a="1"/>
  <c r="G110" i="61" s="1"/>
  <c r="F110" i="61" a="1"/>
  <c r="F110" i="61" s="1"/>
  <c r="E110" i="61" a="1"/>
  <c r="E110" i="61" s="1"/>
  <c r="D110" i="61" a="1"/>
  <c r="D110" i="61" s="1"/>
  <c r="D107" i="61" a="1"/>
  <c r="D107" i="61" s="1"/>
  <c r="D106" i="61" a="1"/>
  <c r="D106" i="61" s="1"/>
  <c r="D105" i="61" a="1"/>
  <c r="D105" i="61" s="1"/>
  <c r="D99" i="61" a="1"/>
  <c r="D99" i="61" s="1"/>
  <c r="S97" i="61" a="1"/>
  <c r="S97" i="61" s="1"/>
  <c r="R97" i="61" a="1"/>
  <c r="R97" i="61" s="1"/>
  <c r="Q97" i="61" a="1"/>
  <c r="Q97" i="61" s="1"/>
  <c r="P97" i="61" a="1"/>
  <c r="P97" i="61" s="1"/>
  <c r="O97" i="61" a="1"/>
  <c r="O97" i="61" s="1"/>
  <c r="N97" i="61" a="1"/>
  <c r="N97" i="61" s="1"/>
  <c r="M97" i="61" a="1"/>
  <c r="M97" i="61" s="1"/>
  <c r="L97" i="61" a="1"/>
  <c r="L97" i="61" s="1"/>
  <c r="K97" i="61" a="1"/>
  <c r="K97" i="61" s="1"/>
  <c r="J97" i="61" a="1"/>
  <c r="J97" i="61" s="1"/>
  <c r="I97" i="61" a="1"/>
  <c r="I97" i="61" s="1"/>
  <c r="H97" i="61" a="1"/>
  <c r="H97" i="61" s="1"/>
  <c r="G97" i="61" a="1"/>
  <c r="G97" i="61" s="1"/>
  <c r="F97" i="61" a="1"/>
  <c r="F97" i="61" s="1"/>
  <c r="E97" i="61" a="1"/>
  <c r="E97" i="61" s="1"/>
  <c r="D97" i="61" a="1"/>
  <c r="D97" i="61" s="1"/>
  <c r="S96" i="61" a="1"/>
  <c r="S96" i="61" s="1"/>
  <c r="R96" i="61" a="1"/>
  <c r="R96" i="61" s="1"/>
  <c r="Q96" i="61" a="1"/>
  <c r="Q96" i="61" s="1"/>
  <c r="P96" i="61" a="1"/>
  <c r="P96" i="61" s="1"/>
  <c r="O96" i="61" a="1"/>
  <c r="O96" i="61" s="1"/>
  <c r="N96" i="61" a="1"/>
  <c r="N96" i="61" s="1"/>
  <c r="M96" i="61" a="1"/>
  <c r="M96" i="61" s="1"/>
  <c r="L96" i="61" a="1"/>
  <c r="L96" i="61" s="1"/>
  <c r="K96" i="61" a="1"/>
  <c r="K96" i="61" s="1"/>
  <c r="J96" i="61" a="1"/>
  <c r="J96" i="61" s="1"/>
  <c r="I96" i="61" a="1"/>
  <c r="I96" i="61" s="1"/>
  <c r="H96" i="61" a="1"/>
  <c r="H96" i="61" s="1"/>
  <c r="G96" i="61" a="1"/>
  <c r="G96" i="61" s="1"/>
  <c r="F96" i="61" a="1"/>
  <c r="F96" i="61" s="1"/>
  <c r="E96" i="61" a="1"/>
  <c r="E96" i="61" s="1"/>
  <c r="D96" i="61" a="1"/>
  <c r="D96" i="61" s="1"/>
  <c r="S95" i="61" a="1"/>
  <c r="S95" i="61" s="1"/>
  <c r="R95" i="61" a="1"/>
  <c r="R95" i="61" s="1"/>
  <c r="Q95" i="61" a="1"/>
  <c r="Q95" i="61" s="1"/>
  <c r="P95" i="61" a="1"/>
  <c r="P95" i="61" s="1"/>
  <c r="O95" i="61" a="1"/>
  <c r="O95" i="61" s="1"/>
  <c r="N95" i="61" a="1"/>
  <c r="N95" i="61" s="1"/>
  <c r="M95" i="61" a="1"/>
  <c r="M95" i="61" s="1"/>
  <c r="L95" i="61" a="1"/>
  <c r="L95" i="61" s="1"/>
  <c r="K95" i="61" a="1"/>
  <c r="K95" i="61" s="1"/>
  <c r="J95" i="61" a="1"/>
  <c r="J95" i="61" s="1"/>
  <c r="I95" i="61" a="1"/>
  <c r="I95" i="61" s="1"/>
  <c r="H95" i="61" a="1"/>
  <c r="H95" i="61" s="1"/>
  <c r="G95" i="61" a="1"/>
  <c r="G95" i="61" s="1"/>
  <c r="F95" i="61" a="1"/>
  <c r="F95" i="61" s="1"/>
  <c r="E95" i="61" a="1"/>
  <c r="E95" i="61" s="1"/>
  <c r="D95" i="61" a="1"/>
  <c r="D95" i="61" s="1"/>
  <c r="S94" i="61" a="1"/>
  <c r="S94" i="61" s="1"/>
  <c r="R94" i="61" a="1"/>
  <c r="R94" i="61" s="1"/>
  <c r="Q94" i="61" a="1"/>
  <c r="Q94" i="61" s="1"/>
  <c r="P94" i="61" a="1"/>
  <c r="P94" i="61" s="1"/>
  <c r="O94" i="61" a="1"/>
  <c r="O94" i="61" s="1"/>
  <c r="N94" i="61" a="1"/>
  <c r="N94" i="61" s="1"/>
  <c r="M94" i="61" a="1"/>
  <c r="M94" i="61" s="1"/>
  <c r="L94" i="61" a="1"/>
  <c r="L94" i="61" s="1"/>
  <c r="K94" i="61" a="1"/>
  <c r="K94" i="61" s="1"/>
  <c r="J94" i="61" a="1"/>
  <c r="J94" i="61" s="1"/>
  <c r="I94" i="61" a="1"/>
  <c r="I94" i="61" s="1"/>
  <c r="H94" i="61" a="1"/>
  <c r="H94" i="61" s="1"/>
  <c r="G94" i="61" a="1"/>
  <c r="G94" i="61" s="1"/>
  <c r="F94" i="61" a="1"/>
  <c r="F94" i="61" s="1"/>
  <c r="E94" i="61" a="1"/>
  <c r="E94" i="61" s="1"/>
  <c r="D94" i="61" a="1"/>
  <c r="D94" i="61" s="1"/>
  <c r="S93" i="61" a="1"/>
  <c r="S93" i="61" s="1"/>
  <c r="R93" i="61" a="1"/>
  <c r="R93" i="61" s="1"/>
  <c r="Q93" i="61" a="1"/>
  <c r="Q93" i="61" s="1"/>
  <c r="P93" i="61" a="1"/>
  <c r="P93" i="61" s="1"/>
  <c r="O93" i="61" a="1"/>
  <c r="O93" i="61" s="1"/>
  <c r="N93" i="61" a="1"/>
  <c r="N93" i="61" s="1"/>
  <c r="M93" i="61" a="1"/>
  <c r="M93" i="61" s="1"/>
  <c r="L93" i="61" a="1"/>
  <c r="L93" i="61" s="1"/>
  <c r="K93" i="61" a="1"/>
  <c r="K93" i="61" s="1"/>
  <c r="J93" i="61" a="1"/>
  <c r="J93" i="61" s="1"/>
  <c r="I93" i="61" a="1"/>
  <c r="I93" i="61" s="1"/>
  <c r="H93" i="61" a="1"/>
  <c r="H93" i="61" s="1"/>
  <c r="G93" i="61" a="1"/>
  <c r="G93" i="61" s="1"/>
  <c r="F93" i="61" a="1"/>
  <c r="F93" i="61" s="1"/>
  <c r="E93" i="61" a="1"/>
  <c r="E93" i="61" s="1"/>
  <c r="D93" i="61" a="1"/>
  <c r="D93" i="61" s="1"/>
  <c r="S92" i="61" a="1"/>
  <c r="S92" i="61" s="1"/>
  <c r="R92" i="61" a="1"/>
  <c r="R92" i="61" s="1"/>
  <c r="Q92" i="61" a="1"/>
  <c r="Q92" i="61" s="1"/>
  <c r="P92" i="61" a="1"/>
  <c r="P92" i="61" s="1"/>
  <c r="O92" i="61" a="1"/>
  <c r="O92" i="61" s="1"/>
  <c r="N92" i="61" a="1"/>
  <c r="N92" i="61" s="1"/>
  <c r="M92" i="61" a="1"/>
  <c r="M92" i="61" s="1"/>
  <c r="L92" i="61" a="1"/>
  <c r="L92" i="61" s="1"/>
  <c r="K92" i="61" a="1"/>
  <c r="K92" i="61" s="1"/>
  <c r="J92" i="61" a="1"/>
  <c r="J92" i="61" s="1"/>
  <c r="I92" i="61" a="1"/>
  <c r="I92" i="61" s="1"/>
  <c r="H92" i="61" a="1"/>
  <c r="H92" i="61" s="1"/>
  <c r="G92" i="61" a="1"/>
  <c r="G92" i="61" s="1"/>
  <c r="F92" i="61" a="1"/>
  <c r="F92" i="61" s="1"/>
  <c r="E92" i="61" a="1"/>
  <c r="E92" i="61" s="1"/>
  <c r="D92" i="61" a="1"/>
  <c r="D92" i="61" s="1"/>
  <c r="S91" i="61" a="1"/>
  <c r="S91" i="61" s="1"/>
  <c r="R91" i="61" a="1"/>
  <c r="R91" i="61" s="1"/>
  <c r="Q91" i="61" a="1"/>
  <c r="Q91" i="61" s="1"/>
  <c r="P91" i="61" a="1"/>
  <c r="P91" i="61" s="1"/>
  <c r="O91" i="61" a="1"/>
  <c r="O91" i="61" s="1"/>
  <c r="N91" i="61" a="1"/>
  <c r="N91" i="61" s="1"/>
  <c r="M91" i="61" a="1"/>
  <c r="M91" i="61" s="1"/>
  <c r="L91" i="61" a="1"/>
  <c r="L91" i="61" s="1"/>
  <c r="K91" i="61" a="1"/>
  <c r="K91" i="61" s="1"/>
  <c r="J91" i="61" a="1"/>
  <c r="J91" i="61" s="1"/>
  <c r="I91" i="61" a="1"/>
  <c r="I91" i="61" s="1"/>
  <c r="H91" i="61" a="1"/>
  <c r="H91" i="61" s="1"/>
  <c r="G91" i="61" a="1"/>
  <c r="G91" i="61" s="1"/>
  <c r="F91" i="61" a="1"/>
  <c r="F91" i="61" s="1"/>
  <c r="E91" i="61" a="1"/>
  <c r="E91" i="61" s="1"/>
  <c r="D91" i="61" a="1"/>
  <c r="D91" i="61" s="1"/>
  <c r="S90" i="61" a="1"/>
  <c r="S90" i="61" s="1"/>
  <c r="R90" i="61" a="1"/>
  <c r="R90" i="61" s="1"/>
  <c r="Q90" i="61" a="1"/>
  <c r="Q90" i="61" s="1"/>
  <c r="P90" i="61" a="1"/>
  <c r="P90" i="61" s="1"/>
  <c r="O90" i="61" a="1"/>
  <c r="O90" i="61" s="1"/>
  <c r="N90" i="61" a="1"/>
  <c r="N90" i="61" s="1"/>
  <c r="M90" i="61" a="1"/>
  <c r="M90" i="61" s="1"/>
  <c r="L90" i="61" a="1"/>
  <c r="L90" i="61" s="1"/>
  <c r="K90" i="61" a="1"/>
  <c r="K90" i="61" s="1"/>
  <c r="J90" i="61" a="1"/>
  <c r="J90" i="61" s="1"/>
  <c r="I90" i="61" a="1"/>
  <c r="I90" i="61" s="1"/>
  <c r="H90" i="61" a="1"/>
  <c r="H90" i="61" s="1"/>
  <c r="G90" i="61" a="1"/>
  <c r="G90" i="61" s="1"/>
  <c r="F90" i="61" a="1"/>
  <c r="F90" i="61" s="1"/>
  <c r="E90" i="61" a="1"/>
  <c r="E90" i="61" s="1"/>
  <c r="D90" i="61" a="1"/>
  <c r="D90" i="61" s="1"/>
  <c r="D83" i="61" a="1"/>
  <c r="D83" i="61" s="1"/>
  <c r="D82" i="61" a="1"/>
  <c r="D82" i="61" s="1"/>
  <c r="D81" i="61" a="1"/>
  <c r="D81" i="61" s="1"/>
  <c r="E77" i="61" a="1"/>
  <c r="E77" i="61" s="1"/>
  <c r="D77" i="61" a="1"/>
  <c r="D77" i="61" s="1"/>
  <c r="E76" i="61" a="1"/>
  <c r="E76" i="61" s="1"/>
  <c r="D76" i="61" a="1"/>
  <c r="D76" i="61" s="1"/>
  <c r="E75" i="61" a="1"/>
  <c r="E75" i="61" s="1"/>
  <c r="D75" i="61" a="1"/>
  <c r="D75" i="61" s="1"/>
  <c r="E74" i="61" a="1"/>
  <c r="E74" i="61" s="1"/>
  <c r="D74" i="61" a="1"/>
  <c r="D74" i="61" s="1"/>
  <c r="E73" i="61" a="1"/>
  <c r="E73" i="61" s="1"/>
  <c r="D73" i="61" a="1"/>
  <c r="D73" i="61" s="1"/>
  <c r="E72" i="61" a="1"/>
  <c r="E72" i="61" s="1"/>
  <c r="D72" i="61" a="1"/>
  <c r="D72" i="61" s="1"/>
  <c r="E71" i="61" a="1"/>
  <c r="E71" i="61" s="1"/>
  <c r="D71" i="61" a="1"/>
  <c r="D71" i="61" s="1"/>
  <c r="E70" i="61" a="1"/>
  <c r="E70" i="61" s="1"/>
  <c r="D70" i="61" a="1"/>
  <c r="D70" i="61" s="1"/>
  <c r="E69" i="61" a="1"/>
  <c r="E69" i="61" s="1"/>
  <c r="D69" i="61" a="1"/>
  <c r="D69" i="61" s="1"/>
  <c r="E68" i="61" a="1"/>
  <c r="E68" i="61" s="1"/>
  <c r="D68" i="61" a="1"/>
  <c r="D68" i="61" s="1"/>
  <c r="E67" i="61" a="1"/>
  <c r="E67" i="61" s="1"/>
  <c r="D67" i="61" a="1"/>
  <c r="D67" i="61" s="1"/>
  <c r="E66" i="61" a="1"/>
  <c r="E66" i="61" s="1"/>
  <c r="D66" i="61" a="1"/>
  <c r="D66" i="61" s="1"/>
  <c r="E65" i="61" a="1"/>
  <c r="E65" i="61" s="1"/>
  <c r="D65" i="61" a="1"/>
  <c r="D65" i="61" s="1"/>
  <c r="E64" i="61" a="1"/>
  <c r="E64" i="61" s="1"/>
  <c r="D64" i="61" a="1"/>
  <c r="D64" i="61" s="1"/>
  <c r="D59" i="61" a="1"/>
  <c r="D59" i="61" s="1"/>
  <c r="D58" i="61" a="1"/>
  <c r="D58" i="61" s="1"/>
  <c r="D57" i="61" a="1"/>
  <c r="D57" i="61" s="1"/>
  <c r="G54" i="61" a="1"/>
  <c r="G54" i="61" s="1"/>
  <c r="F54" i="61" a="1"/>
  <c r="F54" i="61" s="1"/>
  <c r="E54" i="61" a="1"/>
  <c r="E54" i="61" s="1"/>
  <c r="D54" i="61" a="1"/>
  <c r="D54" i="61" s="1"/>
  <c r="G53" i="61" a="1"/>
  <c r="G53" i="61" s="1"/>
  <c r="F53" i="61" a="1"/>
  <c r="F53" i="61" s="1"/>
  <c r="E53" i="61" a="1"/>
  <c r="E53" i="61" s="1"/>
  <c r="D53" i="61" a="1"/>
  <c r="D53" i="61" s="1"/>
  <c r="G52" i="61" a="1"/>
  <c r="G52" i="61" s="1"/>
  <c r="F52" i="61" a="1"/>
  <c r="F52" i="61" s="1"/>
  <c r="E52" i="61" a="1"/>
  <c r="E52" i="61" s="1"/>
  <c r="D52" i="61" a="1"/>
  <c r="D52" i="61" s="1"/>
  <c r="G51" i="61" a="1"/>
  <c r="G51" i="61" s="1"/>
  <c r="F51" i="61" a="1"/>
  <c r="F51" i="61" s="1"/>
  <c r="E51" i="61" a="1"/>
  <c r="E51" i="61" s="1"/>
  <c r="D51" i="61" a="1"/>
  <c r="D51" i="61" s="1"/>
  <c r="G50" i="61" a="1"/>
  <c r="G50" i="61" s="1"/>
  <c r="F50" i="61" a="1"/>
  <c r="F50" i="61" s="1"/>
  <c r="E50" i="61" a="1"/>
  <c r="E50" i="61" s="1"/>
  <c r="D50" i="61" a="1"/>
  <c r="D50" i="61" s="1"/>
  <c r="G49" i="61" a="1"/>
  <c r="G49" i="61" s="1"/>
  <c r="F49" i="61" a="1"/>
  <c r="F49" i="61" s="1"/>
  <c r="E49" i="61" a="1"/>
  <c r="E49" i="61" s="1"/>
  <c r="D49" i="61" a="1"/>
  <c r="D49" i="61" s="1"/>
  <c r="G48" i="61" a="1"/>
  <c r="G48" i="61" s="1"/>
  <c r="F48" i="61" a="1"/>
  <c r="F48" i="61" s="1"/>
  <c r="E48" i="61" a="1"/>
  <c r="E48" i="61" s="1"/>
  <c r="D48" i="61" a="1"/>
  <c r="D48" i="61" s="1"/>
  <c r="D46" i="61" a="1"/>
  <c r="D46" i="61" s="1"/>
  <c r="D45" i="61" a="1"/>
  <c r="D45" i="61" s="1"/>
  <c r="E43" i="61" a="1"/>
  <c r="E43" i="61" s="1"/>
  <c r="D43" i="61" a="1"/>
  <c r="D43" i="61" s="1"/>
  <c r="E42" i="61" a="1"/>
  <c r="E42" i="61" s="1"/>
  <c r="D42" i="61" a="1"/>
  <c r="D42" i="61" s="1"/>
  <c r="E41" i="61" a="1"/>
  <c r="E41" i="61" s="1"/>
  <c r="D41" i="61" a="1"/>
  <c r="D41" i="61" s="1"/>
  <c r="E40" i="61" a="1"/>
  <c r="E40" i="61" s="1"/>
  <c r="D40" i="61" a="1"/>
  <c r="D40" i="61" s="1"/>
  <c r="E39" i="61" a="1"/>
  <c r="E39" i="61" s="1"/>
  <c r="D39" i="61" a="1"/>
  <c r="D39" i="61" s="1"/>
  <c r="E38" i="61" a="1"/>
  <c r="E38" i="61" s="1"/>
  <c r="D38" i="61" a="1"/>
  <c r="D38" i="61" s="1"/>
  <c r="G591" i="19" s="1"/>
  <c r="E37" i="61" a="1"/>
  <c r="E37" i="61" s="1"/>
  <c r="D37" i="61" a="1"/>
  <c r="D37" i="61" s="1"/>
  <c r="D35" i="61" a="1"/>
  <c r="D35" i="61" s="1"/>
  <c r="D34" i="61" a="1"/>
  <c r="D34" i="61" s="1"/>
  <c r="D30" i="61" a="1"/>
  <c r="D30" i="61" s="1"/>
  <c r="D29" i="61" a="1"/>
  <c r="D29" i="61" s="1"/>
  <c r="D28" i="61" a="1"/>
  <c r="D28" i="61" s="1"/>
  <c r="D27" i="61" a="1"/>
  <c r="D27" i="61" s="1"/>
  <c r="D26" i="61" a="1"/>
  <c r="D26" i="61" s="1"/>
  <c r="D25" i="61" a="1"/>
  <c r="D25" i="61" s="1"/>
  <c r="D24" i="61" a="1"/>
  <c r="D24" i="61" s="1"/>
  <c r="D23" i="61" a="1"/>
  <c r="D23" i="61" s="1"/>
  <c r="D22" i="61" a="1"/>
  <c r="D22" i="61" s="1"/>
  <c r="D21" i="61" a="1"/>
  <c r="D21" i="61" s="1"/>
  <c r="D19" i="61" a="1"/>
  <c r="D19" i="61" s="1"/>
  <c r="D18" i="61" a="1"/>
  <c r="D18" i="61" s="1"/>
  <c r="F14" i="61" a="1"/>
  <c r="F14" i="61" s="1"/>
  <c r="E14" i="61" a="1"/>
  <c r="E14" i="61" s="1"/>
  <c r="D14" i="61" a="1"/>
  <c r="D14" i="61" s="1"/>
  <c r="F13" i="61" a="1"/>
  <c r="F13" i="61" s="1"/>
  <c r="E13" i="61" a="1"/>
  <c r="E13" i="61" s="1"/>
  <c r="D13" i="61" a="1"/>
  <c r="D13" i="61" s="1"/>
  <c r="F12" i="61" a="1"/>
  <c r="F12" i="61" s="1"/>
  <c r="E12" i="61" a="1"/>
  <c r="E12" i="61" s="1"/>
  <c r="D12" i="61" a="1"/>
  <c r="D12" i="61" s="1"/>
  <c r="F11" i="61" a="1"/>
  <c r="F11" i="61" s="1"/>
  <c r="E11" i="61" a="1"/>
  <c r="E11" i="61" s="1"/>
  <c r="D11" i="61" a="1"/>
  <c r="D11" i="61" s="1"/>
  <c r="F10" i="61" a="1"/>
  <c r="F10" i="61" s="1"/>
  <c r="E10" i="61" a="1"/>
  <c r="E10" i="61" s="1"/>
  <c r="D10" i="61" a="1"/>
  <c r="D10" i="61" s="1"/>
  <c r="F9" i="61" a="1"/>
  <c r="F9" i="61" s="1"/>
  <c r="E9" i="61" a="1"/>
  <c r="E9" i="61" s="1"/>
  <c r="D9" i="61" a="1"/>
  <c r="D9" i="61" s="1"/>
  <c r="F8" i="61" a="1"/>
  <c r="F8" i="61" s="1"/>
  <c r="E8" i="61" a="1"/>
  <c r="E8" i="61" s="1"/>
  <c r="D8" i="61" a="1"/>
  <c r="D8" i="61" s="1"/>
  <c r="A8" i="61"/>
  <c r="F7" i="61" a="1"/>
  <c r="F7" i="61" s="1"/>
  <c r="E7" i="61" a="1"/>
  <c r="E7" i="61" s="1"/>
  <c r="D7" i="61" a="1"/>
  <c r="D7" i="61" s="1"/>
  <c r="A7" i="61"/>
  <c r="D5" i="61" a="1"/>
  <c r="D5" i="61" s="1"/>
  <c r="A3" i="61"/>
  <c r="H17" i="59"/>
  <c r="H16" i="59"/>
  <c r="H15" i="59"/>
  <c r="H14" i="59"/>
  <c r="H13" i="59"/>
  <c r="H12" i="59"/>
  <c r="H11" i="59"/>
  <c r="H10" i="59"/>
  <c r="H9" i="59"/>
  <c r="H8" i="59"/>
  <c r="H19" i="58"/>
  <c r="R19" i="58" s="1"/>
  <c r="H18" i="58"/>
  <c r="R18" i="58" s="1"/>
  <c r="H17" i="58"/>
  <c r="R17" i="58" s="1"/>
  <c r="H16" i="58"/>
  <c r="L16" i="58" s="1"/>
  <c r="H15" i="58"/>
  <c r="R15" i="58" s="1"/>
  <c r="H14" i="58"/>
  <c r="R14" i="58" s="1"/>
  <c r="H13" i="58"/>
  <c r="R13" i="58" s="1"/>
  <c r="H12" i="58"/>
  <c r="R12" i="58" s="1"/>
  <c r="H11" i="58"/>
  <c r="R11" i="58" s="1"/>
  <c r="H10" i="58"/>
  <c r="R10" i="58" s="1"/>
  <c r="Q8" i="58" a="1"/>
  <c r="Q8" i="58" s="1"/>
  <c r="N8" i="58" a="1"/>
  <c r="N8" i="58" s="1"/>
  <c r="K8" i="58" a="1"/>
  <c r="K8" i="58" s="1"/>
  <c r="P18" i="32"/>
  <c r="P17" i="32"/>
  <c r="E29" i="10"/>
  <c r="E13" i="10"/>
  <c r="A15" i="48"/>
  <c r="A14" i="48"/>
  <c r="A13" i="48"/>
  <c r="A12" i="48"/>
  <c r="H16" i="52" a="1"/>
  <c r="H16" i="52" s="1"/>
  <c r="H15" i="52" a="1"/>
  <c r="H15" i="52" s="1"/>
  <c r="H14" i="52" a="1"/>
  <c r="H14" i="52" s="1"/>
  <c r="H13" i="52" a="1"/>
  <c r="H13" i="52" s="1"/>
  <c r="H12" i="52" a="1"/>
  <c r="H12" i="52" s="1"/>
  <c r="H11" i="52" a="1"/>
  <c r="H11" i="52" s="1"/>
  <c r="H10" i="52" a="1"/>
  <c r="H10" i="52" s="1"/>
  <c r="A38" i="8"/>
  <c r="A37" i="8"/>
  <c r="A36" i="8"/>
  <c r="A35" i="8"/>
  <c r="A34" i="8"/>
  <c r="A33" i="8"/>
  <c r="A32" i="8"/>
  <c r="A31" i="8"/>
  <c r="A30" i="8"/>
  <c r="A29" i="8"/>
  <c r="A28" i="8"/>
  <c r="A24" i="8"/>
  <c r="A23" i="8"/>
  <c r="A22" i="8"/>
  <c r="A21" i="8"/>
  <c r="A20" i="8"/>
  <c r="A16" i="8"/>
  <c r="A15" i="8"/>
  <c r="A14" i="8"/>
  <c r="A13" i="8"/>
  <c r="A12" i="8"/>
  <c r="A11" i="8"/>
  <c r="A10" i="8"/>
  <c r="A9" i="8"/>
  <c r="A8" i="8"/>
  <c r="A4" i="8"/>
  <c r="A3" i="8"/>
  <c r="A38" i="6"/>
  <c r="A37" i="6"/>
  <c r="A36" i="6"/>
  <c r="A35" i="6"/>
  <c r="A34" i="6"/>
  <c r="A33" i="6"/>
  <c r="A32" i="6"/>
  <c r="A31" i="6"/>
  <c r="A30" i="6"/>
  <c r="A29" i="6"/>
  <c r="A28" i="6"/>
  <c r="A24" i="6"/>
  <c r="A23" i="6"/>
  <c r="A22" i="6"/>
  <c r="A21" i="6"/>
  <c r="A20" i="6"/>
  <c r="A16" i="6"/>
  <c r="A15" i="6"/>
  <c r="A14" i="6"/>
  <c r="A13" i="6"/>
  <c r="A12" i="6"/>
  <c r="A11" i="6"/>
  <c r="A10" i="6"/>
  <c r="A9" i="6"/>
  <c r="A8" i="6"/>
  <c r="A4" i="6"/>
  <c r="A3" i="6"/>
  <c r="A38" i="18"/>
  <c r="A37" i="18"/>
  <c r="A36" i="18"/>
  <c r="A35" i="18"/>
  <c r="A34" i="18"/>
  <c r="A33" i="18"/>
  <c r="A32" i="18"/>
  <c r="A31" i="18"/>
  <c r="A30" i="18"/>
  <c r="A29" i="18"/>
  <c r="A28" i="18"/>
  <c r="A24" i="18"/>
  <c r="A23" i="18"/>
  <c r="A22" i="18"/>
  <c r="A21" i="18"/>
  <c r="A20" i="18"/>
  <c r="A16" i="18"/>
  <c r="A15" i="18"/>
  <c r="A14" i="18"/>
  <c r="A13" i="18"/>
  <c r="A12" i="18"/>
  <c r="A11" i="18"/>
  <c r="A10" i="18"/>
  <c r="A9" i="18"/>
  <c r="A8" i="18"/>
  <c r="A4" i="18"/>
  <c r="A3" i="18"/>
  <c r="A38" i="22"/>
  <c r="A37" i="22"/>
  <c r="A36" i="22"/>
  <c r="A35" i="22"/>
  <c r="A34" i="22"/>
  <c r="A33" i="22"/>
  <c r="A32" i="22"/>
  <c r="A31" i="22"/>
  <c r="A30" i="22"/>
  <c r="A29" i="22"/>
  <c r="A28" i="22"/>
  <c r="A24" i="22"/>
  <c r="A23" i="22"/>
  <c r="A22" i="22"/>
  <c r="A21" i="22"/>
  <c r="A20" i="22"/>
  <c r="A16" i="22"/>
  <c r="A15" i="22"/>
  <c r="A14" i="22"/>
  <c r="A13" i="22"/>
  <c r="A12" i="22"/>
  <c r="A11" i="22"/>
  <c r="A10" i="22"/>
  <c r="A9" i="22"/>
  <c r="A8" i="22"/>
  <c r="A4" i="22"/>
  <c r="A3" i="22"/>
  <c r="A38" i="23"/>
  <c r="A37" i="23"/>
  <c r="A36" i="23"/>
  <c r="A35" i="23"/>
  <c r="A34" i="23"/>
  <c r="A33" i="23"/>
  <c r="A32" i="23"/>
  <c r="A31" i="23"/>
  <c r="A30" i="23"/>
  <c r="A29" i="23"/>
  <c r="A28" i="23"/>
  <c r="A24" i="23"/>
  <c r="A23" i="23"/>
  <c r="A22" i="23"/>
  <c r="A21" i="23"/>
  <c r="A20" i="23"/>
  <c r="A16" i="23"/>
  <c r="A15" i="23"/>
  <c r="A14" i="23"/>
  <c r="A13" i="23"/>
  <c r="A12" i="23"/>
  <c r="A11" i="23"/>
  <c r="A10" i="23"/>
  <c r="A9" i="23"/>
  <c r="A8" i="23"/>
  <c r="A4" i="23"/>
  <c r="A3" i="23"/>
  <c r="A38" i="25"/>
  <c r="A37" i="25"/>
  <c r="A36" i="25"/>
  <c r="A35" i="25"/>
  <c r="A34" i="25"/>
  <c r="A33" i="25"/>
  <c r="A32" i="25"/>
  <c r="A31" i="25"/>
  <c r="A30" i="25"/>
  <c r="A29" i="25"/>
  <c r="A28" i="25"/>
  <c r="A24" i="25"/>
  <c r="A23" i="25"/>
  <c r="A22" i="25"/>
  <c r="A21" i="25"/>
  <c r="A20" i="25"/>
  <c r="A16" i="25"/>
  <c r="A15" i="25"/>
  <c r="A14" i="25"/>
  <c r="A13" i="25"/>
  <c r="A12" i="25"/>
  <c r="A11" i="25"/>
  <c r="A10" i="25"/>
  <c r="A9" i="25"/>
  <c r="A8" i="25"/>
  <c r="A4" i="25"/>
  <c r="A3" i="25"/>
  <c r="A38" i="26"/>
  <c r="A37" i="26"/>
  <c r="A36" i="26"/>
  <c r="A35" i="26"/>
  <c r="A34" i="26"/>
  <c r="A33" i="26"/>
  <c r="A32" i="26"/>
  <c r="A31" i="26"/>
  <c r="A30" i="26"/>
  <c r="A29" i="26"/>
  <c r="A28" i="26"/>
  <c r="A24" i="26"/>
  <c r="A23" i="26"/>
  <c r="A22" i="26"/>
  <c r="A21" i="26"/>
  <c r="A20" i="26"/>
  <c r="A16" i="26"/>
  <c r="A15" i="26"/>
  <c r="A14" i="26"/>
  <c r="A13" i="26"/>
  <c r="A12" i="26"/>
  <c r="A11" i="26"/>
  <c r="A10" i="26"/>
  <c r="A9" i="26"/>
  <c r="A8" i="26"/>
  <c r="A4" i="26"/>
  <c r="A3" i="26"/>
  <c r="A38" i="29"/>
  <c r="A37" i="29"/>
  <c r="A36" i="29"/>
  <c r="A35" i="29"/>
  <c r="A34" i="29"/>
  <c r="A33" i="29"/>
  <c r="A32" i="29"/>
  <c r="A31" i="29"/>
  <c r="A30" i="29"/>
  <c r="A29" i="29"/>
  <c r="A28" i="29"/>
  <c r="A24" i="29"/>
  <c r="A23" i="29"/>
  <c r="A22" i="29"/>
  <c r="A21" i="29"/>
  <c r="A20" i="29"/>
  <c r="A16" i="29"/>
  <c r="A15" i="29"/>
  <c r="A14" i="29"/>
  <c r="A13" i="29"/>
  <c r="A12" i="29"/>
  <c r="A11" i="29"/>
  <c r="A10" i="29"/>
  <c r="A9" i="29"/>
  <c r="A8" i="29"/>
  <c r="A4" i="29"/>
  <c r="A3" i="29"/>
  <c r="A38" i="36"/>
  <c r="A37" i="36"/>
  <c r="A36" i="36"/>
  <c r="A35" i="36"/>
  <c r="A34" i="36"/>
  <c r="A33" i="36"/>
  <c r="A32" i="36"/>
  <c r="A31" i="36"/>
  <c r="A30" i="36"/>
  <c r="A29" i="36"/>
  <c r="A28" i="36"/>
  <c r="A24" i="36"/>
  <c r="A23" i="36"/>
  <c r="A22" i="36"/>
  <c r="A21" i="36"/>
  <c r="A20" i="36"/>
  <c r="A16" i="36"/>
  <c r="A15" i="36"/>
  <c r="A14" i="36"/>
  <c r="A13" i="36"/>
  <c r="A12" i="36"/>
  <c r="A11" i="36"/>
  <c r="A10" i="36"/>
  <c r="A9" i="36"/>
  <c r="A8" i="36"/>
  <c r="A4" i="36"/>
  <c r="A3" i="36"/>
  <c r="A38" i="20"/>
  <c r="A37" i="20"/>
  <c r="A36" i="20"/>
  <c r="A35" i="20"/>
  <c r="A34" i="20"/>
  <c r="A33" i="20"/>
  <c r="A32" i="20"/>
  <c r="A31" i="20"/>
  <c r="A30" i="20"/>
  <c r="A29" i="20"/>
  <c r="A28" i="20"/>
  <c r="A24" i="20"/>
  <c r="A23" i="20"/>
  <c r="A22" i="20"/>
  <c r="A21" i="20"/>
  <c r="A20" i="20"/>
  <c r="A16" i="20"/>
  <c r="A15" i="20"/>
  <c r="A14" i="20"/>
  <c r="A13" i="20"/>
  <c r="A12" i="20"/>
  <c r="A11" i="20"/>
  <c r="A10" i="20"/>
  <c r="A9" i="20"/>
  <c r="A8" i="20"/>
  <c r="A4" i="20"/>
  <c r="A3" i="20"/>
  <c r="A38" i="32"/>
  <c r="A37" i="32"/>
  <c r="A36" i="32"/>
  <c r="A35" i="32"/>
  <c r="A34" i="32"/>
  <c r="A33" i="32"/>
  <c r="A32" i="32"/>
  <c r="A31" i="32"/>
  <c r="A30" i="32"/>
  <c r="A29" i="32"/>
  <c r="A28" i="32"/>
  <c r="A24" i="32"/>
  <c r="A23" i="32"/>
  <c r="A22" i="32"/>
  <c r="A21" i="32"/>
  <c r="A20" i="32"/>
  <c r="A16" i="32"/>
  <c r="A15" i="32"/>
  <c r="A14" i="32"/>
  <c r="A13" i="32"/>
  <c r="A12" i="32"/>
  <c r="A11" i="32"/>
  <c r="A10" i="32"/>
  <c r="A9" i="32"/>
  <c r="A8" i="32"/>
  <c r="A4" i="32"/>
  <c r="A3" i="32"/>
  <c r="A38" i="31"/>
  <c r="A37" i="31"/>
  <c r="A36" i="31"/>
  <c r="A35" i="31"/>
  <c r="A34" i="31"/>
  <c r="A33" i="31"/>
  <c r="A32" i="31"/>
  <c r="A31" i="31"/>
  <c r="A30" i="31"/>
  <c r="A29" i="31"/>
  <c r="A28" i="31"/>
  <c r="A24" i="31"/>
  <c r="A23" i="31"/>
  <c r="A22" i="31"/>
  <c r="A21" i="31"/>
  <c r="A20" i="31"/>
  <c r="A16" i="31"/>
  <c r="A15" i="31"/>
  <c r="A14" i="31"/>
  <c r="A13" i="31"/>
  <c r="A12" i="31"/>
  <c r="A11" i="31"/>
  <c r="A10" i="31"/>
  <c r="A9" i="31"/>
  <c r="A8" i="31"/>
  <c r="A4" i="31"/>
  <c r="A3" i="31"/>
  <c r="A38" i="34"/>
  <c r="A37" i="34"/>
  <c r="A36" i="34"/>
  <c r="A35" i="34"/>
  <c r="A34" i="34"/>
  <c r="A33" i="34"/>
  <c r="A32" i="34"/>
  <c r="A31" i="34"/>
  <c r="A30" i="34"/>
  <c r="A29" i="34"/>
  <c r="A28" i="34"/>
  <c r="A24" i="34"/>
  <c r="A23" i="34"/>
  <c r="A22" i="34"/>
  <c r="A21" i="34"/>
  <c r="A20" i="34"/>
  <c r="A16" i="34"/>
  <c r="A15" i="34"/>
  <c r="A14" i="34"/>
  <c r="A13" i="34"/>
  <c r="A12" i="34"/>
  <c r="A11" i="34"/>
  <c r="A10" i="34"/>
  <c r="A9" i="34"/>
  <c r="A8" i="34"/>
  <c r="A4" i="34"/>
  <c r="A3" i="34"/>
  <c r="A38" i="38"/>
  <c r="A37" i="38"/>
  <c r="A36" i="38"/>
  <c r="A35" i="38"/>
  <c r="A34" i="38"/>
  <c r="A33" i="38"/>
  <c r="A32" i="38"/>
  <c r="A31" i="38"/>
  <c r="A30" i="38"/>
  <c r="A29" i="38"/>
  <c r="A28" i="38"/>
  <c r="A24" i="38"/>
  <c r="A23" i="38"/>
  <c r="A22" i="38"/>
  <c r="A21" i="38"/>
  <c r="A20" i="38"/>
  <c r="A16" i="38"/>
  <c r="A15" i="38"/>
  <c r="A14" i="38"/>
  <c r="A13" i="38"/>
  <c r="A12" i="38"/>
  <c r="A11" i="38"/>
  <c r="A10" i="38"/>
  <c r="A9" i="38"/>
  <c r="A8" i="38"/>
  <c r="A4" i="38"/>
  <c r="A3" i="38"/>
  <c r="A38" i="19"/>
  <c r="A37" i="19"/>
  <c r="A36" i="19"/>
  <c r="A35" i="19"/>
  <c r="A34" i="19"/>
  <c r="A33" i="19"/>
  <c r="A32" i="19"/>
  <c r="A31" i="19"/>
  <c r="A30" i="19"/>
  <c r="A29" i="19"/>
  <c r="A28" i="19"/>
  <c r="A24" i="19"/>
  <c r="A23" i="19"/>
  <c r="A22" i="19"/>
  <c r="A21" i="19"/>
  <c r="A20" i="19"/>
  <c r="A16" i="19"/>
  <c r="A15" i="19"/>
  <c r="A14" i="19"/>
  <c r="A13" i="19"/>
  <c r="A12" i="19"/>
  <c r="A11" i="19"/>
  <c r="A10" i="19"/>
  <c r="A9" i="19"/>
  <c r="A8" i="19"/>
  <c r="A4" i="19"/>
  <c r="A3" i="19"/>
  <c r="A38" i="9"/>
  <c r="A37" i="9"/>
  <c r="A36" i="9"/>
  <c r="A35" i="9"/>
  <c r="A34" i="9"/>
  <c r="A33" i="9"/>
  <c r="A32" i="9"/>
  <c r="A31" i="9"/>
  <c r="A30" i="9"/>
  <c r="A29" i="9"/>
  <c r="A28" i="9"/>
  <c r="A24" i="9"/>
  <c r="A23" i="9"/>
  <c r="A22" i="9"/>
  <c r="A21" i="9"/>
  <c r="A20" i="9"/>
  <c r="A16" i="9"/>
  <c r="A15" i="9"/>
  <c r="A14" i="9"/>
  <c r="A13" i="9"/>
  <c r="A12" i="9"/>
  <c r="A11" i="9"/>
  <c r="A10" i="9"/>
  <c r="A9" i="9"/>
  <c r="A8" i="9"/>
  <c r="A4" i="9"/>
  <c r="A3" i="9"/>
  <c r="A38" i="50"/>
  <c r="A37" i="50"/>
  <c r="A36" i="50"/>
  <c r="A35" i="50"/>
  <c r="A34" i="50"/>
  <c r="A33" i="50"/>
  <c r="A32" i="50"/>
  <c r="A31" i="50"/>
  <c r="A30" i="50"/>
  <c r="A29" i="50"/>
  <c r="A28" i="50"/>
  <c r="A24" i="50"/>
  <c r="A23" i="50"/>
  <c r="A22" i="50"/>
  <c r="A21" i="50"/>
  <c r="A20" i="50"/>
  <c r="A16" i="50"/>
  <c r="A15" i="50"/>
  <c r="A14" i="50"/>
  <c r="A13" i="50"/>
  <c r="A12" i="50"/>
  <c r="A11" i="50"/>
  <c r="A10" i="50"/>
  <c r="A9" i="50"/>
  <c r="A8" i="50"/>
  <c r="A4" i="50"/>
  <c r="A3" i="50"/>
  <c r="A38" i="33"/>
  <c r="A37" i="33"/>
  <c r="A36" i="33"/>
  <c r="A35" i="33"/>
  <c r="A34" i="33"/>
  <c r="A33" i="33"/>
  <c r="A32" i="33"/>
  <c r="A31" i="33"/>
  <c r="A30" i="33"/>
  <c r="A29" i="33"/>
  <c r="A28" i="33"/>
  <c r="A24" i="33"/>
  <c r="A23" i="33"/>
  <c r="A22" i="33"/>
  <c r="A21" i="33"/>
  <c r="A20" i="33"/>
  <c r="A16" i="33"/>
  <c r="A15" i="33"/>
  <c r="A14" i="33"/>
  <c r="A13" i="33"/>
  <c r="A12" i="33"/>
  <c r="A11" i="33"/>
  <c r="A10" i="33"/>
  <c r="A9" i="33"/>
  <c r="A8" i="33"/>
  <c r="A4" i="33"/>
  <c r="A3" i="33"/>
  <c r="A38" i="39"/>
  <c r="A37" i="39"/>
  <c r="A36" i="39"/>
  <c r="A35" i="39"/>
  <c r="A34" i="39"/>
  <c r="A33" i="39"/>
  <c r="A32" i="39"/>
  <c r="A31" i="39"/>
  <c r="A30" i="39"/>
  <c r="A29" i="39"/>
  <c r="A28" i="39"/>
  <c r="A24" i="39"/>
  <c r="A23" i="39"/>
  <c r="A22" i="39"/>
  <c r="A21" i="39"/>
  <c r="A20" i="39"/>
  <c r="A16" i="39"/>
  <c r="A15" i="39"/>
  <c r="A14" i="39"/>
  <c r="A13" i="39"/>
  <c r="A12" i="39"/>
  <c r="A11" i="39"/>
  <c r="A10" i="39"/>
  <c r="A9" i="39"/>
  <c r="A8" i="39"/>
  <c r="A4" i="39"/>
  <c r="A3" i="39"/>
  <c r="A41" i="48"/>
  <c r="A40" i="48"/>
  <c r="A39" i="48"/>
  <c r="A38" i="48"/>
  <c r="A37" i="48"/>
  <c r="A36" i="48"/>
  <c r="A35" i="48"/>
  <c r="A34" i="48"/>
  <c r="A33" i="48"/>
  <c r="A32" i="48"/>
  <c r="A31" i="48"/>
  <c r="A27" i="48"/>
  <c r="A26" i="48"/>
  <c r="A25" i="48"/>
  <c r="A24" i="48"/>
  <c r="A23" i="48"/>
  <c r="A19" i="48"/>
  <c r="A18" i="48"/>
  <c r="A17" i="48"/>
  <c r="A16" i="48"/>
  <c r="A11" i="48"/>
  <c r="A10" i="48"/>
  <c r="A9" i="48"/>
  <c r="A8" i="48"/>
  <c r="A4" i="48"/>
  <c r="A3" i="48"/>
  <c r="A38" i="13"/>
  <c r="A37" i="13"/>
  <c r="A36" i="13"/>
  <c r="A35" i="13"/>
  <c r="A34" i="13"/>
  <c r="A33" i="13"/>
  <c r="A32" i="13"/>
  <c r="A31" i="13"/>
  <c r="A30" i="13"/>
  <c r="A29" i="13"/>
  <c r="A28" i="13"/>
  <c r="A24" i="13"/>
  <c r="A23" i="13"/>
  <c r="A22" i="13"/>
  <c r="A21" i="13"/>
  <c r="A20" i="13"/>
  <c r="A16" i="13"/>
  <c r="A15" i="13"/>
  <c r="A14" i="13"/>
  <c r="A13" i="13"/>
  <c r="A12" i="13"/>
  <c r="A11" i="13"/>
  <c r="A10" i="13"/>
  <c r="A9" i="13"/>
  <c r="A8" i="13"/>
  <c r="A4" i="13"/>
  <c r="A3" i="13"/>
  <c r="A38" i="7"/>
  <c r="A37" i="7"/>
  <c r="A36" i="7"/>
  <c r="A35" i="7"/>
  <c r="A34" i="7"/>
  <c r="A33" i="7"/>
  <c r="A32" i="7"/>
  <c r="A31" i="7"/>
  <c r="A30" i="7"/>
  <c r="A29" i="7"/>
  <c r="A28" i="7"/>
  <c r="A24" i="7"/>
  <c r="A23" i="7"/>
  <c r="A22" i="7"/>
  <c r="A21" i="7"/>
  <c r="A20" i="7"/>
  <c r="A16" i="7"/>
  <c r="A15" i="7"/>
  <c r="A14" i="7"/>
  <c r="A13" i="7"/>
  <c r="A12" i="7"/>
  <c r="A11" i="7"/>
  <c r="A10" i="7"/>
  <c r="A9" i="7"/>
  <c r="A8" i="7"/>
  <c r="A4" i="7"/>
  <c r="A3" i="7"/>
  <c r="A38" i="30"/>
  <c r="A37" i="30"/>
  <c r="A36" i="30"/>
  <c r="A35" i="30"/>
  <c r="A34" i="30"/>
  <c r="A33" i="30"/>
  <c r="A32" i="30"/>
  <c r="A31" i="30"/>
  <c r="A30" i="30"/>
  <c r="A29" i="30"/>
  <c r="A28" i="30"/>
  <c r="A24" i="30"/>
  <c r="A23" i="30"/>
  <c r="A22" i="30"/>
  <c r="A21" i="30"/>
  <c r="A20" i="30"/>
  <c r="A16" i="30"/>
  <c r="A15" i="30"/>
  <c r="A14" i="30"/>
  <c r="A13" i="30"/>
  <c r="A12" i="30"/>
  <c r="A11" i="30"/>
  <c r="A10" i="30"/>
  <c r="A9" i="30"/>
  <c r="A8" i="30"/>
  <c r="A4" i="30"/>
  <c r="A3" i="30"/>
  <c r="A38" i="10"/>
  <c r="A37" i="10"/>
  <c r="A36" i="10"/>
  <c r="A35" i="10"/>
  <c r="A34" i="10"/>
  <c r="A33" i="10"/>
  <c r="A32" i="10"/>
  <c r="A31" i="10"/>
  <c r="A30" i="10"/>
  <c r="A29" i="10"/>
  <c r="A28" i="10"/>
  <c r="A24" i="10"/>
  <c r="A23" i="10"/>
  <c r="A22" i="10"/>
  <c r="A21" i="10"/>
  <c r="A20" i="10"/>
  <c r="A16" i="10"/>
  <c r="A15" i="10"/>
  <c r="A14" i="10"/>
  <c r="A13" i="10"/>
  <c r="A12" i="10"/>
  <c r="A11" i="10"/>
  <c r="A10" i="10"/>
  <c r="A9" i="10"/>
  <c r="A8" i="10"/>
  <c r="A4" i="10"/>
  <c r="A3" i="10"/>
  <c r="A38" i="41"/>
  <c r="A37" i="41"/>
  <c r="A36" i="41"/>
  <c r="A35" i="41"/>
  <c r="A34" i="41"/>
  <c r="A33" i="41"/>
  <c r="A32" i="41"/>
  <c r="A31" i="41"/>
  <c r="A30" i="41"/>
  <c r="A29" i="41"/>
  <c r="A28" i="41"/>
  <c r="A24" i="41"/>
  <c r="A23" i="41"/>
  <c r="A22" i="41"/>
  <c r="A21" i="41"/>
  <c r="A20" i="41"/>
  <c r="A16" i="41"/>
  <c r="A15" i="41"/>
  <c r="A14" i="41"/>
  <c r="A13" i="41"/>
  <c r="A12" i="41"/>
  <c r="A11" i="41"/>
  <c r="A10" i="41"/>
  <c r="A9" i="41"/>
  <c r="A8" i="41"/>
  <c r="A4" i="41"/>
  <c r="A3" i="41"/>
  <c r="A38" i="40"/>
  <c r="A37" i="40"/>
  <c r="A36" i="40"/>
  <c r="A35" i="40"/>
  <c r="A34" i="40"/>
  <c r="A33" i="40"/>
  <c r="A32" i="40"/>
  <c r="A31" i="40"/>
  <c r="A30" i="40"/>
  <c r="A29" i="40"/>
  <c r="A28" i="40"/>
  <c r="A24" i="40"/>
  <c r="A23" i="40"/>
  <c r="A22" i="40"/>
  <c r="A21" i="40"/>
  <c r="A20" i="40"/>
  <c r="A16" i="40"/>
  <c r="A15" i="40"/>
  <c r="A14" i="40"/>
  <c r="A13" i="40"/>
  <c r="A12" i="40"/>
  <c r="A11" i="40"/>
  <c r="A10" i="40"/>
  <c r="A9" i="40"/>
  <c r="A8" i="40"/>
  <c r="A4" i="40"/>
  <c r="A3" i="40"/>
  <c r="E20" i="41"/>
  <c r="E22" i="41"/>
  <c r="E28" i="41"/>
  <c r="E36" i="41"/>
  <c r="E35" i="41"/>
  <c r="N593" i="19" a="1"/>
  <c r="N593" i="19" s="1"/>
  <c r="L590" i="19" a="1"/>
  <c r="L590" i="19" s="1"/>
  <c r="P584" i="19" a="1"/>
  <c r="P584" i="19" s="1"/>
  <c r="L584" i="19" a="1"/>
  <c r="L584" i="19" s="1"/>
  <c r="O42" i="34"/>
  <c r="E7" i="34"/>
  <c r="E523" i="19"/>
  <c r="E42" i="34"/>
  <c r="E79" i="34"/>
  <c r="E538" i="19"/>
  <c r="O7" i="34"/>
  <c r="O79" i="34"/>
  <c r="E555" i="19"/>
  <c r="E33" i="10" l="1"/>
  <c r="G9" i="23"/>
  <c r="O591" i="19"/>
  <c r="E31" i="10"/>
  <c r="E32" i="10" s="1"/>
  <c r="F151" i="19" a="1"/>
  <c r="F151" i="19" s="1"/>
  <c r="I151" i="19" s="1" a="1"/>
  <c r="I151" i="19" s="1"/>
  <c r="G8" i="23"/>
  <c r="F150" i="19" a="1"/>
  <c r="F150" i="19" s="1"/>
  <c r="G150" i="19" s="1" a="1"/>
  <c r="G150" i="19" s="1"/>
  <c r="F152" i="19" a="1"/>
  <c r="F152" i="19" s="1"/>
  <c r="I152" i="19" s="1" a="1"/>
  <c r="I152" i="19" s="1"/>
  <c r="F153" i="19" a="1"/>
  <c r="F153" i="19" s="1"/>
  <c r="G153" i="19" s="1" a="1"/>
  <c r="G153" i="19" s="1"/>
  <c r="L242" i="20"/>
  <c r="F149" i="19" a="1"/>
  <c r="F149" i="19" s="1"/>
  <c r="I149" i="19" s="1" a="1"/>
  <c r="I149" i="19" s="1"/>
  <c r="G148" i="19" a="1"/>
  <c r="G148" i="19" s="1"/>
  <c r="I148" i="19" a="1"/>
  <c r="I148" i="19" s="1"/>
  <c r="H51" i="61"/>
  <c r="H53" i="61"/>
  <c r="H48" i="61"/>
  <c r="H49" i="61"/>
  <c r="H50" i="61"/>
  <c r="J15" i="34" s="1"/>
  <c r="H52" i="61"/>
  <c r="H54" i="61"/>
  <c r="O16" i="58"/>
  <c r="L13" i="58"/>
  <c r="R16" i="58"/>
  <c r="O11" i="58"/>
  <c r="O13" i="58"/>
  <c r="L10" i="58"/>
  <c r="L17" i="58"/>
  <c r="O10" i="58"/>
  <c r="O17" i="58"/>
  <c r="L14" i="58"/>
  <c r="O14" i="58"/>
  <c r="L11" i="58"/>
  <c r="L18" i="58"/>
  <c r="O18" i="58"/>
  <c r="L15" i="58"/>
  <c r="O15" i="58"/>
  <c r="L12" i="58"/>
  <c r="L19" i="58"/>
  <c r="O19" i="58"/>
  <c r="O12" i="58"/>
  <c r="S67" i="34"/>
  <c r="S32" i="34"/>
  <c r="T13" i="34"/>
  <c r="R85" i="34" a="1"/>
  <c r="R85" i="34" s="1"/>
  <c r="N85" i="34" a="1"/>
  <c r="N85" i="34" s="1"/>
  <c r="O83" i="34" a="1"/>
  <c r="O83" i="34" s="1"/>
  <c r="O82" i="34" a="1"/>
  <c r="O82" i="34" s="1"/>
  <c r="N78" i="34" a="1"/>
  <c r="N78" i="34" s="1"/>
  <c r="N77" i="34" a="1"/>
  <c r="N77" i="34" s="1"/>
  <c r="Q67" i="34" a="1"/>
  <c r="Q67" i="34" s="1"/>
  <c r="N67" i="34" a="1"/>
  <c r="N67" i="34" s="1"/>
  <c r="O65" i="34" a="1"/>
  <c r="O65" i="34" s="1"/>
  <c r="O64" i="34" a="1"/>
  <c r="O64" i="34" s="1"/>
  <c r="N60" i="34" a="1"/>
  <c r="N60" i="34" s="1"/>
  <c r="N59" i="34" a="1"/>
  <c r="N59" i="34" s="1"/>
  <c r="Q48" i="34" a="1"/>
  <c r="Q48" i="34" s="1"/>
  <c r="N48" i="34" a="1"/>
  <c r="N48" i="34" s="1"/>
  <c r="O46" i="34" a="1"/>
  <c r="O46" i="34" s="1"/>
  <c r="O45" i="34" a="1"/>
  <c r="O45" i="34" s="1"/>
  <c r="N41" i="34" a="1"/>
  <c r="N41" i="34" s="1"/>
  <c r="N40" i="34" a="1"/>
  <c r="N40" i="34" s="1"/>
  <c r="Q32" i="34" a="1"/>
  <c r="Q32" i="34" s="1"/>
  <c r="N32" i="34" a="1"/>
  <c r="N32" i="34" s="1"/>
  <c r="O30" i="34" a="1"/>
  <c r="O30" i="34" s="1"/>
  <c r="P35" i="34" s="1"/>
  <c r="O29" i="34" a="1"/>
  <c r="O29" i="34" s="1"/>
  <c r="N25" i="34" a="1"/>
  <c r="N25" i="34" s="1"/>
  <c r="N24" i="34" a="1"/>
  <c r="N24" i="34" s="1"/>
  <c r="R13" i="34" a="1"/>
  <c r="R13" i="34" s="1"/>
  <c r="N13" i="34" a="1"/>
  <c r="N13" i="34" s="1"/>
  <c r="O11" i="34" a="1"/>
  <c r="O11" i="34" s="1"/>
  <c r="O10" i="34" a="1"/>
  <c r="O10" i="34" s="1"/>
  <c r="N6" i="34" a="1"/>
  <c r="N6" i="34" s="1"/>
  <c r="N5" i="34" a="1"/>
  <c r="N5" i="34" s="1"/>
  <c r="I67" i="34"/>
  <c r="I32" i="34"/>
  <c r="J13" i="34"/>
  <c r="H185" i="38"/>
  <c r="H179" i="38"/>
  <c r="H168" i="38"/>
  <c r="H144" i="38"/>
  <c r="H138" i="38"/>
  <c r="H127" i="38"/>
  <c r="H105" i="38" a="1"/>
  <c r="H105" i="38" s="1"/>
  <c r="D105" i="38" a="1"/>
  <c r="D105" i="38" s="1"/>
  <c r="E103" i="38" a="1"/>
  <c r="E103" i="38" s="1"/>
  <c r="E102" i="38" a="1"/>
  <c r="E102" i="38" s="1"/>
  <c r="D98" i="38" a="1"/>
  <c r="D98" i="38" s="1"/>
  <c r="D97" i="38" a="1"/>
  <c r="D97" i="38" s="1"/>
  <c r="D96" i="38" a="1"/>
  <c r="D96" i="38" s="1"/>
  <c r="J16" i="38" a="1"/>
  <c r="J16" i="38" s="1"/>
  <c r="I16" i="38" a="1"/>
  <c r="I16" i="38" s="1"/>
  <c r="J15" i="38" a="1"/>
  <c r="J15" i="38" s="1"/>
  <c r="I15" i="38" a="1"/>
  <c r="I15" i="38" s="1"/>
  <c r="J14" i="38" a="1"/>
  <c r="J14" i="38" s="1"/>
  <c r="I14" i="38" a="1"/>
  <c r="I14" i="38" s="1"/>
  <c r="J13" i="38" a="1"/>
  <c r="J13" i="38" s="1"/>
  <c r="I13" i="38" a="1"/>
  <c r="I13" i="38" s="1"/>
  <c r="G13" i="38" a="1"/>
  <c r="G13" i="38" s="1"/>
  <c r="D13" i="38" a="1"/>
  <c r="D13" i="38" s="1"/>
  <c r="E11" i="38" a="1"/>
  <c r="E11" i="38" s="1"/>
  <c r="E10" i="38" a="1"/>
  <c r="E10" i="38" s="1"/>
  <c r="D6" i="38" a="1"/>
  <c r="D6" i="38" s="1"/>
  <c r="D5" i="38" a="1"/>
  <c r="D5" i="38" s="1"/>
  <c r="E99" i="38" a="1"/>
  <c r="O61" i="34" a="1"/>
  <c r="E7" i="38" a="1"/>
  <c r="O26" i="34" a="1"/>
  <c r="I153" i="19" l="1" a="1"/>
  <c r="I153" i="19" s="1"/>
  <c r="G151" i="19" a="1"/>
  <c r="G151" i="19" s="1"/>
  <c r="I150" i="19" a="1"/>
  <c r="I150" i="19" s="1"/>
  <c r="J88" i="34"/>
  <c r="G152" i="19" a="1"/>
  <c r="G152" i="19" s="1"/>
  <c r="G149" i="19" a="1"/>
  <c r="G149" i="19" s="1"/>
  <c r="I50" i="34"/>
  <c r="O61" i="34"/>
  <c r="O26" i="34"/>
  <c r="E99" i="38"/>
  <c r="E7" i="38"/>
  <c r="F192" i="38"/>
  <c r="F151" i="38"/>
  <c r="E155" i="19" l="1"/>
  <c r="E156" i="19"/>
  <c r="E68" i="36" a="1"/>
  <c r="E68" i="36" s="1"/>
  <c r="D68" i="36" a="1"/>
  <c r="D68" i="36" s="1"/>
  <c r="E67" i="36" a="1"/>
  <c r="E67" i="36" s="1"/>
  <c r="D67" i="36" a="1"/>
  <c r="D67" i="36" s="1"/>
  <c r="E66" i="36" a="1"/>
  <c r="E66" i="36" s="1"/>
  <c r="D66" i="36" a="1"/>
  <c r="D66" i="36" s="1"/>
  <c r="E65" i="36" a="1"/>
  <c r="E65" i="36" s="1"/>
  <c r="D65" i="36" a="1"/>
  <c r="D65" i="36" s="1"/>
  <c r="E64" i="36" a="1"/>
  <c r="E64" i="36" s="1"/>
  <c r="D64" i="36" a="1"/>
  <c r="D64" i="36" s="1"/>
  <c r="E63" i="36" a="1"/>
  <c r="E63" i="36" s="1"/>
  <c r="D63" i="36" a="1"/>
  <c r="D63" i="36" s="1"/>
  <c r="E62" i="36" a="1"/>
  <c r="E62" i="36" s="1"/>
  <c r="D62" i="36" a="1"/>
  <c r="D62" i="36" s="1"/>
  <c r="E61" i="36" a="1"/>
  <c r="E61" i="36" s="1"/>
  <c r="D61" i="36" a="1"/>
  <c r="D61" i="36" s="1"/>
  <c r="E60" i="36" a="1"/>
  <c r="E60" i="36" s="1"/>
  <c r="D60" i="36" a="1"/>
  <c r="D60" i="36" s="1"/>
  <c r="E59" i="36" a="1"/>
  <c r="E59" i="36" s="1"/>
  <c r="D59" i="36" a="1"/>
  <c r="D59" i="36" s="1"/>
  <c r="E58" i="36" a="1"/>
  <c r="E58" i="36" s="1"/>
  <c r="D58" i="36" a="1"/>
  <c r="D58" i="36" s="1"/>
  <c r="D56" i="36" a="1"/>
  <c r="D56" i="36" s="1"/>
  <c r="D55" i="36" a="1"/>
  <c r="D55" i="36" s="1"/>
  <c r="D54" i="36" a="1"/>
  <c r="D54" i="36" s="1"/>
  <c r="D53" i="36" a="1"/>
  <c r="D53" i="36" s="1"/>
  <c r="D52" i="36" a="1"/>
  <c r="D52" i="36" s="1"/>
  <c r="G50" i="36" a="1"/>
  <c r="G50" i="36" s="1"/>
  <c r="F50" i="36" a="1"/>
  <c r="F50" i="36" s="1"/>
  <c r="E50" i="36" a="1"/>
  <c r="E50" i="36" s="1"/>
  <c r="O21" i="36" s="1"/>
  <c r="D50" i="36" a="1"/>
  <c r="D50" i="36" s="1"/>
  <c r="G49" i="36" a="1"/>
  <c r="G49" i="36" s="1"/>
  <c r="F49" i="36" a="1"/>
  <c r="F49" i="36" s="1"/>
  <c r="E49" i="36" a="1"/>
  <c r="E49" i="36" s="1"/>
  <c r="O20" i="36" s="1"/>
  <c r="D49" i="36" a="1"/>
  <c r="D49" i="36" s="1"/>
  <c r="G48" i="36" a="1"/>
  <c r="G48" i="36" s="1"/>
  <c r="F48" i="36" a="1"/>
  <c r="F48" i="36" s="1"/>
  <c r="E48" i="36" a="1"/>
  <c r="E48" i="36" s="1"/>
  <c r="O19" i="36" s="1"/>
  <c r="D48" i="36" a="1"/>
  <c r="D48" i="36" s="1"/>
  <c r="G47" i="36" a="1"/>
  <c r="G47" i="36" s="1"/>
  <c r="F47" i="36" a="1"/>
  <c r="F47" i="36" s="1"/>
  <c r="E47" i="36" a="1"/>
  <c r="E47" i="36" s="1"/>
  <c r="O18" i="36" s="1"/>
  <c r="D47" i="36" a="1"/>
  <c r="D47" i="36" s="1"/>
  <c r="G46" i="36" a="1"/>
  <c r="G46" i="36" s="1"/>
  <c r="F46" i="36" a="1"/>
  <c r="F46" i="36" s="1"/>
  <c r="E46" i="36" a="1"/>
  <c r="E46" i="36" s="1"/>
  <c r="O17" i="36" s="1"/>
  <c r="D46" i="36" a="1"/>
  <c r="D46" i="36" s="1"/>
  <c r="G45" i="36" a="1"/>
  <c r="G45" i="36" s="1"/>
  <c r="F45" i="36" a="1"/>
  <c r="F45" i="36" s="1"/>
  <c r="E45" i="36" a="1"/>
  <c r="E45" i="36" s="1"/>
  <c r="D45" i="36" a="1"/>
  <c r="D45" i="36" s="1"/>
  <c r="G44" i="36" a="1"/>
  <c r="G44" i="36" s="1"/>
  <c r="F44" i="36" a="1"/>
  <c r="F44" i="36" s="1"/>
  <c r="E44" i="36" a="1"/>
  <c r="E44" i="36" s="1"/>
  <c r="M21" i="36" s="1"/>
  <c r="D44" i="36" a="1"/>
  <c r="D44" i="36" s="1"/>
  <c r="G43" i="36" a="1"/>
  <c r="G43" i="36" s="1"/>
  <c r="F43" i="36" a="1"/>
  <c r="F43" i="36" s="1"/>
  <c r="E43" i="36" a="1"/>
  <c r="E43" i="36" s="1"/>
  <c r="M20" i="36" s="1"/>
  <c r="D43" i="36" a="1"/>
  <c r="D43" i="36" s="1"/>
  <c r="G42" i="36" a="1"/>
  <c r="G42" i="36" s="1"/>
  <c r="F42" i="36" a="1"/>
  <c r="F42" i="36" s="1"/>
  <c r="E42" i="36" a="1"/>
  <c r="E42" i="36" s="1"/>
  <c r="M19" i="36" s="1"/>
  <c r="D42" i="36" a="1"/>
  <c r="D42" i="36" s="1"/>
  <c r="G41" i="36" a="1"/>
  <c r="G41" i="36" s="1"/>
  <c r="F41" i="36" a="1"/>
  <c r="F41" i="36" s="1"/>
  <c r="E41" i="36" a="1"/>
  <c r="E41" i="36" s="1"/>
  <c r="M18" i="36" s="1"/>
  <c r="D41" i="36" a="1"/>
  <c r="D41" i="36" s="1"/>
  <c r="G40" i="36" a="1"/>
  <c r="G40" i="36" s="1"/>
  <c r="F40" i="36" a="1"/>
  <c r="F40" i="36" s="1"/>
  <c r="E40" i="36" a="1"/>
  <c r="E40" i="36" s="1"/>
  <c r="M17" i="36" s="1"/>
  <c r="D40" i="36" a="1"/>
  <c r="D40" i="36" s="1"/>
  <c r="G39" i="36" a="1"/>
  <c r="G39" i="36" s="1"/>
  <c r="F39" i="36" a="1"/>
  <c r="F39" i="36" s="1"/>
  <c r="E39" i="36" a="1"/>
  <c r="E39" i="36" s="1"/>
  <c r="D39" i="36" a="1"/>
  <c r="D39" i="36" s="1"/>
  <c r="G38" i="36" a="1"/>
  <c r="G38" i="36" s="1"/>
  <c r="F38" i="36" a="1"/>
  <c r="F38" i="36" s="1"/>
  <c r="E38" i="36" a="1"/>
  <c r="E38" i="36" s="1"/>
  <c r="K26" i="36" s="1"/>
  <c r="D38" i="36" a="1"/>
  <c r="D38" i="36" s="1"/>
  <c r="G37" i="36" a="1"/>
  <c r="G37" i="36" s="1"/>
  <c r="F37" i="36" a="1"/>
  <c r="F37" i="36" s="1"/>
  <c r="E37" i="36" a="1"/>
  <c r="E37" i="36" s="1"/>
  <c r="K25" i="36" s="1"/>
  <c r="D37" i="36" a="1"/>
  <c r="D37" i="36" s="1"/>
  <c r="G36" i="36" a="1"/>
  <c r="G36" i="36" s="1"/>
  <c r="F36" i="36" a="1"/>
  <c r="F36" i="36" s="1"/>
  <c r="E36" i="36" a="1"/>
  <c r="E36" i="36" s="1"/>
  <c r="K24" i="36" s="1"/>
  <c r="D36" i="36" a="1"/>
  <c r="D36" i="36" s="1"/>
  <c r="G35" i="36" a="1"/>
  <c r="G35" i="36" s="1"/>
  <c r="F35" i="36" a="1"/>
  <c r="F35" i="36" s="1"/>
  <c r="E35" i="36" a="1"/>
  <c r="E35" i="36" s="1"/>
  <c r="K23" i="36" s="1"/>
  <c r="D35" i="36" a="1"/>
  <c r="D35" i="36" s="1"/>
  <c r="G34" i="36" a="1"/>
  <c r="G34" i="36" s="1"/>
  <c r="F34" i="36" a="1"/>
  <c r="F34" i="36" s="1"/>
  <c r="E34" i="36" a="1"/>
  <c r="E34" i="36" s="1"/>
  <c r="K22" i="36" s="1"/>
  <c r="D34" i="36" a="1"/>
  <c r="D34" i="36" s="1"/>
  <c r="G33" i="36" a="1"/>
  <c r="G33" i="36" s="1"/>
  <c r="F33" i="36" a="1"/>
  <c r="F33" i="36" s="1"/>
  <c r="E33" i="36" a="1"/>
  <c r="E33" i="36" s="1"/>
  <c r="K21" i="36" s="1"/>
  <c r="D33" i="36" a="1"/>
  <c r="D33" i="36" s="1"/>
  <c r="G32" i="36" a="1"/>
  <c r="G32" i="36" s="1"/>
  <c r="F32" i="36" a="1"/>
  <c r="F32" i="36" s="1"/>
  <c r="E32" i="36" a="1"/>
  <c r="E32" i="36" s="1"/>
  <c r="K20" i="36" s="1"/>
  <c r="D32" i="36" a="1"/>
  <c r="D32" i="36" s="1"/>
  <c r="G31" i="36" a="1"/>
  <c r="G31" i="36" s="1"/>
  <c r="F31" i="36" a="1"/>
  <c r="F31" i="36" s="1"/>
  <c r="E31" i="36" a="1"/>
  <c r="E31" i="36" s="1"/>
  <c r="K19" i="36" s="1"/>
  <c r="D31" i="36" a="1"/>
  <c r="D31" i="36" s="1"/>
  <c r="G30" i="36" a="1"/>
  <c r="G30" i="36" s="1"/>
  <c r="F30" i="36" a="1"/>
  <c r="F30" i="36" s="1"/>
  <c r="E30" i="36" a="1"/>
  <c r="E30" i="36" s="1"/>
  <c r="K18" i="36" s="1"/>
  <c r="D30" i="36" a="1"/>
  <c r="D30" i="36" s="1"/>
  <c r="G29" i="36" a="1"/>
  <c r="G29" i="36" s="1"/>
  <c r="F29" i="36" a="1"/>
  <c r="F29" i="36" s="1"/>
  <c r="E29" i="36" a="1"/>
  <c r="E29" i="36" s="1"/>
  <c r="K17" i="36" s="1"/>
  <c r="D29" i="36" a="1"/>
  <c r="D29" i="36" s="1"/>
  <c r="G28" i="36" a="1"/>
  <c r="G28" i="36" s="1"/>
  <c r="F28" i="36" a="1"/>
  <c r="F28" i="36" s="1"/>
  <c r="E28" i="36" a="1"/>
  <c r="E28" i="36" s="1"/>
  <c r="D28" i="36" a="1"/>
  <c r="D28" i="36" s="1"/>
  <c r="G27" i="36" a="1"/>
  <c r="G27" i="36" s="1"/>
  <c r="F27" i="36" a="1"/>
  <c r="F27" i="36" s="1"/>
  <c r="E27" i="36" a="1"/>
  <c r="E27" i="36" s="1"/>
  <c r="I27" i="36" s="1"/>
  <c r="D27" i="36" a="1"/>
  <c r="D27" i="36" s="1"/>
  <c r="G26" i="36" a="1"/>
  <c r="G26" i="36" s="1"/>
  <c r="F26" i="36" a="1"/>
  <c r="F26" i="36" s="1"/>
  <c r="E26" i="36" a="1"/>
  <c r="E26" i="36" s="1"/>
  <c r="I26" i="36" s="1"/>
  <c r="D26" i="36" a="1"/>
  <c r="D26" i="36" s="1"/>
  <c r="G25" i="36" a="1"/>
  <c r="G25" i="36" s="1"/>
  <c r="F25" i="36" a="1"/>
  <c r="F25" i="36" s="1"/>
  <c r="E25" i="36" a="1"/>
  <c r="E25" i="36" s="1"/>
  <c r="I25" i="36" s="1"/>
  <c r="D25" i="36" a="1"/>
  <c r="D25" i="36" s="1"/>
  <c r="G24" i="36" a="1"/>
  <c r="G24" i="36" s="1"/>
  <c r="F24" i="36" a="1"/>
  <c r="F24" i="36" s="1"/>
  <c r="E24" i="36" a="1"/>
  <c r="E24" i="36" s="1"/>
  <c r="I24" i="36" s="1"/>
  <c r="D24" i="36" a="1"/>
  <c r="D24" i="36" s="1"/>
  <c r="G23" i="36" a="1"/>
  <c r="G23" i="36" s="1"/>
  <c r="F23" i="36" a="1"/>
  <c r="F23" i="36" s="1"/>
  <c r="E23" i="36" a="1"/>
  <c r="E23" i="36" s="1"/>
  <c r="I23" i="36" s="1"/>
  <c r="D23" i="36" a="1"/>
  <c r="D23" i="36" s="1"/>
  <c r="G22" i="36" a="1"/>
  <c r="G22" i="36" s="1"/>
  <c r="F22" i="36" a="1"/>
  <c r="F22" i="36" s="1"/>
  <c r="E22" i="36" a="1"/>
  <c r="E22" i="36" s="1"/>
  <c r="I22" i="36" s="1"/>
  <c r="D22" i="36" a="1"/>
  <c r="D22" i="36" s="1"/>
  <c r="G21" i="36" a="1"/>
  <c r="G21" i="36" s="1"/>
  <c r="F21" i="36" a="1"/>
  <c r="F21" i="36" s="1"/>
  <c r="E21" i="36" a="1"/>
  <c r="E21" i="36" s="1"/>
  <c r="I21" i="36" s="1"/>
  <c r="D21" i="36" a="1"/>
  <c r="D21" i="36" s="1"/>
  <c r="G20" i="36" a="1"/>
  <c r="G20" i="36" s="1"/>
  <c r="F20" i="36" a="1"/>
  <c r="F20" i="36" s="1"/>
  <c r="E20" i="36" a="1"/>
  <c r="E20" i="36" s="1"/>
  <c r="I20" i="36" s="1"/>
  <c r="D20" i="36" a="1"/>
  <c r="D20" i="36" s="1"/>
  <c r="G19" i="36" a="1"/>
  <c r="G19" i="36" s="1"/>
  <c r="F19" i="36" a="1"/>
  <c r="F19" i="36" s="1"/>
  <c r="E19" i="36" a="1"/>
  <c r="E19" i="36" s="1"/>
  <c r="I19" i="36" s="1"/>
  <c r="D19" i="36" a="1"/>
  <c r="D19" i="36" s="1"/>
  <c r="G18" i="36" a="1"/>
  <c r="G18" i="36" s="1"/>
  <c r="F18" i="36" a="1"/>
  <c r="F18" i="36" s="1"/>
  <c r="E18" i="36" a="1"/>
  <c r="E18" i="36" s="1"/>
  <c r="I18" i="36" s="1"/>
  <c r="D18" i="36" a="1"/>
  <c r="D18" i="36" s="1"/>
  <c r="G17" i="36" a="1"/>
  <c r="G17" i="36" s="1"/>
  <c r="F17" i="36" a="1"/>
  <c r="F17" i="36" s="1"/>
  <c r="E17" i="36" a="1"/>
  <c r="E17" i="36" s="1"/>
  <c r="D17" i="36" a="1"/>
  <c r="D17" i="36" s="1"/>
  <c r="D15" i="36" a="1"/>
  <c r="D15" i="36" s="1"/>
  <c r="D14" i="36" a="1"/>
  <c r="D14" i="36" s="1"/>
  <c r="D7" i="36" a="1"/>
  <c r="D7" i="36" s="1"/>
  <c r="D6" i="36" a="1"/>
  <c r="D6" i="36" s="1"/>
  <c r="D5" i="36" a="1"/>
  <c r="D5" i="36" s="1"/>
  <c r="J16" i="48" a="1"/>
  <c r="J16" i="48" s="1"/>
  <c r="J15" i="48" a="1"/>
  <c r="J15" i="48" s="1"/>
  <c r="J14" i="48" a="1"/>
  <c r="J14" i="48" s="1"/>
  <c r="J13" i="48" a="1"/>
  <c r="J13" i="48" s="1"/>
  <c r="J12" i="48" a="1"/>
  <c r="J12" i="48" s="1"/>
  <c r="J11" i="48" a="1"/>
  <c r="J11" i="48" s="1"/>
  <c r="J10" i="48" a="1"/>
  <c r="J10" i="48" s="1"/>
  <c r="J9" i="48" a="1"/>
  <c r="J9" i="48" s="1"/>
  <c r="D59" i="38" l="1" a="1"/>
  <c r="D21" i="38" a="1"/>
  <c r="D157" i="38" a="1"/>
  <c r="D157" i="38" s="1"/>
  <c r="D116" i="38" a="1"/>
  <c r="D116" i="38" s="1"/>
  <c r="I17" i="36"/>
  <c r="E116" i="38" a="1"/>
  <c r="E116" i="38" s="1"/>
  <c r="E157" i="38" a="1"/>
  <c r="E157" i="38" s="1"/>
  <c r="E59" i="38" a="1"/>
  <c r="E21" i="38" a="1"/>
  <c r="I70" i="34"/>
  <c r="I68" i="34" s="1"/>
  <c r="I49" i="34"/>
  <c r="J16" i="34"/>
  <c r="I568" i="19"/>
  <c r="I564" i="19"/>
  <c r="I563" i="19"/>
  <c r="I562" i="19"/>
  <c r="I546" i="19"/>
  <c r="I544" i="19"/>
  <c r="E29" i="9"/>
  <c r="E16" i="9"/>
  <c r="E6" i="9"/>
  <c r="J135" i="38" l="1" a="1"/>
  <c r="J135" i="38" s="1"/>
  <c r="J136" i="38" a="1"/>
  <c r="J136" i="38" s="1"/>
  <c r="J133" i="38" a="1"/>
  <c r="J133" i="38" s="1"/>
  <c r="J144" i="38" a="1"/>
  <c r="J144" i="38" s="1"/>
  <c r="J123" i="38" a="1"/>
  <c r="J123" i="38" s="1"/>
  <c r="J185" i="38" a="1"/>
  <c r="J185" i="38" s="1"/>
  <c r="J124" i="38" a="1"/>
  <c r="J124" i="38" s="1"/>
  <c r="J157" i="38" a="1"/>
  <c r="J157" i="38" s="1"/>
  <c r="J160" i="38" a="1"/>
  <c r="J160" i="38" s="1"/>
  <c r="J117" i="38" a="1"/>
  <c r="J117" i="38" s="1"/>
  <c r="J125" i="38" a="1"/>
  <c r="J125" i="38" s="1"/>
  <c r="J176" i="38" a="1"/>
  <c r="J176" i="38" s="1"/>
  <c r="J168" i="38" a="1"/>
  <c r="J168" i="38" s="1"/>
  <c r="J119" i="38" a="1"/>
  <c r="J119" i="38" s="1"/>
  <c r="J174" i="38" a="1"/>
  <c r="J174" i="38" s="1"/>
  <c r="J137" i="38" a="1"/>
  <c r="J137" i="38" s="1"/>
  <c r="J127" i="38" a="1"/>
  <c r="J127" i="38" s="1"/>
  <c r="J116" i="38" a="1"/>
  <c r="J116" i="38" s="1"/>
  <c r="J118" i="38" a="1"/>
  <c r="J118" i="38" s="1"/>
  <c r="J163" i="38" a="1"/>
  <c r="J163" i="38" s="1"/>
  <c r="J173" i="38" a="1"/>
  <c r="J173" i="38" s="1"/>
  <c r="J177" i="38" a="1"/>
  <c r="J177" i="38" s="1"/>
  <c r="J120" i="38" a="1"/>
  <c r="J120" i="38" s="1"/>
  <c r="J121" i="38" a="1"/>
  <c r="J121" i="38" s="1"/>
  <c r="J134" i="38" a="1"/>
  <c r="J134" i="38" s="1"/>
  <c r="J179" i="38" a="1"/>
  <c r="J179" i="38" s="1"/>
  <c r="J165" i="38" a="1"/>
  <c r="J165" i="38" s="1"/>
  <c r="D21" i="38"/>
  <c r="G175" i="38" a="1"/>
  <c r="G175" i="38" s="1"/>
  <c r="G161" i="38" a="1"/>
  <c r="G161" i="38" s="1"/>
  <c r="G148" i="38" a="1"/>
  <c r="G148" i="38" s="1"/>
  <c r="G134" i="38" a="1"/>
  <c r="G134" i="38" s="1"/>
  <c r="G121" i="38" a="1"/>
  <c r="G121" i="38" s="1"/>
  <c r="G39" i="38" a="1"/>
  <c r="G39" i="38" s="1"/>
  <c r="G24" i="38" a="1"/>
  <c r="G24" i="38" s="1"/>
  <c r="G190" i="38" a="1"/>
  <c r="G190" i="38" s="1"/>
  <c r="G174" i="38" a="1"/>
  <c r="G174" i="38" s="1"/>
  <c r="G133" i="38" a="1"/>
  <c r="G133" i="38" s="1"/>
  <c r="G54" i="38" a="1"/>
  <c r="G54" i="38" s="1"/>
  <c r="G23" i="38" a="1"/>
  <c r="G23" i="38" s="1"/>
  <c r="G188" i="38" a="1"/>
  <c r="G188" i="38" s="1"/>
  <c r="G173" i="38" a="1"/>
  <c r="G173" i="38" s="1"/>
  <c r="G158" i="38" a="1"/>
  <c r="G158" i="38" s="1"/>
  <c r="G145" i="38" a="1"/>
  <c r="G145" i="38" s="1"/>
  <c r="G52" i="38" a="1"/>
  <c r="G52" i="38" s="1"/>
  <c r="G172" i="38" a="1"/>
  <c r="G172" i="38" s="1"/>
  <c r="G130" i="38" a="1"/>
  <c r="G130" i="38" s="1"/>
  <c r="G35" i="38" a="1"/>
  <c r="G35" i="38" s="1"/>
  <c r="G141" i="38" a="1"/>
  <c r="G141" i="38" s="1"/>
  <c r="G160" i="38" a="1"/>
  <c r="G160" i="38" s="1"/>
  <c r="G147" i="38" a="1"/>
  <c r="G147" i="38" s="1"/>
  <c r="G120" i="38" a="1"/>
  <c r="G120" i="38" s="1"/>
  <c r="G38" i="38" a="1"/>
  <c r="G38" i="38" s="1"/>
  <c r="G131" i="38" a="1"/>
  <c r="G131" i="38" s="1"/>
  <c r="G171" i="38" a="1"/>
  <c r="G171" i="38" s="1"/>
  <c r="G129" i="38" a="1"/>
  <c r="G129" i="38" s="1"/>
  <c r="G48" i="38" a="1"/>
  <c r="G48" i="38" s="1"/>
  <c r="G183" i="38" a="1"/>
  <c r="G183" i="38" s="1"/>
  <c r="G169" i="38" a="1"/>
  <c r="G169" i="38" s="1"/>
  <c r="G31" i="38" a="1"/>
  <c r="G31" i="38" s="1"/>
  <c r="G189" i="38" a="1"/>
  <c r="G189" i="38" s="1"/>
  <c r="G159" i="38" a="1"/>
  <c r="G159" i="38" s="1"/>
  <c r="G146" i="38" a="1"/>
  <c r="G146" i="38" s="1"/>
  <c r="G132" i="38" a="1"/>
  <c r="G132" i="38" s="1"/>
  <c r="G119" i="38" a="1"/>
  <c r="G119" i="38" s="1"/>
  <c r="G53" i="38" a="1"/>
  <c r="G53" i="38" s="1"/>
  <c r="G37" i="38" a="1"/>
  <c r="G37" i="38" s="1"/>
  <c r="G22" i="38" a="1"/>
  <c r="G22" i="38" s="1"/>
  <c r="G118" i="38" a="1"/>
  <c r="G118" i="38" s="1"/>
  <c r="G36" i="38" a="1"/>
  <c r="G36" i="38" s="1"/>
  <c r="G143" i="38" a="1"/>
  <c r="G143" i="38" s="1"/>
  <c r="G186" i="38" a="1"/>
  <c r="G186" i="38" s="1"/>
  <c r="G142" i="38" a="1"/>
  <c r="G142" i="38" s="1"/>
  <c r="G117" i="38" a="1"/>
  <c r="G117" i="38" s="1"/>
  <c r="G34" i="38" a="1"/>
  <c r="G34" i="38" s="1"/>
  <c r="G184" i="38" a="1"/>
  <c r="G184" i="38" s="1"/>
  <c r="G128" i="38" a="1"/>
  <c r="G128" i="38" s="1"/>
  <c r="G187" i="38" a="1"/>
  <c r="G187" i="38" s="1"/>
  <c r="G51" i="38" a="1"/>
  <c r="G51" i="38" s="1"/>
  <c r="G50" i="38" a="1"/>
  <c r="G50" i="38" s="1"/>
  <c r="G170" i="38" a="1"/>
  <c r="G170" i="38" s="1"/>
  <c r="G33" i="38" a="1"/>
  <c r="G33" i="38" s="1"/>
  <c r="G47" i="38" a="1"/>
  <c r="G47" i="38" s="1"/>
  <c r="G178" i="38" a="1"/>
  <c r="G178" i="38" s="1"/>
  <c r="G125" i="38" a="1"/>
  <c r="G125" i="38" s="1"/>
  <c r="G40" i="38" a="1"/>
  <c r="G40" i="38" s="1"/>
  <c r="G177" i="38" a="1"/>
  <c r="G177" i="38" s="1"/>
  <c r="G30" i="38" a="1"/>
  <c r="G30" i="38" s="1"/>
  <c r="G176" i="38" a="1"/>
  <c r="G176" i="38" s="1"/>
  <c r="G124" i="38" a="1"/>
  <c r="G124" i="38" s="1"/>
  <c r="G122" i="38" a="1"/>
  <c r="G122" i="38" s="1"/>
  <c r="G27" i="38" a="1"/>
  <c r="G27" i="38" s="1"/>
  <c r="G165" i="38" a="1"/>
  <c r="G165" i="38" s="1"/>
  <c r="G26" i="38" a="1"/>
  <c r="G26" i="38" s="1"/>
  <c r="G45" i="38" a="1"/>
  <c r="G45" i="38" s="1"/>
  <c r="G29" i="38" a="1"/>
  <c r="G29" i="38" s="1"/>
  <c r="G166" i="38" a="1"/>
  <c r="G166" i="38" s="1"/>
  <c r="G163" i="38" a="1"/>
  <c r="G163" i="38" s="1"/>
  <c r="G140" i="38" a="1"/>
  <c r="G140" i="38" s="1"/>
  <c r="G162" i="38" a="1"/>
  <c r="G162" i="38" s="1"/>
  <c r="G139" i="38" a="1"/>
  <c r="G139" i="38" s="1"/>
  <c r="G137" i="38" a="1"/>
  <c r="G137" i="38" s="1"/>
  <c r="G46" i="38" a="1"/>
  <c r="G46" i="38" s="1"/>
  <c r="G181" i="38" a="1"/>
  <c r="G181" i="38" s="1"/>
  <c r="G42" i="38" a="1"/>
  <c r="G42" i="38" s="1"/>
  <c r="G180" i="38" a="1"/>
  <c r="G180" i="38" s="1"/>
  <c r="G167" i="38" a="1"/>
  <c r="G167" i="38" s="1"/>
  <c r="G123" i="38" a="1"/>
  <c r="G123" i="38" s="1"/>
  <c r="G28" i="38" a="1"/>
  <c r="G28" i="38" s="1"/>
  <c r="G149" i="38" a="1"/>
  <c r="G149" i="38" s="1"/>
  <c r="G25" i="38" a="1"/>
  <c r="G25" i="38" s="1"/>
  <c r="G126" i="38" a="1"/>
  <c r="G126" i="38" s="1"/>
  <c r="G41" i="38" a="1"/>
  <c r="G41" i="38" s="1"/>
  <c r="G164" i="38" a="1"/>
  <c r="G164" i="38" s="1"/>
  <c r="G136" i="38" a="1"/>
  <c r="G136" i="38" s="1"/>
  <c r="G182" i="38" a="1"/>
  <c r="G182" i="38" s="1"/>
  <c r="G44" i="38" a="1"/>
  <c r="G44" i="38" s="1"/>
  <c r="G135" i="38" a="1"/>
  <c r="G135" i="38" s="1"/>
  <c r="E21" i="38"/>
  <c r="H41" i="38" a="1"/>
  <c r="H41" i="38" s="1"/>
  <c r="H29" i="38" a="1"/>
  <c r="H29" i="38" s="1"/>
  <c r="H26" i="38" a="1"/>
  <c r="H26" i="38" s="1"/>
  <c r="H51" i="38" a="1"/>
  <c r="H51" i="38" s="1"/>
  <c r="H36" i="38" a="1"/>
  <c r="H36" i="38" s="1"/>
  <c r="H54" i="38" a="1"/>
  <c r="H54" i="38" s="1"/>
  <c r="H40" i="38" a="1"/>
  <c r="H40" i="38" s="1"/>
  <c r="H28" i="38" a="1"/>
  <c r="H28" i="38" s="1"/>
  <c r="H53" i="38" a="1"/>
  <c r="H53" i="38" s="1"/>
  <c r="H24" i="38" a="1"/>
  <c r="H24" i="38" s="1"/>
  <c r="H50" i="38" a="1"/>
  <c r="H50" i="38" s="1"/>
  <c r="H37" i="38" a="1"/>
  <c r="H37" i="38" s="1"/>
  <c r="H22" i="38" a="1"/>
  <c r="H22" i="38" s="1"/>
  <c r="H39" i="38" a="1"/>
  <c r="H39" i="38" s="1"/>
  <c r="H27" i="38" a="1"/>
  <c r="H27" i="38" s="1"/>
  <c r="H38" i="38" a="1"/>
  <c r="H38" i="38" s="1"/>
  <c r="H23" i="38" a="1"/>
  <c r="H23" i="38" s="1"/>
  <c r="H52" i="38" a="1"/>
  <c r="H52" i="38" s="1"/>
  <c r="H25" i="38" a="1"/>
  <c r="H25" i="38" s="1"/>
  <c r="H30" i="38" a="1"/>
  <c r="H30" i="38" s="1"/>
  <c r="H48" i="38" a="1"/>
  <c r="H48" i="38" s="1"/>
  <c r="H47" i="38" a="1"/>
  <c r="H47" i="38" s="1"/>
  <c r="H44" i="38" a="1"/>
  <c r="H44" i="38" s="1"/>
  <c r="H33" i="38" a="1"/>
  <c r="H33" i="38" s="1"/>
  <c r="H31" i="38" a="1"/>
  <c r="H31" i="38" s="1"/>
  <c r="H45" i="38" a="1"/>
  <c r="H45" i="38" s="1"/>
  <c r="H35" i="38" a="1"/>
  <c r="H35" i="38" s="1"/>
  <c r="H34" i="38" a="1"/>
  <c r="H34" i="38" s="1"/>
  <c r="H46" i="38" a="1"/>
  <c r="H46" i="38" s="1"/>
  <c r="H42" i="38" a="1"/>
  <c r="H42" i="38" s="1"/>
  <c r="J178" i="38" a="1"/>
  <c r="J178" i="38" s="1"/>
  <c r="J164" i="38" a="1"/>
  <c r="J164" i="38" s="1"/>
  <c r="E59" i="38"/>
  <c r="H59" i="38" s="1" a="1"/>
  <c r="H59" i="38" s="1"/>
  <c r="H88" i="38" a="1"/>
  <c r="H88" i="38" s="1"/>
  <c r="H73" i="38" a="1"/>
  <c r="H73" i="38" s="1"/>
  <c r="H84" i="38" a="1"/>
  <c r="H84" i="38" s="1"/>
  <c r="H82" i="38" a="1"/>
  <c r="H82" i="38" s="1"/>
  <c r="H79" i="38" a="1"/>
  <c r="H79" i="38" s="1"/>
  <c r="H66" i="38" a="1"/>
  <c r="H66" i="38" s="1"/>
  <c r="H86" i="38" a="1"/>
  <c r="H86" i="38" s="1"/>
  <c r="H72" i="38" a="1"/>
  <c r="H72" i="38" s="1"/>
  <c r="H71" i="38" a="1"/>
  <c r="H71" i="38" s="1"/>
  <c r="H68" i="38" a="1"/>
  <c r="H68" i="38" s="1"/>
  <c r="H80" i="38" a="1"/>
  <c r="H80" i="38" s="1"/>
  <c r="H85" i="38" a="1"/>
  <c r="H85" i="38" s="1"/>
  <c r="H69" i="38" a="1"/>
  <c r="H69" i="38" s="1"/>
  <c r="H67" i="38" a="1"/>
  <c r="H67" i="38" s="1"/>
  <c r="H83" i="38" a="1"/>
  <c r="H83" i="38" s="1"/>
  <c r="H60" i="38" a="1"/>
  <c r="H60" i="38" s="1"/>
  <c r="H90" i="38" a="1"/>
  <c r="H90" i="38" s="1"/>
  <c r="H77" i="38" a="1"/>
  <c r="H77" i="38" s="1"/>
  <c r="H65" i="38" a="1"/>
  <c r="H65" i="38" s="1"/>
  <c r="H64" i="38" a="1"/>
  <c r="H64" i="38" s="1"/>
  <c r="H89" i="38" a="1"/>
  <c r="H89" i="38" s="1"/>
  <c r="H78" i="38" a="1"/>
  <c r="H78" i="38" s="1"/>
  <c r="H75" i="38" a="1"/>
  <c r="H75" i="38" s="1"/>
  <c r="H74" i="38" a="1"/>
  <c r="H74" i="38" s="1"/>
  <c r="H92" i="38" a="1"/>
  <c r="H92" i="38" s="1"/>
  <c r="H62" i="38" a="1"/>
  <c r="H62" i="38" s="1"/>
  <c r="H91" i="38" a="1"/>
  <c r="H91" i="38" s="1"/>
  <c r="H61" i="38" a="1"/>
  <c r="H61" i="38" s="1"/>
  <c r="H76" i="38" a="1"/>
  <c r="H76" i="38" s="1"/>
  <c r="H63" i="38" a="1"/>
  <c r="H63" i="38" s="1"/>
  <c r="J166" i="38" a="1"/>
  <c r="J166" i="38" s="1"/>
  <c r="J158" i="38" a="1"/>
  <c r="J158" i="38" s="1"/>
  <c r="J138" i="38" a="1"/>
  <c r="J138" i="38" s="1"/>
  <c r="J122" i="38" a="1"/>
  <c r="J122" i="38" s="1"/>
  <c r="D59" i="38"/>
  <c r="G86" i="38" a="1"/>
  <c r="G86" i="38" s="1"/>
  <c r="G71" i="38" a="1"/>
  <c r="G71" i="38" s="1"/>
  <c r="G85" i="38" a="1"/>
  <c r="G85" i="38" s="1"/>
  <c r="G83" i="38" a="1"/>
  <c r="G83" i="38" s="1"/>
  <c r="G82" i="38" a="1"/>
  <c r="G82" i="38" s="1"/>
  <c r="G65" i="38" a="1"/>
  <c r="G65" i="38" s="1"/>
  <c r="G69" i="38" a="1"/>
  <c r="G69" i="38" s="1"/>
  <c r="G67" i="38" a="1"/>
  <c r="G67" i="38" s="1"/>
  <c r="G80" i="38" a="1"/>
  <c r="G80" i="38" s="1"/>
  <c r="G78" i="38" a="1"/>
  <c r="G78" i="38" s="1"/>
  <c r="G84" i="38" a="1"/>
  <c r="G84" i="38" s="1"/>
  <c r="G68" i="38" a="1"/>
  <c r="G68" i="38" s="1"/>
  <c r="G66" i="38" a="1"/>
  <c r="G66" i="38" s="1"/>
  <c r="I66" i="38" s="1" a="1"/>
  <c r="I66" i="38" s="1"/>
  <c r="H164" i="38" s="1"/>
  <c r="G64" i="38" a="1"/>
  <c r="G64" i="38" s="1"/>
  <c r="G63" i="38" a="1"/>
  <c r="G63" i="38" s="1"/>
  <c r="G79" i="38" a="1"/>
  <c r="G79" i="38" s="1"/>
  <c r="G74" i="38" a="1"/>
  <c r="G74" i="38" s="1"/>
  <c r="G76" i="38" a="1"/>
  <c r="G76" i="38" s="1"/>
  <c r="G73" i="38" a="1"/>
  <c r="G73" i="38" s="1"/>
  <c r="G72" i="38" a="1"/>
  <c r="G72" i="38" s="1"/>
  <c r="G60" i="38" a="1"/>
  <c r="G60" i="38" s="1"/>
  <c r="G90" i="38" a="1"/>
  <c r="G90" i="38" s="1"/>
  <c r="G89" i="38" a="1"/>
  <c r="G89" i="38" s="1"/>
  <c r="G88" i="38" a="1"/>
  <c r="G88" i="38" s="1"/>
  <c r="G61" i="38" a="1"/>
  <c r="G61" i="38" s="1"/>
  <c r="G75" i="38" a="1"/>
  <c r="G75" i="38" s="1"/>
  <c r="G62" i="38" a="1"/>
  <c r="G62" i="38" s="1"/>
  <c r="G92" i="38" a="1"/>
  <c r="G92" i="38" s="1"/>
  <c r="G91" i="38" a="1"/>
  <c r="G91" i="38" s="1"/>
  <c r="G77" i="38" a="1"/>
  <c r="G77" i="38" s="1"/>
  <c r="J159" i="38" a="1"/>
  <c r="J159" i="38" s="1"/>
  <c r="J132" i="38" a="1"/>
  <c r="J132" i="38" s="1"/>
  <c r="J161" i="38" a="1"/>
  <c r="J161" i="38" s="1"/>
  <c r="J167" i="38" a="1"/>
  <c r="J167" i="38" s="1"/>
  <c r="J162" i="38" a="1"/>
  <c r="J162" i="38" s="1"/>
  <c r="J126" i="38" a="1"/>
  <c r="J126" i="38" s="1"/>
  <c r="J175" i="38" a="1"/>
  <c r="J175" i="38" s="1"/>
  <c r="O28" i="22"/>
  <c r="O27" i="22"/>
  <c r="O26" i="22"/>
  <c r="O25" i="22"/>
  <c r="O24" i="22"/>
  <c r="O23" i="22"/>
  <c r="O22" i="22"/>
  <c r="O21" i="22"/>
  <c r="O20" i="22"/>
  <c r="O19" i="22"/>
  <c r="I91" i="38" l="1" a="1"/>
  <c r="I91" i="38" s="1"/>
  <c r="H189" i="38" s="1"/>
  <c r="I75" i="38" a="1"/>
  <c r="I75" i="38" s="1"/>
  <c r="H173" i="38" s="1"/>
  <c r="I68" i="38" a="1"/>
  <c r="I68" i="38" s="1"/>
  <c r="H166" i="38" s="1"/>
  <c r="I166" i="38" s="1"/>
  <c r="K166" i="38" s="1" a="1"/>
  <c r="K166" i="38" s="1"/>
  <c r="I64" i="38" a="1"/>
  <c r="I64" i="38" s="1"/>
  <c r="H162" i="38" s="1"/>
  <c r="I162" i="38" s="1"/>
  <c r="K162" i="38" s="1" a="1"/>
  <c r="K162" i="38" s="1"/>
  <c r="I78" i="38" a="1"/>
  <c r="I78" i="38" s="1"/>
  <c r="H176" i="38" s="1"/>
  <c r="I176" i="38" s="1"/>
  <c r="K176" i="38" s="1" a="1"/>
  <c r="K176" i="38" s="1"/>
  <c r="I79" i="38" a="1"/>
  <c r="I79" i="38" s="1"/>
  <c r="H177" i="38" s="1"/>
  <c r="I177" i="38" s="1"/>
  <c r="K177" i="38" s="1" a="1"/>
  <c r="K177" i="38" s="1"/>
  <c r="I89" i="38" a="1"/>
  <c r="I89" i="38" s="1"/>
  <c r="H187" i="38" s="1"/>
  <c r="I76" i="38" a="1"/>
  <c r="I76" i="38" s="1"/>
  <c r="H174" i="38" s="1"/>
  <c r="I174" i="38" s="1"/>
  <c r="K174" i="38" s="1" a="1"/>
  <c r="K174" i="38" s="1"/>
  <c r="I83" i="38" a="1"/>
  <c r="I83" i="38" s="1"/>
  <c r="H181" i="38" s="1"/>
  <c r="I41" i="38" a="1"/>
  <c r="I41" i="38" s="1"/>
  <c r="H136" i="38" s="1"/>
  <c r="I136" i="38" s="1"/>
  <c r="K136" i="38" s="1" a="1"/>
  <c r="K136" i="38" s="1"/>
  <c r="I71" i="38" a="1"/>
  <c r="I71" i="38" s="1"/>
  <c r="H169" i="38" s="1"/>
  <c r="I80" i="38" a="1"/>
  <c r="I80" i="38" s="1"/>
  <c r="H178" i="38" s="1"/>
  <c r="I178" i="38" s="1"/>
  <c r="K178" i="38" s="1" a="1"/>
  <c r="K178" i="38" s="1"/>
  <c r="I90" i="38" a="1"/>
  <c r="I90" i="38" s="1"/>
  <c r="H188" i="38" s="1"/>
  <c r="I60" i="38" a="1"/>
  <c r="I60" i="38" s="1"/>
  <c r="H158" i="38" s="1"/>
  <c r="I158" i="38" s="1"/>
  <c r="K158" i="38" s="1" a="1"/>
  <c r="K158" i="38" s="1"/>
  <c r="I30" i="38" a="1"/>
  <c r="I30" i="38" s="1"/>
  <c r="H125" i="38" s="1"/>
  <c r="I125" i="38" s="1"/>
  <c r="K125" i="38" s="1" a="1"/>
  <c r="K125" i="38" s="1"/>
  <c r="I31" i="38" a="1"/>
  <c r="I31" i="38" s="1"/>
  <c r="H126" i="38" s="1"/>
  <c r="I126" i="38" s="1"/>
  <c r="K126" i="38" s="1" a="1"/>
  <c r="K126" i="38" s="1"/>
  <c r="I82" i="38" a="1"/>
  <c r="I82" i="38" s="1"/>
  <c r="H180" i="38" s="1"/>
  <c r="I77" i="38" a="1"/>
  <c r="I77" i="38" s="1"/>
  <c r="H175" i="38" s="1"/>
  <c r="I175" i="38" s="1"/>
  <c r="K175" i="38" s="1" a="1"/>
  <c r="K175" i="38" s="1"/>
  <c r="I25" i="38" a="1"/>
  <c r="I25" i="38" s="1"/>
  <c r="H120" i="38" s="1"/>
  <c r="I120" i="38" s="1"/>
  <c r="K120" i="38" s="1" a="1"/>
  <c r="K120" i="38" s="1"/>
  <c r="I47" i="38" a="1"/>
  <c r="I47" i="38" s="1"/>
  <c r="H142" i="38" s="1"/>
  <c r="I63" i="38" a="1"/>
  <c r="I63" i="38" s="1"/>
  <c r="H161" i="38" s="1"/>
  <c r="I161" i="38" s="1"/>
  <c r="K161" i="38" s="1" a="1"/>
  <c r="K161" i="38" s="1"/>
  <c r="I86" i="38" a="1"/>
  <c r="I86" i="38" s="1"/>
  <c r="H184" i="38" s="1"/>
  <c r="I29" i="38" a="1"/>
  <c r="I29" i="38" s="1"/>
  <c r="H124" i="38" s="1"/>
  <c r="I124" i="38" s="1"/>
  <c r="K124" i="38" s="1" a="1"/>
  <c r="K124" i="38" s="1"/>
  <c r="I33" i="38" a="1"/>
  <c r="I33" i="38" s="1"/>
  <c r="H128" i="38" s="1"/>
  <c r="I22" i="38" a="1"/>
  <c r="I22" i="38" s="1"/>
  <c r="H117" i="38" s="1"/>
  <c r="I117" i="38" s="1"/>
  <c r="K117" i="38" s="1" a="1"/>
  <c r="K117" i="38" s="1"/>
  <c r="I23" i="38" a="1"/>
  <c r="I23" i="38" s="1"/>
  <c r="H118" i="38" s="1"/>
  <c r="I118" i="38" s="1"/>
  <c r="K118" i="38" s="1" a="1"/>
  <c r="K118" i="38" s="1"/>
  <c r="I92" i="38" a="1"/>
  <c r="I92" i="38" s="1"/>
  <c r="H190" i="38" s="1"/>
  <c r="I28" i="38" a="1"/>
  <c r="I28" i="38" s="1"/>
  <c r="H123" i="38" s="1"/>
  <c r="I123" i="38" s="1"/>
  <c r="K123" i="38" s="1" a="1"/>
  <c r="K123" i="38" s="1"/>
  <c r="I45" i="38" a="1"/>
  <c r="I45" i="38" s="1"/>
  <c r="H140" i="38" s="1"/>
  <c r="I37" i="38" a="1"/>
  <c r="I37" i="38" s="1"/>
  <c r="H132" i="38" s="1"/>
  <c r="I132" i="38" s="1"/>
  <c r="K132" i="38" s="1" a="1"/>
  <c r="K132" i="38" s="1"/>
  <c r="I38" i="38" a="1"/>
  <c r="I38" i="38" s="1"/>
  <c r="H133" i="38" s="1"/>
  <c r="I133" i="38" s="1"/>
  <c r="K133" i="38" s="1" a="1"/>
  <c r="K133" i="38" s="1"/>
  <c r="I54" i="38" a="1"/>
  <c r="I54" i="38" s="1"/>
  <c r="H149" i="38" s="1"/>
  <c r="I164" i="38"/>
  <c r="K164" i="38" s="1" a="1"/>
  <c r="K164" i="38" s="1"/>
  <c r="I173" i="38"/>
  <c r="K173" i="38" s="1" a="1"/>
  <c r="K173" i="38" s="1"/>
  <c r="I84" i="38" a="1"/>
  <c r="I84" i="38" s="1"/>
  <c r="H182" i="38" s="1"/>
  <c r="I88" i="38" a="1"/>
  <c r="I88" i="38" s="1"/>
  <c r="H186" i="38" s="1"/>
  <c r="I69" i="38" a="1"/>
  <c r="I69" i="38" s="1"/>
  <c r="H167" i="38" s="1"/>
  <c r="I167" i="38" s="1"/>
  <c r="K167" i="38" s="1" a="1"/>
  <c r="K167" i="38" s="1"/>
  <c r="I72" i="38" a="1"/>
  <c r="I72" i="38" s="1"/>
  <c r="H170" i="38" s="1"/>
  <c r="I65" i="38" a="1"/>
  <c r="I65" i="38" s="1"/>
  <c r="H163" i="38" s="1"/>
  <c r="I163" i="38" s="1"/>
  <c r="K163" i="38" s="1" a="1"/>
  <c r="K163" i="38" s="1"/>
  <c r="I52" i="38" a="1"/>
  <c r="I52" i="38" s="1"/>
  <c r="H147" i="38" s="1"/>
  <c r="G59" i="38" a="1"/>
  <c r="G59" i="38" s="1"/>
  <c r="I59" i="38" s="1" a="1"/>
  <c r="I59" i="38" s="1"/>
  <c r="H157" i="38" s="1"/>
  <c r="I73" i="38" a="1"/>
  <c r="I73" i="38" s="1"/>
  <c r="H171" i="38" s="1"/>
  <c r="I40" i="38" a="1"/>
  <c r="I40" i="38" s="1"/>
  <c r="H135" i="38" s="1"/>
  <c r="I135" i="38" s="1"/>
  <c r="K135" i="38" s="1" a="1"/>
  <c r="K135" i="38" s="1"/>
  <c r="I48" i="38" a="1"/>
  <c r="I48" i="38" s="1"/>
  <c r="H143" i="38" s="1"/>
  <c r="I74" i="38" a="1"/>
  <c r="I74" i="38" s="1"/>
  <c r="H172" i="38" s="1"/>
  <c r="I85" i="38" a="1"/>
  <c r="I85" i="38" s="1"/>
  <c r="H183" i="38" s="1"/>
  <c r="I36" i="38" a="1"/>
  <c r="I36" i="38" s="1"/>
  <c r="H131" i="38" s="1"/>
  <c r="G116" i="38" a="1"/>
  <c r="G116" i="38" s="1"/>
  <c r="G157" i="38" a="1"/>
  <c r="G157" i="38" s="1"/>
  <c r="I26" i="38" a="1"/>
  <c r="I26" i="38" s="1"/>
  <c r="H121" i="38" s="1"/>
  <c r="I121" i="38" s="1"/>
  <c r="K121" i="38" s="1" a="1"/>
  <c r="K121" i="38" s="1"/>
  <c r="I50" i="38" a="1"/>
  <c r="I50" i="38" s="1"/>
  <c r="H145" i="38" s="1"/>
  <c r="I53" i="38" a="1"/>
  <c r="I53" i="38" s="1"/>
  <c r="H148" i="38" s="1"/>
  <c r="I51" i="38" a="1"/>
  <c r="I51" i="38" s="1"/>
  <c r="H146" i="38" s="1"/>
  <c r="I62" i="38" a="1"/>
  <c r="I62" i="38" s="1"/>
  <c r="H160" i="38" s="1"/>
  <c r="I160" i="38" s="1"/>
  <c r="K160" i="38" s="1" a="1"/>
  <c r="K160" i="38" s="1"/>
  <c r="I61" i="38" a="1"/>
  <c r="I61" i="38" s="1"/>
  <c r="H159" i="38" s="1"/>
  <c r="I159" i="38" s="1"/>
  <c r="K159" i="38" s="1" a="1"/>
  <c r="K159" i="38" s="1"/>
  <c r="G21" i="38" a="1"/>
  <c r="G21" i="38" s="1"/>
  <c r="H21" i="38" a="1"/>
  <c r="H21" i="38" s="1"/>
  <c r="I27" i="38" a="1"/>
  <c r="I27" i="38" s="1"/>
  <c r="H122" i="38" s="1"/>
  <c r="I122" i="38" s="1"/>
  <c r="K122" i="38" s="1" a="1"/>
  <c r="K122" i="38" s="1"/>
  <c r="I42" i="38" a="1"/>
  <c r="I42" i="38" s="1"/>
  <c r="H137" i="38" s="1"/>
  <c r="I137" i="38" s="1"/>
  <c r="K137" i="38" s="1" a="1"/>
  <c r="K137" i="38" s="1"/>
  <c r="I24" i="38" a="1"/>
  <c r="I24" i="38" s="1"/>
  <c r="H119" i="38" s="1"/>
  <c r="I119" i="38" s="1"/>
  <c r="K119" i="38" s="1" a="1"/>
  <c r="K119" i="38" s="1"/>
  <c r="I35" i="38" a="1"/>
  <c r="I35" i="38" s="1"/>
  <c r="H130" i="38" s="1"/>
  <c r="I39" i="38" a="1"/>
  <c r="I39" i="38" s="1"/>
  <c r="H134" i="38" s="1"/>
  <c r="I134" i="38" s="1"/>
  <c r="K134" i="38" s="1" a="1"/>
  <c r="K134" i="38" s="1"/>
  <c r="I67" i="38" a="1"/>
  <c r="I67" i="38" s="1"/>
  <c r="H165" i="38" s="1"/>
  <c r="I165" i="38" s="1"/>
  <c r="K165" i="38" s="1" a="1"/>
  <c r="K165" i="38" s="1"/>
  <c r="I44" i="38" a="1"/>
  <c r="I44" i="38" s="1"/>
  <c r="H139" i="38" s="1"/>
  <c r="I46" i="38" a="1"/>
  <c r="I46" i="38" s="1"/>
  <c r="H141" i="38" s="1"/>
  <c r="I34" i="38" a="1"/>
  <c r="I34" i="38" s="1"/>
  <c r="H129" i="38" s="1"/>
  <c r="J628" i="19" a="1"/>
  <c r="J628" i="19" s="1"/>
  <c r="F642" i="19" a="1"/>
  <c r="F642" i="19" s="1"/>
  <c r="E642" i="19" a="1"/>
  <c r="E642" i="19" s="1"/>
  <c r="D642" i="19" a="1"/>
  <c r="D642" i="19" s="1"/>
  <c r="F624" i="19" a="1"/>
  <c r="F624" i="19" s="1"/>
  <c r="E624" i="19" a="1"/>
  <c r="E624" i="19" s="1"/>
  <c r="D624" i="19" a="1"/>
  <c r="D624" i="19" s="1"/>
  <c r="G616" i="19" a="1"/>
  <c r="G616" i="19" s="1"/>
  <c r="D616" i="19" a="1"/>
  <c r="D616" i="19" s="1"/>
  <c r="E614" i="19" a="1"/>
  <c r="E614" i="19" s="1"/>
  <c r="E613" i="19" a="1"/>
  <c r="E613" i="19" s="1"/>
  <c r="D608" i="19" a="1"/>
  <c r="D608" i="19" s="1"/>
  <c r="D607" i="19" a="1"/>
  <c r="D607" i="19" s="1"/>
  <c r="E609" i="19" a="1"/>
  <c r="J642" i="19" l="1" a="1"/>
  <c r="J642" i="19" s="1"/>
  <c r="J624" i="19" a="1"/>
  <c r="J624" i="19" s="1"/>
  <c r="J650" i="19" a="1"/>
  <c r="J650" i="19" s="1"/>
  <c r="I138" i="38"/>
  <c r="K138" i="38" s="1" a="1"/>
  <c r="K138" i="38" s="1"/>
  <c r="I127" i="38"/>
  <c r="K127" i="38" s="1" a="1"/>
  <c r="K127" i="38" s="1"/>
  <c r="I185" i="38"/>
  <c r="K185" i="38" s="1" a="1"/>
  <c r="K185" i="38" s="1"/>
  <c r="I168" i="38"/>
  <c r="K168" i="38" s="1" a="1"/>
  <c r="K168" i="38" s="1"/>
  <c r="I179" i="38"/>
  <c r="K179" i="38" s="1" a="1"/>
  <c r="K179" i="38" s="1"/>
  <c r="I21" i="38" a="1"/>
  <c r="I21" i="38" s="1"/>
  <c r="H116" i="38" s="1"/>
  <c r="I116" i="38" s="1"/>
  <c r="K116" i="38" s="1" a="1"/>
  <c r="K116" i="38" s="1"/>
  <c r="I157" i="38"/>
  <c r="K157" i="38" s="1" a="1"/>
  <c r="K157" i="38" s="1"/>
  <c r="I144" i="38"/>
  <c r="K144" i="38" s="1" a="1"/>
  <c r="K144" i="38" s="1"/>
  <c r="J651" i="19" a="1"/>
  <c r="J651" i="19" s="1"/>
  <c r="J630" i="19" a="1"/>
  <c r="J630" i="19" s="1"/>
  <c r="J632" i="19" a="1"/>
  <c r="J632" i="19" s="1"/>
  <c r="J633" i="19" a="1"/>
  <c r="J633" i="19" s="1"/>
  <c r="J643" i="19" a="1"/>
  <c r="J643" i="19" s="1"/>
  <c r="J644" i="19" a="1"/>
  <c r="J644" i="19" s="1"/>
  <c r="J645" i="19" a="1"/>
  <c r="J645" i="19" s="1"/>
  <c r="J646" i="19" a="1"/>
  <c r="J646" i="19" s="1"/>
  <c r="J629" i="19" a="1"/>
  <c r="J629" i="19" s="1"/>
  <c r="J631" i="19" a="1"/>
  <c r="J631" i="19" s="1"/>
  <c r="J625" i="19" a="1"/>
  <c r="J625" i="19" s="1"/>
  <c r="J647" i="19" a="1"/>
  <c r="J647" i="19" s="1"/>
  <c r="J626" i="19" a="1"/>
  <c r="J626" i="19" s="1"/>
  <c r="J648" i="19" a="1"/>
  <c r="J648" i="19" s="1"/>
  <c r="J627" i="19" a="1"/>
  <c r="J627" i="19" s="1"/>
  <c r="J649" i="19" a="1"/>
  <c r="J649" i="19" s="1"/>
  <c r="E609" i="19"/>
  <c r="E601" i="19" a="1"/>
  <c r="E601" i="19" s="1"/>
  <c r="F603" i="19" s="1"/>
  <c r="E600" i="19" a="1"/>
  <c r="E600" i="19" s="1"/>
  <c r="D598" i="19" a="1"/>
  <c r="D598" i="19" s="1"/>
  <c r="D597" i="19" a="1"/>
  <c r="D597" i="19" s="1"/>
  <c r="E192" i="38" l="1"/>
  <c r="E33" i="41" s="1"/>
  <c r="E151" i="38"/>
  <c r="E654" i="19"/>
  <c r="F36" i="41" s="1"/>
  <c r="E636" i="19"/>
  <c r="E603" i="19" l="1"/>
  <c r="F35" i="41"/>
  <c r="E657" i="19"/>
  <c r="F33" i="41"/>
  <c r="H584" i="19" a="1"/>
  <c r="H584" i="19" s="1"/>
  <c r="D584" i="19" a="1"/>
  <c r="D584" i="19" s="1"/>
  <c r="E580" i="19" a="1"/>
  <c r="E580" i="19" s="1"/>
  <c r="E579" i="19" a="1"/>
  <c r="E579" i="19" s="1"/>
  <c r="D575" i="19" a="1"/>
  <c r="D575" i="19" s="1"/>
  <c r="D574" i="19" a="1"/>
  <c r="D574" i="19" s="1"/>
  <c r="H85" i="34" a="1"/>
  <c r="H85" i="34" s="1"/>
  <c r="D85" i="34" a="1"/>
  <c r="E83" i="34" a="1"/>
  <c r="E83" i="34" s="1"/>
  <c r="E82" i="34" a="1"/>
  <c r="E82" i="34" s="1"/>
  <c r="D78" i="34" a="1"/>
  <c r="D78" i="34" s="1"/>
  <c r="D77" i="34" a="1"/>
  <c r="D77" i="34" s="1"/>
  <c r="G67" i="34" a="1"/>
  <c r="G67" i="34" s="1"/>
  <c r="D67" i="34" a="1"/>
  <c r="D67" i="34" s="1"/>
  <c r="E65" i="34" a="1"/>
  <c r="E65" i="34" s="1"/>
  <c r="E64" i="34" a="1"/>
  <c r="E64" i="34" s="1"/>
  <c r="D60" i="34" a="1"/>
  <c r="D60" i="34" s="1"/>
  <c r="D59" i="34" a="1"/>
  <c r="D59" i="34" s="1"/>
  <c r="J17" i="34"/>
  <c r="J14" i="34" s="1"/>
  <c r="G48" i="34" a="1"/>
  <c r="G48" i="34" s="1"/>
  <c r="D48" i="34" a="1"/>
  <c r="D48" i="34" s="1"/>
  <c r="E46" i="34" a="1"/>
  <c r="E46" i="34" s="1"/>
  <c r="E45" i="34" a="1"/>
  <c r="E45" i="34" s="1"/>
  <c r="D41" i="34" a="1"/>
  <c r="D41" i="34" s="1"/>
  <c r="D40" i="34" a="1"/>
  <c r="D40" i="34" s="1"/>
  <c r="G32" i="34" a="1"/>
  <c r="G32" i="34" s="1"/>
  <c r="D32" i="34" a="1"/>
  <c r="D32" i="34" s="1"/>
  <c r="E30" i="34" a="1"/>
  <c r="E30" i="34" s="1"/>
  <c r="F35" i="34" s="1"/>
  <c r="E29" i="34" a="1"/>
  <c r="E29" i="34" s="1"/>
  <c r="D25" i="34" a="1"/>
  <c r="D25" i="34" s="1"/>
  <c r="D24" i="34" a="1"/>
  <c r="D24" i="34" s="1"/>
  <c r="D590" i="19" a="1"/>
  <c r="D590" i="19" s="1"/>
  <c r="F593" i="19" a="1"/>
  <c r="F593" i="19" s="1"/>
  <c r="H13" i="34" a="1"/>
  <c r="H13" i="34" s="1"/>
  <c r="D13" i="34" a="1"/>
  <c r="D13" i="34" s="1"/>
  <c r="E11" i="34" a="1"/>
  <c r="E11" i="34" s="1"/>
  <c r="E10" i="34" a="1"/>
  <c r="E10" i="34" s="1"/>
  <c r="D6" i="34" a="1"/>
  <c r="D6" i="34" s="1"/>
  <c r="D5" i="34" a="1"/>
  <c r="D5" i="34" s="1"/>
  <c r="E26" i="34" a="1"/>
  <c r="E576" i="19" a="1"/>
  <c r="E61" i="34" a="1"/>
  <c r="O19" i="34" l="1" a="1"/>
  <c r="O19" i="34" s="1"/>
  <c r="F19" i="34"/>
  <c r="P19" i="34"/>
  <c r="F55" i="34"/>
  <c r="P55" i="34"/>
  <c r="F588" i="19"/>
  <c r="N588" i="19"/>
  <c r="F74" i="34"/>
  <c r="P74" i="34"/>
  <c r="F90" i="34"/>
  <c r="P90" i="34"/>
  <c r="E576" i="19"/>
  <c r="D85" i="34"/>
  <c r="E61" i="34"/>
  <c r="E26" i="34"/>
  <c r="G562" i="19" l="1" a="1"/>
  <c r="G562" i="19" s="1"/>
  <c r="D562" i="19" a="1"/>
  <c r="D562" i="19" s="1"/>
  <c r="E560" i="19" a="1"/>
  <c r="E560" i="19" s="1"/>
  <c r="E559" i="19" a="1"/>
  <c r="E559" i="19" s="1"/>
  <c r="D554" i="19" a="1"/>
  <c r="D554" i="19" s="1"/>
  <c r="D553" i="19" a="1"/>
  <c r="D553" i="19" s="1"/>
  <c r="D552" i="19" a="1"/>
  <c r="D552" i="19" s="1"/>
  <c r="G544" i="19" a="1"/>
  <c r="G544" i="19" s="1"/>
  <c r="D544" i="19" a="1"/>
  <c r="D544" i="19" s="1"/>
  <c r="E542" i="19" a="1"/>
  <c r="E542" i="19" s="1"/>
  <c r="E541" i="19" a="1"/>
  <c r="E541" i="19" s="1"/>
  <c r="D537" i="19" a="1"/>
  <c r="D537" i="19" s="1"/>
  <c r="D536" i="19" a="1"/>
  <c r="D536" i="19" s="1"/>
  <c r="G530" i="19" l="1" a="1"/>
  <c r="G530" i="19" s="1"/>
  <c r="D530" i="19" a="1"/>
  <c r="D530" i="19" s="1"/>
  <c r="E528" i="19" a="1"/>
  <c r="E528" i="19" s="1"/>
  <c r="E527" i="19" a="1"/>
  <c r="E527" i="19" s="1"/>
  <c r="D522" i="19" a="1"/>
  <c r="D522" i="19" s="1"/>
  <c r="D521" i="19" a="1"/>
  <c r="D521" i="19" s="1"/>
  <c r="G21" i="30" a="1"/>
  <c r="G21" i="30" s="1"/>
  <c r="H21" i="30"/>
  <c r="I21" i="30" s="1"/>
  <c r="G20" i="30" a="1"/>
  <c r="G20" i="30" s="1"/>
  <c r="H20" i="30"/>
  <c r="I20" i="30" s="1"/>
  <c r="G19" i="30" a="1"/>
  <c r="G19" i="30" s="1"/>
  <c r="H19" i="30"/>
  <c r="I19" i="30"/>
  <c r="G18" i="30" a="1"/>
  <c r="G18" i="30" s="1"/>
  <c r="H18" i="30"/>
  <c r="I18" i="30" s="1"/>
  <c r="F37" i="32"/>
  <c r="M37" i="32" s="1" a="1"/>
  <c r="M37" i="32" s="1"/>
  <c r="F35" i="32"/>
  <c r="M35" i="32" s="1" a="1"/>
  <c r="M35" i="32" s="1"/>
  <c r="D32" i="32"/>
  <c r="D37" i="32" s="1"/>
  <c r="D25" i="32"/>
  <c r="P16" i="32" a="1"/>
  <c r="P16" i="32" s="1"/>
  <c r="I16" i="32" a="1"/>
  <c r="I16" i="32" s="1"/>
  <c r="P15" i="32" a="1"/>
  <c r="P15" i="32" s="1"/>
  <c r="I15" i="32" a="1"/>
  <c r="I15" i="32" s="1"/>
  <c r="P14" i="32" a="1"/>
  <c r="P14" i="32" s="1"/>
  <c r="N14" i="32" a="1"/>
  <c r="N14" i="32" s="1"/>
  <c r="K14" i="32" a="1"/>
  <c r="K14" i="32" s="1"/>
  <c r="I14" i="32" a="1"/>
  <c r="I14" i="32" s="1"/>
  <c r="G14" i="32" a="1"/>
  <c r="G14" i="32" s="1"/>
  <c r="D14" i="32" a="1"/>
  <c r="D14" i="32" s="1"/>
  <c r="L12" i="32" a="1"/>
  <c r="L12" i="32" s="1"/>
  <c r="E12" i="32" a="1"/>
  <c r="E12" i="32" s="1"/>
  <c r="F58" i="32" s="1"/>
  <c r="L11" i="32" a="1"/>
  <c r="L11" i="32" s="1"/>
  <c r="E11" i="32" a="1"/>
  <c r="E11" i="32" s="1"/>
  <c r="K7" i="32" a="1"/>
  <c r="K7" i="32" s="1"/>
  <c r="K6" i="32" a="1"/>
  <c r="K6" i="32" s="1"/>
  <c r="D6" i="32" a="1"/>
  <c r="D6" i="32" s="1"/>
  <c r="K5" i="32" a="1"/>
  <c r="K5" i="32" s="1"/>
  <c r="D5" i="32" a="1"/>
  <c r="D5" i="32" s="1"/>
  <c r="M31" i="31" a="1"/>
  <c r="M31" i="31" s="1"/>
  <c r="F39" i="31"/>
  <c r="M39" i="31" s="1" a="1"/>
  <c r="M39" i="31" s="1"/>
  <c r="D37" i="31"/>
  <c r="D39" i="31" s="1"/>
  <c r="L39" i="31" s="1" a="1"/>
  <c r="L39" i="31" s="1"/>
  <c r="D34" i="31"/>
  <c r="D36" i="31" s="1"/>
  <c r="D33" i="31"/>
  <c r="F31" i="31"/>
  <c r="F30" i="31"/>
  <c r="F29" i="31"/>
  <c r="D25" i="31"/>
  <c r="D29" i="31" s="1"/>
  <c r="D38" i="31"/>
  <c r="D35" i="31"/>
  <c r="D48" i="31"/>
  <c r="D28" i="31"/>
  <c r="D26" i="31"/>
  <c r="P16" i="31" a="1"/>
  <c r="P16" i="31" s="1"/>
  <c r="I16" i="31" a="1"/>
  <c r="I16" i="31" s="1"/>
  <c r="P15" i="31" a="1"/>
  <c r="P15" i="31" s="1"/>
  <c r="I15" i="31" a="1"/>
  <c r="I15" i="31" s="1"/>
  <c r="P14" i="31" a="1"/>
  <c r="P14" i="31" s="1"/>
  <c r="N14" i="31" a="1"/>
  <c r="N14" i="31" s="1"/>
  <c r="K14" i="31" a="1"/>
  <c r="K14" i="31" s="1"/>
  <c r="I14" i="31" a="1"/>
  <c r="I14" i="31" s="1"/>
  <c r="G14" i="31" a="1"/>
  <c r="G14" i="31" s="1"/>
  <c r="D14" i="31" a="1"/>
  <c r="D14" i="31" s="1"/>
  <c r="L12" i="31" a="1"/>
  <c r="L12" i="31" s="1"/>
  <c r="E12" i="31" a="1"/>
  <c r="E12" i="31" s="1"/>
  <c r="F62" i="31" s="1"/>
  <c r="L11" i="31" a="1"/>
  <c r="L11" i="31" s="1"/>
  <c r="E11" i="31" a="1"/>
  <c r="E11" i="31" s="1"/>
  <c r="K6" i="31" a="1"/>
  <c r="K6" i="31" s="1"/>
  <c r="D6" i="31" a="1"/>
  <c r="D6" i="31" s="1"/>
  <c r="K5" i="31" a="1"/>
  <c r="K5" i="31" s="1"/>
  <c r="D5" i="31" a="1"/>
  <c r="D5" i="31" s="1"/>
  <c r="G17" i="30" a="1"/>
  <c r="G17" i="30" s="1"/>
  <c r="H17" i="30"/>
  <c r="I17" i="30" s="1"/>
  <c r="J139" i="29"/>
  <c r="E139" i="29"/>
  <c r="F40" i="32" s="1"/>
  <c r="M40" i="32" s="1" a="1"/>
  <c r="M40" i="32" s="1"/>
  <c r="J138" i="29"/>
  <c r="G138" i="29"/>
  <c r="F32" i="31" s="1"/>
  <c r="M32" i="31" s="1" a="1"/>
  <c r="M32" i="31" s="1"/>
  <c r="E138" i="29"/>
  <c r="F39" i="32" s="1"/>
  <c r="M39" i="32" s="1" a="1"/>
  <c r="M39" i="32" s="1"/>
  <c r="J137" i="29"/>
  <c r="G137" i="29"/>
  <c r="E137" i="29"/>
  <c r="F38" i="32" s="1"/>
  <c r="M38" i="32" s="1" a="1"/>
  <c r="M38" i="32" s="1"/>
  <c r="D137" i="29"/>
  <c r="F31" i="32" s="1"/>
  <c r="M31" i="32" s="1" a="1"/>
  <c r="M31" i="32" s="1"/>
  <c r="J136" i="29"/>
  <c r="G136" i="29"/>
  <c r="E136" i="29"/>
  <c r="D136" i="29"/>
  <c r="F30" i="32" s="1"/>
  <c r="M30" i="32" s="1" a="1"/>
  <c r="M30" i="32" s="1"/>
  <c r="J135" i="29"/>
  <c r="G135" i="29"/>
  <c r="E135" i="29"/>
  <c r="F36" i="32" s="1"/>
  <c r="D135" i="29"/>
  <c r="F29" i="32" s="1"/>
  <c r="M29" i="32" s="1" a="1"/>
  <c r="M29" i="32" s="1"/>
  <c r="J134" i="29"/>
  <c r="G134" i="29"/>
  <c r="F28" i="31" s="1"/>
  <c r="M28" i="31" s="1" a="1"/>
  <c r="M28" i="31" s="1"/>
  <c r="E134" i="29"/>
  <c r="D134" i="29"/>
  <c r="F28" i="32" s="1"/>
  <c r="M28" i="32" s="1" a="1"/>
  <c r="M28" i="32" s="1"/>
  <c r="J133" i="29"/>
  <c r="G133" i="29"/>
  <c r="F27" i="31" s="1"/>
  <c r="F133" i="29"/>
  <c r="F36" i="31" s="1"/>
  <c r="M36" i="31" s="1" a="1"/>
  <c r="M36" i="31" s="1"/>
  <c r="E133" i="29"/>
  <c r="F34" i="32" s="1"/>
  <c r="D133" i="29"/>
  <c r="F27" i="32" s="1"/>
  <c r="M27" i="32" s="1" a="1"/>
  <c r="M27" i="32" s="1"/>
  <c r="J132" i="29"/>
  <c r="I132" i="29"/>
  <c r="F38" i="31" s="1"/>
  <c r="M38" i="31" s="1" a="1"/>
  <c r="M38" i="31" s="1"/>
  <c r="G132" i="29"/>
  <c r="F26" i="31" s="1"/>
  <c r="M26" i="31" s="1" a="1"/>
  <c r="M26" i="31" s="1"/>
  <c r="F132" i="29"/>
  <c r="F35" i="31" s="1"/>
  <c r="L35" i="31" s="1" a="1"/>
  <c r="L35" i="31" s="1"/>
  <c r="E132" i="29"/>
  <c r="F33" i="32" s="1"/>
  <c r="D132" i="29"/>
  <c r="F26" i="32" s="1"/>
  <c r="M26" i="32" s="1" a="1"/>
  <c r="M26" i="32" s="1"/>
  <c r="J131" i="29"/>
  <c r="I131" i="29"/>
  <c r="F37" i="31" s="1"/>
  <c r="M37" i="31" s="1" a="1"/>
  <c r="M37" i="31" s="1"/>
  <c r="H131" i="29"/>
  <c r="F33" i="31" s="1"/>
  <c r="G131" i="29"/>
  <c r="F25" i="31" s="1"/>
  <c r="F131" i="29"/>
  <c r="F34" i="31" s="1"/>
  <c r="E131" i="29"/>
  <c r="F32" i="32" s="1"/>
  <c r="L32" i="32" s="1" a="1"/>
  <c r="L32" i="32" s="1"/>
  <c r="D131" i="29"/>
  <c r="F25" i="32" s="1"/>
  <c r="M25" i="32" s="1" a="1"/>
  <c r="M25" i="32" s="1"/>
  <c r="F120" i="29" a="1"/>
  <c r="F120" i="29" s="1"/>
  <c r="E120" i="29" a="1"/>
  <c r="E120" i="29" s="1"/>
  <c r="D120" i="29" a="1"/>
  <c r="D120" i="29" s="1"/>
  <c r="F119" i="29" a="1"/>
  <c r="F119" i="29" s="1"/>
  <c r="E119" i="29" a="1"/>
  <c r="E119" i="29" s="1"/>
  <c r="D119" i="29" a="1"/>
  <c r="D119" i="29" s="1"/>
  <c r="F118" i="29" a="1"/>
  <c r="F118" i="29" s="1"/>
  <c r="E118" i="29" a="1"/>
  <c r="E118" i="29" s="1"/>
  <c r="D118" i="29" a="1"/>
  <c r="D118" i="29" s="1"/>
  <c r="F117" i="29" a="1"/>
  <c r="F117" i="29" s="1"/>
  <c r="E117" i="29" a="1"/>
  <c r="E117" i="29" s="1"/>
  <c r="D117" i="29" a="1"/>
  <c r="D117" i="29" s="1"/>
  <c r="F116" i="29" a="1"/>
  <c r="F116" i="29" s="1"/>
  <c r="E116" i="29" a="1"/>
  <c r="E116" i="29" s="1"/>
  <c r="D116" i="29" a="1"/>
  <c r="D116" i="29" s="1"/>
  <c r="F115" i="29" a="1"/>
  <c r="F115" i="29" s="1"/>
  <c r="E115" i="29" a="1"/>
  <c r="E115" i="29" s="1"/>
  <c r="D115" i="29" a="1"/>
  <c r="D115" i="29" s="1"/>
  <c r="F114" i="29" a="1"/>
  <c r="F114" i="29" s="1"/>
  <c r="E114" i="29" a="1"/>
  <c r="E114" i="29" s="1"/>
  <c r="D114" i="29" a="1"/>
  <c r="D114" i="29" s="1"/>
  <c r="G113" i="29" a="1"/>
  <c r="G113" i="29" s="1"/>
  <c r="F113" i="29" a="1"/>
  <c r="F113" i="29" s="1"/>
  <c r="E113" i="29" a="1"/>
  <c r="E113" i="29" s="1"/>
  <c r="D113" i="29" a="1"/>
  <c r="D113" i="29" s="1"/>
  <c r="D110" i="29" a="1"/>
  <c r="D110" i="29" s="1"/>
  <c r="D109" i="29" a="1"/>
  <c r="D109" i="29" s="1"/>
  <c r="D108" i="29" a="1"/>
  <c r="D108" i="29" s="1"/>
  <c r="D107" i="29" a="1"/>
  <c r="D107" i="29" s="1"/>
  <c r="J104" i="29" a="1"/>
  <c r="J104" i="29" s="1"/>
  <c r="I104" i="29" a="1"/>
  <c r="I104" i="29" s="1"/>
  <c r="H104" i="29" a="1"/>
  <c r="H104" i="29" s="1"/>
  <c r="G104" i="29" a="1"/>
  <c r="G104" i="29" s="1"/>
  <c r="F104" i="29" a="1"/>
  <c r="F104" i="29" s="1"/>
  <c r="E104" i="29" a="1"/>
  <c r="E104" i="29" s="1"/>
  <c r="D104" i="29" a="1"/>
  <c r="D104" i="29" s="1"/>
  <c r="E40" i="32" s="1"/>
  <c r="J103" i="29" a="1"/>
  <c r="J103" i="29" s="1"/>
  <c r="I103" i="29" a="1"/>
  <c r="I103" i="29" s="1"/>
  <c r="H103" i="29" a="1"/>
  <c r="H103" i="29" s="1"/>
  <c r="G103" i="29" a="1"/>
  <c r="G103" i="29" s="1"/>
  <c r="F103" i="29" a="1"/>
  <c r="F103" i="29" s="1"/>
  <c r="E103" i="29" a="1"/>
  <c r="E103" i="29" s="1"/>
  <c r="D103" i="29" a="1"/>
  <c r="D103" i="29" s="1"/>
  <c r="E39" i="32" s="1"/>
  <c r="J102" i="29" a="1"/>
  <c r="J102" i="29" s="1"/>
  <c r="I102" i="29" a="1"/>
  <c r="I102" i="29" s="1"/>
  <c r="H102" i="29" a="1"/>
  <c r="H102" i="29" s="1"/>
  <c r="G102" i="29" a="1"/>
  <c r="G102" i="29" s="1"/>
  <c r="F102" i="29" a="1"/>
  <c r="F102" i="29" s="1"/>
  <c r="E102" i="29" a="1"/>
  <c r="E102" i="29" s="1"/>
  <c r="D102" i="29" a="1"/>
  <c r="D102" i="29" s="1"/>
  <c r="J101" i="29" a="1"/>
  <c r="J101" i="29" s="1"/>
  <c r="I101" i="29" a="1"/>
  <c r="I101" i="29" s="1"/>
  <c r="H101" i="29" a="1"/>
  <c r="H101" i="29" s="1"/>
  <c r="G101" i="29" a="1"/>
  <c r="G101" i="29" s="1"/>
  <c r="F101" i="29" a="1"/>
  <c r="F101" i="29" s="1"/>
  <c r="E101" i="29" a="1"/>
  <c r="E101" i="29" s="1"/>
  <c r="D101" i="29" a="1"/>
  <c r="D101" i="29" s="1"/>
  <c r="J100" i="29" a="1"/>
  <c r="J100" i="29" s="1"/>
  <c r="I100" i="29" a="1"/>
  <c r="I100" i="29" s="1"/>
  <c r="H100" i="29" a="1"/>
  <c r="H100" i="29" s="1"/>
  <c r="G100" i="29" a="1"/>
  <c r="G100" i="29" s="1"/>
  <c r="F100" i="29" a="1"/>
  <c r="F100" i="29" s="1"/>
  <c r="E100" i="29" a="1"/>
  <c r="E100" i="29" s="1"/>
  <c r="D100" i="29" a="1"/>
  <c r="D100" i="29" s="1"/>
  <c r="J99" i="29" a="1"/>
  <c r="J99" i="29" s="1"/>
  <c r="I99" i="29" a="1"/>
  <c r="I99" i="29" s="1"/>
  <c r="H99" i="29" a="1"/>
  <c r="H99" i="29" s="1"/>
  <c r="G99" i="29" a="1"/>
  <c r="G99" i="29" s="1"/>
  <c r="F99" i="29" a="1"/>
  <c r="F99" i="29" s="1"/>
  <c r="E99" i="29" a="1"/>
  <c r="E99" i="29" s="1"/>
  <c r="D99" i="29" a="1"/>
  <c r="D99" i="29" s="1"/>
  <c r="J98" i="29" a="1"/>
  <c r="J98" i="29" s="1"/>
  <c r="I98" i="29" a="1"/>
  <c r="I98" i="29" s="1"/>
  <c r="H98" i="29" a="1"/>
  <c r="H98" i="29" s="1"/>
  <c r="G98" i="29" a="1"/>
  <c r="G98" i="29" s="1"/>
  <c r="F98" i="29" a="1"/>
  <c r="F98" i="29" s="1"/>
  <c r="E98" i="29" a="1"/>
  <c r="E98" i="29" s="1"/>
  <c r="D98" i="29" a="1"/>
  <c r="D98" i="29" s="1"/>
  <c r="J97" i="29" a="1"/>
  <c r="J97" i="29" s="1"/>
  <c r="I97" i="29" a="1"/>
  <c r="I97" i="29" s="1"/>
  <c r="H97" i="29" a="1"/>
  <c r="H97" i="29" s="1"/>
  <c r="G97" i="29" a="1"/>
  <c r="G97" i="29" s="1"/>
  <c r="F97" i="29" a="1"/>
  <c r="F97" i="29" s="1"/>
  <c r="E97" i="29" a="1"/>
  <c r="E97" i="29" s="1"/>
  <c r="D97" i="29" a="1"/>
  <c r="D97" i="29" s="1"/>
  <c r="J96" i="29" a="1"/>
  <c r="J96" i="29" s="1"/>
  <c r="I96" i="29" a="1"/>
  <c r="I96" i="29" s="1"/>
  <c r="H96" i="29" a="1"/>
  <c r="H96" i="29" s="1"/>
  <c r="G96" i="29" a="1"/>
  <c r="G96" i="29" s="1"/>
  <c r="F96" i="29" a="1"/>
  <c r="F96" i="29" s="1"/>
  <c r="E96" i="29" a="1"/>
  <c r="E96" i="29" s="1"/>
  <c r="D96" i="29" a="1"/>
  <c r="D96" i="29" s="1"/>
  <c r="J95" i="29" a="1"/>
  <c r="J95" i="29" s="1"/>
  <c r="I95" i="29" a="1"/>
  <c r="I95" i="29" s="1"/>
  <c r="H95" i="29" a="1"/>
  <c r="H95" i="29" s="1"/>
  <c r="G95" i="29" a="1"/>
  <c r="G95" i="29" s="1"/>
  <c r="F95" i="29" a="1"/>
  <c r="F95" i="29" s="1"/>
  <c r="E95" i="29" a="1"/>
  <c r="E95" i="29" s="1"/>
  <c r="D95" i="29" a="1"/>
  <c r="D95" i="29" s="1"/>
  <c r="J94" i="29" a="1"/>
  <c r="J94" i="29" s="1"/>
  <c r="I94" i="29" a="1"/>
  <c r="I94" i="29" s="1"/>
  <c r="H94" i="29" a="1"/>
  <c r="H94" i="29" s="1"/>
  <c r="G94" i="29" a="1"/>
  <c r="G94" i="29" s="1"/>
  <c r="F94" i="29" a="1"/>
  <c r="F94" i="29" s="1"/>
  <c r="E94" i="29" a="1"/>
  <c r="E94" i="29" s="1"/>
  <c r="D94" i="29" a="1"/>
  <c r="D94" i="29" s="1"/>
  <c r="J93" i="29" a="1"/>
  <c r="J93" i="29" s="1"/>
  <c r="I93" i="29" a="1"/>
  <c r="I93" i="29" s="1"/>
  <c r="H93" i="29" a="1"/>
  <c r="H93" i="29" s="1"/>
  <c r="G93" i="29" a="1"/>
  <c r="G93" i="29" s="1"/>
  <c r="F93" i="29" a="1"/>
  <c r="F93" i="29" s="1"/>
  <c r="E93" i="29" a="1"/>
  <c r="E93" i="29" s="1"/>
  <c r="D93" i="29" a="1"/>
  <c r="D93" i="29" s="1"/>
  <c r="J92" i="29" a="1"/>
  <c r="J92" i="29" s="1"/>
  <c r="I92" i="29" a="1"/>
  <c r="I92" i="29" s="1"/>
  <c r="H92" i="29" a="1"/>
  <c r="H92" i="29" s="1"/>
  <c r="G92" i="29" a="1"/>
  <c r="G92" i="29" s="1"/>
  <c r="F92" i="29" a="1"/>
  <c r="F92" i="29" s="1"/>
  <c r="E92" i="29" a="1"/>
  <c r="E92" i="29" s="1"/>
  <c r="D92" i="29" a="1"/>
  <c r="D92" i="29" s="1"/>
  <c r="J91" i="29" a="1"/>
  <c r="J91" i="29" s="1"/>
  <c r="I91" i="29" a="1"/>
  <c r="I91" i="29" s="1"/>
  <c r="H91" i="29" a="1"/>
  <c r="H91" i="29" s="1"/>
  <c r="G91" i="29" a="1"/>
  <c r="G91" i="29" s="1"/>
  <c r="F91" i="29" a="1"/>
  <c r="F91" i="29" s="1"/>
  <c r="E91" i="29" a="1"/>
  <c r="E91" i="29" s="1"/>
  <c r="D91" i="29" a="1"/>
  <c r="D91" i="29" s="1"/>
  <c r="J90" i="29" a="1"/>
  <c r="J90" i="29" s="1"/>
  <c r="I90" i="29" a="1"/>
  <c r="I90" i="29" s="1"/>
  <c r="H90" i="29" a="1"/>
  <c r="H90" i="29" s="1"/>
  <c r="G90" i="29" a="1"/>
  <c r="G90" i="29" s="1"/>
  <c r="F90" i="29" a="1"/>
  <c r="F90" i="29" s="1"/>
  <c r="E90" i="29" a="1"/>
  <c r="E90" i="29" s="1"/>
  <c r="D90" i="29" a="1"/>
  <c r="D90" i="29" s="1"/>
  <c r="J89" i="29" a="1"/>
  <c r="J89" i="29" s="1"/>
  <c r="I89" i="29" a="1"/>
  <c r="I89" i="29" s="1"/>
  <c r="H89" i="29" a="1"/>
  <c r="H89" i="29" s="1"/>
  <c r="G89" i="29" a="1"/>
  <c r="G89" i="29" s="1"/>
  <c r="F89" i="29" a="1"/>
  <c r="F89" i="29" s="1"/>
  <c r="E89" i="29" a="1"/>
  <c r="E89" i="29" s="1"/>
  <c r="D89" i="29" a="1"/>
  <c r="D89" i="29" s="1"/>
  <c r="J88" i="29" a="1"/>
  <c r="J88" i="29" s="1"/>
  <c r="I88" i="29" a="1"/>
  <c r="I88" i="29" s="1"/>
  <c r="H88" i="29" a="1"/>
  <c r="H88" i="29" s="1"/>
  <c r="G88" i="29" a="1"/>
  <c r="G88" i="29" s="1"/>
  <c r="F88" i="29" a="1"/>
  <c r="F88" i="29" s="1"/>
  <c r="E88" i="29" a="1"/>
  <c r="E88" i="29" s="1"/>
  <c r="D88" i="29" a="1"/>
  <c r="D88" i="29" s="1"/>
  <c r="J87" i="29" a="1"/>
  <c r="J87" i="29" s="1"/>
  <c r="I87" i="29" a="1"/>
  <c r="I87" i="29" s="1"/>
  <c r="H87" i="29" a="1"/>
  <c r="H87" i="29" s="1"/>
  <c r="G87" i="29" a="1"/>
  <c r="G87" i="29" s="1"/>
  <c r="F87" i="29" a="1"/>
  <c r="F87" i="29" s="1"/>
  <c r="E87" i="29" a="1"/>
  <c r="E87" i="29" s="1"/>
  <c r="D87" i="29" a="1"/>
  <c r="D87" i="29" s="1"/>
  <c r="D84" i="29" a="1"/>
  <c r="D84" i="29" s="1"/>
  <c r="D83" i="29" a="1"/>
  <c r="D83" i="29" s="1"/>
  <c r="D82" i="29" a="1"/>
  <c r="D82" i="29" s="1"/>
  <c r="D81" i="29" a="1"/>
  <c r="D81" i="29" s="1"/>
  <c r="K77" i="29" a="1"/>
  <c r="K77" i="29" s="1"/>
  <c r="J77" i="29" a="1"/>
  <c r="J77" i="29" s="1"/>
  <c r="I77" i="29" a="1"/>
  <c r="I77" i="29" s="1"/>
  <c r="H77" i="29" a="1"/>
  <c r="H77" i="29" s="1"/>
  <c r="G77" i="29" a="1"/>
  <c r="G77" i="29" s="1"/>
  <c r="F77" i="29" a="1"/>
  <c r="F77" i="29" s="1"/>
  <c r="E77" i="29" a="1"/>
  <c r="E77" i="29" s="1"/>
  <c r="D77" i="29" a="1"/>
  <c r="D77" i="29" s="1"/>
  <c r="E31" i="32" s="1"/>
  <c r="K76" i="29" a="1"/>
  <c r="K76" i="29" s="1"/>
  <c r="J76" i="29" a="1"/>
  <c r="J76" i="29" s="1"/>
  <c r="I76" i="29" a="1"/>
  <c r="I76" i="29" s="1"/>
  <c r="H76" i="29" a="1"/>
  <c r="H76" i="29" s="1"/>
  <c r="G76" i="29" a="1"/>
  <c r="G76" i="29" s="1"/>
  <c r="F76" i="29" a="1"/>
  <c r="F76" i="29" s="1"/>
  <c r="E76" i="29" a="1"/>
  <c r="E76" i="29" s="1"/>
  <c r="D76" i="29" a="1"/>
  <c r="D76" i="29" s="1"/>
  <c r="K75" i="29" a="1"/>
  <c r="K75" i="29" s="1"/>
  <c r="J75" i="29" a="1"/>
  <c r="J75" i="29" s="1"/>
  <c r="I75" i="29" a="1"/>
  <c r="I75" i="29" s="1"/>
  <c r="H75" i="29" a="1"/>
  <c r="H75" i="29" s="1"/>
  <c r="G75" i="29" a="1"/>
  <c r="G75" i="29" s="1"/>
  <c r="F75" i="29" a="1"/>
  <c r="F75" i="29" s="1"/>
  <c r="E75" i="29" a="1"/>
  <c r="E75" i="29" s="1"/>
  <c r="D75" i="29" a="1"/>
  <c r="D75" i="29" s="1"/>
  <c r="E30" i="32" s="1"/>
  <c r="K74" i="29" a="1"/>
  <c r="K74" i="29" s="1"/>
  <c r="J74" i="29" a="1"/>
  <c r="J74" i="29" s="1"/>
  <c r="I74" i="29" a="1"/>
  <c r="I74" i="29" s="1"/>
  <c r="H74" i="29" a="1"/>
  <c r="H74" i="29" s="1"/>
  <c r="G74" i="29" a="1"/>
  <c r="G74" i="29" s="1"/>
  <c r="F74" i="29" a="1"/>
  <c r="F74" i="29" s="1"/>
  <c r="E74" i="29" a="1"/>
  <c r="E74" i="29" s="1"/>
  <c r="D74" i="29" a="1"/>
  <c r="D74" i="29" s="1"/>
  <c r="E36" i="32" s="1"/>
  <c r="K73" i="29" a="1"/>
  <c r="K73" i="29" s="1"/>
  <c r="J73" i="29" a="1"/>
  <c r="J73" i="29" s="1"/>
  <c r="I73" i="29" a="1"/>
  <c r="I73" i="29" s="1"/>
  <c r="H73" i="29" a="1"/>
  <c r="H73" i="29" s="1"/>
  <c r="G73" i="29" a="1"/>
  <c r="G73" i="29" s="1"/>
  <c r="F73" i="29" a="1"/>
  <c r="F73" i="29" s="1"/>
  <c r="E73" i="29" a="1"/>
  <c r="E73" i="29" s="1"/>
  <c r="D73" i="29" a="1"/>
  <c r="D73" i="29" s="1"/>
  <c r="E35" i="32" s="1"/>
  <c r="K72" i="29" a="1"/>
  <c r="K72" i="29" s="1"/>
  <c r="J72" i="29" a="1"/>
  <c r="J72" i="29" s="1"/>
  <c r="I72" i="29" a="1"/>
  <c r="I72" i="29" s="1"/>
  <c r="H72" i="29" a="1"/>
  <c r="H72" i="29" s="1"/>
  <c r="G72" i="29" a="1"/>
  <c r="G72" i="29" s="1"/>
  <c r="F72" i="29" a="1"/>
  <c r="F72" i="29" s="1"/>
  <c r="E72" i="29" a="1"/>
  <c r="E72" i="29" s="1"/>
  <c r="D72" i="29" a="1"/>
  <c r="D72" i="29" s="1"/>
  <c r="K71" i="29" a="1"/>
  <c r="K71" i="29" s="1"/>
  <c r="J71" i="29" a="1"/>
  <c r="J71" i="29" s="1"/>
  <c r="I71" i="29" a="1"/>
  <c r="I71" i="29" s="1"/>
  <c r="H71" i="29" a="1"/>
  <c r="H71" i="29" s="1"/>
  <c r="G71" i="29" a="1"/>
  <c r="G71" i="29" s="1"/>
  <c r="F71" i="29" a="1"/>
  <c r="F71" i="29" s="1"/>
  <c r="E71" i="29" a="1"/>
  <c r="E71" i="29" s="1"/>
  <c r="D71" i="29" a="1"/>
  <c r="D71" i="29" s="1"/>
  <c r="K70" i="29" a="1"/>
  <c r="K70" i="29" s="1"/>
  <c r="J70" i="29" a="1"/>
  <c r="J70" i="29" s="1"/>
  <c r="I70" i="29" a="1"/>
  <c r="I70" i="29" s="1"/>
  <c r="H70" i="29" a="1"/>
  <c r="H70" i="29" s="1"/>
  <c r="G70" i="29" a="1"/>
  <c r="G70" i="29" s="1"/>
  <c r="F70" i="29" a="1"/>
  <c r="F70" i="29" s="1"/>
  <c r="E70" i="29" a="1"/>
  <c r="E70" i="29" s="1"/>
  <c r="D70" i="29" a="1"/>
  <c r="D70" i="29" s="1"/>
  <c r="K69" i="29" a="1"/>
  <c r="K69" i="29" s="1"/>
  <c r="J69" i="29" a="1"/>
  <c r="J69" i="29" s="1"/>
  <c r="I69" i="29" a="1"/>
  <c r="I69" i="29" s="1"/>
  <c r="H69" i="29" a="1"/>
  <c r="H69" i="29" s="1"/>
  <c r="G69" i="29" a="1"/>
  <c r="G69" i="29" s="1"/>
  <c r="F69" i="29" a="1"/>
  <c r="F69" i="29" s="1"/>
  <c r="E69" i="29" a="1"/>
  <c r="E69" i="29" s="1"/>
  <c r="D69" i="29" a="1"/>
  <c r="D69" i="29" s="1"/>
  <c r="K68" i="29" a="1"/>
  <c r="K68" i="29" s="1"/>
  <c r="J68" i="29" a="1"/>
  <c r="J68" i="29" s="1"/>
  <c r="I68" i="29" a="1"/>
  <c r="I68" i="29" s="1"/>
  <c r="H68" i="29" a="1"/>
  <c r="H68" i="29" s="1"/>
  <c r="G68" i="29" a="1"/>
  <c r="G68" i="29" s="1"/>
  <c r="F68" i="29" a="1"/>
  <c r="F68" i="29" s="1"/>
  <c r="E68" i="29" a="1"/>
  <c r="E68" i="29" s="1"/>
  <c r="D68" i="29" a="1"/>
  <c r="D68" i="29" s="1"/>
  <c r="K67" i="29" a="1"/>
  <c r="K67" i="29" s="1"/>
  <c r="J67" i="29" a="1"/>
  <c r="J67" i="29" s="1"/>
  <c r="I67" i="29" a="1"/>
  <c r="I67" i="29" s="1"/>
  <c r="H67" i="29" a="1"/>
  <c r="H67" i="29" s="1"/>
  <c r="G67" i="29" a="1"/>
  <c r="G67" i="29" s="1"/>
  <c r="F67" i="29" a="1"/>
  <c r="F67" i="29" s="1"/>
  <c r="E67" i="29" a="1"/>
  <c r="E67" i="29" s="1"/>
  <c r="D67" i="29" a="1"/>
  <c r="D67" i="29" s="1"/>
  <c r="E27" i="32" s="1"/>
  <c r="K66" i="29" a="1"/>
  <c r="K66" i="29" s="1"/>
  <c r="J66" i="29" a="1"/>
  <c r="J66" i="29" s="1"/>
  <c r="I66" i="29" a="1"/>
  <c r="I66" i="29" s="1"/>
  <c r="H66" i="29" a="1"/>
  <c r="H66" i="29" s="1"/>
  <c r="G66" i="29" a="1"/>
  <c r="G66" i="29" s="1"/>
  <c r="F66" i="29" a="1"/>
  <c r="F66" i="29" s="1"/>
  <c r="E66" i="29" a="1"/>
  <c r="E66" i="29" s="1"/>
  <c r="D66" i="29" a="1"/>
  <c r="D66" i="29" s="1"/>
  <c r="K65" i="29" a="1"/>
  <c r="K65" i="29" s="1"/>
  <c r="J65" i="29" a="1"/>
  <c r="J65" i="29" s="1"/>
  <c r="I65" i="29" a="1"/>
  <c r="I65" i="29" s="1"/>
  <c r="H65" i="29" a="1"/>
  <c r="H65" i="29" s="1"/>
  <c r="G65" i="29" a="1"/>
  <c r="G65" i="29" s="1"/>
  <c r="F65" i="29" a="1"/>
  <c r="F65" i="29" s="1"/>
  <c r="E65" i="29" a="1"/>
  <c r="E65" i="29" s="1"/>
  <c r="D65" i="29" a="1"/>
  <c r="D65" i="29" s="1"/>
  <c r="K64" i="29" a="1"/>
  <c r="K64" i="29" s="1"/>
  <c r="J64" i="29" a="1"/>
  <c r="J64" i="29" s="1"/>
  <c r="I64" i="29" a="1"/>
  <c r="I64" i="29" s="1"/>
  <c r="H64" i="29" a="1"/>
  <c r="H64" i="29" s="1"/>
  <c r="G64" i="29" a="1"/>
  <c r="G64" i="29" s="1"/>
  <c r="F64" i="29" a="1"/>
  <c r="F64" i="29" s="1"/>
  <c r="E64" i="29" a="1"/>
  <c r="E64" i="29" s="1"/>
  <c r="D64" i="29" a="1"/>
  <c r="D64" i="29" s="1"/>
  <c r="K63" i="29" a="1"/>
  <c r="K63" i="29" s="1"/>
  <c r="J63" i="29" a="1"/>
  <c r="J63" i="29" s="1"/>
  <c r="I63" i="29" a="1"/>
  <c r="I63" i="29" s="1"/>
  <c r="H63" i="29" a="1"/>
  <c r="H63" i="29" s="1"/>
  <c r="G63" i="29" a="1"/>
  <c r="G63" i="29" s="1"/>
  <c r="F63" i="29" a="1"/>
  <c r="F63" i="29" s="1"/>
  <c r="E63" i="29" a="1"/>
  <c r="E63" i="29" s="1"/>
  <c r="D63" i="29" a="1"/>
  <c r="D63" i="29" s="1"/>
  <c r="E33" i="32" s="1"/>
  <c r="K62" i="29" a="1"/>
  <c r="K62" i="29" s="1"/>
  <c r="J62" i="29" a="1"/>
  <c r="J62" i="29" s="1"/>
  <c r="I62" i="29" a="1"/>
  <c r="I62" i="29" s="1"/>
  <c r="H62" i="29" a="1"/>
  <c r="H62" i="29" s="1"/>
  <c r="G62" i="29" a="1"/>
  <c r="G62" i="29" s="1"/>
  <c r="F62" i="29" a="1"/>
  <c r="F62" i="29" s="1"/>
  <c r="E62" i="29" a="1"/>
  <c r="E62" i="29" s="1"/>
  <c r="D62" i="29" a="1"/>
  <c r="D62" i="29" s="1"/>
  <c r="K61" i="29" a="1"/>
  <c r="K61" i="29" s="1"/>
  <c r="J61" i="29" a="1"/>
  <c r="J61" i="29" s="1"/>
  <c r="I61" i="29" a="1"/>
  <c r="I61" i="29" s="1"/>
  <c r="H61" i="29" a="1"/>
  <c r="H61" i="29" s="1"/>
  <c r="G61" i="29" a="1"/>
  <c r="G61" i="29" s="1"/>
  <c r="F61" i="29" a="1"/>
  <c r="F61" i="29" s="1"/>
  <c r="E61" i="29" a="1"/>
  <c r="E61" i="29" s="1"/>
  <c r="D61" i="29" a="1"/>
  <c r="D61" i="29" s="1"/>
  <c r="K60" i="29" a="1"/>
  <c r="K60" i="29" s="1"/>
  <c r="J60" i="29" a="1"/>
  <c r="J60" i="29" s="1"/>
  <c r="I60" i="29" a="1"/>
  <c r="I60" i="29" s="1"/>
  <c r="H60" i="29" a="1"/>
  <c r="H60" i="29" s="1"/>
  <c r="G60" i="29" a="1"/>
  <c r="G60" i="29" s="1"/>
  <c r="F60" i="29" a="1"/>
  <c r="F60" i="29" s="1"/>
  <c r="E60" i="29" a="1"/>
  <c r="E60" i="29" s="1"/>
  <c r="D60" i="29" a="1"/>
  <c r="D60" i="29" s="1"/>
  <c r="K59" i="29" a="1"/>
  <c r="K59" i="29" s="1"/>
  <c r="J59" i="29" a="1"/>
  <c r="J59" i="29" s="1"/>
  <c r="I59" i="29" a="1"/>
  <c r="I59" i="29" s="1"/>
  <c r="H59" i="29" a="1"/>
  <c r="H59" i="29" s="1"/>
  <c r="G59" i="29" a="1"/>
  <c r="G59" i="29" s="1"/>
  <c r="F59" i="29" a="1"/>
  <c r="F59" i="29" s="1"/>
  <c r="E59" i="29" a="1"/>
  <c r="E59" i="29" s="1"/>
  <c r="D59" i="29" a="1"/>
  <c r="D59" i="29" s="1"/>
  <c r="K58" i="29" a="1"/>
  <c r="K58" i="29" s="1"/>
  <c r="J58" i="29" a="1"/>
  <c r="J58" i="29" s="1"/>
  <c r="I58" i="29" a="1"/>
  <c r="I58" i="29" s="1"/>
  <c r="H58" i="29" a="1"/>
  <c r="H58" i="29" s="1"/>
  <c r="G58" i="29" a="1"/>
  <c r="G58" i="29" s="1"/>
  <c r="F58" i="29" a="1"/>
  <c r="F58" i="29" s="1"/>
  <c r="E58" i="29" a="1"/>
  <c r="E58" i="29" s="1"/>
  <c r="D58" i="29" a="1"/>
  <c r="D58" i="29" s="1"/>
  <c r="E25" i="32" s="1"/>
  <c r="K57" i="29" a="1"/>
  <c r="K57" i="29" s="1"/>
  <c r="J57" i="29" a="1"/>
  <c r="J57" i="29" s="1"/>
  <c r="I57" i="29" a="1"/>
  <c r="I57" i="29" s="1"/>
  <c r="H57" i="29" a="1"/>
  <c r="H57" i="29" s="1"/>
  <c r="G57" i="29" a="1"/>
  <c r="G57" i="29" s="1"/>
  <c r="F57" i="29" a="1"/>
  <c r="F57" i="29" s="1"/>
  <c r="E57" i="29" a="1"/>
  <c r="E57" i="29" s="1"/>
  <c r="D57" i="29" a="1"/>
  <c r="D57" i="29" s="1"/>
  <c r="K56" i="29" a="1"/>
  <c r="K56" i="29" s="1"/>
  <c r="J56" i="29" a="1"/>
  <c r="J56" i="29" s="1"/>
  <c r="I56" i="29" a="1"/>
  <c r="I56" i="29" s="1"/>
  <c r="H56" i="29" a="1"/>
  <c r="H56" i="29" s="1"/>
  <c r="G56" i="29" a="1"/>
  <c r="G56" i="29" s="1"/>
  <c r="F56" i="29" a="1"/>
  <c r="F56" i="29" s="1"/>
  <c r="E56" i="29" a="1"/>
  <c r="E56" i="29" s="1"/>
  <c r="D56" i="29" a="1"/>
  <c r="D56" i="29" s="1"/>
  <c r="K55" i="29" a="1"/>
  <c r="K55" i="29" s="1"/>
  <c r="J55" i="29" a="1"/>
  <c r="J55" i="29" s="1"/>
  <c r="I55" i="29" a="1"/>
  <c r="I55" i="29" s="1"/>
  <c r="H55" i="29" a="1"/>
  <c r="H55" i="29" s="1"/>
  <c r="G55" i="29" a="1"/>
  <c r="G55" i="29" s="1"/>
  <c r="F55" i="29" a="1"/>
  <c r="F55" i="29" s="1"/>
  <c r="E55" i="29" a="1"/>
  <c r="E55" i="29" s="1"/>
  <c r="D55" i="29" a="1"/>
  <c r="D55" i="29" s="1"/>
  <c r="K54" i="29" a="1"/>
  <c r="K54" i="29" s="1"/>
  <c r="J54" i="29" a="1"/>
  <c r="J54" i="29" s="1"/>
  <c r="I54" i="29" a="1"/>
  <c r="I54" i="29" s="1"/>
  <c r="H54" i="29" a="1"/>
  <c r="H54" i="29" s="1"/>
  <c r="G54" i="29" a="1"/>
  <c r="G54" i="29" s="1"/>
  <c r="F54" i="29" a="1"/>
  <c r="F54" i="29" s="1"/>
  <c r="E54" i="29" a="1"/>
  <c r="E54" i="29" s="1"/>
  <c r="D54" i="29" a="1"/>
  <c r="D54" i="29" s="1"/>
  <c r="D52" i="29" a="1"/>
  <c r="D52" i="29" s="1"/>
  <c r="D51" i="29" a="1"/>
  <c r="D51" i="29" s="1"/>
  <c r="D50" i="29" a="1"/>
  <c r="D50" i="29" s="1"/>
  <c r="D49" i="29" a="1"/>
  <c r="D49" i="29" s="1"/>
  <c r="J43" i="29" a="1"/>
  <c r="J43" i="29" s="1"/>
  <c r="I43" i="29" a="1"/>
  <c r="I43" i="29" s="1"/>
  <c r="H43" i="29" a="1"/>
  <c r="H43" i="29" s="1"/>
  <c r="G43" i="29" a="1"/>
  <c r="G43" i="29" s="1"/>
  <c r="F43" i="29" a="1"/>
  <c r="F43" i="29" s="1"/>
  <c r="E43" i="29" a="1"/>
  <c r="E43" i="29" s="1"/>
  <c r="D43" i="29" a="1"/>
  <c r="D43" i="29" s="1"/>
  <c r="J42" i="29" a="1"/>
  <c r="J42" i="29" s="1"/>
  <c r="I42" i="29" a="1"/>
  <c r="I42" i="29" s="1"/>
  <c r="H42" i="29" a="1"/>
  <c r="H42" i="29" s="1"/>
  <c r="G42" i="29" a="1"/>
  <c r="G42" i="29" s="1"/>
  <c r="F42" i="29" a="1"/>
  <c r="F42" i="29" s="1"/>
  <c r="E42" i="29" a="1"/>
  <c r="E42" i="29" s="1"/>
  <c r="D42" i="29" a="1"/>
  <c r="D42" i="29" s="1"/>
  <c r="J41" i="29" a="1"/>
  <c r="J41" i="29" s="1"/>
  <c r="I41" i="29" a="1"/>
  <c r="I41" i="29" s="1"/>
  <c r="H41" i="29" a="1"/>
  <c r="H41" i="29" s="1"/>
  <c r="G41" i="29" a="1"/>
  <c r="G41" i="29" s="1"/>
  <c r="F41" i="29" a="1"/>
  <c r="F41" i="29" s="1"/>
  <c r="E41" i="29" a="1"/>
  <c r="E41" i="29" s="1"/>
  <c r="D41" i="29" a="1"/>
  <c r="D41" i="29" s="1"/>
  <c r="J40" i="29" a="1"/>
  <c r="J40" i="29" s="1"/>
  <c r="I40" i="29" a="1"/>
  <c r="I40" i="29" s="1"/>
  <c r="H40" i="29" a="1"/>
  <c r="H40" i="29" s="1"/>
  <c r="G40" i="29" a="1"/>
  <c r="G40" i="29" s="1"/>
  <c r="F40" i="29" a="1"/>
  <c r="F40" i="29" s="1"/>
  <c r="E40" i="29" a="1"/>
  <c r="E40" i="29" s="1"/>
  <c r="D40" i="29" a="1"/>
  <c r="D40" i="29" s="1"/>
  <c r="D38" i="29" a="1"/>
  <c r="D38" i="29" s="1"/>
  <c r="D37" i="29" a="1"/>
  <c r="D37" i="29" s="1"/>
  <c r="L34" i="29" a="1"/>
  <c r="L34" i="29" s="1"/>
  <c r="K34" i="29" a="1"/>
  <c r="K34" i="29" s="1"/>
  <c r="J34" i="29" a="1"/>
  <c r="J34" i="29" s="1"/>
  <c r="I34" i="29" a="1"/>
  <c r="I34" i="29" s="1"/>
  <c r="H34" i="29" a="1"/>
  <c r="H34" i="29" s="1"/>
  <c r="G34" i="29" a="1"/>
  <c r="G34" i="29" s="1"/>
  <c r="F34" i="29" a="1"/>
  <c r="F34" i="29" s="1"/>
  <c r="E34" i="29" a="1"/>
  <c r="E34" i="29" s="1"/>
  <c r="D34" i="29" a="1"/>
  <c r="D34" i="29" s="1"/>
  <c r="L33" i="29" a="1"/>
  <c r="L33" i="29" s="1"/>
  <c r="K33" i="29" a="1"/>
  <c r="K33" i="29" s="1"/>
  <c r="J33" i="29" a="1"/>
  <c r="J33" i="29" s="1"/>
  <c r="I33" i="29" a="1"/>
  <c r="I33" i="29" s="1"/>
  <c r="H33" i="29" a="1"/>
  <c r="H33" i="29" s="1"/>
  <c r="G33" i="29" a="1"/>
  <c r="G33" i="29" s="1"/>
  <c r="F33" i="29" a="1"/>
  <c r="F33" i="29" s="1"/>
  <c r="E33" i="29" a="1"/>
  <c r="E33" i="29" s="1"/>
  <c r="E39" i="31" s="1"/>
  <c r="D33" i="29" a="1"/>
  <c r="D33" i="29" s="1"/>
  <c r="L32" i="29" a="1"/>
  <c r="L32" i="29" s="1"/>
  <c r="K32" i="29" a="1"/>
  <c r="K32" i="29" s="1"/>
  <c r="J32" i="29" a="1"/>
  <c r="J32" i="29" s="1"/>
  <c r="I32" i="29" a="1"/>
  <c r="I32" i="29" s="1"/>
  <c r="H32" i="29" a="1"/>
  <c r="H32" i="29" s="1"/>
  <c r="G32" i="29" a="1"/>
  <c r="G32" i="29" s="1"/>
  <c r="F32" i="29" a="1"/>
  <c r="F32" i="29" s="1"/>
  <c r="E32" i="29" a="1"/>
  <c r="E32" i="29" s="1"/>
  <c r="D32" i="29" a="1"/>
  <c r="D32" i="29" s="1"/>
  <c r="L31" i="29" a="1"/>
  <c r="L31" i="29" s="1"/>
  <c r="K31" i="29" a="1"/>
  <c r="K31" i="29" s="1"/>
  <c r="J31" i="29" a="1"/>
  <c r="J31" i="29" s="1"/>
  <c r="I31" i="29" a="1"/>
  <c r="I31" i="29" s="1"/>
  <c r="H31" i="29" a="1"/>
  <c r="H31" i="29" s="1"/>
  <c r="G31" i="29" a="1"/>
  <c r="G31" i="29" s="1"/>
  <c r="F31" i="29" a="1"/>
  <c r="F31" i="29" s="1"/>
  <c r="E31" i="29" a="1"/>
  <c r="E31" i="29" s="1"/>
  <c r="D31" i="29" a="1"/>
  <c r="D31" i="29" s="1"/>
  <c r="L30" i="29" a="1"/>
  <c r="L30" i="29" s="1"/>
  <c r="K30" i="29" a="1"/>
  <c r="K30" i="29" s="1"/>
  <c r="J30" i="29" a="1"/>
  <c r="J30" i="29" s="1"/>
  <c r="I30" i="29" a="1"/>
  <c r="I30" i="29" s="1"/>
  <c r="H30" i="29" a="1"/>
  <c r="H30" i="29" s="1"/>
  <c r="G30" i="29" a="1"/>
  <c r="G30" i="29" s="1"/>
  <c r="F30" i="29" a="1"/>
  <c r="F30" i="29" s="1"/>
  <c r="E30" i="29" a="1"/>
  <c r="E30" i="29" s="1"/>
  <c r="E36" i="31" s="1"/>
  <c r="D30" i="29" a="1"/>
  <c r="D30" i="29" s="1"/>
  <c r="L29" i="29" a="1"/>
  <c r="L29" i="29" s="1"/>
  <c r="K29" i="29" a="1"/>
  <c r="K29" i="29" s="1"/>
  <c r="J29" i="29" a="1"/>
  <c r="J29" i="29" s="1"/>
  <c r="I29" i="29" a="1"/>
  <c r="I29" i="29" s="1"/>
  <c r="H29" i="29" a="1"/>
  <c r="H29" i="29" s="1"/>
  <c r="G29" i="29" a="1"/>
  <c r="G29" i="29" s="1"/>
  <c r="F29" i="29" a="1"/>
  <c r="F29" i="29" s="1"/>
  <c r="E29" i="29" a="1"/>
  <c r="E29" i="29" s="1"/>
  <c r="E35" i="31" s="1"/>
  <c r="D29" i="29" a="1"/>
  <c r="D29" i="29" s="1"/>
  <c r="L28" i="29" a="1"/>
  <c r="L28" i="29" s="1"/>
  <c r="K28" i="29" a="1"/>
  <c r="K28" i="29" s="1"/>
  <c r="J28" i="29" a="1"/>
  <c r="J28" i="29" s="1"/>
  <c r="I28" i="29" a="1"/>
  <c r="I28" i="29" s="1"/>
  <c r="H28" i="29" a="1"/>
  <c r="H28" i="29" s="1"/>
  <c r="G28" i="29" a="1"/>
  <c r="G28" i="29" s="1"/>
  <c r="F28" i="29" a="1"/>
  <c r="F28" i="29" s="1"/>
  <c r="E28" i="29" a="1"/>
  <c r="E28" i="29" s="1"/>
  <c r="E34" i="31" s="1"/>
  <c r="D28" i="29" a="1"/>
  <c r="D28" i="29" s="1"/>
  <c r="L27" i="29" a="1"/>
  <c r="L27" i="29" s="1"/>
  <c r="K27" i="29" a="1"/>
  <c r="K27" i="29" s="1"/>
  <c r="J27" i="29" a="1"/>
  <c r="J27" i="29" s="1"/>
  <c r="I27" i="29" a="1"/>
  <c r="I27" i="29" s="1"/>
  <c r="H27" i="29" a="1"/>
  <c r="H27" i="29" s="1"/>
  <c r="G27" i="29" a="1"/>
  <c r="G27" i="29" s="1"/>
  <c r="F27" i="29" a="1"/>
  <c r="F27" i="29" s="1"/>
  <c r="E27" i="29" a="1"/>
  <c r="E27" i="29" s="1"/>
  <c r="D27" i="29" a="1"/>
  <c r="D27" i="29" s="1"/>
  <c r="L26" i="29" a="1"/>
  <c r="L26" i="29" s="1"/>
  <c r="K26" i="29" a="1"/>
  <c r="K26" i="29" s="1"/>
  <c r="J26" i="29" a="1"/>
  <c r="J26" i="29" s="1"/>
  <c r="I26" i="29" a="1"/>
  <c r="I26" i="29" s="1"/>
  <c r="H26" i="29" a="1"/>
  <c r="H26" i="29" s="1"/>
  <c r="G26" i="29" a="1"/>
  <c r="G26" i="29" s="1"/>
  <c r="F26" i="29" a="1"/>
  <c r="F26" i="29" s="1"/>
  <c r="E26" i="29" a="1"/>
  <c r="E26" i="29" s="1"/>
  <c r="D26" i="29" a="1"/>
  <c r="D26" i="29" s="1"/>
  <c r="L25" i="29" a="1"/>
  <c r="L25" i="29" s="1"/>
  <c r="K25" i="29" a="1"/>
  <c r="K25" i="29" s="1"/>
  <c r="J25" i="29" a="1"/>
  <c r="J25" i="29" s="1"/>
  <c r="I25" i="29" a="1"/>
  <c r="I25" i="29" s="1"/>
  <c r="H25" i="29" a="1"/>
  <c r="H25" i="29" s="1"/>
  <c r="G25" i="29" a="1"/>
  <c r="G25" i="29" s="1"/>
  <c r="F25" i="29" a="1"/>
  <c r="F25" i="29" s="1"/>
  <c r="E25" i="29" a="1"/>
  <c r="E25" i="29" s="1"/>
  <c r="D25" i="29" a="1"/>
  <c r="D25" i="29" s="1"/>
  <c r="L24" i="29" a="1"/>
  <c r="L24" i="29" s="1"/>
  <c r="K24" i="29" a="1"/>
  <c r="K24" i="29" s="1"/>
  <c r="J24" i="29" a="1"/>
  <c r="J24" i="29" s="1"/>
  <c r="I24" i="29" a="1"/>
  <c r="I24" i="29" s="1"/>
  <c r="H24" i="29" a="1"/>
  <c r="H24" i="29" s="1"/>
  <c r="G24" i="29" a="1"/>
  <c r="G24" i="29" s="1"/>
  <c r="F24" i="29" a="1"/>
  <c r="F24" i="29" s="1"/>
  <c r="E24" i="29" a="1"/>
  <c r="E24" i="29" s="1"/>
  <c r="D24" i="29" a="1"/>
  <c r="D24" i="29" s="1"/>
  <c r="L23" i="29" a="1"/>
  <c r="L23" i="29" s="1"/>
  <c r="K23" i="29" a="1"/>
  <c r="K23" i="29" s="1"/>
  <c r="J23" i="29" a="1"/>
  <c r="J23" i="29" s="1"/>
  <c r="I23" i="29" a="1"/>
  <c r="I23" i="29" s="1"/>
  <c r="H23" i="29" a="1"/>
  <c r="H23" i="29" s="1"/>
  <c r="G23" i="29" a="1"/>
  <c r="G23" i="29" s="1"/>
  <c r="F23" i="29" a="1"/>
  <c r="F23" i="29" s="1"/>
  <c r="E23" i="29" a="1"/>
  <c r="E23" i="29" s="1"/>
  <c r="D23" i="29" a="1"/>
  <c r="D23" i="29" s="1"/>
  <c r="L22" i="29" a="1"/>
  <c r="L22" i="29" s="1"/>
  <c r="K22" i="29" a="1"/>
  <c r="K22" i="29" s="1"/>
  <c r="J22" i="29" a="1"/>
  <c r="J22" i="29" s="1"/>
  <c r="I22" i="29" a="1"/>
  <c r="I22" i="29" s="1"/>
  <c r="H22" i="29" a="1"/>
  <c r="H22" i="29" s="1"/>
  <c r="G22" i="29" a="1"/>
  <c r="G22" i="29" s="1"/>
  <c r="F22" i="29" a="1"/>
  <c r="F22" i="29" s="1"/>
  <c r="E22" i="29" a="1"/>
  <c r="E22" i="29" s="1"/>
  <c r="D22" i="29" a="1"/>
  <c r="D22" i="29" s="1"/>
  <c r="L21" i="29" a="1"/>
  <c r="L21" i="29" s="1"/>
  <c r="K21" i="29" a="1"/>
  <c r="K21" i="29" s="1"/>
  <c r="J21" i="29" a="1"/>
  <c r="J21" i="29" s="1"/>
  <c r="I21" i="29" a="1"/>
  <c r="I21" i="29" s="1"/>
  <c r="H21" i="29" a="1"/>
  <c r="H21" i="29" s="1"/>
  <c r="G21" i="29" a="1"/>
  <c r="G21" i="29" s="1"/>
  <c r="F21" i="29" a="1"/>
  <c r="F21" i="29" s="1"/>
  <c r="E21" i="29" a="1"/>
  <c r="E21" i="29" s="1"/>
  <c r="D21" i="29" a="1"/>
  <c r="D21" i="29" s="1"/>
  <c r="L20" i="29" a="1"/>
  <c r="L20" i="29" s="1"/>
  <c r="K20" i="29" a="1"/>
  <c r="K20" i="29" s="1"/>
  <c r="J20" i="29" a="1"/>
  <c r="J20" i="29" s="1"/>
  <c r="I20" i="29" a="1"/>
  <c r="I20" i="29" s="1"/>
  <c r="H20" i="29" a="1"/>
  <c r="H20" i="29" s="1"/>
  <c r="G20" i="29" a="1"/>
  <c r="G20" i="29" s="1"/>
  <c r="F20" i="29" a="1"/>
  <c r="F20" i="29" s="1"/>
  <c r="E20" i="29" a="1"/>
  <c r="E20" i="29" s="1"/>
  <c r="D20" i="29" a="1"/>
  <c r="D20" i="29" s="1"/>
  <c r="L19" i="29" a="1"/>
  <c r="L19" i="29" s="1"/>
  <c r="K19" i="29" a="1"/>
  <c r="K19" i="29" s="1"/>
  <c r="J19" i="29" a="1"/>
  <c r="J19" i="29" s="1"/>
  <c r="I19" i="29" a="1"/>
  <c r="I19" i="29" s="1"/>
  <c r="H19" i="29" a="1"/>
  <c r="H19" i="29" s="1"/>
  <c r="G19" i="29" a="1"/>
  <c r="G19" i="29" s="1"/>
  <c r="F19" i="29" a="1"/>
  <c r="F19" i="29" s="1"/>
  <c r="E19" i="29" a="1"/>
  <c r="E19" i="29" s="1"/>
  <c r="D19" i="29" a="1"/>
  <c r="D19" i="29" s="1"/>
  <c r="L18" i="29" a="1"/>
  <c r="L18" i="29" s="1"/>
  <c r="K18" i="29" a="1"/>
  <c r="K18" i="29" s="1"/>
  <c r="J18" i="29" a="1"/>
  <c r="J18" i="29" s="1"/>
  <c r="I18" i="29" a="1"/>
  <c r="I18" i="29" s="1"/>
  <c r="H18" i="29" a="1"/>
  <c r="H18" i="29" s="1"/>
  <c r="G18" i="29" a="1"/>
  <c r="G18" i="29" s="1"/>
  <c r="F18" i="29" a="1"/>
  <c r="F18" i="29" s="1"/>
  <c r="E18" i="29" a="1"/>
  <c r="E18" i="29" s="1"/>
  <c r="D18" i="29" a="1"/>
  <c r="D18" i="29" s="1"/>
  <c r="L17" i="29" a="1"/>
  <c r="L17" i="29" s="1"/>
  <c r="K17" i="29" a="1"/>
  <c r="K17" i="29" s="1"/>
  <c r="J17" i="29" a="1"/>
  <c r="J17" i="29" s="1"/>
  <c r="I17" i="29" a="1"/>
  <c r="I17" i="29" s="1"/>
  <c r="H17" i="29" a="1"/>
  <c r="H17" i="29" s="1"/>
  <c r="G17" i="29" a="1"/>
  <c r="G17" i="29" s="1"/>
  <c r="F17" i="29" a="1"/>
  <c r="F17" i="29" s="1"/>
  <c r="E17" i="29" a="1"/>
  <c r="E17" i="29" s="1"/>
  <c r="E32" i="31" s="1"/>
  <c r="D17" i="29" a="1"/>
  <c r="D17" i="29" s="1"/>
  <c r="L16" i="29" a="1"/>
  <c r="L16" i="29" s="1"/>
  <c r="K16" i="29" a="1"/>
  <c r="K16" i="29" s="1"/>
  <c r="J16" i="29" a="1"/>
  <c r="J16" i="29" s="1"/>
  <c r="I16" i="29" a="1"/>
  <c r="I16" i="29" s="1"/>
  <c r="H16" i="29" a="1"/>
  <c r="H16" i="29" s="1"/>
  <c r="G16" i="29" a="1"/>
  <c r="G16" i="29" s="1"/>
  <c r="F16" i="29" a="1"/>
  <c r="F16" i="29" s="1"/>
  <c r="E16" i="29" a="1"/>
  <c r="E16" i="29" s="1"/>
  <c r="E31" i="31" s="1"/>
  <c r="D16" i="29" a="1"/>
  <c r="D16" i="29" s="1"/>
  <c r="L15" i="29" a="1"/>
  <c r="L15" i="29" s="1"/>
  <c r="K15" i="29" a="1"/>
  <c r="K15" i="29" s="1"/>
  <c r="J15" i="29" a="1"/>
  <c r="J15" i="29" s="1"/>
  <c r="I15" i="29" a="1"/>
  <c r="I15" i="29" s="1"/>
  <c r="H15" i="29" a="1"/>
  <c r="H15" i="29" s="1"/>
  <c r="G15" i="29" a="1"/>
  <c r="G15" i="29" s="1"/>
  <c r="F15" i="29" a="1"/>
  <c r="F15" i="29" s="1"/>
  <c r="E15" i="29" a="1"/>
  <c r="E15" i="29" s="1"/>
  <c r="E30" i="31" s="1"/>
  <c r="D15" i="29" a="1"/>
  <c r="D15" i="29" s="1"/>
  <c r="L14" i="29" a="1"/>
  <c r="L14" i="29" s="1"/>
  <c r="K14" i="29" a="1"/>
  <c r="K14" i="29" s="1"/>
  <c r="J14" i="29" a="1"/>
  <c r="J14" i="29" s="1"/>
  <c r="I14" i="29" a="1"/>
  <c r="I14" i="29" s="1"/>
  <c r="H14" i="29" a="1"/>
  <c r="H14" i="29" s="1"/>
  <c r="G14" i="29" a="1"/>
  <c r="G14" i="29" s="1"/>
  <c r="F14" i="29" a="1"/>
  <c r="F14" i="29" s="1"/>
  <c r="E14" i="29" a="1"/>
  <c r="E14" i="29" s="1"/>
  <c r="E29" i="31" s="1"/>
  <c r="D14" i="29" a="1"/>
  <c r="D14" i="29" s="1"/>
  <c r="L13" i="29" a="1"/>
  <c r="L13" i="29" s="1"/>
  <c r="K13" i="29" a="1"/>
  <c r="K13" i="29" s="1"/>
  <c r="J13" i="29" a="1"/>
  <c r="J13" i="29" s="1"/>
  <c r="I13" i="29" a="1"/>
  <c r="I13" i="29" s="1"/>
  <c r="H13" i="29" a="1"/>
  <c r="H13" i="29" s="1"/>
  <c r="G13" i="29" a="1"/>
  <c r="G13" i="29" s="1"/>
  <c r="F13" i="29" a="1"/>
  <c r="F13" i="29" s="1"/>
  <c r="E13" i="29" a="1"/>
  <c r="E13" i="29" s="1"/>
  <c r="E28" i="31" s="1"/>
  <c r="D13" i="29" a="1"/>
  <c r="D13" i="29" s="1"/>
  <c r="L12" i="29" a="1"/>
  <c r="L12" i="29" s="1"/>
  <c r="K12" i="29" a="1"/>
  <c r="K12" i="29" s="1"/>
  <c r="J12" i="29" a="1"/>
  <c r="J12" i="29" s="1"/>
  <c r="I12" i="29" a="1"/>
  <c r="I12" i="29" s="1"/>
  <c r="H12" i="29" a="1"/>
  <c r="H12" i="29" s="1"/>
  <c r="G12" i="29" a="1"/>
  <c r="G12" i="29" s="1"/>
  <c r="F12" i="29" a="1"/>
  <c r="F12" i="29" s="1"/>
  <c r="E12" i="29" a="1"/>
  <c r="E12" i="29" s="1"/>
  <c r="E27" i="31" s="1"/>
  <c r="D12" i="29" a="1"/>
  <c r="D12" i="29" s="1"/>
  <c r="L11" i="29" a="1"/>
  <c r="L11" i="29" s="1"/>
  <c r="K11" i="29" a="1"/>
  <c r="K11" i="29" s="1"/>
  <c r="J11" i="29" a="1"/>
  <c r="J11" i="29" s="1"/>
  <c r="I11" i="29" a="1"/>
  <c r="I11" i="29" s="1"/>
  <c r="H11" i="29" a="1"/>
  <c r="H11" i="29" s="1"/>
  <c r="G11" i="29" a="1"/>
  <c r="G11" i="29" s="1"/>
  <c r="F11" i="29" a="1"/>
  <c r="F11" i="29" s="1"/>
  <c r="E11" i="29" a="1"/>
  <c r="E11" i="29" s="1"/>
  <c r="E33" i="31" s="1"/>
  <c r="D11" i="29" a="1"/>
  <c r="D11" i="29" s="1"/>
  <c r="L10" i="29" a="1"/>
  <c r="L10" i="29" s="1"/>
  <c r="K10" i="29" a="1"/>
  <c r="K10" i="29" s="1"/>
  <c r="J10" i="29" a="1"/>
  <c r="J10" i="29" s="1"/>
  <c r="I10" i="29" a="1"/>
  <c r="I10" i="29" s="1"/>
  <c r="H10" i="29" a="1"/>
  <c r="H10" i="29" s="1"/>
  <c r="G10" i="29" a="1"/>
  <c r="G10" i="29" s="1"/>
  <c r="F10" i="29" a="1"/>
  <c r="F10" i="29" s="1"/>
  <c r="E10" i="29" a="1"/>
  <c r="E10" i="29" s="1"/>
  <c r="D10" i="29" a="1"/>
  <c r="D10" i="29" s="1"/>
  <c r="D8" i="29" a="1"/>
  <c r="D8" i="29" s="1"/>
  <c r="D7" i="29" a="1"/>
  <c r="D7" i="29" s="1"/>
  <c r="D6" i="29" a="1"/>
  <c r="D6" i="29" s="1"/>
  <c r="D5" i="29" a="1"/>
  <c r="D5" i="29" s="1"/>
  <c r="L8" i="32" a="1"/>
  <c r="E7" i="32" a="1"/>
  <c r="L7" i="31" a="1"/>
  <c r="E7" i="31" a="1"/>
  <c r="L34" i="32" l="1" a="1"/>
  <c r="L34" i="32" s="1"/>
  <c r="M34" i="32" a="1"/>
  <c r="M34" i="32" s="1"/>
  <c r="L25" i="31" a="1"/>
  <c r="L25" i="31" s="1"/>
  <c r="M25" i="31" a="1"/>
  <c r="M25" i="31" s="1"/>
  <c r="L30" i="31" a="1"/>
  <c r="L30" i="31" s="1"/>
  <c r="M33" i="31" a="1"/>
  <c r="M33" i="31" s="1"/>
  <c r="L33" i="31" a="1"/>
  <c r="L33" i="31" s="1"/>
  <c r="L26" i="31" a="1"/>
  <c r="L26" i="31" s="1"/>
  <c r="L25" i="32" a="1"/>
  <c r="L25" i="32" s="1"/>
  <c r="L38" i="31" a="1"/>
  <c r="L38" i="31" s="1"/>
  <c r="L36" i="31" a="1"/>
  <c r="L36" i="31" s="1"/>
  <c r="M30" i="31" a="1"/>
  <c r="M30" i="31" s="1"/>
  <c r="D34" i="32"/>
  <c r="D35" i="32"/>
  <c r="L35" i="32" s="1" a="1"/>
  <c r="L35" i="32" s="1"/>
  <c r="D30" i="31"/>
  <c r="D36" i="32"/>
  <c r="L36" i="32" s="1" a="1"/>
  <c r="L36" i="32" s="1"/>
  <c r="E26" i="32"/>
  <c r="G26" i="32" s="1"/>
  <c r="K25" i="32"/>
  <c r="J35" i="32"/>
  <c r="E34" i="32"/>
  <c r="H34" i="32" s="1"/>
  <c r="J39" i="32"/>
  <c r="K39" i="32" a="1"/>
  <c r="K39" i="32" s="1"/>
  <c r="J33" i="32"/>
  <c r="K31" i="32"/>
  <c r="I36" i="32"/>
  <c r="K36" i="32"/>
  <c r="J36" i="32"/>
  <c r="J40" i="32"/>
  <c r="G40" i="32"/>
  <c r="J30" i="32"/>
  <c r="G30" i="32"/>
  <c r="K30" i="32"/>
  <c r="K27" i="32"/>
  <c r="E32" i="32"/>
  <c r="G32" i="32" s="1"/>
  <c r="E28" i="32"/>
  <c r="H28" i="32" s="1"/>
  <c r="E37" i="32"/>
  <c r="J37" i="32" s="1"/>
  <c r="E38" i="32"/>
  <c r="H38" i="32" s="1"/>
  <c r="E29" i="32"/>
  <c r="K29" i="32" s="1"/>
  <c r="L34" i="31" a="1"/>
  <c r="L34" i="31" s="1"/>
  <c r="K40" i="32" a="1"/>
  <c r="K40" i="32" s="1"/>
  <c r="G25" i="32"/>
  <c r="G27" i="32"/>
  <c r="G31" i="32"/>
  <c r="M33" i="32" a="1"/>
  <c r="M33" i="32" s="1"/>
  <c r="D27" i="32"/>
  <c r="L27" i="32" s="1" a="1"/>
  <c r="L27" i="32" s="1"/>
  <c r="H25" i="32"/>
  <c r="H27" i="32"/>
  <c r="H31" i="32"/>
  <c r="G33" i="32"/>
  <c r="G35" i="32"/>
  <c r="G39" i="32"/>
  <c r="L37" i="32" a="1"/>
  <c r="L37" i="32" s="1"/>
  <c r="D28" i="32"/>
  <c r="L28" i="32" s="1" a="1"/>
  <c r="L28" i="32" s="1"/>
  <c r="I25" i="32"/>
  <c r="I27" i="32"/>
  <c r="I31" i="32"/>
  <c r="H33" i="32"/>
  <c r="H35" i="32"/>
  <c r="H39" i="32"/>
  <c r="M36" i="32" a="1"/>
  <c r="M36" i="32" s="1"/>
  <c r="D29" i="32"/>
  <c r="L29" i="32" s="1" a="1"/>
  <c r="L29" i="32" s="1"/>
  <c r="J25" i="32"/>
  <c r="J27" i="32"/>
  <c r="J31" i="32"/>
  <c r="I33" i="32"/>
  <c r="I35" i="32"/>
  <c r="I39" i="32"/>
  <c r="L26" i="32" a="1"/>
  <c r="L26" i="32" s="1"/>
  <c r="D30" i="32"/>
  <c r="L30" i="32" s="1" a="1"/>
  <c r="L30" i="32" s="1"/>
  <c r="M32" i="32" a="1"/>
  <c r="M32" i="32" s="1"/>
  <c r="K33" i="32"/>
  <c r="K35" i="32"/>
  <c r="H30" i="32"/>
  <c r="G36" i="32"/>
  <c r="H40" i="32"/>
  <c r="I30" i="32"/>
  <c r="H36" i="32"/>
  <c r="I40" i="32"/>
  <c r="K28" i="31" a="1"/>
  <c r="K28" i="31" s="1"/>
  <c r="H31" i="31" a="1"/>
  <c r="H31" i="31" s="1"/>
  <c r="I36" i="31" a="1"/>
  <c r="I36" i="31" s="1"/>
  <c r="H35" i="31" a="1"/>
  <c r="H35" i="31" s="1"/>
  <c r="I30" i="31" a="1"/>
  <c r="I30" i="31" s="1"/>
  <c r="I33" i="31" a="1"/>
  <c r="I33" i="31" s="1"/>
  <c r="I27" i="31" a="1"/>
  <c r="I27" i="31" s="1"/>
  <c r="G29" i="31" a="1"/>
  <c r="G29" i="31" s="1"/>
  <c r="E7" i="32"/>
  <c r="L8" i="32"/>
  <c r="K32" i="31" a="1"/>
  <c r="K32" i="31" s="1"/>
  <c r="J32" i="31" a="1"/>
  <c r="J32" i="31" s="1"/>
  <c r="H39" i="31" a="1"/>
  <c r="H39" i="31" s="1"/>
  <c r="J33" i="31" a="1"/>
  <c r="J33" i="31" s="1"/>
  <c r="F50" i="32"/>
  <c r="J39" i="31" a="1"/>
  <c r="J39" i="31" s="1"/>
  <c r="D39" i="32"/>
  <c r="L39" i="32" s="1" a="1"/>
  <c r="L39" i="32" s="1"/>
  <c r="D42" i="32"/>
  <c r="G32" i="31" a="1"/>
  <c r="G32" i="31" s="1"/>
  <c r="F51" i="32"/>
  <c r="G27" i="31" a="1"/>
  <c r="G27" i="31" s="1"/>
  <c r="F43" i="32"/>
  <c r="H29" i="31" a="1"/>
  <c r="H29" i="31" s="1"/>
  <c r="K39" i="31" a="1"/>
  <c r="K39" i="31" s="1"/>
  <c r="G33" i="31" a="1"/>
  <c r="G33" i="31" s="1"/>
  <c r="H27" i="31" a="1"/>
  <c r="H27" i="31" s="1"/>
  <c r="F52" i="32"/>
  <c r="E37" i="31"/>
  <c r="K37" i="31" s="1" a="1"/>
  <c r="K37" i="31" s="1"/>
  <c r="F44" i="32"/>
  <c r="E25" i="31"/>
  <c r="J25" i="31" s="1" a="1"/>
  <c r="J25" i="31" s="1"/>
  <c r="K33" i="31" a="1"/>
  <c r="K33" i="31" s="1"/>
  <c r="D26" i="32"/>
  <c r="D33" i="32"/>
  <c r="F55" i="32"/>
  <c r="E38" i="31"/>
  <c r="K38" i="31" s="1" a="1"/>
  <c r="K38" i="31" s="1"/>
  <c r="F45" i="32"/>
  <c r="E26" i="31"/>
  <c r="I26" i="31" s="1" a="1"/>
  <c r="I26" i="31" s="1"/>
  <c r="H33" i="31" a="1"/>
  <c r="H33" i="31" s="1"/>
  <c r="I32" i="31" a="1"/>
  <c r="I32" i="31" s="1"/>
  <c r="J27" i="31" a="1"/>
  <c r="J27" i="31" s="1"/>
  <c r="D31" i="32"/>
  <c r="L31" i="32" s="1" a="1"/>
  <c r="L31" i="32" s="1"/>
  <c r="D40" i="32"/>
  <c r="F56" i="32"/>
  <c r="K27" i="31" a="1"/>
  <c r="K27" i="31" s="1"/>
  <c r="D38" i="32"/>
  <c r="L38" i="32" s="1" a="1"/>
  <c r="L38" i="32" s="1"/>
  <c r="F46" i="32"/>
  <c r="D48" i="32"/>
  <c r="F57" i="32"/>
  <c r="F49" i="32"/>
  <c r="J34" i="31" a="1"/>
  <c r="J34" i="31" s="1"/>
  <c r="L27" i="31" a="1"/>
  <c r="L27" i="31" s="1"/>
  <c r="L29" i="31" a="1"/>
  <c r="L29" i="31" s="1"/>
  <c r="G36" i="31" a="1"/>
  <c r="G36" i="31" s="1"/>
  <c r="K31" i="31" a="1"/>
  <c r="K31" i="31" s="1"/>
  <c r="L37" i="31" a="1"/>
  <c r="L37" i="31" s="1"/>
  <c r="G31" i="31" a="1"/>
  <c r="G31" i="31" s="1"/>
  <c r="G28" i="31" a="1"/>
  <c r="G28" i="31" s="1"/>
  <c r="L28" i="31" a="1"/>
  <c r="L28" i="31" s="1"/>
  <c r="D54" i="31"/>
  <c r="H30" i="31" a="1"/>
  <c r="H30" i="31" s="1"/>
  <c r="J36" i="31" a="1"/>
  <c r="J36" i="31" s="1"/>
  <c r="K36" i="31" a="1"/>
  <c r="K36" i="31" s="1"/>
  <c r="I35" i="31" a="1"/>
  <c r="I35" i="31" s="1"/>
  <c r="I31" i="31" a="1"/>
  <c r="I31" i="31" s="1"/>
  <c r="K35" i="31" a="1"/>
  <c r="K35" i="31" s="1"/>
  <c r="J28" i="31" a="1"/>
  <c r="J28" i="31" s="1"/>
  <c r="M29" i="31" a="1"/>
  <c r="M29" i="31" s="1"/>
  <c r="H32" i="31" a="1"/>
  <c r="H32" i="31" s="1"/>
  <c r="I29" i="31" a="1"/>
  <c r="I29" i="31" s="1"/>
  <c r="K30" i="31" a="1"/>
  <c r="K30" i="31" s="1"/>
  <c r="J35" i="31" a="1"/>
  <c r="J35" i="31" s="1"/>
  <c r="M27" i="31" a="1"/>
  <c r="M27" i="31" s="1"/>
  <c r="H28" i="31" a="1"/>
  <c r="H28" i="31" s="1"/>
  <c r="G34" i="31" a="1"/>
  <c r="G34" i="31" s="1"/>
  <c r="G30" i="31" a="1"/>
  <c r="G30" i="31" s="1"/>
  <c r="J31" i="31" a="1"/>
  <c r="J31" i="31" s="1"/>
  <c r="D27" i="31"/>
  <c r="K29" i="31" a="1"/>
  <c r="K29" i="31" s="1"/>
  <c r="M35" i="31" a="1"/>
  <c r="M35" i="31" s="1"/>
  <c r="H34" i="31" a="1"/>
  <c r="H34" i="31" s="1"/>
  <c r="J29" i="31" a="1"/>
  <c r="J29" i="31" s="1"/>
  <c r="H36" i="31" a="1"/>
  <c r="H36" i="31" s="1"/>
  <c r="K34" i="31" a="1"/>
  <c r="K34" i="31" s="1"/>
  <c r="J30" i="31" a="1"/>
  <c r="J30" i="31" s="1"/>
  <c r="G35" i="31" a="1"/>
  <c r="G35" i="31" s="1"/>
  <c r="I39" i="31" a="1"/>
  <c r="I39" i="31" s="1"/>
  <c r="I28" i="31" a="1"/>
  <c r="I28" i="31" s="1"/>
  <c r="G39" i="31" a="1"/>
  <c r="G39" i="31" s="1"/>
  <c r="I34" i="31" a="1"/>
  <c r="I34" i="31" s="1"/>
  <c r="M34" i="31" a="1"/>
  <c r="M34" i="31" s="1"/>
  <c r="E7" i="31"/>
  <c r="L7" i="31"/>
  <c r="F44" i="31"/>
  <c r="F63" i="31"/>
  <c r="F45" i="31"/>
  <c r="F55" i="31"/>
  <c r="F64" i="31"/>
  <c r="F46" i="31"/>
  <c r="F56" i="31"/>
  <c r="D32" i="31"/>
  <c r="L32" i="31" s="1" a="1"/>
  <c r="L32" i="31" s="1"/>
  <c r="F67" i="31"/>
  <c r="F57" i="31"/>
  <c r="F49" i="31"/>
  <c r="F68" i="31"/>
  <c r="D31" i="31"/>
  <c r="L31" i="31" s="1" a="1"/>
  <c r="L31" i="31" s="1"/>
  <c r="F58" i="31"/>
  <c r="F50" i="31"/>
  <c r="D60" i="31"/>
  <c r="D42" i="31"/>
  <c r="F69" i="31"/>
  <c r="F51" i="31"/>
  <c r="F61" i="31"/>
  <c r="F43" i="31"/>
  <c r="F70" i="31"/>
  <c r="F52" i="31"/>
  <c r="I26" i="32" l="1"/>
  <c r="K26" i="32"/>
  <c r="Q26" i="32" s="1" a="1"/>
  <c r="Q26" i="32" s="1"/>
  <c r="H26" i="32"/>
  <c r="N26" i="32" s="1" a="1"/>
  <c r="N26" i="32" s="1"/>
  <c r="J26" i="32"/>
  <c r="P26" i="32" s="1" a="1"/>
  <c r="P26" i="32" s="1"/>
  <c r="G34" i="32"/>
  <c r="K34" i="32"/>
  <c r="J34" i="32"/>
  <c r="Q33" i="31" a="1"/>
  <c r="Q33" i="31" s="1"/>
  <c r="E52" i="31" s="1"/>
  <c r="N30" i="31" a="1"/>
  <c r="N30" i="31" s="1"/>
  <c r="Q35" i="32" a="1"/>
  <c r="Q35" i="32" s="1"/>
  <c r="I34" i="32"/>
  <c r="I25" i="31" a="1"/>
  <c r="I25" i="31" s="1"/>
  <c r="P36" i="32" a="1"/>
  <c r="P36" i="32" s="1"/>
  <c r="P33" i="31" a="1"/>
  <c r="P33" i="31" s="1"/>
  <c r="E51" i="31" s="1"/>
  <c r="N33" i="31" a="1"/>
  <c r="N33" i="31" s="1"/>
  <c r="E49" i="31" s="1"/>
  <c r="I37" i="32"/>
  <c r="I38" i="31" a="1"/>
  <c r="I38" i="31" s="1"/>
  <c r="Q34" i="31" a="1"/>
  <c r="Q34" i="31" s="1"/>
  <c r="Q39" i="32" a="1"/>
  <c r="Q39" i="32" s="1"/>
  <c r="O36" i="31" a="1"/>
  <c r="O36" i="31" s="1"/>
  <c r="N29" i="31" a="1"/>
  <c r="N29" i="31" s="1"/>
  <c r="O33" i="31" a="1"/>
  <c r="O33" i="31" s="1"/>
  <c r="E50" i="31" s="1"/>
  <c r="I29" i="32"/>
  <c r="I38" i="32"/>
  <c r="K38" i="32"/>
  <c r="J38" i="32"/>
  <c r="J29" i="32"/>
  <c r="I32" i="32"/>
  <c r="O32" i="32" s="1" a="1"/>
  <c r="O32" i="32" s="1"/>
  <c r="K32" i="32"/>
  <c r="Q32" i="32" s="1" a="1"/>
  <c r="Q32" i="32" s="1"/>
  <c r="J32" i="32"/>
  <c r="P32" i="32" s="1" a="1"/>
  <c r="P32" i="32" s="1"/>
  <c r="N36" i="32" a="1"/>
  <c r="N36" i="32" s="1"/>
  <c r="J28" i="32"/>
  <c r="K28" i="32"/>
  <c r="G28" i="32"/>
  <c r="N28" i="32" s="1" a="1"/>
  <c r="N28" i="32" s="1"/>
  <c r="G37" i="32"/>
  <c r="P37" i="32" s="1" a="1"/>
  <c r="P37" i="32" s="1"/>
  <c r="H32" i="32"/>
  <c r="N32" i="32" s="1" a="1"/>
  <c r="N32" i="32" s="1"/>
  <c r="G29" i="32"/>
  <c r="Q29" i="32" s="1" a="1"/>
  <c r="Q29" i="32" s="1"/>
  <c r="Q36" i="32" a="1"/>
  <c r="Q36" i="32" s="1"/>
  <c r="I28" i="32"/>
  <c r="H37" i="32"/>
  <c r="H29" i="32"/>
  <c r="H25" i="31" a="1"/>
  <c r="H25" i="31" s="1"/>
  <c r="Q28" i="31" a="1"/>
  <c r="Q28" i="31" s="1"/>
  <c r="K37" i="32"/>
  <c r="G38" i="32"/>
  <c r="P30" i="32" a="1"/>
  <c r="P30" i="32" s="1"/>
  <c r="Q30" i="32" a="1"/>
  <c r="Q30" i="32" s="1"/>
  <c r="O30" i="32" a="1"/>
  <c r="O30" i="32" s="1"/>
  <c r="N30" i="32" a="1"/>
  <c r="N30" i="32" s="1"/>
  <c r="O36" i="32" a="1"/>
  <c r="O36" i="32" s="1"/>
  <c r="L40" i="32" a="1"/>
  <c r="L40" i="32" s="1"/>
  <c r="Q40" i="32" s="1" a="1"/>
  <c r="Q40" i="32" s="1"/>
  <c r="L33" i="32" a="1"/>
  <c r="L33" i="32" s="1"/>
  <c r="P33" i="32" s="1" a="1"/>
  <c r="P33" i="32" s="1"/>
  <c r="K25" i="31" a="1"/>
  <c r="K25" i="31" s="1"/>
  <c r="I37" i="31" a="1"/>
  <c r="I37" i="31" s="1"/>
  <c r="G25" i="31" a="1"/>
  <c r="G25" i="31" s="1"/>
  <c r="P27" i="31" a="1"/>
  <c r="P27" i="31" s="1"/>
  <c r="Q29" i="31" a="1"/>
  <c r="Q29" i="31" s="1"/>
  <c r="G26" i="31" a="1"/>
  <c r="G26" i="31" s="1"/>
  <c r="O26" i="31" s="1" a="1"/>
  <c r="O26" i="31" s="1"/>
  <c r="P39" i="32" a="1"/>
  <c r="P39" i="32" s="1"/>
  <c r="O39" i="32" a="1"/>
  <c r="O39" i="32" s="1"/>
  <c r="N39" i="32" a="1"/>
  <c r="N39" i="32" s="1"/>
  <c r="O34" i="31" a="1"/>
  <c r="O34" i="31" s="1"/>
  <c r="H37" i="31" a="1"/>
  <c r="H37" i="31" s="1"/>
  <c r="G37" i="31" a="1"/>
  <c r="G37" i="31" s="1"/>
  <c r="N35" i="32" a="1"/>
  <c r="N35" i="32" s="1"/>
  <c r="N25" i="32" a="1"/>
  <c r="N25" i="32" s="1"/>
  <c r="Q25" i="32" a="1"/>
  <c r="Q25" i="32" s="1"/>
  <c r="P25" i="32" a="1"/>
  <c r="P25" i="32" s="1"/>
  <c r="O25" i="32" a="1"/>
  <c r="O25" i="32" s="1"/>
  <c r="Q31" i="32" a="1"/>
  <c r="Q31" i="32" s="1"/>
  <c r="O35" i="32" a="1"/>
  <c r="O35" i="32" s="1"/>
  <c r="P35" i="32" a="1"/>
  <c r="P35" i="32" s="1"/>
  <c r="P31" i="32" a="1"/>
  <c r="P31" i="32" s="1"/>
  <c r="O31" i="32" a="1"/>
  <c r="O31" i="32" s="1"/>
  <c r="N31" i="32" a="1"/>
  <c r="N31" i="32" s="1"/>
  <c r="P28" i="31" a="1"/>
  <c r="P28" i="31" s="1"/>
  <c r="Q30" i="31" a="1"/>
  <c r="Q30" i="31" s="1"/>
  <c r="O27" i="32" a="1"/>
  <c r="O27" i="32" s="1"/>
  <c r="N27" i="32" a="1"/>
  <c r="N27" i="32" s="1"/>
  <c r="Q27" i="32" a="1"/>
  <c r="Q27" i="32" s="1"/>
  <c r="P27" i="32" a="1"/>
  <c r="P27" i="32" s="1"/>
  <c r="J38" i="31" a="1"/>
  <c r="J38" i="31" s="1"/>
  <c r="K26" i="31" a="1"/>
  <c r="K26" i="31" s="1"/>
  <c r="G38" i="31" a="1"/>
  <c r="G38" i="31" s="1"/>
  <c r="Q27" i="31" a="1"/>
  <c r="Q27" i="31" s="1"/>
  <c r="H38" i="31" a="1"/>
  <c r="H38" i="31" s="1"/>
  <c r="O26" i="32" a="1"/>
  <c r="O26" i="32" s="1"/>
  <c r="N27" i="31" a="1"/>
  <c r="N27" i="31" s="1"/>
  <c r="O27" i="31" a="1"/>
  <c r="O27" i="31" s="1"/>
  <c r="J37" i="31" a="1"/>
  <c r="J37" i="31" s="1"/>
  <c r="P29" i="31" a="1"/>
  <c r="P29" i="31" s="1"/>
  <c r="H26" i="31" a="1"/>
  <c r="H26" i="31" s="1"/>
  <c r="J26" i="31" a="1"/>
  <c r="J26" i="31" s="1"/>
  <c r="O30" i="31" a="1"/>
  <c r="O30" i="31" s="1"/>
  <c r="P34" i="31" a="1"/>
  <c r="P34" i="31" s="1"/>
  <c r="P30" i="31" a="1"/>
  <c r="P30" i="31" s="1"/>
  <c r="O29" i="31" a="1"/>
  <c r="O29" i="31" s="1"/>
  <c r="N34" i="31" a="1"/>
  <c r="N34" i="31" s="1"/>
  <c r="N35" i="31" a="1"/>
  <c r="N35" i="31" s="1"/>
  <c r="Q35" i="31" a="1"/>
  <c r="Q35" i="31" s="1"/>
  <c r="P35" i="31" a="1"/>
  <c r="P35" i="31" s="1"/>
  <c r="O35" i="31" a="1"/>
  <c r="O35" i="31" s="1"/>
  <c r="P36" i="31" a="1"/>
  <c r="P36" i="31" s="1"/>
  <c r="Q36" i="31" a="1"/>
  <c r="Q36" i="31" s="1"/>
  <c r="N36" i="31" a="1"/>
  <c r="N36" i="31" s="1"/>
  <c r="N28" i="31" a="1"/>
  <c r="N28" i="31" s="1"/>
  <c r="O31" i="31" a="1"/>
  <c r="O31" i="31" s="1"/>
  <c r="N31" i="31" a="1"/>
  <c r="N31" i="31" s="1"/>
  <c r="P31" i="31" a="1"/>
  <c r="P31" i="31" s="1"/>
  <c r="O28" i="31" a="1"/>
  <c r="O28" i="31" s="1"/>
  <c r="P32" i="31" a="1"/>
  <c r="P32" i="31" s="1"/>
  <c r="O32" i="31" a="1"/>
  <c r="O32" i="31" s="1"/>
  <c r="N32" i="31" a="1"/>
  <c r="N32" i="31" s="1"/>
  <c r="Q31" i="31" a="1"/>
  <c r="Q31" i="31" s="1"/>
  <c r="Q39" i="31" a="1"/>
  <c r="Q39" i="31" s="1"/>
  <c r="P39" i="31" a="1"/>
  <c r="P39" i="31" s="1"/>
  <c r="O39" i="31" a="1"/>
  <c r="O39" i="31" s="1"/>
  <c r="N39" i="31" a="1"/>
  <c r="N39" i="31" s="1"/>
  <c r="Q32" i="31" a="1"/>
  <c r="Q32" i="31" s="1"/>
  <c r="O25" i="31" l="1" a="1"/>
  <c r="O25" i="31" s="1"/>
  <c r="E44" i="31" s="1"/>
  <c r="Q34" i="32" a="1"/>
  <c r="Q34" i="32" s="1"/>
  <c r="P34" i="32" a="1"/>
  <c r="P34" i="32" s="1"/>
  <c r="N34" i="32" a="1"/>
  <c r="N34" i="32" s="1"/>
  <c r="O34" i="32" a="1"/>
  <c r="O34" i="32" s="1"/>
  <c r="O38" i="31" a="1"/>
  <c r="O38" i="31" s="1"/>
  <c r="N38" i="31" a="1"/>
  <c r="N38" i="31" s="1"/>
  <c r="Q26" i="31" a="1"/>
  <c r="Q26" i="31" s="1"/>
  <c r="N26" i="31" a="1"/>
  <c r="N26" i="31" s="1"/>
  <c r="P26" i="31" a="1"/>
  <c r="P26" i="31" s="1"/>
  <c r="O28" i="32" a="1"/>
  <c r="O28" i="32" s="1"/>
  <c r="O29" i="32" a="1"/>
  <c r="O29" i="32" s="1"/>
  <c r="N29" i="32" a="1"/>
  <c r="N29" i="32" s="1"/>
  <c r="E43" i="32" s="1"/>
  <c r="P29" i="32" a="1"/>
  <c r="P29" i="32" s="1"/>
  <c r="Q28" i="32" a="1"/>
  <c r="Q28" i="32" s="1"/>
  <c r="E46" i="32" s="1"/>
  <c r="N37" i="31" a="1"/>
  <c r="N37" i="31" s="1"/>
  <c r="Q25" i="31" a="1"/>
  <c r="Q25" i="31" s="1"/>
  <c r="P38" i="32" a="1"/>
  <c r="P38" i="32" s="1"/>
  <c r="P38" i="31" a="1"/>
  <c r="P38" i="31" s="1"/>
  <c r="Q37" i="32" a="1"/>
  <c r="Q37" i="32" s="1"/>
  <c r="Q38" i="32" a="1"/>
  <c r="Q38" i="32" s="1"/>
  <c r="P28" i="32" a="1"/>
  <c r="P28" i="32" s="1"/>
  <c r="N25" i="31" a="1"/>
  <c r="N25" i="31" s="1"/>
  <c r="N38" i="32" a="1"/>
  <c r="N38" i="32" s="1"/>
  <c r="N37" i="32" a="1"/>
  <c r="N37" i="32" s="1"/>
  <c r="P25" i="31" a="1"/>
  <c r="P25" i="31" s="1"/>
  <c r="O38" i="32" a="1"/>
  <c r="O38" i="32" s="1"/>
  <c r="O37" i="32" a="1"/>
  <c r="O37" i="32" s="1"/>
  <c r="E58" i="31"/>
  <c r="O40" i="32" a="1"/>
  <c r="O40" i="32" s="1"/>
  <c r="E56" i="31"/>
  <c r="Q33" i="32" a="1"/>
  <c r="Q33" i="32" s="1"/>
  <c r="N33" i="32" a="1"/>
  <c r="N33" i="32" s="1"/>
  <c r="N40" i="32" a="1"/>
  <c r="N40" i="32" s="1"/>
  <c r="P40" i="32" a="1"/>
  <c r="P40" i="32" s="1"/>
  <c r="O33" i="32" a="1"/>
  <c r="O33" i="32" s="1"/>
  <c r="Q38" i="31" a="1"/>
  <c r="Q38" i="31" s="1"/>
  <c r="Q37" i="31" a="1"/>
  <c r="Q37" i="31" s="1"/>
  <c r="O37" i="31" a="1"/>
  <c r="O37" i="31" s="1"/>
  <c r="P37" i="31" a="1"/>
  <c r="P37" i="31" s="1"/>
  <c r="E57" i="31"/>
  <c r="E55" i="31"/>
  <c r="E62" i="31" l="1"/>
  <c r="E68" i="31" s="1"/>
  <c r="E45" i="31"/>
  <c r="E43" i="31"/>
  <c r="E51" i="32"/>
  <c r="E44" i="32"/>
  <c r="E61" i="31"/>
  <c r="E45" i="32"/>
  <c r="E46" i="31"/>
  <c r="E52" i="32"/>
  <c r="E58" i="32" s="1"/>
  <c r="I531" i="19" s="1"/>
  <c r="E63" i="31"/>
  <c r="E50" i="32"/>
  <c r="E49" i="32"/>
  <c r="E55" i="32" s="1"/>
  <c r="E64" i="31"/>
  <c r="E67" i="31" l="1"/>
  <c r="E69" i="31"/>
  <c r="E57" i="32"/>
  <c r="E56" i="32"/>
  <c r="E70" i="31"/>
  <c r="I530" i="19" l="1"/>
  <c r="E533" i="19" s="1" a="1"/>
  <c r="E533" i="19" s="1"/>
  <c r="I496" i="19" a="1"/>
  <c r="I496" i="19" s="1"/>
  <c r="I494" i="19" a="1"/>
  <c r="I494" i="19" s="1"/>
  <c r="I485" i="19" a="1"/>
  <c r="I485" i="19" s="1"/>
  <c r="I483" i="19" a="1"/>
  <c r="I483" i="19" s="1"/>
  <c r="I481" i="19" a="1"/>
  <c r="I481" i="19" s="1"/>
  <c r="G439" i="19" a="1"/>
  <c r="G439" i="19" s="1"/>
  <c r="D439" i="19" a="1"/>
  <c r="D439" i="19" s="1"/>
  <c r="E437" i="19" a="1"/>
  <c r="E437" i="19" s="1"/>
  <c r="E436" i="19" a="1"/>
  <c r="E436" i="19" s="1"/>
  <c r="D431" i="19" a="1"/>
  <c r="D431" i="19" s="1"/>
  <c r="D430" i="19" a="1"/>
  <c r="D430" i="19" s="1"/>
  <c r="F414" i="19" a="1"/>
  <c r="F414" i="19" s="1"/>
  <c r="E414" i="19" a="1"/>
  <c r="E414" i="19" s="1"/>
  <c r="J414" i="19" s="1" a="1"/>
  <c r="J414" i="19" s="1"/>
  <c r="D414" i="19" a="1"/>
  <c r="D414" i="19" s="1"/>
  <c r="F407" i="19" a="1"/>
  <c r="F407" i="19" s="1"/>
  <c r="D407" i="19" a="1"/>
  <c r="D407" i="19" s="1"/>
  <c r="E405" i="19" a="1"/>
  <c r="E405" i="19" s="1"/>
  <c r="E404" i="19" a="1"/>
  <c r="E404" i="19" s="1"/>
  <c r="D399" i="19" a="1"/>
  <c r="D399" i="19" s="1"/>
  <c r="D398" i="19" a="1"/>
  <c r="D398" i="19" s="1"/>
  <c r="D369" i="19" a="1"/>
  <c r="D369" i="19" s="1"/>
  <c r="F377" i="19" a="1"/>
  <c r="F377" i="19" s="1"/>
  <c r="D377" i="19" a="1"/>
  <c r="D377" i="19" s="1"/>
  <c r="E375" i="19" a="1"/>
  <c r="E375" i="19" s="1"/>
  <c r="E374" i="19" a="1"/>
  <c r="E374" i="19" s="1"/>
  <c r="D368" i="19" a="1"/>
  <c r="D368" i="19" s="1"/>
  <c r="D367" i="19" a="1"/>
  <c r="D367" i="19" s="1"/>
  <c r="G344" i="19" a="1"/>
  <c r="G344" i="19" s="1"/>
  <c r="D344" i="19" a="1"/>
  <c r="D344" i="19" s="1"/>
  <c r="E342" i="19" a="1"/>
  <c r="E342" i="19" s="1"/>
  <c r="E341" i="19" a="1"/>
  <c r="E341" i="19" s="1"/>
  <c r="D337" i="19" a="1"/>
  <c r="D337" i="19" s="1"/>
  <c r="D336" i="19" a="1"/>
  <c r="D336" i="19" s="1"/>
  <c r="F311" i="19" a="1"/>
  <c r="F311" i="19" s="1"/>
  <c r="D311" i="19" a="1"/>
  <c r="D311" i="19" s="1"/>
  <c r="E309" i="19" a="1"/>
  <c r="E309" i="19" s="1"/>
  <c r="E308" i="19" a="1"/>
  <c r="E308" i="19" s="1"/>
  <c r="D304" i="19" a="1"/>
  <c r="D304" i="19" s="1"/>
  <c r="D303" i="19" a="1"/>
  <c r="D303" i="19" s="1"/>
  <c r="G280" i="19" a="1"/>
  <c r="G280" i="19" s="1"/>
  <c r="D280" i="19" a="1"/>
  <c r="D280" i="19" s="1"/>
  <c r="E278" i="19" a="1"/>
  <c r="E278" i="19" s="1"/>
  <c r="E277" i="19" a="1"/>
  <c r="E277" i="19" s="1"/>
  <c r="D272" i="19" a="1"/>
  <c r="D272" i="19" s="1"/>
  <c r="D271" i="19" a="1"/>
  <c r="D271" i="19" s="1"/>
  <c r="G195" i="19" a="1"/>
  <c r="G195" i="19" s="1"/>
  <c r="D195" i="19" a="1"/>
  <c r="D195" i="19" s="1"/>
  <c r="G209" i="19" a="1"/>
  <c r="G209" i="19" s="1"/>
  <c r="D209" i="19" a="1"/>
  <c r="D209" i="19" s="1"/>
  <c r="G224" i="19" a="1"/>
  <c r="G224" i="19" s="1"/>
  <c r="D224" i="19" a="1"/>
  <c r="D224" i="19" s="1"/>
  <c r="E193" i="19" a="1"/>
  <c r="E193" i="19" s="1"/>
  <c r="E192" i="19" a="1"/>
  <c r="E192" i="19" s="1"/>
  <c r="D188" i="19" a="1"/>
  <c r="D188" i="19" s="1"/>
  <c r="D187" i="19" a="1"/>
  <c r="D187" i="19" s="1"/>
  <c r="D186" i="19" a="1"/>
  <c r="D186" i="19" s="1"/>
  <c r="D217" i="19" a="1"/>
  <c r="D217" i="19" s="1"/>
  <c r="E222" i="19" a="1"/>
  <c r="E222" i="19" s="1"/>
  <c r="E221" i="19" a="1"/>
  <c r="E221" i="19" s="1"/>
  <c r="D216" i="19" a="1"/>
  <c r="D216" i="19" s="1"/>
  <c r="D215" i="19" a="1"/>
  <c r="D215" i="19" s="1"/>
  <c r="D445" i="19" a="1"/>
  <c r="D445" i="19" s="1"/>
  <c r="E445" i="19" a="1"/>
  <c r="F445" i="19" a="1"/>
  <c r="J450" i="19" s="1" a="1"/>
  <c r="J450" i="19" s="1"/>
  <c r="E370" i="19" a="1"/>
  <c r="E203" i="19" a="1"/>
  <c r="E273" i="19" a="1"/>
  <c r="E189" i="19" a="1"/>
  <c r="E305" i="19" a="1"/>
  <c r="E101" i="19" a="1"/>
  <c r="E218" i="19" a="1"/>
  <c r="E433" i="19" a="1"/>
  <c r="E400" i="19" a="1"/>
  <c r="E338" i="19" a="1"/>
  <c r="E29" i="41" l="1"/>
  <c r="F29" i="41" s="1"/>
  <c r="E433" i="19"/>
  <c r="J423" i="19" a="1"/>
  <c r="J423" i="19" s="1"/>
  <c r="J446" i="19" a="1"/>
  <c r="J446" i="19" s="1"/>
  <c r="G315" i="19"/>
  <c r="J447" i="19" a="1"/>
  <c r="J447" i="19" s="1"/>
  <c r="J448" i="19" a="1"/>
  <c r="J448" i="19" s="1"/>
  <c r="J449" i="19" a="1"/>
  <c r="J449" i="19" s="1"/>
  <c r="K420" i="19"/>
  <c r="K421" i="19"/>
  <c r="J415" i="19" a="1"/>
  <c r="J415" i="19" s="1"/>
  <c r="J417" i="19" a="1"/>
  <c r="J417" i="19" s="1"/>
  <c r="K423" i="19"/>
  <c r="J419" i="19" a="1"/>
  <c r="J419" i="19" s="1"/>
  <c r="K415" i="19"/>
  <c r="J420" i="19" a="1"/>
  <c r="J420" i="19" s="1"/>
  <c r="J418" i="19" a="1"/>
  <c r="J418" i="19" s="1"/>
  <c r="K416" i="19"/>
  <c r="J421" i="19" a="1"/>
  <c r="J421" i="19" s="1"/>
  <c r="J416" i="19" a="1"/>
  <c r="J416" i="19" s="1"/>
  <c r="K419" i="19"/>
  <c r="J422" i="19" a="1"/>
  <c r="J422" i="19" s="1"/>
  <c r="E400" i="19"/>
  <c r="K417" i="19"/>
  <c r="K418" i="19"/>
  <c r="K422" i="19"/>
  <c r="K414" i="19"/>
  <c r="E370" i="19"/>
  <c r="E338" i="19"/>
  <c r="E305" i="19"/>
  <c r="E273" i="19"/>
  <c r="E189" i="19"/>
  <c r="E203" i="19"/>
  <c r="E218" i="19"/>
  <c r="F445" i="19"/>
  <c r="J445" i="19" s="1" a="1"/>
  <c r="J445" i="19" s="1"/>
  <c r="E445" i="19"/>
  <c r="E101" i="19"/>
  <c r="E104" i="19" a="1"/>
  <c r="E104" i="19" s="1"/>
  <c r="E105" i="19" a="1"/>
  <c r="E105" i="19" s="1"/>
  <c r="E120" i="19" a="1"/>
  <c r="M120" i="19" a="1"/>
  <c r="N120" i="19" a="1"/>
  <c r="N120" i="19" s="1"/>
  <c r="O120" i="19" a="1"/>
  <c r="Q120" i="19" a="1"/>
  <c r="R120" i="19" a="1"/>
  <c r="R120" i="19" s="1"/>
  <c r="S120" i="19" a="1"/>
  <c r="S120" i="19" s="1"/>
  <c r="U120" i="19" a="1"/>
  <c r="V120" i="19" a="1"/>
  <c r="V120" i="19" s="1"/>
  <c r="W120" i="19" a="1"/>
  <c r="W120" i="19" s="1"/>
  <c r="Y120" i="19" a="1"/>
  <c r="Z120" i="19" a="1"/>
  <c r="Z120" i="19" s="1"/>
  <c r="AA120" i="19" a="1"/>
  <c r="AA120" i="19" s="1"/>
  <c r="E166" i="19" a="1"/>
  <c r="F155" i="19" l="1"/>
  <c r="F156" i="19"/>
  <c r="I122" i="19" a="1"/>
  <c r="I122" i="19" s="1"/>
  <c r="I121" i="19" a="1"/>
  <c r="I121" i="19" s="1"/>
  <c r="Y120" i="19"/>
  <c r="F636" i="19"/>
  <c r="F635" i="19"/>
  <c r="F657" i="19"/>
  <c r="F653" i="19"/>
  <c r="F656" i="19"/>
  <c r="F654" i="19"/>
  <c r="E426" i="19"/>
  <c r="F22" i="41" s="1"/>
  <c r="U120" i="19"/>
  <c r="F142" i="19"/>
  <c r="F131" i="19"/>
  <c r="F143" i="19"/>
  <c r="F159" i="19"/>
  <c r="F160" i="19"/>
  <c r="F132" i="19"/>
  <c r="M120" i="19"/>
  <c r="E120" i="19"/>
  <c r="Q120" i="19"/>
  <c r="O120" i="19"/>
  <c r="E166" i="19"/>
  <c r="E169" i="19" a="1"/>
  <c r="E169" i="19" s="1"/>
  <c r="E170" i="19" a="1"/>
  <c r="E170" i="19" s="1"/>
  <c r="E207" i="19" a="1"/>
  <c r="E207" i="19" s="1"/>
  <c r="E206" i="19" a="1"/>
  <c r="E206" i="19" s="1"/>
  <c r="D202" i="19" a="1"/>
  <c r="D202" i="19" s="1"/>
  <c r="D201" i="19" a="1"/>
  <c r="D201" i="19" s="1"/>
  <c r="D165" i="19" a="1"/>
  <c r="D165" i="19" s="1"/>
  <c r="D164" i="19" a="1"/>
  <c r="D164" i="19" s="1"/>
  <c r="D99" i="19" a="1"/>
  <c r="D99" i="19" s="1"/>
  <c r="D98" i="19" a="1"/>
  <c r="D98" i="19"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I120" i="19" l="1" a="1"/>
  <c r="I120" i="19" s="1"/>
  <c r="F570" i="19"/>
  <c r="F548" i="19"/>
  <c r="F533" i="19"/>
  <c r="F181" i="19"/>
  <c r="F474" i="19"/>
  <c r="F488" i="19"/>
  <c r="F517" i="19"/>
  <c r="F263" i="19"/>
  <c r="F487" i="19"/>
  <c r="F516" i="19"/>
  <c r="F363" i="19"/>
  <c r="F362" i="19"/>
  <c r="F299" i="19"/>
  <c r="F298" i="19"/>
  <c r="F426" i="19"/>
  <c r="F425" i="19"/>
  <c r="F499" i="19"/>
  <c r="F394" i="19"/>
  <c r="F264" i="19"/>
  <c r="F498" i="19"/>
  <c r="F393" i="19"/>
  <c r="F457" i="19"/>
  <c r="F332" i="19"/>
  <c r="F456" i="19"/>
  <c r="F331" i="19"/>
  <c r="F267" i="19"/>
  <c r="F266" i="19"/>
  <c r="F475" i="19"/>
  <c r="E182" i="19"/>
  <c r="F16" i="41" s="1"/>
  <c r="F182" i="19"/>
  <c r="F35" i="19"/>
  <c r="F34" i="19"/>
  <c r="F93" i="19"/>
  <c r="F94" i="19"/>
  <c r="J61" i="19" a="1"/>
  <c r="J61" i="19" s="1"/>
  <c r="F72" i="19"/>
  <c r="F73" i="19"/>
  <c r="F53" i="19"/>
  <c r="F54" i="19"/>
  <c r="F90" i="19"/>
  <c r="J62" i="19" a="1"/>
  <c r="J62" i="19" s="1"/>
  <c r="E7" i="19"/>
  <c r="H79" i="19" l="1" a="1"/>
  <c r="H79" i="19" s="1"/>
  <c r="E79" i="19" a="1"/>
  <c r="H42" i="19" a="1"/>
  <c r="H42" i="19" s="1"/>
  <c r="J42" i="19" s="1" a="1"/>
  <c r="J42" i="19" s="1"/>
  <c r="G23" i="19" a="1"/>
  <c r="K23" i="19" a="1"/>
  <c r="K23" i="19" s="1"/>
  <c r="G351" i="19" a="1"/>
  <c r="G351" i="19" s="1"/>
  <c r="L351" i="19" s="1"/>
  <c r="F351" i="19" a="1"/>
  <c r="E351" i="19" a="1"/>
  <c r="E351" i="19" s="1"/>
  <c r="D351" i="19" a="1"/>
  <c r="D351" i="19" s="1"/>
  <c r="F505" i="19" a="1"/>
  <c r="F505" i="19" s="1"/>
  <c r="E505" i="19" a="1"/>
  <c r="D505" i="19" a="1"/>
  <c r="D505" i="19" s="1"/>
  <c r="K514" i="19" l="1" a="1"/>
  <c r="K514" i="19" s="1"/>
  <c r="K513" i="19" a="1"/>
  <c r="K513" i="19" s="1"/>
  <c r="K512" i="19" a="1"/>
  <c r="K512" i="19" s="1"/>
  <c r="K511" i="19" a="1"/>
  <c r="K511" i="19" s="1"/>
  <c r="K510" i="19" a="1"/>
  <c r="K510" i="19" s="1"/>
  <c r="K509" i="19" a="1"/>
  <c r="K509" i="19" s="1"/>
  <c r="K508" i="19" a="1"/>
  <c r="K508" i="19" s="1"/>
  <c r="K507" i="19" a="1"/>
  <c r="K507" i="19" s="1"/>
  <c r="K506" i="19" a="1"/>
  <c r="K506" i="19" s="1"/>
  <c r="F351" i="19"/>
  <c r="K351" i="19" s="1" a="1"/>
  <c r="K351" i="19" s="1"/>
  <c r="K355" i="19" a="1"/>
  <c r="K355" i="19" s="1"/>
  <c r="K360" i="19" a="1"/>
  <c r="K360" i="19" s="1"/>
  <c r="K359" i="19" a="1"/>
  <c r="K359" i="19" s="1"/>
  <c r="K356" i="19" a="1"/>
  <c r="K356" i="19" s="1"/>
  <c r="K354" i="19" a="1"/>
  <c r="K354" i="19" s="1"/>
  <c r="K357" i="19" a="1"/>
  <c r="K357" i="19" s="1"/>
  <c r="K353" i="19" a="1"/>
  <c r="K353" i="19" s="1"/>
  <c r="K352" i="19" a="1"/>
  <c r="K352" i="19" s="1"/>
  <c r="K358" i="19" a="1"/>
  <c r="K358" i="19" s="1"/>
  <c r="E79" i="19"/>
  <c r="G23" i="19"/>
  <c r="M23" i="19" s="1" a="1"/>
  <c r="M23" i="19" s="1"/>
  <c r="M24" i="19" a="1"/>
  <c r="M24" i="19" s="1"/>
  <c r="L356" i="19"/>
  <c r="L352" i="19"/>
  <c r="L354" i="19"/>
  <c r="L353" i="19"/>
  <c r="L355" i="19"/>
  <c r="L357" i="19"/>
  <c r="L358" i="19"/>
  <c r="L359" i="19"/>
  <c r="L360" i="19"/>
  <c r="E505" i="19"/>
  <c r="K505" i="19" s="1" a="1"/>
  <c r="K505" i="19" s="1"/>
  <c r="E517" i="19" l="1"/>
  <c r="F28" i="41" s="1"/>
  <c r="E363" i="19"/>
  <c r="F20" i="41" s="1"/>
  <c r="J79" i="19" a="1"/>
  <c r="J79" i="19" s="1"/>
  <c r="D79" i="19" l="1" a="1"/>
  <c r="D79" i="19" s="1"/>
  <c r="E123" i="26" a="1"/>
  <c r="E123" i="26" s="1"/>
  <c r="D123" i="26" a="1"/>
  <c r="D123" i="26" s="1"/>
  <c r="E122" i="26" a="1"/>
  <c r="E122" i="26" s="1"/>
  <c r="D122" i="26" a="1"/>
  <c r="D122" i="26" s="1"/>
  <c r="E121" i="26" a="1"/>
  <c r="E121" i="26" s="1"/>
  <c r="D121" i="26" a="1"/>
  <c r="D121" i="26" s="1"/>
  <c r="E120" i="26" a="1"/>
  <c r="E120" i="26" s="1"/>
  <c r="D120" i="26" a="1"/>
  <c r="D120" i="26" s="1"/>
  <c r="D118" i="26" a="1"/>
  <c r="D118" i="26" s="1"/>
  <c r="D117" i="26" a="1"/>
  <c r="D117" i="26" s="1"/>
  <c r="F115" i="26" a="1"/>
  <c r="F115" i="26" s="1"/>
  <c r="E115" i="26" a="1"/>
  <c r="E115" i="26" s="1"/>
  <c r="D115" i="26" a="1"/>
  <c r="D115" i="26" s="1"/>
  <c r="D114" i="26" a="1"/>
  <c r="D114" i="26" s="1"/>
  <c r="D113" i="26" a="1"/>
  <c r="D113" i="26" s="1"/>
  <c r="D112" i="26" a="1"/>
  <c r="D112" i="26" s="1"/>
  <c r="E110" i="26" a="1"/>
  <c r="E110" i="26" s="1"/>
  <c r="D110" i="26" a="1"/>
  <c r="D110" i="26" s="1"/>
  <c r="D109" i="26" a="1"/>
  <c r="D109" i="26" s="1"/>
  <c r="D108" i="26" a="1"/>
  <c r="D108" i="26" s="1"/>
  <c r="F105" i="26" a="1"/>
  <c r="F105" i="26" s="1"/>
  <c r="E105" i="26" a="1"/>
  <c r="E105" i="26" s="1"/>
  <c r="D105" i="26" a="1"/>
  <c r="D105" i="26" s="1"/>
  <c r="F104" i="26" a="1"/>
  <c r="F104" i="26" s="1"/>
  <c r="E104" i="26" a="1"/>
  <c r="E104" i="26" s="1"/>
  <c r="D104" i="26" a="1"/>
  <c r="D104" i="26" s="1"/>
  <c r="F103" i="26" a="1"/>
  <c r="F103" i="26" s="1"/>
  <c r="E103" i="26" a="1"/>
  <c r="E103" i="26" s="1"/>
  <c r="D103" i="26" a="1"/>
  <c r="D103" i="26" s="1"/>
  <c r="F102" i="26" a="1"/>
  <c r="F102" i="26" s="1"/>
  <c r="E102" i="26" a="1"/>
  <c r="E102" i="26" s="1"/>
  <c r="D102" i="26" a="1"/>
  <c r="D102" i="26" s="1"/>
  <c r="F101" i="26" a="1"/>
  <c r="F101" i="26" s="1"/>
  <c r="E101" i="26" a="1"/>
  <c r="E101" i="26" s="1"/>
  <c r="D101" i="26" a="1"/>
  <c r="D101" i="26" s="1"/>
  <c r="F100" i="26" a="1"/>
  <c r="F100" i="26" s="1"/>
  <c r="E100" i="26" a="1"/>
  <c r="E100" i="26" s="1"/>
  <c r="D100" i="26" a="1"/>
  <c r="D100" i="26" s="1"/>
  <c r="F99" i="26" a="1"/>
  <c r="F99" i="26" s="1"/>
  <c r="E99" i="26" a="1"/>
  <c r="E99" i="26" s="1"/>
  <c r="D99" i="26" a="1"/>
  <c r="D99" i="26" s="1"/>
  <c r="F98" i="26" a="1"/>
  <c r="F98" i="26" s="1"/>
  <c r="E98" i="26" a="1"/>
  <c r="E98" i="26" s="1"/>
  <c r="D98" i="26" a="1"/>
  <c r="D98" i="26" s="1"/>
  <c r="D96" i="26" a="1"/>
  <c r="D96" i="26" s="1"/>
  <c r="D95" i="26" a="1"/>
  <c r="D95" i="26" s="1"/>
  <c r="D94" i="26" a="1"/>
  <c r="D94" i="26" s="1"/>
  <c r="F91" i="26" a="1"/>
  <c r="F91" i="26" s="1"/>
  <c r="E91" i="26" a="1"/>
  <c r="E91" i="26" s="1"/>
  <c r="D91" i="26" a="1"/>
  <c r="D91" i="26" s="1"/>
  <c r="F90" i="26" a="1"/>
  <c r="F90" i="26" s="1"/>
  <c r="E90" i="26" a="1"/>
  <c r="E90" i="26" s="1"/>
  <c r="D90" i="26" a="1"/>
  <c r="D90" i="26" s="1"/>
  <c r="F89" i="26" a="1"/>
  <c r="F89" i="26" s="1"/>
  <c r="E89" i="26" a="1"/>
  <c r="E89" i="26" s="1"/>
  <c r="D89" i="26" a="1"/>
  <c r="D89" i="26" s="1"/>
  <c r="F88" i="26" a="1"/>
  <c r="F88" i="26" s="1"/>
  <c r="E88" i="26" a="1"/>
  <c r="E88" i="26" s="1"/>
  <c r="D88" i="26" a="1"/>
  <c r="D88" i="26" s="1"/>
  <c r="F87" i="26" a="1"/>
  <c r="F87" i="26" s="1"/>
  <c r="E87" i="26" a="1"/>
  <c r="E87" i="26" s="1"/>
  <c r="D87" i="26" a="1"/>
  <c r="D87" i="26" s="1"/>
  <c r="F86" i="26" a="1"/>
  <c r="F86" i="26" s="1"/>
  <c r="E86" i="26" a="1"/>
  <c r="E86" i="26" s="1"/>
  <c r="D86" i="26" a="1"/>
  <c r="D86" i="26" s="1"/>
  <c r="F85" i="26" a="1"/>
  <c r="F85" i="26" s="1"/>
  <c r="E85" i="26" a="1"/>
  <c r="E85" i="26" s="1"/>
  <c r="D85" i="26" a="1"/>
  <c r="D85" i="26" s="1"/>
  <c r="D83" i="26" a="1"/>
  <c r="D83" i="26" s="1"/>
  <c r="D82" i="26" a="1"/>
  <c r="D82" i="26" s="1"/>
  <c r="D81" i="26" a="1"/>
  <c r="D81" i="26" s="1"/>
  <c r="F78" i="26" a="1"/>
  <c r="F78" i="26" s="1"/>
  <c r="E78" i="26" a="1"/>
  <c r="E78" i="26" s="1"/>
  <c r="D78" i="26" a="1"/>
  <c r="D78" i="26" s="1"/>
  <c r="F77" i="26" a="1"/>
  <c r="F77" i="26" s="1"/>
  <c r="E77" i="26" a="1"/>
  <c r="E77" i="26" s="1"/>
  <c r="D77" i="26" a="1"/>
  <c r="D77" i="26" s="1"/>
  <c r="F76" i="26" a="1"/>
  <c r="F76" i="26" s="1"/>
  <c r="E76" i="26" a="1"/>
  <c r="E76" i="26" s="1"/>
  <c r="D76" i="26" a="1"/>
  <c r="D76" i="26" s="1"/>
  <c r="D74" i="26" a="1"/>
  <c r="D74" i="26" s="1"/>
  <c r="D73" i="26" a="1"/>
  <c r="D73" i="26" s="1"/>
  <c r="D72" i="26" a="1"/>
  <c r="D72" i="26" s="1"/>
  <c r="N68" i="26" a="1"/>
  <c r="N68" i="26" s="1"/>
  <c r="M68" i="26" a="1"/>
  <c r="M68" i="26" s="1"/>
  <c r="L68" i="26" a="1"/>
  <c r="L68" i="26" s="1"/>
  <c r="K68" i="26" a="1"/>
  <c r="K68" i="26" s="1"/>
  <c r="J68" i="26" a="1"/>
  <c r="J68" i="26" s="1"/>
  <c r="I68" i="26" a="1"/>
  <c r="I68" i="26" s="1"/>
  <c r="H68" i="26" a="1"/>
  <c r="H68" i="26" s="1"/>
  <c r="G68" i="26" a="1"/>
  <c r="G68" i="26" s="1"/>
  <c r="F68" i="26" a="1"/>
  <c r="F68" i="26" s="1"/>
  <c r="E68" i="26" a="1"/>
  <c r="E68" i="26" s="1"/>
  <c r="D68" i="26" a="1"/>
  <c r="D68" i="26" s="1"/>
  <c r="N67" i="26" a="1"/>
  <c r="N67" i="26" s="1"/>
  <c r="M67" i="26" a="1"/>
  <c r="M67" i="26" s="1"/>
  <c r="L67" i="26" a="1"/>
  <c r="L67" i="26" s="1"/>
  <c r="K67" i="26" a="1"/>
  <c r="K67" i="26" s="1"/>
  <c r="J67" i="26" a="1"/>
  <c r="J67" i="26" s="1"/>
  <c r="I67" i="26" a="1"/>
  <c r="I67" i="26" s="1"/>
  <c r="H67" i="26" a="1"/>
  <c r="H67" i="26" s="1"/>
  <c r="G67" i="26" a="1"/>
  <c r="G67" i="26" s="1"/>
  <c r="F67" i="26" a="1"/>
  <c r="F67" i="26" s="1"/>
  <c r="E67" i="26" a="1"/>
  <c r="E67" i="26" s="1"/>
  <c r="D67" i="26" a="1"/>
  <c r="D67" i="26" s="1"/>
  <c r="N66" i="26" a="1"/>
  <c r="N66" i="26" s="1"/>
  <c r="M66" i="26" a="1"/>
  <c r="M66" i="26" s="1"/>
  <c r="L66" i="26" a="1"/>
  <c r="L66" i="26" s="1"/>
  <c r="K66" i="26" a="1"/>
  <c r="K66" i="26" s="1"/>
  <c r="J66" i="26" a="1"/>
  <c r="J66" i="26" s="1"/>
  <c r="I66" i="26" a="1"/>
  <c r="I66" i="26" s="1"/>
  <c r="H66" i="26" a="1"/>
  <c r="H66" i="26" s="1"/>
  <c r="G66" i="26" a="1"/>
  <c r="G66" i="26" s="1"/>
  <c r="F66" i="26" a="1"/>
  <c r="F66" i="26" s="1"/>
  <c r="E66" i="26" a="1"/>
  <c r="E66" i="26" s="1"/>
  <c r="D66" i="26" a="1"/>
  <c r="D66" i="26" s="1"/>
  <c r="N65" i="26" a="1"/>
  <c r="N65" i="26" s="1"/>
  <c r="M65" i="26" a="1"/>
  <c r="M65" i="26" s="1"/>
  <c r="L65" i="26" a="1"/>
  <c r="L65" i="26" s="1"/>
  <c r="K65" i="26" a="1"/>
  <c r="K65" i="26" s="1"/>
  <c r="J65" i="26" a="1"/>
  <c r="J65" i="26" s="1"/>
  <c r="I65" i="26" a="1"/>
  <c r="I65" i="26" s="1"/>
  <c r="H65" i="26" a="1"/>
  <c r="H65" i="26" s="1"/>
  <c r="G65" i="26" a="1"/>
  <c r="G65" i="26" s="1"/>
  <c r="F65" i="26" a="1"/>
  <c r="F65" i="26" s="1"/>
  <c r="E65" i="26" a="1"/>
  <c r="E65" i="26" s="1"/>
  <c r="D65" i="26" a="1"/>
  <c r="D65" i="26" s="1"/>
  <c r="N64" i="26" a="1"/>
  <c r="N64" i="26" s="1"/>
  <c r="M64" i="26" a="1"/>
  <c r="M64" i="26" s="1"/>
  <c r="L64" i="26" a="1"/>
  <c r="L64" i="26" s="1"/>
  <c r="K64" i="26" a="1"/>
  <c r="K64" i="26" s="1"/>
  <c r="J64" i="26" a="1"/>
  <c r="J64" i="26" s="1"/>
  <c r="I64" i="26" a="1"/>
  <c r="I64" i="26" s="1"/>
  <c r="H64" i="26" a="1"/>
  <c r="H64" i="26" s="1"/>
  <c r="G64" i="26" a="1"/>
  <c r="G64" i="26" s="1"/>
  <c r="F64" i="26" a="1"/>
  <c r="F64" i="26" s="1"/>
  <c r="E64" i="26" a="1"/>
  <c r="E64" i="26" s="1"/>
  <c r="D64" i="26" a="1"/>
  <c r="D64" i="26" s="1"/>
  <c r="N63" i="26" a="1"/>
  <c r="N63" i="26" s="1"/>
  <c r="M63" i="26" a="1"/>
  <c r="M63" i="26" s="1"/>
  <c r="L63" i="26" a="1"/>
  <c r="L63" i="26" s="1"/>
  <c r="K63" i="26" a="1"/>
  <c r="K63" i="26" s="1"/>
  <c r="J63" i="26" a="1"/>
  <c r="J63" i="26" s="1"/>
  <c r="I63" i="26" a="1"/>
  <c r="I63" i="26" s="1"/>
  <c r="H63" i="26" a="1"/>
  <c r="H63" i="26" s="1"/>
  <c r="G63" i="26" a="1"/>
  <c r="G63" i="26" s="1"/>
  <c r="F63" i="26" a="1"/>
  <c r="F63" i="26" s="1"/>
  <c r="E63" i="26" a="1"/>
  <c r="E63" i="26" s="1"/>
  <c r="D63" i="26" a="1"/>
  <c r="D63" i="26" s="1"/>
  <c r="N62" i="26" a="1"/>
  <c r="N62" i="26" s="1"/>
  <c r="M62" i="26" a="1"/>
  <c r="M62" i="26" s="1"/>
  <c r="L62" i="26" a="1"/>
  <c r="L62" i="26" s="1"/>
  <c r="K62" i="26" a="1"/>
  <c r="K62" i="26" s="1"/>
  <c r="J62" i="26" a="1"/>
  <c r="J62" i="26" s="1"/>
  <c r="I62" i="26" a="1"/>
  <c r="I62" i="26" s="1"/>
  <c r="H62" i="26" a="1"/>
  <c r="H62" i="26" s="1"/>
  <c r="G62" i="26" a="1"/>
  <c r="G62" i="26" s="1"/>
  <c r="F62" i="26" a="1"/>
  <c r="F62" i="26" s="1"/>
  <c r="E62" i="26" a="1"/>
  <c r="E62" i="26" s="1"/>
  <c r="D62" i="26" a="1"/>
  <c r="D62" i="26" s="1"/>
  <c r="N61" i="26" a="1"/>
  <c r="N61" i="26" s="1"/>
  <c r="M61" i="26" a="1"/>
  <c r="M61" i="26" s="1"/>
  <c r="L61" i="26" a="1"/>
  <c r="L61" i="26" s="1"/>
  <c r="K61" i="26" a="1"/>
  <c r="K61" i="26" s="1"/>
  <c r="J61" i="26" a="1"/>
  <c r="J61" i="26" s="1"/>
  <c r="I61" i="26" a="1"/>
  <c r="I61" i="26" s="1"/>
  <c r="H61" i="26" a="1"/>
  <c r="H61" i="26" s="1"/>
  <c r="G61" i="26" a="1"/>
  <c r="G61" i="26" s="1"/>
  <c r="F61" i="26" a="1"/>
  <c r="F61" i="26" s="1"/>
  <c r="E61" i="26" a="1"/>
  <c r="E61" i="26" s="1"/>
  <c r="D61" i="26" a="1"/>
  <c r="D61" i="26" s="1"/>
  <c r="N60" i="26" a="1"/>
  <c r="N60" i="26" s="1"/>
  <c r="M60" i="26" a="1"/>
  <c r="M60" i="26" s="1"/>
  <c r="L60" i="26" a="1"/>
  <c r="L60" i="26" s="1"/>
  <c r="K60" i="26" a="1"/>
  <c r="K60" i="26" s="1"/>
  <c r="J60" i="26" a="1"/>
  <c r="J60" i="26" s="1"/>
  <c r="I60" i="26" a="1"/>
  <c r="I60" i="26" s="1"/>
  <c r="H60" i="26" a="1"/>
  <c r="H60" i="26" s="1"/>
  <c r="G60" i="26" a="1"/>
  <c r="G60" i="26" s="1"/>
  <c r="F60" i="26" a="1"/>
  <c r="F60" i="26" s="1"/>
  <c r="E60" i="26" a="1"/>
  <c r="E60" i="26" s="1"/>
  <c r="D60" i="26" a="1"/>
  <c r="D60" i="26" s="1"/>
  <c r="D53" i="26" a="1"/>
  <c r="D53" i="26" s="1"/>
  <c r="D52" i="26" a="1"/>
  <c r="D52" i="26" s="1"/>
  <c r="D51" i="26" a="1"/>
  <c r="D51" i="26" s="1"/>
  <c r="D47" i="26" a="1"/>
  <c r="D47" i="26" s="1"/>
  <c r="D46" i="26" a="1"/>
  <c r="D46" i="26" s="1"/>
  <c r="D45" i="26" a="1"/>
  <c r="D45" i="26" s="1"/>
  <c r="E21" i="26" a="1"/>
  <c r="E21" i="26" s="1"/>
  <c r="D21" i="26" a="1"/>
  <c r="D21" i="26" s="1"/>
  <c r="E20" i="26" a="1"/>
  <c r="E20" i="26" s="1"/>
  <c r="D20" i="26" a="1"/>
  <c r="D20" i="26" s="1"/>
  <c r="D18" i="26" a="1"/>
  <c r="D18" i="26" s="1"/>
  <c r="D17" i="26" a="1"/>
  <c r="D17" i="26" s="1"/>
  <c r="H13" i="26" a="1"/>
  <c r="H13" i="26" s="1"/>
  <c r="G13" i="26" a="1"/>
  <c r="G13" i="26" s="1"/>
  <c r="F13" i="26" a="1"/>
  <c r="F13" i="26" s="1"/>
  <c r="E13" i="26" a="1"/>
  <c r="E13" i="26" s="1"/>
  <c r="D13" i="26" a="1"/>
  <c r="D13" i="26" s="1"/>
  <c r="H12" i="26" a="1"/>
  <c r="H12" i="26" s="1"/>
  <c r="G12" i="26" a="1"/>
  <c r="G12" i="26" s="1"/>
  <c r="F12" i="26" a="1"/>
  <c r="F12" i="26" s="1"/>
  <c r="E12" i="26" a="1"/>
  <c r="E12" i="26" s="1"/>
  <c r="D12" i="26" a="1"/>
  <c r="D12" i="26" s="1"/>
  <c r="H11" i="26" a="1"/>
  <c r="H11" i="26" s="1"/>
  <c r="G11" i="26" a="1"/>
  <c r="G11" i="26" s="1"/>
  <c r="F11" i="26" a="1"/>
  <c r="F11" i="26" s="1"/>
  <c r="E11" i="26" a="1"/>
  <c r="E11" i="26" s="1"/>
  <c r="D11" i="26" a="1"/>
  <c r="D11" i="26" s="1"/>
  <c r="H10" i="26" a="1"/>
  <c r="H10" i="26" s="1"/>
  <c r="G10" i="26" a="1"/>
  <c r="G10" i="26" s="1"/>
  <c r="F10" i="26" a="1"/>
  <c r="F10" i="26" s="1"/>
  <c r="E10" i="26" a="1"/>
  <c r="E10" i="26" s="1"/>
  <c r="D10" i="26" a="1"/>
  <c r="D10" i="26" s="1"/>
  <c r="H9" i="26" a="1"/>
  <c r="H9" i="26" s="1"/>
  <c r="G9" i="26" a="1"/>
  <c r="G9" i="26" s="1"/>
  <c r="F9" i="26" a="1"/>
  <c r="F9" i="26" s="1"/>
  <c r="E9" i="26" a="1"/>
  <c r="E9" i="26" s="1"/>
  <c r="D9" i="26" a="1"/>
  <c r="D9" i="26" s="1"/>
  <c r="D6" i="26" a="1"/>
  <c r="D6" i="26" s="1"/>
  <c r="D5" i="26" a="1"/>
  <c r="D5" i="26" s="1"/>
  <c r="G8" i="54" l="1" a="1"/>
  <c r="G8" i="54" s="1"/>
  <c r="G7" i="54" a="1"/>
  <c r="G7" i="54" s="1"/>
  <c r="G16" i="54" a="1"/>
  <c r="G16" i="54" s="1"/>
  <c r="G15" i="54" a="1"/>
  <c r="G15" i="54" s="1"/>
  <c r="G14" i="54" a="1"/>
  <c r="G14" i="54" s="1"/>
  <c r="G13" i="54" a="1"/>
  <c r="G13" i="54" s="1"/>
  <c r="G12" i="54" a="1"/>
  <c r="G12" i="54" s="1"/>
  <c r="G11" i="54" a="1"/>
  <c r="G11" i="54" s="1"/>
  <c r="G10" i="54" a="1"/>
  <c r="G10" i="54" s="1"/>
  <c r="G9" i="54" a="1"/>
  <c r="G9" i="54" s="1"/>
  <c r="D61" i="19" a="1"/>
  <c r="D61" i="19" s="1"/>
  <c r="E132" i="25" a="1"/>
  <c r="E132" i="25" s="1"/>
  <c r="D132" i="25" a="1"/>
  <c r="D132" i="25" s="1"/>
  <c r="E131" i="25" a="1"/>
  <c r="E131" i="25" s="1"/>
  <c r="D131" i="25" a="1"/>
  <c r="D131" i="25" s="1"/>
  <c r="E130" i="25" a="1"/>
  <c r="E130" i="25" s="1"/>
  <c r="D130" i="25" a="1"/>
  <c r="D130" i="25" s="1"/>
  <c r="E129" i="25" a="1"/>
  <c r="E129" i="25" s="1"/>
  <c r="D129" i="25" a="1"/>
  <c r="D129" i="25" s="1"/>
  <c r="E128" i="25" a="1"/>
  <c r="E128" i="25" s="1"/>
  <c r="D128" i="25" a="1"/>
  <c r="D128" i="25" s="1"/>
  <c r="D126" i="25" a="1"/>
  <c r="D126" i="25" s="1"/>
  <c r="D125" i="25" a="1"/>
  <c r="D125" i="25" s="1"/>
  <c r="F122" i="25" a="1"/>
  <c r="F122" i="25" s="1"/>
  <c r="E122" i="25" a="1"/>
  <c r="E122" i="25" s="1"/>
  <c r="D122" i="25" a="1"/>
  <c r="D122" i="25" s="1"/>
  <c r="D121" i="25" a="1"/>
  <c r="D121" i="25" s="1"/>
  <c r="D120" i="25" a="1"/>
  <c r="D120" i="25" s="1"/>
  <c r="F117" i="25" a="1"/>
  <c r="F117" i="25" s="1"/>
  <c r="E117" i="25" a="1"/>
  <c r="E117" i="25" s="1"/>
  <c r="D117" i="25" a="1"/>
  <c r="D117" i="25" s="1"/>
  <c r="F116" i="25" a="1"/>
  <c r="F116" i="25" s="1"/>
  <c r="E116" i="25" a="1"/>
  <c r="E116" i="25" s="1"/>
  <c r="D116" i="25" a="1"/>
  <c r="D116" i="25" s="1"/>
  <c r="F115" i="25" a="1"/>
  <c r="F115" i="25" s="1"/>
  <c r="E115" i="25" a="1"/>
  <c r="E115" i="25" s="1"/>
  <c r="D115" i="25" a="1"/>
  <c r="D115" i="25" s="1"/>
  <c r="F114" i="25" a="1"/>
  <c r="F114" i="25" s="1"/>
  <c r="E114" i="25" a="1"/>
  <c r="E114" i="25" s="1"/>
  <c r="D114" i="25" a="1"/>
  <c r="D114" i="25" s="1"/>
  <c r="F113" i="25" a="1"/>
  <c r="F113" i="25" s="1"/>
  <c r="E113" i="25" a="1"/>
  <c r="E113" i="25" s="1"/>
  <c r="D113" i="25" a="1"/>
  <c r="D113" i="25" s="1"/>
  <c r="F112" i="25" a="1"/>
  <c r="F112" i="25" s="1"/>
  <c r="E112" i="25" a="1"/>
  <c r="E112" i="25" s="1"/>
  <c r="D112" i="25" a="1"/>
  <c r="D112" i="25" s="1"/>
  <c r="D110" i="25" a="1"/>
  <c r="D110" i="25" s="1"/>
  <c r="D109" i="25" a="1"/>
  <c r="D109" i="25" s="1"/>
  <c r="D108" i="25" a="1"/>
  <c r="D108" i="25" s="1"/>
  <c r="F105" i="25" a="1"/>
  <c r="F105" i="25" s="1"/>
  <c r="E105" i="25" a="1"/>
  <c r="E105" i="25" s="1"/>
  <c r="D105" i="25" a="1"/>
  <c r="D105" i="25" s="1"/>
  <c r="F104" i="25" a="1"/>
  <c r="F104" i="25" s="1"/>
  <c r="E104" i="25" a="1"/>
  <c r="E104" i="25" s="1"/>
  <c r="D104" i="25" a="1"/>
  <c r="D104" i="25" s="1"/>
  <c r="F103" i="25" a="1"/>
  <c r="F103" i="25" s="1"/>
  <c r="E103" i="25" a="1"/>
  <c r="E103" i="25" s="1"/>
  <c r="D103" i="25" a="1"/>
  <c r="D103" i="25" s="1"/>
  <c r="F102" i="25" a="1"/>
  <c r="F102" i="25" s="1"/>
  <c r="E102" i="25" a="1"/>
  <c r="E102" i="25" s="1"/>
  <c r="D102" i="25" a="1"/>
  <c r="D102" i="25" s="1"/>
  <c r="F101" i="25" a="1"/>
  <c r="F101" i="25" s="1"/>
  <c r="E101" i="25" a="1"/>
  <c r="E101" i="25" s="1"/>
  <c r="D101" i="25" a="1"/>
  <c r="D101" i="25" s="1"/>
  <c r="F100" i="25" a="1"/>
  <c r="F100" i="25" s="1"/>
  <c r="E100" i="25" a="1"/>
  <c r="E100" i="25" s="1"/>
  <c r="D100" i="25" a="1"/>
  <c r="D100" i="25" s="1"/>
  <c r="D98" i="25" a="1"/>
  <c r="D98" i="25" s="1"/>
  <c r="D97" i="25" a="1"/>
  <c r="D97" i="25" s="1"/>
  <c r="D96" i="25" a="1"/>
  <c r="D96" i="25" s="1"/>
  <c r="G93" i="25" a="1"/>
  <c r="G93" i="25" s="1"/>
  <c r="F93" i="25" a="1"/>
  <c r="F93" i="25" s="1"/>
  <c r="E93" i="25" a="1"/>
  <c r="E93" i="25" s="1"/>
  <c r="D93" i="25" a="1"/>
  <c r="D93" i="25" s="1"/>
  <c r="G92" i="25" a="1"/>
  <c r="G92" i="25" s="1"/>
  <c r="F92" i="25" a="1"/>
  <c r="F92" i="25" s="1"/>
  <c r="E92" i="25" a="1"/>
  <c r="E92" i="25" s="1"/>
  <c r="D92" i="25" a="1"/>
  <c r="D92" i="25" s="1"/>
  <c r="G91" i="25" a="1"/>
  <c r="G91" i="25" s="1"/>
  <c r="F91" i="25" a="1"/>
  <c r="F91" i="25" s="1"/>
  <c r="E91" i="25" a="1"/>
  <c r="E91" i="25" s="1"/>
  <c r="D91" i="25" a="1"/>
  <c r="D91" i="25" s="1"/>
  <c r="G90" i="25" a="1"/>
  <c r="G90" i="25" s="1"/>
  <c r="F90" i="25" a="1"/>
  <c r="F90" i="25" s="1"/>
  <c r="E90" i="25" a="1"/>
  <c r="E90" i="25" s="1"/>
  <c r="D90" i="25" a="1"/>
  <c r="D90" i="25" s="1"/>
  <c r="D87" i="25" a="1"/>
  <c r="D87" i="25" s="1"/>
  <c r="D86" i="25" a="1"/>
  <c r="D86" i="25" s="1"/>
  <c r="D85" i="25" a="1"/>
  <c r="D85" i="25" s="1"/>
  <c r="E82" i="25" a="1"/>
  <c r="E82" i="25" s="1"/>
  <c r="D82" i="25" a="1"/>
  <c r="D82" i="25" s="1"/>
  <c r="E81" i="25" a="1"/>
  <c r="E81" i="25" s="1"/>
  <c r="D81" i="25" a="1"/>
  <c r="D81" i="25" s="1"/>
  <c r="E80" i="25" a="1"/>
  <c r="E80" i="25" s="1"/>
  <c r="D80" i="25" a="1"/>
  <c r="D80" i="25" s="1"/>
  <c r="E79" i="25" a="1"/>
  <c r="E79" i="25" s="1"/>
  <c r="D79" i="25" a="1"/>
  <c r="D79" i="25" s="1"/>
  <c r="D76" i="25" a="1"/>
  <c r="D76" i="25" s="1"/>
  <c r="D75" i="25" a="1"/>
  <c r="D75" i="25" s="1"/>
  <c r="D74" i="25" a="1"/>
  <c r="D74" i="25" s="1"/>
  <c r="E71" i="25" a="1"/>
  <c r="E71" i="25" s="1"/>
  <c r="D71" i="25" a="1"/>
  <c r="D71" i="25" s="1"/>
  <c r="E70" i="25" a="1"/>
  <c r="E70" i="25" s="1"/>
  <c r="D70" i="25" a="1"/>
  <c r="D70" i="25" s="1"/>
  <c r="E69" i="25" a="1"/>
  <c r="E69" i="25" s="1"/>
  <c r="D69" i="25" a="1"/>
  <c r="D69" i="25" s="1"/>
  <c r="E68" i="25" a="1"/>
  <c r="E68" i="25" s="1"/>
  <c r="D68" i="25" a="1"/>
  <c r="D68" i="25" s="1"/>
  <c r="D65" i="25" a="1"/>
  <c r="D65" i="25" s="1"/>
  <c r="D64" i="25" a="1"/>
  <c r="D64" i="25" s="1"/>
  <c r="D63" i="25" a="1"/>
  <c r="D63" i="25" s="1"/>
  <c r="G56" i="25" a="1"/>
  <c r="G56" i="25" s="1"/>
  <c r="G55" i="25" a="1"/>
  <c r="G55" i="25" s="1"/>
  <c r="G54" i="25" a="1"/>
  <c r="G54" i="25" s="1"/>
  <c r="M35" i="25" a="1"/>
  <c r="M35" i="25" s="1"/>
  <c r="L35" i="25" a="1"/>
  <c r="L35" i="25" s="1"/>
  <c r="K35" i="25" a="1"/>
  <c r="K35" i="25" s="1"/>
  <c r="J35" i="25" a="1"/>
  <c r="J35" i="25" s="1"/>
  <c r="I35" i="25" a="1"/>
  <c r="I35" i="25" s="1"/>
  <c r="H35" i="25" a="1"/>
  <c r="H35" i="25" s="1"/>
  <c r="G35" i="25" a="1"/>
  <c r="G35" i="25" s="1"/>
  <c r="F35" i="25" a="1"/>
  <c r="F35" i="25" s="1"/>
  <c r="E35" i="25" a="1"/>
  <c r="E35" i="25" s="1"/>
  <c r="D35" i="25" a="1"/>
  <c r="D35" i="25" s="1"/>
  <c r="M34" i="25" a="1"/>
  <c r="M34" i="25" s="1"/>
  <c r="L34" i="25" a="1"/>
  <c r="L34" i="25" s="1"/>
  <c r="K34" i="25" a="1"/>
  <c r="K34" i="25" s="1"/>
  <c r="J34" i="25" a="1"/>
  <c r="J34" i="25" s="1"/>
  <c r="I34" i="25" a="1"/>
  <c r="I34" i="25" s="1"/>
  <c r="H34" i="25" a="1"/>
  <c r="H34" i="25" s="1"/>
  <c r="G34" i="25" a="1"/>
  <c r="G34" i="25" s="1"/>
  <c r="F34" i="25" a="1"/>
  <c r="F34" i="25" s="1"/>
  <c r="E34" i="25" a="1"/>
  <c r="E34" i="25" s="1"/>
  <c r="D34" i="25" a="1"/>
  <c r="D34" i="25" s="1"/>
  <c r="M33" i="25" a="1"/>
  <c r="M33" i="25" s="1"/>
  <c r="L33" i="25" a="1"/>
  <c r="L33" i="25" s="1"/>
  <c r="K33" i="25" a="1"/>
  <c r="K33" i="25" s="1"/>
  <c r="J33" i="25" a="1"/>
  <c r="J33" i="25" s="1"/>
  <c r="I33" i="25" a="1"/>
  <c r="I33" i="25" s="1"/>
  <c r="H33" i="25" a="1"/>
  <c r="H33" i="25" s="1"/>
  <c r="G33" i="25" a="1"/>
  <c r="G33" i="25" s="1"/>
  <c r="F33" i="25" a="1"/>
  <c r="F33" i="25" s="1"/>
  <c r="E33" i="25" a="1"/>
  <c r="E33" i="25" s="1"/>
  <c r="D33" i="25" a="1"/>
  <c r="D33" i="25" s="1"/>
  <c r="M32" i="25" a="1"/>
  <c r="M32" i="25" s="1"/>
  <c r="L32" i="25" a="1"/>
  <c r="L32" i="25" s="1"/>
  <c r="K32" i="25" a="1"/>
  <c r="K32" i="25" s="1"/>
  <c r="J32" i="25" a="1"/>
  <c r="J32" i="25" s="1"/>
  <c r="I32" i="25" a="1"/>
  <c r="I32" i="25" s="1"/>
  <c r="H32" i="25" a="1"/>
  <c r="H32" i="25" s="1"/>
  <c r="G32" i="25" a="1"/>
  <c r="G32" i="25" s="1"/>
  <c r="F32" i="25" a="1"/>
  <c r="F32" i="25" s="1"/>
  <c r="E32" i="25" a="1"/>
  <c r="E32" i="25" s="1"/>
  <c r="D32" i="25" a="1"/>
  <c r="D32" i="25" s="1"/>
  <c r="M31" i="25" a="1"/>
  <c r="M31" i="25" s="1"/>
  <c r="L31" i="25" a="1"/>
  <c r="L31" i="25" s="1"/>
  <c r="K31" i="25" a="1"/>
  <c r="K31" i="25" s="1"/>
  <c r="J31" i="25" a="1"/>
  <c r="J31" i="25" s="1"/>
  <c r="I31" i="25" a="1"/>
  <c r="I31" i="25" s="1"/>
  <c r="H31" i="25" a="1"/>
  <c r="H31" i="25" s="1"/>
  <c r="G31" i="25" a="1"/>
  <c r="G31" i="25" s="1"/>
  <c r="F31" i="25" a="1"/>
  <c r="F31" i="25" s="1"/>
  <c r="E31" i="25" a="1"/>
  <c r="E31" i="25" s="1"/>
  <c r="D31" i="25" a="1"/>
  <c r="D31" i="25" s="1"/>
  <c r="M30" i="25" a="1"/>
  <c r="M30" i="25" s="1"/>
  <c r="L30" i="25" a="1"/>
  <c r="L30" i="25" s="1"/>
  <c r="K30" i="25" a="1"/>
  <c r="K30" i="25" s="1"/>
  <c r="J30" i="25" a="1"/>
  <c r="J30" i="25" s="1"/>
  <c r="I30" i="25" a="1"/>
  <c r="I30" i="25" s="1"/>
  <c r="H30" i="25" a="1"/>
  <c r="H30" i="25" s="1"/>
  <c r="G30" i="25" a="1"/>
  <c r="G30" i="25" s="1"/>
  <c r="F30" i="25" a="1"/>
  <c r="F30" i="25" s="1"/>
  <c r="E30" i="25" a="1"/>
  <c r="E30" i="25" s="1"/>
  <c r="D30" i="25" a="1"/>
  <c r="D30" i="25" s="1"/>
  <c r="M29" i="25" a="1"/>
  <c r="M29" i="25" s="1"/>
  <c r="L29" i="25" a="1"/>
  <c r="L29" i="25" s="1"/>
  <c r="K29" i="25" a="1"/>
  <c r="K29" i="25" s="1"/>
  <c r="J29" i="25" a="1"/>
  <c r="J29" i="25" s="1"/>
  <c r="I29" i="25" a="1"/>
  <c r="I29" i="25" s="1"/>
  <c r="H29" i="25" a="1"/>
  <c r="H29" i="25" s="1"/>
  <c r="G29" i="25" a="1"/>
  <c r="G29" i="25" s="1"/>
  <c r="F29" i="25" a="1"/>
  <c r="F29" i="25" s="1"/>
  <c r="E29" i="25" a="1"/>
  <c r="E29" i="25" s="1"/>
  <c r="D29" i="25" a="1"/>
  <c r="D29" i="25" s="1"/>
  <c r="D26" i="25" a="1"/>
  <c r="D26" i="25" s="1"/>
  <c r="D25" i="25" a="1"/>
  <c r="D25" i="25" s="1"/>
  <c r="D24" i="25" a="1"/>
  <c r="D24" i="25" s="1"/>
  <c r="F21" i="25" a="1"/>
  <c r="F21" i="25" s="1"/>
  <c r="E21" i="25" a="1"/>
  <c r="E21" i="25" s="1"/>
  <c r="D21" i="25" a="1"/>
  <c r="D21" i="25" s="1"/>
  <c r="D20" i="25" a="1"/>
  <c r="D20" i="25" s="1"/>
  <c r="D19" i="25" a="1"/>
  <c r="D19" i="25" s="1"/>
  <c r="F17" i="25" a="1"/>
  <c r="F17" i="25" s="1"/>
  <c r="E17" i="25" a="1"/>
  <c r="E17" i="25" s="1"/>
  <c r="D17" i="25" a="1"/>
  <c r="D17" i="25" s="1"/>
  <c r="D16" i="25" a="1"/>
  <c r="D16" i="25" s="1"/>
  <c r="D15" i="25" a="1"/>
  <c r="D15" i="25" s="1"/>
  <c r="D14" i="25" a="1"/>
  <c r="D14" i="25" s="1"/>
  <c r="G16" i="53" l="1" a="1"/>
  <c r="G16" i="53" s="1"/>
  <c r="G15" i="53" a="1"/>
  <c r="G15" i="53" s="1"/>
  <c r="G14" i="53" a="1"/>
  <c r="G14" i="53" s="1"/>
  <c r="G13" i="53" a="1"/>
  <c r="G13" i="53" s="1"/>
  <c r="G12" i="53" a="1"/>
  <c r="G12" i="53" s="1"/>
  <c r="G11" i="53" a="1"/>
  <c r="G11" i="53" s="1"/>
  <c r="G10" i="53" a="1"/>
  <c r="G10" i="53" s="1"/>
  <c r="G9" i="53" a="1"/>
  <c r="G9" i="53" s="1"/>
  <c r="G8" i="53" a="1"/>
  <c r="G8" i="53" s="1"/>
  <c r="G7" i="53" a="1"/>
  <c r="G7" i="53" s="1"/>
  <c r="F79" i="19" a="1"/>
  <c r="D42" i="19" a="1"/>
  <c r="D42" i="19" s="1"/>
  <c r="D227" i="23" a="1"/>
  <c r="D227" i="23" s="1"/>
  <c r="D226" i="23" a="1"/>
  <c r="D226" i="23" s="1"/>
  <c r="D225" i="23" a="1"/>
  <c r="D225" i="23" s="1"/>
  <c r="D224" i="23" a="1"/>
  <c r="D224" i="23" s="1"/>
  <c r="D223" i="23" a="1"/>
  <c r="D223" i="23" s="1"/>
  <c r="D221" i="23" a="1"/>
  <c r="D221" i="23" s="1"/>
  <c r="D220" i="23" a="1"/>
  <c r="D220" i="23" s="1"/>
  <c r="D219" i="23" a="1"/>
  <c r="D219" i="23" s="1"/>
  <c r="D218" i="23" a="1"/>
  <c r="D218" i="23" s="1"/>
  <c r="D217" i="23" a="1"/>
  <c r="D217" i="23" s="1"/>
  <c r="D215" i="23" a="1"/>
  <c r="D215" i="23" s="1"/>
  <c r="A215" i="23"/>
  <c r="D214" i="23" a="1"/>
  <c r="D214" i="23" s="1"/>
  <c r="D213" i="23" a="1"/>
  <c r="D213" i="23" s="1"/>
  <c r="D212" i="23" a="1"/>
  <c r="D212" i="23" s="1"/>
  <c r="D211" i="23" a="1"/>
  <c r="D211" i="23" s="1"/>
  <c r="D209" i="23" a="1"/>
  <c r="D209" i="23" s="1"/>
  <c r="D208" i="23" a="1"/>
  <c r="D208" i="23" s="1"/>
  <c r="D207" i="23" a="1"/>
  <c r="D207" i="23" s="1"/>
  <c r="D206" i="23" a="1"/>
  <c r="D206" i="23" s="1"/>
  <c r="D205" i="23" a="1"/>
  <c r="D205" i="23" s="1"/>
  <c r="D202" i="23" a="1"/>
  <c r="D202" i="23" s="1"/>
  <c r="D201" i="23" a="1"/>
  <c r="D201" i="23" s="1"/>
  <c r="D200" i="23" a="1"/>
  <c r="D200" i="23" s="1"/>
  <c r="D199" i="23" a="1"/>
  <c r="D199" i="23" s="1"/>
  <c r="D198" i="23" a="1"/>
  <c r="D198" i="23" s="1"/>
  <c r="D195" i="23" a="1"/>
  <c r="D195" i="23" s="1"/>
  <c r="D194" i="23" a="1"/>
  <c r="D194" i="23" s="1"/>
  <c r="D193" i="23" a="1"/>
  <c r="D193" i="23" s="1"/>
  <c r="D192" i="23" a="1"/>
  <c r="D192" i="23" s="1"/>
  <c r="D191" i="23" a="1"/>
  <c r="D191" i="23" s="1"/>
  <c r="D188" i="23" a="1"/>
  <c r="D188" i="23" s="1"/>
  <c r="D187" i="23" a="1"/>
  <c r="D187" i="23" s="1"/>
  <c r="D186" i="23" a="1"/>
  <c r="D186" i="23" s="1"/>
  <c r="D185" i="23" a="1"/>
  <c r="D185" i="23" s="1"/>
  <c r="D184" i="23" a="1"/>
  <c r="D184" i="23" s="1"/>
  <c r="D181" i="23" a="1"/>
  <c r="D181" i="23" s="1"/>
  <c r="D180" i="23" a="1"/>
  <c r="D180" i="23" s="1"/>
  <c r="D179" i="23" a="1"/>
  <c r="D179" i="23" s="1"/>
  <c r="D178" i="23" a="1"/>
  <c r="D178" i="23" s="1"/>
  <c r="D177" i="23" a="1"/>
  <c r="D177" i="23" s="1"/>
  <c r="D174" i="23" a="1"/>
  <c r="D174" i="23" s="1"/>
  <c r="A174" i="23"/>
  <c r="D173" i="23" a="1"/>
  <c r="D173" i="23" s="1"/>
  <c r="D172" i="23" a="1"/>
  <c r="D172" i="23" s="1"/>
  <c r="D171" i="23" a="1"/>
  <c r="D171" i="23" s="1"/>
  <c r="D170" i="23" a="1"/>
  <c r="D170" i="23" s="1"/>
  <c r="D167" i="23" a="1"/>
  <c r="D167" i="23" s="1"/>
  <c r="D166" i="23" a="1"/>
  <c r="D166" i="23" s="1"/>
  <c r="D165" i="23" a="1"/>
  <c r="D165" i="23" s="1"/>
  <c r="D164" i="23" a="1"/>
  <c r="D164" i="23" s="1"/>
  <c r="D163" i="23" a="1"/>
  <c r="D163" i="23" s="1"/>
  <c r="D160" i="23" a="1"/>
  <c r="D160" i="23" s="1"/>
  <c r="D159" i="23" a="1"/>
  <c r="D159" i="23" s="1"/>
  <c r="D158" i="23" a="1"/>
  <c r="D158" i="23" s="1"/>
  <c r="D157" i="23" a="1"/>
  <c r="D157" i="23" s="1"/>
  <c r="D156" i="23" a="1"/>
  <c r="D156" i="23" s="1"/>
  <c r="D153" i="23" a="1"/>
  <c r="D153" i="23" s="1"/>
  <c r="D152" i="23" a="1"/>
  <c r="D152" i="23" s="1"/>
  <c r="D151" i="23" a="1"/>
  <c r="D151" i="23" s="1"/>
  <c r="D150" i="23" a="1"/>
  <c r="D150" i="23" s="1"/>
  <c r="D149" i="23" a="1"/>
  <c r="D149" i="23" s="1"/>
  <c r="F146" i="23" a="1"/>
  <c r="F146" i="23" s="1"/>
  <c r="E146" i="23" a="1"/>
  <c r="E146" i="23" s="1"/>
  <c r="D146" i="23" a="1"/>
  <c r="D146" i="23" s="1"/>
  <c r="F145" i="23" a="1"/>
  <c r="F145" i="23" s="1"/>
  <c r="E145" i="23" a="1"/>
  <c r="E145" i="23" s="1"/>
  <c r="D145" i="23" a="1"/>
  <c r="D145" i="23" s="1"/>
  <c r="F144" i="23" a="1"/>
  <c r="F144" i="23" s="1"/>
  <c r="E144" i="23" a="1"/>
  <c r="E144" i="23" s="1"/>
  <c r="D144" i="23" a="1"/>
  <c r="D144" i="23" s="1"/>
  <c r="F143" i="23" a="1"/>
  <c r="F143" i="23" s="1"/>
  <c r="E143" i="23" a="1"/>
  <c r="E143" i="23" s="1"/>
  <c r="D143" i="23" a="1"/>
  <c r="D143" i="23" s="1"/>
  <c r="F142" i="23" a="1"/>
  <c r="F142" i="23" s="1"/>
  <c r="E142" i="23" a="1"/>
  <c r="E142" i="23" s="1"/>
  <c r="D142" i="23" a="1"/>
  <c r="D142" i="23" s="1"/>
  <c r="D140" i="23" a="1"/>
  <c r="D140" i="23" s="1"/>
  <c r="D139" i="23" a="1"/>
  <c r="D139" i="23" s="1"/>
  <c r="D138" i="23" a="1"/>
  <c r="D138" i="23" s="1"/>
  <c r="D137" i="23" a="1"/>
  <c r="D137" i="23" s="1"/>
  <c r="D136" i="23" a="1"/>
  <c r="D136" i="23" s="1"/>
  <c r="F133" i="23" a="1"/>
  <c r="F133" i="23" s="1"/>
  <c r="E133" i="23" a="1"/>
  <c r="E133" i="23" s="1"/>
  <c r="D133" i="23" a="1"/>
  <c r="D133" i="23" s="1"/>
  <c r="F132" i="23" a="1"/>
  <c r="F132" i="23" s="1"/>
  <c r="E132" i="23" a="1"/>
  <c r="E132" i="23" s="1"/>
  <c r="D132" i="23" a="1"/>
  <c r="D132" i="23" s="1"/>
  <c r="F131" i="23" a="1"/>
  <c r="F131" i="23" s="1"/>
  <c r="E131" i="23" a="1"/>
  <c r="E131" i="23" s="1"/>
  <c r="D131" i="23" a="1"/>
  <c r="D131" i="23" s="1"/>
  <c r="F130" i="23" a="1"/>
  <c r="F130" i="23" s="1"/>
  <c r="E130" i="23" a="1"/>
  <c r="E130" i="23" s="1"/>
  <c r="D130" i="23" a="1"/>
  <c r="D130" i="23" s="1"/>
  <c r="F129" i="23" a="1"/>
  <c r="F129" i="23" s="1"/>
  <c r="E129" i="23" a="1"/>
  <c r="E129" i="23" s="1"/>
  <c r="D129" i="23" a="1"/>
  <c r="D129" i="23" s="1"/>
  <c r="D127" i="23" a="1"/>
  <c r="D127" i="23" s="1"/>
  <c r="D126" i="23" a="1"/>
  <c r="D126" i="23" s="1"/>
  <c r="D125" i="23" a="1"/>
  <c r="D125" i="23" s="1"/>
  <c r="D124" i="23" a="1"/>
  <c r="D124" i="23" s="1"/>
  <c r="D123" i="23" a="1"/>
  <c r="D123" i="23" s="1"/>
  <c r="G120" i="23" a="1"/>
  <c r="G120" i="23" s="1"/>
  <c r="F120" i="23" a="1"/>
  <c r="F120" i="23" s="1"/>
  <c r="E120" i="23" a="1"/>
  <c r="E120" i="23" s="1"/>
  <c r="D120" i="23" a="1"/>
  <c r="D120" i="23" s="1"/>
  <c r="G119" i="23" a="1"/>
  <c r="G119" i="23" s="1"/>
  <c r="F119" i="23" a="1"/>
  <c r="F119" i="23" s="1"/>
  <c r="E119" i="23" a="1"/>
  <c r="E119" i="23" s="1"/>
  <c r="D119" i="23" a="1"/>
  <c r="D119" i="23" s="1"/>
  <c r="G118" i="23" a="1"/>
  <c r="G118" i="23" s="1"/>
  <c r="F118" i="23" a="1"/>
  <c r="F118" i="23" s="1"/>
  <c r="E118" i="23" a="1"/>
  <c r="E118" i="23" s="1"/>
  <c r="D118" i="23" a="1"/>
  <c r="D118" i="23" s="1"/>
  <c r="G117" i="23" a="1"/>
  <c r="G117" i="23" s="1"/>
  <c r="F117" i="23" a="1"/>
  <c r="F117" i="23" s="1"/>
  <c r="E117" i="23" a="1"/>
  <c r="E117" i="23" s="1"/>
  <c r="D117" i="23" a="1"/>
  <c r="D117" i="23" s="1"/>
  <c r="D115" i="23" a="1"/>
  <c r="D115" i="23" s="1"/>
  <c r="D114" i="23" a="1"/>
  <c r="D114" i="23" s="1"/>
  <c r="D113" i="23" a="1"/>
  <c r="D113" i="23" s="1"/>
  <c r="D112" i="23" a="1"/>
  <c r="D112" i="23" s="1"/>
  <c r="E109" i="23" a="1"/>
  <c r="E109" i="23" s="1"/>
  <c r="D109" i="23" a="1"/>
  <c r="D109" i="23" s="1"/>
  <c r="E108" i="23" a="1"/>
  <c r="E108" i="23" s="1"/>
  <c r="D108" i="23" a="1"/>
  <c r="D108" i="23" s="1"/>
  <c r="D106" i="23" a="1"/>
  <c r="D106" i="23" s="1"/>
  <c r="D105" i="23" a="1"/>
  <c r="D105" i="23" s="1"/>
  <c r="D104" i="23" a="1"/>
  <c r="D104" i="23" s="1"/>
  <c r="D103" i="23" a="1"/>
  <c r="D103" i="23" s="1"/>
  <c r="E100" i="23" a="1"/>
  <c r="E100" i="23" s="1"/>
  <c r="D100" i="23" a="1"/>
  <c r="D100" i="23" s="1"/>
  <c r="E99" i="23" a="1"/>
  <c r="E99" i="23" s="1"/>
  <c r="D99" i="23" a="1"/>
  <c r="D99" i="23" s="1"/>
  <c r="D97" i="23" a="1"/>
  <c r="D97" i="23" s="1"/>
  <c r="D96" i="23" a="1"/>
  <c r="D96" i="23" s="1"/>
  <c r="D95" i="23" a="1"/>
  <c r="D95" i="23" s="1"/>
  <c r="D94" i="23" a="1"/>
  <c r="D94" i="23" s="1"/>
  <c r="G91" i="23" a="1"/>
  <c r="G91" i="23" s="1"/>
  <c r="F91" i="23" a="1"/>
  <c r="F91" i="23" s="1"/>
  <c r="E91" i="23" a="1"/>
  <c r="E91" i="23" s="1"/>
  <c r="D91" i="23" a="1"/>
  <c r="D91" i="23" s="1"/>
  <c r="G90" i="23" a="1"/>
  <c r="G90" i="23" s="1"/>
  <c r="F90" i="23" a="1"/>
  <c r="F90" i="23" s="1"/>
  <c r="E90" i="23" a="1"/>
  <c r="E90" i="23" s="1"/>
  <c r="D90" i="23" a="1"/>
  <c r="D90" i="23" s="1"/>
  <c r="G89" i="23" a="1"/>
  <c r="G89" i="23" s="1"/>
  <c r="F89" i="23" a="1"/>
  <c r="F89" i="23" s="1"/>
  <c r="E89" i="23" a="1"/>
  <c r="E89" i="23" s="1"/>
  <c r="D89" i="23" a="1"/>
  <c r="D89" i="23" s="1"/>
  <c r="G88" i="23" a="1"/>
  <c r="G88" i="23" s="1"/>
  <c r="F88" i="23" a="1"/>
  <c r="F88" i="23" s="1"/>
  <c r="E88" i="23" a="1"/>
  <c r="E88" i="23" s="1"/>
  <c r="D88" i="23" a="1"/>
  <c r="D88" i="23" s="1"/>
  <c r="G87" i="23" a="1"/>
  <c r="G87" i="23" s="1"/>
  <c r="F87" i="23" a="1"/>
  <c r="F87" i="23" s="1"/>
  <c r="E87" i="23" a="1"/>
  <c r="E87" i="23" s="1"/>
  <c r="D87" i="23" a="1"/>
  <c r="D87" i="23" s="1"/>
  <c r="D85" i="23" a="1"/>
  <c r="D85" i="23" s="1"/>
  <c r="D84" i="23" a="1"/>
  <c r="D84" i="23" s="1"/>
  <c r="D83" i="23" a="1"/>
  <c r="D83" i="23" s="1"/>
  <c r="D82" i="23" a="1"/>
  <c r="D82" i="23" s="1"/>
  <c r="D81" i="23" a="1"/>
  <c r="D81" i="23" s="1"/>
  <c r="M78" i="23" a="1"/>
  <c r="M78" i="23" s="1"/>
  <c r="L78" i="23" a="1"/>
  <c r="L78" i="23" s="1"/>
  <c r="K78" i="23" a="1"/>
  <c r="K78" i="23" s="1"/>
  <c r="J78" i="23" a="1"/>
  <c r="J78" i="23" s="1"/>
  <c r="I78" i="23" a="1"/>
  <c r="I78" i="23" s="1"/>
  <c r="H78" i="23" a="1"/>
  <c r="H78" i="23" s="1"/>
  <c r="G78" i="23" a="1"/>
  <c r="G78" i="23" s="1"/>
  <c r="F78" i="23" a="1"/>
  <c r="F78" i="23" s="1"/>
  <c r="E78" i="23" a="1"/>
  <c r="E78" i="23" s="1"/>
  <c r="D78" i="23" a="1"/>
  <c r="D78" i="23" s="1"/>
  <c r="M77" i="23" a="1"/>
  <c r="M77" i="23" s="1"/>
  <c r="L77" i="23" a="1"/>
  <c r="L77" i="23" s="1"/>
  <c r="K77" i="23" a="1"/>
  <c r="K77" i="23" s="1"/>
  <c r="J77" i="23" a="1"/>
  <c r="J77" i="23" s="1"/>
  <c r="I77" i="23" a="1"/>
  <c r="I77" i="23" s="1"/>
  <c r="H77" i="23" a="1"/>
  <c r="H77" i="23" s="1"/>
  <c r="G77" i="23" a="1"/>
  <c r="G77" i="23" s="1"/>
  <c r="F77" i="23" a="1"/>
  <c r="F77" i="23" s="1"/>
  <c r="E77" i="23" a="1"/>
  <c r="E77" i="23" s="1"/>
  <c r="D77" i="23" a="1"/>
  <c r="D77" i="23" s="1"/>
  <c r="M76" i="23" a="1"/>
  <c r="M76" i="23" s="1"/>
  <c r="L76" i="23" a="1"/>
  <c r="L76" i="23" s="1"/>
  <c r="K76" i="23" a="1"/>
  <c r="K76" i="23" s="1"/>
  <c r="J76" i="23" a="1"/>
  <c r="J76" i="23" s="1"/>
  <c r="I76" i="23" a="1"/>
  <c r="I76" i="23" s="1"/>
  <c r="H76" i="23" a="1"/>
  <c r="H76" i="23" s="1"/>
  <c r="G76" i="23" a="1"/>
  <c r="G76" i="23" s="1"/>
  <c r="F76" i="23" a="1"/>
  <c r="F76" i="23" s="1"/>
  <c r="E76" i="23" a="1"/>
  <c r="E76" i="23" s="1"/>
  <c r="D76" i="23" a="1"/>
  <c r="D76" i="23" s="1"/>
  <c r="M75" i="23" a="1"/>
  <c r="M75" i="23" s="1"/>
  <c r="L75" i="23" a="1"/>
  <c r="L75" i="23" s="1"/>
  <c r="K75" i="23" a="1"/>
  <c r="K75" i="23" s="1"/>
  <c r="J75" i="23" a="1"/>
  <c r="J75" i="23" s="1"/>
  <c r="I75" i="23" a="1"/>
  <c r="I75" i="23" s="1"/>
  <c r="H75" i="23" a="1"/>
  <c r="H75" i="23" s="1"/>
  <c r="G75" i="23" a="1"/>
  <c r="G75" i="23" s="1"/>
  <c r="F75" i="23" a="1"/>
  <c r="F75" i="23" s="1"/>
  <c r="E75" i="23" a="1"/>
  <c r="E75" i="23" s="1"/>
  <c r="D75" i="23" a="1"/>
  <c r="D75" i="23" s="1"/>
  <c r="M74" i="23" a="1"/>
  <c r="M74" i="23" s="1"/>
  <c r="L74" i="23" a="1"/>
  <c r="L74" i="23" s="1"/>
  <c r="K74" i="23" a="1"/>
  <c r="K74" i="23" s="1"/>
  <c r="J74" i="23" a="1"/>
  <c r="J74" i="23" s="1"/>
  <c r="I74" i="23" a="1"/>
  <c r="I74" i="23" s="1"/>
  <c r="H74" i="23" a="1"/>
  <c r="H74" i="23" s="1"/>
  <c r="G74" i="23" a="1"/>
  <c r="G74" i="23" s="1"/>
  <c r="F74" i="23" a="1"/>
  <c r="F74" i="23" s="1"/>
  <c r="E74" i="23" a="1"/>
  <c r="E74" i="23" s="1"/>
  <c r="D74" i="23" a="1"/>
  <c r="D74" i="23" s="1"/>
  <c r="M73" i="23" a="1"/>
  <c r="M73" i="23" s="1"/>
  <c r="L73" i="23" a="1"/>
  <c r="L73" i="23" s="1"/>
  <c r="K73" i="23" a="1"/>
  <c r="K73" i="23" s="1"/>
  <c r="J73" i="23" a="1"/>
  <c r="J73" i="23" s="1"/>
  <c r="I73" i="23" a="1"/>
  <c r="I73" i="23" s="1"/>
  <c r="H73" i="23" a="1"/>
  <c r="H73" i="23" s="1"/>
  <c r="G73" i="23" a="1"/>
  <c r="G73" i="23" s="1"/>
  <c r="F73" i="23" a="1"/>
  <c r="F73" i="23" s="1"/>
  <c r="E73" i="23" a="1"/>
  <c r="E73" i="23" s="1"/>
  <c r="D73" i="23" a="1"/>
  <c r="D73" i="23" s="1"/>
  <c r="D71" i="23" a="1"/>
  <c r="D71" i="23" s="1"/>
  <c r="D70" i="23" a="1"/>
  <c r="D70" i="23" s="1"/>
  <c r="D69" i="23" a="1"/>
  <c r="D69" i="23" s="1"/>
  <c r="D68" i="23" a="1"/>
  <c r="D68" i="23" s="1"/>
  <c r="D67" i="23" a="1"/>
  <c r="D67" i="23" s="1"/>
  <c r="G64" i="23" a="1"/>
  <c r="G64" i="23" s="1"/>
  <c r="F64" i="23" a="1"/>
  <c r="F64" i="23" s="1"/>
  <c r="E64" i="23" a="1"/>
  <c r="E64" i="23" s="1"/>
  <c r="D64" i="23" a="1"/>
  <c r="D64" i="23" s="1"/>
  <c r="G63" i="23" a="1"/>
  <c r="G63" i="23" s="1"/>
  <c r="F63" i="23" a="1"/>
  <c r="F63" i="23" s="1"/>
  <c r="E63" i="23" a="1"/>
  <c r="E63" i="23" s="1"/>
  <c r="D63" i="23" a="1"/>
  <c r="D63" i="23" s="1"/>
  <c r="D61" i="23" a="1"/>
  <c r="D61" i="23" s="1"/>
  <c r="D60" i="23" a="1"/>
  <c r="D60" i="23" s="1"/>
  <c r="D59" i="23" a="1"/>
  <c r="D59" i="23" s="1"/>
  <c r="D58" i="23" a="1"/>
  <c r="D58" i="23" s="1"/>
  <c r="H55" i="23" a="1"/>
  <c r="H55" i="23" s="1"/>
  <c r="G55" i="23" a="1"/>
  <c r="G55" i="23" s="1"/>
  <c r="F55" i="23" a="1"/>
  <c r="F55" i="23" s="1"/>
  <c r="E55" i="23" a="1"/>
  <c r="E55" i="23" s="1"/>
  <c r="D55" i="23" a="1"/>
  <c r="D55" i="23" s="1"/>
  <c r="D53" i="23" a="1"/>
  <c r="D53" i="23" s="1"/>
  <c r="D52" i="23" a="1"/>
  <c r="D52" i="23" s="1"/>
  <c r="D51" i="23" a="1"/>
  <c r="D51" i="23" s="1"/>
  <c r="D50" i="23" a="1"/>
  <c r="D50" i="23" s="1"/>
  <c r="H47" i="23" a="1"/>
  <c r="H47" i="23" s="1"/>
  <c r="G47" i="23" a="1"/>
  <c r="G47" i="23" s="1"/>
  <c r="F47" i="23" a="1"/>
  <c r="F47" i="23" s="1"/>
  <c r="E47" i="23" a="1"/>
  <c r="E47" i="23" s="1"/>
  <c r="D47" i="23" a="1"/>
  <c r="D47" i="23" s="1"/>
  <c r="D45" i="23" a="1"/>
  <c r="D45" i="23" s="1"/>
  <c r="D44" i="23" a="1"/>
  <c r="D44" i="23" s="1"/>
  <c r="D43" i="23" a="1"/>
  <c r="D43" i="23" s="1"/>
  <c r="D42" i="23" a="1"/>
  <c r="D42" i="23" s="1"/>
  <c r="F39" i="23" a="1"/>
  <c r="F39" i="23" s="1"/>
  <c r="E39" i="23" a="1"/>
  <c r="E39" i="23" s="1"/>
  <c r="D39" i="23" a="1"/>
  <c r="D39" i="23" s="1"/>
  <c r="D37" i="23" a="1"/>
  <c r="D37" i="23" s="1"/>
  <c r="D36" i="23" a="1"/>
  <c r="D36" i="23" s="1"/>
  <c r="D35" i="23" a="1"/>
  <c r="D35" i="23" s="1"/>
  <c r="D34" i="23" a="1"/>
  <c r="D34" i="23" s="1"/>
  <c r="G31" i="23" a="1"/>
  <c r="G31" i="23" s="1"/>
  <c r="F31" i="23" a="1"/>
  <c r="F31" i="23" s="1"/>
  <c r="E31" i="23" a="1"/>
  <c r="E31" i="23" s="1"/>
  <c r="D31" i="23" a="1"/>
  <c r="D31" i="23" s="1"/>
  <c r="G30" i="23" a="1"/>
  <c r="G30" i="23" s="1"/>
  <c r="F30" i="23" a="1"/>
  <c r="F30" i="23" s="1"/>
  <c r="E30" i="23" a="1"/>
  <c r="E30" i="23" s="1"/>
  <c r="D30" i="23" a="1"/>
  <c r="D30" i="23" s="1"/>
  <c r="G29" i="23" a="1"/>
  <c r="G29" i="23" s="1"/>
  <c r="F29" i="23" a="1"/>
  <c r="F29" i="23" s="1"/>
  <c r="E29" i="23" a="1"/>
  <c r="E29" i="23" s="1"/>
  <c r="D29" i="23" a="1"/>
  <c r="D29" i="23" s="1"/>
  <c r="G28" i="23" a="1"/>
  <c r="G28" i="23" s="1"/>
  <c r="F28" i="23" a="1"/>
  <c r="F28" i="23" s="1"/>
  <c r="E28" i="23" a="1"/>
  <c r="E28" i="23" s="1"/>
  <c r="D28" i="23" a="1"/>
  <c r="D28" i="23" s="1"/>
  <c r="G27" i="23" a="1"/>
  <c r="G27" i="23" s="1"/>
  <c r="F27" i="23" a="1"/>
  <c r="F27" i="23" s="1"/>
  <c r="E27" i="23" a="1"/>
  <c r="E27" i="23" s="1"/>
  <c r="D27" i="23" a="1"/>
  <c r="D27" i="23" s="1"/>
  <c r="G26" i="23" a="1"/>
  <c r="G26" i="23" s="1"/>
  <c r="F26" i="23" a="1"/>
  <c r="F26" i="23" s="1"/>
  <c r="E26" i="23" a="1"/>
  <c r="E26" i="23" s="1"/>
  <c r="D26" i="23" a="1"/>
  <c r="D26" i="23" s="1"/>
  <c r="G25" i="23" a="1"/>
  <c r="G25" i="23" s="1"/>
  <c r="F25" i="23" a="1"/>
  <c r="F25" i="23" s="1"/>
  <c r="E25" i="23" a="1"/>
  <c r="E25" i="23" s="1"/>
  <c r="D25" i="23" a="1"/>
  <c r="D25" i="23" s="1"/>
  <c r="G24" i="23" a="1"/>
  <c r="G24" i="23" s="1"/>
  <c r="F24" i="23" a="1"/>
  <c r="F24" i="23" s="1"/>
  <c r="E24" i="23" a="1"/>
  <c r="E24" i="23" s="1"/>
  <c r="D24" i="23" a="1"/>
  <c r="D24" i="23" s="1"/>
  <c r="G23" i="23" a="1"/>
  <c r="G23" i="23" s="1"/>
  <c r="F23" i="23" a="1"/>
  <c r="F23" i="23" s="1"/>
  <c r="E23" i="23" a="1"/>
  <c r="E23" i="23" s="1"/>
  <c r="D23" i="23" a="1"/>
  <c r="D23" i="23" s="1"/>
  <c r="G22" i="23" a="1"/>
  <c r="G22" i="23" s="1"/>
  <c r="F22" i="23" a="1"/>
  <c r="F22" i="23" s="1"/>
  <c r="E22" i="23" a="1"/>
  <c r="E22" i="23" s="1"/>
  <c r="D22" i="23" a="1"/>
  <c r="D22" i="23" s="1"/>
  <c r="D20" i="23" a="1"/>
  <c r="D20" i="23" s="1"/>
  <c r="D19" i="23" a="1"/>
  <c r="D19" i="23" s="1"/>
  <c r="D18" i="23" a="1"/>
  <c r="D18" i="23" s="1"/>
  <c r="D17" i="23" a="1"/>
  <c r="D17" i="23" s="1"/>
  <c r="D16" i="23" a="1"/>
  <c r="D16" i="23" s="1"/>
  <c r="H9" i="52" l="1" a="1"/>
  <c r="H9" i="52" s="1"/>
  <c r="H8" i="52" a="1"/>
  <c r="H8" i="52" s="1"/>
  <c r="H7" i="52" a="1"/>
  <c r="H7" i="52" s="1"/>
  <c r="F79" i="19"/>
  <c r="F61" i="19" a="1"/>
  <c r="D440" i="22" a="1"/>
  <c r="D440" i="22" s="1"/>
  <c r="D439" i="22" a="1"/>
  <c r="D439" i="22" s="1"/>
  <c r="D438" i="22" a="1"/>
  <c r="D438" i="22" s="1"/>
  <c r="D437" i="22" a="1"/>
  <c r="D437" i="22" s="1"/>
  <c r="D436" i="22" a="1"/>
  <c r="D436" i="22" s="1"/>
  <c r="D434" i="22" a="1"/>
  <c r="D434" i="22" s="1"/>
  <c r="D433" i="22" a="1"/>
  <c r="D433" i="22" s="1"/>
  <c r="D432" i="22" a="1"/>
  <c r="D432" i="22" s="1"/>
  <c r="D431" i="22" a="1"/>
  <c r="D431" i="22" s="1"/>
  <c r="D430" i="22" a="1"/>
  <c r="D430" i="22" s="1"/>
  <c r="D428" i="22" a="1"/>
  <c r="D428" i="22" s="1"/>
  <c r="D427" i="22" a="1"/>
  <c r="D427" i="22" s="1"/>
  <c r="D426" i="22" a="1"/>
  <c r="D426" i="22" s="1"/>
  <c r="D425" i="22" a="1"/>
  <c r="D425" i="22" s="1"/>
  <c r="D424" i="22" a="1"/>
  <c r="D424" i="22" s="1"/>
  <c r="D422" i="22" a="1"/>
  <c r="D422" i="22" s="1"/>
  <c r="D421" i="22" a="1"/>
  <c r="D421" i="22" s="1"/>
  <c r="D420" i="22" a="1"/>
  <c r="D420" i="22" s="1"/>
  <c r="D419" i="22" a="1"/>
  <c r="D419" i="22" s="1"/>
  <c r="D418" i="22" a="1"/>
  <c r="D418" i="22" s="1"/>
  <c r="G415" i="22" a="1"/>
  <c r="G415" i="22" s="1"/>
  <c r="F415" i="22" a="1"/>
  <c r="F415" i="22" s="1"/>
  <c r="E415" i="22" a="1"/>
  <c r="E415" i="22" s="1"/>
  <c r="D415" i="22" a="1"/>
  <c r="D415" i="22" s="1"/>
  <c r="G414" i="22" a="1"/>
  <c r="G414" i="22" s="1"/>
  <c r="F414" i="22" a="1"/>
  <c r="F414" i="22" s="1"/>
  <c r="E414" i="22" a="1"/>
  <c r="E414" i="22" s="1"/>
  <c r="D414" i="22" a="1"/>
  <c r="D414" i="22" s="1"/>
  <c r="G413" i="22" a="1"/>
  <c r="G413" i="22" s="1"/>
  <c r="F413" i="22" a="1"/>
  <c r="F413" i="22" s="1"/>
  <c r="E413" i="22" a="1"/>
  <c r="E413" i="22" s="1"/>
  <c r="D413" i="22" a="1"/>
  <c r="D413" i="22" s="1"/>
  <c r="G412" i="22" a="1"/>
  <c r="G412" i="22" s="1"/>
  <c r="F412" i="22" a="1"/>
  <c r="F412" i="22" s="1"/>
  <c r="E412" i="22" a="1"/>
  <c r="E412" i="22" s="1"/>
  <c r="D412" i="22" a="1"/>
  <c r="D412" i="22" s="1"/>
  <c r="G411" i="22" a="1"/>
  <c r="G411" i="22" s="1"/>
  <c r="F411" i="22" a="1"/>
  <c r="F411" i="22" s="1"/>
  <c r="E411" i="22" a="1"/>
  <c r="E411" i="22" s="1"/>
  <c r="D411" i="22" a="1"/>
  <c r="D411" i="22" s="1"/>
  <c r="G410" i="22" a="1"/>
  <c r="G410" i="22" s="1"/>
  <c r="F410" i="22" a="1"/>
  <c r="F410" i="22" s="1"/>
  <c r="E410" i="22" a="1"/>
  <c r="E410" i="22" s="1"/>
  <c r="D410" i="22" a="1"/>
  <c r="D410" i="22" s="1"/>
  <c r="G409" i="22" a="1"/>
  <c r="G409" i="22" s="1"/>
  <c r="F409" i="22" a="1"/>
  <c r="F409" i="22" s="1"/>
  <c r="E409" i="22" a="1"/>
  <c r="E409" i="22" s="1"/>
  <c r="D409" i="22" a="1"/>
  <c r="D409" i="22" s="1"/>
  <c r="G408" i="22" a="1"/>
  <c r="G408" i="22" s="1"/>
  <c r="F408" i="22" a="1"/>
  <c r="F408" i="22" s="1"/>
  <c r="E408" i="22" a="1"/>
  <c r="E408" i="22" s="1"/>
  <c r="D408" i="22" a="1"/>
  <c r="D408" i="22" s="1"/>
  <c r="G407" i="22" a="1"/>
  <c r="G407" i="22" s="1"/>
  <c r="F407" i="22" a="1"/>
  <c r="F407" i="22" s="1"/>
  <c r="E407" i="22" a="1"/>
  <c r="E407" i="22" s="1"/>
  <c r="D407" i="22" a="1"/>
  <c r="D407" i="22" s="1"/>
  <c r="G406" i="22" a="1"/>
  <c r="G406" i="22" s="1"/>
  <c r="F406" i="22" a="1"/>
  <c r="F406" i="22" s="1"/>
  <c r="E406" i="22" a="1"/>
  <c r="E406" i="22" s="1"/>
  <c r="D406" i="22" a="1"/>
  <c r="D406" i="22" s="1"/>
  <c r="G405" i="22" a="1"/>
  <c r="G405" i="22" s="1"/>
  <c r="F405" i="22" a="1"/>
  <c r="F405" i="22" s="1"/>
  <c r="E405" i="22" a="1"/>
  <c r="E405" i="22" s="1"/>
  <c r="D405" i="22" a="1"/>
  <c r="D405" i="22" s="1"/>
  <c r="G404" i="22" a="1"/>
  <c r="G404" i="22" s="1"/>
  <c r="F404" i="22" a="1"/>
  <c r="F404" i="22" s="1"/>
  <c r="E404" i="22" a="1"/>
  <c r="E404" i="22" s="1"/>
  <c r="D404" i="22" a="1"/>
  <c r="D404" i="22" s="1"/>
  <c r="G403" i="22" a="1"/>
  <c r="G403" i="22" s="1"/>
  <c r="F403" i="22" a="1"/>
  <c r="F403" i="22" s="1"/>
  <c r="E403" i="22" a="1"/>
  <c r="E403" i="22" s="1"/>
  <c r="D403" i="22" a="1"/>
  <c r="D403" i="22" s="1"/>
  <c r="G402" i="22" a="1"/>
  <c r="G402" i="22" s="1"/>
  <c r="F402" i="22" a="1"/>
  <c r="F402" i="22" s="1"/>
  <c r="E402" i="22" a="1"/>
  <c r="E402" i="22" s="1"/>
  <c r="D402" i="22" a="1"/>
  <c r="D402" i="22" s="1"/>
  <c r="G401" i="22" a="1"/>
  <c r="G401" i="22" s="1"/>
  <c r="F401" i="22" a="1"/>
  <c r="F401" i="22" s="1"/>
  <c r="E401" i="22" a="1"/>
  <c r="E401" i="22" s="1"/>
  <c r="D401" i="22" a="1"/>
  <c r="D401" i="22" s="1"/>
  <c r="D399" i="22" a="1"/>
  <c r="D399" i="22" s="1"/>
  <c r="D398" i="22" a="1"/>
  <c r="D398" i="22" s="1"/>
  <c r="D397" i="22" a="1"/>
  <c r="D397" i="22" s="1"/>
  <c r="D396" i="22" a="1"/>
  <c r="D396" i="22" s="1"/>
  <c r="D395" i="22" a="1"/>
  <c r="D395" i="22" s="1"/>
  <c r="G392" i="22" a="1"/>
  <c r="G392" i="22" s="1"/>
  <c r="F392" i="22" a="1"/>
  <c r="F392" i="22" s="1"/>
  <c r="E392" i="22" a="1"/>
  <c r="E392" i="22" s="1"/>
  <c r="D392" i="22" a="1"/>
  <c r="D392" i="22" s="1"/>
  <c r="G391" i="22" a="1"/>
  <c r="G391" i="22" s="1"/>
  <c r="F391" i="22" a="1"/>
  <c r="F391" i="22" s="1"/>
  <c r="E391" i="22" a="1"/>
  <c r="E391" i="22" s="1"/>
  <c r="D391" i="22" a="1"/>
  <c r="D391" i="22" s="1"/>
  <c r="G390" i="22" a="1"/>
  <c r="G390" i="22" s="1"/>
  <c r="F390" i="22" a="1"/>
  <c r="F390" i="22" s="1"/>
  <c r="E390" i="22" a="1"/>
  <c r="E390" i="22" s="1"/>
  <c r="D390" i="22" a="1"/>
  <c r="D390" i="22" s="1"/>
  <c r="G389" i="22" a="1"/>
  <c r="G389" i="22" s="1"/>
  <c r="F389" i="22" a="1"/>
  <c r="F389" i="22" s="1"/>
  <c r="E389" i="22" a="1"/>
  <c r="E389" i="22" s="1"/>
  <c r="D389" i="22" a="1"/>
  <c r="D389" i="22" s="1"/>
  <c r="G388" i="22" a="1"/>
  <c r="G388" i="22" s="1"/>
  <c r="F388" i="22" a="1"/>
  <c r="F388" i="22" s="1"/>
  <c r="E388" i="22" a="1"/>
  <c r="E388" i="22" s="1"/>
  <c r="D388" i="22" a="1"/>
  <c r="D388" i="22" s="1"/>
  <c r="G387" i="22" a="1"/>
  <c r="G387" i="22" s="1"/>
  <c r="F387" i="22" a="1"/>
  <c r="F387" i="22" s="1"/>
  <c r="E387" i="22" a="1"/>
  <c r="E387" i="22" s="1"/>
  <c r="D387" i="22" a="1"/>
  <c r="D387" i="22" s="1"/>
  <c r="G386" i="22" a="1"/>
  <c r="G386" i="22" s="1"/>
  <c r="F386" i="22" a="1"/>
  <c r="F386" i="22" s="1"/>
  <c r="E386" i="22" a="1"/>
  <c r="E386" i="22" s="1"/>
  <c r="D386" i="22" a="1"/>
  <c r="D386" i="22" s="1"/>
  <c r="G385" i="22" a="1"/>
  <c r="G385" i="22" s="1"/>
  <c r="F385" i="22" a="1"/>
  <c r="F385" i="22" s="1"/>
  <c r="E385" i="22" a="1"/>
  <c r="E385" i="22" s="1"/>
  <c r="D385" i="22" a="1"/>
  <c r="D385" i="22" s="1"/>
  <c r="G384" i="22" a="1"/>
  <c r="G384" i="22" s="1"/>
  <c r="F384" i="22" a="1"/>
  <c r="F384" i="22" s="1"/>
  <c r="E384" i="22" a="1"/>
  <c r="E384" i="22" s="1"/>
  <c r="D384" i="22" a="1"/>
  <c r="D384" i="22" s="1"/>
  <c r="G383" i="22" a="1"/>
  <c r="G383" i="22" s="1"/>
  <c r="F383" i="22" a="1"/>
  <c r="F383" i="22" s="1"/>
  <c r="E383" i="22" a="1"/>
  <c r="E383" i="22" s="1"/>
  <c r="D383" i="22" a="1"/>
  <c r="D383" i="22" s="1"/>
  <c r="G382" i="22" a="1"/>
  <c r="G382" i="22" s="1"/>
  <c r="F382" i="22" a="1"/>
  <c r="F382" i="22" s="1"/>
  <c r="E382" i="22" a="1"/>
  <c r="E382" i="22" s="1"/>
  <c r="D382" i="22" a="1"/>
  <c r="D382" i="22" s="1"/>
  <c r="G381" i="22" a="1"/>
  <c r="G381" i="22" s="1"/>
  <c r="F381" i="22" a="1"/>
  <c r="F381" i="22" s="1"/>
  <c r="E381" i="22" a="1"/>
  <c r="E381" i="22" s="1"/>
  <c r="D381" i="22" a="1"/>
  <c r="D381" i="22" s="1"/>
  <c r="G380" i="22" a="1"/>
  <c r="G380" i="22" s="1"/>
  <c r="F380" i="22" a="1"/>
  <c r="F380" i="22" s="1"/>
  <c r="E380" i="22" a="1"/>
  <c r="E380" i="22" s="1"/>
  <c r="D380" i="22" a="1"/>
  <c r="D380" i="22" s="1"/>
  <c r="G379" i="22" a="1"/>
  <c r="G379" i="22" s="1"/>
  <c r="F379" i="22" a="1"/>
  <c r="F379" i="22" s="1"/>
  <c r="E379" i="22" a="1"/>
  <c r="E379" i="22" s="1"/>
  <c r="D379" i="22" a="1"/>
  <c r="D379" i="22" s="1"/>
  <c r="G378" i="22" a="1"/>
  <c r="G378" i="22" s="1"/>
  <c r="F378" i="22" a="1"/>
  <c r="F378" i="22" s="1"/>
  <c r="E378" i="22" a="1"/>
  <c r="E378" i="22" s="1"/>
  <c r="D378" i="22" a="1"/>
  <c r="D378" i="22" s="1"/>
  <c r="D376" i="22" a="1"/>
  <c r="D376" i="22" s="1"/>
  <c r="D375" i="22" a="1"/>
  <c r="D375" i="22" s="1"/>
  <c r="D374" i="22" a="1"/>
  <c r="D374" i="22" s="1"/>
  <c r="D373" i="22" a="1"/>
  <c r="D373" i="22" s="1"/>
  <c r="D372" i="22" a="1"/>
  <c r="D372" i="22" s="1"/>
  <c r="L358" i="22" a="1"/>
  <c r="L358" i="22" s="1"/>
  <c r="O369" i="22" s="1"/>
  <c r="K358" i="22" a="1"/>
  <c r="K358" i="22" s="1"/>
  <c r="M369" i="22" s="1"/>
  <c r="J358" i="22" a="1"/>
  <c r="J358" i="22" s="1"/>
  <c r="K369" i="22" s="1"/>
  <c r="I358" i="22" a="1"/>
  <c r="I358" i="22" s="1"/>
  <c r="H358" i="22" a="1"/>
  <c r="H358" i="22" s="1"/>
  <c r="H369" i="22" s="1"/>
  <c r="G358" i="22" a="1"/>
  <c r="G358" i="22" s="1"/>
  <c r="G369" i="22" s="1"/>
  <c r="F358" i="22" a="1"/>
  <c r="F358" i="22" s="1"/>
  <c r="F369" i="22" s="1"/>
  <c r="E358" i="22" a="1"/>
  <c r="E358" i="22" s="1"/>
  <c r="E369" i="22" s="1"/>
  <c r="D358" i="22" a="1"/>
  <c r="D358" i="22" s="1"/>
  <c r="D369" i="22" s="1"/>
  <c r="L357" i="22" a="1"/>
  <c r="L357" i="22" s="1"/>
  <c r="O368" i="22" s="1"/>
  <c r="K357" i="22" a="1"/>
  <c r="K357" i="22" s="1"/>
  <c r="J357" i="22" a="1"/>
  <c r="J357" i="22" s="1"/>
  <c r="K368" i="22" s="1"/>
  <c r="I357" i="22" a="1"/>
  <c r="I357" i="22" s="1"/>
  <c r="J368" i="22" s="1"/>
  <c r="H357" i="22" a="1"/>
  <c r="H357" i="22" s="1"/>
  <c r="H368" i="22" s="1"/>
  <c r="G357" i="22" a="1"/>
  <c r="G357" i="22" s="1"/>
  <c r="G368" i="22" s="1"/>
  <c r="F357" i="22" a="1"/>
  <c r="F357" i="22" s="1"/>
  <c r="F368" i="22" s="1"/>
  <c r="E357" i="22" a="1"/>
  <c r="E357" i="22" s="1"/>
  <c r="E368" i="22" s="1"/>
  <c r="D357" i="22" a="1"/>
  <c r="D357" i="22" s="1"/>
  <c r="D368" i="22" s="1"/>
  <c r="L356" i="22" a="1"/>
  <c r="L356" i="22" s="1"/>
  <c r="O367" i="22" s="1"/>
  <c r="K356" i="22" a="1"/>
  <c r="K356" i="22" s="1"/>
  <c r="M367" i="22" s="1"/>
  <c r="J356" i="22" a="1"/>
  <c r="J356" i="22" s="1"/>
  <c r="K367" i="22" s="1"/>
  <c r="I356" i="22" a="1"/>
  <c r="I356" i="22" s="1"/>
  <c r="I367" i="22" s="1"/>
  <c r="H356" i="22" a="1"/>
  <c r="H356" i="22" s="1"/>
  <c r="H367" i="22" s="1"/>
  <c r="G356" i="22" a="1"/>
  <c r="G356" i="22" s="1"/>
  <c r="G367" i="22" s="1"/>
  <c r="F356" i="22" a="1"/>
  <c r="F356" i="22" s="1"/>
  <c r="F367" i="22" s="1"/>
  <c r="E356" i="22" a="1"/>
  <c r="E356" i="22" s="1"/>
  <c r="E367" i="22" s="1"/>
  <c r="D356" i="22" a="1"/>
  <c r="D356" i="22" s="1"/>
  <c r="D367" i="22" s="1"/>
  <c r="L355" i="22" a="1"/>
  <c r="L355" i="22" s="1"/>
  <c r="O366" i="22" s="1"/>
  <c r="K355" i="22" a="1"/>
  <c r="K355" i="22" s="1"/>
  <c r="L366" i="22" s="1"/>
  <c r="J355" i="22" a="1"/>
  <c r="J355" i="22" s="1"/>
  <c r="K366" i="22" s="1"/>
  <c r="I355" i="22" a="1"/>
  <c r="I355" i="22" s="1"/>
  <c r="I366" i="22" s="1"/>
  <c r="H355" i="22" a="1"/>
  <c r="H355" i="22" s="1"/>
  <c r="H366" i="22" s="1"/>
  <c r="G355" i="22" a="1"/>
  <c r="G355" i="22" s="1"/>
  <c r="G366" i="22" s="1"/>
  <c r="F355" i="22" a="1"/>
  <c r="F355" i="22" s="1"/>
  <c r="F366" i="22" s="1"/>
  <c r="E355" i="22" a="1"/>
  <c r="E355" i="22" s="1"/>
  <c r="E366" i="22" s="1"/>
  <c r="D355" i="22" a="1"/>
  <c r="D355" i="22" s="1"/>
  <c r="D366" i="22" s="1"/>
  <c r="L354" i="22" a="1"/>
  <c r="L354" i="22" s="1"/>
  <c r="O365" i="22" s="1"/>
  <c r="K354" i="22" a="1"/>
  <c r="K354" i="22" s="1"/>
  <c r="M365" i="22" s="1"/>
  <c r="J354" i="22" a="1"/>
  <c r="J354" i="22" s="1"/>
  <c r="K365" i="22" s="1"/>
  <c r="I354" i="22" a="1"/>
  <c r="I354" i="22" s="1"/>
  <c r="J365" i="22" s="1"/>
  <c r="H354" i="22" a="1"/>
  <c r="H354" i="22" s="1"/>
  <c r="H365" i="22" s="1"/>
  <c r="G354" i="22" a="1"/>
  <c r="G354" i="22" s="1"/>
  <c r="G365" i="22" s="1"/>
  <c r="F354" i="22" a="1"/>
  <c r="F354" i="22" s="1"/>
  <c r="F365" i="22" s="1"/>
  <c r="E354" i="22" a="1"/>
  <c r="E354" i="22" s="1"/>
  <c r="E365" i="22" s="1"/>
  <c r="D354" i="22" a="1"/>
  <c r="D354" i="22" s="1"/>
  <c r="D365" i="22" s="1"/>
  <c r="L353" i="22" a="1"/>
  <c r="L353" i="22" s="1"/>
  <c r="O364" i="22" s="1"/>
  <c r="K353" i="22" a="1"/>
  <c r="K353" i="22" s="1"/>
  <c r="M364" i="22" s="1"/>
  <c r="J353" i="22" a="1"/>
  <c r="J353" i="22" s="1"/>
  <c r="K364" i="22" s="1"/>
  <c r="I353" i="22" a="1"/>
  <c r="I353" i="22" s="1"/>
  <c r="I364" i="22" s="1"/>
  <c r="H353" i="22" a="1"/>
  <c r="H353" i="22" s="1"/>
  <c r="H364" i="22" s="1"/>
  <c r="G353" i="22" a="1"/>
  <c r="G353" i="22" s="1"/>
  <c r="G364" i="22" s="1"/>
  <c r="F353" i="22" a="1"/>
  <c r="F353" i="22" s="1"/>
  <c r="F364" i="22" s="1"/>
  <c r="E353" i="22" a="1"/>
  <c r="E353" i="22" s="1"/>
  <c r="E364" i="22" s="1"/>
  <c r="D353" i="22" a="1"/>
  <c r="D353" i="22" s="1"/>
  <c r="D364" i="22" s="1"/>
  <c r="L352" i="22" a="1"/>
  <c r="L352" i="22" s="1"/>
  <c r="O363" i="22" s="1"/>
  <c r="K352" i="22" a="1"/>
  <c r="K352" i="22" s="1"/>
  <c r="N363" i="22" s="1"/>
  <c r="J352" i="22" a="1"/>
  <c r="J352" i="22" s="1"/>
  <c r="K363" i="22" s="1"/>
  <c r="I352" i="22" a="1"/>
  <c r="I352" i="22" s="1"/>
  <c r="I363" i="22" s="1"/>
  <c r="H352" i="22" a="1"/>
  <c r="H352" i="22" s="1"/>
  <c r="H363" i="22" s="1"/>
  <c r="G352" i="22" a="1"/>
  <c r="G352" i="22" s="1"/>
  <c r="G363" i="22" s="1"/>
  <c r="F352" i="22" a="1"/>
  <c r="F352" i="22" s="1"/>
  <c r="F363" i="22" s="1"/>
  <c r="E352" i="22" a="1"/>
  <c r="E352" i="22" s="1"/>
  <c r="E363" i="22" s="1"/>
  <c r="D352" i="22" a="1"/>
  <c r="D352" i="22" s="1"/>
  <c r="D363" i="22" s="1"/>
  <c r="L351" i="22" a="1"/>
  <c r="L351" i="22" s="1"/>
  <c r="O362" i="22" s="1"/>
  <c r="K351" i="22" a="1"/>
  <c r="K351" i="22" s="1"/>
  <c r="M362" i="22" s="1"/>
  <c r="J351" i="22" a="1"/>
  <c r="J351" i="22" s="1"/>
  <c r="K362" i="22" s="1"/>
  <c r="I351" i="22" a="1"/>
  <c r="I351" i="22" s="1"/>
  <c r="I362" i="22" s="1"/>
  <c r="H351" i="22" a="1"/>
  <c r="H351" i="22" s="1"/>
  <c r="H362" i="22" s="1"/>
  <c r="G351" i="22" a="1"/>
  <c r="G351" i="22" s="1"/>
  <c r="G362" i="22" s="1"/>
  <c r="F351" i="22" a="1"/>
  <c r="F351" i="22" s="1"/>
  <c r="F362" i="22" s="1"/>
  <c r="E351" i="22" a="1"/>
  <c r="E351" i="22" s="1"/>
  <c r="E362" i="22" s="1"/>
  <c r="D351" i="22" a="1"/>
  <c r="D351" i="22" s="1"/>
  <c r="D362" i="22" s="1"/>
  <c r="D349" i="22" a="1"/>
  <c r="D349" i="22" s="1"/>
  <c r="D348" i="22" a="1"/>
  <c r="D348" i="22" s="1"/>
  <c r="D347" i="22" a="1"/>
  <c r="D347" i="22" s="1"/>
  <c r="D346" i="22" a="1"/>
  <c r="D346" i="22" s="1"/>
  <c r="D345" i="22" a="1"/>
  <c r="D345" i="22" s="1"/>
  <c r="G342" i="22" a="1"/>
  <c r="G342" i="22" s="1"/>
  <c r="F342" i="22" a="1"/>
  <c r="F342" i="22" s="1"/>
  <c r="E342" i="22" a="1"/>
  <c r="E342" i="22" s="1"/>
  <c r="D342" i="22" a="1"/>
  <c r="D342" i="22" s="1"/>
  <c r="G341" i="22" a="1"/>
  <c r="G341" i="22" s="1"/>
  <c r="L338" i="22" s="1"/>
  <c r="F341" i="22" a="1"/>
  <c r="F341" i="22" s="1"/>
  <c r="K338" i="22" s="1"/>
  <c r="E341" i="22" a="1"/>
  <c r="E341" i="22" s="1"/>
  <c r="D341" i="22" a="1"/>
  <c r="D341" i="22" s="1"/>
  <c r="I338" i="22" s="1"/>
  <c r="G340" i="22" a="1"/>
  <c r="G340" i="22" s="1"/>
  <c r="L337" i="22" s="1"/>
  <c r="F340" i="22" a="1"/>
  <c r="F340" i="22" s="1"/>
  <c r="K337" i="22" s="1"/>
  <c r="E340" i="22" a="1"/>
  <c r="E340" i="22" s="1"/>
  <c r="D340" i="22" a="1"/>
  <c r="D340" i="22" s="1"/>
  <c r="I337" i="22" s="1"/>
  <c r="G339" i="22" a="1"/>
  <c r="G339" i="22" s="1"/>
  <c r="F339" i="22" a="1"/>
  <c r="F339" i="22" s="1"/>
  <c r="E339" i="22" a="1"/>
  <c r="E339" i="22" s="1"/>
  <c r="D339" i="22" a="1"/>
  <c r="D339" i="22" s="1"/>
  <c r="G338" i="22" a="1"/>
  <c r="G338" i="22" s="1"/>
  <c r="F338" i="22" a="1"/>
  <c r="F338" i="22" s="1"/>
  <c r="E338" i="22" a="1"/>
  <c r="E338" i="22" s="1"/>
  <c r="D338" i="22" a="1"/>
  <c r="D338" i="22" s="1"/>
  <c r="G337" i="22" a="1"/>
  <c r="G337" i="22" s="1"/>
  <c r="F337" i="22" a="1"/>
  <c r="F337" i="22" s="1"/>
  <c r="E337" i="22" a="1"/>
  <c r="E337" i="22" s="1"/>
  <c r="D337" i="22" a="1"/>
  <c r="D337" i="22" s="1"/>
  <c r="G336" i="22" a="1"/>
  <c r="G336" i="22" s="1"/>
  <c r="L336" i="22" s="1"/>
  <c r="F336" i="22" a="1"/>
  <c r="F336" i="22" s="1"/>
  <c r="K336" i="22" s="1"/>
  <c r="E336" i="22" a="1"/>
  <c r="E336" i="22" s="1"/>
  <c r="D336" i="22" a="1"/>
  <c r="D336" i="22" s="1"/>
  <c r="I336" i="22" s="1"/>
  <c r="G335" i="22" a="1"/>
  <c r="G335" i="22" s="1"/>
  <c r="L335" i="22" s="1"/>
  <c r="F335" i="22" a="1"/>
  <c r="F335" i="22" s="1"/>
  <c r="K335" i="22" s="1"/>
  <c r="E335" i="22" a="1"/>
  <c r="E335" i="22" s="1"/>
  <c r="D335" i="22" a="1"/>
  <c r="D335" i="22" s="1"/>
  <c r="I335" i="22" s="1"/>
  <c r="D333" i="22" a="1"/>
  <c r="D333" i="22" s="1"/>
  <c r="D332" i="22" a="1"/>
  <c r="D332" i="22" s="1"/>
  <c r="D331" i="22" a="1"/>
  <c r="D331" i="22" s="1"/>
  <c r="I328" i="22" a="1"/>
  <c r="I328" i="22" s="1"/>
  <c r="H328" i="22" a="1"/>
  <c r="H328" i="22" s="1"/>
  <c r="G328" i="22" a="1"/>
  <c r="G328" i="22" s="1"/>
  <c r="F328" i="22" a="1"/>
  <c r="F328" i="22" s="1"/>
  <c r="E328" i="22" a="1"/>
  <c r="E328" i="22" s="1"/>
  <c r="D328" i="22" a="1"/>
  <c r="D328" i="22" s="1"/>
  <c r="I327" i="22" a="1"/>
  <c r="I327" i="22" s="1"/>
  <c r="H327" i="22" a="1"/>
  <c r="H327" i="22" s="1"/>
  <c r="G327" i="22" a="1"/>
  <c r="G327" i="22" s="1"/>
  <c r="F327" i="22" a="1"/>
  <c r="F327" i="22" s="1"/>
  <c r="E327" i="22" a="1"/>
  <c r="E327" i="22" s="1"/>
  <c r="D327" i="22" a="1"/>
  <c r="D327" i="22" s="1"/>
  <c r="I326" i="22" a="1"/>
  <c r="I326" i="22" s="1"/>
  <c r="H326" i="22" a="1"/>
  <c r="H326" i="22" s="1"/>
  <c r="G326" i="22" a="1"/>
  <c r="G326" i="22" s="1"/>
  <c r="F326" i="22" a="1"/>
  <c r="F326" i="22" s="1"/>
  <c r="E326" i="22" a="1"/>
  <c r="E326" i="22" s="1"/>
  <c r="D326" i="22" a="1"/>
  <c r="D326" i="22" s="1"/>
  <c r="I325" i="22" a="1"/>
  <c r="I325" i="22" s="1"/>
  <c r="H325" i="22" a="1"/>
  <c r="H325" i="22" s="1"/>
  <c r="G325" i="22" a="1"/>
  <c r="G325" i="22" s="1"/>
  <c r="F325" i="22" a="1"/>
  <c r="F325" i="22" s="1"/>
  <c r="E325" i="22" a="1"/>
  <c r="E325" i="22" s="1"/>
  <c r="D325" i="22" a="1"/>
  <c r="D325" i="22" s="1"/>
  <c r="I324" i="22" a="1"/>
  <c r="I324" i="22" s="1"/>
  <c r="H324" i="22" a="1"/>
  <c r="H324" i="22" s="1"/>
  <c r="G324" i="22" a="1"/>
  <c r="G324" i="22" s="1"/>
  <c r="F324" i="22" a="1"/>
  <c r="F324" i="22" s="1"/>
  <c r="E324" i="22" a="1"/>
  <c r="E324" i="22" s="1"/>
  <c r="D324" i="22" a="1"/>
  <c r="D324" i="22" s="1"/>
  <c r="I323" i="22" a="1"/>
  <c r="I323" i="22" s="1"/>
  <c r="H323" i="22" a="1"/>
  <c r="H323" i="22" s="1"/>
  <c r="G323" i="22" a="1"/>
  <c r="G323" i="22" s="1"/>
  <c r="F323" i="22" a="1"/>
  <c r="F323" i="22" s="1"/>
  <c r="E323" i="22" a="1"/>
  <c r="E323" i="22" s="1"/>
  <c r="D323" i="22" a="1"/>
  <c r="D323" i="22" s="1"/>
  <c r="I322" i="22" a="1"/>
  <c r="I322" i="22" s="1"/>
  <c r="H322" i="22" a="1"/>
  <c r="H322" i="22" s="1"/>
  <c r="G322" i="22" a="1"/>
  <c r="G322" i="22" s="1"/>
  <c r="F322" i="22" a="1"/>
  <c r="F322" i="22" s="1"/>
  <c r="E322" i="22" a="1"/>
  <c r="E322" i="22" s="1"/>
  <c r="D322" i="22" a="1"/>
  <c r="D322" i="22" s="1"/>
  <c r="I321" i="22" a="1"/>
  <c r="I321" i="22" s="1"/>
  <c r="H321" i="22" a="1"/>
  <c r="H321" i="22" s="1"/>
  <c r="G321" i="22" a="1"/>
  <c r="G321" i="22" s="1"/>
  <c r="F321" i="22" a="1"/>
  <c r="F321" i="22" s="1"/>
  <c r="E321" i="22" a="1"/>
  <c r="E321" i="22" s="1"/>
  <c r="D321" i="22" a="1"/>
  <c r="D321" i="22" s="1"/>
  <c r="I320" i="22" a="1"/>
  <c r="I320" i="22" s="1"/>
  <c r="H320" i="22" a="1"/>
  <c r="H320" i="22" s="1"/>
  <c r="G320" i="22" a="1"/>
  <c r="G320" i="22" s="1"/>
  <c r="F320" i="22" a="1"/>
  <c r="F320" i="22" s="1"/>
  <c r="E320" i="22" a="1"/>
  <c r="E320" i="22" s="1"/>
  <c r="D320" i="22" a="1"/>
  <c r="D320" i="22" s="1"/>
  <c r="I319" i="22" a="1"/>
  <c r="I319" i="22" s="1"/>
  <c r="H319" i="22" a="1"/>
  <c r="H319" i="22" s="1"/>
  <c r="G319" i="22" a="1"/>
  <c r="G319" i="22" s="1"/>
  <c r="F319" i="22" a="1"/>
  <c r="F319" i="22" s="1"/>
  <c r="E319" i="22" a="1"/>
  <c r="E319" i="22" s="1"/>
  <c r="D319" i="22" a="1"/>
  <c r="D319" i="22" s="1"/>
  <c r="I318" i="22" a="1"/>
  <c r="I318" i="22" s="1"/>
  <c r="H318" i="22" a="1"/>
  <c r="H318" i="22" s="1"/>
  <c r="G318" i="22" a="1"/>
  <c r="G318" i="22" s="1"/>
  <c r="F318" i="22" a="1"/>
  <c r="F318" i="22" s="1"/>
  <c r="E318" i="22" a="1"/>
  <c r="E318" i="22" s="1"/>
  <c r="D318" i="22" a="1"/>
  <c r="D318" i="22" s="1"/>
  <c r="I317" i="22" a="1"/>
  <c r="I317" i="22" s="1"/>
  <c r="H317" i="22" a="1"/>
  <c r="H317" i="22" s="1"/>
  <c r="G317" i="22" a="1"/>
  <c r="G317" i="22" s="1"/>
  <c r="F317" i="22" a="1"/>
  <c r="F317" i="22" s="1"/>
  <c r="E317" i="22" a="1"/>
  <c r="E317" i="22" s="1"/>
  <c r="D317" i="22" a="1"/>
  <c r="D317" i="22" s="1"/>
  <c r="I316" i="22" a="1"/>
  <c r="I316" i="22" s="1"/>
  <c r="H316" i="22" a="1"/>
  <c r="H316" i="22" s="1"/>
  <c r="G316" i="22" a="1"/>
  <c r="G316" i="22" s="1"/>
  <c r="F316" i="22" a="1"/>
  <c r="F316" i="22" s="1"/>
  <c r="E316" i="22" a="1"/>
  <c r="E316" i="22" s="1"/>
  <c r="D316" i="22" a="1"/>
  <c r="D316" i="22" s="1"/>
  <c r="I315" i="22" a="1"/>
  <c r="I315" i="22" s="1"/>
  <c r="H315" i="22" a="1"/>
  <c r="H315" i="22" s="1"/>
  <c r="G315" i="22" a="1"/>
  <c r="G315" i="22" s="1"/>
  <c r="F315" i="22" a="1"/>
  <c r="F315" i="22" s="1"/>
  <c r="E315" i="22" a="1"/>
  <c r="E315" i="22" s="1"/>
  <c r="D315" i="22" a="1"/>
  <c r="D315" i="22" s="1"/>
  <c r="I314" i="22" a="1"/>
  <c r="I314" i="22" s="1"/>
  <c r="H314" i="22" a="1"/>
  <c r="H314" i="22" s="1"/>
  <c r="G314" i="22" a="1"/>
  <c r="G314" i="22" s="1"/>
  <c r="F314" i="22" a="1"/>
  <c r="F314" i="22" s="1"/>
  <c r="E314" i="22" a="1"/>
  <c r="E314" i="22" s="1"/>
  <c r="D314" i="22" a="1"/>
  <c r="D314" i="22" s="1"/>
  <c r="D312" i="22" a="1"/>
  <c r="D312" i="22" s="1"/>
  <c r="D311" i="22" a="1"/>
  <c r="D311" i="22" s="1"/>
  <c r="D310" i="22" a="1"/>
  <c r="D310" i="22" s="1"/>
  <c r="D309" i="22" a="1"/>
  <c r="D309" i="22" s="1"/>
  <c r="D308" i="22" a="1"/>
  <c r="D308" i="22" s="1"/>
  <c r="I305" i="22" a="1"/>
  <c r="I305" i="22" s="1"/>
  <c r="H305" i="22" a="1"/>
  <c r="H305" i="22" s="1"/>
  <c r="G305" i="22" a="1"/>
  <c r="G305" i="22" s="1"/>
  <c r="F305" i="22" a="1"/>
  <c r="F305" i="22" s="1"/>
  <c r="E305" i="22" a="1"/>
  <c r="E305" i="22" s="1"/>
  <c r="D305" i="22" a="1"/>
  <c r="D305" i="22" s="1"/>
  <c r="I304" i="22" a="1"/>
  <c r="I304" i="22" s="1"/>
  <c r="H304" i="22" a="1"/>
  <c r="H304" i="22" s="1"/>
  <c r="G304" i="22" a="1"/>
  <c r="G304" i="22" s="1"/>
  <c r="F304" i="22" a="1"/>
  <c r="F304" i="22" s="1"/>
  <c r="E304" i="22" a="1"/>
  <c r="E304" i="22" s="1"/>
  <c r="D304" i="22" a="1"/>
  <c r="D304" i="22" s="1"/>
  <c r="I303" i="22" a="1"/>
  <c r="I303" i="22" s="1"/>
  <c r="H303" i="22" a="1"/>
  <c r="H303" i="22" s="1"/>
  <c r="G303" i="22" a="1"/>
  <c r="G303" i="22" s="1"/>
  <c r="F303" i="22" a="1"/>
  <c r="F303" i="22" s="1"/>
  <c r="E303" i="22" a="1"/>
  <c r="E303" i="22" s="1"/>
  <c r="D303" i="22" a="1"/>
  <c r="D303" i="22" s="1"/>
  <c r="I302" i="22" a="1"/>
  <c r="I302" i="22" s="1"/>
  <c r="H302" i="22" a="1"/>
  <c r="H302" i="22" s="1"/>
  <c r="G302" i="22" a="1"/>
  <c r="G302" i="22" s="1"/>
  <c r="F302" i="22" a="1"/>
  <c r="F302" i="22" s="1"/>
  <c r="E302" i="22" a="1"/>
  <c r="E302" i="22" s="1"/>
  <c r="D302" i="22" a="1"/>
  <c r="D302" i="22" s="1"/>
  <c r="I301" i="22" a="1"/>
  <c r="I301" i="22" s="1"/>
  <c r="H301" i="22" a="1"/>
  <c r="H301" i="22" s="1"/>
  <c r="G301" i="22" a="1"/>
  <c r="G301" i="22" s="1"/>
  <c r="F301" i="22" a="1"/>
  <c r="F301" i="22" s="1"/>
  <c r="E301" i="22" a="1"/>
  <c r="E301" i="22" s="1"/>
  <c r="D301" i="22" a="1"/>
  <c r="D301" i="22" s="1"/>
  <c r="I300" i="22" a="1"/>
  <c r="I300" i="22" s="1"/>
  <c r="H300" i="22" a="1"/>
  <c r="H300" i="22" s="1"/>
  <c r="G300" i="22" a="1"/>
  <c r="G300" i="22" s="1"/>
  <c r="F300" i="22" a="1"/>
  <c r="F300" i="22" s="1"/>
  <c r="E300" i="22" a="1"/>
  <c r="E300" i="22" s="1"/>
  <c r="D300" i="22" a="1"/>
  <c r="D300" i="22" s="1"/>
  <c r="I299" i="22" a="1"/>
  <c r="I299" i="22" s="1"/>
  <c r="H299" i="22" a="1"/>
  <c r="H299" i="22" s="1"/>
  <c r="G299" i="22" a="1"/>
  <c r="G299" i="22" s="1"/>
  <c r="F299" i="22" a="1"/>
  <c r="F299" i="22" s="1"/>
  <c r="E299" i="22" a="1"/>
  <c r="E299" i="22" s="1"/>
  <c r="D299" i="22" a="1"/>
  <c r="D299" i="22" s="1"/>
  <c r="I298" i="22" a="1"/>
  <c r="I298" i="22" s="1"/>
  <c r="H298" i="22" a="1"/>
  <c r="H298" i="22" s="1"/>
  <c r="G298" i="22" a="1"/>
  <c r="G298" i="22" s="1"/>
  <c r="F298" i="22" a="1"/>
  <c r="F298" i="22" s="1"/>
  <c r="E298" i="22" a="1"/>
  <c r="E298" i="22" s="1"/>
  <c r="D298" i="22" a="1"/>
  <c r="D298" i="22" s="1"/>
  <c r="I297" i="22" a="1"/>
  <c r="I297" i="22" s="1"/>
  <c r="H297" i="22" a="1"/>
  <c r="H297" i="22" s="1"/>
  <c r="G297" i="22" a="1"/>
  <c r="G297" i="22" s="1"/>
  <c r="F297" i="22" a="1"/>
  <c r="F297" i="22" s="1"/>
  <c r="E297" i="22" a="1"/>
  <c r="E297" i="22" s="1"/>
  <c r="D297" i="22" a="1"/>
  <c r="D297" i="22" s="1"/>
  <c r="I296" i="22" a="1"/>
  <c r="I296" i="22" s="1"/>
  <c r="H296" i="22" a="1"/>
  <c r="H296" i="22" s="1"/>
  <c r="G296" i="22" a="1"/>
  <c r="G296" i="22" s="1"/>
  <c r="F296" i="22" a="1"/>
  <c r="F296" i="22" s="1"/>
  <c r="E296" i="22" a="1"/>
  <c r="E296" i="22" s="1"/>
  <c r="D296" i="22" a="1"/>
  <c r="D296" i="22" s="1"/>
  <c r="I295" i="22" a="1"/>
  <c r="I295" i="22" s="1"/>
  <c r="H295" i="22" a="1"/>
  <c r="H295" i="22" s="1"/>
  <c r="G295" i="22" a="1"/>
  <c r="G295" i="22" s="1"/>
  <c r="F295" i="22" a="1"/>
  <c r="F295" i="22" s="1"/>
  <c r="E295" i="22" a="1"/>
  <c r="E295" i="22" s="1"/>
  <c r="D295" i="22" a="1"/>
  <c r="D295" i="22" s="1"/>
  <c r="I294" i="22" a="1"/>
  <c r="I294" i="22" s="1"/>
  <c r="H294" i="22" a="1"/>
  <c r="H294" i="22" s="1"/>
  <c r="G294" i="22" a="1"/>
  <c r="G294" i="22" s="1"/>
  <c r="F294" i="22" a="1"/>
  <c r="F294" i="22" s="1"/>
  <c r="E294" i="22" a="1"/>
  <c r="E294" i="22" s="1"/>
  <c r="D294" i="22" a="1"/>
  <c r="D294" i="22" s="1"/>
  <c r="I293" i="22" a="1"/>
  <c r="I293" i="22" s="1"/>
  <c r="H293" i="22" a="1"/>
  <c r="H293" i="22" s="1"/>
  <c r="G293" i="22" a="1"/>
  <c r="G293" i="22" s="1"/>
  <c r="F293" i="22" a="1"/>
  <c r="F293" i="22" s="1"/>
  <c r="E293" i="22" a="1"/>
  <c r="E293" i="22" s="1"/>
  <c r="D293" i="22" a="1"/>
  <c r="D293" i="22" s="1"/>
  <c r="I292" i="22" a="1"/>
  <c r="I292" i="22" s="1"/>
  <c r="H292" i="22" a="1"/>
  <c r="H292" i="22" s="1"/>
  <c r="G292" i="22" a="1"/>
  <c r="G292" i="22" s="1"/>
  <c r="F292" i="22" a="1"/>
  <c r="F292" i="22" s="1"/>
  <c r="E292" i="22" a="1"/>
  <c r="E292" i="22" s="1"/>
  <c r="D292" i="22" a="1"/>
  <c r="D292" i="22" s="1"/>
  <c r="I291" i="22" a="1"/>
  <c r="I291" i="22" s="1"/>
  <c r="H291" i="22" a="1"/>
  <c r="H291" i="22" s="1"/>
  <c r="G291" i="22" a="1"/>
  <c r="G291" i="22" s="1"/>
  <c r="F291" i="22" a="1"/>
  <c r="F291" i="22" s="1"/>
  <c r="E291" i="22" a="1"/>
  <c r="E291" i="22" s="1"/>
  <c r="D291" i="22" a="1"/>
  <c r="D291" i="22" s="1"/>
  <c r="D289" i="22" a="1"/>
  <c r="D289" i="22" s="1"/>
  <c r="D288" i="22" a="1"/>
  <c r="D288" i="22" s="1"/>
  <c r="D287" i="22" a="1"/>
  <c r="D287" i="22" s="1"/>
  <c r="D286" i="22" a="1"/>
  <c r="D286" i="22" s="1"/>
  <c r="D285" i="22" a="1"/>
  <c r="D285" i="22" s="1"/>
  <c r="P217" i="22" a="1"/>
  <c r="P217" i="22" s="1"/>
  <c r="P282" i="22" s="1"/>
  <c r="O217" i="22" a="1"/>
  <c r="O217" i="22" s="1"/>
  <c r="O282" i="22" s="1"/>
  <c r="N217" i="22" a="1"/>
  <c r="N217" i="22" s="1"/>
  <c r="N282" i="22" s="1"/>
  <c r="M217" i="22" a="1"/>
  <c r="M217" i="22" s="1"/>
  <c r="M282" i="22" s="1"/>
  <c r="L217" i="22" a="1"/>
  <c r="L217" i="22" s="1"/>
  <c r="L282" i="22" s="1"/>
  <c r="K217" i="22" a="1"/>
  <c r="K217" i="22" s="1"/>
  <c r="K282" i="22" s="1"/>
  <c r="J217" i="22" a="1"/>
  <c r="J217" i="22" s="1"/>
  <c r="J282" i="22" s="1"/>
  <c r="I217" i="22" a="1"/>
  <c r="I217" i="22" s="1"/>
  <c r="I282" i="22" s="1"/>
  <c r="H217" i="22" a="1"/>
  <c r="H217" i="22" s="1"/>
  <c r="H282" i="22" s="1"/>
  <c r="G217" i="22" a="1"/>
  <c r="G217" i="22" s="1"/>
  <c r="G282" i="22" s="1"/>
  <c r="F217" i="22" a="1"/>
  <c r="F217" i="22" s="1"/>
  <c r="F282" i="22" s="1"/>
  <c r="E217" i="22" a="1"/>
  <c r="E217" i="22" s="1"/>
  <c r="E282" i="22" s="1"/>
  <c r="D217" i="22" a="1"/>
  <c r="D217" i="22" s="1"/>
  <c r="P216" i="22" a="1"/>
  <c r="P216" i="22" s="1"/>
  <c r="P281" i="22" s="1"/>
  <c r="O216" i="22" a="1"/>
  <c r="O216" i="22" s="1"/>
  <c r="O281" i="22" s="1"/>
  <c r="N216" i="22" a="1"/>
  <c r="N216" i="22" s="1"/>
  <c r="N281" i="22" s="1"/>
  <c r="M216" i="22" a="1"/>
  <c r="M216" i="22" s="1"/>
  <c r="M281" i="22" s="1"/>
  <c r="L216" i="22" a="1"/>
  <c r="L216" i="22" s="1"/>
  <c r="L281" i="22" s="1"/>
  <c r="K216" i="22" a="1"/>
  <c r="K216" i="22" s="1"/>
  <c r="K281" i="22" s="1"/>
  <c r="J216" i="22" a="1"/>
  <c r="J216" i="22" s="1"/>
  <c r="J281" i="22" s="1"/>
  <c r="I216" i="22" a="1"/>
  <c r="I216" i="22" s="1"/>
  <c r="I281" i="22" s="1"/>
  <c r="H216" i="22" a="1"/>
  <c r="H216" i="22" s="1"/>
  <c r="H281" i="22" s="1"/>
  <c r="G216" i="22" a="1"/>
  <c r="G216" i="22" s="1"/>
  <c r="G281" i="22" s="1"/>
  <c r="F216" i="22" a="1"/>
  <c r="F216" i="22" s="1"/>
  <c r="F281" i="22" s="1"/>
  <c r="E216" i="22" a="1"/>
  <c r="E216" i="22" s="1"/>
  <c r="E281" i="22" s="1"/>
  <c r="D216" i="22" a="1"/>
  <c r="D216" i="22" s="1"/>
  <c r="P215" i="22" a="1"/>
  <c r="P215" i="22" s="1"/>
  <c r="P280" i="22" s="1"/>
  <c r="O215" i="22" a="1"/>
  <c r="O215" i="22" s="1"/>
  <c r="O280" i="22" s="1"/>
  <c r="N215" i="22" a="1"/>
  <c r="N215" i="22" s="1"/>
  <c r="N280" i="22" s="1"/>
  <c r="M215" i="22" a="1"/>
  <c r="M215" i="22" s="1"/>
  <c r="M280" i="22" s="1"/>
  <c r="L215" i="22" a="1"/>
  <c r="L215" i="22" s="1"/>
  <c r="L280" i="22" s="1"/>
  <c r="K215" i="22" a="1"/>
  <c r="K215" i="22" s="1"/>
  <c r="K280" i="22" s="1"/>
  <c r="J215" i="22" a="1"/>
  <c r="J215" i="22" s="1"/>
  <c r="J280" i="22" s="1"/>
  <c r="I215" i="22" a="1"/>
  <c r="I215" i="22" s="1"/>
  <c r="I280" i="22" s="1"/>
  <c r="H215" i="22" a="1"/>
  <c r="H215" i="22" s="1"/>
  <c r="H280" i="22" s="1"/>
  <c r="G215" i="22" a="1"/>
  <c r="G215" i="22" s="1"/>
  <c r="G280" i="22" s="1"/>
  <c r="F215" i="22" a="1"/>
  <c r="F215" i="22" s="1"/>
  <c r="F280" i="22" s="1"/>
  <c r="E215" i="22" a="1"/>
  <c r="E215" i="22" s="1"/>
  <c r="E280" i="22" s="1"/>
  <c r="D215" i="22" a="1"/>
  <c r="D215" i="22" s="1"/>
  <c r="P214" i="22" a="1"/>
  <c r="P214" i="22" s="1"/>
  <c r="P279" i="22" s="1"/>
  <c r="O214" i="22" a="1"/>
  <c r="O214" i="22" s="1"/>
  <c r="O279" i="22" s="1"/>
  <c r="N214" i="22" a="1"/>
  <c r="N214" i="22" s="1"/>
  <c r="N279" i="22" s="1"/>
  <c r="M214" i="22" a="1"/>
  <c r="M214" i="22" s="1"/>
  <c r="M279" i="22" s="1"/>
  <c r="L214" i="22" a="1"/>
  <c r="L214" i="22" s="1"/>
  <c r="L279" i="22" s="1"/>
  <c r="K214" i="22" a="1"/>
  <c r="K214" i="22" s="1"/>
  <c r="K279" i="22" s="1"/>
  <c r="J214" i="22" a="1"/>
  <c r="J214" i="22" s="1"/>
  <c r="J279" i="22" s="1"/>
  <c r="I214" i="22" a="1"/>
  <c r="I214" i="22" s="1"/>
  <c r="I279" i="22" s="1"/>
  <c r="H214" i="22" a="1"/>
  <c r="H214" i="22" s="1"/>
  <c r="H279" i="22" s="1"/>
  <c r="G214" i="22" a="1"/>
  <c r="G214" i="22" s="1"/>
  <c r="G279" i="22" s="1"/>
  <c r="F214" i="22" a="1"/>
  <c r="F214" i="22" s="1"/>
  <c r="F279" i="22" s="1"/>
  <c r="E214" i="22" a="1"/>
  <c r="E214" i="22" s="1"/>
  <c r="E279" i="22" s="1"/>
  <c r="D214" i="22" a="1"/>
  <c r="D214" i="22" s="1"/>
  <c r="P213" i="22" a="1"/>
  <c r="P213" i="22" s="1"/>
  <c r="P278" i="22" s="1"/>
  <c r="O213" i="22" a="1"/>
  <c r="O213" i="22" s="1"/>
  <c r="O278" i="22" s="1"/>
  <c r="N213" i="22" a="1"/>
  <c r="N213" i="22" s="1"/>
  <c r="N278" i="22" s="1"/>
  <c r="M213" i="22" a="1"/>
  <c r="M213" i="22" s="1"/>
  <c r="M278" i="22" s="1"/>
  <c r="L213" i="22" a="1"/>
  <c r="L213" i="22" s="1"/>
  <c r="L278" i="22" s="1"/>
  <c r="K213" i="22" a="1"/>
  <c r="K213" i="22" s="1"/>
  <c r="K278" i="22" s="1"/>
  <c r="J213" i="22" a="1"/>
  <c r="J213" i="22" s="1"/>
  <c r="J278" i="22" s="1"/>
  <c r="I213" i="22" a="1"/>
  <c r="I213" i="22" s="1"/>
  <c r="I278" i="22" s="1"/>
  <c r="H213" i="22" a="1"/>
  <c r="H213" i="22" s="1"/>
  <c r="H278" i="22" s="1"/>
  <c r="G213" i="22" a="1"/>
  <c r="G213" i="22" s="1"/>
  <c r="G278" i="22" s="1"/>
  <c r="F213" i="22" a="1"/>
  <c r="F213" i="22" s="1"/>
  <c r="F278" i="22" s="1"/>
  <c r="E213" i="22" a="1"/>
  <c r="E213" i="22" s="1"/>
  <c r="E278" i="22" s="1"/>
  <c r="D213" i="22" a="1"/>
  <c r="D213" i="22" s="1"/>
  <c r="P212" i="22" a="1"/>
  <c r="P212" i="22" s="1"/>
  <c r="P277" i="22" s="1"/>
  <c r="O212" i="22" a="1"/>
  <c r="O212" i="22" s="1"/>
  <c r="O277" i="22" s="1"/>
  <c r="N212" i="22" a="1"/>
  <c r="N212" i="22" s="1"/>
  <c r="N277" i="22" s="1"/>
  <c r="M212" i="22" a="1"/>
  <c r="M212" i="22" s="1"/>
  <c r="M277" i="22" s="1"/>
  <c r="L212" i="22" a="1"/>
  <c r="L212" i="22" s="1"/>
  <c r="L277" i="22" s="1"/>
  <c r="K212" i="22" a="1"/>
  <c r="K212" i="22" s="1"/>
  <c r="K277" i="22" s="1"/>
  <c r="J212" i="22" a="1"/>
  <c r="J212" i="22" s="1"/>
  <c r="J277" i="22" s="1"/>
  <c r="I212" i="22" a="1"/>
  <c r="I212" i="22" s="1"/>
  <c r="I277" i="22" s="1"/>
  <c r="H212" i="22" a="1"/>
  <c r="H212" i="22" s="1"/>
  <c r="H277" i="22" s="1"/>
  <c r="G212" i="22" a="1"/>
  <c r="G212" i="22" s="1"/>
  <c r="G277" i="22" s="1"/>
  <c r="F212" i="22" a="1"/>
  <c r="F212" i="22" s="1"/>
  <c r="F277" i="22" s="1"/>
  <c r="E212" i="22" a="1"/>
  <c r="E212" i="22" s="1"/>
  <c r="E277" i="22" s="1"/>
  <c r="D212" i="22" a="1"/>
  <c r="D212" i="22" s="1"/>
  <c r="P211" i="22" a="1"/>
  <c r="P211" i="22" s="1"/>
  <c r="P276" i="22" s="1"/>
  <c r="O211" i="22" a="1"/>
  <c r="O211" i="22" s="1"/>
  <c r="O276" i="22" s="1"/>
  <c r="N211" i="22" a="1"/>
  <c r="N211" i="22" s="1"/>
  <c r="N276" i="22" s="1"/>
  <c r="M211" i="22" a="1"/>
  <c r="M211" i="22" s="1"/>
  <c r="M276" i="22" s="1"/>
  <c r="L211" i="22" a="1"/>
  <c r="L211" i="22" s="1"/>
  <c r="L276" i="22" s="1"/>
  <c r="K211" i="22" a="1"/>
  <c r="K211" i="22" s="1"/>
  <c r="K276" i="22" s="1"/>
  <c r="J211" i="22" a="1"/>
  <c r="J211" i="22" s="1"/>
  <c r="J276" i="22" s="1"/>
  <c r="I211" i="22" a="1"/>
  <c r="I211" i="22" s="1"/>
  <c r="I276" i="22" s="1"/>
  <c r="H211" i="22" a="1"/>
  <c r="H211" i="22" s="1"/>
  <c r="H276" i="22" s="1"/>
  <c r="G211" i="22" a="1"/>
  <c r="G211" i="22" s="1"/>
  <c r="G276" i="22" s="1"/>
  <c r="F211" i="22" a="1"/>
  <c r="F211" i="22" s="1"/>
  <c r="F276" i="22" s="1"/>
  <c r="E211" i="22" a="1"/>
  <c r="E211" i="22" s="1"/>
  <c r="E276" i="22" s="1"/>
  <c r="D211" i="22" a="1"/>
  <c r="D211" i="22" s="1"/>
  <c r="P210" i="22" a="1"/>
  <c r="P210" i="22" s="1"/>
  <c r="P275" i="22" s="1"/>
  <c r="O210" i="22" a="1"/>
  <c r="O210" i="22" s="1"/>
  <c r="O275" i="22" s="1"/>
  <c r="N210" i="22" a="1"/>
  <c r="N210" i="22" s="1"/>
  <c r="N275" i="22" s="1"/>
  <c r="M210" i="22" a="1"/>
  <c r="M210" i="22" s="1"/>
  <c r="M275" i="22" s="1"/>
  <c r="L210" i="22" a="1"/>
  <c r="L210" i="22" s="1"/>
  <c r="L275" i="22" s="1"/>
  <c r="K210" i="22" a="1"/>
  <c r="K210" i="22" s="1"/>
  <c r="K275" i="22" s="1"/>
  <c r="J210" i="22" a="1"/>
  <c r="J210" i="22" s="1"/>
  <c r="J275" i="22" s="1"/>
  <c r="I210" i="22" a="1"/>
  <c r="I210" i="22" s="1"/>
  <c r="I275" i="22" s="1"/>
  <c r="H210" i="22" a="1"/>
  <c r="H210" i="22" s="1"/>
  <c r="H275" i="22" s="1"/>
  <c r="G210" i="22" a="1"/>
  <c r="G210" i="22" s="1"/>
  <c r="G275" i="22" s="1"/>
  <c r="F210" i="22" a="1"/>
  <c r="F210" i="22" s="1"/>
  <c r="F275" i="22" s="1"/>
  <c r="E210" i="22" a="1"/>
  <c r="E210" i="22" s="1"/>
  <c r="E275" i="22" s="1"/>
  <c r="D210" i="22" a="1"/>
  <c r="D210" i="22" s="1"/>
  <c r="P209" i="22" a="1"/>
  <c r="P209" i="22" s="1"/>
  <c r="P274" i="22" s="1"/>
  <c r="O209" i="22" a="1"/>
  <c r="O209" i="22" s="1"/>
  <c r="O274" i="22" s="1"/>
  <c r="N209" i="22" a="1"/>
  <c r="N209" i="22" s="1"/>
  <c r="N274" i="22" s="1"/>
  <c r="M209" i="22" a="1"/>
  <c r="M209" i="22" s="1"/>
  <c r="M274" i="22" s="1"/>
  <c r="L209" i="22" a="1"/>
  <c r="L209" i="22" s="1"/>
  <c r="L274" i="22" s="1"/>
  <c r="K209" i="22" a="1"/>
  <c r="K209" i="22" s="1"/>
  <c r="K274" i="22" s="1"/>
  <c r="J209" i="22" a="1"/>
  <c r="J209" i="22" s="1"/>
  <c r="J274" i="22" s="1"/>
  <c r="I209" i="22" a="1"/>
  <c r="I209" i="22" s="1"/>
  <c r="I274" i="22" s="1"/>
  <c r="H209" i="22" a="1"/>
  <c r="H209" i="22" s="1"/>
  <c r="H274" i="22" s="1"/>
  <c r="G209" i="22" a="1"/>
  <c r="G209" i="22" s="1"/>
  <c r="G274" i="22" s="1"/>
  <c r="F209" i="22" a="1"/>
  <c r="F209" i="22" s="1"/>
  <c r="F274" i="22" s="1"/>
  <c r="E209" i="22" a="1"/>
  <c r="E209" i="22" s="1"/>
  <c r="E274" i="22" s="1"/>
  <c r="D209" i="22" a="1"/>
  <c r="D209" i="22" s="1"/>
  <c r="P208" i="22" a="1"/>
  <c r="P208" i="22" s="1"/>
  <c r="P273" i="22" s="1"/>
  <c r="O208" i="22" a="1"/>
  <c r="O208" i="22" s="1"/>
  <c r="O273" i="22" s="1"/>
  <c r="N208" i="22" a="1"/>
  <c r="N208" i="22" s="1"/>
  <c r="N273" i="22" s="1"/>
  <c r="M208" i="22" a="1"/>
  <c r="M208" i="22" s="1"/>
  <c r="M273" i="22" s="1"/>
  <c r="L208" i="22" a="1"/>
  <c r="L208" i="22" s="1"/>
  <c r="L273" i="22" s="1"/>
  <c r="K208" i="22" a="1"/>
  <c r="K208" i="22" s="1"/>
  <c r="K273" i="22" s="1"/>
  <c r="J208" i="22" a="1"/>
  <c r="J208" i="22" s="1"/>
  <c r="J273" i="22" s="1"/>
  <c r="I208" i="22" a="1"/>
  <c r="I208" i="22" s="1"/>
  <c r="I273" i="22" s="1"/>
  <c r="H208" i="22" a="1"/>
  <c r="H208" i="22" s="1"/>
  <c r="H273" i="22" s="1"/>
  <c r="G208" i="22" a="1"/>
  <c r="G208" i="22" s="1"/>
  <c r="G273" i="22" s="1"/>
  <c r="F208" i="22" a="1"/>
  <c r="F208" i="22" s="1"/>
  <c r="F273" i="22" s="1"/>
  <c r="E208" i="22" a="1"/>
  <c r="E208" i="22" s="1"/>
  <c r="E273" i="22" s="1"/>
  <c r="D208" i="22" a="1"/>
  <c r="D208" i="22" s="1"/>
  <c r="P207" i="22" a="1"/>
  <c r="P207" i="22" s="1"/>
  <c r="P272" i="22" s="1"/>
  <c r="O207" i="22" a="1"/>
  <c r="O207" i="22" s="1"/>
  <c r="O272" i="22" s="1"/>
  <c r="N207" i="22" a="1"/>
  <c r="N207" i="22" s="1"/>
  <c r="N272" i="22" s="1"/>
  <c r="M207" i="22" a="1"/>
  <c r="M207" i="22" s="1"/>
  <c r="M272" i="22" s="1"/>
  <c r="L207" i="22" a="1"/>
  <c r="L207" i="22" s="1"/>
  <c r="L272" i="22" s="1"/>
  <c r="K207" i="22" a="1"/>
  <c r="K207" i="22" s="1"/>
  <c r="K272" i="22" s="1"/>
  <c r="J207" i="22" a="1"/>
  <c r="J207" i="22" s="1"/>
  <c r="J272" i="22" s="1"/>
  <c r="I207" i="22" a="1"/>
  <c r="I207" i="22" s="1"/>
  <c r="I272" i="22" s="1"/>
  <c r="H207" i="22" a="1"/>
  <c r="H207" i="22" s="1"/>
  <c r="H272" i="22" s="1"/>
  <c r="G207" i="22" a="1"/>
  <c r="G207" i="22" s="1"/>
  <c r="G272" i="22" s="1"/>
  <c r="F207" i="22" a="1"/>
  <c r="F207" i="22" s="1"/>
  <c r="F272" i="22" s="1"/>
  <c r="E207" i="22" a="1"/>
  <c r="E207" i="22" s="1"/>
  <c r="E272" i="22" s="1"/>
  <c r="D207" i="22" a="1"/>
  <c r="D207" i="22" s="1"/>
  <c r="P206" i="22" a="1"/>
  <c r="P206" i="22" s="1"/>
  <c r="P271" i="22" s="1"/>
  <c r="O206" i="22" a="1"/>
  <c r="O206" i="22" s="1"/>
  <c r="O271" i="22" s="1"/>
  <c r="N206" i="22" a="1"/>
  <c r="N206" i="22" s="1"/>
  <c r="N271" i="22" s="1"/>
  <c r="M206" i="22" a="1"/>
  <c r="M206" i="22" s="1"/>
  <c r="M271" i="22" s="1"/>
  <c r="L206" i="22" a="1"/>
  <c r="L206" i="22" s="1"/>
  <c r="L271" i="22" s="1"/>
  <c r="K206" i="22" a="1"/>
  <c r="K206" i="22" s="1"/>
  <c r="K271" i="22" s="1"/>
  <c r="J206" i="22" a="1"/>
  <c r="J206" i="22" s="1"/>
  <c r="J271" i="22" s="1"/>
  <c r="I206" i="22" a="1"/>
  <c r="I206" i="22" s="1"/>
  <c r="I271" i="22" s="1"/>
  <c r="H206" i="22" a="1"/>
  <c r="H206" i="22" s="1"/>
  <c r="H271" i="22" s="1"/>
  <c r="G206" i="22" a="1"/>
  <c r="G206" i="22" s="1"/>
  <c r="G271" i="22" s="1"/>
  <c r="F206" i="22" a="1"/>
  <c r="F206" i="22" s="1"/>
  <c r="F271" i="22" s="1"/>
  <c r="E206" i="22" a="1"/>
  <c r="E206" i="22" s="1"/>
  <c r="E271" i="22" s="1"/>
  <c r="D206" i="22" a="1"/>
  <c r="D206" i="22" s="1"/>
  <c r="P205" i="22" a="1"/>
  <c r="P205" i="22" s="1"/>
  <c r="P270" i="22" s="1"/>
  <c r="O205" i="22" a="1"/>
  <c r="O205" i="22" s="1"/>
  <c r="O270" i="22" s="1"/>
  <c r="N205" i="22" a="1"/>
  <c r="N205" i="22" s="1"/>
  <c r="N270" i="22" s="1"/>
  <c r="M205" i="22" a="1"/>
  <c r="M205" i="22" s="1"/>
  <c r="M270" i="22" s="1"/>
  <c r="L205" i="22" a="1"/>
  <c r="L205" i="22" s="1"/>
  <c r="L270" i="22" s="1"/>
  <c r="K205" i="22" a="1"/>
  <c r="K205" i="22" s="1"/>
  <c r="K270" i="22" s="1"/>
  <c r="J205" i="22" a="1"/>
  <c r="J205" i="22" s="1"/>
  <c r="J270" i="22" s="1"/>
  <c r="I205" i="22" a="1"/>
  <c r="I205" i="22" s="1"/>
  <c r="I270" i="22" s="1"/>
  <c r="H205" i="22" a="1"/>
  <c r="H205" i="22" s="1"/>
  <c r="H270" i="22" s="1"/>
  <c r="G205" i="22" a="1"/>
  <c r="G205" i="22" s="1"/>
  <c r="G270" i="22" s="1"/>
  <c r="F205" i="22" a="1"/>
  <c r="F205" i="22" s="1"/>
  <c r="F270" i="22" s="1"/>
  <c r="E205" i="22" a="1"/>
  <c r="E205" i="22" s="1"/>
  <c r="E270" i="22" s="1"/>
  <c r="D205" i="22" a="1"/>
  <c r="D205" i="22" s="1"/>
  <c r="P204" i="22" a="1"/>
  <c r="P204" i="22" s="1"/>
  <c r="P269" i="22" s="1"/>
  <c r="O204" i="22" a="1"/>
  <c r="O204" i="22" s="1"/>
  <c r="O269" i="22" s="1"/>
  <c r="N204" i="22" a="1"/>
  <c r="N204" i="22" s="1"/>
  <c r="N269" i="22" s="1"/>
  <c r="M204" i="22" a="1"/>
  <c r="M204" i="22" s="1"/>
  <c r="M269" i="22" s="1"/>
  <c r="L204" i="22" a="1"/>
  <c r="L204" i="22" s="1"/>
  <c r="L269" i="22" s="1"/>
  <c r="K204" i="22" a="1"/>
  <c r="K204" i="22" s="1"/>
  <c r="K269" i="22" s="1"/>
  <c r="J204" i="22" a="1"/>
  <c r="J204" i="22" s="1"/>
  <c r="J269" i="22" s="1"/>
  <c r="I204" i="22" a="1"/>
  <c r="I204" i="22" s="1"/>
  <c r="I269" i="22" s="1"/>
  <c r="H204" i="22" a="1"/>
  <c r="H204" i="22" s="1"/>
  <c r="H269" i="22" s="1"/>
  <c r="G204" i="22" a="1"/>
  <c r="G204" i="22" s="1"/>
  <c r="G269" i="22" s="1"/>
  <c r="F204" i="22" a="1"/>
  <c r="F204" i="22" s="1"/>
  <c r="F269" i="22" s="1"/>
  <c r="E204" i="22" a="1"/>
  <c r="E204" i="22" s="1"/>
  <c r="E269" i="22" s="1"/>
  <c r="D204" i="22" a="1"/>
  <c r="D204" i="22" s="1"/>
  <c r="P203" i="22" a="1"/>
  <c r="P203" i="22" s="1"/>
  <c r="P268" i="22" s="1"/>
  <c r="O203" i="22" a="1"/>
  <c r="O203" i="22" s="1"/>
  <c r="O268" i="22" s="1"/>
  <c r="N203" i="22" a="1"/>
  <c r="N203" i="22" s="1"/>
  <c r="N268" i="22" s="1"/>
  <c r="M203" i="22" a="1"/>
  <c r="M203" i="22" s="1"/>
  <c r="M268" i="22" s="1"/>
  <c r="L203" i="22" a="1"/>
  <c r="L203" i="22" s="1"/>
  <c r="L268" i="22" s="1"/>
  <c r="K203" i="22" a="1"/>
  <c r="K203" i="22" s="1"/>
  <c r="K268" i="22" s="1"/>
  <c r="J203" i="22" a="1"/>
  <c r="J203" i="22" s="1"/>
  <c r="J268" i="22" s="1"/>
  <c r="I203" i="22" a="1"/>
  <c r="I203" i="22" s="1"/>
  <c r="I268" i="22" s="1"/>
  <c r="H203" i="22" a="1"/>
  <c r="H203" i="22" s="1"/>
  <c r="H268" i="22" s="1"/>
  <c r="G203" i="22" a="1"/>
  <c r="G203" i="22" s="1"/>
  <c r="G268" i="22" s="1"/>
  <c r="F203" i="22" a="1"/>
  <c r="F203" i="22" s="1"/>
  <c r="F268" i="22" s="1"/>
  <c r="E203" i="22" a="1"/>
  <c r="E203" i="22" s="1"/>
  <c r="E268" i="22" s="1"/>
  <c r="D203" i="22" a="1"/>
  <c r="D203" i="22" s="1"/>
  <c r="P202" i="22" a="1"/>
  <c r="P202" i="22" s="1"/>
  <c r="P267" i="22" s="1"/>
  <c r="O202" i="22" a="1"/>
  <c r="O202" i="22" s="1"/>
  <c r="O267" i="22" s="1"/>
  <c r="N202" i="22" a="1"/>
  <c r="N202" i="22" s="1"/>
  <c r="N267" i="22" s="1"/>
  <c r="M202" i="22" a="1"/>
  <c r="M202" i="22" s="1"/>
  <c r="M267" i="22" s="1"/>
  <c r="L202" i="22" a="1"/>
  <c r="L202" i="22" s="1"/>
  <c r="L267" i="22" s="1"/>
  <c r="K202" i="22" a="1"/>
  <c r="K202" i="22" s="1"/>
  <c r="K267" i="22" s="1"/>
  <c r="J202" i="22" a="1"/>
  <c r="J202" i="22" s="1"/>
  <c r="J267" i="22" s="1"/>
  <c r="I202" i="22" a="1"/>
  <c r="I202" i="22" s="1"/>
  <c r="I267" i="22" s="1"/>
  <c r="H202" i="22" a="1"/>
  <c r="H202" i="22" s="1"/>
  <c r="H267" i="22" s="1"/>
  <c r="G202" i="22" a="1"/>
  <c r="G202" i="22" s="1"/>
  <c r="G267" i="22" s="1"/>
  <c r="F202" i="22" a="1"/>
  <c r="F202" i="22" s="1"/>
  <c r="F267" i="22" s="1"/>
  <c r="E202" i="22" a="1"/>
  <c r="E202" i="22" s="1"/>
  <c r="E267" i="22" s="1"/>
  <c r="D202" i="22" a="1"/>
  <c r="D202" i="22" s="1"/>
  <c r="P201" i="22" a="1"/>
  <c r="P201" i="22" s="1"/>
  <c r="P266" i="22" s="1"/>
  <c r="O201" i="22" a="1"/>
  <c r="O201" i="22" s="1"/>
  <c r="O266" i="22" s="1"/>
  <c r="N201" i="22" a="1"/>
  <c r="N201" i="22" s="1"/>
  <c r="N266" i="22" s="1"/>
  <c r="M201" i="22" a="1"/>
  <c r="M201" i="22" s="1"/>
  <c r="M266" i="22" s="1"/>
  <c r="L201" i="22" a="1"/>
  <c r="L201" i="22" s="1"/>
  <c r="L266" i="22" s="1"/>
  <c r="K201" i="22" a="1"/>
  <c r="K201" i="22" s="1"/>
  <c r="K266" i="22" s="1"/>
  <c r="J201" i="22" a="1"/>
  <c r="J201" i="22" s="1"/>
  <c r="J266" i="22" s="1"/>
  <c r="I201" i="22" a="1"/>
  <c r="I201" i="22" s="1"/>
  <c r="I266" i="22" s="1"/>
  <c r="H201" i="22" a="1"/>
  <c r="H201" i="22" s="1"/>
  <c r="H266" i="22" s="1"/>
  <c r="G201" i="22" a="1"/>
  <c r="G201" i="22" s="1"/>
  <c r="G266" i="22" s="1"/>
  <c r="F201" i="22" a="1"/>
  <c r="F201" i="22" s="1"/>
  <c r="F266" i="22" s="1"/>
  <c r="E201" i="22" a="1"/>
  <c r="E201" i="22" s="1"/>
  <c r="E266" i="22" s="1"/>
  <c r="D201" i="22" a="1"/>
  <c r="D201" i="22" s="1"/>
  <c r="P200" i="22" a="1"/>
  <c r="P200" i="22" s="1"/>
  <c r="P265" i="22" s="1"/>
  <c r="O200" i="22" a="1"/>
  <c r="O200" i="22" s="1"/>
  <c r="O265" i="22" s="1"/>
  <c r="N200" i="22" a="1"/>
  <c r="N200" i="22" s="1"/>
  <c r="N265" i="22" s="1"/>
  <c r="M200" i="22" a="1"/>
  <c r="M200" i="22" s="1"/>
  <c r="M265" i="22" s="1"/>
  <c r="L200" i="22" a="1"/>
  <c r="L200" i="22" s="1"/>
  <c r="L265" i="22" s="1"/>
  <c r="K200" i="22" a="1"/>
  <c r="K200" i="22" s="1"/>
  <c r="K265" i="22" s="1"/>
  <c r="J200" i="22" a="1"/>
  <c r="J200" i="22" s="1"/>
  <c r="J265" i="22" s="1"/>
  <c r="I200" i="22" a="1"/>
  <c r="I200" i="22" s="1"/>
  <c r="I265" i="22" s="1"/>
  <c r="H200" i="22" a="1"/>
  <c r="H200" i="22" s="1"/>
  <c r="H265" i="22" s="1"/>
  <c r="G200" i="22" a="1"/>
  <c r="G200" i="22" s="1"/>
  <c r="G265" i="22" s="1"/>
  <c r="F200" i="22" a="1"/>
  <c r="F200" i="22" s="1"/>
  <c r="F265" i="22" s="1"/>
  <c r="E200" i="22" a="1"/>
  <c r="E200" i="22" s="1"/>
  <c r="E265" i="22" s="1"/>
  <c r="D200" i="22" a="1"/>
  <c r="D200" i="22" s="1"/>
  <c r="P199" i="22" a="1"/>
  <c r="P199" i="22" s="1"/>
  <c r="P264" i="22" s="1"/>
  <c r="O199" i="22" a="1"/>
  <c r="O199" i="22" s="1"/>
  <c r="O264" i="22" s="1"/>
  <c r="N199" i="22" a="1"/>
  <c r="N199" i="22" s="1"/>
  <c r="N264" i="22" s="1"/>
  <c r="M199" i="22" a="1"/>
  <c r="M199" i="22" s="1"/>
  <c r="M264" i="22" s="1"/>
  <c r="L199" i="22" a="1"/>
  <c r="L199" i="22" s="1"/>
  <c r="L264" i="22" s="1"/>
  <c r="K199" i="22" a="1"/>
  <c r="K199" i="22" s="1"/>
  <c r="K264" i="22" s="1"/>
  <c r="J199" i="22" a="1"/>
  <c r="J199" i="22" s="1"/>
  <c r="J264" i="22" s="1"/>
  <c r="I199" i="22" a="1"/>
  <c r="I199" i="22" s="1"/>
  <c r="I264" i="22" s="1"/>
  <c r="H199" i="22" a="1"/>
  <c r="H199" i="22" s="1"/>
  <c r="H264" i="22" s="1"/>
  <c r="G199" i="22" a="1"/>
  <c r="G199" i="22" s="1"/>
  <c r="G264" i="22" s="1"/>
  <c r="F199" i="22" a="1"/>
  <c r="F199" i="22" s="1"/>
  <c r="F264" i="22" s="1"/>
  <c r="E199" i="22" a="1"/>
  <c r="E199" i="22" s="1"/>
  <c r="E264" i="22" s="1"/>
  <c r="D199" i="22" a="1"/>
  <c r="D199" i="22" s="1"/>
  <c r="P198" i="22" a="1"/>
  <c r="P198" i="22" s="1"/>
  <c r="P263" i="22" s="1"/>
  <c r="O198" i="22" a="1"/>
  <c r="O198" i="22" s="1"/>
  <c r="O263" i="22" s="1"/>
  <c r="N198" i="22" a="1"/>
  <c r="N198" i="22" s="1"/>
  <c r="N263" i="22" s="1"/>
  <c r="M198" i="22" a="1"/>
  <c r="M198" i="22" s="1"/>
  <c r="M263" i="22" s="1"/>
  <c r="L198" i="22" a="1"/>
  <c r="L198" i="22" s="1"/>
  <c r="L263" i="22" s="1"/>
  <c r="K198" i="22" a="1"/>
  <c r="K198" i="22" s="1"/>
  <c r="K263" i="22" s="1"/>
  <c r="J198" i="22" a="1"/>
  <c r="J198" i="22" s="1"/>
  <c r="J263" i="22" s="1"/>
  <c r="I198" i="22" a="1"/>
  <c r="I198" i="22" s="1"/>
  <c r="I263" i="22" s="1"/>
  <c r="H198" i="22" a="1"/>
  <c r="H198" i="22" s="1"/>
  <c r="H263" i="22" s="1"/>
  <c r="G198" i="22" a="1"/>
  <c r="G198" i="22" s="1"/>
  <c r="G263" i="22" s="1"/>
  <c r="F198" i="22" a="1"/>
  <c r="F198" i="22" s="1"/>
  <c r="F263" i="22" s="1"/>
  <c r="E198" i="22" a="1"/>
  <c r="E198" i="22" s="1"/>
  <c r="E263" i="22" s="1"/>
  <c r="D198" i="22" a="1"/>
  <c r="D198" i="22" s="1"/>
  <c r="P197" i="22" a="1"/>
  <c r="P197" i="22" s="1"/>
  <c r="P262" i="22" s="1"/>
  <c r="O197" i="22" a="1"/>
  <c r="O197" i="22" s="1"/>
  <c r="O262" i="22" s="1"/>
  <c r="N197" i="22" a="1"/>
  <c r="N197" i="22" s="1"/>
  <c r="N262" i="22" s="1"/>
  <c r="M197" i="22" a="1"/>
  <c r="M197" i="22" s="1"/>
  <c r="M262" i="22" s="1"/>
  <c r="L197" i="22" a="1"/>
  <c r="L197" i="22" s="1"/>
  <c r="L262" i="22" s="1"/>
  <c r="K197" i="22" a="1"/>
  <c r="K197" i="22" s="1"/>
  <c r="K262" i="22" s="1"/>
  <c r="J197" i="22" a="1"/>
  <c r="J197" i="22" s="1"/>
  <c r="J262" i="22" s="1"/>
  <c r="I197" i="22" a="1"/>
  <c r="I197" i="22" s="1"/>
  <c r="I262" i="22" s="1"/>
  <c r="H197" i="22" a="1"/>
  <c r="H197" i="22" s="1"/>
  <c r="H262" i="22" s="1"/>
  <c r="G197" i="22" a="1"/>
  <c r="G197" i="22" s="1"/>
  <c r="G262" i="22" s="1"/>
  <c r="F197" i="22" a="1"/>
  <c r="F197" i="22" s="1"/>
  <c r="F262" i="22" s="1"/>
  <c r="E197" i="22" a="1"/>
  <c r="E197" i="22" s="1"/>
  <c r="E262" i="22" s="1"/>
  <c r="D197" i="22" a="1"/>
  <c r="D197" i="22" s="1"/>
  <c r="P196" i="22" a="1"/>
  <c r="P196" i="22" s="1"/>
  <c r="P261" i="22" s="1"/>
  <c r="O196" i="22" a="1"/>
  <c r="O196" i="22" s="1"/>
  <c r="O261" i="22" s="1"/>
  <c r="N196" i="22" a="1"/>
  <c r="N196" i="22" s="1"/>
  <c r="N261" i="22" s="1"/>
  <c r="M196" i="22" a="1"/>
  <c r="M196" i="22" s="1"/>
  <c r="M261" i="22" s="1"/>
  <c r="L196" i="22" a="1"/>
  <c r="L196" i="22" s="1"/>
  <c r="L261" i="22" s="1"/>
  <c r="K196" i="22" a="1"/>
  <c r="K196" i="22" s="1"/>
  <c r="K261" i="22" s="1"/>
  <c r="J196" i="22" a="1"/>
  <c r="J196" i="22" s="1"/>
  <c r="J261" i="22" s="1"/>
  <c r="I196" i="22" a="1"/>
  <c r="I196" i="22" s="1"/>
  <c r="I261" i="22" s="1"/>
  <c r="H196" i="22" a="1"/>
  <c r="H196" i="22" s="1"/>
  <c r="H261" i="22" s="1"/>
  <c r="G196" i="22" a="1"/>
  <c r="G196" i="22" s="1"/>
  <c r="G261" i="22" s="1"/>
  <c r="F196" i="22" a="1"/>
  <c r="F196" i="22" s="1"/>
  <c r="F261" i="22" s="1"/>
  <c r="E196" i="22" a="1"/>
  <c r="E196" i="22" s="1"/>
  <c r="E261" i="22" s="1"/>
  <c r="D196" i="22" a="1"/>
  <c r="D196" i="22" s="1"/>
  <c r="P195" i="22" a="1"/>
  <c r="P195" i="22" s="1"/>
  <c r="P260" i="22" s="1"/>
  <c r="O195" i="22" a="1"/>
  <c r="O195" i="22" s="1"/>
  <c r="O260" i="22" s="1"/>
  <c r="N195" i="22" a="1"/>
  <c r="N195" i="22" s="1"/>
  <c r="N260" i="22" s="1"/>
  <c r="M195" i="22" a="1"/>
  <c r="M195" i="22" s="1"/>
  <c r="M260" i="22" s="1"/>
  <c r="L195" i="22" a="1"/>
  <c r="L195" i="22" s="1"/>
  <c r="L260" i="22" s="1"/>
  <c r="K195" i="22" a="1"/>
  <c r="K195" i="22" s="1"/>
  <c r="K260" i="22" s="1"/>
  <c r="J195" i="22" a="1"/>
  <c r="J195" i="22" s="1"/>
  <c r="J260" i="22" s="1"/>
  <c r="I195" i="22" a="1"/>
  <c r="I195" i="22" s="1"/>
  <c r="I260" i="22" s="1"/>
  <c r="H195" i="22" a="1"/>
  <c r="H195" i="22" s="1"/>
  <c r="H260" i="22" s="1"/>
  <c r="G195" i="22" a="1"/>
  <c r="G195" i="22" s="1"/>
  <c r="G260" i="22" s="1"/>
  <c r="F195" i="22" a="1"/>
  <c r="F195" i="22" s="1"/>
  <c r="F260" i="22" s="1"/>
  <c r="E195" i="22" a="1"/>
  <c r="E195" i="22" s="1"/>
  <c r="E260" i="22" s="1"/>
  <c r="D195" i="22" a="1"/>
  <c r="D195" i="22" s="1"/>
  <c r="P194" i="22" a="1"/>
  <c r="P194" i="22" s="1"/>
  <c r="P259" i="22" s="1"/>
  <c r="O194" i="22" a="1"/>
  <c r="O194" i="22" s="1"/>
  <c r="O259" i="22" s="1"/>
  <c r="N194" i="22" a="1"/>
  <c r="N194" i="22" s="1"/>
  <c r="N259" i="22" s="1"/>
  <c r="M194" i="22" a="1"/>
  <c r="M194" i="22" s="1"/>
  <c r="M259" i="22" s="1"/>
  <c r="L194" i="22" a="1"/>
  <c r="L194" i="22" s="1"/>
  <c r="L259" i="22" s="1"/>
  <c r="K194" i="22" a="1"/>
  <c r="K194" i="22" s="1"/>
  <c r="K259" i="22" s="1"/>
  <c r="J194" i="22" a="1"/>
  <c r="J194" i="22" s="1"/>
  <c r="J259" i="22" s="1"/>
  <c r="I194" i="22" a="1"/>
  <c r="I194" i="22" s="1"/>
  <c r="I259" i="22" s="1"/>
  <c r="H194" i="22" a="1"/>
  <c r="H194" i="22" s="1"/>
  <c r="H259" i="22" s="1"/>
  <c r="G194" i="22" a="1"/>
  <c r="G194" i="22" s="1"/>
  <c r="G259" i="22" s="1"/>
  <c r="F194" i="22" a="1"/>
  <c r="F194" i="22" s="1"/>
  <c r="F259" i="22" s="1"/>
  <c r="E194" i="22" a="1"/>
  <c r="E194" i="22" s="1"/>
  <c r="E259" i="22" s="1"/>
  <c r="D194" i="22" a="1"/>
  <c r="D194" i="22" s="1"/>
  <c r="P193" i="22" a="1"/>
  <c r="P193" i="22" s="1"/>
  <c r="P258" i="22" s="1"/>
  <c r="O193" i="22" a="1"/>
  <c r="O193" i="22" s="1"/>
  <c r="O258" i="22" s="1"/>
  <c r="N193" i="22" a="1"/>
  <c r="N193" i="22" s="1"/>
  <c r="N258" i="22" s="1"/>
  <c r="M193" i="22" a="1"/>
  <c r="M193" i="22" s="1"/>
  <c r="M258" i="22" s="1"/>
  <c r="L193" i="22" a="1"/>
  <c r="L193" i="22" s="1"/>
  <c r="L258" i="22" s="1"/>
  <c r="K193" i="22" a="1"/>
  <c r="K193" i="22" s="1"/>
  <c r="K258" i="22" s="1"/>
  <c r="J193" i="22" a="1"/>
  <c r="J193" i="22" s="1"/>
  <c r="J258" i="22" s="1"/>
  <c r="I193" i="22" a="1"/>
  <c r="I193" i="22" s="1"/>
  <c r="I258" i="22" s="1"/>
  <c r="H193" i="22" a="1"/>
  <c r="H193" i="22" s="1"/>
  <c r="H258" i="22" s="1"/>
  <c r="G193" i="22" a="1"/>
  <c r="G193" i="22" s="1"/>
  <c r="G258" i="22" s="1"/>
  <c r="F193" i="22" a="1"/>
  <c r="F193" i="22" s="1"/>
  <c r="F258" i="22" s="1"/>
  <c r="E193" i="22" a="1"/>
  <c r="E193" i="22" s="1"/>
  <c r="E258" i="22" s="1"/>
  <c r="D193" i="22" a="1"/>
  <c r="D193" i="22" s="1"/>
  <c r="P192" i="22" a="1"/>
  <c r="P192" i="22" s="1"/>
  <c r="P257" i="22" s="1"/>
  <c r="O192" i="22" a="1"/>
  <c r="O192" i="22" s="1"/>
  <c r="O257" i="22" s="1"/>
  <c r="N192" i="22" a="1"/>
  <c r="N192" i="22" s="1"/>
  <c r="N257" i="22" s="1"/>
  <c r="M192" i="22" a="1"/>
  <c r="M192" i="22" s="1"/>
  <c r="M257" i="22" s="1"/>
  <c r="L192" i="22" a="1"/>
  <c r="L192" i="22" s="1"/>
  <c r="L257" i="22" s="1"/>
  <c r="K192" i="22" a="1"/>
  <c r="K192" i="22" s="1"/>
  <c r="K257" i="22" s="1"/>
  <c r="J192" i="22" a="1"/>
  <c r="J192" i="22" s="1"/>
  <c r="J257" i="22" s="1"/>
  <c r="I192" i="22" a="1"/>
  <c r="I192" i="22" s="1"/>
  <c r="I257" i="22" s="1"/>
  <c r="H192" i="22" a="1"/>
  <c r="H192" i="22" s="1"/>
  <c r="H257" i="22" s="1"/>
  <c r="G192" i="22" a="1"/>
  <c r="G192" i="22" s="1"/>
  <c r="G257" i="22" s="1"/>
  <c r="F192" i="22" a="1"/>
  <c r="F192" i="22" s="1"/>
  <c r="F257" i="22" s="1"/>
  <c r="E192" i="22" a="1"/>
  <c r="E192" i="22" s="1"/>
  <c r="E257" i="22" s="1"/>
  <c r="D192" i="22" a="1"/>
  <c r="D192" i="22" s="1"/>
  <c r="P191" i="22" a="1"/>
  <c r="P191" i="22" s="1"/>
  <c r="P256" i="22" s="1"/>
  <c r="O191" i="22" a="1"/>
  <c r="O191" i="22" s="1"/>
  <c r="O256" i="22" s="1"/>
  <c r="N191" i="22" a="1"/>
  <c r="N191" i="22" s="1"/>
  <c r="N256" i="22" s="1"/>
  <c r="M191" i="22" a="1"/>
  <c r="M191" i="22" s="1"/>
  <c r="M256" i="22" s="1"/>
  <c r="L191" i="22" a="1"/>
  <c r="L191" i="22" s="1"/>
  <c r="L256" i="22" s="1"/>
  <c r="K191" i="22" a="1"/>
  <c r="K191" i="22" s="1"/>
  <c r="K256" i="22" s="1"/>
  <c r="J191" i="22" a="1"/>
  <c r="J191" i="22" s="1"/>
  <c r="J256" i="22" s="1"/>
  <c r="I191" i="22" a="1"/>
  <c r="I191" i="22" s="1"/>
  <c r="I256" i="22" s="1"/>
  <c r="H191" i="22" a="1"/>
  <c r="H191" i="22" s="1"/>
  <c r="H256" i="22" s="1"/>
  <c r="G191" i="22" a="1"/>
  <c r="G191" i="22" s="1"/>
  <c r="G256" i="22" s="1"/>
  <c r="F191" i="22" a="1"/>
  <c r="F191" i="22" s="1"/>
  <c r="F256" i="22" s="1"/>
  <c r="E191" i="22" a="1"/>
  <c r="E191" i="22" s="1"/>
  <c r="E256" i="22" s="1"/>
  <c r="D191" i="22" a="1"/>
  <c r="D191" i="22" s="1"/>
  <c r="P190" i="22" a="1"/>
  <c r="P190" i="22" s="1"/>
  <c r="P255" i="22" s="1"/>
  <c r="O190" i="22" a="1"/>
  <c r="O190" i="22" s="1"/>
  <c r="O255" i="22" s="1"/>
  <c r="N190" i="22" a="1"/>
  <c r="N190" i="22" s="1"/>
  <c r="N255" i="22" s="1"/>
  <c r="M190" i="22" a="1"/>
  <c r="M190" i="22" s="1"/>
  <c r="M255" i="22" s="1"/>
  <c r="L190" i="22" a="1"/>
  <c r="L190" i="22" s="1"/>
  <c r="L255" i="22" s="1"/>
  <c r="K190" i="22" a="1"/>
  <c r="K190" i="22" s="1"/>
  <c r="K255" i="22" s="1"/>
  <c r="J190" i="22" a="1"/>
  <c r="J190" i="22" s="1"/>
  <c r="J255" i="22" s="1"/>
  <c r="I190" i="22" a="1"/>
  <c r="I190" i="22" s="1"/>
  <c r="I255" i="22" s="1"/>
  <c r="H190" i="22" a="1"/>
  <c r="H190" i="22" s="1"/>
  <c r="H255" i="22" s="1"/>
  <c r="G190" i="22" a="1"/>
  <c r="G190" i="22" s="1"/>
  <c r="G255" i="22" s="1"/>
  <c r="F190" i="22" a="1"/>
  <c r="F190" i="22" s="1"/>
  <c r="F255" i="22" s="1"/>
  <c r="E190" i="22" a="1"/>
  <c r="E190" i="22" s="1"/>
  <c r="E255" i="22" s="1"/>
  <c r="D190" i="22" a="1"/>
  <c r="D190" i="22" s="1"/>
  <c r="D188" i="22" a="1"/>
  <c r="D188" i="22" s="1"/>
  <c r="D187" i="22" a="1"/>
  <c r="D187" i="22" s="1"/>
  <c r="D186" i="22" a="1"/>
  <c r="D186" i="22" s="1"/>
  <c r="D185" i="22" a="1"/>
  <c r="D185" i="22" s="1"/>
  <c r="M182" i="22" a="1"/>
  <c r="M182" i="22" s="1"/>
  <c r="L182" i="22" a="1"/>
  <c r="L182" i="22" s="1"/>
  <c r="M254" i="22" s="1"/>
  <c r="K182" i="22" a="1"/>
  <c r="K182" i="22" s="1"/>
  <c r="J182" i="22" a="1"/>
  <c r="J182" i="22" s="1"/>
  <c r="J254" i="22" s="1"/>
  <c r="I182" i="22" a="1"/>
  <c r="I182" i="22" s="1"/>
  <c r="I254" i="22" s="1"/>
  <c r="H182" i="22" a="1"/>
  <c r="H182" i="22" s="1"/>
  <c r="H254" i="22" s="1"/>
  <c r="G182" i="22" a="1"/>
  <c r="G182" i="22" s="1"/>
  <c r="G254" i="22" s="1"/>
  <c r="F182" i="22" a="1"/>
  <c r="F182" i="22" s="1"/>
  <c r="F254" i="22" s="1"/>
  <c r="E182" i="22" a="1"/>
  <c r="E182" i="22" s="1"/>
  <c r="E254" i="22" s="1"/>
  <c r="D182" i="22" a="1"/>
  <c r="D182" i="22" s="1"/>
  <c r="M181" i="22" a="1"/>
  <c r="M181" i="22" s="1"/>
  <c r="L181" i="22" a="1"/>
  <c r="L181" i="22" s="1"/>
  <c r="M253" i="22" s="1"/>
  <c r="K181" i="22" a="1"/>
  <c r="K181" i="22" s="1"/>
  <c r="J181" i="22" a="1"/>
  <c r="J181" i="22" s="1"/>
  <c r="J253" i="22" s="1"/>
  <c r="I181" i="22" a="1"/>
  <c r="I181" i="22" s="1"/>
  <c r="I253" i="22" s="1"/>
  <c r="H181" i="22" a="1"/>
  <c r="H181" i="22" s="1"/>
  <c r="H253" i="22" s="1"/>
  <c r="G181" i="22" a="1"/>
  <c r="G181" i="22" s="1"/>
  <c r="G253" i="22" s="1"/>
  <c r="F181" i="22" a="1"/>
  <c r="F181" i="22" s="1"/>
  <c r="F253" i="22" s="1"/>
  <c r="E181" i="22" a="1"/>
  <c r="E181" i="22" s="1"/>
  <c r="E253" i="22" s="1"/>
  <c r="D181" i="22" a="1"/>
  <c r="D181" i="22" s="1"/>
  <c r="M180" i="22" a="1"/>
  <c r="M180" i="22" s="1"/>
  <c r="L180" i="22" a="1"/>
  <c r="L180" i="22" s="1"/>
  <c r="M252" i="22" s="1"/>
  <c r="K180" i="22" a="1"/>
  <c r="K180" i="22" s="1"/>
  <c r="J180" i="22" a="1"/>
  <c r="J180" i="22" s="1"/>
  <c r="J252" i="22" s="1"/>
  <c r="I180" i="22" a="1"/>
  <c r="I180" i="22" s="1"/>
  <c r="I252" i="22" s="1"/>
  <c r="H180" i="22" a="1"/>
  <c r="H180" i="22" s="1"/>
  <c r="H252" i="22" s="1"/>
  <c r="G180" i="22" a="1"/>
  <c r="G180" i="22" s="1"/>
  <c r="G252" i="22" s="1"/>
  <c r="F180" i="22" a="1"/>
  <c r="F180" i="22" s="1"/>
  <c r="F252" i="22" s="1"/>
  <c r="E180" i="22" a="1"/>
  <c r="E180" i="22" s="1"/>
  <c r="E252" i="22" s="1"/>
  <c r="D180" i="22" a="1"/>
  <c r="D180" i="22" s="1"/>
  <c r="M179" i="22" a="1"/>
  <c r="M179" i="22" s="1"/>
  <c r="L179" i="22" a="1"/>
  <c r="L179" i="22" s="1"/>
  <c r="M251" i="22" s="1"/>
  <c r="K179" i="22" a="1"/>
  <c r="K179" i="22" s="1"/>
  <c r="J179" i="22" a="1"/>
  <c r="J179" i="22" s="1"/>
  <c r="J251" i="22" s="1"/>
  <c r="I179" i="22" a="1"/>
  <c r="I179" i="22" s="1"/>
  <c r="I251" i="22" s="1"/>
  <c r="H179" i="22" a="1"/>
  <c r="H179" i="22" s="1"/>
  <c r="H251" i="22" s="1"/>
  <c r="G179" i="22" a="1"/>
  <c r="G179" i="22" s="1"/>
  <c r="G251" i="22" s="1"/>
  <c r="F179" i="22" a="1"/>
  <c r="F179" i="22" s="1"/>
  <c r="F251" i="22" s="1"/>
  <c r="E179" i="22" a="1"/>
  <c r="E179" i="22" s="1"/>
  <c r="E251" i="22" s="1"/>
  <c r="D179" i="22" a="1"/>
  <c r="D179" i="22" s="1"/>
  <c r="M178" i="22" a="1"/>
  <c r="M178" i="22" s="1"/>
  <c r="L178" i="22" a="1"/>
  <c r="L178" i="22" s="1"/>
  <c r="M250" i="22" s="1"/>
  <c r="K178" i="22" a="1"/>
  <c r="K178" i="22" s="1"/>
  <c r="J178" i="22" a="1"/>
  <c r="J178" i="22" s="1"/>
  <c r="J250" i="22" s="1"/>
  <c r="I178" i="22" a="1"/>
  <c r="I178" i="22" s="1"/>
  <c r="I250" i="22" s="1"/>
  <c r="H178" i="22" a="1"/>
  <c r="H178" i="22" s="1"/>
  <c r="H250" i="22" s="1"/>
  <c r="G178" i="22" a="1"/>
  <c r="G178" i="22" s="1"/>
  <c r="G250" i="22" s="1"/>
  <c r="F178" i="22" a="1"/>
  <c r="F178" i="22" s="1"/>
  <c r="F250" i="22" s="1"/>
  <c r="E178" i="22" a="1"/>
  <c r="E178" i="22" s="1"/>
  <c r="E250" i="22" s="1"/>
  <c r="D178" i="22" a="1"/>
  <c r="D178" i="22" s="1"/>
  <c r="M177" i="22" a="1"/>
  <c r="M177" i="22" s="1"/>
  <c r="L177" i="22" a="1"/>
  <c r="L177" i="22" s="1"/>
  <c r="M249" i="22" s="1"/>
  <c r="K177" i="22" a="1"/>
  <c r="K177" i="22" s="1"/>
  <c r="J177" i="22" a="1"/>
  <c r="J177" i="22" s="1"/>
  <c r="J249" i="22" s="1"/>
  <c r="I177" i="22" a="1"/>
  <c r="I177" i="22" s="1"/>
  <c r="I249" i="22" s="1"/>
  <c r="H177" i="22" a="1"/>
  <c r="H177" i="22" s="1"/>
  <c r="H249" i="22" s="1"/>
  <c r="G177" i="22" a="1"/>
  <c r="G177" i="22" s="1"/>
  <c r="G249" i="22" s="1"/>
  <c r="F177" i="22" a="1"/>
  <c r="F177" i="22" s="1"/>
  <c r="F249" i="22" s="1"/>
  <c r="E177" i="22" a="1"/>
  <c r="E177" i="22" s="1"/>
  <c r="E249" i="22" s="1"/>
  <c r="D177" i="22" a="1"/>
  <c r="D177" i="22" s="1"/>
  <c r="M176" i="22" a="1"/>
  <c r="M176" i="22" s="1"/>
  <c r="L176" i="22" a="1"/>
  <c r="L176" i="22" s="1"/>
  <c r="M248" i="22" s="1"/>
  <c r="K176" i="22" a="1"/>
  <c r="K176" i="22" s="1"/>
  <c r="J176" i="22" a="1"/>
  <c r="J176" i="22" s="1"/>
  <c r="J248" i="22" s="1"/>
  <c r="I176" i="22" a="1"/>
  <c r="I176" i="22" s="1"/>
  <c r="I248" i="22" s="1"/>
  <c r="H176" i="22" a="1"/>
  <c r="H176" i="22" s="1"/>
  <c r="H248" i="22" s="1"/>
  <c r="G176" i="22" a="1"/>
  <c r="G176" i="22" s="1"/>
  <c r="G248" i="22" s="1"/>
  <c r="F176" i="22" a="1"/>
  <c r="F176" i="22" s="1"/>
  <c r="F248" i="22" s="1"/>
  <c r="E176" i="22" a="1"/>
  <c r="E176" i="22" s="1"/>
  <c r="E248" i="22" s="1"/>
  <c r="D176" i="22" a="1"/>
  <c r="D176" i="22" s="1"/>
  <c r="M175" i="22" a="1"/>
  <c r="M175" i="22" s="1"/>
  <c r="L175" i="22" a="1"/>
  <c r="L175" i="22" s="1"/>
  <c r="M247" i="22" s="1"/>
  <c r="K175" i="22" a="1"/>
  <c r="K175" i="22" s="1"/>
  <c r="J175" i="22" a="1"/>
  <c r="J175" i="22" s="1"/>
  <c r="J247" i="22" s="1"/>
  <c r="I175" i="22" a="1"/>
  <c r="I175" i="22" s="1"/>
  <c r="I247" i="22" s="1"/>
  <c r="H175" i="22" a="1"/>
  <c r="H175" i="22" s="1"/>
  <c r="H247" i="22" s="1"/>
  <c r="G175" i="22" a="1"/>
  <c r="G175" i="22" s="1"/>
  <c r="G247" i="22" s="1"/>
  <c r="F175" i="22" a="1"/>
  <c r="F175" i="22" s="1"/>
  <c r="F247" i="22" s="1"/>
  <c r="E175" i="22" a="1"/>
  <c r="E175" i="22" s="1"/>
  <c r="E247" i="22" s="1"/>
  <c r="D175" i="22" a="1"/>
  <c r="D175" i="22" s="1"/>
  <c r="M174" i="22" a="1"/>
  <c r="M174" i="22" s="1"/>
  <c r="L174" i="22" a="1"/>
  <c r="L174" i="22" s="1"/>
  <c r="M246" i="22" s="1"/>
  <c r="K174" i="22" a="1"/>
  <c r="K174" i="22" s="1"/>
  <c r="J174" i="22" a="1"/>
  <c r="J174" i="22" s="1"/>
  <c r="J246" i="22" s="1"/>
  <c r="I174" i="22" a="1"/>
  <c r="I174" i="22" s="1"/>
  <c r="I246" i="22" s="1"/>
  <c r="H174" i="22" a="1"/>
  <c r="H174" i="22" s="1"/>
  <c r="H246" i="22" s="1"/>
  <c r="G174" i="22" a="1"/>
  <c r="G174" i="22" s="1"/>
  <c r="G246" i="22" s="1"/>
  <c r="F174" i="22" a="1"/>
  <c r="F174" i="22" s="1"/>
  <c r="F246" i="22" s="1"/>
  <c r="E174" i="22" a="1"/>
  <c r="E174" i="22" s="1"/>
  <c r="E246" i="22" s="1"/>
  <c r="D174" i="22" a="1"/>
  <c r="D174" i="22" s="1"/>
  <c r="M173" i="22" a="1"/>
  <c r="M173" i="22" s="1"/>
  <c r="L173" i="22" a="1"/>
  <c r="L173" i="22" s="1"/>
  <c r="M245" i="22" s="1"/>
  <c r="K173" i="22" a="1"/>
  <c r="K173" i="22" s="1"/>
  <c r="J173" i="22" a="1"/>
  <c r="J173" i="22" s="1"/>
  <c r="J245" i="22" s="1"/>
  <c r="I173" i="22" a="1"/>
  <c r="I173" i="22" s="1"/>
  <c r="I245" i="22" s="1"/>
  <c r="H173" i="22" a="1"/>
  <c r="H173" i="22" s="1"/>
  <c r="H245" i="22" s="1"/>
  <c r="G173" i="22" a="1"/>
  <c r="G173" i="22" s="1"/>
  <c r="G245" i="22" s="1"/>
  <c r="F173" i="22" a="1"/>
  <c r="F173" i="22" s="1"/>
  <c r="F245" i="22" s="1"/>
  <c r="E173" i="22" a="1"/>
  <c r="E173" i="22" s="1"/>
  <c r="E245" i="22" s="1"/>
  <c r="D173" i="22" a="1"/>
  <c r="D173" i="22" s="1"/>
  <c r="M172" i="22" a="1"/>
  <c r="M172" i="22" s="1"/>
  <c r="L172" i="22" a="1"/>
  <c r="L172" i="22" s="1"/>
  <c r="M244" i="22" s="1"/>
  <c r="K172" i="22" a="1"/>
  <c r="K172" i="22" s="1"/>
  <c r="J172" i="22" a="1"/>
  <c r="J172" i="22" s="1"/>
  <c r="J244" i="22" s="1"/>
  <c r="I172" i="22" a="1"/>
  <c r="I172" i="22" s="1"/>
  <c r="I244" i="22" s="1"/>
  <c r="H172" i="22" a="1"/>
  <c r="H172" i="22" s="1"/>
  <c r="H244" i="22" s="1"/>
  <c r="G172" i="22" a="1"/>
  <c r="G172" i="22" s="1"/>
  <c r="G244" i="22" s="1"/>
  <c r="F172" i="22" a="1"/>
  <c r="F172" i="22" s="1"/>
  <c r="F244" i="22" s="1"/>
  <c r="E172" i="22" a="1"/>
  <c r="E172" i="22" s="1"/>
  <c r="E244" i="22" s="1"/>
  <c r="D172" i="22" a="1"/>
  <c r="D172" i="22" s="1"/>
  <c r="M171" i="22" a="1"/>
  <c r="M171" i="22" s="1"/>
  <c r="L171" i="22" a="1"/>
  <c r="L171" i="22" s="1"/>
  <c r="M243" i="22" s="1"/>
  <c r="K171" i="22" a="1"/>
  <c r="K171" i="22" s="1"/>
  <c r="J171" i="22" a="1"/>
  <c r="J171" i="22" s="1"/>
  <c r="J243" i="22" s="1"/>
  <c r="I171" i="22" a="1"/>
  <c r="I171" i="22" s="1"/>
  <c r="I243" i="22" s="1"/>
  <c r="H171" i="22" a="1"/>
  <c r="H171" i="22" s="1"/>
  <c r="H243" i="22" s="1"/>
  <c r="G171" i="22" a="1"/>
  <c r="G171" i="22" s="1"/>
  <c r="G243" i="22" s="1"/>
  <c r="F171" i="22" a="1"/>
  <c r="F171" i="22" s="1"/>
  <c r="F243" i="22" s="1"/>
  <c r="E171" i="22" a="1"/>
  <c r="E171" i="22" s="1"/>
  <c r="E243" i="22" s="1"/>
  <c r="D171" i="22" a="1"/>
  <c r="D171" i="22" s="1"/>
  <c r="M170" i="22" a="1"/>
  <c r="M170" i="22" s="1"/>
  <c r="L170" i="22" a="1"/>
  <c r="L170" i="22" s="1"/>
  <c r="M242" i="22" s="1"/>
  <c r="K170" i="22" a="1"/>
  <c r="K170" i="22" s="1"/>
  <c r="J170" i="22" a="1"/>
  <c r="J170" i="22" s="1"/>
  <c r="J242" i="22" s="1"/>
  <c r="I170" i="22" a="1"/>
  <c r="I170" i="22" s="1"/>
  <c r="I242" i="22" s="1"/>
  <c r="H170" i="22" a="1"/>
  <c r="H170" i="22" s="1"/>
  <c r="H242" i="22" s="1"/>
  <c r="G170" i="22" a="1"/>
  <c r="G170" i="22" s="1"/>
  <c r="G242" i="22" s="1"/>
  <c r="F170" i="22" a="1"/>
  <c r="F170" i="22" s="1"/>
  <c r="F242" i="22" s="1"/>
  <c r="E170" i="22" a="1"/>
  <c r="E170" i="22" s="1"/>
  <c r="D170" i="22" a="1"/>
  <c r="D170" i="22" s="1"/>
  <c r="M169" i="22" a="1"/>
  <c r="M169" i="22" s="1"/>
  <c r="L169" i="22" a="1"/>
  <c r="L169" i="22" s="1"/>
  <c r="M241" i="22" s="1"/>
  <c r="K169" i="22" a="1"/>
  <c r="K169" i="22" s="1"/>
  <c r="J169" i="22" a="1"/>
  <c r="J169" i="22" s="1"/>
  <c r="J241" i="22" s="1"/>
  <c r="I169" i="22" a="1"/>
  <c r="I169" i="22" s="1"/>
  <c r="I241" i="22" s="1"/>
  <c r="H169" i="22" a="1"/>
  <c r="H169" i="22" s="1"/>
  <c r="H241" i="22" s="1"/>
  <c r="G169" i="22" a="1"/>
  <c r="G169" i="22" s="1"/>
  <c r="G241" i="22" s="1"/>
  <c r="F169" i="22" a="1"/>
  <c r="F169" i="22" s="1"/>
  <c r="F241" i="22" s="1"/>
  <c r="E169" i="22" a="1"/>
  <c r="E169" i="22" s="1"/>
  <c r="D169" i="22" a="1"/>
  <c r="D169" i="22" s="1"/>
  <c r="M168" i="22" a="1"/>
  <c r="M168" i="22" s="1"/>
  <c r="L168" i="22" a="1"/>
  <c r="L168" i="22" s="1"/>
  <c r="M240" i="22" s="1"/>
  <c r="K168" i="22" a="1"/>
  <c r="K168" i="22" s="1"/>
  <c r="J168" i="22" a="1"/>
  <c r="J168" i="22" s="1"/>
  <c r="J240" i="22" s="1"/>
  <c r="I168" i="22" a="1"/>
  <c r="I168" i="22" s="1"/>
  <c r="I240" i="22" s="1"/>
  <c r="H168" i="22" a="1"/>
  <c r="H168" i="22" s="1"/>
  <c r="H240" i="22" s="1"/>
  <c r="G168" i="22" a="1"/>
  <c r="G168" i="22" s="1"/>
  <c r="G240" i="22" s="1"/>
  <c r="F168" i="22" a="1"/>
  <c r="F168" i="22" s="1"/>
  <c r="F240" i="22" s="1"/>
  <c r="E168" i="22" a="1"/>
  <c r="E168" i="22" s="1"/>
  <c r="D168" i="22" a="1"/>
  <c r="D168" i="22" s="1"/>
  <c r="M167" i="22" a="1"/>
  <c r="M167" i="22" s="1"/>
  <c r="L167" i="22" a="1"/>
  <c r="L167" i="22" s="1"/>
  <c r="M239" i="22" s="1"/>
  <c r="K167" i="22" a="1"/>
  <c r="K167" i="22" s="1"/>
  <c r="J167" i="22" a="1"/>
  <c r="J167" i="22" s="1"/>
  <c r="J239" i="22" s="1"/>
  <c r="I167" i="22" a="1"/>
  <c r="I167" i="22" s="1"/>
  <c r="I239" i="22" s="1"/>
  <c r="H167" i="22" a="1"/>
  <c r="H167" i="22" s="1"/>
  <c r="H239" i="22" s="1"/>
  <c r="G167" i="22" a="1"/>
  <c r="G167" i="22" s="1"/>
  <c r="G239" i="22" s="1"/>
  <c r="F167" i="22" a="1"/>
  <c r="F167" i="22" s="1"/>
  <c r="F239" i="22" s="1"/>
  <c r="E167" i="22" a="1"/>
  <c r="E167" i="22" s="1"/>
  <c r="D167" i="22" a="1"/>
  <c r="D167" i="22" s="1"/>
  <c r="M166" i="22" a="1"/>
  <c r="M166" i="22" s="1"/>
  <c r="L166" i="22" a="1"/>
  <c r="L166" i="22" s="1"/>
  <c r="M238" i="22" s="1"/>
  <c r="K166" i="22" a="1"/>
  <c r="K166" i="22" s="1"/>
  <c r="J166" i="22" a="1"/>
  <c r="J166" i="22" s="1"/>
  <c r="J238" i="22" s="1"/>
  <c r="I166" i="22" a="1"/>
  <c r="I166" i="22" s="1"/>
  <c r="I238" i="22" s="1"/>
  <c r="H166" i="22" a="1"/>
  <c r="H166" i="22" s="1"/>
  <c r="H238" i="22" s="1"/>
  <c r="G166" i="22" a="1"/>
  <c r="G166" i="22" s="1"/>
  <c r="G238" i="22" s="1"/>
  <c r="F166" i="22" a="1"/>
  <c r="F166" i="22" s="1"/>
  <c r="F238" i="22" s="1"/>
  <c r="E166" i="22" a="1"/>
  <c r="E166" i="22" s="1"/>
  <c r="D166" i="22" a="1"/>
  <c r="D166" i="22" s="1"/>
  <c r="M165" i="22" a="1"/>
  <c r="M165" i="22" s="1"/>
  <c r="L165" i="22" a="1"/>
  <c r="L165" i="22" s="1"/>
  <c r="M237" i="22" s="1"/>
  <c r="K165" i="22" a="1"/>
  <c r="K165" i="22" s="1"/>
  <c r="J165" i="22" a="1"/>
  <c r="J165" i="22" s="1"/>
  <c r="J237" i="22" s="1"/>
  <c r="I165" i="22" a="1"/>
  <c r="I165" i="22" s="1"/>
  <c r="I237" i="22" s="1"/>
  <c r="H165" i="22" a="1"/>
  <c r="H165" i="22" s="1"/>
  <c r="H237" i="22" s="1"/>
  <c r="G165" i="22" a="1"/>
  <c r="G165" i="22" s="1"/>
  <c r="G237" i="22" s="1"/>
  <c r="F165" i="22" a="1"/>
  <c r="F165" i="22" s="1"/>
  <c r="F237" i="22" s="1"/>
  <c r="E165" i="22" a="1"/>
  <c r="E165" i="22" s="1"/>
  <c r="D165" i="22" a="1"/>
  <c r="D165" i="22" s="1"/>
  <c r="M164" i="22" a="1"/>
  <c r="M164" i="22" s="1"/>
  <c r="L164" i="22" a="1"/>
  <c r="L164" i="22" s="1"/>
  <c r="M236" i="22" s="1"/>
  <c r="K164" i="22" a="1"/>
  <c r="K164" i="22" s="1"/>
  <c r="J164" i="22" a="1"/>
  <c r="J164" i="22" s="1"/>
  <c r="J236" i="22" s="1"/>
  <c r="I164" i="22" a="1"/>
  <c r="I164" i="22" s="1"/>
  <c r="I236" i="22" s="1"/>
  <c r="H164" i="22" a="1"/>
  <c r="H164" i="22" s="1"/>
  <c r="H236" i="22" s="1"/>
  <c r="G164" i="22" a="1"/>
  <c r="G164" i="22" s="1"/>
  <c r="G236" i="22" s="1"/>
  <c r="F164" i="22" a="1"/>
  <c r="F164" i="22" s="1"/>
  <c r="F236" i="22" s="1"/>
  <c r="E164" i="22" a="1"/>
  <c r="E164" i="22" s="1"/>
  <c r="D164" i="22" a="1"/>
  <c r="D164" i="22" s="1"/>
  <c r="M163" i="22" a="1"/>
  <c r="M163" i="22" s="1"/>
  <c r="L163" i="22" a="1"/>
  <c r="L163" i="22" s="1"/>
  <c r="M235" i="22" s="1"/>
  <c r="K163" i="22" a="1"/>
  <c r="K163" i="22" s="1"/>
  <c r="J163" i="22" a="1"/>
  <c r="J163" i="22" s="1"/>
  <c r="J235" i="22" s="1"/>
  <c r="I163" i="22" a="1"/>
  <c r="I163" i="22" s="1"/>
  <c r="I235" i="22" s="1"/>
  <c r="H163" i="22" a="1"/>
  <c r="H163" i="22" s="1"/>
  <c r="H235" i="22" s="1"/>
  <c r="G163" i="22" a="1"/>
  <c r="G163" i="22" s="1"/>
  <c r="G235" i="22" s="1"/>
  <c r="F163" i="22" a="1"/>
  <c r="F163" i="22" s="1"/>
  <c r="F235" i="22" s="1"/>
  <c r="E163" i="22" a="1"/>
  <c r="E163" i="22" s="1"/>
  <c r="D163" i="22" a="1"/>
  <c r="D163" i="22" s="1"/>
  <c r="M162" i="22" a="1"/>
  <c r="M162" i="22" s="1"/>
  <c r="L162" i="22" a="1"/>
  <c r="L162" i="22" s="1"/>
  <c r="M234" i="22" s="1"/>
  <c r="K162" i="22" a="1"/>
  <c r="K162" i="22" s="1"/>
  <c r="J162" i="22" a="1"/>
  <c r="J162" i="22" s="1"/>
  <c r="J234" i="22" s="1"/>
  <c r="I162" i="22" a="1"/>
  <c r="I162" i="22" s="1"/>
  <c r="I234" i="22" s="1"/>
  <c r="H162" i="22" a="1"/>
  <c r="H162" i="22" s="1"/>
  <c r="H234" i="22" s="1"/>
  <c r="G162" i="22" a="1"/>
  <c r="G162" i="22" s="1"/>
  <c r="G234" i="22" s="1"/>
  <c r="F162" i="22" a="1"/>
  <c r="F162" i="22" s="1"/>
  <c r="F234" i="22" s="1"/>
  <c r="E162" i="22" a="1"/>
  <c r="E162" i="22" s="1"/>
  <c r="D162" i="22" a="1"/>
  <c r="D162" i="22" s="1"/>
  <c r="M161" i="22" a="1"/>
  <c r="M161" i="22" s="1"/>
  <c r="L161" i="22" a="1"/>
  <c r="L161" i="22" s="1"/>
  <c r="M233" i="22" s="1"/>
  <c r="K161" i="22" a="1"/>
  <c r="K161" i="22" s="1"/>
  <c r="J161" i="22" a="1"/>
  <c r="J161" i="22" s="1"/>
  <c r="J233" i="22" s="1"/>
  <c r="I161" i="22" a="1"/>
  <c r="I161" i="22" s="1"/>
  <c r="I233" i="22" s="1"/>
  <c r="H161" i="22" a="1"/>
  <c r="H161" i="22" s="1"/>
  <c r="H233" i="22" s="1"/>
  <c r="G161" i="22" a="1"/>
  <c r="G161" i="22" s="1"/>
  <c r="G233" i="22" s="1"/>
  <c r="F161" i="22" a="1"/>
  <c r="F161" i="22" s="1"/>
  <c r="F233" i="22" s="1"/>
  <c r="E161" i="22" a="1"/>
  <c r="E161" i="22" s="1"/>
  <c r="D161" i="22" a="1"/>
  <c r="D161" i="22" s="1"/>
  <c r="M160" i="22" a="1"/>
  <c r="M160" i="22" s="1"/>
  <c r="L160" i="22" a="1"/>
  <c r="L160" i="22" s="1"/>
  <c r="M232" i="22" s="1"/>
  <c r="K160" i="22" a="1"/>
  <c r="K160" i="22" s="1"/>
  <c r="J160" i="22" a="1"/>
  <c r="J160" i="22" s="1"/>
  <c r="J232" i="22" s="1"/>
  <c r="I160" i="22" a="1"/>
  <c r="I160" i="22" s="1"/>
  <c r="I232" i="22" s="1"/>
  <c r="H160" i="22" a="1"/>
  <c r="H160" i="22" s="1"/>
  <c r="H232" i="22" s="1"/>
  <c r="G160" i="22" a="1"/>
  <c r="G160" i="22" s="1"/>
  <c r="G232" i="22" s="1"/>
  <c r="F160" i="22" a="1"/>
  <c r="F160" i="22" s="1"/>
  <c r="F232" i="22" s="1"/>
  <c r="E160" i="22" a="1"/>
  <c r="E160" i="22" s="1"/>
  <c r="D160" i="22" a="1"/>
  <c r="D160" i="22" s="1"/>
  <c r="M159" i="22" a="1"/>
  <c r="M159" i="22" s="1"/>
  <c r="L159" i="22" a="1"/>
  <c r="L159" i="22" s="1"/>
  <c r="M231" i="22" s="1"/>
  <c r="K159" i="22" a="1"/>
  <c r="K159" i="22" s="1"/>
  <c r="J159" i="22" a="1"/>
  <c r="J159" i="22" s="1"/>
  <c r="J231" i="22" s="1"/>
  <c r="I159" i="22" a="1"/>
  <c r="I159" i="22" s="1"/>
  <c r="I231" i="22" s="1"/>
  <c r="H159" i="22" a="1"/>
  <c r="H159" i="22" s="1"/>
  <c r="H231" i="22" s="1"/>
  <c r="G159" i="22" a="1"/>
  <c r="G159" i="22" s="1"/>
  <c r="G231" i="22" s="1"/>
  <c r="F159" i="22" a="1"/>
  <c r="F159" i="22" s="1"/>
  <c r="F231" i="22" s="1"/>
  <c r="E159" i="22" a="1"/>
  <c r="E159" i="22" s="1"/>
  <c r="D159" i="22" a="1"/>
  <c r="D159" i="22" s="1"/>
  <c r="M158" i="22" a="1"/>
  <c r="M158" i="22" s="1"/>
  <c r="L158" i="22" a="1"/>
  <c r="L158" i="22" s="1"/>
  <c r="K158" i="22" a="1"/>
  <c r="K158" i="22" s="1"/>
  <c r="J158" i="22" a="1"/>
  <c r="J158" i="22" s="1"/>
  <c r="I158" i="22" a="1"/>
  <c r="I158" i="22" s="1"/>
  <c r="H158" i="22" a="1"/>
  <c r="H158" i="22" s="1"/>
  <c r="G158" i="22" a="1"/>
  <c r="G158" i="22" s="1"/>
  <c r="F158" i="22" a="1"/>
  <c r="F158" i="22" s="1"/>
  <c r="E158" i="22" a="1"/>
  <c r="E158" i="22" s="1"/>
  <c r="D158" i="22" a="1"/>
  <c r="D158" i="22" s="1"/>
  <c r="M157" i="22" a="1"/>
  <c r="M157" i="22" s="1"/>
  <c r="L157" i="22" a="1"/>
  <c r="L157" i="22" s="1"/>
  <c r="K157" i="22" a="1"/>
  <c r="K157" i="22" s="1"/>
  <c r="J157" i="22" a="1"/>
  <c r="J157" i="22" s="1"/>
  <c r="I157" i="22" a="1"/>
  <c r="I157" i="22" s="1"/>
  <c r="H157" i="22" a="1"/>
  <c r="H157" i="22" s="1"/>
  <c r="G157" i="22" a="1"/>
  <c r="G157" i="22" s="1"/>
  <c r="F157" i="22" a="1"/>
  <c r="F157" i="22" s="1"/>
  <c r="E157" i="22" a="1"/>
  <c r="E157" i="22" s="1"/>
  <c r="D157" i="22" a="1"/>
  <c r="D157" i="22" s="1"/>
  <c r="M156" i="22" a="1"/>
  <c r="M156" i="22" s="1"/>
  <c r="L156" i="22" a="1"/>
  <c r="L156" i="22" s="1"/>
  <c r="K156" i="22" a="1"/>
  <c r="K156" i="22" s="1"/>
  <c r="J156" i="22" a="1"/>
  <c r="J156" i="22" s="1"/>
  <c r="I156" i="22" a="1"/>
  <c r="I156" i="22" s="1"/>
  <c r="H156" i="22" a="1"/>
  <c r="H156" i="22" s="1"/>
  <c r="G156" i="22" a="1"/>
  <c r="G156" i="22" s="1"/>
  <c r="F156" i="22" a="1"/>
  <c r="F156" i="22" s="1"/>
  <c r="E156" i="22" a="1"/>
  <c r="E156" i="22" s="1"/>
  <c r="D156" i="22" a="1"/>
  <c r="D156" i="22" s="1"/>
  <c r="M155" i="22" a="1"/>
  <c r="M155" i="22" s="1"/>
  <c r="L155" i="22" a="1"/>
  <c r="L155" i="22" s="1"/>
  <c r="K155" i="22" a="1"/>
  <c r="K155" i="22" s="1"/>
  <c r="J155" i="22" a="1"/>
  <c r="J155" i="22" s="1"/>
  <c r="I155" i="22" a="1"/>
  <c r="I155" i="22" s="1"/>
  <c r="H155" i="22" a="1"/>
  <c r="H155" i="22" s="1"/>
  <c r="G155" i="22" a="1"/>
  <c r="G155" i="22" s="1"/>
  <c r="F155" i="22" a="1"/>
  <c r="F155" i="22" s="1"/>
  <c r="E155" i="22" a="1"/>
  <c r="E155" i="22" s="1"/>
  <c r="D155" i="22" a="1"/>
  <c r="D155" i="22" s="1"/>
  <c r="D153" i="22" a="1"/>
  <c r="D153" i="22" s="1"/>
  <c r="D152" i="22" a="1"/>
  <c r="D152" i="22" s="1"/>
  <c r="D151" i="22" a="1"/>
  <c r="D151" i="22" s="1"/>
  <c r="D150" i="22" a="1"/>
  <c r="D150" i="22" s="1"/>
  <c r="P81" i="22" a="1"/>
  <c r="P81" i="22" s="1"/>
  <c r="P145" i="22" s="1"/>
  <c r="O81" i="22" a="1"/>
  <c r="O81" i="22" s="1"/>
  <c r="O145" i="22" s="1"/>
  <c r="N81" i="22" a="1"/>
  <c r="N81" i="22" s="1"/>
  <c r="N145" i="22" s="1"/>
  <c r="M81" i="22" a="1"/>
  <c r="M81" i="22" s="1"/>
  <c r="M145" i="22" s="1"/>
  <c r="L81" i="22" a="1"/>
  <c r="L81" i="22" s="1"/>
  <c r="L145" i="22" s="1"/>
  <c r="K81" i="22" a="1"/>
  <c r="K81" i="22" s="1"/>
  <c r="K145" i="22" s="1"/>
  <c r="J81" i="22" a="1"/>
  <c r="J81" i="22" s="1"/>
  <c r="J145" i="22" s="1"/>
  <c r="I81" i="22" a="1"/>
  <c r="I81" i="22" s="1"/>
  <c r="I145" i="22" s="1"/>
  <c r="H81" i="22" a="1"/>
  <c r="H81" i="22" s="1"/>
  <c r="H145" i="22" s="1"/>
  <c r="G81" i="22" a="1"/>
  <c r="G81" i="22" s="1"/>
  <c r="G145" i="22" s="1"/>
  <c r="F81" i="22" a="1"/>
  <c r="F81" i="22" s="1"/>
  <c r="F145" i="22" s="1"/>
  <c r="F149" i="22" s="1"/>
  <c r="E81" i="22" a="1"/>
  <c r="E81" i="22" s="1"/>
  <c r="E145" i="22" s="1"/>
  <c r="D81" i="22" a="1"/>
  <c r="D81" i="22" s="1"/>
  <c r="P80" i="22" a="1"/>
  <c r="P80" i="22" s="1"/>
  <c r="P144" i="22" s="1"/>
  <c r="O80" i="22" a="1"/>
  <c r="O80" i="22" s="1"/>
  <c r="O144" i="22" s="1"/>
  <c r="N80" i="22" a="1"/>
  <c r="N80" i="22" s="1"/>
  <c r="N144" i="22" s="1"/>
  <c r="M80" i="22" a="1"/>
  <c r="M80" i="22" s="1"/>
  <c r="M144" i="22" s="1"/>
  <c r="L80" i="22" a="1"/>
  <c r="L80" i="22" s="1"/>
  <c r="L144" i="22" s="1"/>
  <c r="K80" i="22" a="1"/>
  <c r="K80" i="22" s="1"/>
  <c r="K144" i="22" s="1"/>
  <c r="J80" i="22" a="1"/>
  <c r="J80" i="22" s="1"/>
  <c r="J144" i="22" s="1"/>
  <c r="I80" i="22" a="1"/>
  <c r="I80" i="22" s="1"/>
  <c r="I144" i="22" s="1"/>
  <c r="H80" i="22" a="1"/>
  <c r="H80" i="22" s="1"/>
  <c r="H144" i="22" s="1"/>
  <c r="G80" i="22" a="1"/>
  <c r="G80" i="22" s="1"/>
  <c r="G144" i="22" s="1"/>
  <c r="F80" i="22" a="1"/>
  <c r="F80" i="22" s="1"/>
  <c r="F144" i="22" s="1"/>
  <c r="F148" i="22" s="1"/>
  <c r="E80" i="22" a="1"/>
  <c r="E80" i="22" s="1"/>
  <c r="E144" i="22" s="1"/>
  <c r="D80" i="22" a="1"/>
  <c r="D80" i="22" s="1"/>
  <c r="P79" i="22" a="1"/>
  <c r="P79" i="22" s="1"/>
  <c r="P143" i="22" s="1"/>
  <c r="O79" i="22" a="1"/>
  <c r="O79" i="22" s="1"/>
  <c r="O143" i="22" s="1"/>
  <c r="N79" i="22" a="1"/>
  <c r="N79" i="22" s="1"/>
  <c r="N143" i="22" s="1"/>
  <c r="M79" i="22" a="1"/>
  <c r="M79" i="22" s="1"/>
  <c r="M143" i="22" s="1"/>
  <c r="L79" i="22" a="1"/>
  <c r="L79" i="22" s="1"/>
  <c r="L143" i="22" s="1"/>
  <c r="K79" i="22" a="1"/>
  <c r="K79" i="22" s="1"/>
  <c r="K143" i="22" s="1"/>
  <c r="J79" i="22" a="1"/>
  <c r="J79" i="22" s="1"/>
  <c r="J143" i="22" s="1"/>
  <c r="I79" i="22" a="1"/>
  <c r="I79" i="22" s="1"/>
  <c r="I143" i="22" s="1"/>
  <c r="H79" i="22" a="1"/>
  <c r="H79" i="22" s="1"/>
  <c r="H143" i="22" s="1"/>
  <c r="G79" i="22" a="1"/>
  <c r="G79" i="22" s="1"/>
  <c r="G143" i="22" s="1"/>
  <c r="F79" i="22" a="1"/>
  <c r="F79" i="22" s="1"/>
  <c r="F143" i="22" s="1"/>
  <c r="F147" i="22" s="1"/>
  <c r="E79" i="22" a="1"/>
  <c r="E79" i="22" s="1"/>
  <c r="E143" i="22" s="1"/>
  <c r="D79" i="22" a="1"/>
  <c r="D79" i="22" s="1"/>
  <c r="P78" i="22" a="1"/>
  <c r="P78" i="22" s="1"/>
  <c r="P142" i="22" s="1"/>
  <c r="O78" i="22" a="1"/>
  <c r="O78" i="22" s="1"/>
  <c r="O142" i="22" s="1"/>
  <c r="N78" i="22" a="1"/>
  <c r="N78" i="22" s="1"/>
  <c r="N142" i="22" s="1"/>
  <c r="M78" i="22" a="1"/>
  <c r="M78" i="22" s="1"/>
  <c r="M142" i="22" s="1"/>
  <c r="L78" i="22" a="1"/>
  <c r="L78" i="22" s="1"/>
  <c r="L142" i="22" s="1"/>
  <c r="K78" i="22" a="1"/>
  <c r="K78" i="22" s="1"/>
  <c r="K142" i="22" s="1"/>
  <c r="J78" i="22" a="1"/>
  <c r="J78" i="22" s="1"/>
  <c r="J142" i="22" s="1"/>
  <c r="I78" i="22" a="1"/>
  <c r="I78" i="22" s="1"/>
  <c r="I142" i="22" s="1"/>
  <c r="H78" i="22" a="1"/>
  <c r="H78" i="22" s="1"/>
  <c r="H142" i="22" s="1"/>
  <c r="G78" i="22" a="1"/>
  <c r="G78" i="22" s="1"/>
  <c r="G142" i="22" s="1"/>
  <c r="F78" i="22" a="1"/>
  <c r="F78" i="22" s="1"/>
  <c r="F142" i="22" s="1"/>
  <c r="F146" i="22" s="1"/>
  <c r="E78" i="22" a="1"/>
  <c r="E78" i="22" s="1"/>
  <c r="E142" i="22" s="1"/>
  <c r="D78" i="22" a="1"/>
  <c r="D78" i="22" s="1"/>
  <c r="P77" i="22" a="1"/>
  <c r="P77" i="22" s="1"/>
  <c r="P141" i="22" s="1"/>
  <c r="O77" i="22" a="1"/>
  <c r="O77" i="22" s="1"/>
  <c r="O141" i="22" s="1"/>
  <c r="N77" i="22" a="1"/>
  <c r="N77" i="22" s="1"/>
  <c r="N141" i="22" s="1"/>
  <c r="M77" i="22" a="1"/>
  <c r="M77" i="22" s="1"/>
  <c r="M141" i="22" s="1"/>
  <c r="L77" i="22" a="1"/>
  <c r="L77" i="22" s="1"/>
  <c r="L141" i="22" s="1"/>
  <c r="K77" i="22" a="1"/>
  <c r="K77" i="22" s="1"/>
  <c r="K141" i="22" s="1"/>
  <c r="J77" i="22" a="1"/>
  <c r="J77" i="22" s="1"/>
  <c r="J141" i="22" s="1"/>
  <c r="I77" i="22" a="1"/>
  <c r="I77" i="22" s="1"/>
  <c r="I141" i="22" s="1"/>
  <c r="H77" i="22" a="1"/>
  <c r="H77" i="22" s="1"/>
  <c r="H141" i="22" s="1"/>
  <c r="G77" i="22" a="1"/>
  <c r="G77" i="22" s="1"/>
  <c r="G141" i="22" s="1"/>
  <c r="F77" i="22" a="1"/>
  <c r="F77" i="22" s="1"/>
  <c r="F141" i="22" s="1"/>
  <c r="E77" i="22" a="1"/>
  <c r="E77" i="22" s="1"/>
  <c r="E141" i="22" s="1"/>
  <c r="D77" i="22" a="1"/>
  <c r="D77" i="22" s="1"/>
  <c r="P76" i="22" a="1"/>
  <c r="P76" i="22" s="1"/>
  <c r="P140" i="22" s="1"/>
  <c r="O76" i="22" a="1"/>
  <c r="O76" i="22" s="1"/>
  <c r="O140" i="22" s="1"/>
  <c r="N76" i="22" a="1"/>
  <c r="N76" i="22" s="1"/>
  <c r="N140" i="22" s="1"/>
  <c r="M76" i="22" a="1"/>
  <c r="M76" i="22" s="1"/>
  <c r="M140" i="22" s="1"/>
  <c r="L76" i="22" a="1"/>
  <c r="L76" i="22" s="1"/>
  <c r="L140" i="22" s="1"/>
  <c r="K76" i="22" a="1"/>
  <c r="K76" i="22" s="1"/>
  <c r="K140" i="22" s="1"/>
  <c r="J76" i="22" a="1"/>
  <c r="J76" i="22" s="1"/>
  <c r="J140" i="22" s="1"/>
  <c r="I76" i="22" a="1"/>
  <c r="I76" i="22" s="1"/>
  <c r="I140" i="22" s="1"/>
  <c r="H76" i="22" a="1"/>
  <c r="H76" i="22" s="1"/>
  <c r="H140" i="22" s="1"/>
  <c r="G76" i="22" a="1"/>
  <c r="G76" i="22" s="1"/>
  <c r="G140" i="22" s="1"/>
  <c r="F76" i="22" a="1"/>
  <c r="F76" i="22" s="1"/>
  <c r="F140" i="22" s="1"/>
  <c r="E76" i="22" a="1"/>
  <c r="E76" i="22" s="1"/>
  <c r="E140" i="22" s="1"/>
  <c r="D76" i="22" a="1"/>
  <c r="D76" i="22" s="1"/>
  <c r="P75" i="22" a="1"/>
  <c r="P75" i="22" s="1"/>
  <c r="P139" i="22" s="1"/>
  <c r="O75" i="22" a="1"/>
  <c r="O75" i="22" s="1"/>
  <c r="O139" i="22" s="1"/>
  <c r="N75" i="22" a="1"/>
  <c r="N75" i="22" s="1"/>
  <c r="N139" i="22" s="1"/>
  <c r="M75" i="22" a="1"/>
  <c r="M75" i="22" s="1"/>
  <c r="M139" i="22" s="1"/>
  <c r="L75" i="22" a="1"/>
  <c r="L75" i="22" s="1"/>
  <c r="L139" i="22" s="1"/>
  <c r="K75" i="22" a="1"/>
  <c r="K75" i="22" s="1"/>
  <c r="K139" i="22" s="1"/>
  <c r="J75" i="22" a="1"/>
  <c r="J75" i="22" s="1"/>
  <c r="J139" i="22" s="1"/>
  <c r="I75" i="22" a="1"/>
  <c r="I75" i="22" s="1"/>
  <c r="I139" i="22" s="1"/>
  <c r="H75" i="22" a="1"/>
  <c r="H75" i="22" s="1"/>
  <c r="H139" i="22" s="1"/>
  <c r="G75" i="22" a="1"/>
  <c r="G75" i="22" s="1"/>
  <c r="G139" i="22" s="1"/>
  <c r="F75" i="22" a="1"/>
  <c r="F75" i="22" s="1"/>
  <c r="F139" i="22" s="1"/>
  <c r="E75" i="22" a="1"/>
  <c r="E75" i="22" s="1"/>
  <c r="E139" i="22" s="1"/>
  <c r="D75" i="22" a="1"/>
  <c r="D75" i="22" s="1"/>
  <c r="P74" i="22" a="1"/>
  <c r="P74" i="22" s="1"/>
  <c r="P138" i="22" s="1"/>
  <c r="O74" i="22" a="1"/>
  <c r="O74" i="22" s="1"/>
  <c r="O138" i="22" s="1"/>
  <c r="N74" i="22" a="1"/>
  <c r="N74" i="22" s="1"/>
  <c r="N138" i="22" s="1"/>
  <c r="M74" i="22" a="1"/>
  <c r="M74" i="22" s="1"/>
  <c r="M138" i="22" s="1"/>
  <c r="L74" i="22" a="1"/>
  <c r="L74" i="22" s="1"/>
  <c r="L138" i="22" s="1"/>
  <c r="K74" i="22" a="1"/>
  <c r="K74" i="22" s="1"/>
  <c r="K138" i="22" s="1"/>
  <c r="J74" i="22" a="1"/>
  <c r="J74" i="22" s="1"/>
  <c r="J138" i="22" s="1"/>
  <c r="I74" i="22" a="1"/>
  <c r="I74" i="22" s="1"/>
  <c r="I138" i="22" s="1"/>
  <c r="H74" i="22" a="1"/>
  <c r="H74" i="22" s="1"/>
  <c r="H138" i="22" s="1"/>
  <c r="G74" i="22" a="1"/>
  <c r="G74" i="22" s="1"/>
  <c r="G138" i="22" s="1"/>
  <c r="F74" i="22" a="1"/>
  <c r="F74" i="22" s="1"/>
  <c r="F138" i="22" s="1"/>
  <c r="E74" i="22" a="1"/>
  <c r="E74" i="22" s="1"/>
  <c r="E138" i="22" s="1"/>
  <c r="D74" i="22" a="1"/>
  <c r="D74" i="22" s="1"/>
  <c r="P73" i="22" a="1"/>
  <c r="P73" i="22" s="1"/>
  <c r="P137" i="22" s="1"/>
  <c r="O73" i="22" a="1"/>
  <c r="O73" i="22" s="1"/>
  <c r="O137" i="22" s="1"/>
  <c r="N73" i="22" a="1"/>
  <c r="N73" i="22" s="1"/>
  <c r="N137" i="22" s="1"/>
  <c r="M73" i="22" a="1"/>
  <c r="M73" i="22" s="1"/>
  <c r="M137" i="22" s="1"/>
  <c r="L73" i="22" a="1"/>
  <c r="L73" i="22" s="1"/>
  <c r="L137" i="22" s="1"/>
  <c r="K73" i="22" a="1"/>
  <c r="K73" i="22" s="1"/>
  <c r="K137" i="22" s="1"/>
  <c r="J73" i="22" a="1"/>
  <c r="J73" i="22" s="1"/>
  <c r="J137" i="22" s="1"/>
  <c r="I73" i="22" a="1"/>
  <c r="I73" i="22" s="1"/>
  <c r="I137" i="22" s="1"/>
  <c r="H73" i="22" a="1"/>
  <c r="H73" i="22" s="1"/>
  <c r="H137" i="22" s="1"/>
  <c r="G73" i="22" a="1"/>
  <c r="G73" i="22" s="1"/>
  <c r="G137" i="22" s="1"/>
  <c r="F73" i="22" a="1"/>
  <c r="F73" i="22" s="1"/>
  <c r="F137" i="22" s="1"/>
  <c r="E73" i="22" a="1"/>
  <c r="E73" i="22" s="1"/>
  <c r="E137" i="22" s="1"/>
  <c r="D73" i="22" a="1"/>
  <c r="D73" i="22" s="1"/>
  <c r="P72" i="22" a="1"/>
  <c r="P72" i="22" s="1"/>
  <c r="P136" i="22" s="1"/>
  <c r="O72" i="22" a="1"/>
  <c r="O72" i="22" s="1"/>
  <c r="O136" i="22" s="1"/>
  <c r="N72" i="22" a="1"/>
  <c r="N72" i="22" s="1"/>
  <c r="N136" i="22" s="1"/>
  <c r="M72" i="22" a="1"/>
  <c r="M72" i="22" s="1"/>
  <c r="M136" i="22" s="1"/>
  <c r="L72" i="22" a="1"/>
  <c r="L72" i="22" s="1"/>
  <c r="L136" i="22" s="1"/>
  <c r="K72" i="22" a="1"/>
  <c r="K72" i="22" s="1"/>
  <c r="K136" i="22" s="1"/>
  <c r="J72" i="22" a="1"/>
  <c r="J72" i="22" s="1"/>
  <c r="J136" i="22" s="1"/>
  <c r="I72" i="22" a="1"/>
  <c r="I72" i="22" s="1"/>
  <c r="I136" i="22" s="1"/>
  <c r="H72" i="22" a="1"/>
  <c r="H72" i="22" s="1"/>
  <c r="H136" i="22" s="1"/>
  <c r="G72" i="22" a="1"/>
  <c r="G72" i="22" s="1"/>
  <c r="G136" i="22" s="1"/>
  <c r="F72" i="22" a="1"/>
  <c r="F72" i="22" s="1"/>
  <c r="F136" i="22" s="1"/>
  <c r="E72" i="22" a="1"/>
  <c r="E72" i="22" s="1"/>
  <c r="E136" i="22" s="1"/>
  <c r="D72" i="22" a="1"/>
  <c r="D72" i="22" s="1"/>
  <c r="P71" i="22" a="1"/>
  <c r="P71" i="22" s="1"/>
  <c r="P135" i="22" s="1"/>
  <c r="O71" i="22" a="1"/>
  <c r="O71" i="22" s="1"/>
  <c r="O135" i="22" s="1"/>
  <c r="N71" i="22" a="1"/>
  <c r="N71" i="22" s="1"/>
  <c r="N135" i="22" s="1"/>
  <c r="M71" i="22" a="1"/>
  <c r="M71" i="22" s="1"/>
  <c r="M135" i="22" s="1"/>
  <c r="L71" i="22" a="1"/>
  <c r="L71" i="22" s="1"/>
  <c r="L135" i="22" s="1"/>
  <c r="K71" i="22" a="1"/>
  <c r="K71" i="22" s="1"/>
  <c r="K135" i="22" s="1"/>
  <c r="J71" i="22" a="1"/>
  <c r="J71" i="22" s="1"/>
  <c r="J135" i="22" s="1"/>
  <c r="I71" i="22" a="1"/>
  <c r="I71" i="22" s="1"/>
  <c r="I135" i="22" s="1"/>
  <c r="H71" i="22" a="1"/>
  <c r="H71" i="22" s="1"/>
  <c r="H135" i="22" s="1"/>
  <c r="G71" i="22" a="1"/>
  <c r="G71" i="22" s="1"/>
  <c r="G135" i="22" s="1"/>
  <c r="F71" i="22" a="1"/>
  <c r="F71" i="22" s="1"/>
  <c r="F135" i="22" s="1"/>
  <c r="E71" i="22" a="1"/>
  <c r="E71" i="22" s="1"/>
  <c r="E135" i="22" s="1"/>
  <c r="D71" i="22" a="1"/>
  <c r="D71" i="22" s="1"/>
  <c r="P70" i="22" a="1"/>
  <c r="P70" i="22" s="1"/>
  <c r="P134" i="22" s="1"/>
  <c r="O70" i="22" a="1"/>
  <c r="O70" i="22" s="1"/>
  <c r="O134" i="22" s="1"/>
  <c r="N70" i="22" a="1"/>
  <c r="N70" i="22" s="1"/>
  <c r="N134" i="22" s="1"/>
  <c r="M70" i="22" a="1"/>
  <c r="M70" i="22" s="1"/>
  <c r="M134" i="22" s="1"/>
  <c r="L70" i="22" a="1"/>
  <c r="L70" i="22" s="1"/>
  <c r="L134" i="22" s="1"/>
  <c r="K70" i="22" a="1"/>
  <c r="K70" i="22" s="1"/>
  <c r="K134" i="22" s="1"/>
  <c r="J70" i="22" a="1"/>
  <c r="J70" i="22" s="1"/>
  <c r="J134" i="22" s="1"/>
  <c r="I70" i="22" a="1"/>
  <c r="I70" i="22" s="1"/>
  <c r="I134" i="22" s="1"/>
  <c r="H70" i="22" a="1"/>
  <c r="H70" i="22" s="1"/>
  <c r="H134" i="22" s="1"/>
  <c r="G70" i="22" a="1"/>
  <c r="G70" i="22" s="1"/>
  <c r="G134" i="22" s="1"/>
  <c r="F70" i="22" a="1"/>
  <c r="F70" i="22" s="1"/>
  <c r="F134" i="22" s="1"/>
  <c r="E70" i="22" a="1"/>
  <c r="E70" i="22" s="1"/>
  <c r="E134" i="22" s="1"/>
  <c r="D70" i="22" a="1"/>
  <c r="D70" i="22" s="1"/>
  <c r="P69" i="22" a="1"/>
  <c r="P69" i="22" s="1"/>
  <c r="P133" i="22" s="1"/>
  <c r="O69" i="22" a="1"/>
  <c r="O69" i="22" s="1"/>
  <c r="O133" i="22" s="1"/>
  <c r="N69" i="22" a="1"/>
  <c r="N69" i="22" s="1"/>
  <c r="N133" i="22" s="1"/>
  <c r="M69" i="22" a="1"/>
  <c r="M69" i="22" s="1"/>
  <c r="M133" i="22" s="1"/>
  <c r="L69" i="22" a="1"/>
  <c r="L69" i="22" s="1"/>
  <c r="L133" i="22" s="1"/>
  <c r="K69" i="22" a="1"/>
  <c r="K69" i="22" s="1"/>
  <c r="K133" i="22" s="1"/>
  <c r="J69" i="22" a="1"/>
  <c r="J69" i="22" s="1"/>
  <c r="J133" i="22" s="1"/>
  <c r="I69" i="22" a="1"/>
  <c r="I69" i="22" s="1"/>
  <c r="I133" i="22" s="1"/>
  <c r="H69" i="22" a="1"/>
  <c r="H69" i="22" s="1"/>
  <c r="H133" i="22" s="1"/>
  <c r="G69" i="22" a="1"/>
  <c r="G69" i="22" s="1"/>
  <c r="G133" i="22" s="1"/>
  <c r="F69" i="22" a="1"/>
  <c r="F69" i="22" s="1"/>
  <c r="F133" i="22" s="1"/>
  <c r="E69" i="22" a="1"/>
  <c r="E69" i="22" s="1"/>
  <c r="E133" i="22" s="1"/>
  <c r="D69" i="22" a="1"/>
  <c r="D69" i="22" s="1"/>
  <c r="P68" i="22" a="1"/>
  <c r="P68" i="22" s="1"/>
  <c r="P132" i="22" s="1"/>
  <c r="O68" i="22" a="1"/>
  <c r="O68" i="22" s="1"/>
  <c r="O132" i="22" s="1"/>
  <c r="N68" i="22" a="1"/>
  <c r="N68" i="22" s="1"/>
  <c r="N132" i="22" s="1"/>
  <c r="M68" i="22" a="1"/>
  <c r="M68" i="22" s="1"/>
  <c r="M132" i="22" s="1"/>
  <c r="L68" i="22" a="1"/>
  <c r="L68" i="22" s="1"/>
  <c r="L132" i="22" s="1"/>
  <c r="K68" i="22" a="1"/>
  <c r="K68" i="22" s="1"/>
  <c r="K132" i="22" s="1"/>
  <c r="J68" i="22" a="1"/>
  <c r="J68" i="22" s="1"/>
  <c r="J132" i="22" s="1"/>
  <c r="I68" i="22" a="1"/>
  <c r="I68" i="22" s="1"/>
  <c r="I132" i="22" s="1"/>
  <c r="H68" i="22" a="1"/>
  <c r="H68" i="22" s="1"/>
  <c r="H132" i="22" s="1"/>
  <c r="G68" i="22" a="1"/>
  <c r="G68" i="22" s="1"/>
  <c r="G132" i="22" s="1"/>
  <c r="F68" i="22" a="1"/>
  <c r="F68" i="22" s="1"/>
  <c r="F132" i="22" s="1"/>
  <c r="E68" i="22" a="1"/>
  <c r="E68" i="22" s="1"/>
  <c r="E132" i="22" s="1"/>
  <c r="D68" i="22" a="1"/>
  <c r="D68" i="22" s="1"/>
  <c r="P67" i="22" a="1"/>
  <c r="P67" i="22" s="1"/>
  <c r="P131" i="22" s="1"/>
  <c r="O67" i="22" a="1"/>
  <c r="O67" i="22" s="1"/>
  <c r="O131" i="22" s="1"/>
  <c r="N67" i="22" a="1"/>
  <c r="N67" i="22" s="1"/>
  <c r="N131" i="22" s="1"/>
  <c r="M67" i="22" a="1"/>
  <c r="M67" i="22" s="1"/>
  <c r="M131" i="22" s="1"/>
  <c r="L67" i="22" a="1"/>
  <c r="L67" i="22" s="1"/>
  <c r="L131" i="22" s="1"/>
  <c r="K67" i="22" a="1"/>
  <c r="K67" i="22" s="1"/>
  <c r="K131" i="22" s="1"/>
  <c r="J67" i="22" a="1"/>
  <c r="J67" i="22" s="1"/>
  <c r="J131" i="22" s="1"/>
  <c r="I67" i="22" a="1"/>
  <c r="I67" i="22" s="1"/>
  <c r="I131" i="22" s="1"/>
  <c r="H67" i="22" a="1"/>
  <c r="H67" i="22" s="1"/>
  <c r="H131" i="22" s="1"/>
  <c r="G67" i="22" a="1"/>
  <c r="G67" i="22" s="1"/>
  <c r="G131" i="22" s="1"/>
  <c r="F67" i="22" a="1"/>
  <c r="F67" i="22" s="1"/>
  <c r="F131" i="22" s="1"/>
  <c r="E67" i="22" a="1"/>
  <c r="E67" i="22" s="1"/>
  <c r="E131" i="22" s="1"/>
  <c r="D67" i="22" a="1"/>
  <c r="D67" i="22" s="1"/>
  <c r="P66" i="22" a="1"/>
  <c r="P66" i="22" s="1"/>
  <c r="P130" i="22" s="1"/>
  <c r="O66" i="22" a="1"/>
  <c r="O66" i="22" s="1"/>
  <c r="O130" i="22" s="1"/>
  <c r="N66" i="22" a="1"/>
  <c r="N66" i="22" s="1"/>
  <c r="N130" i="22" s="1"/>
  <c r="M66" i="22" a="1"/>
  <c r="M66" i="22" s="1"/>
  <c r="M130" i="22" s="1"/>
  <c r="L66" i="22" a="1"/>
  <c r="L66" i="22" s="1"/>
  <c r="L130" i="22" s="1"/>
  <c r="K66" i="22" a="1"/>
  <c r="K66" i="22" s="1"/>
  <c r="K130" i="22" s="1"/>
  <c r="J66" i="22" a="1"/>
  <c r="J66" i="22" s="1"/>
  <c r="J130" i="22" s="1"/>
  <c r="I66" i="22" a="1"/>
  <c r="I66" i="22" s="1"/>
  <c r="I130" i="22" s="1"/>
  <c r="H66" i="22" a="1"/>
  <c r="H66" i="22" s="1"/>
  <c r="H130" i="22" s="1"/>
  <c r="G66" i="22" a="1"/>
  <c r="G66" i="22" s="1"/>
  <c r="G130" i="22" s="1"/>
  <c r="F66" i="22" a="1"/>
  <c r="F66" i="22" s="1"/>
  <c r="F130" i="22" s="1"/>
  <c r="E66" i="22" a="1"/>
  <c r="E66" i="22" s="1"/>
  <c r="E130" i="22" s="1"/>
  <c r="D66" i="22" a="1"/>
  <c r="D66" i="22" s="1"/>
  <c r="P65" i="22" a="1"/>
  <c r="P65" i="22" s="1"/>
  <c r="P129" i="22" s="1"/>
  <c r="O65" i="22" a="1"/>
  <c r="O65" i="22" s="1"/>
  <c r="O129" i="22" s="1"/>
  <c r="N65" i="22" a="1"/>
  <c r="N65" i="22" s="1"/>
  <c r="N129" i="22" s="1"/>
  <c r="M65" i="22" a="1"/>
  <c r="M65" i="22" s="1"/>
  <c r="M129" i="22" s="1"/>
  <c r="L65" i="22" a="1"/>
  <c r="L65" i="22" s="1"/>
  <c r="L129" i="22" s="1"/>
  <c r="K65" i="22" a="1"/>
  <c r="K65" i="22" s="1"/>
  <c r="K129" i="22" s="1"/>
  <c r="J65" i="22" a="1"/>
  <c r="J65" i="22" s="1"/>
  <c r="J129" i="22" s="1"/>
  <c r="I65" i="22" a="1"/>
  <c r="I65" i="22" s="1"/>
  <c r="I129" i="22" s="1"/>
  <c r="H65" i="22" a="1"/>
  <c r="H65" i="22" s="1"/>
  <c r="H129" i="22" s="1"/>
  <c r="G65" i="22" a="1"/>
  <c r="G65" i="22" s="1"/>
  <c r="G129" i="22" s="1"/>
  <c r="F65" i="22" a="1"/>
  <c r="F65" i="22" s="1"/>
  <c r="F129" i="22" s="1"/>
  <c r="E65" i="22" a="1"/>
  <c r="E65" i="22" s="1"/>
  <c r="E129" i="22" s="1"/>
  <c r="D65" i="22" a="1"/>
  <c r="D65" i="22" s="1"/>
  <c r="P64" i="22" a="1"/>
  <c r="P64" i="22" s="1"/>
  <c r="P128" i="22" s="1"/>
  <c r="O64" i="22" a="1"/>
  <c r="O64" i="22" s="1"/>
  <c r="O128" i="22" s="1"/>
  <c r="N64" i="22" a="1"/>
  <c r="N64" i="22" s="1"/>
  <c r="N128" i="22" s="1"/>
  <c r="M64" i="22" a="1"/>
  <c r="M64" i="22" s="1"/>
  <c r="M128" i="22" s="1"/>
  <c r="L64" i="22" a="1"/>
  <c r="L64" i="22" s="1"/>
  <c r="L128" i="22" s="1"/>
  <c r="K64" i="22" a="1"/>
  <c r="K64" i="22" s="1"/>
  <c r="K128" i="22" s="1"/>
  <c r="J64" i="22" a="1"/>
  <c r="J64" i="22" s="1"/>
  <c r="J128" i="22" s="1"/>
  <c r="I64" i="22" a="1"/>
  <c r="I64" i="22" s="1"/>
  <c r="I128" i="22" s="1"/>
  <c r="H64" i="22" a="1"/>
  <c r="H64" i="22" s="1"/>
  <c r="H128" i="22" s="1"/>
  <c r="G64" i="22" a="1"/>
  <c r="G64" i="22" s="1"/>
  <c r="G128" i="22" s="1"/>
  <c r="F64" i="22" a="1"/>
  <c r="F64" i="22" s="1"/>
  <c r="F128" i="22" s="1"/>
  <c r="E64" i="22" a="1"/>
  <c r="E64" i="22" s="1"/>
  <c r="E128" i="22" s="1"/>
  <c r="D64" i="22" a="1"/>
  <c r="D64" i="22" s="1"/>
  <c r="P63" i="22" a="1"/>
  <c r="P63" i="22" s="1"/>
  <c r="P127" i="22" s="1"/>
  <c r="O63" i="22" a="1"/>
  <c r="O63" i="22" s="1"/>
  <c r="O127" i="22" s="1"/>
  <c r="N63" i="22" a="1"/>
  <c r="N63" i="22" s="1"/>
  <c r="N127" i="22" s="1"/>
  <c r="M63" i="22" a="1"/>
  <c r="M63" i="22" s="1"/>
  <c r="M127" i="22" s="1"/>
  <c r="L63" i="22" a="1"/>
  <c r="L63" i="22" s="1"/>
  <c r="L127" i="22" s="1"/>
  <c r="K63" i="22" a="1"/>
  <c r="K63" i="22" s="1"/>
  <c r="K127" i="22" s="1"/>
  <c r="J63" i="22" a="1"/>
  <c r="J63" i="22" s="1"/>
  <c r="J127" i="22" s="1"/>
  <c r="I63" i="22" a="1"/>
  <c r="I63" i="22" s="1"/>
  <c r="I127" i="22" s="1"/>
  <c r="H63" i="22" a="1"/>
  <c r="H63" i="22" s="1"/>
  <c r="H127" i="22" s="1"/>
  <c r="G63" i="22" a="1"/>
  <c r="G63" i="22" s="1"/>
  <c r="G127" i="22" s="1"/>
  <c r="F63" i="22" a="1"/>
  <c r="F63" i="22" s="1"/>
  <c r="F127" i="22" s="1"/>
  <c r="E63" i="22" a="1"/>
  <c r="E63" i="22" s="1"/>
  <c r="E127" i="22" s="1"/>
  <c r="D63" i="22" a="1"/>
  <c r="D63" i="22" s="1"/>
  <c r="P62" i="22" a="1"/>
  <c r="P62" i="22" s="1"/>
  <c r="P126" i="22" s="1"/>
  <c r="O62" i="22" a="1"/>
  <c r="O62" i="22" s="1"/>
  <c r="O126" i="22" s="1"/>
  <c r="N62" i="22" a="1"/>
  <c r="N62" i="22" s="1"/>
  <c r="N126" i="22" s="1"/>
  <c r="M62" i="22" a="1"/>
  <c r="M62" i="22" s="1"/>
  <c r="M126" i="22" s="1"/>
  <c r="L62" i="22" a="1"/>
  <c r="L62" i="22" s="1"/>
  <c r="L126" i="22" s="1"/>
  <c r="K62" i="22" a="1"/>
  <c r="K62" i="22" s="1"/>
  <c r="K126" i="22" s="1"/>
  <c r="J62" i="22" a="1"/>
  <c r="J62" i="22" s="1"/>
  <c r="J126" i="22" s="1"/>
  <c r="I62" i="22" a="1"/>
  <c r="I62" i="22" s="1"/>
  <c r="I126" i="22" s="1"/>
  <c r="H62" i="22" a="1"/>
  <c r="H62" i="22" s="1"/>
  <c r="H126" i="22" s="1"/>
  <c r="G62" i="22" a="1"/>
  <c r="G62" i="22" s="1"/>
  <c r="G126" i="22" s="1"/>
  <c r="F62" i="22" a="1"/>
  <c r="F62" i="22" s="1"/>
  <c r="F126" i="22" s="1"/>
  <c r="E62" i="22" a="1"/>
  <c r="E62" i="22" s="1"/>
  <c r="E126" i="22" s="1"/>
  <c r="D62" i="22" a="1"/>
  <c r="D62" i="22" s="1"/>
  <c r="P61" i="22" a="1"/>
  <c r="P61" i="22" s="1"/>
  <c r="P125" i="22" s="1"/>
  <c r="O61" i="22" a="1"/>
  <c r="O61" i="22" s="1"/>
  <c r="O125" i="22" s="1"/>
  <c r="N61" i="22" a="1"/>
  <c r="N61" i="22" s="1"/>
  <c r="N125" i="22" s="1"/>
  <c r="M61" i="22" a="1"/>
  <c r="M61" i="22" s="1"/>
  <c r="M125" i="22" s="1"/>
  <c r="L61" i="22" a="1"/>
  <c r="L61" i="22" s="1"/>
  <c r="L125" i="22" s="1"/>
  <c r="K61" i="22" a="1"/>
  <c r="K61" i="22" s="1"/>
  <c r="K125" i="22" s="1"/>
  <c r="J61" i="22" a="1"/>
  <c r="J61" i="22" s="1"/>
  <c r="J125" i="22" s="1"/>
  <c r="I61" i="22" a="1"/>
  <c r="I61" i="22" s="1"/>
  <c r="I125" i="22" s="1"/>
  <c r="H61" i="22" a="1"/>
  <c r="H61" i="22" s="1"/>
  <c r="H125" i="22" s="1"/>
  <c r="G61" i="22" a="1"/>
  <c r="G61" i="22" s="1"/>
  <c r="G125" i="22" s="1"/>
  <c r="F61" i="22" a="1"/>
  <c r="F61" i="22" s="1"/>
  <c r="F125" i="22" s="1"/>
  <c r="E61" i="22" a="1"/>
  <c r="E61" i="22" s="1"/>
  <c r="E125" i="22" s="1"/>
  <c r="D61" i="22" a="1"/>
  <c r="D61" i="22" s="1"/>
  <c r="P60" i="22" a="1"/>
  <c r="P60" i="22" s="1"/>
  <c r="P124" i="22" s="1"/>
  <c r="O60" i="22" a="1"/>
  <c r="O60" i="22" s="1"/>
  <c r="O124" i="22" s="1"/>
  <c r="N60" i="22" a="1"/>
  <c r="N60" i="22" s="1"/>
  <c r="N124" i="22" s="1"/>
  <c r="M60" i="22" a="1"/>
  <c r="M60" i="22" s="1"/>
  <c r="M124" i="22" s="1"/>
  <c r="L60" i="22" a="1"/>
  <c r="L60" i="22" s="1"/>
  <c r="L124" i="22" s="1"/>
  <c r="K60" i="22" a="1"/>
  <c r="K60" i="22" s="1"/>
  <c r="K124" i="22" s="1"/>
  <c r="J60" i="22" a="1"/>
  <c r="J60" i="22" s="1"/>
  <c r="J124" i="22" s="1"/>
  <c r="I60" i="22" a="1"/>
  <c r="I60" i="22" s="1"/>
  <c r="I124" i="22" s="1"/>
  <c r="H60" i="22" a="1"/>
  <c r="H60" i="22" s="1"/>
  <c r="H124" i="22" s="1"/>
  <c r="G60" i="22" a="1"/>
  <c r="G60" i="22" s="1"/>
  <c r="G124" i="22" s="1"/>
  <c r="F60" i="22" a="1"/>
  <c r="F60" i="22" s="1"/>
  <c r="F124" i="22" s="1"/>
  <c r="E60" i="22" a="1"/>
  <c r="E60" i="22" s="1"/>
  <c r="E124" i="22" s="1"/>
  <c r="D60" i="22" a="1"/>
  <c r="D60" i="22" s="1"/>
  <c r="P59" i="22" a="1"/>
  <c r="P59" i="22" s="1"/>
  <c r="P123" i="22" s="1"/>
  <c r="O59" i="22" a="1"/>
  <c r="O59" i="22" s="1"/>
  <c r="O123" i="22" s="1"/>
  <c r="N59" i="22" a="1"/>
  <c r="N59" i="22" s="1"/>
  <c r="N123" i="22" s="1"/>
  <c r="M59" i="22" a="1"/>
  <c r="M59" i="22" s="1"/>
  <c r="M123" i="22" s="1"/>
  <c r="L59" i="22" a="1"/>
  <c r="L59" i="22" s="1"/>
  <c r="L123" i="22" s="1"/>
  <c r="K59" i="22" a="1"/>
  <c r="K59" i="22" s="1"/>
  <c r="K123" i="22" s="1"/>
  <c r="J59" i="22" a="1"/>
  <c r="J59" i="22" s="1"/>
  <c r="J123" i="22" s="1"/>
  <c r="I59" i="22" a="1"/>
  <c r="I59" i="22" s="1"/>
  <c r="I123" i="22" s="1"/>
  <c r="H59" i="22" a="1"/>
  <c r="H59" i="22" s="1"/>
  <c r="H123" i="22" s="1"/>
  <c r="G59" i="22" a="1"/>
  <c r="G59" i="22" s="1"/>
  <c r="G123" i="22" s="1"/>
  <c r="F59" i="22" a="1"/>
  <c r="F59" i="22" s="1"/>
  <c r="F123" i="22" s="1"/>
  <c r="E59" i="22" a="1"/>
  <c r="E59" i="22" s="1"/>
  <c r="E123" i="22" s="1"/>
  <c r="D59" i="22" a="1"/>
  <c r="D59" i="22" s="1"/>
  <c r="P58" i="22" a="1"/>
  <c r="P58" i="22" s="1"/>
  <c r="P122" i="22" s="1"/>
  <c r="O58" i="22" a="1"/>
  <c r="O58" i="22" s="1"/>
  <c r="O122" i="22" s="1"/>
  <c r="N58" i="22" a="1"/>
  <c r="N58" i="22" s="1"/>
  <c r="N122" i="22" s="1"/>
  <c r="M58" i="22" a="1"/>
  <c r="M58" i="22" s="1"/>
  <c r="M122" i="22" s="1"/>
  <c r="L58" i="22" a="1"/>
  <c r="L58" i="22" s="1"/>
  <c r="L122" i="22" s="1"/>
  <c r="K58" i="22" a="1"/>
  <c r="K58" i="22" s="1"/>
  <c r="K122" i="22" s="1"/>
  <c r="J58" i="22" a="1"/>
  <c r="J58" i="22" s="1"/>
  <c r="J122" i="22" s="1"/>
  <c r="I58" i="22" a="1"/>
  <c r="I58" i="22" s="1"/>
  <c r="I122" i="22" s="1"/>
  <c r="H58" i="22" a="1"/>
  <c r="H58" i="22" s="1"/>
  <c r="H122" i="22" s="1"/>
  <c r="G58" i="22" a="1"/>
  <c r="G58" i="22" s="1"/>
  <c r="G122" i="22" s="1"/>
  <c r="F58" i="22" a="1"/>
  <c r="F58" i="22" s="1"/>
  <c r="F122" i="22" s="1"/>
  <c r="E58" i="22" a="1"/>
  <c r="E58" i="22" s="1"/>
  <c r="E122" i="22" s="1"/>
  <c r="D58" i="22" a="1"/>
  <c r="D58" i="22" s="1"/>
  <c r="P57" i="22" a="1"/>
  <c r="P57" i="22" s="1"/>
  <c r="P121" i="22" s="1"/>
  <c r="O57" i="22" a="1"/>
  <c r="O57" i="22" s="1"/>
  <c r="O121" i="22" s="1"/>
  <c r="N57" i="22" a="1"/>
  <c r="N57" i="22" s="1"/>
  <c r="N121" i="22" s="1"/>
  <c r="M57" i="22" a="1"/>
  <c r="M57" i="22" s="1"/>
  <c r="M121" i="22" s="1"/>
  <c r="L57" i="22" a="1"/>
  <c r="L57" i="22" s="1"/>
  <c r="L121" i="22" s="1"/>
  <c r="K57" i="22" a="1"/>
  <c r="K57" i="22" s="1"/>
  <c r="K121" i="22" s="1"/>
  <c r="J57" i="22" a="1"/>
  <c r="J57" i="22" s="1"/>
  <c r="J121" i="22" s="1"/>
  <c r="I57" i="22" a="1"/>
  <c r="I57" i="22" s="1"/>
  <c r="I121" i="22" s="1"/>
  <c r="H57" i="22" a="1"/>
  <c r="H57" i="22" s="1"/>
  <c r="H121" i="22" s="1"/>
  <c r="G57" i="22" a="1"/>
  <c r="G57" i="22" s="1"/>
  <c r="G121" i="22" s="1"/>
  <c r="F57" i="22" a="1"/>
  <c r="F57" i="22" s="1"/>
  <c r="F121" i="22" s="1"/>
  <c r="E57" i="22" a="1"/>
  <c r="E57" i="22" s="1"/>
  <c r="E121" i="22" s="1"/>
  <c r="D57" i="22" a="1"/>
  <c r="D57" i="22" s="1"/>
  <c r="P56" i="22" a="1"/>
  <c r="P56" i="22" s="1"/>
  <c r="P120" i="22" s="1"/>
  <c r="O56" i="22" a="1"/>
  <c r="O56" i="22" s="1"/>
  <c r="O120" i="22" s="1"/>
  <c r="N56" i="22" a="1"/>
  <c r="N56" i="22" s="1"/>
  <c r="N120" i="22" s="1"/>
  <c r="M56" i="22" a="1"/>
  <c r="M56" i="22" s="1"/>
  <c r="M120" i="22" s="1"/>
  <c r="L56" i="22" a="1"/>
  <c r="L56" i="22" s="1"/>
  <c r="L120" i="22" s="1"/>
  <c r="K56" i="22" a="1"/>
  <c r="K56" i="22" s="1"/>
  <c r="K120" i="22" s="1"/>
  <c r="J56" i="22" a="1"/>
  <c r="J56" i="22" s="1"/>
  <c r="J120" i="22" s="1"/>
  <c r="I56" i="22" a="1"/>
  <c r="I56" i="22" s="1"/>
  <c r="I120" i="22" s="1"/>
  <c r="H56" i="22" a="1"/>
  <c r="H56" i="22" s="1"/>
  <c r="H120" i="22" s="1"/>
  <c r="G56" i="22" a="1"/>
  <c r="G56" i="22" s="1"/>
  <c r="G120" i="22" s="1"/>
  <c r="F56" i="22" a="1"/>
  <c r="F56" i="22" s="1"/>
  <c r="F120" i="22" s="1"/>
  <c r="E56" i="22" a="1"/>
  <c r="E56" i="22" s="1"/>
  <c r="E120" i="22" s="1"/>
  <c r="D56" i="22" a="1"/>
  <c r="D56" i="22" s="1"/>
  <c r="P55" i="22" a="1"/>
  <c r="P55" i="22" s="1"/>
  <c r="P119" i="22" s="1"/>
  <c r="O55" i="22" a="1"/>
  <c r="O55" i="22" s="1"/>
  <c r="O119" i="22" s="1"/>
  <c r="N55" i="22" a="1"/>
  <c r="N55" i="22" s="1"/>
  <c r="N119" i="22" s="1"/>
  <c r="M55" i="22" a="1"/>
  <c r="M55" i="22" s="1"/>
  <c r="M119" i="22" s="1"/>
  <c r="L55" i="22" a="1"/>
  <c r="L55" i="22" s="1"/>
  <c r="L119" i="22" s="1"/>
  <c r="K55" i="22" a="1"/>
  <c r="K55" i="22" s="1"/>
  <c r="K119" i="22" s="1"/>
  <c r="J55" i="22" a="1"/>
  <c r="J55" i="22" s="1"/>
  <c r="J119" i="22" s="1"/>
  <c r="I55" i="22" a="1"/>
  <c r="I55" i="22" s="1"/>
  <c r="I119" i="22" s="1"/>
  <c r="H55" i="22" a="1"/>
  <c r="H55" i="22" s="1"/>
  <c r="H119" i="22" s="1"/>
  <c r="G55" i="22" a="1"/>
  <c r="G55" i="22" s="1"/>
  <c r="G119" i="22" s="1"/>
  <c r="F55" i="22" a="1"/>
  <c r="F55" i="22" s="1"/>
  <c r="F119" i="22" s="1"/>
  <c r="E55" i="22" a="1"/>
  <c r="E55" i="22" s="1"/>
  <c r="E119" i="22" s="1"/>
  <c r="D55" i="22" a="1"/>
  <c r="D55" i="22" s="1"/>
  <c r="P54" i="22" a="1"/>
  <c r="P54" i="22" s="1"/>
  <c r="P118" i="22" s="1"/>
  <c r="O54" i="22" a="1"/>
  <c r="O54" i="22" s="1"/>
  <c r="O118" i="22" s="1"/>
  <c r="N54" i="22" a="1"/>
  <c r="N54" i="22" s="1"/>
  <c r="N118" i="22" s="1"/>
  <c r="M54" i="22" a="1"/>
  <c r="M54" i="22" s="1"/>
  <c r="M118" i="22" s="1"/>
  <c r="L54" i="22" a="1"/>
  <c r="L54" i="22" s="1"/>
  <c r="L118" i="22" s="1"/>
  <c r="K54" i="22" a="1"/>
  <c r="K54" i="22" s="1"/>
  <c r="K118" i="22" s="1"/>
  <c r="J54" i="22" a="1"/>
  <c r="J54" i="22" s="1"/>
  <c r="J118" i="22" s="1"/>
  <c r="I54" i="22" a="1"/>
  <c r="I54" i="22" s="1"/>
  <c r="I118" i="22" s="1"/>
  <c r="H54" i="22" a="1"/>
  <c r="H54" i="22" s="1"/>
  <c r="H118" i="22" s="1"/>
  <c r="G54" i="22" a="1"/>
  <c r="G54" i="22" s="1"/>
  <c r="G118" i="22" s="1"/>
  <c r="F54" i="22" a="1"/>
  <c r="F54" i="22" s="1"/>
  <c r="F118" i="22" s="1"/>
  <c r="E54" i="22" a="1"/>
  <c r="E54" i="22" s="1"/>
  <c r="E118" i="22" s="1"/>
  <c r="D54" i="22" a="1"/>
  <c r="D54" i="22" s="1"/>
  <c r="D52" i="22" a="1"/>
  <c r="D52" i="22" s="1"/>
  <c r="D51" i="22" a="1"/>
  <c r="D51" i="22" s="1"/>
  <c r="D50" i="22" a="1"/>
  <c r="D50" i="22" s="1"/>
  <c r="D49" i="22" a="1"/>
  <c r="D49" i="22" s="1"/>
  <c r="M46" i="22" a="1"/>
  <c r="M46" i="22" s="1"/>
  <c r="L46" i="22" a="1"/>
  <c r="L46" i="22" s="1"/>
  <c r="M117" i="22" s="1"/>
  <c r="K46" i="22" a="1"/>
  <c r="K46" i="22" s="1"/>
  <c r="J46" i="22" a="1"/>
  <c r="J46" i="22" s="1"/>
  <c r="J117" i="22" s="1"/>
  <c r="I46" i="22" a="1"/>
  <c r="I46" i="22" s="1"/>
  <c r="I117" i="22" s="1"/>
  <c r="H46" i="22" a="1"/>
  <c r="H46" i="22" s="1"/>
  <c r="H117" i="22" s="1"/>
  <c r="G46" i="22" a="1"/>
  <c r="G46" i="22" s="1"/>
  <c r="G117" i="22" s="1"/>
  <c r="F46" i="22" a="1"/>
  <c r="F46" i="22" s="1"/>
  <c r="F117" i="22" s="1"/>
  <c r="E46" i="22" a="1"/>
  <c r="E46" i="22" s="1"/>
  <c r="E117" i="22" s="1"/>
  <c r="D46" i="22" a="1"/>
  <c r="D46" i="22" s="1"/>
  <c r="M45" i="22" a="1"/>
  <c r="M45" i="22" s="1"/>
  <c r="L45" i="22" a="1"/>
  <c r="L45" i="22" s="1"/>
  <c r="M116" i="22" s="1"/>
  <c r="K45" i="22" a="1"/>
  <c r="K45" i="22" s="1"/>
  <c r="L116" i="22" s="1"/>
  <c r="J45" i="22" a="1"/>
  <c r="J45" i="22" s="1"/>
  <c r="J116" i="22" s="1"/>
  <c r="I45" i="22" a="1"/>
  <c r="I45" i="22" s="1"/>
  <c r="I116" i="22" s="1"/>
  <c r="H45" i="22" a="1"/>
  <c r="H45" i="22" s="1"/>
  <c r="H116" i="22" s="1"/>
  <c r="G45" i="22" a="1"/>
  <c r="G45" i="22" s="1"/>
  <c r="G116" i="22" s="1"/>
  <c r="F45" i="22" a="1"/>
  <c r="F45" i="22" s="1"/>
  <c r="F116" i="22" s="1"/>
  <c r="E45" i="22" a="1"/>
  <c r="E45" i="22" s="1"/>
  <c r="E116" i="22" s="1"/>
  <c r="D45" i="22" a="1"/>
  <c r="D45" i="22" s="1"/>
  <c r="M44" i="22" a="1"/>
  <c r="M44" i="22" s="1"/>
  <c r="L44" i="22" a="1"/>
  <c r="L44" i="22" s="1"/>
  <c r="M115" i="22" s="1"/>
  <c r="K44" i="22" a="1"/>
  <c r="K44" i="22" s="1"/>
  <c r="J44" i="22" a="1"/>
  <c r="J44" i="22" s="1"/>
  <c r="J115" i="22" s="1"/>
  <c r="I44" i="22" a="1"/>
  <c r="I44" i="22" s="1"/>
  <c r="I115" i="22" s="1"/>
  <c r="H44" i="22" a="1"/>
  <c r="H44" i="22" s="1"/>
  <c r="H115" i="22" s="1"/>
  <c r="G44" i="22" a="1"/>
  <c r="G44" i="22" s="1"/>
  <c r="G115" i="22" s="1"/>
  <c r="F44" i="22" a="1"/>
  <c r="F44" i="22" s="1"/>
  <c r="F115" i="22" s="1"/>
  <c r="E44" i="22" a="1"/>
  <c r="E44" i="22" s="1"/>
  <c r="E115" i="22" s="1"/>
  <c r="D44" i="22" a="1"/>
  <c r="D44" i="22" s="1"/>
  <c r="M43" i="22" a="1"/>
  <c r="M43" i="22" s="1"/>
  <c r="L43" i="22" a="1"/>
  <c r="L43" i="22" s="1"/>
  <c r="M114" i="22" s="1"/>
  <c r="K43" i="22" a="1"/>
  <c r="K43" i="22" s="1"/>
  <c r="J43" i="22" a="1"/>
  <c r="J43" i="22" s="1"/>
  <c r="J114" i="22" s="1"/>
  <c r="I43" i="22" a="1"/>
  <c r="I43" i="22" s="1"/>
  <c r="I114" i="22" s="1"/>
  <c r="H43" i="22" a="1"/>
  <c r="H43" i="22" s="1"/>
  <c r="H114" i="22" s="1"/>
  <c r="G43" i="22" a="1"/>
  <c r="G43" i="22" s="1"/>
  <c r="G114" i="22" s="1"/>
  <c r="F43" i="22" a="1"/>
  <c r="F43" i="22" s="1"/>
  <c r="F114" i="22" s="1"/>
  <c r="E43" i="22" a="1"/>
  <c r="E43" i="22" s="1"/>
  <c r="E114" i="22" s="1"/>
  <c r="D43" i="22" a="1"/>
  <c r="D43" i="22" s="1"/>
  <c r="M42" i="22" a="1"/>
  <c r="M42" i="22" s="1"/>
  <c r="L42" i="22" a="1"/>
  <c r="L42" i="22" s="1"/>
  <c r="M113" i="22" s="1"/>
  <c r="K42" i="22" a="1"/>
  <c r="K42" i="22" s="1"/>
  <c r="J42" i="22" a="1"/>
  <c r="J42" i="22" s="1"/>
  <c r="J113" i="22" s="1"/>
  <c r="I42" i="22" a="1"/>
  <c r="I42" i="22" s="1"/>
  <c r="I113" i="22" s="1"/>
  <c r="H42" i="22" a="1"/>
  <c r="H42" i="22" s="1"/>
  <c r="H113" i="22" s="1"/>
  <c r="G42" i="22" a="1"/>
  <c r="G42" i="22" s="1"/>
  <c r="G113" i="22" s="1"/>
  <c r="F42" i="22" a="1"/>
  <c r="F42" i="22" s="1"/>
  <c r="F113" i="22" s="1"/>
  <c r="E42" i="22" a="1"/>
  <c r="E42" i="22" s="1"/>
  <c r="E113" i="22" s="1"/>
  <c r="D42" i="22" a="1"/>
  <c r="D42" i="22" s="1"/>
  <c r="M41" i="22" a="1"/>
  <c r="M41" i="22" s="1"/>
  <c r="L41" i="22" a="1"/>
  <c r="L41" i="22" s="1"/>
  <c r="M112" i="22" s="1"/>
  <c r="K41" i="22" a="1"/>
  <c r="K41" i="22" s="1"/>
  <c r="J41" i="22" a="1"/>
  <c r="J41" i="22" s="1"/>
  <c r="J112" i="22" s="1"/>
  <c r="I41" i="22" a="1"/>
  <c r="I41" i="22" s="1"/>
  <c r="I112" i="22" s="1"/>
  <c r="H41" i="22" a="1"/>
  <c r="H41" i="22" s="1"/>
  <c r="H112" i="22" s="1"/>
  <c r="G41" i="22" a="1"/>
  <c r="G41" i="22" s="1"/>
  <c r="G112" i="22" s="1"/>
  <c r="F41" i="22" a="1"/>
  <c r="F41" i="22" s="1"/>
  <c r="F112" i="22" s="1"/>
  <c r="E41" i="22" a="1"/>
  <c r="E41" i="22" s="1"/>
  <c r="E112" i="22" s="1"/>
  <c r="D41" i="22" a="1"/>
  <c r="D41" i="22" s="1"/>
  <c r="M40" i="22" a="1"/>
  <c r="M40" i="22" s="1"/>
  <c r="L40" i="22" a="1"/>
  <c r="L40" i="22" s="1"/>
  <c r="M111" i="22" s="1"/>
  <c r="K40" i="22" a="1"/>
  <c r="K40" i="22" s="1"/>
  <c r="J40" i="22" a="1"/>
  <c r="J40" i="22" s="1"/>
  <c r="J111" i="22" s="1"/>
  <c r="I40" i="22" a="1"/>
  <c r="I40" i="22" s="1"/>
  <c r="I111" i="22" s="1"/>
  <c r="H40" i="22" a="1"/>
  <c r="H40" i="22" s="1"/>
  <c r="H111" i="22" s="1"/>
  <c r="G40" i="22" a="1"/>
  <c r="G40" i="22" s="1"/>
  <c r="G111" i="22" s="1"/>
  <c r="F40" i="22" a="1"/>
  <c r="F40" i="22" s="1"/>
  <c r="F111" i="22" s="1"/>
  <c r="E40" i="22" a="1"/>
  <c r="E40" i="22" s="1"/>
  <c r="E111" i="22" s="1"/>
  <c r="D40" i="22" a="1"/>
  <c r="D40" i="22" s="1"/>
  <c r="M39" i="22" a="1"/>
  <c r="M39" i="22" s="1"/>
  <c r="O110" i="22" s="1"/>
  <c r="L39" i="22" a="1"/>
  <c r="L39" i="22" s="1"/>
  <c r="M110" i="22" s="1"/>
  <c r="K39" i="22" a="1"/>
  <c r="K39" i="22" s="1"/>
  <c r="J39" i="22" a="1"/>
  <c r="J39" i="22" s="1"/>
  <c r="J110" i="22" s="1"/>
  <c r="I39" i="22" a="1"/>
  <c r="I39" i="22" s="1"/>
  <c r="I110" i="22" s="1"/>
  <c r="H39" i="22" a="1"/>
  <c r="H39" i="22" s="1"/>
  <c r="H110" i="22" s="1"/>
  <c r="G39" i="22" a="1"/>
  <c r="G39" i="22" s="1"/>
  <c r="G110" i="22" s="1"/>
  <c r="F39" i="22" a="1"/>
  <c r="F39" i="22" s="1"/>
  <c r="F110" i="22" s="1"/>
  <c r="E39" i="22" a="1"/>
  <c r="E39" i="22" s="1"/>
  <c r="E110" i="22" s="1"/>
  <c r="D39" i="22" a="1"/>
  <c r="D39" i="22" s="1"/>
  <c r="M38" i="22" a="1"/>
  <c r="M38" i="22" s="1"/>
  <c r="L38" i="22" a="1"/>
  <c r="L38" i="22" s="1"/>
  <c r="M109" i="22" s="1"/>
  <c r="K38" i="22" a="1"/>
  <c r="K38" i="22" s="1"/>
  <c r="L109" i="22" s="1"/>
  <c r="J38" i="22" a="1"/>
  <c r="J38" i="22" s="1"/>
  <c r="J109" i="22" s="1"/>
  <c r="I38" i="22" a="1"/>
  <c r="I38" i="22" s="1"/>
  <c r="I109" i="22" s="1"/>
  <c r="H38" i="22" a="1"/>
  <c r="H38" i="22" s="1"/>
  <c r="H109" i="22" s="1"/>
  <c r="G38" i="22" a="1"/>
  <c r="G38" i="22" s="1"/>
  <c r="G109" i="22" s="1"/>
  <c r="F38" i="22" a="1"/>
  <c r="F38" i="22" s="1"/>
  <c r="F109" i="22" s="1"/>
  <c r="E38" i="22" a="1"/>
  <c r="E38" i="22" s="1"/>
  <c r="E109" i="22" s="1"/>
  <c r="D38" i="22" a="1"/>
  <c r="D38" i="22" s="1"/>
  <c r="M37" i="22" a="1"/>
  <c r="M37" i="22" s="1"/>
  <c r="L37" i="22" a="1"/>
  <c r="L37" i="22" s="1"/>
  <c r="M108" i="22" s="1"/>
  <c r="K37" i="22" a="1"/>
  <c r="K37" i="22" s="1"/>
  <c r="J37" i="22" a="1"/>
  <c r="J37" i="22" s="1"/>
  <c r="J108" i="22" s="1"/>
  <c r="I37" i="22" a="1"/>
  <c r="I37" i="22" s="1"/>
  <c r="I108" i="22" s="1"/>
  <c r="H37" i="22" a="1"/>
  <c r="H37" i="22" s="1"/>
  <c r="H108" i="22" s="1"/>
  <c r="G37" i="22" a="1"/>
  <c r="G37" i="22" s="1"/>
  <c r="G108" i="22" s="1"/>
  <c r="F37" i="22" a="1"/>
  <c r="F37" i="22" s="1"/>
  <c r="F108" i="22" s="1"/>
  <c r="E37" i="22" a="1"/>
  <c r="E37" i="22" s="1"/>
  <c r="E108" i="22" s="1"/>
  <c r="D37" i="22" a="1"/>
  <c r="D37" i="22" s="1"/>
  <c r="M36" i="22" a="1"/>
  <c r="M36" i="22" s="1"/>
  <c r="L36" i="22" a="1"/>
  <c r="L36" i="22" s="1"/>
  <c r="M107" i="22" s="1"/>
  <c r="K36" i="22" a="1"/>
  <c r="K36" i="22" s="1"/>
  <c r="J36" i="22" a="1"/>
  <c r="J36" i="22" s="1"/>
  <c r="J107" i="22" s="1"/>
  <c r="I36" i="22" a="1"/>
  <c r="I36" i="22" s="1"/>
  <c r="I107" i="22" s="1"/>
  <c r="H36" i="22" a="1"/>
  <c r="H36" i="22" s="1"/>
  <c r="H107" i="22" s="1"/>
  <c r="G36" i="22" a="1"/>
  <c r="G36" i="22" s="1"/>
  <c r="G107" i="22" s="1"/>
  <c r="F36" i="22" a="1"/>
  <c r="F36" i="22" s="1"/>
  <c r="F107" i="22" s="1"/>
  <c r="E36" i="22" a="1"/>
  <c r="E36" i="22" s="1"/>
  <c r="E107" i="22" s="1"/>
  <c r="D36" i="22" a="1"/>
  <c r="D36" i="22" s="1"/>
  <c r="M35" i="22" a="1"/>
  <c r="M35" i="22" s="1"/>
  <c r="L35" i="22" a="1"/>
  <c r="L35" i="22" s="1"/>
  <c r="M106" i="22" s="1"/>
  <c r="K35" i="22" a="1"/>
  <c r="K35" i="22" s="1"/>
  <c r="J35" i="22" a="1"/>
  <c r="J35" i="22" s="1"/>
  <c r="J106" i="22" s="1"/>
  <c r="I35" i="22" a="1"/>
  <c r="I35" i="22" s="1"/>
  <c r="I106" i="22" s="1"/>
  <c r="H35" i="22" a="1"/>
  <c r="H35" i="22" s="1"/>
  <c r="H106" i="22" s="1"/>
  <c r="G35" i="22" a="1"/>
  <c r="G35" i="22" s="1"/>
  <c r="G106" i="22" s="1"/>
  <c r="F35" i="22" a="1"/>
  <c r="F35" i="22" s="1"/>
  <c r="E35" i="22" a="1"/>
  <c r="E35" i="22" s="1"/>
  <c r="E106" i="22" s="1"/>
  <c r="D35" i="22" a="1"/>
  <c r="D35" i="22" s="1"/>
  <c r="M34" i="22" a="1"/>
  <c r="M34" i="22" s="1"/>
  <c r="L34" i="22" a="1"/>
  <c r="L34" i="22" s="1"/>
  <c r="M105" i="22" s="1"/>
  <c r="K34" i="22" a="1"/>
  <c r="K34" i="22" s="1"/>
  <c r="J34" i="22" a="1"/>
  <c r="J34" i="22" s="1"/>
  <c r="J105" i="22" s="1"/>
  <c r="I34" i="22" a="1"/>
  <c r="I34" i="22" s="1"/>
  <c r="I105" i="22" s="1"/>
  <c r="H34" i="22" a="1"/>
  <c r="H34" i="22" s="1"/>
  <c r="H105" i="22" s="1"/>
  <c r="G34" i="22" a="1"/>
  <c r="G34" i="22" s="1"/>
  <c r="G105" i="22" s="1"/>
  <c r="F34" i="22" a="1"/>
  <c r="F34" i="22" s="1"/>
  <c r="E34" i="22" a="1"/>
  <c r="E34" i="22" s="1"/>
  <c r="D34" i="22" a="1"/>
  <c r="D34" i="22" s="1"/>
  <c r="M33" i="22" a="1"/>
  <c r="M33" i="22" s="1"/>
  <c r="L33" i="22" a="1"/>
  <c r="L33" i="22" s="1"/>
  <c r="M104" i="22" s="1"/>
  <c r="K33" i="22" a="1"/>
  <c r="K33" i="22" s="1"/>
  <c r="J33" i="22" a="1"/>
  <c r="J33" i="22" s="1"/>
  <c r="J104" i="22" s="1"/>
  <c r="I33" i="22" a="1"/>
  <c r="I33" i="22" s="1"/>
  <c r="I104" i="22" s="1"/>
  <c r="H33" i="22" a="1"/>
  <c r="H33" i="22" s="1"/>
  <c r="H104" i="22" s="1"/>
  <c r="G33" i="22" a="1"/>
  <c r="G33" i="22" s="1"/>
  <c r="G104" i="22" s="1"/>
  <c r="F33" i="22" a="1"/>
  <c r="F33" i="22" s="1"/>
  <c r="E33" i="22" a="1"/>
  <c r="E33" i="22" s="1"/>
  <c r="D33" i="22" a="1"/>
  <c r="D33" i="22" s="1"/>
  <c r="M32" i="22" a="1"/>
  <c r="M32" i="22" s="1"/>
  <c r="L32" i="22" a="1"/>
  <c r="L32" i="22" s="1"/>
  <c r="M103" i="22" s="1"/>
  <c r="K32" i="22" a="1"/>
  <c r="K32" i="22" s="1"/>
  <c r="J32" i="22" a="1"/>
  <c r="J32" i="22" s="1"/>
  <c r="J103" i="22" s="1"/>
  <c r="I32" i="22" a="1"/>
  <c r="I32" i="22" s="1"/>
  <c r="I103" i="22" s="1"/>
  <c r="H32" i="22" a="1"/>
  <c r="H32" i="22" s="1"/>
  <c r="H103" i="22" s="1"/>
  <c r="G32" i="22" a="1"/>
  <c r="G32" i="22" s="1"/>
  <c r="G103" i="22" s="1"/>
  <c r="F32" i="22" a="1"/>
  <c r="F32" i="22" s="1"/>
  <c r="E32" i="22" a="1"/>
  <c r="E32" i="22" s="1"/>
  <c r="D32" i="22" a="1"/>
  <c r="D32" i="22" s="1"/>
  <c r="M31" i="22" a="1"/>
  <c r="M31" i="22" s="1"/>
  <c r="L31" i="22" a="1"/>
  <c r="L31" i="22" s="1"/>
  <c r="M102" i="22" s="1"/>
  <c r="K31" i="22" a="1"/>
  <c r="K31" i="22" s="1"/>
  <c r="J31" i="22" a="1"/>
  <c r="J31" i="22" s="1"/>
  <c r="J102" i="22" s="1"/>
  <c r="I31" i="22" a="1"/>
  <c r="I31" i="22" s="1"/>
  <c r="I102" i="22" s="1"/>
  <c r="H31" i="22" a="1"/>
  <c r="H31" i="22" s="1"/>
  <c r="H102" i="22" s="1"/>
  <c r="G31" i="22" a="1"/>
  <c r="G31" i="22" s="1"/>
  <c r="G102" i="22" s="1"/>
  <c r="F31" i="22" a="1"/>
  <c r="F31" i="22" s="1"/>
  <c r="F98" i="22" s="1"/>
  <c r="E31" i="22" a="1"/>
  <c r="E31" i="22" s="1"/>
  <c r="D31" i="22" a="1"/>
  <c r="D31" i="22" s="1"/>
  <c r="M30" i="22" a="1"/>
  <c r="M30" i="22" s="1"/>
  <c r="L30" i="22" a="1"/>
  <c r="L30" i="22" s="1"/>
  <c r="M101" i="22" s="1"/>
  <c r="K30" i="22" a="1"/>
  <c r="K30" i="22" s="1"/>
  <c r="J30" i="22" a="1"/>
  <c r="J30" i="22" s="1"/>
  <c r="J101" i="22" s="1"/>
  <c r="I30" i="22" a="1"/>
  <c r="I30" i="22" s="1"/>
  <c r="I101" i="22" s="1"/>
  <c r="H30" i="22" a="1"/>
  <c r="H30" i="22" s="1"/>
  <c r="H101" i="22" s="1"/>
  <c r="G30" i="22" a="1"/>
  <c r="G30" i="22" s="1"/>
  <c r="G101" i="22" s="1"/>
  <c r="F30" i="22" a="1"/>
  <c r="F30" i="22" s="1"/>
  <c r="E30" i="22" a="1"/>
  <c r="E30" i="22" s="1"/>
  <c r="D30" i="22" a="1"/>
  <c r="D30" i="22" s="1"/>
  <c r="M29" i="22" a="1"/>
  <c r="M29" i="22" s="1"/>
  <c r="L29" i="22" a="1"/>
  <c r="L29" i="22" s="1"/>
  <c r="M100" i="22" s="1"/>
  <c r="K29" i="22" a="1"/>
  <c r="K29" i="22" s="1"/>
  <c r="J29" i="22" a="1"/>
  <c r="J29" i="22" s="1"/>
  <c r="J100" i="22" s="1"/>
  <c r="I29" i="22" a="1"/>
  <c r="I29" i="22" s="1"/>
  <c r="I100" i="22" s="1"/>
  <c r="H29" i="22" a="1"/>
  <c r="H29" i="22" s="1"/>
  <c r="H100" i="22" s="1"/>
  <c r="G29" i="22" a="1"/>
  <c r="G29" i="22" s="1"/>
  <c r="G100" i="22" s="1"/>
  <c r="F29" i="22" a="1"/>
  <c r="F29" i="22" s="1"/>
  <c r="E29" i="22" a="1"/>
  <c r="E29" i="22" s="1"/>
  <c r="D29" i="22" a="1"/>
  <c r="D29" i="22" s="1"/>
  <c r="M28" i="22" a="1"/>
  <c r="M28" i="22" s="1"/>
  <c r="L28" i="22" a="1"/>
  <c r="L28" i="22" s="1"/>
  <c r="M99" i="22" s="1"/>
  <c r="K28" i="22" a="1"/>
  <c r="K28" i="22" s="1"/>
  <c r="J28" i="22" a="1"/>
  <c r="J28" i="22" s="1"/>
  <c r="J99" i="22" s="1"/>
  <c r="I28" i="22" a="1"/>
  <c r="I28" i="22" s="1"/>
  <c r="I99" i="22" s="1"/>
  <c r="H28" i="22" a="1"/>
  <c r="H28" i="22" s="1"/>
  <c r="H99" i="22" s="1"/>
  <c r="G28" i="22" a="1"/>
  <c r="G28" i="22" s="1"/>
  <c r="G99" i="22" s="1"/>
  <c r="F28" i="22" a="1"/>
  <c r="F28" i="22" s="1"/>
  <c r="E28" i="22" a="1"/>
  <c r="E28" i="22" s="1"/>
  <c r="D28" i="22" a="1"/>
  <c r="D28" i="22" s="1"/>
  <c r="M27" i="22" a="1"/>
  <c r="M27" i="22" s="1"/>
  <c r="L27" i="22" a="1"/>
  <c r="L27" i="22" s="1"/>
  <c r="M98" i="22" s="1"/>
  <c r="K27" i="22" a="1"/>
  <c r="K27" i="22" s="1"/>
  <c r="J27" i="22" a="1"/>
  <c r="J27" i="22" s="1"/>
  <c r="J98" i="22" s="1"/>
  <c r="I27" i="22" a="1"/>
  <c r="I27" i="22" s="1"/>
  <c r="I98" i="22" s="1"/>
  <c r="H27" i="22" a="1"/>
  <c r="H27" i="22" s="1"/>
  <c r="H98" i="22" s="1"/>
  <c r="G27" i="22" a="1"/>
  <c r="G27" i="22" s="1"/>
  <c r="G98" i="22" s="1"/>
  <c r="F27" i="22" a="1"/>
  <c r="F27" i="22" s="1"/>
  <c r="F94" i="22" s="1"/>
  <c r="E27" i="22" a="1"/>
  <c r="E27" i="22" s="1"/>
  <c r="D27" i="22" a="1"/>
  <c r="D27" i="22" s="1"/>
  <c r="M26" i="22" a="1"/>
  <c r="M26" i="22" s="1"/>
  <c r="L26" i="22" a="1"/>
  <c r="L26" i="22" s="1"/>
  <c r="M97" i="22" s="1"/>
  <c r="K26" i="22" a="1"/>
  <c r="K26" i="22" s="1"/>
  <c r="J26" i="22" a="1"/>
  <c r="J26" i="22" s="1"/>
  <c r="J97" i="22" s="1"/>
  <c r="I26" i="22" a="1"/>
  <c r="I26" i="22" s="1"/>
  <c r="I97" i="22" s="1"/>
  <c r="H26" i="22" a="1"/>
  <c r="H26" i="22" s="1"/>
  <c r="H97" i="22" s="1"/>
  <c r="G26" i="22" a="1"/>
  <c r="G26" i="22" s="1"/>
  <c r="G97" i="22" s="1"/>
  <c r="F26" i="22" a="1"/>
  <c r="F26" i="22" s="1"/>
  <c r="E26" i="22" a="1"/>
  <c r="E26" i="22" s="1"/>
  <c r="D26" i="22" a="1"/>
  <c r="D26" i="22" s="1"/>
  <c r="M25" i="22" a="1"/>
  <c r="M25" i="22" s="1"/>
  <c r="L25" i="22" a="1"/>
  <c r="L25" i="22" s="1"/>
  <c r="M96" i="22" s="1"/>
  <c r="K25" i="22" a="1"/>
  <c r="K25" i="22" s="1"/>
  <c r="J25" i="22" a="1"/>
  <c r="J25" i="22" s="1"/>
  <c r="J96" i="22" s="1"/>
  <c r="I25" i="22" a="1"/>
  <c r="I25" i="22" s="1"/>
  <c r="I96" i="22" s="1"/>
  <c r="H25" i="22" a="1"/>
  <c r="H25" i="22" s="1"/>
  <c r="H96" i="22" s="1"/>
  <c r="G25" i="22" a="1"/>
  <c r="G25" i="22" s="1"/>
  <c r="G96" i="22" s="1"/>
  <c r="F25" i="22" a="1"/>
  <c r="F25" i="22" s="1"/>
  <c r="E25" i="22" a="1"/>
  <c r="E25" i="22" s="1"/>
  <c r="D25" i="22" a="1"/>
  <c r="D25" i="22" s="1"/>
  <c r="M24" i="22" a="1"/>
  <c r="M24" i="22" s="1"/>
  <c r="L24" i="22" a="1"/>
  <c r="L24" i="22" s="1"/>
  <c r="M95" i="22" s="1"/>
  <c r="K24" i="22" a="1"/>
  <c r="K24" i="22" s="1"/>
  <c r="J24" i="22" a="1"/>
  <c r="J24" i="22" s="1"/>
  <c r="J95" i="22" s="1"/>
  <c r="I24" i="22" a="1"/>
  <c r="I24" i="22" s="1"/>
  <c r="I95" i="22" s="1"/>
  <c r="H24" i="22" a="1"/>
  <c r="H24" i="22" s="1"/>
  <c r="H95" i="22" s="1"/>
  <c r="G24" i="22" a="1"/>
  <c r="G24" i="22" s="1"/>
  <c r="G95" i="22" s="1"/>
  <c r="F24" i="22" a="1"/>
  <c r="F24" i="22" s="1"/>
  <c r="E24" i="22" a="1"/>
  <c r="E24" i="22" s="1"/>
  <c r="D24" i="22" a="1"/>
  <c r="D24" i="22" s="1"/>
  <c r="M23" i="22" a="1"/>
  <c r="M23" i="22" s="1"/>
  <c r="L23" i="22" a="1"/>
  <c r="L23" i="22" s="1"/>
  <c r="M94" i="22" s="1"/>
  <c r="K23" i="22" a="1"/>
  <c r="K23" i="22" s="1"/>
  <c r="J23" i="22" a="1"/>
  <c r="J23" i="22" s="1"/>
  <c r="J94" i="22" s="1"/>
  <c r="I23" i="22" a="1"/>
  <c r="I23" i="22" s="1"/>
  <c r="I94" i="22" s="1"/>
  <c r="H23" i="22" a="1"/>
  <c r="H23" i="22" s="1"/>
  <c r="H94" i="22" s="1"/>
  <c r="G23" i="22" a="1"/>
  <c r="G23" i="22" s="1"/>
  <c r="G94" i="22" s="1"/>
  <c r="F23" i="22" a="1"/>
  <c r="F23" i="22" s="1"/>
  <c r="F90" i="22" s="1"/>
  <c r="E23" i="22" a="1"/>
  <c r="E23" i="22" s="1"/>
  <c r="D23" i="22" a="1"/>
  <c r="D23" i="22" s="1"/>
  <c r="M22" i="22" a="1"/>
  <c r="M22" i="22" s="1"/>
  <c r="L22" i="22" a="1"/>
  <c r="L22" i="22" s="1"/>
  <c r="K22" i="22" a="1"/>
  <c r="K22" i="22" s="1"/>
  <c r="J22" i="22" a="1"/>
  <c r="J22" i="22" s="1"/>
  <c r="I22" i="22" a="1"/>
  <c r="I22" i="22" s="1"/>
  <c r="H22" i="22" a="1"/>
  <c r="H22" i="22" s="1"/>
  <c r="G22" i="22" a="1"/>
  <c r="G22" i="22" s="1"/>
  <c r="F22" i="22" a="1"/>
  <c r="F22" i="22" s="1"/>
  <c r="E22" i="22" a="1"/>
  <c r="E22" i="22" s="1"/>
  <c r="D22" i="22" a="1"/>
  <c r="D22" i="22" s="1"/>
  <c r="M21" i="22" a="1"/>
  <c r="M21" i="22" s="1"/>
  <c r="L21" i="22" a="1"/>
  <c r="L21" i="22" s="1"/>
  <c r="K21" i="22" a="1"/>
  <c r="K21" i="22" s="1"/>
  <c r="J21" i="22" a="1"/>
  <c r="J21" i="22" s="1"/>
  <c r="I21" i="22" a="1"/>
  <c r="I21" i="22" s="1"/>
  <c r="H21" i="22" a="1"/>
  <c r="H21" i="22" s="1"/>
  <c r="G21" i="22" a="1"/>
  <c r="G21" i="22" s="1"/>
  <c r="F21" i="22" a="1"/>
  <c r="F21" i="22" s="1"/>
  <c r="E21" i="22" a="1"/>
  <c r="E21" i="22" s="1"/>
  <c r="D21" i="22" a="1"/>
  <c r="D21" i="22" s="1"/>
  <c r="M20" i="22" a="1"/>
  <c r="M20" i="22" s="1"/>
  <c r="L20" i="22" a="1"/>
  <c r="L20" i="22" s="1"/>
  <c r="K20" i="22" a="1"/>
  <c r="K20" i="22" s="1"/>
  <c r="J20" i="22" a="1"/>
  <c r="J20" i="22" s="1"/>
  <c r="I20" i="22" a="1"/>
  <c r="I20" i="22" s="1"/>
  <c r="H20" i="22" a="1"/>
  <c r="H20" i="22" s="1"/>
  <c r="G20" i="22" a="1"/>
  <c r="G20" i="22" s="1"/>
  <c r="F20" i="22" a="1"/>
  <c r="F20" i="22" s="1"/>
  <c r="E20" i="22" a="1"/>
  <c r="E20" i="22" s="1"/>
  <c r="D20" i="22" a="1"/>
  <c r="D20" i="22" s="1"/>
  <c r="M19" i="22" a="1"/>
  <c r="M19" i="22" s="1"/>
  <c r="L19" i="22" a="1"/>
  <c r="L19" i="22" s="1"/>
  <c r="K19" i="22" a="1"/>
  <c r="K19" i="22" s="1"/>
  <c r="J19" i="22" a="1"/>
  <c r="J19" i="22" s="1"/>
  <c r="I19" i="22" a="1"/>
  <c r="I19" i="22" s="1"/>
  <c r="H19" i="22" a="1"/>
  <c r="H19" i="22" s="1"/>
  <c r="G19" i="22" a="1"/>
  <c r="G19" i="22" s="1"/>
  <c r="F19" i="22" a="1"/>
  <c r="F19" i="22" s="1"/>
  <c r="F86" i="22" s="1"/>
  <c r="E19" i="22" a="1"/>
  <c r="E19" i="22" s="1"/>
  <c r="D19" i="22" a="1"/>
  <c r="D19" i="22" s="1"/>
  <c r="D17" i="22" a="1"/>
  <c r="D17" i="22" s="1"/>
  <c r="D16" i="22" a="1"/>
  <c r="D16" i="22" s="1"/>
  <c r="D15" i="22" a="1"/>
  <c r="D15" i="22" s="1"/>
  <c r="D14" i="22" a="1"/>
  <c r="D14" i="22" s="1"/>
  <c r="F42" i="19" l="1" a="1"/>
  <c r="F61" i="19"/>
  <c r="M368" i="22"/>
  <c r="N368" i="22"/>
  <c r="L362" i="22"/>
  <c r="I368" i="22"/>
  <c r="L369" i="22"/>
  <c r="J364" i="22"/>
  <c r="N367" i="22"/>
  <c r="I87" i="22"/>
  <c r="I91" i="22"/>
  <c r="P88" i="22"/>
  <c r="O88" i="22"/>
  <c r="N88" i="22"/>
  <c r="P92" i="22"/>
  <c r="O92" i="22"/>
  <c r="N92" i="22"/>
  <c r="K95" i="22"/>
  <c r="L95" i="22"/>
  <c r="L102" i="22"/>
  <c r="K102" i="22"/>
  <c r="L104" i="22"/>
  <c r="K104" i="22"/>
  <c r="J87" i="22"/>
  <c r="J91" i="22"/>
  <c r="L101" i="22"/>
  <c r="K101" i="22"/>
  <c r="L111" i="22"/>
  <c r="K111" i="22"/>
  <c r="G90" i="22"/>
  <c r="G86" i="22"/>
  <c r="K87" i="22"/>
  <c r="L91" i="22"/>
  <c r="K91" i="22"/>
  <c r="L87" i="22"/>
  <c r="P95" i="22"/>
  <c r="O95" i="22"/>
  <c r="N95" i="22"/>
  <c r="K100" i="22"/>
  <c r="L100" i="22"/>
  <c r="P102" i="22"/>
  <c r="O102" i="22"/>
  <c r="N102" i="22"/>
  <c r="P104" i="22"/>
  <c r="O104" i="22"/>
  <c r="N104" i="22"/>
  <c r="M91" i="22"/>
  <c r="M87" i="22"/>
  <c r="P105" i="22"/>
  <c r="O105" i="22"/>
  <c r="N105" i="22"/>
  <c r="L107" i="22"/>
  <c r="K107" i="22"/>
  <c r="G89" i="22"/>
  <c r="G93" i="22"/>
  <c r="L94" i="22"/>
  <c r="K94" i="22"/>
  <c r="L98" i="22"/>
  <c r="K98" i="22"/>
  <c r="O101" i="22"/>
  <c r="N101" i="22"/>
  <c r="P101" i="22"/>
  <c r="N111" i="22"/>
  <c r="P111" i="22"/>
  <c r="O111" i="22"/>
  <c r="K113" i="22"/>
  <c r="L113" i="22"/>
  <c r="J90" i="22"/>
  <c r="J86" i="22"/>
  <c r="H93" i="22"/>
  <c r="H89" i="22"/>
  <c r="M86" i="22"/>
  <c r="M90" i="22"/>
  <c r="O90" i="22"/>
  <c r="N86" i="22"/>
  <c r="N90" i="22"/>
  <c r="P86" i="22"/>
  <c r="O86" i="22"/>
  <c r="P90" i="22"/>
  <c r="G88" i="22"/>
  <c r="G92" i="22"/>
  <c r="L89" i="22"/>
  <c r="L93" i="22"/>
  <c r="K89" i="22"/>
  <c r="K93" i="22"/>
  <c r="P114" i="22"/>
  <c r="O114" i="22"/>
  <c r="N114" i="22"/>
  <c r="N116" i="22"/>
  <c r="O116" i="22"/>
  <c r="P116" i="22"/>
  <c r="P117" i="22"/>
  <c r="N117" i="22"/>
  <c r="O117" i="22"/>
  <c r="P99" i="22"/>
  <c r="O99" i="22"/>
  <c r="N99" i="22"/>
  <c r="P108" i="22"/>
  <c r="O108" i="22"/>
  <c r="N108" i="22"/>
  <c r="I93" i="22"/>
  <c r="I89" i="22"/>
  <c r="P98" i="22"/>
  <c r="O98" i="22"/>
  <c r="N98" i="22"/>
  <c r="M93" i="22"/>
  <c r="M89" i="22"/>
  <c r="N97" i="22"/>
  <c r="P97" i="22"/>
  <c r="O97" i="22"/>
  <c r="I92" i="22"/>
  <c r="I88" i="22"/>
  <c r="P93" i="22"/>
  <c r="O93" i="22"/>
  <c r="N93" i="22"/>
  <c r="P89" i="22"/>
  <c r="O89" i="22"/>
  <c r="N89" i="22"/>
  <c r="L96" i="22"/>
  <c r="K96" i="22"/>
  <c r="H90" i="22"/>
  <c r="H86" i="22"/>
  <c r="I90" i="22"/>
  <c r="I86" i="22"/>
  <c r="P91" i="22"/>
  <c r="O91" i="22"/>
  <c r="N91" i="22"/>
  <c r="P87" i="22"/>
  <c r="O87" i="22"/>
  <c r="N87" i="22"/>
  <c r="L90" i="22"/>
  <c r="K90" i="22"/>
  <c r="L86" i="22"/>
  <c r="K86" i="22"/>
  <c r="P94" i="22"/>
  <c r="O94" i="22"/>
  <c r="N94" i="22"/>
  <c r="P113" i="22"/>
  <c r="O113" i="22"/>
  <c r="N113" i="22"/>
  <c r="L97" i="22"/>
  <c r="K97" i="22"/>
  <c r="J92" i="22"/>
  <c r="J88" i="22"/>
  <c r="G87" i="22"/>
  <c r="G91" i="22"/>
  <c r="L88" i="22"/>
  <c r="K88" i="22"/>
  <c r="K92" i="22"/>
  <c r="L92" i="22"/>
  <c r="P96" i="22"/>
  <c r="O96" i="22"/>
  <c r="N96" i="22"/>
  <c r="J93" i="22"/>
  <c r="J89" i="22"/>
  <c r="H88" i="22"/>
  <c r="H92" i="22"/>
  <c r="H87" i="22"/>
  <c r="H91" i="22"/>
  <c r="M88" i="22"/>
  <c r="M92" i="22"/>
  <c r="K109" i="22"/>
  <c r="H227" i="22"/>
  <c r="H223" i="22"/>
  <c r="H224" i="22"/>
  <c r="H228" i="22"/>
  <c r="L233" i="22"/>
  <c r="K233" i="22"/>
  <c r="J229" i="22"/>
  <c r="J225" i="22"/>
  <c r="J224" i="22"/>
  <c r="J228" i="22"/>
  <c r="L225" i="22"/>
  <c r="K225" i="22"/>
  <c r="K229" i="22"/>
  <c r="L229" i="22"/>
  <c r="P231" i="22"/>
  <c r="O231" i="22"/>
  <c r="N231" i="22"/>
  <c r="P234" i="22"/>
  <c r="O234" i="22"/>
  <c r="N234" i="22"/>
  <c r="L105" i="22"/>
  <c r="K105" i="22"/>
  <c r="P109" i="22"/>
  <c r="O109" i="22"/>
  <c r="N109" i="22"/>
  <c r="L112" i="22"/>
  <c r="K112" i="22"/>
  <c r="L115" i="22"/>
  <c r="K115" i="22"/>
  <c r="J227" i="22"/>
  <c r="J223" i="22"/>
  <c r="M225" i="22"/>
  <c r="M229" i="22"/>
  <c r="P232" i="22"/>
  <c r="O232" i="22"/>
  <c r="N232" i="22"/>
  <c r="M228" i="22"/>
  <c r="M224" i="22"/>
  <c r="K116" i="22"/>
  <c r="K227" i="22"/>
  <c r="L223" i="22"/>
  <c r="K223" i="22"/>
  <c r="L227" i="22"/>
  <c r="P228" i="22"/>
  <c r="O228" i="22"/>
  <c r="N228" i="22"/>
  <c r="P224" i="22"/>
  <c r="O224" i="22"/>
  <c r="N224" i="22"/>
  <c r="P115" i="22"/>
  <c r="O115" i="22"/>
  <c r="N115" i="22"/>
  <c r="L108" i="22"/>
  <c r="K108" i="22"/>
  <c r="P112" i="22"/>
  <c r="O112" i="22"/>
  <c r="N112" i="22"/>
  <c r="P100" i="22"/>
  <c r="O100" i="22"/>
  <c r="N100" i="22"/>
  <c r="K103" i="22"/>
  <c r="L103" i="22"/>
  <c r="O107" i="22"/>
  <c r="N107" i="22"/>
  <c r="P107" i="22"/>
  <c r="L110" i="22"/>
  <c r="K110" i="22"/>
  <c r="G230" i="22"/>
  <c r="G226" i="22"/>
  <c r="O238" i="22"/>
  <c r="N238" i="22"/>
  <c r="P238" i="22"/>
  <c r="K244" i="22"/>
  <c r="L244" i="22"/>
  <c r="L99" i="22"/>
  <c r="K99" i="22"/>
  <c r="P103" i="22"/>
  <c r="O103" i="22"/>
  <c r="N103" i="22"/>
  <c r="K106" i="22"/>
  <c r="L106" i="22"/>
  <c r="P110" i="22"/>
  <c r="N110" i="22"/>
  <c r="H230" i="22"/>
  <c r="H226" i="22"/>
  <c r="O240" i="22"/>
  <c r="N240" i="22"/>
  <c r="P240" i="22"/>
  <c r="F228" i="22"/>
  <c r="F224" i="22"/>
  <c r="L114" i="22"/>
  <c r="K114" i="22"/>
  <c r="L117" i="22"/>
  <c r="K117" i="22"/>
  <c r="H229" i="22"/>
  <c r="H225" i="22"/>
  <c r="F106" i="22"/>
  <c r="F102" i="22"/>
  <c r="J8" i="48" s="1" a="1"/>
  <c r="J8" i="48" s="1"/>
  <c r="P106" i="22"/>
  <c r="O106" i="22"/>
  <c r="N106" i="22"/>
  <c r="G227" i="22"/>
  <c r="G223" i="22"/>
  <c r="L230" i="22"/>
  <c r="K230" i="22"/>
  <c r="L226" i="22"/>
  <c r="K226" i="22"/>
  <c r="I224" i="22"/>
  <c r="I228" i="22"/>
  <c r="G225" i="22"/>
  <c r="G229" i="22"/>
  <c r="F230" i="22"/>
  <c r="F226" i="22"/>
  <c r="P236" i="22"/>
  <c r="O236" i="22"/>
  <c r="N236" i="22"/>
  <c r="L232" i="22"/>
  <c r="K232" i="22"/>
  <c r="P237" i="22"/>
  <c r="O237" i="22"/>
  <c r="N237" i="22"/>
  <c r="L238" i="22"/>
  <c r="K238" i="22"/>
  <c r="M223" i="22"/>
  <c r="M227" i="22"/>
  <c r="P227" i="22"/>
  <c r="P223" i="22"/>
  <c r="O223" i="22"/>
  <c r="N223" i="22"/>
  <c r="O227" i="22"/>
  <c r="N227" i="22"/>
  <c r="L228" i="22"/>
  <c r="K228" i="22"/>
  <c r="L224" i="22"/>
  <c r="K224" i="22"/>
  <c r="I229" i="22"/>
  <c r="I225" i="22"/>
  <c r="L239" i="22"/>
  <c r="K239" i="22"/>
  <c r="L240" i="22"/>
  <c r="K240" i="22"/>
  <c r="F223" i="22"/>
  <c r="F227" i="22"/>
  <c r="I230" i="22"/>
  <c r="I226" i="22"/>
  <c r="P239" i="22"/>
  <c r="O239" i="22"/>
  <c r="N239" i="22"/>
  <c r="L241" i="22"/>
  <c r="K241" i="22"/>
  <c r="J230" i="22"/>
  <c r="J226" i="22"/>
  <c r="L242" i="22"/>
  <c r="K242" i="22"/>
  <c r="L245" i="22"/>
  <c r="K245" i="22"/>
  <c r="K246" i="22"/>
  <c r="L246" i="22"/>
  <c r="L247" i="22"/>
  <c r="K247" i="22"/>
  <c r="L249" i="22"/>
  <c r="K249" i="22"/>
  <c r="L250" i="22"/>
  <c r="K250" i="22"/>
  <c r="L252" i="22"/>
  <c r="K252" i="22"/>
  <c r="P233" i="22"/>
  <c r="O233" i="22"/>
  <c r="N233" i="22"/>
  <c r="L235" i="22"/>
  <c r="K235" i="22"/>
  <c r="L243" i="22"/>
  <c r="K243" i="22"/>
  <c r="L248" i="22"/>
  <c r="K248" i="22"/>
  <c r="L254" i="22"/>
  <c r="K254" i="22"/>
  <c r="P241" i="22"/>
  <c r="O241" i="22"/>
  <c r="N241" i="22"/>
  <c r="P225" i="22"/>
  <c r="O225" i="22"/>
  <c r="N225" i="22"/>
  <c r="P229" i="22"/>
  <c r="O229" i="22"/>
  <c r="N229" i="22"/>
  <c r="P242" i="22"/>
  <c r="O242" i="22"/>
  <c r="N242" i="22"/>
  <c r="P245" i="22"/>
  <c r="O245" i="22"/>
  <c r="N245" i="22"/>
  <c r="P248" i="22"/>
  <c r="O248" i="22"/>
  <c r="N248" i="22"/>
  <c r="P251" i="22"/>
  <c r="O251" i="22"/>
  <c r="N251" i="22"/>
  <c r="O252" i="22"/>
  <c r="N252" i="22"/>
  <c r="P252" i="22"/>
  <c r="I227" i="22"/>
  <c r="I223" i="22"/>
  <c r="G228" i="22"/>
  <c r="G224" i="22"/>
  <c r="M230" i="22"/>
  <c r="M226" i="22"/>
  <c r="N235" i="22"/>
  <c r="P235" i="22"/>
  <c r="O235" i="22"/>
  <c r="L236" i="22"/>
  <c r="K236" i="22"/>
  <c r="K237" i="22"/>
  <c r="L237" i="22"/>
  <c r="O243" i="22"/>
  <c r="N243" i="22"/>
  <c r="P243" i="22"/>
  <c r="F229" i="22"/>
  <c r="F225" i="22"/>
  <c r="O226" i="22"/>
  <c r="N226" i="22"/>
  <c r="O230" i="22"/>
  <c r="N230" i="22"/>
  <c r="P226" i="22"/>
  <c r="P230" i="22"/>
  <c r="P244" i="22"/>
  <c r="O244" i="22"/>
  <c r="N244" i="22"/>
  <c r="P247" i="22"/>
  <c r="O247" i="22"/>
  <c r="N247" i="22"/>
  <c r="K251" i="22"/>
  <c r="L251" i="22"/>
  <c r="P254" i="22"/>
  <c r="O254" i="22"/>
  <c r="N254" i="22"/>
  <c r="L231" i="22"/>
  <c r="K231" i="22"/>
  <c r="K234" i="22"/>
  <c r="L234" i="22"/>
  <c r="O246" i="22"/>
  <c r="N246" i="22"/>
  <c r="P246" i="22"/>
  <c r="P249" i="22"/>
  <c r="N249" i="22"/>
  <c r="O249" i="22"/>
  <c r="L253" i="22"/>
  <c r="K253" i="22"/>
  <c r="P250" i="22"/>
  <c r="O250" i="22"/>
  <c r="N250" i="22"/>
  <c r="O253" i="22"/>
  <c r="N253" i="22"/>
  <c r="P253" i="22"/>
  <c r="I369" i="22"/>
  <c r="J369" i="22"/>
  <c r="M366" i="22"/>
  <c r="N366" i="22"/>
  <c r="N362" i="22"/>
  <c r="L364" i="22"/>
  <c r="J366" i="22"/>
  <c r="N364" i="22"/>
  <c r="L368" i="22"/>
  <c r="J363" i="22"/>
  <c r="L363" i="22"/>
  <c r="I365" i="22"/>
  <c r="M363" i="22"/>
  <c r="L365" i="22"/>
  <c r="J367" i="22"/>
  <c r="N365" i="22"/>
  <c r="L367" i="22"/>
  <c r="J362" i="22"/>
  <c r="N369" i="22"/>
  <c r="F23" i="19" a="1"/>
  <c r="F23" i="19" s="1"/>
  <c r="E23" i="19" a="1"/>
  <c r="D23" i="19" a="1"/>
  <c r="D23" i="19" s="1"/>
  <c r="J7" i="48" l="1" a="1"/>
  <c r="J7" i="48" s="1"/>
  <c r="H23" i="19" s="1" a="1"/>
  <c r="J148" i="22"/>
  <c r="I149" i="22"/>
  <c r="F42" i="19"/>
  <c r="E23" i="19"/>
  <c r="M149" i="22"/>
  <c r="I146" i="22"/>
  <c r="G146" i="22"/>
  <c r="I148" i="22"/>
  <c r="G148" i="22"/>
  <c r="I147" i="22"/>
  <c r="K146" i="22"/>
  <c r="L146" i="22"/>
  <c r="G149" i="22"/>
  <c r="J147" i="22"/>
  <c r="O146" i="22"/>
  <c r="M147" i="22"/>
  <c r="L148" i="22"/>
  <c r="P146" i="22"/>
  <c r="L147" i="22"/>
  <c r="O149" i="22"/>
  <c r="H147" i="22"/>
  <c r="P149" i="22"/>
  <c r="O147" i="22"/>
  <c r="M148" i="22"/>
  <c r="H148" i="22"/>
  <c r="P147" i="22"/>
  <c r="M146" i="22"/>
  <c r="K148" i="22"/>
  <c r="J149" i="22"/>
  <c r="H149" i="22"/>
  <c r="G147" i="22"/>
  <c r="N146" i="22"/>
  <c r="N147" i="22"/>
  <c r="K147" i="22"/>
  <c r="K149" i="22"/>
  <c r="N148" i="22"/>
  <c r="N149" i="22"/>
  <c r="J146" i="22"/>
  <c r="O148" i="22"/>
  <c r="L149" i="22"/>
  <c r="P148" i="22"/>
  <c r="H146" i="22"/>
  <c r="H23" i="19" l="1"/>
  <c r="E382" i="19" l="1" a="1"/>
  <c r="E382" i="19" s="1"/>
  <c r="D382" i="19" a="1"/>
  <c r="D382" i="19" s="1"/>
  <c r="D120" i="19" a="1"/>
  <c r="D120"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M157" i="20"/>
  <c r="P156" i="20"/>
  <c r="M155" i="20"/>
  <c r="L157" i="20"/>
  <c r="N156" i="20" s="1"/>
  <c r="L155" i="20"/>
  <c r="N154" i="20" s="1"/>
  <c r="O156" i="20"/>
  <c r="Q155"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D12" i="55" l="1" a="1"/>
  <c r="D12" i="55" s="1"/>
  <c r="D7" i="55" a="1"/>
  <c r="D7" i="55" s="1"/>
  <c r="D177" i="19" s="1"/>
  <c r="F177" i="19" s="1" a="1"/>
  <c r="F177" i="19" s="1"/>
  <c r="G177" i="19" s="1" a="1"/>
  <c r="G177" i="19" s="1"/>
  <c r="F382" i="19" a="1"/>
  <c r="J329" i="19" l="1" a="1"/>
  <c r="J329" i="19" s="1"/>
  <c r="F382" i="19"/>
  <c r="J382" i="19" s="1" a="1"/>
  <c r="J382" i="19" s="1"/>
  <c r="D178" i="19"/>
  <c r="F178" i="19" s="1" a="1"/>
  <c r="F178" i="19" s="1"/>
  <c r="G178" i="19" s="1" a="1"/>
  <c r="G178" i="19" s="1"/>
  <c r="D179" i="19"/>
  <c r="F179" i="19" s="1" a="1"/>
  <c r="F179" i="19" s="1"/>
  <c r="G179" i="19" s="1" a="1"/>
  <c r="G179" i="19" s="1"/>
  <c r="D137" i="19"/>
  <c r="F137" i="19" s="1" a="1"/>
  <c r="F137" i="19" s="1"/>
  <c r="G137" i="19" s="1" a="1"/>
  <c r="G137" i="19" s="1"/>
  <c r="D140" i="19"/>
  <c r="F140" i="19" s="1" a="1"/>
  <c r="F140" i="19" s="1"/>
  <c r="D139" i="19"/>
  <c r="F139" i="19" s="1" a="1"/>
  <c r="F139" i="19" s="1"/>
  <c r="D138" i="19"/>
  <c r="F138" i="19" s="1" a="1"/>
  <c r="F138" i="19" s="1"/>
  <c r="G138" i="19" s="1" a="1"/>
  <c r="G138" i="19" s="1"/>
  <c r="J322" i="19" l="1" a="1"/>
  <c r="J322" i="19" s="1"/>
  <c r="J327" i="19" a="1"/>
  <c r="J327" i="19" s="1"/>
  <c r="J321" i="19" a="1"/>
  <c r="J321" i="19" s="1"/>
  <c r="J326" i="19" a="1"/>
  <c r="J326" i="19" s="1"/>
  <c r="J323" i="19" a="1"/>
  <c r="J323" i="19" s="1"/>
  <c r="I140" i="19" a="1"/>
  <c r="I140" i="19" s="1"/>
  <c r="G140" i="19" a="1"/>
  <c r="G140" i="19" s="1"/>
  <c r="I139" i="19" a="1"/>
  <c r="I139" i="19" s="1"/>
  <c r="G139" i="19" a="1"/>
  <c r="G139" i="19" s="1"/>
  <c r="J320" i="19" a="1"/>
  <c r="J320" i="19" s="1"/>
  <c r="J325" i="19" a="1"/>
  <c r="J325" i="19" s="1"/>
  <c r="J328" i="19" a="1"/>
  <c r="J328" i="19" s="1"/>
  <c r="J324" i="19" a="1"/>
  <c r="J324" i="19" s="1"/>
  <c r="E181" i="19"/>
  <c r="E16" i="41" s="1"/>
  <c r="E463" i="19" a="1"/>
  <c r="E463" i="19" s="1"/>
  <c r="D463" i="19" a="1"/>
  <c r="D463" i="19" s="1"/>
  <c r="F463"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F202" i="20" a="1"/>
  <c r="F202" i="20" s="1"/>
  <c r="G202" i="20" a="1"/>
  <c r="G202" i="20" s="1"/>
  <c r="H202" i="20" a="1"/>
  <c r="H202" i="20" s="1"/>
  <c r="I202" i="20" a="1"/>
  <c r="I202" i="20" s="1"/>
  <c r="D203" i="20" a="1"/>
  <c r="D203" i="20" s="1"/>
  <c r="E203" i="20" a="1"/>
  <c r="E203" i="20" s="1"/>
  <c r="F203" i="20" a="1"/>
  <c r="F203" i="20" s="1"/>
  <c r="G203" i="20" a="1"/>
  <c r="G203" i="20" s="1"/>
  <c r="H203" i="20" a="1"/>
  <c r="H203" i="20" s="1"/>
  <c r="I203" i="20" a="1"/>
  <c r="I203" i="20" s="1"/>
  <c r="D204" i="20" a="1"/>
  <c r="D204" i="20" s="1"/>
  <c r="E204" i="20" a="1"/>
  <c r="E204" i="20" s="1"/>
  <c r="F204" i="20" a="1"/>
  <c r="F204" i="20" s="1"/>
  <c r="G204" i="20" a="1"/>
  <c r="G204" i="20" s="1"/>
  <c r="H204" i="20" a="1"/>
  <c r="H204" i="20" s="1"/>
  <c r="I204" i="20" a="1"/>
  <c r="I204" i="20" s="1"/>
  <c r="D205" i="20" a="1"/>
  <c r="D205" i="20" s="1"/>
  <c r="E205" i="20" a="1"/>
  <c r="E205" i="20" s="1"/>
  <c r="F205" i="20" a="1"/>
  <c r="F205" i="20" s="1"/>
  <c r="G205" i="20" a="1"/>
  <c r="G205" i="20" s="1"/>
  <c r="H205" i="20" a="1"/>
  <c r="H205" i="20" s="1"/>
  <c r="I205" i="20" a="1"/>
  <c r="I205" i="20" s="1"/>
  <c r="D206" i="20" a="1"/>
  <c r="D206" i="20" s="1"/>
  <c r="E206" i="20" a="1"/>
  <c r="E206" i="20" s="1"/>
  <c r="F206" i="20" a="1"/>
  <c r="F206" i="20" s="1"/>
  <c r="G206" i="20" a="1"/>
  <c r="G206" i="20" s="1"/>
  <c r="H206" i="20" a="1"/>
  <c r="H206" i="20" s="1"/>
  <c r="I206" i="20" a="1"/>
  <c r="I206" i="20" s="1"/>
  <c r="D207" i="20" a="1"/>
  <c r="D207" i="20" s="1"/>
  <c r="E207" i="20" a="1"/>
  <c r="E207" i="20" s="1"/>
  <c r="F207" i="20" a="1"/>
  <c r="F207" i="20" s="1"/>
  <c r="G207" i="20" a="1"/>
  <c r="G207" i="20" s="1"/>
  <c r="H207" i="20" a="1"/>
  <c r="H207" i="20" s="1"/>
  <c r="I207" i="20" a="1"/>
  <c r="I207" i="20" s="1"/>
  <c r="D208" i="20" a="1"/>
  <c r="D208" i="20" s="1"/>
  <c r="E208" i="20" a="1"/>
  <c r="E208" i="20" s="1"/>
  <c r="F208" i="20" a="1"/>
  <c r="F208" i="20" s="1"/>
  <c r="G208" i="20" a="1"/>
  <c r="G208" i="20" s="1"/>
  <c r="H208" i="20" a="1"/>
  <c r="H208" i="20" s="1"/>
  <c r="I208" i="20" a="1"/>
  <c r="I208" i="20" s="1"/>
  <c r="D209" i="20" a="1"/>
  <c r="D209" i="20" s="1"/>
  <c r="E209" i="20" a="1"/>
  <c r="E209" i="20"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O154" i="20"/>
  <c r="Q153" i="20" s="1"/>
  <c r="P154" i="20"/>
  <c r="L153" i="20"/>
  <c r="N152" i="20" s="1"/>
  <c r="M153" i="20"/>
  <c r="O152" i="20"/>
  <c r="Q151" i="20" s="1"/>
  <c r="P152" i="20"/>
  <c r="L151" i="20"/>
  <c r="N150" i="20" s="1"/>
  <c r="M151" i="20"/>
  <c r="O150" i="20"/>
  <c r="P150" i="20"/>
  <c r="O149" i="20"/>
  <c r="P149" i="20"/>
  <c r="O148" i="20"/>
  <c r="P148" i="20"/>
  <c r="O147" i="20"/>
  <c r="P147" i="20"/>
  <c r="O146" i="20"/>
  <c r="P146" i="20"/>
  <c r="O145" i="20"/>
  <c r="P145" i="20"/>
  <c r="O144" i="20"/>
  <c r="Q143" i="20" s="1"/>
  <c r="P144" i="20"/>
  <c r="L143" i="20"/>
  <c r="M143" i="20"/>
  <c r="L142" i="20"/>
  <c r="M142" i="20"/>
  <c r="L141" i="20"/>
  <c r="M141" i="20"/>
  <c r="L140" i="20"/>
  <c r="M140" i="20"/>
  <c r="L139" i="20"/>
  <c r="M139" i="20"/>
  <c r="L138" i="20"/>
  <c r="N137" i="20" s="1"/>
  <c r="M138" i="20"/>
  <c r="O137" i="20"/>
  <c r="P137" i="20"/>
  <c r="O136" i="20"/>
  <c r="P136" i="20"/>
  <c r="O135" i="20"/>
  <c r="P135" i="20"/>
  <c r="O134" i="20"/>
  <c r="P134" i="20"/>
  <c r="O133" i="20"/>
  <c r="P133" i="20"/>
  <c r="O132" i="20"/>
  <c r="P132" i="20"/>
  <c r="O131" i="20"/>
  <c r="Q130" i="20" s="1"/>
  <c r="P131" i="20"/>
  <c r="L130" i="20"/>
  <c r="M130" i="20"/>
  <c r="L129" i="20"/>
  <c r="M129" i="20"/>
  <c r="L128" i="20"/>
  <c r="M128" i="20"/>
  <c r="L127" i="20"/>
  <c r="M127" i="20"/>
  <c r="L126" i="20"/>
  <c r="M126" i="20"/>
  <c r="L125" i="20"/>
  <c r="N124" i="20" s="1"/>
  <c r="M125" i="20"/>
  <c r="O124" i="20"/>
  <c r="P124" i="20"/>
  <c r="O123" i="20"/>
  <c r="P123" i="20"/>
  <c r="O122" i="20"/>
  <c r="P122" i="20"/>
  <c r="O121" i="20"/>
  <c r="P121" i="20"/>
  <c r="O120" i="20"/>
  <c r="P120" i="20"/>
  <c r="O119" i="20"/>
  <c r="P119" i="20"/>
  <c r="O118" i="20"/>
  <c r="Q117" i="20" s="1"/>
  <c r="P118" i="20"/>
  <c r="L117" i="20"/>
  <c r="M117" i="20"/>
  <c r="L116" i="20"/>
  <c r="M116" i="20"/>
  <c r="L115" i="20"/>
  <c r="M115" i="20"/>
  <c r="L114" i="20"/>
  <c r="M114" i="20"/>
  <c r="L113" i="20"/>
  <c r="M113" i="20"/>
  <c r="L112" i="20"/>
  <c r="M112" i="20"/>
  <c r="L111" i="20"/>
  <c r="M111" i="20"/>
  <c r="L110" i="20"/>
  <c r="N109" i="20" s="1"/>
  <c r="M110" i="20"/>
  <c r="O109" i="20"/>
  <c r="P109" i="20"/>
  <c r="O108" i="20"/>
  <c r="P108" i="20"/>
  <c r="O107" i="20"/>
  <c r="P107" i="20"/>
  <c r="O106" i="20"/>
  <c r="P106" i="20"/>
  <c r="O105" i="20"/>
  <c r="Q104" i="20" s="1"/>
  <c r="P105" i="20"/>
  <c r="L104" i="20"/>
  <c r="M104" i="20"/>
  <c r="L103" i="20"/>
  <c r="M103" i="20"/>
  <c r="L102" i="20"/>
  <c r="M102" i="20"/>
  <c r="L101" i="20"/>
  <c r="M101" i="20"/>
  <c r="L100" i="20"/>
  <c r="M100" i="20"/>
  <c r="L99" i="20"/>
  <c r="M99" i="20"/>
  <c r="L98" i="20"/>
  <c r="N97" i="20" s="1"/>
  <c r="M98" i="20"/>
  <c r="O97" i="20"/>
  <c r="P97" i="20"/>
  <c r="O96" i="20"/>
  <c r="P96" i="20"/>
  <c r="P95" i="20"/>
  <c r="O95" i="20"/>
  <c r="P94" i="20"/>
  <c r="O94" i="20"/>
  <c r="P93" i="20"/>
  <c r="O93" i="20"/>
  <c r="P92" i="20"/>
  <c r="O92" i="20"/>
  <c r="P91" i="20"/>
  <c r="O91" i="20"/>
  <c r="P90" i="20"/>
  <c r="O90" i="20"/>
  <c r="Q89"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E62" i="18" a="1"/>
  <c r="E62" i="18" s="1"/>
  <c r="D62" i="18" a="1"/>
  <c r="D62" i="18" s="1"/>
  <c r="D60" i="18" a="1"/>
  <c r="D60" i="18" s="1"/>
  <c r="D59" i="18" a="1"/>
  <c r="D59" i="18" s="1"/>
  <c r="E57" i="18" a="1"/>
  <c r="E57" i="18" s="1"/>
  <c r="D57" i="18" a="1"/>
  <c r="D57" i="18" s="1"/>
  <c r="D55" i="18" a="1"/>
  <c r="D55" i="18" s="1"/>
  <c r="D54" i="18" a="1"/>
  <c r="D54" i="18" s="1"/>
  <c r="E52" i="18" a="1"/>
  <c r="E52" i="18" s="1"/>
  <c r="D52" i="18" a="1"/>
  <c r="D52" i="18" s="1"/>
  <c r="D50" i="18" a="1"/>
  <c r="D50" i="18" s="1"/>
  <c r="D49" i="18" a="1"/>
  <c r="D49" i="18" s="1"/>
  <c r="E47" i="18" a="1"/>
  <c r="E47" i="18" s="1"/>
  <c r="D47" i="18" a="1"/>
  <c r="D47" i="18" s="1"/>
  <c r="E46" i="18" a="1"/>
  <c r="E46" i="18" s="1"/>
  <c r="D46" i="18" a="1"/>
  <c r="D46" i="18" s="1"/>
  <c r="E45" i="18" a="1"/>
  <c r="E45" i="18" s="1"/>
  <c r="D45" i="18" a="1"/>
  <c r="D45" i="18" s="1"/>
  <c r="E44" i="18" a="1"/>
  <c r="E44" i="18" s="1"/>
  <c r="D44" i="18" a="1"/>
  <c r="D44" i="18" s="1"/>
  <c r="E43" i="18" a="1"/>
  <c r="E43" i="18" s="1"/>
  <c r="D43" i="18" a="1"/>
  <c r="D43" i="18" s="1"/>
  <c r="E42" i="18" a="1"/>
  <c r="E42" i="18" s="1"/>
  <c r="D42" i="18" a="1"/>
  <c r="D42" i="18" s="1"/>
  <c r="E41" i="18" a="1"/>
  <c r="E41" i="18" s="1"/>
  <c r="D41" i="18" a="1"/>
  <c r="D41" i="18" s="1"/>
  <c r="D39" i="18" a="1"/>
  <c r="D39" i="18" s="1"/>
  <c r="D38" i="18" a="1"/>
  <c r="D38" i="18" s="1"/>
  <c r="D36" i="18" a="1"/>
  <c r="D36" i="18" s="1"/>
  <c r="E36" i="18" a="1"/>
  <c r="E36" i="18" s="1"/>
  <c r="D35" i="18" a="1"/>
  <c r="D35" i="18" s="1"/>
  <c r="E35" i="18" a="1"/>
  <c r="E35" i="18" s="1"/>
  <c r="D34" i="18" a="1"/>
  <c r="D34" i="18" s="1"/>
  <c r="E34" i="18" a="1"/>
  <c r="E34" i="18" s="1"/>
  <c r="D33" i="18" a="1"/>
  <c r="D33" i="18" s="1"/>
  <c r="E33" i="18" a="1"/>
  <c r="E33" i="18" s="1"/>
  <c r="D32" i="18" a="1"/>
  <c r="D32" i="18" s="1"/>
  <c r="E32" i="18" a="1"/>
  <c r="E32" i="18" s="1"/>
  <c r="D31" i="18" a="1"/>
  <c r="D31" i="18" s="1"/>
  <c r="E31" i="18" a="1"/>
  <c r="E31" i="18" s="1"/>
  <c r="D30" i="18" a="1"/>
  <c r="D30" i="18" s="1"/>
  <c r="E30" i="18" a="1"/>
  <c r="E30" i="18" s="1"/>
  <c r="E29" i="18" a="1"/>
  <c r="E29" i="18" s="1"/>
  <c r="D29" i="18" a="1"/>
  <c r="D29" i="18" s="1"/>
  <c r="D27" i="18" a="1"/>
  <c r="D27" i="18" s="1"/>
  <c r="D26" i="18" a="1"/>
  <c r="D26" i="18" s="1"/>
  <c r="F24" i="18" a="1"/>
  <c r="F24" i="18" s="1"/>
  <c r="E24" i="18" a="1"/>
  <c r="E24" i="18" s="1"/>
  <c r="D24" i="18" a="1"/>
  <c r="D24" i="18" s="1"/>
  <c r="F23" i="18" a="1"/>
  <c r="F23" i="18" s="1"/>
  <c r="E47" i="25" s="1"/>
  <c r="E23" i="18" a="1"/>
  <c r="E23" i="18" s="1"/>
  <c r="D23" i="18" a="1"/>
  <c r="D23" i="18" s="1"/>
  <c r="F22" i="18" a="1"/>
  <c r="F22" i="18" s="1"/>
  <c r="E22" i="18" a="1"/>
  <c r="E22" i="18" s="1"/>
  <c r="D22" i="18" a="1"/>
  <c r="D22" i="18" s="1"/>
  <c r="F21" i="18" a="1"/>
  <c r="F21" i="18" s="1"/>
  <c r="E21" i="18" a="1"/>
  <c r="E21" i="18" s="1"/>
  <c r="D21" i="18" a="1"/>
  <c r="D21" i="18" s="1"/>
  <c r="F20" i="18" a="1"/>
  <c r="F20" i="18" s="1"/>
  <c r="E20" i="18" a="1"/>
  <c r="E20" i="18" s="1"/>
  <c r="D20" i="18" a="1"/>
  <c r="D20" i="18" s="1"/>
  <c r="F19" i="18" a="1"/>
  <c r="F19" i="18" s="1"/>
  <c r="E19" i="18" a="1"/>
  <c r="E19" i="18" s="1"/>
  <c r="D19" i="18" a="1"/>
  <c r="D19" i="18" s="1"/>
  <c r="F18" i="18" a="1"/>
  <c r="F18" i="18" s="1"/>
  <c r="E18" i="18" a="1"/>
  <c r="E18" i="18" s="1"/>
  <c r="D18" i="18" a="1"/>
  <c r="D18" i="18" s="1"/>
  <c r="F17" i="18" a="1"/>
  <c r="F17" i="18" s="1"/>
  <c r="E17" i="18" a="1"/>
  <c r="E17" i="18" s="1"/>
  <c r="D17" i="18" a="1"/>
  <c r="D17" i="18" s="1"/>
  <c r="F16" i="18" a="1"/>
  <c r="F16" i="18" s="1"/>
  <c r="E16" i="18" a="1"/>
  <c r="E16" i="18" s="1"/>
  <c r="D16" i="18" a="1"/>
  <c r="D16" i="18" s="1"/>
  <c r="F15" i="18" a="1"/>
  <c r="F15" i="18" s="1"/>
  <c r="E15" i="18" a="1"/>
  <c r="E15" i="18" s="1"/>
  <c r="D15" i="18" a="1"/>
  <c r="D15" i="18" s="1"/>
  <c r="F14" i="18" a="1"/>
  <c r="F14" i="18" s="1"/>
  <c r="E14" i="18" a="1"/>
  <c r="E14" i="18" s="1"/>
  <c r="D14" i="18" a="1"/>
  <c r="D14" i="18" s="1"/>
  <c r="F13" i="18" a="1"/>
  <c r="F13" i="18" s="1"/>
  <c r="E13" i="18" a="1"/>
  <c r="E13" i="18" s="1"/>
  <c r="D13" i="18" a="1"/>
  <c r="D13" i="18" s="1"/>
  <c r="F12" i="18" a="1"/>
  <c r="F12" i="18" s="1"/>
  <c r="E12" i="18" a="1"/>
  <c r="E12" i="18" s="1"/>
  <c r="D12" i="18" a="1"/>
  <c r="D12" i="18" s="1"/>
  <c r="F11" i="18" a="1"/>
  <c r="F11" i="18" s="1"/>
  <c r="E10" i="23" s="1"/>
  <c r="E11" i="18" a="1"/>
  <c r="E11" i="18" s="1"/>
  <c r="D10" i="23" s="1"/>
  <c r="D11" i="18" a="1"/>
  <c r="D11" i="18" s="1"/>
  <c r="F10" i="18" a="1"/>
  <c r="F10" i="18" s="1"/>
  <c r="E9" i="23" s="1"/>
  <c r="E10" i="18" a="1"/>
  <c r="E10" i="18" s="1"/>
  <c r="D9" i="23" s="1"/>
  <c r="D10" i="18" a="1"/>
  <c r="D10" i="18" s="1"/>
  <c r="F9" i="18" a="1"/>
  <c r="F9" i="18" s="1"/>
  <c r="E9" i="18" a="1"/>
  <c r="E9" i="18" s="1"/>
  <c r="D9" i="18" a="1"/>
  <c r="D9" i="18" s="1"/>
  <c r="F8" i="18" a="1"/>
  <c r="F8" i="18" s="1"/>
  <c r="E8" i="18" a="1"/>
  <c r="E8" i="18" s="1"/>
  <c r="D8" i="18" a="1"/>
  <c r="D8" i="18" s="1"/>
  <c r="F7" i="18" a="1"/>
  <c r="F7" i="18" s="1"/>
  <c r="E7" i="18" a="1"/>
  <c r="E7" i="18" s="1"/>
  <c r="D7" i="18" a="1"/>
  <c r="D7" i="18" s="1"/>
  <c r="D5" i="18" a="1"/>
  <c r="D5" i="18" s="1"/>
  <c r="D4" i="18" a="1"/>
  <c r="D4" i="18" s="1"/>
  <c r="E332" i="19" l="1"/>
  <c r="F19" i="41" s="1"/>
  <c r="D5" i="57"/>
  <c r="D496" i="19" s="1"/>
  <c r="F496" i="19" s="1" a="1"/>
  <c r="F496" i="19" s="1"/>
  <c r="G496" i="19" s="1" a="1"/>
  <c r="G496" i="19" s="1"/>
  <c r="D26" i="58"/>
  <c r="D484" i="19" s="1"/>
  <c r="F484" i="19" s="1" a="1"/>
  <c r="F484" i="19" s="1"/>
  <c r="D48" i="55"/>
  <c r="D495" i="19" s="1"/>
  <c r="F495" i="19" s="1" a="1"/>
  <c r="F495" i="19" s="1"/>
  <c r="T129" i="19" a="1"/>
  <c r="T129" i="19" s="1"/>
  <c r="X124" i="19" a="1"/>
  <c r="X124" i="19" s="1"/>
  <c r="T128" i="19" a="1"/>
  <c r="T128" i="19" s="1"/>
  <c r="X123" i="19" a="1"/>
  <c r="X123" i="19" s="1"/>
  <c r="X128" i="19" a="1"/>
  <c r="X128" i="19" s="1"/>
  <c r="T127" i="19" a="1"/>
  <c r="T127" i="19" s="1"/>
  <c r="X122" i="19" a="1"/>
  <c r="X122" i="19" s="1"/>
  <c r="T121" i="19" a="1"/>
  <c r="T121" i="19" s="1"/>
  <c r="T126" i="19" a="1"/>
  <c r="T126" i="19" s="1"/>
  <c r="X121" i="19" a="1"/>
  <c r="X121" i="19" s="1"/>
  <c r="AB129" i="19" a="1"/>
  <c r="AB129" i="19" s="1"/>
  <c r="X125" i="19" a="1"/>
  <c r="X125" i="19" s="1"/>
  <c r="T125" i="19" a="1"/>
  <c r="T125" i="19" s="1"/>
  <c r="AB121" i="19" a="1"/>
  <c r="AB121" i="19" s="1"/>
  <c r="AB127" i="19" a="1"/>
  <c r="AB127" i="19" s="1"/>
  <c r="T124" i="19" a="1"/>
  <c r="T124" i="19" s="1"/>
  <c r="AB123" i="19" a="1"/>
  <c r="AB123" i="19" s="1"/>
  <c r="T122" i="19" a="1"/>
  <c r="T122" i="19" s="1"/>
  <c r="AB128" i="19" a="1"/>
  <c r="AB128" i="19" s="1"/>
  <c r="T123" i="19" a="1"/>
  <c r="T123" i="19" s="1"/>
  <c r="AB122" i="19" a="1"/>
  <c r="AB122" i="19" s="1"/>
  <c r="X129" i="19" a="1"/>
  <c r="X129" i="19" s="1"/>
  <c r="X127" i="19" a="1"/>
  <c r="X127" i="19" s="1"/>
  <c r="AB126" i="19" a="1"/>
  <c r="AB126" i="19" s="1"/>
  <c r="X126" i="19" a="1"/>
  <c r="X126" i="19" s="1"/>
  <c r="AB125" i="19" a="1"/>
  <c r="AB125" i="19" s="1"/>
  <c r="AB124" i="19" a="1"/>
  <c r="AB124" i="19" s="1"/>
  <c r="X120" i="19" a="1"/>
  <c r="X120" i="19" s="1"/>
  <c r="AB120" i="19" a="1"/>
  <c r="AB120" i="19" s="1"/>
  <c r="T120" i="19" a="1"/>
  <c r="T120" i="19" s="1"/>
  <c r="D24" i="58"/>
  <c r="D482" i="19" s="1"/>
  <c r="F482" i="19" s="1" a="1"/>
  <c r="F482" i="19" s="1"/>
  <c r="D25" i="58"/>
  <c r="D483" i="19" s="1"/>
  <c r="F483" i="19" s="1" a="1"/>
  <c r="F483" i="19" s="1"/>
  <c r="G483" i="19" s="1" a="1"/>
  <c r="G483" i="19" s="1"/>
  <c r="D27" i="58"/>
  <c r="D485" i="19" s="1"/>
  <c r="F485" i="19" s="1" a="1"/>
  <c r="F485" i="19" s="1"/>
  <c r="G485" i="19" s="1" a="1"/>
  <c r="G485" i="19" s="1"/>
  <c r="D47" i="55"/>
  <c r="D494" i="19" s="1"/>
  <c r="F494" i="19" s="1" a="1"/>
  <c r="F494" i="19" s="1"/>
  <c r="G494" i="19" s="1" a="1"/>
  <c r="G494" i="19" s="1"/>
  <c r="D23" i="58"/>
  <c r="D481" i="19" s="1"/>
  <c r="F481" i="19" s="1" a="1"/>
  <c r="F481" i="19" s="1"/>
  <c r="G481" i="19" s="1" a="1"/>
  <c r="G481" i="19" s="1"/>
  <c r="J467" i="19" a="1"/>
  <c r="J467" i="19" s="1"/>
  <c r="J466" i="19" a="1"/>
  <c r="J466" i="19" s="1"/>
  <c r="J465" i="19" a="1"/>
  <c r="J465" i="19" s="1"/>
  <c r="J464" i="19" a="1"/>
  <c r="J464" i="19" s="1"/>
  <c r="J468" i="19" a="1"/>
  <c r="J468" i="19" s="1"/>
  <c r="E143" i="19"/>
  <c r="G448" i="19" a="1"/>
  <c r="G448" i="19" s="1"/>
  <c r="H448" i="19" s="1" a="1"/>
  <c r="H448" i="19" s="1"/>
  <c r="G447" i="19" a="1"/>
  <c r="G447" i="19" s="1"/>
  <c r="H447" i="19" s="1" a="1"/>
  <c r="H447" i="19" s="1"/>
  <c r="G446" i="19" a="1"/>
  <c r="G446" i="19" s="1"/>
  <c r="H446" i="19" s="1" a="1"/>
  <c r="H446" i="19" s="1"/>
  <c r="G445" i="19" a="1"/>
  <c r="G445" i="19" s="1"/>
  <c r="H445" i="19" s="1" a="1"/>
  <c r="H445" i="19" s="1"/>
  <c r="P129" i="19" a="1"/>
  <c r="P129" i="19" s="1"/>
  <c r="P125" i="19" a="1"/>
  <c r="P125" i="19" s="1"/>
  <c r="P126" i="19" a="1"/>
  <c r="P126" i="19" s="1"/>
  <c r="P124" i="19" a="1"/>
  <c r="P124" i="19" s="1"/>
  <c r="P127" i="19" a="1"/>
  <c r="P127" i="19" s="1"/>
  <c r="P122" i="19" a="1"/>
  <c r="P122" i="19" s="1"/>
  <c r="P123" i="19" a="1"/>
  <c r="P123" i="19" s="1"/>
  <c r="P128" i="19" a="1"/>
  <c r="P128" i="19" s="1"/>
  <c r="P121" i="19" a="1"/>
  <c r="P121" i="19" s="1"/>
  <c r="P120" i="19" a="1"/>
  <c r="P120" i="19" s="1"/>
  <c r="E315" i="19" a="1"/>
  <c r="E315" i="19" s="1"/>
  <c r="E317" i="19" a="1"/>
  <c r="E317" i="19" s="1"/>
  <c r="E316" i="19" a="1"/>
  <c r="E316" i="19" s="1"/>
  <c r="D285" i="19" a="1"/>
  <c r="E142"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G42" i="25"/>
  <c r="D43" i="25"/>
  <c r="K43" i="25"/>
  <c r="D56" i="25"/>
  <c r="H43" i="25"/>
  <c r="L44" i="25"/>
  <c r="E44" i="25"/>
  <c r="K46" i="25"/>
  <c r="D46" i="25"/>
  <c r="D59" i="25"/>
  <c r="G45" i="25"/>
  <c r="H42" i="25"/>
  <c r="L43" i="25"/>
  <c r="E43" i="25"/>
  <c r="G44" i="25"/>
  <c r="K45" i="25"/>
  <c r="D45" i="25"/>
  <c r="D58" i="25"/>
  <c r="D11" i="23"/>
  <c r="D42" i="25"/>
  <c r="K42" i="25"/>
  <c r="D55" i="25"/>
  <c r="L46" i="25"/>
  <c r="E46" i="25"/>
  <c r="H45" i="25"/>
  <c r="E8" i="23"/>
  <c r="E41" i="25"/>
  <c r="H41" i="25"/>
  <c r="L41" i="25"/>
  <c r="E11" i="23"/>
  <c r="L42" i="25"/>
  <c r="E42" i="25"/>
  <c r="E76" i="19" a="1"/>
  <c r="E76" i="19" s="1"/>
  <c r="D8" i="23"/>
  <c r="G41" i="25"/>
  <c r="D41" i="25"/>
  <c r="K41" i="25"/>
  <c r="D54" i="25"/>
  <c r="D47" i="25"/>
  <c r="D60" i="25"/>
  <c r="G43" i="25"/>
  <c r="D44" i="25"/>
  <c r="K44" i="25"/>
  <c r="D57" i="25"/>
  <c r="H44" i="25"/>
  <c r="L45" i="25"/>
  <c r="E45" i="25"/>
  <c r="E39" i="19" a="1"/>
  <c r="E39" i="19" s="1"/>
  <c r="E58" i="19" a="1"/>
  <c r="E58" i="19" s="1"/>
  <c r="G390" i="19" a="1"/>
  <c r="G390" i="19" s="1"/>
  <c r="G391" i="19" a="1"/>
  <c r="G391" i="19" s="1"/>
  <c r="G383" i="19" a="1"/>
  <c r="G383" i="19" s="1"/>
  <c r="G389" i="19" a="1"/>
  <c r="G389" i="19" s="1"/>
  <c r="G385" i="19" a="1"/>
  <c r="G385" i="19" s="1"/>
  <c r="G384" i="19" a="1"/>
  <c r="G384" i="19" s="1"/>
  <c r="G386" i="19" a="1"/>
  <c r="G386" i="19" s="1"/>
  <c r="G382" i="19" a="1"/>
  <c r="G382" i="19" s="1"/>
  <c r="H382" i="19" s="1" a="1"/>
  <c r="H382" i="19" s="1"/>
  <c r="G387" i="19" a="1"/>
  <c r="G387" i="19" s="1"/>
  <c r="G388" i="19" a="1"/>
  <c r="G388" i="19" s="1"/>
  <c r="G464" i="19" a="1"/>
  <c r="G464" i="19" s="1"/>
  <c r="H464" i="19" s="1" a="1"/>
  <c r="H464" i="19" s="1"/>
  <c r="G449" i="19" a="1"/>
  <c r="G449" i="19" s="1"/>
  <c r="H449" i="19" s="1" a="1"/>
  <c r="H449" i="19" s="1"/>
  <c r="G465" i="19" a="1"/>
  <c r="G465" i="19" s="1"/>
  <c r="H465" i="19" s="1" a="1"/>
  <c r="H465" i="19" s="1"/>
  <c r="G450" i="19" a="1"/>
  <c r="G450" i="19" s="1"/>
  <c r="H450" i="19" s="1" a="1"/>
  <c r="H450" i="19" s="1"/>
  <c r="G466" i="19" a="1"/>
  <c r="G466" i="19" s="1"/>
  <c r="H466" i="19" s="1" a="1"/>
  <c r="H466" i="19" s="1"/>
  <c r="G451" i="19" a="1"/>
  <c r="G451" i="19" s="1"/>
  <c r="G467" i="19" a="1"/>
  <c r="G467" i="19" s="1"/>
  <c r="H467" i="19" s="1" a="1"/>
  <c r="H467" i="19" s="1"/>
  <c r="G452" i="19" a="1"/>
  <c r="G452" i="19" s="1"/>
  <c r="G468" i="19" a="1"/>
  <c r="G468" i="19" s="1"/>
  <c r="H468" i="19" s="1" a="1"/>
  <c r="H468" i="19" s="1"/>
  <c r="G469" i="19" a="1"/>
  <c r="G469" i="19" s="1"/>
  <c r="G453" i="19" a="1"/>
  <c r="G453" i="19" s="1"/>
  <c r="G470" i="19" a="1"/>
  <c r="G470" i="19" s="1"/>
  <c r="G471" i="19" a="1"/>
  <c r="G471" i="19" s="1"/>
  <c r="G454" i="19" a="1"/>
  <c r="G454" i="19" s="1"/>
  <c r="G472" i="19" a="1"/>
  <c r="G472" i="19" s="1"/>
  <c r="G463" i="19" a="1"/>
  <c r="G463" i="19" s="1"/>
  <c r="F463" i="19"/>
  <c r="J463" i="19" s="1" a="1"/>
  <c r="J463" i="19" s="1"/>
  <c r="N241" i="20" l="1"/>
  <c r="I482" i="19" a="1"/>
  <c r="I482" i="19" s="1"/>
  <c r="G482" i="19" a="1"/>
  <c r="G482" i="19" s="1"/>
  <c r="I495" i="19" a="1"/>
  <c r="I495" i="19" s="1"/>
  <c r="E499" i="19" s="1"/>
  <c r="F27" i="41" s="1"/>
  <c r="G495" i="19" a="1"/>
  <c r="G495" i="19" s="1"/>
  <c r="E498" i="19" s="1"/>
  <c r="E27" i="41" s="1"/>
  <c r="G484" i="19" a="1"/>
  <c r="G484" i="19" s="1"/>
  <c r="I484" i="19" a="1"/>
  <c r="I484" i="19" s="1"/>
  <c r="H463" i="19" a="1"/>
  <c r="H463" i="19" s="1"/>
  <c r="H451" i="19" a="1"/>
  <c r="H451" i="19" s="1"/>
  <c r="J451" i="19" a="1"/>
  <c r="J451" i="19" s="1"/>
  <c r="J452" i="19" a="1"/>
  <c r="J452" i="19" s="1"/>
  <c r="H452" i="19" a="1"/>
  <c r="H452" i="19" s="1"/>
  <c r="H472" i="19" a="1"/>
  <c r="H472" i="19" s="1"/>
  <c r="J472" i="19" a="1"/>
  <c r="J472" i="19" s="1"/>
  <c r="J454" i="19" a="1"/>
  <c r="J454" i="19" s="1"/>
  <c r="H454" i="19" a="1"/>
  <c r="H454" i="19" s="1"/>
  <c r="J470" i="19" a="1"/>
  <c r="J470" i="19" s="1"/>
  <c r="H470" i="19" a="1"/>
  <c r="H470" i="19" s="1"/>
  <c r="H453" i="19" a="1"/>
  <c r="H453" i="19" s="1"/>
  <c r="J453" i="19" a="1"/>
  <c r="J453" i="19" s="1"/>
  <c r="H471" i="19" a="1"/>
  <c r="H471" i="19" s="1"/>
  <c r="J471" i="19" a="1"/>
  <c r="J471" i="19" s="1"/>
  <c r="H469" i="19" a="1"/>
  <c r="H469" i="19" s="1"/>
  <c r="J469" i="19" a="1"/>
  <c r="J469" i="19" s="1"/>
  <c r="J391" i="19" a="1"/>
  <c r="J391" i="19" s="1"/>
  <c r="H391" i="19" a="1"/>
  <c r="H391" i="19" s="1"/>
  <c r="H383" i="19" a="1"/>
  <c r="H383" i="19" s="1"/>
  <c r="J383" i="19" a="1"/>
  <c r="J383" i="19" s="1"/>
  <c r="J388" i="19" a="1"/>
  <c r="J388" i="19" s="1"/>
  <c r="H388" i="19" a="1"/>
  <c r="H388" i="19" s="1"/>
  <c r="H387" i="19" a="1"/>
  <c r="H387" i="19" s="1"/>
  <c r="J387" i="19" a="1"/>
  <c r="J387" i="19" s="1"/>
  <c r="H389" i="19" a="1"/>
  <c r="H389" i="19" s="1"/>
  <c r="J389" i="19" a="1"/>
  <c r="J389" i="19" s="1"/>
  <c r="H386" i="19" a="1"/>
  <c r="H386" i="19" s="1"/>
  <c r="J386" i="19" a="1"/>
  <c r="J386" i="19" s="1"/>
  <c r="J385" i="19" a="1"/>
  <c r="J385" i="19" s="1"/>
  <c r="H385" i="19" a="1"/>
  <c r="H385" i="19" s="1"/>
  <c r="H390" i="19" a="1"/>
  <c r="H390" i="19" s="1"/>
  <c r="J390" i="19" a="1"/>
  <c r="J390" i="19" s="1"/>
  <c r="H384" i="19" a="1"/>
  <c r="H384" i="19" s="1"/>
  <c r="J384" i="19" a="1"/>
  <c r="J384" i="19" s="1"/>
  <c r="D285" i="19"/>
  <c r="F296" i="19" a="1"/>
  <c r="F296" i="19" s="1"/>
  <c r="F294" i="19" a="1"/>
  <c r="F294" i="19" s="1"/>
  <c r="F293" i="19" a="1"/>
  <c r="F293" i="19" s="1"/>
  <c r="F287" i="19" a="1"/>
  <c r="F287" i="19" s="1"/>
  <c r="F286" i="19" a="1"/>
  <c r="F286" i="19" s="1"/>
  <c r="E294" i="19"/>
  <c r="F295" i="19" a="1"/>
  <c r="F295" i="19" s="1"/>
  <c r="F288" i="19" a="1"/>
  <c r="F288" i="19" s="1"/>
  <c r="E290" i="19"/>
  <c r="F292" i="19" a="1"/>
  <c r="F292" i="19" s="1"/>
  <c r="E292" i="19"/>
  <c r="E286" i="19"/>
  <c r="E287" i="19"/>
  <c r="E289" i="19"/>
  <c r="F289" i="19" a="1"/>
  <c r="F289" i="19" s="1"/>
  <c r="F290" i="19" a="1"/>
  <c r="F290" i="19" s="1"/>
  <c r="F291" i="19" a="1"/>
  <c r="F291" i="19" s="1"/>
  <c r="E288" i="19"/>
  <c r="E291" i="19"/>
  <c r="E296" i="19"/>
  <c r="E293" i="19"/>
  <c r="E295" i="19"/>
  <c r="I322" i="19" a="1"/>
  <c r="I322" i="19" s="1"/>
  <c r="I329" i="19" a="1"/>
  <c r="I329" i="19" s="1"/>
  <c r="I321" i="19" a="1"/>
  <c r="I321" i="19" s="1"/>
  <c r="I320" i="19" a="1"/>
  <c r="I320" i="19" s="1"/>
  <c r="I328" i="19" a="1"/>
  <c r="I328" i="19" s="1"/>
  <c r="I326" i="19" a="1"/>
  <c r="I326" i="19" s="1"/>
  <c r="I327" i="19" a="1"/>
  <c r="I327" i="19" s="1"/>
  <c r="I325" i="19" a="1"/>
  <c r="I325" i="19" s="1"/>
  <c r="I323" i="19" a="1"/>
  <c r="I323" i="19" s="1"/>
  <c r="I324" i="19" a="1"/>
  <c r="I324"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93" i="19" l="1"/>
  <c r="E21" i="41" s="1"/>
  <c r="E487" i="19"/>
  <c r="E26" i="41" s="1"/>
  <c r="E456" i="19"/>
  <c r="E24" i="41" s="1"/>
  <c r="E488" i="19"/>
  <c r="F26" i="41" s="1"/>
  <c r="I289" i="19" a="1"/>
  <c r="I289" i="19" s="1"/>
  <c r="I292" i="19" a="1"/>
  <c r="I292" i="19" s="1"/>
  <c r="G290" i="19" a="1"/>
  <c r="G290" i="19" s="1"/>
  <c r="E474" i="19"/>
  <c r="E25" i="41" s="1"/>
  <c r="E475" i="19"/>
  <c r="F25" i="41" s="1"/>
  <c r="E457" i="19"/>
  <c r="F24" i="41" s="1"/>
  <c r="E394" i="19"/>
  <c r="F21" i="41" s="1"/>
  <c r="I287" i="19" a="1"/>
  <c r="I287" i="19" s="1"/>
  <c r="G287" i="19" a="1"/>
  <c r="G287" i="19" s="1"/>
  <c r="I286" i="19" a="1"/>
  <c r="I286" i="19" s="1"/>
  <c r="G286" i="19" a="1"/>
  <c r="G286" i="19" s="1"/>
  <c r="E331" i="19"/>
  <c r="E19" i="41" s="1"/>
  <c r="G292" i="19" a="1"/>
  <c r="G292" i="19" s="1"/>
  <c r="G293" i="19" a="1"/>
  <c r="G293" i="19" s="1"/>
  <c r="I293" i="19" a="1"/>
  <c r="I293" i="19" s="1"/>
  <c r="G294" i="19" a="1"/>
  <c r="G294" i="19" s="1"/>
  <c r="I294" i="19" a="1"/>
  <c r="I294" i="19" s="1"/>
  <c r="G291" i="19" a="1"/>
  <c r="G291" i="19" s="1"/>
  <c r="I291" i="19" a="1"/>
  <c r="I291" i="19" s="1"/>
  <c r="G288" i="19" a="1"/>
  <c r="G288" i="19" s="1"/>
  <c r="I288" i="19" a="1"/>
  <c r="I288" i="19" s="1"/>
  <c r="G295" i="19" a="1"/>
  <c r="G295" i="19" s="1"/>
  <c r="I295" i="19" a="1"/>
  <c r="I295" i="19" s="1"/>
  <c r="I290" i="19" a="1"/>
  <c r="I290" i="19" s="1"/>
  <c r="I296" i="19" a="1"/>
  <c r="I296" i="19" s="1"/>
  <c r="G296" i="19" a="1"/>
  <c r="G296" i="19" s="1"/>
  <c r="G289" i="19" a="1"/>
  <c r="G289" i="19" s="1"/>
  <c r="F285" i="19" a="1"/>
  <c r="F285" i="19" s="1"/>
  <c r="E285" i="19"/>
  <c r="E34" i="19"/>
  <c r="E11" i="41" s="1"/>
  <c r="E53" i="19"/>
  <c r="E12" i="41" s="1"/>
  <c r="E54" i="19"/>
  <c r="F12" i="41" s="1"/>
  <c r="E73" i="19"/>
  <c r="E72" i="19"/>
  <c r="E90" i="19"/>
  <c r="E14" i="41" s="1"/>
  <c r="E91" i="19"/>
  <c r="F14" i="41" s="1"/>
  <c r="D38" i="6" a="1"/>
  <c r="D38" i="6" s="1"/>
  <c r="E38" i="6" a="1"/>
  <c r="E38" i="6" s="1"/>
  <c r="F38" i="6" a="1"/>
  <c r="F38" i="6" s="1"/>
  <c r="G38" i="6" a="1"/>
  <c r="G38" i="6" s="1"/>
  <c r="H38" i="6" a="1"/>
  <c r="H38" i="6" s="1"/>
  <c r="I38" i="6" a="1"/>
  <c r="I38" i="6" s="1"/>
  <c r="F13" i="41" l="1"/>
  <c r="E94" i="19"/>
  <c r="E13" i="41"/>
  <c r="E93" i="19"/>
  <c r="G285" i="19" a="1"/>
  <c r="G285" i="19" s="1"/>
  <c r="E298" i="19" s="1"/>
  <c r="E18" i="41" s="1"/>
  <c r="I285" i="19" a="1"/>
  <c r="I285" i="19" s="1"/>
  <c r="E299" i="19" s="1"/>
  <c r="F18" i="41" s="1"/>
  <c r="G180" i="20"/>
  <c r="V23" i="6" l="1" a="1"/>
  <c r="V23" i="6" s="1"/>
  <c r="V22" i="6" a="1"/>
  <c r="V22" i="6" s="1"/>
  <c r="V21" i="6" a="1"/>
  <c r="V21" i="6" s="1"/>
  <c r="V20" i="6" a="1"/>
  <c r="V20" i="6" s="1"/>
  <c r="V18" i="6" a="1"/>
  <c r="V18" i="6" s="1"/>
  <c r="V17" i="6" a="1"/>
  <c r="V17" i="6" s="1"/>
  <c r="H194" i="20" l="1"/>
  <c r="I174" i="20"/>
  <c r="I175" i="20"/>
  <c r="H195" i="20"/>
  <c r="H196" i="20"/>
  <c r="I176" i="20"/>
  <c r="I177" i="20"/>
  <c r="H197" i="20"/>
  <c r="E22" i="9" l="1"/>
  <c r="E30" i="9"/>
  <c r="I37" i="9" s="1"/>
  <c r="H48" i="9"/>
  <c r="E48" i="9"/>
  <c r="H47" i="9"/>
  <c r="E47" i="9"/>
  <c r="H46" i="9"/>
  <c r="E46" i="9"/>
  <c r="H39" i="9"/>
  <c r="H38" i="9"/>
  <c r="H37" i="9"/>
  <c r="H25" i="8" a="1"/>
  <c r="H25" i="8" s="1"/>
  <c r="G25" i="8" a="1"/>
  <c r="G25" i="8" s="1"/>
  <c r="I567" i="19" s="1" a="1"/>
  <c r="I567" i="19" s="1"/>
  <c r="F25" i="8" a="1"/>
  <c r="F25" i="8" s="1"/>
  <c r="E25" i="8" a="1"/>
  <c r="E25" i="8" s="1"/>
  <c r="D25" i="8" a="1"/>
  <c r="D25" i="8" s="1"/>
  <c r="D22" i="8" a="1"/>
  <c r="D22" i="8" s="1"/>
  <c r="D21" i="8" a="1"/>
  <c r="D21" i="8" s="1"/>
  <c r="F19" i="8" a="1"/>
  <c r="F19" i="8" s="1"/>
  <c r="E19" i="8" a="1"/>
  <c r="E19" i="8" s="1"/>
  <c r="D19" i="8" a="1"/>
  <c r="D19" i="8" s="1"/>
  <c r="F18" i="8" a="1"/>
  <c r="F18" i="8" s="1"/>
  <c r="E18" i="8" a="1"/>
  <c r="E18" i="8" s="1"/>
  <c r="D18" i="8" a="1"/>
  <c r="D18" i="8" s="1"/>
  <c r="F17" i="8" a="1"/>
  <c r="F17" i="8" s="1"/>
  <c r="E17" i="8" a="1"/>
  <c r="E17" i="8" s="1"/>
  <c r="D17" i="8" a="1"/>
  <c r="D17" i="8" s="1"/>
  <c r="F16" i="8" a="1"/>
  <c r="F16" i="8" s="1"/>
  <c r="E16" i="8" a="1"/>
  <c r="E16" i="8" s="1"/>
  <c r="D16" i="8" a="1"/>
  <c r="D16" i="8" s="1"/>
  <c r="F15" i="8" a="1"/>
  <c r="F15" i="8" s="1"/>
  <c r="E15" i="8" a="1"/>
  <c r="E15" i="8" s="1"/>
  <c r="D15" i="8" a="1"/>
  <c r="D15" i="8" s="1"/>
  <c r="F14" i="8" a="1"/>
  <c r="F14" i="8" s="1"/>
  <c r="E14" i="8" a="1"/>
  <c r="E14" i="8" s="1"/>
  <c r="D14" i="8" a="1"/>
  <c r="D14" i="8" s="1"/>
  <c r="F13" i="8" a="1"/>
  <c r="F13" i="8" s="1"/>
  <c r="E13" i="8" a="1"/>
  <c r="E13" i="8" s="1"/>
  <c r="D13" i="8" a="1"/>
  <c r="D13" i="8" s="1"/>
  <c r="F12" i="8" a="1"/>
  <c r="F12" i="8" s="1"/>
  <c r="E12" i="8" a="1"/>
  <c r="E12" i="8" s="1"/>
  <c r="D12" i="8" a="1"/>
  <c r="D12" i="8" s="1"/>
  <c r="F11" i="8" a="1"/>
  <c r="F11" i="8" s="1"/>
  <c r="E11" i="8" a="1"/>
  <c r="E11" i="8" s="1"/>
  <c r="D11" i="8" a="1"/>
  <c r="D11" i="8" s="1"/>
  <c r="F10" i="8" a="1"/>
  <c r="F10" i="8" s="1"/>
  <c r="E10" i="8" a="1"/>
  <c r="E10" i="8" s="1"/>
  <c r="D10" i="8" a="1"/>
  <c r="D10" i="8" s="1"/>
  <c r="D7" i="8" a="1"/>
  <c r="D7" i="8" s="1"/>
  <c r="D6" i="8" a="1"/>
  <c r="D6" i="8" s="1"/>
  <c r="D5" i="8" a="1"/>
  <c r="D5" i="8" s="1"/>
  <c r="I48" i="9" l="1"/>
  <c r="I545" i="19" a="1"/>
  <c r="I545" i="19" s="1"/>
  <c r="E548" i="19" s="1" a="1"/>
  <c r="E548" i="19" s="1"/>
  <c r="I46" i="9"/>
  <c r="I38" i="9"/>
  <c r="I39" i="9"/>
  <c r="I47" i="9"/>
  <c r="E30" i="41" l="1"/>
  <c r="F30" i="41" s="1"/>
  <c r="E41" i="9"/>
  <c r="I565" i="19" s="1"/>
  <c r="E50" i="9"/>
  <c r="I566" i="19" s="1"/>
  <c r="F83" i="6" a="1"/>
  <c r="F83" i="6" s="1"/>
  <c r="E83" i="6" a="1"/>
  <c r="E83" i="6" s="1"/>
  <c r="J87" i="34" s="1"/>
  <c r="D83" i="6" a="1"/>
  <c r="D83" i="6" s="1"/>
  <c r="D82" i="6" a="1"/>
  <c r="D82" i="6" s="1"/>
  <c r="D81" i="6" a="1"/>
  <c r="D81" i="6" s="1"/>
  <c r="F78" i="6" a="1"/>
  <c r="F78" i="6" s="1"/>
  <c r="E78" i="6" a="1"/>
  <c r="E78" i="6" s="1"/>
  <c r="D78" i="6" a="1"/>
  <c r="D78" i="6" s="1"/>
  <c r="D77" i="6" a="1"/>
  <c r="D77" i="6" s="1"/>
  <c r="D76" i="6" a="1"/>
  <c r="D76" i="6" s="1"/>
  <c r="F73" i="6" a="1"/>
  <c r="F73" i="6" s="1"/>
  <c r="E73" i="6" a="1"/>
  <c r="E73" i="6" s="1"/>
  <c r="I33" i="34" s="1"/>
  <c r="D73" i="6" a="1"/>
  <c r="D73" i="6" s="1"/>
  <c r="D72" i="6" a="1"/>
  <c r="D72" i="6" s="1"/>
  <c r="D71" i="6" a="1"/>
  <c r="D71" i="6" s="1"/>
  <c r="F68" i="6" a="1"/>
  <c r="F68" i="6" s="1"/>
  <c r="E68" i="6" a="1"/>
  <c r="E68" i="6" s="1"/>
  <c r="D68" i="6" a="1"/>
  <c r="D68" i="6" s="1"/>
  <c r="F67" i="6" a="1"/>
  <c r="F67" i="6" s="1"/>
  <c r="E67" i="6" a="1"/>
  <c r="E67" i="6" s="1"/>
  <c r="D67" i="6" a="1"/>
  <c r="D67" i="6" s="1"/>
  <c r="F66" i="6" a="1"/>
  <c r="F66" i="6" s="1"/>
  <c r="E66" i="6" a="1"/>
  <c r="E66" i="6" s="1"/>
  <c r="D66" i="6" a="1"/>
  <c r="D66" i="6" s="1"/>
  <c r="D64" i="6" a="1"/>
  <c r="D64" i="6" s="1"/>
  <c r="D63" i="6" a="1"/>
  <c r="D63" i="6" s="1"/>
  <c r="F60" i="6" a="1"/>
  <c r="F60" i="6" s="1"/>
  <c r="E60" i="6" a="1"/>
  <c r="E60" i="6" s="1"/>
  <c r="D60" i="6" a="1"/>
  <c r="D60" i="6" s="1"/>
  <c r="D59" i="6" a="1"/>
  <c r="D59" i="6" s="1"/>
  <c r="D58" i="6" a="1"/>
  <c r="D58" i="6" s="1"/>
  <c r="E55" i="6" a="1"/>
  <c r="E55" i="6" s="1"/>
  <c r="D55" i="6" a="1"/>
  <c r="D55" i="6" s="1"/>
  <c r="E54" i="6" a="1"/>
  <c r="E54" i="6" s="1"/>
  <c r="D54" i="6" a="1"/>
  <c r="D54" i="6" s="1"/>
  <c r="E53" i="6" a="1"/>
  <c r="E53" i="6" s="1"/>
  <c r="D53" i="6" a="1"/>
  <c r="D53" i="6" s="1"/>
  <c r="E52" i="6" a="1"/>
  <c r="E52" i="6" s="1"/>
  <c r="D52" i="6" a="1"/>
  <c r="D52" i="6" s="1"/>
  <c r="E51" i="6" a="1"/>
  <c r="E51" i="6" s="1"/>
  <c r="D51" i="6" a="1"/>
  <c r="D51" i="6" s="1"/>
  <c r="D49" i="6" a="1"/>
  <c r="D49" i="6" s="1"/>
  <c r="D48" i="6" a="1"/>
  <c r="D48" i="6" s="1"/>
  <c r="I37" i="6" a="1"/>
  <c r="I37" i="6" s="1"/>
  <c r="H37" i="6" a="1"/>
  <c r="H37" i="6" s="1"/>
  <c r="G37" i="6" a="1"/>
  <c r="G37" i="6" s="1"/>
  <c r="F37" i="6" a="1"/>
  <c r="F37" i="6" s="1"/>
  <c r="E37" i="6" a="1"/>
  <c r="E37" i="6" s="1"/>
  <c r="D37" i="6" a="1"/>
  <c r="D37" i="6" s="1"/>
  <c r="I36" i="6" a="1"/>
  <c r="I36" i="6" s="1"/>
  <c r="H36" i="6" a="1"/>
  <c r="H36" i="6" s="1"/>
  <c r="G36" i="6" a="1"/>
  <c r="G36" i="6" s="1"/>
  <c r="F36" i="6" a="1"/>
  <c r="F36" i="6" s="1"/>
  <c r="E36" i="6" a="1"/>
  <c r="E36" i="6" s="1"/>
  <c r="D36" i="6" a="1"/>
  <c r="D36" i="6" s="1"/>
  <c r="I35" i="6" a="1"/>
  <c r="I35" i="6" s="1"/>
  <c r="H35" i="6" a="1"/>
  <c r="H35" i="6" s="1"/>
  <c r="G35" i="6" a="1"/>
  <c r="G35" i="6" s="1"/>
  <c r="F35" i="6" a="1"/>
  <c r="F35" i="6" s="1"/>
  <c r="E35" i="6" a="1"/>
  <c r="E35" i="6" s="1"/>
  <c r="D35" i="6" a="1"/>
  <c r="D35" i="6" s="1"/>
  <c r="I34" i="6" a="1"/>
  <c r="I34" i="6" s="1"/>
  <c r="H34" i="6" a="1"/>
  <c r="H34" i="6" s="1"/>
  <c r="G34" i="6" a="1"/>
  <c r="G34" i="6" s="1"/>
  <c r="F34" i="6" a="1"/>
  <c r="F34" i="6" s="1"/>
  <c r="E34" i="6" a="1"/>
  <c r="E34" i="6" s="1"/>
  <c r="D34" i="6" a="1"/>
  <c r="D34" i="6" s="1"/>
  <c r="I33" i="6" a="1"/>
  <c r="I33" i="6" s="1"/>
  <c r="H33" i="6" a="1"/>
  <c r="H33" i="6" s="1"/>
  <c r="G33" i="6" a="1"/>
  <c r="G33" i="6" s="1"/>
  <c r="F33" i="6" a="1"/>
  <c r="F33" i="6" s="1"/>
  <c r="E33" i="6" a="1"/>
  <c r="E33" i="6" s="1"/>
  <c r="D33" i="6" a="1"/>
  <c r="D33" i="6" s="1"/>
  <c r="I32" i="6" a="1"/>
  <c r="I32" i="6" s="1"/>
  <c r="H32" i="6" a="1"/>
  <c r="H32" i="6" s="1"/>
  <c r="G32" i="6" a="1"/>
  <c r="G32" i="6" s="1"/>
  <c r="F32" i="6" a="1"/>
  <c r="F32" i="6" s="1"/>
  <c r="E32" i="6" a="1"/>
  <c r="E32" i="6" s="1"/>
  <c r="D32" i="6" a="1"/>
  <c r="D32" i="6" s="1"/>
  <c r="I31" i="6" a="1"/>
  <c r="I31" i="6" s="1"/>
  <c r="H31" i="6" a="1"/>
  <c r="H31" i="6" s="1"/>
  <c r="G31" i="6" a="1"/>
  <c r="G31" i="6" s="1"/>
  <c r="F31" i="6" a="1"/>
  <c r="F31" i="6" s="1"/>
  <c r="E31" i="6" a="1"/>
  <c r="E31" i="6" s="1"/>
  <c r="D31" i="6" a="1"/>
  <c r="D31" i="6" s="1"/>
  <c r="I30" i="6" a="1"/>
  <c r="I30" i="6" s="1"/>
  <c r="H30" i="6" a="1"/>
  <c r="H30" i="6" s="1"/>
  <c r="G30" i="6" a="1"/>
  <c r="G30" i="6" s="1"/>
  <c r="F30" i="6" a="1"/>
  <c r="F30" i="6" s="1"/>
  <c r="E30" i="6" a="1"/>
  <c r="E30" i="6" s="1"/>
  <c r="D30" i="6" a="1"/>
  <c r="D30" i="6" s="1"/>
  <c r="I29" i="6" a="1"/>
  <c r="I29" i="6" s="1"/>
  <c r="H29" i="6" a="1"/>
  <c r="H29" i="6" s="1"/>
  <c r="G29" i="6" a="1"/>
  <c r="G29" i="6" s="1"/>
  <c r="F29" i="6" a="1"/>
  <c r="F29" i="6" s="1"/>
  <c r="E29" i="6" a="1"/>
  <c r="E29" i="6" s="1"/>
  <c r="D29" i="6" a="1"/>
  <c r="D29" i="6" s="1"/>
  <c r="R28" i="6" a="1"/>
  <c r="R28" i="6" s="1"/>
  <c r="Q28" i="6" a="1"/>
  <c r="Q28" i="6" s="1"/>
  <c r="L28" i="6" a="1"/>
  <c r="L28" i="6" s="1"/>
  <c r="K28" i="6" a="1"/>
  <c r="K28" i="6" s="1"/>
  <c r="I28" i="6" a="1"/>
  <c r="I28" i="6" s="1"/>
  <c r="H28" i="6" a="1"/>
  <c r="H28" i="6" s="1"/>
  <c r="G28" i="6" a="1"/>
  <c r="G28" i="6" s="1"/>
  <c r="F28" i="6" a="1"/>
  <c r="F28" i="6" s="1"/>
  <c r="E28" i="6" a="1"/>
  <c r="E28" i="6" s="1"/>
  <c r="D28" i="6" a="1"/>
  <c r="D28" i="6" s="1"/>
  <c r="R27" i="6" a="1"/>
  <c r="R27" i="6" s="1"/>
  <c r="Q27" i="6" a="1"/>
  <c r="Q27" i="6" s="1"/>
  <c r="L27" i="6" a="1"/>
  <c r="L27" i="6" s="1"/>
  <c r="K27" i="6" a="1"/>
  <c r="K27" i="6" s="1"/>
  <c r="I27" i="6" a="1"/>
  <c r="I27" i="6" s="1"/>
  <c r="H27" i="6" a="1"/>
  <c r="H27" i="6" s="1"/>
  <c r="G27" i="6" a="1"/>
  <c r="G27" i="6" s="1"/>
  <c r="F27" i="6" a="1"/>
  <c r="F27" i="6" s="1"/>
  <c r="E27" i="6" a="1"/>
  <c r="E27" i="6" s="1"/>
  <c r="D27" i="6" a="1"/>
  <c r="D27" i="6" s="1"/>
  <c r="R26" i="6" a="1"/>
  <c r="R26" i="6" s="1"/>
  <c r="Q26" i="6" a="1"/>
  <c r="Q26" i="6" s="1"/>
  <c r="L26" i="6" a="1"/>
  <c r="L26" i="6" s="1"/>
  <c r="K26" i="6" a="1"/>
  <c r="K26" i="6" s="1"/>
  <c r="I26" i="6" a="1"/>
  <c r="I26" i="6" s="1"/>
  <c r="H26" i="6" a="1"/>
  <c r="H26" i="6" s="1"/>
  <c r="G26" i="6" a="1"/>
  <c r="G26" i="6" s="1"/>
  <c r="F26" i="6" a="1"/>
  <c r="F26" i="6" s="1"/>
  <c r="E26" i="6" a="1"/>
  <c r="E26" i="6" s="1"/>
  <c r="D26" i="6" a="1"/>
  <c r="D26" i="6" s="1"/>
  <c r="R25" i="6" a="1"/>
  <c r="R25" i="6" s="1"/>
  <c r="Q25" i="6" a="1"/>
  <c r="Q25" i="6" s="1"/>
  <c r="L25" i="6" a="1"/>
  <c r="L25" i="6" s="1"/>
  <c r="K25" i="6" a="1"/>
  <c r="K25" i="6" s="1"/>
  <c r="I25" i="6" a="1"/>
  <c r="I25" i="6" s="1"/>
  <c r="H25" i="6" a="1"/>
  <c r="H25" i="6" s="1"/>
  <c r="G25" i="6" a="1"/>
  <c r="G25" i="6" s="1"/>
  <c r="F25" i="6" a="1"/>
  <c r="F25" i="6" s="1"/>
  <c r="E25" i="6" a="1"/>
  <c r="E25" i="6" s="1"/>
  <c r="D25" i="6" a="1"/>
  <c r="D25" i="6" s="1"/>
  <c r="R24" i="6" a="1"/>
  <c r="R24" i="6" s="1"/>
  <c r="Q24" i="6" a="1"/>
  <c r="Q24" i="6" s="1"/>
  <c r="L24" i="6" a="1"/>
  <c r="L24" i="6" s="1"/>
  <c r="K24" i="6" a="1"/>
  <c r="K24" i="6" s="1"/>
  <c r="I24" i="6" a="1"/>
  <c r="I24" i="6" s="1"/>
  <c r="H24" i="6" a="1"/>
  <c r="H24" i="6" s="1"/>
  <c r="G24" i="6" a="1"/>
  <c r="G24" i="6" s="1"/>
  <c r="F24" i="6" a="1"/>
  <c r="F24" i="6" s="1"/>
  <c r="E24" i="6" a="1"/>
  <c r="E24" i="6" s="1"/>
  <c r="D24" i="6" a="1"/>
  <c r="D24" i="6" s="1"/>
  <c r="R23" i="6" a="1"/>
  <c r="R23" i="6" s="1"/>
  <c r="Q23" i="6" a="1"/>
  <c r="Q23" i="6" s="1"/>
  <c r="L23" i="6" a="1"/>
  <c r="L23" i="6" s="1"/>
  <c r="K23" i="6" a="1"/>
  <c r="K23" i="6" s="1"/>
  <c r="I23" i="6" a="1"/>
  <c r="I23" i="6" s="1"/>
  <c r="H23" i="6" a="1"/>
  <c r="H23" i="6" s="1"/>
  <c r="G23" i="6" a="1"/>
  <c r="G23" i="6" s="1"/>
  <c r="F23" i="6" a="1"/>
  <c r="F23" i="6" s="1"/>
  <c r="E23" i="6" a="1"/>
  <c r="E23" i="6" s="1"/>
  <c r="D23" i="6" a="1"/>
  <c r="D23" i="6" s="1"/>
  <c r="R22" i="6" a="1"/>
  <c r="R22" i="6" s="1"/>
  <c r="Q22" i="6" a="1"/>
  <c r="Q22" i="6" s="1"/>
  <c r="L22" i="6" a="1"/>
  <c r="L22" i="6" s="1"/>
  <c r="K22" i="6" a="1"/>
  <c r="K22" i="6" s="1"/>
  <c r="I22" i="6" a="1"/>
  <c r="I22" i="6" s="1"/>
  <c r="H22" i="6" a="1"/>
  <c r="H22" i="6" s="1"/>
  <c r="G22" i="6" a="1"/>
  <c r="G22" i="6" s="1"/>
  <c r="F22" i="6" a="1"/>
  <c r="F22" i="6" s="1"/>
  <c r="E22" i="6" a="1"/>
  <c r="E22" i="6" s="1"/>
  <c r="D22" i="6" a="1"/>
  <c r="D22" i="6" s="1"/>
  <c r="R21" i="6" a="1"/>
  <c r="R21" i="6" s="1"/>
  <c r="Q21" i="6" a="1"/>
  <c r="Q21" i="6" s="1"/>
  <c r="L21" i="6" a="1"/>
  <c r="L21" i="6" s="1"/>
  <c r="K21" i="6" a="1"/>
  <c r="K21" i="6" s="1"/>
  <c r="I21" i="6" a="1"/>
  <c r="I21" i="6" s="1"/>
  <c r="H21" i="6" a="1"/>
  <c r="H21" i="6" s="1"/>
  <c r="G21" i="6" a="1"/>
  <c r="G21" i="6" s="1"/>
  <c r="F21" i="6" a="1"/>
  <c r="F21" i="6" s="1"/>
  <c r="E21" i="6" a="1"/>
  <c r="E21" i="6" s="1"/>
  <c r="D21" i="6" a="1"/>
  <c r="D21" i="6" s="1"/>
  <c r="R20" i="6" a="1"/>
  <c r="R20" i="6" s="1"/>
  <c r="Q20" i="6" a="1"/>
  <c r="Q20" i="6" s="1"/>
  <c r="L20" i="6" a="1"/>
  <c r="L20" i="6" s="1"/>
  <c r="K20" i="6" a="1"/>
  <c r="K20" i="6" s="1"/>
  <c r="I20" i="6" a="1"/>
  <c r="I20" i="6" s="1"/>
  <c r="H20" i="6" a="1"/>
  <c r="H20" i="6" s="1"/>
  <c r="G20" i="6" a="1"/>
  <c r="G20" i="6" s="1"/>
  <c r="F20" i="6" a="1"/>
  <c r="F20" i="6" s="1"/>
  <c r="E20" i="6" a="1"/>
  <c r="E20" i="6" s="1"/>
  <c r="D20" i="6" a="1"/>
  <c r="D20" i="6" s="1"/>
  <c r="Q18" i="6" a="1"/>
  <c r="Q18" i="6" s="1"/>
  <c r="K18" i="6" a="1"/>
  <c r="K18" i="6" s="1"/>
  <c r="Q17" i="6" a="1"/>
  <c r="Q17" i="6" s="1"/>
  <c r="K17" i="6" a="1"/>
  <c r="K17" i="6" s="1"/>
  <c r="D7" i="6" a="1"/>
  <c r="D7" i="6" s="1"/>
  <c r="D6" i="6" a="1"/>
  <c r="D6" i="6" s="1"/>
  <c r="D5" i="6" a="1"/>
  <c r="D5" i="6" s="1"/>
  <c r="E570" i="19" l="1" a="1"/>
  <c r="E570" i="19" s="1"/>
  <c r="O74" i="34" a="1"/>
  <c r="O74" i="34" s="1"/>
  <c r="T86" i="34" s="1"/>
  <c r="O90" i="34" s="1" a="1"/>
  <c r="O90" i="34" s="1"/>
  <c r="I69" i="34"/>
  <c r="E35" i="34" a="1"/>
  <c r="E35" i="34" s="1"/>
  <c r="I48" i="34" s="1"/>
  <c r="O35" i="34" a="1"/>
  <c r="O35" i="34" s="1"/>
  <c r="S48" i="34" s="1"/>
  <c r="O55" i="34" s="1" a="1"/>
  <c r="O55" i="34" s="1"/>
  <c r="E31" i="41"/>
  <c r="F31" i="41" s="1"/>
  <c r="J252" i="19" a="1"/>
  <c r="J252" i="19" s="1"/>
  <c r="J260" i="19" a="1"/>
  <c r="J260" i="19" s="1"/>
  <c r="J253" i="19" a="1"/>
  <c r="J253" i="19" s="1"/>
  <c r="J255" i="19" a="1"/>
  <c r="J255" i="19" s="1"/>
  <c r="J257" i="19" a="1"/>
  <c r="J257" i="19" s="1"/>
  <c r="J259" i="19" a="1"/>
  <c r="J259" i="19" s="1"/>
  <c r="J261" i="19" a="1"/>
  <c r="J261" i="19" s="1"/>
  <c r="J256" i="19" a="1"/>
  <c r="J256" i="19" s="1"/>
  <c r="J254" i="19" a="1"/>
  <c r="J254" i="19" s="1"/>
  <c r="J258" i="19" a="1"/>
  <c r="J258" i="19" s="1"/>
  <c r="G178" i="20"/>
  <c r="G183" i="20"/>
  <c r="G185" i="20"/>
  <c r="G182" i="20"/>
  <c r="G184" i="20"/>
  <c r="G191" i="20"/>
  <c r="G187" i="20"/>
  <c r="G192" i="20"/>
  <c r="G198" i="20"/>
  <c r="G181" i="20"/>
  <c r="G175" i="20"/>
  <c r="G177" i="20"/>
  <c r="G174" i="20"/>
  <c r="G176" i="20"/>
  <c r="G179" i="20"/>
  <c r="G189" i="20"/>
  <c r="G188" i="20"/>
  <c r="G193" i="20"/>
  <c r="G194" i="20"/>
  <c r="G196" i="20"/>
  <c r="G195" i="20"/>
  <c r="G197" i="20"/>
  <c r="G186" i="20"/>
  <c r="G190" i="20"/>
  <c r="M588" i="19" l="1" a="1"/>
  <c r="M588" i="19" s="1"/>
  <c r="O590" i="19" s="1"/>
  <c r="M593" i="19" s="1" a="1"/>
  <c r="M593" i="19" s="1"/>
  <c r="F32" i="41" s="1"/>
  <c r="AE257" i="19" a="1"/>
  <c r="AE257" i="19" s="1"/>
  <c r="AE258" i="19" a="1"/>
  <c r="AE258" i="19" s="1"/>
  <c r="S259" i="19" a="1"/>
  <c r="S259" i="19" s="1"/>
  <c r="W257" i="19" a="1"/>
  <c r="W257" i="19" s="1"/>
  <c r="AE260" i="19" a="1"/>
  <c r="AE260" i="19" s="1"/>
  <c r="S261" i="19" a="1"/>
  <c r="S261" i="19" s="1"/>
  <c r="S252" i="19" a="1"/>
  <c r="S252" i="19" s="1"/>
  <c r="S256" i="19" a="1"/>
  <c r="S256" i="19" s="1"/>
  <c r="AA257" i="19" a="1"/>
  <c r="AA257" i="19" s="1"/>
  <c r="AE254" i="19" a="1"/>
  <c r="AE254" i="19" s="1"/>
  <c r="AA256" i="19" a="1"/>
  <c r="AA256" i="19" s="1"/>
  <c r="W258" i="19" a="1"/>
  <c r="W258" i="19" s="1"/>
  <c r="AE256" i="19" a="1"/>
  <c r="AE256" i="19" s="1"/>
  <c r="AA258" i="19" a="1"/>
  <c r="AA258" i="19" s="1"/>
  <c r="AA259" i="19" a="1"/>
  <c r="AA259" i="19" s="1"/>
  <c r="AE261" i="19" a="1"/>
  <c r="AE261" i="19" s="1"/>
  <c r="S260" i="19" a="1"/>
  <c r="S260" i="19" s="1"/>
  <c r="W260" i="19" a="1"/>
  <c r="W260" i="19" s="1"/>
  <c r="W253" i="19" a="1"/>
  <c r="W253" i="19" s="1"/>
  <c r="S254" i="19" a="1"/>
  <c r="S254" i="19" s="1"/>
  <c r="AA260" i="19" a="1"/>
  <c r="AA260" i="19" s="1"/>
  <c r="AA261" i="19" a="1"/>
  <c r="AA261" i="19" s="1"/>
  <c r="W256" i="19" a="1"/>
  <c r="W256" i="19" s="1"/>
  <c r="AA254" i="19" a="1"/>
  <c r="AA254" i="19" s="1"/>
  <c r="S253" i="19" a="1"/>
  <c r="S253" i="19" s="1"/>
  <c r="W261" i="19" a="1"/>
  <c r="W261" i="19" s="1"/>
  <c r="S257" i="19" a="1"/>
  <c r="S257" i="19" s="1"/>
  <c r="S258" i="19" a="1"/>
  <c r="S258" i="19" s="1"/>
  <c r="S255" i="19" a="1"/>
  <c r="S255" i="19" s="1"/>
  <c r="AE252" i="19" a="1"/>
  <c r="AE252" i="19" s="1"/>
  <c r="K252" i="19" s="1" a="1"/>
  <c r="K252" i="19" s="1"/>
  <c r="W252" i="19" a="1"/>
  <c r="W252" i="19" s="1"/>
  <c r="AE255" i="19" a="1"/>
  <c r="AE255" i="19" s="1"/>
  <c r="W259" i="19" a="1"/>
  <c r="W259" i="19" s="1"/>
  <c r="AA252" i="19" a="1"/>
  <c r="AA252" i="19" s="1"/>
  <c r="AA253" i="19" a="1"/>
  <c r="AA253" i="19" s="1"/>
  <c r="AE253" i="19" a="1"/>
  <c r="AE253" i="19" s="1"/>
  <c r="W254" i="19" a="1"/>
  <c r="W254" i="19" s="1"/>
  <c r="AA255" i="19" a="1"/>
  <c r="AA255" i="19" s="1"/>
  <c r="W255" i="19" a="1"/>
  <c r="W255" i="19" s="1"/>
  <c r="AE259" i="19" a="1"/>
  <c r="AE259" i="19" s="1"/>
  <c r="F120" i="19" l="1"/>
  <c r="G120" i="19" s="1" a="1"/>
  <c r="G120" i="19" s="1"/>
  <c r="F256" i="19" a="1"/>
  <c r="F256" i="19" s="1"/>
  <c r="G256" i="19" s="1" a="1"/>
  <c r="G256" i="19" s="1"/>
  <c r="H256" i="19" a="1"/>
  <c r="H256" i="19" s="1"/>
  <c r="K256" i="19" a="1"/>
  <c r="K256" i="19" s="1"/>
  <c r="K260" i="19" a="1"/>
  <c r="K260" i="19" s="1"/>
  <c r="H260" i="19" a="1"/>
  <c r="H260" i="19" s="1"/>
  <c r="F260" i="19" a="1"/>
  <c r="F260" i="19" s="1"/>
  <c r="G260" i="19" s="1" a="1"/>
  <c r="G260" i="19" s="1"/>
  <c r="F261" i="19" a="1"/>
  <c r="F261" i="19" s="1"/>
  <c r="G261" i="19" s="1" a="1"/>
  <c r="G261" i="19" s="1"/>
  <c r="K261" i="19" a="1"/>
  <c r="K261" i="19" s="1"/>
  <c r="H261" i="19" a="1"/>
  <c r="H261" i="19" s="1"/>
  <c r="F127" i="19"/>
  <c r="F122" i="19"/>
  <c r="G122" i="19" s="1" a="1"/>
  <c r="G122" i="19" s="1"/>
  <c r="H253" i="19" a="1"/>
  <c r="H253" i="19" s="1"/>
  <c r="F253" i="19" a="1"/>
  <c r="F253" i="19" s="1"/>
  <c r="G253" i="19" s="1" a="1"/>
  <c r="G253" i="19" s="1"/>
  <c r="K253" i="19" a="1"/>
  <c r="K253" i="19" s="1"/>
  <c r="F255" i="19" a="1"/>
  <c r="F255" i="19" s="1"/>
  <c r="G255" i="19" s="1" a="1"/>
  <c r="G255" i="19" s="1"/>
  <c r="K255" i="19" a="1"/>
  <c r="K255" i="19" s="1"/>
  <c r="H255" i="19" a="1"/>
  <c r="H255" i="19" s="1"/>
  <c r="F252" i="19" a="1"/>
  <c r="F252" i="19" s="1"/>
  <c r="G252" i="19" s="1" a="1"/>
  <c r="G252" i="19" s="1"/>
  <c r="H252" i="19" a="1"/>
  <c r="H252" i="19" s="1"/>
  <c r="K258" i="19" a="1"/>
  <c r="K258" i="19" s="1"/>
  <c r="H258" i="19" a="1"/>
  <c r="H258" i="19" s="1"/>
  <c r="F258" i="19" a="1"/>
  <c r="F258" i="19" s="1"/>
  <c r="G258" i="19" s="1" a="1"/>
  <c r="G258" i="19" s="1"/>
  <c r="F254" i="19" a="1"/>
  <c r="F254" i="19" s="1"/>
  <c r="G254" i="19" s="1" a="1"/>
  <c r="G254" i="19" s="1"/>
  <c r="H254" i="19" a="1"/>
  <c r="H254" i="19" s="1"/>
  <c r="K254" i="19" a="1"/>
  <c r="K254" i="19" s="1"/>
  <c r="F123" i="19"/>
  <c r="F124" i="19"/>
  <c r="F121" i="19"/>
  <c r="G121" i="19" s="1" a="1"/>
  <c r="G121" i="19" s="1"/>
  <c r="F259" i="19" a="1"/>
  <c r="F259" i="19" s="1"/>
  <c r="G259" i="19" s="1" a="1"/>
  <c r="G259" i="19" s="1"/>
  <c r="K259" i="19" a="1"/>
  <c r="K259" i="19" s="1"/>
  <c r="H259" i="19" a="1"/>
  <c r="H259" i="19" s="1"/>
  <c r="F125" i="19"/>
  <c r="F126" i="19"/>
  <c r="F128" i="19"/>
  <c r="F129" i="19"/>
  <c r="K257" i="19" a="1"/>
  <c r="K257" i="19" s="1"/>
  <c r="H257" i="19" a="1"/>
  <c r="H257" i="19" s="1"/>
  <c r="F257" i="19" a="1"/>
  <c r="F257" i="19" s="1"/>
  <c r="G257" i="19" s="1" a="1"/>
  <c r="G257" i="19" s="1"/>
  <c r="AI242" i="19" a="1"/>
  <c r="AI242" i="19" s="1"/>
  <c r="AI243" i="19" a="1"/>
  <c r="AI243" i="19" s="1"/>
  <c r="AI241" i="19" a="1"/>
  <c r="AI241" i="19" s="1"/>
  <c r="AI237" i="19" a="1"/>
  <c r="AI237" i="19" s="1"/>
  <c r="AI244" i="19" a="1"/>
  <c r="AI244" i="19" s="1"/>
  <c r="AI245" i="19" a="1"/>
  <c r="AI245" i="19" s="1"/>
  <c r="AI236" i="19" a="1"/>
  <c r="AI236" i="19" s="1"/>
  <c r="AI238" i="19" a="1"/>
  <c r="AI238" i="19" s="1"/>
  <c r="AI239" i="19" a="1"/>
  <c r="AI239" i="19" s="1"/>
  <c r="AI240" i="19" a="1"/>
  <c r="AI240" i="19" s="1"/>
  <c r="AA241" i="19" a="1"/>
  <c r="AA241" i="19" s="1"/>
  <c r="AA236" i="19" a="1"/>
  <c r="AA236" i="19" s="1"/>
  <c r="AA245" i="19" a="1"/>
  <c r="AA245" i="19" s="1"/>
  <c r="AA238" i="19" a="1"/>
  <c r="AA238" i="19" s="1"/>
  <c r="AA240" i="19" a="1"/>
  <c r="AA240" i="19" s="1"/>
  <c r="AA242" i="19" a="1"/>
  <c r="AA242" i="19" s="1"/>
  <c r="AA243" i="19" a="1"/>
  <c r="AA243" i="19" s="1"/>
  <c r="AA244" i="19" a="1"/>
  <c r="AA244" i="19" s="1"/>
  <c r="W243" i="19" a="1"/>
  <c r="W243" i="19" s="1"/>
  <c r="W245" i="19" a="1"/>
  <c r="W245" i="19" s="1"/>
  <c r="W240" i="19" a="1"/>
  <c r="W240" i="19" s="1"/>
  <c r="W238" i="19" a="1"/>
  <c r="W238" i="19" s="1"/>
  <c r="W241" i="19" a="1"/>
  <c r="W241" i="19" s="1"/>
  <c r="W239" i="19" a="1"/>
  <c r="W239" i="19" s="1"/>
  <c r="W242" i="19" a="1"/>
  <c r="W242" i="19" s="1"/>
  <c r="W244" i="19" a="1"/>
  <c r="W244" i="19" s="1"/>
  <c r="AA237" i="19" a="1"/>
  <c r="AA237" i="19" s="1"/>
  <c r="AA239" i="19" a="1"/>
  <c r="AA239" i="19" s="1"/>
  <c r="W236" i="19" a="1"/>
  <c r="W236" i="19" s="1"/>
  <c r="W237" i="19" a="1"/>
  <c r="W237" i="19" s="1"/>
  <c r="AM236" i="19" a="1"/>
  <c r="AM236" i="19" s="1"/>
  <c r="AM240" i="19" a="1"/>
  <c r="AM240" i="19" s="1"/>
  <c r="AM239" i="19" a="1"/>
  <c r="AM239" i="19" s="1"/>
  <c r="AM244" i="19" a="1"/>
  <c r="AM244" i="19" s="1"/>
  <c r="AM241" i="19" a="1"/>
  <c r="AM241" i="19" s="1"/>
  <c r="AM238" i="19" a="1"/>
  <c r="AM238" i="19" s="1"/>
  <c r="AM245" i="19" a="1"/>
  <c r="AM245" i="19" s="1"/>
  <c r="AM242" i="19" a="1"/>
  <c r="AM242" i="19" s="1"/>
  <c r="AM243" i="19" a="1"/>
  <c r="AM243" i="19" s="1"/>
  <c r="S236" i="19" a="1"/>
  <c r="S236" i="19" s="1"/>
  <c r="S243" i="19" a="1"/>
  <c r="S243" i="19" s="1"/>
  <c r="S242" i="19" a="1"/>
  <c r="S242" i="19" s="1"/>
  <c r="S241" i="19" a="1"/>
  <c r="S241" i="19" s="1"/>
  <c r="S240" i="19" a="1"/>
  <c r="S240" i="19" s="1"/>
  <c r="S239" i="19" a="1"/>
  <c r="S239" i="19" s="1"/>
  <c r="S238" i="19" a="1"/>
  <c r="S238" i="19" s="1"/>
  <c r="S244" i="19" a="1"/>
  <c r="S244" i="19" s="1"/>
  <c r="S245" i="19" a="1"/>
  <c r="S245" i="19" s="1"/>
  <c r="AE236" i="19" a="1"/>
  <c r="AE236" i="19" s="1"/>
  <c r="AE239" i="19" a="1"/>
  <c r="AE239" i="19" s="1"/>
  <c r="AE238" i="19" a="1"/>
  <c r="AE238" i="19" s="1"/>
  <c r="AE241" i="19" a="1"/>
  <c r="AE241" i="19" s="1"/>
  <c r="AE240" i="19" a="1"/>
  <c r="AE240" i="19" s="1"/>
  <c r="AE245" i="19" a="1"/>
  <c r="AE245" i="19" s="1"/>
  <c r="AE244" i="19" a="1"/>
  <c r="AE244" i="19" s="1"/>
  <c r="AE243" i="19" a="1"/>
  <c r="AE243" i="19" s="1"/>
  <c r="AE242" i="19" a="1"/>
  <c r="AE242" i="19" s="1"/>
  <c r="S237" i="19" a="1"/>
  <c r="S237" i="19" s="1"/>
  <c r="AM237" i="19" a="1"/>
  <c r="AM237" i="19" s="1"/>
  <c r="AE237" i="19" a="1"/>
  <c r="AE237" i="19" s="1"/>
  <c r="G127" i="19" l="1" a="1"/>
  <c r="G127" i="19" s="1"/>
  <c r="I127" i="19" a="1"/>
  <c r="I127" i="19" s="1"/>
  <c r="I123" i="19" a="1"/>
  <c r="I123" i="19" s="1"/>
  <c r="G123" i="19" a="1"/>
  <c r="G123" i="19" s="1"/>
  <c r="G129" i="19" a="1"/>
  <c r="G129" i="19" s="1"/>
  <c r="I129" i="19" a="1"/>
  <c r="I129" i="19" s="1"/>
  <c r="I128" i="19" a="1"/>
  <c r="I128" i="19" s="1"/>
  <c r="G128" i="19" a="1"/>
  <c r="G128" i="19" s="1"/>
  <c r="G125" i="19" a="1"/>
  <c r="G125" i="19" s="1"/>
  <c r="I125" i="19" a="1"/>
  <c r="I125" i="19" s="1"/>
  <c r="G126" i="19" a="1"/>
  <c r="G126" i="19" s="1"/>
  <c r="I126" i="19" a="1"/>
  <c r="I126" i="19" s="1"/>
  <c r="I124" i="19" a="1"/>
  <c r="I124" i="19" s="1"/>
  <c r="G124" i="19" a="1"/>
  <c r="G124" i="19" s="1"/>
  <c r="J244" i="19" a="1"/>
  <c r="J244" i="19" s="1"/>
  <c r="K236" i="19" a="1"/>
  <c r="K236" i="19" s="1"/>
  <c r="J238" i="19" a="1"/>
  <c r="J238" i="19" s="1"/>
  <c r="J245" i="19" a="1"/>
  <c r="J245" i="19" s="1"/>
  <c r="J241" i="19" a="1"/>
  <c r="J241" i="19" s="1"/>
  <c r="J236" i="19" a="1"/>
  <c r="J236" i="19" s="1"/>
  <c r="J239" i="19" a="1"/>
  <c r="J239" i="19" s="1"/>
  <c r="J242" i="19" a="1"/>
  <c r="J242" i="19" s="1"/>
  <c r="J240" i="19" a="1"/>
  <c r="J240" i="19" s="1"/>
  <c r="J237" i="19" a="1"/>
  <c r="J237" i="19" s="1"/>
  <c r="J243" i="19" a="1"/>
  <c r="J243" i="19" s="1"/>
  <c r="F241" i="19" a="1"/>
  <c r="F241" i="19" s="1"/>
  <c r="G241" i="19" s="1" a="1"/>
  <c r="G241" i="19" s="1"/>
  <c r="F244" i="19" a="1"/>
  <c r="F244" i="19" s="1"/>
  <c r="G244" i="19" s="1" a="1"/>
  <c r="G244" i="19" s="1"/>
  <c r="F236" i="19" a="1"/>
  <c r="F236" i="19" s="1"/>
  <c r="F237" i="19" a="1"/>
  <c r="F237" i="19" s="1"/>
  <c r="G237" i="19" s="1" a="1"/>
  <c r="G237" i="19" s="1"/>
  <c r="F239" i="19" a="1"/>
  <c r="F239" i="19" s="1"/>
  <c r="G239" i="19" s="1" a="1"/>
  <c r="G239" i="19" s="1"/>
  <c r="F240" i="19" a="1"/>
  <c r="F240" i="19" s="1"/>
  <c r="G240" i="19" s="1" a="1"/>
  <c r="G240" i="19" s="1"/>
  <c r="F245" i="19" a="1"/>
  <c r="F245" i="19" s="1"/>
  <c r="G245" i="19" s="1" a="1"/>
  <c r="G245" i="19" s="1"/>
  <c r="F242" i="19" a="1"/>
  <c r="F242" i="19" s="1"/>
  <c r="G242" i="19" s="1" a="1"/>
  <c r="G242" i="19" s="1"/>
  <c r="F243" i="19" a="1"/>
  <c r="F243" i="19" s="1"/>
  <c r="G243" i="19" s="1" a="1"/>
  <c r="G243" i="19" s="1"/>
  <c r="F238" i="19" a="1"/>
  <c r="F238" i="19" s="1"/>
  <c r="G238" i="19" s="1" a="1"/>
  <c r="G238" i="19" s="1"/>
  <c r="K242" i="19" a="1"/>
  <c r="K242" i="19" s="1"/>
  <c r="H242" i="19" a="1"/>
  <c r="H242" i="19" s="1"/>
  <c r="K240" i="19" a="1"/>
  <c r="K240" i="19" s="1"/>
  <c r="H240" i="19" a="1"/>
  <c r="H240" i="19" s="1"/>
  <c r="H236" i="19" a="1"/>
  <c r="H236" i="19" s="1"/>
  <c r="H237" i="19" a="1"/>
  <c r="H237" i="19" s="1"/>
  <c r="K237" i="19" a="1"/>
  <c r="K237" i="19" s="1"/>
  <c r="K238" i="19" a="1"/>
  <c r="K238" i="19" s="1"/>
  <c r="H238" i="19" a="1"/>
  <c r="H238" i="19" s="1"/>
  <c r="K241" i="19" a="1"/>
  <c r="K241" i="19" s="1"/>
  <c r="H241" i="19" a="1"/>
  <c r="H241" i="19" s="1"/>
  <c r="H243" i="19" a="1"/>
  <c r="H243" i="19" s="1"/>
  <c r="K243" i="19" a="1"/>
  <c r="K243" i="19" s="1"/>
  <c r="H244" i="19" a="1"/>
  <c r="H244" i="19" s="1"/>
  <c r="K244" i="19" a="1"/>
  <c r="K244" i="19" s="1"/>
  <c r="H245" i="19" a="1"/>
  <c r="H245" i="19" s="1"/>
  <c r="K245" i="19" a="1"/>
  <c r="K245" i="19" s="1"/>
  <c r="K239" i="19" a="1"/>
  <c r="K239" i="19" s="1"/>
  <c r="H239" i="19" a="1"/>
  <c r="H239" i="19" s="1"/>
  <c r="G236" i="19" l="1" a="1"/>
  <c r="G236" i="19" s="1"/>
  <c r="E263" i="19" s="1"/>
  <c r="E267" i="19"/>
  <c r="F17" i="41" s="1"/>
  <c r="E264" i="19"/>
  <c r="E74" i="34" a="1"/>
  <c r="E74" i="34" s="1"/>
  <c r="J86" i="34" s="1"/>
  <c r="E131" i="19"/>
  <c r="E132" i="19"/>
  <c r="E266" i="19"/>
  <c r="E17" i="41" s="1"/>
  <c r="E160" i="19" l="1"/>
  <c r="F15" i="41" s="1"/>
  <c r="E159" i="19"/>
  <c r="E15" i="41" s="1"/>
  <c r="E19" i="34" a="1"/>
  <c r="E19" i="34" s="1"/>
  <c r="E90" i="34" a="1"/>
  <c r="E90" i="34" s="1"/>
  <c r="E55" i="34" a="1"/>
  <c r="E55" i="34" s="1"/>
  <c r="E588" i="19" l="1" a="1"/>
  <c r="E588" i="19" s="1"/>
  <c r="G590" i="19" s="1"/>
  <c r="E593" i="19" s="1" a="1"/>
  <c r="E593" i="19" s="1"/>
  <c r="E32" i="41" s="1"/>
  <c r="F37" i="41" l="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<sst xmlns="http://schemas.openxmlformats.org/spreadsheetml/2006/main" count="2718" uniqueCount="966">
  <si>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</si>
  <si>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</si>
  <si>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</si>
  <si>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</si>
  <si>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</si>
  <si>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</si>
  <si>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</si>
  <si>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</si>
  <si>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</si>
  <si>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</si>
  <si>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</si>
  <si>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</si>
  <si>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</si>
  <si>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</si>
  <si>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</si>
  <si>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</si>
  <si>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</si>
  <si>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</si>
  <si>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</si>
  <si>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</si>
  <si>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</si>
  <si>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</si>
  <si>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</si>
  <si>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</si>
  <si>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</si>
  <si>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</si>
  <si>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</si>
  <si>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</si>
  <si>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</si>
  <si>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</si>
  <si>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</si>
  <si>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</si>
  <si>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</si>
  <si>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</si>
  <si>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</si>
  <si>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</si>
  <si>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</si>
  <si>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</si>
  <si>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</si>
  <si>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</si>
  <si>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</si>
  <si>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</si>
  <si>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</si>
  <si>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</si>
  <si>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</si>
  <si>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</si>
  <si>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</si>
  <si>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</si>
  <si>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</si>
  <si>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</si>
  <si>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</si>
  <si>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</si>
  <si>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</si>
  <si>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</si>
  <si>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</si>
  <si>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</si>
  <si>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</si>
  <si>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</si>
  <si>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</si>
  <si>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</si>
  <si>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</si>
  <si>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</si>
  <si>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</si>
  <si>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</si>
  <si>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</si>
  <si>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</si>
  <si>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</si>
  <si>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</si>
  <si>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</si>
  <si>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</si>
  <si>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</si>
  <si>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</si>
  <si>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</si>
  <si>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</si>
  <si>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</si>
  <si>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</si>
  <si>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</si>
  <si>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</si>
  <si>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</si>
  <si>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</si>
  <si>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</si>
  <si>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</si>
  <si>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</si>
  <si>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</si>
  <si>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</si>
  <si>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</si>
  <si>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</si>
  <si>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</si>
  <si>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</si>
  <si>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</si>
  <si>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</si>
  <si>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</si>
  <si>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</si>
  <si>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</si>
  <si>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General use</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</si>
  <si>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</si>
  <si>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</si>
  <si>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</si>
  <si>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</si>
  <si>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</si>
  <si>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</si>
  <si>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</si>
  <si>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</si>
  <si>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</si>
  <si>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</si>
  <si>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</si>
  <si>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</si>
  <si>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</si>
  <si>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</si>
  <si>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</si>
  <si>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</si>
  <si>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</si>
  <si>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</si>
  <si>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</si>
  <si>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</si>
  <si>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</si>
  <si>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</si>
  <si>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</si>
  <si>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</si>
  <si>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</si>
  <si>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</si>
  <si>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</si>
  <si>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</si>
  <si>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</si>
  <si>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</si>
  <si>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</si>
  <si>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</si>
  <si>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</si>
  <si>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</si>
  <si>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</si>
  <si>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</si>
  <si>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</si>
  <si>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</si>
  <si>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</si>
  <si>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</si>
  <si>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</si>
  <si>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</si>
  <si>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</si>
  <si>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</si>
  <si>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</si>
  <si>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</si>
  <si>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</si>
  <si>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</si>
  <si>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</si>
  <si>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</si>
  <si>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</si>
  <si>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</si>
  <si>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</si>
  <si>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</si>
  <si>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</si>
  <si>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</si>
  <si>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</si>
  <si>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</si>
  <si>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</si>
  <si>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</si>
  <si>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</si>
  <si>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</si>
  <si>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</si>
  <si>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</si>
  <si>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</si>
  <si>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</si>
  <si>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</si>
  <si>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</si>
  <si>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</si>
  <si>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</si>
  <si>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</si>
  <si>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</si>
  <si>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Company</t>
  </si>
  <si>
    <t>Product name</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</si>
  <si>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</si>
  <si>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</si>
  <si>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</si>
  <si>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</si>
  <si>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</si>
  <si>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</si>
  <si>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</si>
  <si>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</si>
  <si>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</si>
  <si>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</si>
  <si>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</si>
  <si>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</si>
  <si>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</si>
  <si>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</si>
  <si>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</si>
  <si>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</si>
  <si>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</si>
  <si>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</si>
  <si>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</si>
  <si>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</si>
  <si>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Ingredient 10 percent</t>
  </si>
  <si>
    <t>Input - Fertiliser</t>
  </si>
  <si>
    <r>
      <rPr>
        <sz val="10"/>
        <color theme="1" tint="0.34998626667073579"/>
        <rFont val="Arial"/>
        <family val="1"/>
      </rPr>
      <t xml:space="preserve">← </t>
    </r>
    <r>
      <rPr>
        <i/>
        <sz val="10"/>
        <color theme="1" tint="0.34998626667073579"/>
        <rFont val="Arial"/>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</si>
  <si>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</si>
  <si>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</si>
  <si>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</si>
  <si>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</si>
  <si>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</si>
  <si>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</si>
  <si>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</si>
  <si>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</si>
  <si>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</si>
  <si>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</si>
  <si>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</si>
  <si>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</si>
  <si>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</si>
  <si>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</si>
  <si>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</si>
  <si>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</si>
  <si>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</si>
  <si>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</si>
  <si>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</si>
  <si>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</si>
  <si>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</si>
  <si>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</si>
  <si>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</si>
  <si>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0"/>
        <color rgb="FF533001"/>
        <rFont val="Arial"/>
        <family val="1"/>
      </rPr>
      <t>3</t>
    </r>
  </si>
  <si>
    <r>
      <t>Percent Dolomite CaMg(CO</t>
    </r>
    <r>
      <rPr>
        <b/>
        <vertAlign val="subscript"/>
        <sz val="10"/>
        <color rgb="FF533001"/>
        <rFont val="Arial"/>
        <family val="1"/>
      </rPr>
      <t>3</t>
    </r>
    <r>
      <rPr>
        <b/>
        <sz val="10"/>
        <color rgb="FF533001"/>
        <rFont val="Arial"/>
        <family val="1"/>
      </rPr>
      <t>)</t>
    </r>
    <r>
      <rPr>
        <b/>
        <vertAlign val="subscript"/>
        <sz val="10"/>
        <color rgb="FF533001"/>
        <rFont val="Arial"/>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</si>
  <si>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</si>
  <si>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</si>
  <si>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</si>
  <si>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</si>
  <si>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</si>
  <si>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</si>
  <si>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</si>
  <si>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</si>
  <si>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</si>
  <si>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</si>
  <si>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</si>
  <si>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</si>
  <si>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</si>
  <si>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</si>
  <si>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</si>
  <si>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</si>
  <si>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</si>
  <si>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</si>
  <si>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</si>
  <si>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</si>
  <si>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</si>
  <si>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</si>
  <si>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</si>
  <si>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</si>
  <si>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</si>
  <si>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</si>
  <si>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</si>
  <si>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</si>
  <si>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</si>
  <si>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</si>
  <si>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</si>
  <si>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</si>
  <si>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</si>
  <si>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</si>
  <si>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</si>
  <si>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Dec 2023 certs</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</si>
  <si>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</si>
  <si>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</si>
  <si>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</si>
  <si>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</si>
  <si>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</si>
  <si>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</si>
  <si>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</si>
  <si>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</si>
  <si>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</si>
  <si>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</si>
  <si>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</si>
  <si>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</si>
  <si>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</si>
  <si>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</si>
  <si>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</si>
  <si>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0"/>
        <color theme="1" tint="0.34998626667073579"/>
        <rFont val="Arial"/>
        <family val="1"/>
      </rPr>
      <t xml:space="preserve">← </t>
    </r>
    <r>
      <rPr>
        <i/>
        <sz val="10"/>
        <color theme="1" tint="0.34998626667073579"/>
        <rFont val="Arial"/>
        <family val="1"/>
      </rPr>
      <t>DD/MM/YYYY or DD Month YYYY</t>
    </r>
  </si>
  <si>
    <t>Emissions calculation period end date</t>
  </si>
  <si>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</si>
  <si>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</si>
  <si>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</si>
  <si>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</si>
  <si>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</si>
  <si>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</si>
  <si>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</si>
  <si>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</si>
  <si>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</si>
  <si>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</si>
  <si>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</si>
  <si>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</si>
  <si>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</si>
  <si>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</si>
  <si>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</si>
  <si>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</si>
  <si>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</si>
  <si>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</si>
  <si>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</si>
  <si>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</si>
  <si>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</si>
  <si>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</si>
  <si>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</si>
  <si>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</si>
  <si>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</si>
  <si>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</si>
  <si>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</si>
  <si>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</si>
  <si>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</si>
  <si>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</si>
  <si>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</si>
  <si>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</si>
  <si>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</si>
  <si>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</si>
  <si>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</si>
  <si>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</si>
  <si>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</si>
  <si>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</si>
  <si>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</si>
  <si>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Western Australia - South West Interconnected System (SWIS)</t>
  </si>
  <si>
    <t>Application unit</t>
  </si>
  <si>
    <t>Density</t>
  </si>
  <si>
    <t>Category</t>
  </si>
  <si>
    <t>Region of origin</t>
  </si>
  <si>
    <t>Calcium nitrate</t>
  </si>
  <si>
    <t>Ammonia</t>
  </si>
  <si>
    <t>Amount applied per hectare</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</si>
  <si>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</si>
  <si>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</si>
  <si>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</si>
  <si>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</si>
  <si>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</si>
  <si>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</si>
  <si>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</si>
  <si>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</si>
  <si>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</si>
  <si>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</si>
  <si>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</si>
  <si>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</si>
  <si>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</si>
  <si>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</si>
  <si>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</si>
  <si>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</si>
  <si>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</si>
  <si>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</si>
  <si>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</si>
  <si>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</si>
  <si>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</si>
  <si>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</si>
  <si>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</si>
  <si>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</si>
  <si>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</si>
  <si>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</si>
  <si>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</si>
  <si>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</si>
  <si>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kg</t>
  </si>
  <si>
    <t>Ingredient 2 EF</t>
  </si>
  <si>
    <t>Ingredient 3 EF</t>
  </si>
  <si>
    <t>Ingredient 4 EF</t>
  </si>
  <si>
    <t>Scope 3 (Method 1)</t>
  </si>
  <si>
    <t>Scope 3 (Method 2)</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</si>
  <si>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</si>
  <si>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</si>
  <si>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</si>
  <si>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</si>
  <si>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</si>
  <si>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</si>
  <si>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</si>
  <si>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</si>
  <si>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</si>
  <si>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</si>
  <si>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</si>
  <si>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</si>
  <si>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</si>
  <si>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</si>
  <si>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</si>
  <si>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</si>
  <si>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</si>
  <si>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</si>
  <si>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</si>
  <si>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</si>
  <si>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</si>
  <si>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</si>
  <si>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</si>
  <si>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</si>
  <si>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</si>
  <si>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</si>
  <si>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</si>
  <si>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</si>
  <si>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</si>
  <si>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</si>
  <si>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</si>
  <si>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</si>
  <si>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</si>
  <si>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</si>
  <si>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</si>
  <si>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</si>
  <si>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</si>
  <si>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</si>
  <si>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</si>
  <si>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</si>
  <si>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</si>
  <si>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</si>
  <si>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</si>
  <si>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</si>
  <si>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</si>
  <si>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</si>
  <si>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</si>
  <si>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</si>
  <si>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</si>
  <si>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</si>
  <si>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</si>
  <si>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</si>
  <si>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</si>
  <si>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</si>
  <si>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</si>
  <si>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</si>
  <si>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</si>
  <si>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</si>
  <si>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</si>
  <si>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</si>
  <si>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</si>
  <si>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</si>
  <si>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</si>
  <si>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</si>
  <si>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</si>
  <si>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</si>
  <si>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</si>
  <si>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</si>
  <si>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</si>
  <si>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</si>
  <si>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</si>
  <si>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</si>
  <si>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</si>
  <si>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</si>
  <si>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</si>
  <si>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</si>
  <si>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</si>
  <si>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</si>
  <si>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</si>
  <si>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</si>
  <si>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</si>
  <si>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</si>
  <si>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</si>
  <si>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</si>
  <si>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</si>
  <si>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</si>
  <si>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</si>
  <si>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</si>
  <si>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</si>
  <si>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</si>
  <si>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</si>
  <si>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</si>
  <si>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</si>
  <si>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</si>
  <si>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</si>
  <si>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</si>
  <si>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</si>
  <si>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</si>
  <si>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</si>
  <si>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</si>
  <si>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</si>
  <si>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</si>
  <si>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</si>
  <si>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</si>
  <si>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</si>
  <si>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</si>
  <si>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</si>
  <si>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</si>
  <si>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</si>
  <si>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</si>
  <si>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</si>
  <si>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</si>
  <si>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</si>
  <si>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</si>
  <si>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</si>
  <si>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</si>
  <si>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</si>
  <si>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</si>
  <si>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</si>
  <si>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</si>
  <si>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</si>
  <si>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</si>
  <si>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</si>
  <si>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</si>
  <si>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</si>
  <si>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</si>
  <si>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</si>
  <si>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</si>
  <si>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</si>
  <si>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</si>
  <si>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</si>
  <si>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</si>
  <si>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</si>
  <si>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</si>
  <si>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</si>
  <si>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</si>
  <si>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</si>
  <si>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</si>
  <si>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</si>
  <si>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</si>
  <si>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</si>
  <si>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</si>
  <si>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</si>
  <si>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</si>
  <si>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</si>
  <si>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</si>
  <si>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</si>
  <si>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</si>
  <si>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</si>
  <si>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</si>
  <si>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</si>
  <si>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</si>
  <si>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</si>
  <si>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</si>
  <si>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</si>
  <si>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</si>
  <si>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</si>
  <si>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</si>
  <si>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</si>
  <si>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</si>
  <si>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</si>
  <si>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</si>
  <si>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</si>
  <si>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</si>
  <si>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</si>
  <si>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</si>
  <si>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</si>
  <si>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</si>
  <si>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</si>
  <si>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</si>
  <si>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</si>
  <si>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</si>
  <si>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</si>
  <si>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</si>
  <si>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</si>
  <si>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</si>
  <si>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</si>
  <si>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</si>
  <si>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</si>
  <si>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</si>
  <si>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</si>
  <si>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</si>
  <si>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</si>
  <si>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</si>
  <si>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</si>
  <si>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</si>
  <si>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</si>
  <si>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</si>
  <si>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</si>
  <si>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</si>
  <si>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</si>
  <si>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</si>
  <si>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</si>
  <si>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</si>
  <si>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</si>
  <si>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</si>
  <si>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</si>
  <si>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</si>
  <si>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</si>
  <si>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</si>
  <si>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</si>
  <si>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</si>
  <si>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</si>
  <si>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</si>
  <si>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</si>
  <si>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</si>
  <si>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Livestock type j</t>
  </si>
  <si>
    <t>Average liveweight (kg)</t>
  </si>
  <si>
    <t>Pigs from Pam</t>
  </si>
  <si>
    <t>Sows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</si>
  <si>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</si>
  <si>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</si>
  <si>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</si>
  <si>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</si>
  <si>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</si>
  <si>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</si>
  <si>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</si>
  <si>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</si>
  <si>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</si>
  <si>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</si>
  <si>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</si>
  <si>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</si>
  <si>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</si>
  <si>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</si>
  <si>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</si>
  <si>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</si>
  <si>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</si>
  <si>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</si>
  <si>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</si>
  <si>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</si>
  <si>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</si>
  <si>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</si>
  <si>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</si>
  <si>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</si>
  <si>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</si>
  <si>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</si>
  <si>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</si>
  <si>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</si>
  <si>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</si>
  <si>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</si>
  <si>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</si>
  <si>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</si>
  <si>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</si>
  <si>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</si>
  <si>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</si>
  <si>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</si>
  <si>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</si>
  <si>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</si>
  <si>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</si>
  <si>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</si>
  <si>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</si>
  <si>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</si>
  <si>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</si>
  <si>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</si>
  <si>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</si>
  <si>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Total amount</t>
  </si>
  <si>
    <t>Scope 3 unit</t>
  </si>
  <si>
    <t>Hour</t>
  </si>
  <si>
    <t>Hectare</t>
  </si>
  <si>
    <t>Wheat harvesting</t>
  </si>
  <si>
    <t>Activity</t>
  </si>
  <si>
    <t>EF (Method 1)</t>
  </si>
  <si>
    <t>EF (Method 2)</t>
  </si>
  <si>
    <t>Origin o</t>
  </si>
  <si>
    <t>Livestock type c</t>
  </si>
  <si>
    <r>
      <t>N</t>
    </r>
    <r>
      <rPr>
        <b/>
        <vertAlign val="subscript"/>
        <sz val="10"/>
        <color theme="1"/>
        <rFont val="Arial"/>
        <family val="1"/>
      </rPr>
      <t>co</t>
    </r>
  </si>
  <si>
    <r>
      <t>W</t>
    </r>
    <r>
      <rPr>
        <b/>
        <vertAlign val="subscript"/>
        <sz val="10"/>
        <color theme="1"/>
        <rFont val="Arial"/>
        <family val="1"/>
      </rPr>
      <t>co</t>
    </r>
    <r>
      <rPr>
        <b/>
        <sz val="10"/>
        <color theme="1"/>
        <rFont val="Arial"/>
        <family val="2"/>
      </rPr>
      <t xml:space="preserve"> - Method 1 (kg/head)</t>
    </r>
  </si>
  <si>
    <r>
      <t>W</t>
    </r>
    <r>
      <rPr>
        <b/>
        <vertAlign val="subscript"/>
        <sz val="10"/>
        <color theme="1"/>
        <rFont val="Arial"/>
        <family val="1"/>
      </rPr>
      <t>co</t>
    </r>
    <r>
      <rPr>
        <b/>
        <sz val="10"/>
        <color theme="1"/>
        <rFont val="Arial"/>
        <family val="2"/>
      </rPr>
      <t xml:space="preserve"> - Method 2 (kg/head)</t>
    </r>
  </si>
  <si>
    <r>
      <t>EF</t>
    </r>
    <r>
      <rPr>
        <b/>
        <vertAlign val="subscript"/>
        <sz val="10"/>
        <color rgb="FF183C1B"/>
        <rFont val="Arial"/>
        <family val="1"/>
      </rPr>
      <t>co</t>
    </r>
    <r>
      <rPr>
        <b/>
        <sz val="10"/>
        <color rgb="FF183C1B"/>
        <rFont val="Arial"/>
        <family val="1"/>
      </rPr>
      <t xml:space="preserve"> (Method 1)</t>
    </r>
  </si>
  <si>
    <r>
      <t>EF</t>
    </r>
    <r>
      <rPr>
        <b/>
        <vertAlign val="subscript"/>
        <sz val="10"/>
        <color rgb="FF533001"/>
        <rFont val="Arial"/>
        <family val="1"/>
      </rPr>
      <t>co</t>
    </r>
    <r>
      <rPr>
        <b/>
        <sz val="10"/>
        <color rgb="FF533001"/>
        <rFont val="Arial"/>
        <family val="1"/>
      </rPr>
      <t xml:space="preserve"> (Method 2)</t>
    </r>
  </si>
  <si>
    <t>Function name</t>
  </si>
  <si>
    <t>Variable</t>
  </si>
  <si>
    <r>
      <t>EF</t>
    </r>
    <r>
      <rPr>
        <vertAlign val="subscript"/>
        <sz val="9"/>
        <color theme="1" tint="0.34998626667073579"/>
        <rFont val="Arial"/>
        <family val="1"/>
      </rPr>
      <t>co</t>
    </r>
    <r>
      <rPr>
        <sz val="9"/>
        <color theme="1" tint="0.34998626667073579"/>
        <rFont val="Arial"/>
        <family val="1"/>
      </rPr>
      <t xml:space="preserve"> (Method 1)</t>
    </r>
  </si>
  <si>
    <t>Method 2 EF source</t>
  </si>
  <si>
    <t>Method 2 EF source type (Select)</t>
  </si>
  <si>
    <t>Method 2 EF proof link</t>
  </si>
  <si>
    <r>
      <t>Q</t>
    </r>
    <r>
      <rPr>
        <b/>
        <vertAlign val="subscript"/>
        <sz val="10"/>
        <color rgb="FF533001"/>
        <rFont val="Arial"/>
        <family val="1"/>
      </rPr>
      <t>j</t>
    </r>
  </si>
  <si>
    <t>E (Method 1)</t>
  </si>
  <si>
    <r>
      <t>EF</t>
    </r>
    <r>
      <rPr>
        <b/>
        <vertAlign val="subscript"/>
        <sz val="10"/>
        <color rgb="FF533001"/>
        <rFont val="Arial"/>
        <family val="1"/>
      </rPr>
      <t>j</t>
    </r>
    <r>
      <rPr>
        <b/>
        <sz val="10"/>
        <color rgb="FF533001"/>
        <rFont val="Arial"/>
        <family val="1"/>
      </rPr>
      <t xml:space="preserve"> (Method 2)</t>
    </r>
  </si>
  <si>
    <t>E (Method 2)</t>
  </si>
  <si>
    <r>
      <t>EF</t>
    </r>
    <r>
      <rPr>
        <b/>
        <vertAlign val="subscript"/>
        <sz val="10"/>
        <color rgb="FF183C1B"/>
        <rFont val="Arial"/>
        <family val="1"/>
      </rPr>
      <t>j</t>
    </r>
    <r>
      <rPr>
        <b/>
        <sz val="10"/>
        <color rgb="FF183C1B"/>
        <rFont val="Arial"/>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</si>
  <si>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</si>
  <si>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</si>
  <si>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</si>
  <si>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0"/>
        <color rgb="FF533001"/>
        <rFont val="Arial"/>
        <family val="1"/>
      </rPr>
      <t>m</t>
    </r>
  </si>
  <si>
    <r>
      <t>EF</t>
    </r>
    <r>
      <rPr>
        <b/>
        <vertAlign val="subscript"/>
        <sz val="10"/>
        <color rgb="FF183C1B"/>
        <rFont val="Arial"/>
        <family val="1"/>
      </rPr>
      <t>m</t>
    </r>
    <r>
      <rPr>
        <b/>
        <sz val="10"/>
        <color rgb="FF183C1B"/>
        <rFont val="Arial"/>
        <family val="1"/>
      </rPr>
      <t xml:space="preserve"> (Method 1)</t>
    </r>
  </si>
  <si>
    <r>
      <t>EF</t>
    </r>
    <r>
      <rPr>
        <b/>
        <vertAlign val="subscript"/>
        <sz val="10"/>
        <color rgb="FF533001"/>
        <rFont val="Arial"/>
        <family val="1"/>
      </rPr>
      <t>m</t>
    </r>
    <r>
      <rPr>
        <b/>
        <sz val="10"/>
        <color rgb="FF533001"/>
        <rFont val="Arial"/>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</si>
  <si>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</si>
  <si>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</si>
  <si>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</si>
  <si>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</si>
  <si>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</si>
  <si>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</si>
  <si>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</si>
  <si>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</si>
  <si>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</si>
  <si>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</si>
  <si>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</si>
  <si>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</si>
  <si>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</si>
  <si>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0"/>
        <color rgb="FF183C1B"/>
        <rFont val="Arial"/>
        <family val="1"/>
      </rPr>
      <t xml:space="preserve">c - </t>
    </r>
    <r>
      <rPr>
        <b/>
        <sz val="10"/>
        <color rgb="FF183C1B"/>
        <rFont val="Arial"/>
        <family val="1"/>
      </rPr>
      <t>Ingredient 1 (Method 1)</t>
    </r>
  </si>
  <si>
    <r>
      <t>EF</t>
    </r>
    <r>
      <rPr>
        <b/>
        <vertAlign val="subscript"/>
        <sz val="10"/>
        <color rgb="FF533001"/>
        <rFont val="Arial"/>
        <family val="1"/>
      </rPr>
      <t>c</t>
    </r>
    <r>
      <rPr>
        <b/>
        <sz val="10"/>
        <color rgb="FF533001"/>
        <rFont val="Arial"/>
        <family val="1"/>
      </rPr>
      <t xml:space="preserve"> - Ingredient 1 (Method 2)</t>
    </r>
  </si>
  <si>
    <r>
      <t>EF</t>
    </r>
    <r>
      <rPr>
        <b/>
        <vertAlign val="subscript"/>
        <sz val="10"/>
        <color rgb="FF183C1B"/>
        <rFont val="Arial"/>
        <family val="1"/>
      </rPr>
      <t xml:space="preserve">c - </t>
    </r>
    <r>
      <rPr>
        <b/>
        <sz val="10"/>
        <color rgb="FF183C1B"/>
        <rFont val="Arial"/>
        <family val="1"/>
      </rPr>
      <t>Ingredient 2 (Method 1)</t>
    </r>
  </si>
  <si>
    <r>
      <t>EF</t>
    </r>
    <r>
      <rPr>
        <b/>
        <vertAlign val="subscript"/>
        <sz val="10"/>
        <color rgb="FF533001"/>
        <rFont val="Arial"/>
        <family val="1"/>
      </rPr>
      <t>c</t>
    </r>
    <r>
      <rPr>
        <b/>
        <sz val="10"/>
        <color rgb="FF533001"/>
        <rFont val="Arial"/>
        <family val="1"/>
      </rPr>
      <t xml:space="preserve"> - Ingredient 2 (Method 2)</t>
    </r>
  </si>
  <si>
    <r>
      <t>EF</t>
    </r>
    <r>
      <rPr>
        <b/>
        <vertAlign val="subscript"/>
        <sz val="10"/>
        <color rgb="FF183C1B"/>
        <rFont val="Arial"/>
        <family val="1"/>
      </rPr>
      <t xml:space="preserve">c - </t>
    </r>
    <r>
      <rPr>
        <b/>
        <sz val="10"/>
        <color rgb="FF183C1B"/>
        <rFont val="Arial"/>
        <family val="1"/>
      </rPr>
      <t>Ingredient 3 (Method 1)</t>
    </r>
  </si>
  <si>
    <r>
      <t>EF</t>
    </r>
    <r>
      <rPr>
        <b/>
        <vertAlign val="subscript"/>
        <sz val="10"/>
        <color rgb="FF533001"/>
        <rFont val="Arial"/>
        <family val="1"/>
      </rPr>
      <t>c</t>
    </r>
    <r>
      <rPr>
        <b/>
        <sz val="10"/>
        <color rgb="FF533001"/>
        <rFont val="Arial"/>
        <family val="1"/>
      </rPr>
      <t xml:space="preserve"> - Ingredient 3 (Method 2)</t>
    </r>
  </si>
  <si>
    <r>
      <t>EF</t>
    </r>
    <r>
      <rPr>
        <b/>
        <vertAlign val="subscript"/>
        <sz val="10"/>
        <color rgb="FF183C1B"/>
        <rFont val="Arial"/>
        <family val="1"/>
      </rPr>
      <t xml:space="preserve">c - </t>
    </r>
    <r>
      <rPr>
        <b/>
        <sz val="10"/>
        <color rgb="FF183C1B"/>
        <rFont val="Arial"/>
        <family val="1"/>
      </rPr>
      <t>Ingredient 4 (Method 1)</t>
    </r>
  </si>
  <si>
    <r>
      <t>EF</t>
    </r>
    <r>
      <rPr>
        <b/>
        <vertAlign val="subscript"/>
        <sz val="10"/>
        <color rgb="FF533001"/>
        <rFont val="Arial"/>
        <family val="1"/>
      </rPr>
      <t>c</t>
    </r>
    <r>
      <rPr>
        <b/>
        <sz val="10"/>
        <color rgb="FF533001"/>
        <rFont val="Arial"/>
        <family val="1"/>
      </rPr>
      <t xml:space="preserve"> - Ingredient 4 (Method 2)</t>
    </r>
  </si>
  <si>
    <r>
      <t>EF</t>
    </r>
    <r>
      <rPr>
        <b/>
        <vertAlign val="subscript"/>
        <sz val="10"/>
        <color rgb="FF183C1B"/>
        <rFont val="Arial"/>
        <family val="1"/>
      </rPr>
      <t xml:space="preserve">c - </t>
    </r>
    <r>
      <rPr>
        <b/>
        <sz val="10"/>
        <color rgb="FF183C1B"/>
        <rFont val="Arial"/>
        <family val="1"/>
      </rPr>
      <t>Ingredient 5 (Method 1)</t>
    </r>
  </si>
  <si>
    <r>
      <t>EF</t>
    </r>
    <r>
      <rPr>
        <b/>
        <vertAlign val="subscript"/>
        <sz val="10"/>
        <color rgb="FF533001"/>
        <rFont val="Arial"/>
        <family val="1"/>
      </rPr>
      <t>c</t>
    </r>
    <r>
      <rPr>
        <b/>
        <sz val="10"/>
        <color rgb="FF533001"/>
        <rFont val="Arial"/>
        <family val="1"/>
      </rPr>
      <t xml:space="preserve"> - Ingredient 5 (Method 2)</t>
    </r>
  </si>
  <si>
    <r>
      <t>EF</t>
    </r>
    <r>
      <rPr>
        <b/>
        <vertAlign val="subscript"/>
        <sz val="10"/>
        <color rgb="FF183C1B"/>
        <rFont val="Arial"/>
        <family val="1"/>
      </rPr>
      <t xml:space="preserve">c - </t>
    </r>
    <r>
      <rPr>
        <b/>
        <sz val="10"/>
        <color rgb="FF183C1B"/>
        <rFont val="Arial"/>
        <family val="1"/>
      </rPr>
      <t>Ingredient 6 (Method 1)</t>
    </r>
  </si>
  <si>
    <r>
      <t>EF</t>
    </r>
    <r>
      <rPr>
        <b/>
        <vertAlign val="subscript"/>
        <sz val="10"/>
        <color rgb="FF533001"/>
        <rFont val="Arial"/>
        <family val="1"/>
      </rPr>
      <t>c</t>
    </r>
    <r>
      <rPr>
        <b/>
        <sz val="10"/>
        <color rgb="FF533001"/>
        <rFont val="Arial"/>
        <family val="1"/>
      </rPr>
      <t xml:space="preserve"> - Ingredient 6 (Method 2)</t>
    </r>
  </si>
  <si>
    <r>
      <t>EF</t>
    </r>
    <r>
      <rPr>
        <b/>
        <vertAlign val="subscript"/>
        <sz val="10"/>
        <color rgb="FF183C1B"/>
        <rFont val="Arial"/>
        <family val="1"/>
      </rPr>
      <t>f</t>
    </r>
    <r>
      <rPr>
        <b/>
        <sz val="10"/>
        <color rgb="FF183C1B"/>
        <rFont val="Arial"/>
        <family val="1"/>
      </rPr>
      <t xml:space="preserve"> (Method 1)</t>
    </r>
  </si>
  <si>
    <r>
      <t>EF</t>
    </r>
    <r>
      <rPr>
        <b/>
        <vertAlign val="subscript"/>
        <sz val="10"/>
        <color rgb="FF533001"/>
        <rFont val="Arial"/>
        <family val="1"/>
      </rPr>
      <t>f</t>
    </r>
    <r>
      <rPr>
        <b/>
        <sz val="10"/>
        <color rgb="FF533001"/>
        <rFont val="Arial"/>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</si>
  <si>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</si>
  <si>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</si>
  <si>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</si>
  <si>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</si>
  <si>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</si>
  <si>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</si>
  <si>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</si>
  <si>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</si>
  <si>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</si>
  <si>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</si>
  <si>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</si>
  <si>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0"/>
        <color rgb="FF183C1B"/>
        <rFont val="Arial"/>
        <family val="1"/>
      </rPr>
      <t>h</t>
    </r>
    <r>
      <rPr>
        <b/>
        <sz val="10"/>
        <color rgb="FF183C1B"/>
        <rFont val="Arial"/>
        <family val="1"/>
      </rPr>
      <t xml:space="preserve"> (Method 1)</t>
    </r>
  </si>
  <si>
    <r>
      <t>EF</t>
    </r>
    <r>
      <rPr>
        <b/>
        <vertAlign val="subscript"/>
        <sz val="10"/>
        <color rgb="FF533001"/>
        <rFont val="Arial"/>
        <family val="1"/>
      </rPr>
      <t>h</t>
    </r>
    <r>
      <rPr>
        <b/>
        <sz val="10"/>
        <color rgb="FF533001"/>
        <rFont val="Arial"/>
        <family val="1"/>
      </rPr>
      <t xml:space="preserve"> (Method 2)</t>
    </r>
  </si>
  <si>
    <t>Total amount (t)</t>
  </si>
  <si>
    <t>E(Method 2)</t>
  </si>
  <si>
    <r>
      <t>EF</t>
    </r>
    <r>
      <rPr>
        <vertAlign val="subscript"/>
        <sz val="10"/>
        <color theme="1" tint="0.24994659260841701"/>
        <rFont val="Arial"/>
        <family val="1"/>
      </rPr>
      <t>l</t>
    </r>
    <r>
      <rPr>
        <sz val="10"/>
        <color theme="1" tint="0.24994659260841701"/>
        <rFont val="Arial"/>
        <family val="1"/>
      </rPr>
      <t xml:space="preserve"> - Lime</t>
    </r>
  </si>
  <si>
    <r>
      <t>EF</t>
    </r>
    <r>
      <rPr>
        <vertAlign val="subscript"/>
        <sz val="10"/>
        <color theme="1" tint="0.24994659260841701"/>
        <rFont val="Arial"/>
        <family val="1"/>
      </rPr>
      <t>l</t>
    </r>
    <r>
      <rPr>
        <sz val="10"/>
        <color theme="1" tint="0.24994659260841701"/>
        <rFont val="Arial"/>
        <family val="1"/>
      </rPr>
      <t xml:space="preserve"> - Dolomite</t>
    </r>
  </si>
  <si>
    <r>
      <t>EF</t>
    </r>
    <r>
      <rPr>
        <vertAlign val="subscript"/>
        <sz val="10"/>
        <color theme="1" tint="0.24994659260841701"/>
        <rFont val="Arial"/>
        <family val="1"/>
      </rPr>
      <t>l</t>
    </r>
    <r>
      <rPr>
        <sz val="10"/>
        <color theme="1" tint="0.24994659260841701"/>
        <rFont val="Arial"/>
        <family val="1"/>
      </rPr>
      <t xml:space="preserve"> - Gypsum</t>
    </r>
  </si>
  <si>
    <r>
      <t>M</t>
    </r>
    <r>
      <rPr>
        <b/>
        <vertAlign val="subscript"/>
        <sz val="10"/>
        <color rgb="FF533001"/>
        <rFont val="Arial"/>
        <family val="1"/>
      </rPr>
      <t>lime</t>
    </r>
    <r>
      <rPr>
        <b/>
        <sz val="10"/>
        <color rgb="FF533001"/>
        <rFont val="Arial"/>
        <family val="1"/>
      </rPr>
      <t xml:space="preserve"> - Lime</t>
    </r>
  </si>
  <si>
    <r>
      <t>M</t>
    </r>
    <r>
      <rPr>
        <b/>
        <vertAlign val="subscript"/>
        <sz val="10"/>
        <color rgb="FF533001"/>
        <rFont val="Arial"/>
        <family val="1"/>
      </rPr>
      <t>lime</t>
    </r>
    <r>
      <rPr>
        <b/>
        <sz val="10"/>
        <color rgb="FF533001"/>
        <rFont val="Arial"/>
        <family val="1"/>
      </rPr>
      <t xml:space="preserve"> - Dolomite</t>
    </r>
  </si>
  <si>
    <r>
      <t>M</t>
    </r>
    <r>
      <rPr>
        <b/>
        <vertAlign val="subscript"/>
        <sz val="10"/>
        <color rgb="FF533001"/>
        <rFont val="Arial"/>
        <family val="1"/>
      </rPr>
      <t>lime</t>
    </r>
    <r>
      <rPr>
        <b/>
        <sz val="10"/>
        <color rgb="FF533001"/>
        <rFont val="Arial"/>
        <family val="1"/>
      </rPr>
      <t xml:space="preserve"> - Gypsum</t>
    </r>
  </si>
  <si>
    <r>
      <t xml:space="preserve">⚠️ </t>
    </r>
    <r>
      <rPr>
        <b/>
        <sz val="10"/>
        <color rgb="FFC44340"/>
        <rFont val="Arial"/>
        <family val="1"/>
      </rPr>
      <t>ALERT:</t>
    </r>
    <r>
      <rPr>
        <sz val="10"/>
        <color rgb="FFC44340"/>
        <rFont val="Arial"/>
        <family val="1"/>
      </rPr>
      <t xml:space="preserve"> No Method 1 EF data for purchased services and contractor operations is in </t>
    </r>
    <r>
      <rPr>
        <i/>
        <sz val="10"/>
        <color rgb="FFC44340"/>
        <rFont val="Arial"/>
        <family val="1"/>
      </rPr>
      <t>Greenhouse Gas Emission Intensities for Material Inputs to Australian Agriculture, Fisheries and Forestry</t>
    </r>
    <r>
      <rPr>
        <sz val="10"/>
        <color rgb="FFC44340"/>
        <rFont val="Arial"/>
        <family val="1"/>
      </rPr>
      <t>. Use method 2 EF values from your chosen data source.</t>
    </r>
  </si>
  <si>
    <r>
      <t>Q</t>
    </r>
    <r>
      <rPr>
        <b/>
        <vertAlign val="subscript"/>
        <sz val="10"/>
        <color theme="1"/>
        <rFont val="Arial"/>
        <family val="1"/>
      </rPr>
      <t>p</t>
    </r>
    <r>
      <rPr>
        <b/>
        <sz val="10"/>
        <color theme="1"/>
        <rFont val="Arial"/>
        <family val="2"/>
      </rPr>
      <t xml:space="preserve"> (kg)</t>
    </r>
  </si>
  <si>
    <r>
      <t>EF</t>
    </r>
    <r>
      <rPr>
        <b/>
        <vertAlign val="subscript"/>
        <sz val="10"/>
        <color rgb="FF183C1B"/>
        <rFont val="Arial"/>
        <family val="1"/>
      </rPr>
      <t xml:space="preserve">p </t>
    </r>
    <r>
      <rPr>
        <b/>
        <sz val="10"/>
        <color rgb="FF183C1B"/>
        <rFont val="Arial"/>
        <family val="1"/>
      </rPr>
      <t>(Method 1)</t>
    </r>
  </si>
  <si>
    <r>
      <t>EF</t>
    </r>
    <r>
      <rPr>
        <b/>
        <vertAlign val="subscript"/>
        <sz val="10"/>
        <color rgb="FF533001"/>
        <rFont val="Arial"/>
        <family val="1"/>
      </rPr>
      <t>p</t>
    </r>
    <r>
      <rPr>
        <b/>
        <sz val="10"/>
        <color rgb="FF533001"/>
        <rFont val="Arial"/>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</si>
  <si>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</si>
  <si>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</si>
  <si>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</si>
  <si>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</si>
  <si>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</si>
  <si>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</si>
  <si>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</si>
  <si>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</si>
  <si>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</si>
  <si>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</si>
  <si>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</si>
  <si>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</si>
  <si>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</si>
  <si>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</si>
  <si>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</si>
  <si>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</si>
  <si>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0"/>
        <color rgb="FF183C1B"/>
        <rFont val="Arial"/>
        <family val="1"/>
      </rPr>
      <t>Trans,q</t>
    </r>
  </si>
  <si>
    <r>
      <t>EF</t>
    </r>
    <r>
      <rPr>
        <b/>
        <vertAlign val="subscript"/>
        <sz val="10"/>
        <color rgb="FF183C1B"/>
        <rFont val="Arial"/>
        <family val="1"/>
      </rPr>
      <t>Trans,1,q,g=CO2</t>
    </r>
  </si>
  <si>
    <r>
      <t>EF</t>
    </r>
    <r>
      <rPr>
        <b/>
        <vertAlign val="subscript"/>
        <sz val="10"/>
        <color rgb="FF183C1B"/>
        <rFont val="Arial"/>
        <family val="1"/>
      </rPr>
      <t>Trans,1,q,g=CH4</t>
    </r>
  </si>
  <si>
    <r>
      <t>EF</t>
    </r>
    <r>
      <rPr>
        <b/>
        <vertAlign val="subscript"/>
        <sz val="10"/>
        <color rgb="FF183C1B"/>
        <rFont val="Arial"/>
        <family val="1"/>
      </rPr>
      <t>Trans,1,q,g=N20</t>
    </r>
  </si>
  <si>
    <r>
      <t>EF</t>
    </r>
    <r>
      <rPr>
        <b/>
        <vertAlign val="subscript"/>
        <sz val="10"/>
        <color rgb="FF183C1B"/>
        <rFont val="Arial"/>
        <family val="1"/>
      </rPr>
      <t>Trans,3,q</t>
    </r>
  </si>
  <si>
    <r>
      <t>Q</t>
    </r>
    <r>
      <rPr>
        <b/>
        <vertAlign val="subscript"/>
        <sz val="10"/>
        <color rgb="FF533001"/>
        <rFont val="Arial"/>
        <family val="1"/>
      </rPr>
      <t>Trans,q</t>
    </r>
  </si>
  <si>
    <t>Q unit</t>
  </si>
  <si>
    <r>
      <t>E</t>
    </r>
    <r>
      <rPr>
        <b/>
        <vertAlign val="subscript"/>
        <sz val="10"/>
        <color rgb="FF183C1B"/>
        <rFont val="Arial"/>
        <family val="1"/>
      </rPr>
      <t>g=CO2</t>
    </r>
  </si>
  <si>
    <r>
      <t>E</t>
    </r>
    <r>
      <rPr>
        <b/>
        <vertAlign val="subscript"/>
        <sz val="10"/>
        <color rgb="FF183C1B"/>
        <rFont val="Arial"/>
        <family val="1"/>
      </rPr>
      <t>g=CH4</t>
    </r>
  </si>
  <si>
    <r>
      <t>E</t>
    </r>
    <r>
      <rPr>
        <b/>
        <vertAlign val="subscript"/>
        <sz val="10"/>
        <color rgb="FF183C1B"/>
        <rFont val="Arial"/>
        <family val="1"/>
      </rPr>
      <t>g=N20</t>
    </r>
  </si>
  <si>
    <r>
      <t>E</t>
    </r>
    <r>
      <rPr>
        <b/>
        <vertAlign val="subscript"/>
        <sz val="10"/>
        <color rgb="FF183C1B"/>
        <rFont val="Arial"/>
        <family val="1"/>
      </rPr>
      <t>3WTT,trans,q</t>
    </r>
  </si>
  <si>
    <t>CO2</t>
  </si>
  <si>
    <t>CH4</t>
  </si>
  <si>
    <t>N2O</t>
  </si>
  <si>
    <t>Scope 3</t>
  </si>
  <si>
    <t>Total sope 1 - All transport fuel combustion</t>
  </si>
  <si>
    <t>8.2.1.1-2 Stationary fuel combustion</t>
  </si>
  <si>
    <t>Emissions for stationary fuel combustion</t>
  </si>
  <si>
    <r>
      <t>EC</t>
    </r>
    <r>
      <rPr>
        <b/>
        <vertAlign val="subscript"/>
        <sz val="10"/>
        <color rgb="FF183C1B"/>
        <rFont val="Arial"/>
        <family val="1"/>
      </rPr>
      <t>SC,q</t>
    </r>
  </si>
  <si>
    <r>
      <t>EF</t>
    </r>
    <r>
      <rPr>
        <b/>
        <vertAlign val="subscript"/>
        <sz val="10"/>
        <color rgb="FF183C1B"/>
        <rFont val="Arial"/>
        <family val="1"/>
      </rPr>
      <t>SC,1,q,g=CO2</t>
    </r>
  </si>
  <si>
    <r>
      <t>EF</t>
    </r>
    <r>
      <rPr>
        <b/>
        <vertAlign val="subscript"/>
        <sz val="10"/>
        <color rgb="FF183C1B"/>
        <rFont val="Arial"/>
        <family val="1"/>
      </rPr>
      <t>SC,1,q,g=CH4</t>
    </r>
  </si>
  <si>
    <r>
      <t>EF</t>
    </r>
    <r>
      <rPr>
        <b/>
        <vertAlign val="subscript"/>
        <sz val="10"/>
        <color rgb="FF183C1B"/>
        <rFont val="Arial"/>
        <family val="1"/>
      </rPr>
      <t>SC,1,q,g=N20</t>
    </r>
  </si>
  <si>
    <r>
      <t>EF</t>
    </r>
    <r>
      <rPr>
        <b/>
        <vertAlign val="subscript"/>
        <sz val="10"/>
        <color rgb="FF183C1B"/>
        <rFont val="Arial"/>
        <family val="1"/>
      </rPr>
      <t>SC,3,q</t>
    </r>
  </si>
  <si>
    <r>
      <t>Q</t>
    </r>
    <r>
      <rPr>
        <b/>
        <vertAlign val="subscript"/>
        <sz val="10"/>
        <color rgb="FF533001"/>
        <rFont val="Arial"/>
        <family val="1"/>
      </rPr>
      <t>SC,q</t>
    </r>
  </si>
  <si>
    <r>
      <t>E</t>
    </r>
    <r>
      <rPr>
        <b/>
        <vertAlign val="subscript"/>
        <sz val="10"/>
        <color rgb="FF183C1B"/>
        <rFont val="Arial"/>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</si>
  <si>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</si>
  <si>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</si>
  <si>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</si>
  <si>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</si>
  <si>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</si>
  <si>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</si>
  <si>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2"/>
        <color theme="1" tint="0.24994659260841701"/>
        <rFont val="Arial"/>
        <family val="1"/>
      </rPr>
      <t>3,elec</t>
    </r>
  </si>
  <si>
    <t>Manure sent off-site</t>
  </si>
  <si>
    <t>kg N</t>
  </si>
  <si>
    <t>Production system where manure is anticipated to be deposited</t>
  </si>
  <si>
    <r>
      <t>E</t>
    </r>
    <r>
      <rPr>
        <b/>
        <vertAlign val="subscript"/>
        <sz val="14"/>
        <color theme="1" tint="0.24994659260841701"/>
        <rFont val="Arial"/>
        <family val="1"/>
      </rPr>
      <t>N2O</t>
    </r>
  </si>
  <si>
    <r>
      <t>E</t>
    </r>
    <r>
      <rPr>
        <vertAlign val="subscript"/>
        <sz val="10"/>
        <color theme="1" tint="0.24994659260841701"/>
        <rFont val="Arial"/>
        <family val="1"/>
      </rPr>
      <t>CO2e</t>
    </r>
  </si>
  <si>
    <r>
      <t>M</t>
    </r>
    <r>
      <rPr>
        <b/>
        <vertAlign val="subscript"/>
        <sz val="10"/>
        <color theme="1" tint="0.24994659260841701"/>
        <rFont val="Arial"/>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</si>
  <si>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</si>
  <si>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</si>
  <si>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</si>
  <si>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</si>
  <si>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</si>
  <si>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</si>
  <si>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</si>
  <si>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</si>
  <si>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</si>
  <si>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</si>
  <si>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</si>
  <si>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</si>
  <si>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</si>
  <si>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4"/>
        <color theme="1" tint="0.24994659260841701"/>
        <rFont val="Arial"/>
        <family val="1"/>
      </rPr>
      <t>ad,inorganic</t>
    </r>
  </si>
  <si>
    <r>
      <t>M</t>
    </r>
    <r>
      <rPr>
        <b/>
        <vertAlign val="subscript"/>
        <sz val="10"/>
        <color theme="1" tint="0.24994659260841701"/>
        <rFont val="Arial"/>
        <family val="1"/>
      </rPr>
      <t>leach,inorganic,jf</t>
    </r>
  </si>
  <si>
    <r>
      <t>E</t>
    </r>
    <r>
      <rPr>
        <b/>
        <vertAlign val="subscript"/>
        <sz val="14"/>
        <color theme="1" tint="0.24994659260841701"/>
        <rFont val="Arial"/>
        <family val="1"/>
      </rPr>
      <t>fert,leach</t>
    </r>
  </si>
  <si>
    <t>Input - Waste sent off-site</t>
  </si>
  <si>
    <t>For each relevant livestock type:</t>
  </si>
  <si>
    <r>
      <t>Use the 'Mass of nitrogen applied to soil for scope 3 emissions (MNSoil</t>
    </r>
    <r>
      <rPr>
        <vertAlign val="subscript"/>
        <sz val="10"/>
        <color theme="1" tint="0.24994659260841701"/>
        <rFont val="Arial"/>
        <family val="1"/>
      </rPr>
      <t>scope3</t>
    </r>
    <r>
      <rPr>
        <sz val="10"/>
        <color theme="1" tint="0.24994659260841701"/>
        <rFont val="Arial"/>
        <family val="1"/>
      </rPr>
      <t>)' value calculated in the 'Manure applied to soils' equations (Chapter 4 of VEERG)</t>
    </r>
  </si>
  <si>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</si>
  <si>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</si>
  <si>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</si>
  <si>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</si>
  <si>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</si>
  <si>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</si>
  <si>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</si>
  <si>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</si>
  <si>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</si>
  <si>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</si>
  <si>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</si>
  <si>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</si>
  <si>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</si>
  <si>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</si>
  <si>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Burn all the cardboard</t>
  </si>
  <si>
    <t>Incineration</t>
  </si>
  <si>
    <t>Paper and cardboard</t>
  </si>
  <si>
    <t>Removed and treated off-site</t>
  </si>
  <si>
    <t>cubic metres m3</t>
  </si>
  <si>
    <t>tonnes</t>
  </si>
  <si>
    <t>Landfill</t>
  </si>
  <si>
    <t>Food waste (including animal carcasses, spoiled animal feed or crop)</t>
  </si>
  <si>
    <t>Solid waste treatment - off-site</t>
  </si>
  <si>
    <t>10.1.1-2 Solid waste treatment</t>
  </si>
  <si>
    <t>Table_V_w_t_onsite</t>
  </si>
  <si>
    <t>Volume of solid waste treated on-site (scope 1)</t>
  </si>
  <si>
    <t>Treatment</t>
  </si>
  <si>
    <t>Waste type</t>
  </si>
  <si>
    <t>Vwt</t>
  </si>
  <si>
    <r>
      <t>VTM</t>
    </r>
    <r>
      <rPr>
        <b/>
        <vertAlign val="subscript"/>
        <sz val="10"/>
        <color rgb="FF183C1B"/>
        <rFont val="Arial"/>
        <family val="1"/>
      </rPr>
      <t>w</t>
    </r>
  </si>
  <si>
    <r>
      <t>Q</t>
    </r>
    <r>
      <rPr>
        <b/>
        <vertAlign val="subscript"/>
        <sz val="10"/>
        <color rgb="FF183C1B"/>
        <rFont val="Arial"/>
        <family val="1"/>
      </rPr>
      <t>wt</t>
    </r>
  </si>
  <si>
    <t>Table_V_w_t_offsite</t>
  </si>
  <si>
    <t>Volume of solid waste sent offsite for treatment by third party (scope 3)</t>
  </si>
  <si>
    <t>Table_E_g_onsite</t>
  </si>
  <si>
    <t>Emissions from waste management of waste treated on-site (scope 1)</t>
  </si>
  <si>
    <r>
      <rPr>
        <b/>
        <sz val="14"/>
        <color theme="1" tint="0.24994659260841701"/>
        <rFont val="Arial"/>
        <family val="1"/>
      </rPr>
      <t>E</t>
    </r>
    <r>
      <rPr>
        <b/>
        <vertAlign val="subscript"/>
        <sz val="14"/>
        <color theme="1" tint="0.24994659260841701"/>
        <rFont val="Arial"/>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</si>
  <si>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</si>
  <si>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</si>
  <si>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</si>
  <si>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</si>
  <si>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</si>
  <si>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</si>
  <si>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</si>
  <si>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</si>
  <si>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</si>
  <si>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</si>
  <si>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</si>
  <si>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</si>
  <si>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</si>
  <si>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</si>
  <si>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</si>
  <si>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0"/>
        <color rgb="FF533001"/>
        <rFont val="Arial"/>
        <family val="1"/>
      </rPr>
      <t>f</t>
    </r>
    <r>
      <rPr>
        <b/>
        <sz val="10"/>
        <color rgb="FF533001"/>
        <rFont val="Arial"/>
        <family val="1"/>
      </rPr>
      <t xml:space="preserve"> (t)</t>
    </r>
  </si>
  <si>
    <r>
      <t>D</t>
    </r>
    <r>
      <rPr>
        <b/>
        <vertAlign val="subscript"/>
        <sz val="10"/>
        <color rgb="FF533001"/>
        <rFont val="Arial"/>
        <family val="1"/>
      </rPr>
      <t>f</t>
    </r>
    <r>
      <rPr>
        <b/>
        <sz val="10"/>
        <color rgb="FF533001"/>
        <rFont val="Arial"/>
        <family val="1"/>
      </rPr>
      <t xml:space="preserve"> (km)</t>
    </r>
  </si>
  <si>
    <r>
      <t>EF</t>
    </r>
    <r>
      <rPr>
        <b/>
        <vertAlign val="superscript"/>
        <sz val="10"/>
        <color rgb="FF183C1B"/>
        <rFont val="Arial"/>
        <family val="1"/>
      </rPr>
      <t>f</t>
    </r>
    <r>
      <rPr>
        <b/>
        <sz val="10"/>
        <color rgb="FF183C1B"/>
        <rFont val="Arial"/>
        <family val="1"/>
      </rPr>
      <t xml:space="preserve"> (Method 1)</t>
    </r>
  </si>
  <si>
    <t>No data</t>
  </si>
  <si>
    <t>E - Outgoing freight (Method 1)</t>
  </si>
  <si>
    <t>E - Outgoing freight (Method 2)</t>
  </si>
  <si>
    <t>E - Incoming freight (Method 1)</t>
  </si>
  <si>
    <t>E - Incoming freight (Method 2)</t>
  </si>
  <si>
    <t>Livestock pharmacy chemicals</t>
  </si>
  <si>
    <t>Textiles</t>
  </si>
  <si>
    <t>Input - Freight</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</si>
  <si>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</si>
  <si>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</si>
  <si>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</si>
  <si>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</si>
  <si>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</si>
  <si>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</si>
  <si>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</si>
  <si>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</si>
  <si>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</si>
  <si>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How do you want to calculate electricity emissions?</t>
  </si>
  <si>
    <t>Location-based (simpler)</t>
  </si>
  <si>
    <t>Jersey crossbred</t>
  </si>
  <si>
    <t>Ayrshire</t>
  </si>
  <si>
    <t>Cereal silage</t>
  </si>
  <si>
    <t>Not used</t>
  </si>
  <si>
    <r>
      <t>Q</t>
    </r>
    <r>
      <rPr>
        <b/>
        <vertAlign val="subscript"/>
        <sz val="10"/>
        <color rgb="FF533001"/>
        <rFont val="Arial"/>
        <family val="1"/>
      </rPr>
      <t>masswt</t>
    </r>
  </si>
  <si>
    <r>
      <t>Q</t>
    </r>
    <r>
      <rPr>
        <b/>
        <vertAlign val="subscript"/>
        <sz val="10"/>
        <color rgb="FF183C1B"/>
        <rFont val="Arial"/>
        <family val="1"/>
      </rPr>
      <t>volwt</t>
    </r>
  </si>
  <si>
    <r>
      <t>EF</t>
    </r>
    <r>
      <rPr>
        <b/>
        <vertAlign val="subscript"/>
        <sz val="10"/>
        <color rgb="FF183C1B"/>
        <rFont val="Arial"/>
        <family val="1"/>
      </rPr>
      <t>wtg</t>
    </r>
  </si>
  <si>
    <r>
      <t>E</t>
    </r>
    <r>
      <rPr>
        <b/>
        <vertAlign val="subscript"/>
        <sz val="10"/>
        <color rgb="FF183C1B"/>
        <rFont val="Arial"/>
        <family val="1"/>
      </rPr>
      <t>g</t>
    </r>
  </si>
  <si>
    <t>Summed above</t>
  </si>
  <si>
    <t>-</t>
  </si>
  <si>
    <t>Input - Manure sent off-site</t>
  </si>
  <si>
    <t>Mass of Nitrogen from manure sent offsite (MNSoil) - Method 1</t>
  </si>
  <si>
    <t>Mass of Nitrogen from manure sent offsite (MNSoil) - Method 2</t>
  </si>
  <si>
    <t>Calcs - Manure sent off-site</t>
  </si>
  <si>
    <t>VEERG_15_7_1_1__1_EmissionsFromPurchasedServices_Result_Method1</t>
  </si>
  <si>
    <t>Input - Poultry Purchases</t>
  </si>
  <si>
    <t>Input - Pig Purchases</t>
  </si>
  <si>
    <t>Input - Dairy Cattle Purchases</t>
  </si>
  <si>
    <t>Input - Beef Cattle Purchases</t>
  </si>
  <si>
    <t>⚠️ Livestock sales and purchases are not automatically reflected in the duration and head count tables - you will need to manually adjust head count, duration and average liveweight</t>
  </si>
  <si>
    <t>Urea source (Select)</t>
  </si>
  <si>
    <t>Ammonia source (select)</t>
  </si>
  <si>
    <t>Purchased feed blends for livestock</t>
  </si>
  <si>
    <t>Input - Horticulture Farm Inputs</t>
  </si>
  <si>
    <t>Input - Common farm inputs</t>
  </si>
  <si>
    <t>Input - Crop and pasture farm inputs</t>
  </si>
  <si>
    <t>Input - Livestock farm inputs</t>
  </si>
  <si>
    <t>Input - Processing and packaging inputs</t>
  </si>
  <si>
    <t>Data quality scoring</t>
  </si>
  <si>
    <t>Table_SourceData_DataQuality_TemporalRepresentativeness</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</si>
  <si>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</si>
  <si>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</si>
  <si>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</si>
  <si>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</si>
  <si>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</si>
  <si>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</si>
  <si>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</si>
  <si>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</si>
  <si>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</si>
  <si>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</si>
  <si>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</si>
  <si>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</si>
  <si>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</si>
  <si>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</si>
  <si>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</si>
  <si>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</si>
  <si>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</si>
  <si>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</si>
  <si>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</si>
  <si>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</si>
  <si>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</si>
  <si>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</si>
  <si>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</si>
  <si>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</si>
  <si>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</si>
  <si>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</si>
  <si>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</si>
  <si>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</si>
  <si>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</si>
  <si>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</si>
  <si>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</si>
  <si>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</si>
  <si>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</si>
  <si>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</si>
  <si>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</si>
  <si>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</si>
  <si>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</si>
  <si>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</si>
  <si>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</si>
  <si>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</si>
  <si>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</si>
  <si>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</si>
  <si>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</si>
  <si>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</si>
  <si>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</si>
  <si>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Fish feed and bait</t>
  </si>
  <si>
    <t>GHGEI-MIAFF</t>
  </si>
  <si>
    <t>Emissions intensity</t>
  </si>
  <si>
    <t>VEERG</t>
  </si>
  <si>
    <t>Wheat grain</t>
  </si>
  <si>
    <t>Input - Aquaculture and wild catch fishery inputs</t>
  </si>
  <si>
    <t>Feed and bait</t>
  </si>
  <si>
    <t>Low Animal Protein Formulated Feed</t>
  </si>
  <si>
    <t>Squid</t>
  </si>
  <si>
    <t>Whole fish</t>
  </si>
  <si>
    <t>Custom Bait</t>
  </si>
  <si>
    <t>Sardines (whole) from South Australia</t>
  </si>
  <si>
    <t>Sardines (whole) from the rest of Australia</t>
  </si>
  <si>
    <t>kg purchased</t>
  </si>
  <si>
    <t>Aquaculture and wild catch fieshery feed and bait</t>
  </si>
  <si>
    <t>Contains inhibitor</t>
  </si>
  <si>
    <t>N declared</t>
  </si>
  <si>
    <t>P declared</t>
  </si>
  <si>
    <t>K declared</t>
  </si>
  <si>
    <t>S declared</t>
  </si>
  <si>
    <t>Ingredient 10</t>
  </si>
  <si>
    <t>Input - Fertiliser Production System</t>
  </si>
  <si>
    <t>% N (Ingredients)</t>
  </si>
  <si>
    <t>% N (declared)</t>
  </si>
  <si>
    <t>Boost-It</t>
  </si>
  <si>
    <t>Cal-Gran 50/50</t>
  </si>
  <si>
    <r>
      <t xml:space="preserve">Amount applied </t>
    </r>
    <r>
      <rPr>
        <sz val="10"/>
        <color theme="1"/>
        <rFont val="Arial"/>
        <family val="1"/>
      </rPr>
      <t>(kg / ha)</t>
    </r>
  </si>
  <si>
    <t>Zinc - Generic</t>
  </si>
  <si>
    <t>My second custom blend</t>
  </si>
  <si>
    <t>My third custom blend</t>
  </si>
  <si>
    <t>Lime applications</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</si>
  <si>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</si>
  <si>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</si>
  <si>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</si>
  <si>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</si>
  <si>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</si>
  <si>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</si>
  <si>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</si>
  <si>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</si>
  <si>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15.1.1.1 Total emissions from purchased livestock</t>
  </si>
  <si>
    <t>15.2.1.1 Emissions from purchased feed</t>
  </si>
  <si>
    <t>15.3.1.1 Total emissions from purchased mineral supplements</t>
  </si>
  <si>
    <t>15.4.1.1 Emissions from purchased fertiliser</t>
  </si>
  <si>
    <t>15.5.1.1 Total emissions from purchased agrichemicals</t>
  </si>
  <si>
    <t>15.6.1.1 Embedded emissions for purchased lime</t>
  </si>
  <si>
    <t>15.7.1.1 Emissions of purchased services and contractor operations</t>
  </si>
  <si>
    <t>15.8.1.1 Embedded emissions from use of packaging materials</t>
  </si>
  <si>
    <t>15.9.1.1 Embedded emissions from use of grow media products</t>
  </si>
  <si>
    <t>15.10 Other purchased goods and services generic estimate</t>
  </si>
  <si>
    <t>15.11.1.1 Total upstream emissions from scope 1 fuel consumption</t>
  </si>
  <si>
    <t>15.12.1.1 Scope 3 emissions from purchased electricity location based</t>
  </si>
  <si>
    <t>15.12.1.2 Scope 3 emissions from purchased electricity market based</t>
  </si>
  <si>
    <t>15.13.1.1 Emissions from manure sent off site applied to soils in another farming system or enterprise</t>
  </si>
  <si>
    <t>15.13.1.3 Emissions from solid waste sent to a treatment facility</t>
  </si>
  <si>
    <t>15.14.1.1 Embedded emissions from upstream freight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</si>
</sst>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2" x14ac:knownFonts="1">
    <font>
      <sz val="10"/>
      <color theme="1"/>
      <name val="Arial"/>
      <family val="2"/>
    </font>
    <font>
      <b/>
      <sz val="18"/>
      <color rgb="FF183C1B"/>
      <name val="Arial"/>
      <family val="1"/>
    </font>
    <font>
      <i/>
      <sz val="10"/>
      <color theme="1" tint="0.499984740745262"/>
      <name val="Arial"/>
      <family val="1"/>
    </font>
    <font>
      <sz val="10"/>
      <color theme="1"/>
      <name val="Aptos Narrow"/>
      <family val="2"/>
      <scheme val="minor"/>
    </font>
    <font>
      <b/>
      <sz val="10"/>
      <color theme="1" tint="0.14999847407452621"/>
      <name val="Arial"/>
      <family val="1"/>
    </font>
    <font>
      <b/>
      <sz val="14"/>
      <color theme="0"/>
      <name val="Arial"/>
      <family val="1"/>
    </font>
    <font>
      <sz val="10"/>
      <color theme="1" tint="0.24994659260841701"/>
      <name val="Arial"/>
      <family val="1"/>
    </font>
    <font>
      <sz val="16"/>
      <color theme="1" tint="0.14996795556505021"/>
      <name val="Arial"/>
      <family val="1"/>
    </font>
    <font>
      <sz val="10"/>
      <color rgb="FF008000"/>
      <name val="Arial"/>
      <family val="1"/>
    </font>
    <font>
      <sz val="10"/>
      <color rgb="FFC44340"/>
      <name val="Arial"/>
      <family val="1"/>
    </font>
    <font>
      <i/>
      <sz val="10"/>
      <color theme="1" tint="0.34998626667073579"/>
      <name val="Arial"/>
      <family val="1"/>
    </font>
    <font>
      <sz val="10"/>
      <color theme="1" tint="0.14999847407452621"/>
      <name val="Arial"/>
      <family val="1"/>
    </font>
    <font>
      <sz val="9"/>
      <name val="Arial"/>
      <family val="1"/>
    </font>
    <font>
      <sz val="9"/>
      <color theme="1" tint="0.249977111117893"/>
      <name val="Arial"/>
      <family val="1"/>
    </font>
    <font>
      <sz val="9"/>
      <color rgb="FFCC6600"/>
      <name val="Arial"/>
      <family val="1"/>
    </font>
    <font>
      <sz val="9"/>
      <color theme="1"/>
      <name val="Aptos Narrow"/>
      <family val="2"/>
      <scheme val="minor"/>
    </font>
    <font>
      <sz val="9"/>
      <color rgb="FF008000"/>
      <name val="Arial"/>
      <family val="1"/>
    </font>
    <font>
      <sz val="9"/>
      <color theme="1"/>
      <name val="Aptos Narrow"/>
      <family val="2"/>
      <scheme val="minor"/>
    </font>
    <font>
      <sz val="10"/>
      <color theme="0"/>
      <name val="Arial"/>
      <family val="1"/>
    </font>
    <font>
      <b/>
      <sz val="10"/>
      <color theme="1" tint="0.24994659260841701"/>
      <name val="Arial"/>
      <family val="1"/>
    </font>
    <font>
      <b/>
      <sz val="9"/>
      <name val="Arial"/>
      <family val="1"/>
    </font>
    <font>
      <b/>
      <sz val="18"/>
      <color rgb="FFCC6600"/>
      <name val="Arial"/>
      <family val="1"/>
    </font>
    <font>
      <sz val="10"/>
      <color rgb="FF0070C0"/>
      <name val="Arial"/>
      <family val="1"/>
    </font>
    <font>
      <b/>
      <sz val="10"/>
      <color rgb="FF533001"/>
      <name val="Arial"/>
      <family val="1"/>
    </font>
    <font>
      <sz val="9"/>
      <color theme="1" tint="0.34998626667073579"/>
      <name val="Arial"/>
      <family val="1"/>
    </font>
    <font>
      <i/>
      <sz val="9"/>
      <color theme="1" tint="0.14999847407452621"/>
      <name val="Aptos Narrow"/>
      <family val="1"/>
      <scheme val="minor"/>
    </font>
    <font>
      <b/>
      <sz val="10"/>
      <color rgb="FFCC6600"/>
      <name val="Arial"/>
      <family val="1"/>
    </font>
    <font>
      <b/>
      <sz val="10"/>
      <color theme="0" tint="-0.499984740745262"/>
      <name val="Arial"/>
      <family val="1"/>
    </font>
    <font>
      <sz val="9"/>
      <color theme="0" tint="-0.499984740745262"/>
      <name val="Arial"/>
      <family val="1"/>
    </font>
    <font>
      <b/>
      <sz val="10"/>
      <color rgb="FF183C1B"/>
      <name val="Arial"/>
      <family val="1"/>
    </font>
    <font>
      <sz val="9"/>
      <color theme="1" tint="0.34998626667073579"/>
      <name val="Aptos Narrow"/>
      <family val="2"/>
      <scheme val="minor"/>
    </font>
    <font>
      <sz val="10"/>
      <color theme="0" tint="-4.9989318521683403E-2"/>
      <name val="Arial"/>
      <family val="1"/>
    </font>
    <font>
      <sz val="10"/>
      <color theme="1" tint="0.34998626667073579"/>
      <name val="Arial"/>
      <family val="1"/>
    </font>
    <font>
      <sz val="10"/>
      <name val="Arial"/>
      <family val="1"/>
    </font>
    <font>
      <sz val="10"/>
      <name val="Arial"/>
      <family val="1"/>
    </font>
    <font>
      <sz val="12"/>
      <color theme="1" tint="0.34998626667073579"/>
      <name val="Arial"/>
      <family val="1"/>
    </font>
    <font>
      <sz val="10"/>
      <color theme="1"/>
      <name val="Arial"/>
      <family val="1"/>
    </font>
    <font>
      <b/>
      <sz val="9"/>
      <color theme="1" tint="0.14999847407452621"/>
      <name val="Arial"/>
      <family val="1"/>
    </font>
    <font>
      <sz val="10"/>
      <color theme="1"/>
      <name val="Arial"/>
      <family val="2"/>
    </font>
    <font>
      <b/>
      <vertAlign val="subscript"/>
      <sz val="10"/>
      <color rgb="FF533001"/>
      <name val="Arial"/>
      <family val="1"/>
    </font>
    <font>
      <i/>
      <sz val="10"/>
      <color rgb="FFCC6600"/>
      <name val="Arial"/>
      <family val="1"/>
    </font>
    <font>
      <i/>
      <sz val="9"/>
      <color theme="1" tint="0.34998626667073579"/>
      <name val="Arial"/>
      <family val="1"/>
    </font>
    <font>
      <b/>
      <sz val="10"/>
      <color rgb="FF0070C0"/>
      <name val="Arial"/>
      <family val="1"/>
    </font>
    <font>
      <sz val="10"/>
      <color theme="1"/>
      <name val="Arial"/>
      <family val="1"/>
    </font>
    <font>
      <sz val="10"/>
      <color theme="1" tint="0.1499679555650502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u/>
      <sz val="10"/>
      <color theme="10"/>
      <name val="Aptos Narrow"/>
      <family val="2"/>
      <scheme val="minor"/>
    </font>
    <font>
      <sz val="10"/>
      <color rgb="FF242424"/>
      <name val="Consolas"/>
      <family val="3"/>
    </font>
    <font>
      <sz val="12"/>
      <color theme="5"/>
      <name val="Arial"/>
      <family val="1"/>
    </font>
    <font>
      <b/>
      <sz val="10"/>
      <color theme="1"/>
      <name val="Arial"/>
      <family val="2"/>
    </font>
    <font>
      <sz val="8"/>
      <name val="Arial"/>
      <family val="2"/>
    </font>
    <font>
      <b/>
      <sz val="9"/>
      <color theme="1" tint="0.34998626667073579"/>
      <name val="Arial"/>
      <family val="1"/>
    </font>
    <font>
      <b/>
      <sz val="10"/>
      <color theme="1"/>
      <name val="Aptos Narrow"/>
      <family val="2"/>
      <scheme val="minor"/>
    </font>
    <font>
      <i/>
      <sz val="9"/>
      <color theme="5" tint="-0.499984740745262"/>
      <name val="Arial"/>
      <family val="1"/>
    </font>
    <font>
      <i/>
      <sz val="9"/>
      <color theme="6" tint="-0.499984740745262"/>
      <name val="Arial"/>
      <family val="1"/>
    </font>
    <font>
      <u/>
      <sz val="9"/>
      <color theme="1" tint="0.34998626667073579"/>
      <name val="Arial"/>
      <family val="1"/>
    </font>
    <font>
      <b/>
      <vertAlign val="subscript"/>
      <sz val="10"/>
      <color theme="1"/>
      <name val="Arial"/>
      <family val="1"/>
    </font>
    <font>
      <b/>
      <vertAlign val="subscript"/>
      <sz val="10"/>
      <color rgb="FF183C1B"/>
      <name val="Arial"/>
      <family val="1"/>
    </font>
    <font>
      <sz val="9"/>
      <color theme="1" tint="0.499984740745262"/>
      <name val="Courier New"/>
      <family val="3"/>
    </font>
    <font>
      <vertAlign val="subscript"/>
      <sz val="10"/>
      <color theme="1" tint="0.24994659260841701"/>
      <name val="Arial"/>
      <family val="1"/>
    </font>
    <font>
      <b/>
      <vertAlign val="subscript"/>
      <sz val="10"/>
      <color theme="1" tint="0.24994659260841701"/>
      <name val="Arial"/>
      <family val="1"/>
    </font>
    <font>
      <vertAlign val="subscript"/>
      <sz val="9"/>
      <color theme="1" tint="0.34998626667073579"/>
      <name val="Arial"/>
      <family val="1"/>
    </font>
    <font>
      <b/>
      <sz val="14"/>
      <color theme="1" tint="0.24994659260841701"/>
      <name val="Arial"/>
      <family val="1"/>
    </font>
    <font>
      <sz val="14"/>
      <color theme="1" tint="0.24994659260841701"/>
      <name val="Arial"/>
      <family val="1"/>
    </font>
    <font>
      <i/>
      <sz val="14"/>
      <color theme="1" tint="0.34998626667073579"/>
      <name val="Arial"/>
      <family val="1"/>
    </font>
    <font>
      <b/>
      <sz val="12"/>
      <color theme="1" tint="0.24994659260841701"/>
      <name val="Arial"/>
      <family val="1"/>
    </font>
    <font>
      <b/>
      <sz val="10"/>
      <color rgb="FFC44340"/>
      <name val="Arial"/>
      <family val="1"/>
    </font>
    <font>
      <i/>
      <sz val="10"/>
      <color rgb="FFC44340"/>
      <name val="Arial"/>
      <family val="1"/>
    </font>
    <font>
      <sz val="14"/>
      <name val="Arial"/>
      <family val="1"/>
    </font>
    <font>
      <b/>
      <vertAlign val="subscript"/>
      <sz val="12"/>
      <color theme="1" tint="0.24994659260841701"/>
      <name val="Arial"/>
      <family val="1"/>
    </font>
    <font>
      <b/>
      <vertAlign val="subscript"/>
      <sz val="14"/>
      <color theme="1" tint="0.24994659260841701"/>
      <name val="Arial"/>
      <family val="1"/>
    </font>
    <font>
      <b/>
      <vertAlign val="superscript"/>
      <sz val="10"/>
      <color rgb="FF183C1B"/>
      <name val="Arial"/>
      <family val="1"/>
    </font>
    <font>
      <u/>
      <sz val="10"/>
      <color theme="10"/>
      <name val="Arial"/>
      <family val="2"/>
    </font>
    <font>
      <b/>
      <sz val="18"/>
      <color theme="7" tint="-0.499984740745262"/>
      <name val="Arial"/>
      <family val="1"/>
    </font>
    <font>
      <b/>
      <sz val="10"/>
      <color theme="1"/>
      <name val="Aptos Narrow"/>
      <family val="1"/>
      <scheme val="minor"/>
    </font>
    <font>
      <b/>
      <sz val="12"/>
      <color theme="1"/>
      <name val="Aptos Narrow"/>
      <family val="1"/>
      <scheme val="minor"/>
    </font>
    <font>
      <b/>
      <sz val="10"/>
      <color theme="0"/>
      <name val="Arial"/>
      <family val="1"/>
    </font>
    <font>
      <b/>
      <sz val="10"/>
      <color theme="1"/>
      <name val="Arial"/>
      <family val="2"/>
    </font>
    <font>
      <sz val="9"/>
      <color rgb="FF404040"/>
      <name val="Arial"/>
      <family val="1"/>
    </font>
  </fonts>
  <fills count="19">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2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5" fillId="0" borderId="0"/>
    <xf numFmtId="0" fontId="26" fillId="2" borderId="0">
      <alignment horizontal="left" vertical="center"/>
    </xf>
    <xf numFmtId="0" fontId="27" fillId="2" borderId="0">
      <alignment horizontal="left" vertical="center"/>
    </xf>
    <xf numFmtId="0" fontId="28" fillId="2" borderId="0">
      <alignment horizontal="left" vertical="center"/>
    </xf>
    <xf numFmtId="0" fontId="29" fillId="4" borderId="0">
      <alignment horizontal="center" vertical="center"/>
    </xf>
    <xf numFmtId="0" fontId="30" fillId="2" borderId="0" applyNumberFormat="0">
      <alignment horizontal="center" vertical="center"/>
    </xf>
    <xf numFmtId="0" fontId="31" fillId="2" borderId="0">
      <alignment horizontal="left" vertical="center"/>
    </xf>
    <xf numFmtId="0" fontId="10" fillId="2" borderId="0">
      <alignment horizontal="left" vertical="center" indent="1"/>
    </xf>
    <xf numFmtId="0" fontId="11" fillId="0" borderId="1">
      <alignment horizontal="center" vertical="center"/>
    </xf>
    <xf numFmtId="0" fontId="35"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0" fillId="2" borderId="0">
      <alignment vertical="center"/>
    </xf>
    <xf numFmtId="166" fontId="11" fillId="0" borderId="1">
      <alignment horizontal="center" vertical="center"/>
    </xf>
    <xf numFmtId="3" fontId="24" fillId="2" borderId="1">
      <alignment horizontal="center" vertical="center"/>
    </xf>
    <xf numFmtId="167" fontId="44" fillId="2" borderId="19">
      <alignment horizontal="center" vertical="center"/>
    </xf>
    <xf numFmtId="0" fontId="49" fillId="0" borderId="0" applyNumberFormat="0" applyFill="0" applyBorder="0" applyAlignment="0" applyProtection="0"/>
    <xf numFmtId="3" fontId="11" fillId="0" borderId="1">
      <alignment horizontal="center" vertical="center"/>
    </xf>
    <xf numFmtId="0" fontId="29" fillId="4" borderId="0">
      <alignment horizontal="left" vertical="center" indent="1"/>
      <protection locked="0"/>
    </xf>
    <xf numFmtId="0" fontId="18" fillId="12" borderId="0">
      <alignment horizontal="left" vertical="center" indent="1"/>
    </xf>
    <xf numFmtId="0" fontId="51" fillId="2" borderId="0">
      <alignment horizontal="left" vertical="center"/>
    </xf>
    <xf numFmtId="0" fontId="23" fillId="10" borderId="0">
      <alignment horizontal="left" vertical="center" indent="1"/>
    </xf>
    <xf numFmtId="0" fontId="24" fillId="2" borderId="1">
      <alignment horizontal="left" vertical="center"/>
    </xf>
    <xf numFmtId="0" fontId="56" fillId="16" borderId="1">
      <alignment horizontal="center" vertical="center"/>
    </xf>
    <xf numFmtId="0" fontId="57" fillId="15" borderId="1">
      <alignment horizontal="center" vertical="center"/>
    </xf>
    <xf numFmtId="0" fontId="58" fillId="2" borderId="1">
      <alignment horizontal="left" vertical="center"/>
    </xf>
    <xf numFmtId="0" fontId="61" fillId="2" borderId="0">
      <alignment horizontal="left" vertical="center"/>
    </xf>
    <xf numFmtId="0" fontId="56" fillId="14" borderId="1">
      <alignment horizontal="center" vertical="center"/>
    </xf>
    <xf numFmtId="4" fontId="24" fillId="2" borderId="1">
      <alignment horizontal="center" vertical="center"/>
    </xf>
    <xf numFmtId="0" fontId="75" fillId="0" borderId="0" applyNumberFormat="0" applyFill="0" applyBorder="0" applyAlignment="0" applyProtection="0"/>
    <xf numFmtId="0" fontId="79" fillId="18" borderId="0">
      <alignment horizontal="center" vertical="center"/>
    </xf>
    <xf numFmtId="167" fontId="44" fillId="2" borderId="0">
      <alignment horizontal="center" vertical="center"/>
    </xf>
  </cellStyleXfs>
  <cellXfs count="226">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6" fillId="2" borderId="0" xfId="6" applyAlignment="1">
      <alignment horizontal="left" vertical="center" wrapText="1"/>
    </xf>
    <xf numFmtId="0" fontId="3" fillId="0" borderId="0" xfId="3" applyAlignment="1">
      <alignment wrapText="1"/>
    </xf>
    <xf numFmtId="0" fontId="25" fillId="0" borderId="0" xfId="22"/>
    <xf numFmtId="0" fontId="26" fillId="2" borderId="0" xfId="23">
      <alignment horizontal="left" vertical="center"/>
    </xf>
    <xf numFmtId="0" fontId="27" fillId="2" borderId="0" xfId="24">
      <alignment horizontal="left" vertical="center"/>
    </xf>
    <xf numFmtId="0" fontId="28" fillId="2" borderId="0" xfId="25">
      <alignment horizontal="left" vertical="center"/>
    </xf>
    <xf numFmtId="0" fontId="29" fillId="4" borderId="0" xfId="26">
      <alignment horizontal="center" vertical="center"/>
    </xf>
    <xf numFmtId="0" fontId="30" fillId="2" borderId="0" xfId="27" applyAlignment="1">
      <alignment horizontal="left" vertical="center"/>
    </xf>
    <xf numFmtId="0" fontId="31" fillId="2" borderId="0" xfId="28">
      <alignment horizontal="left" vertical="center"/>
    </xf>
    <xf numFmtId="0" fontId="4" fillId="2" borderId="10" xfId="4" applyBorder="1">
      <alignment horizontal="left" vertical="center"/>
    </xf>
    <xf numFmtId="0" fontId="30" fillId="2" borderId="10" xfId="27" applyBorder="1" applyAlignment="1">
      <alignment horizontal="left" vertical="center"/>
    </xf>
    <xf numFmtId="0" fontId="3" fillId="0" borderId="0" xfId="3" applyAlignment="1">
      <alignment vertical="center"/>
    </xf>
    <xf numFmtId="0" fontId="10" fillId="2" borderId="0" xfId="29">
      <alignment horizontal="left" vertical="center" indent="1"/>
    </xf>
    <xf numFmtId="0" fontId="11" fillId="0" borderId="1" xfId="30">
      <alignment horizontal="center" vertical="center"/>
    </xf>
    <xf numFmtId="0" fontId="33" fillId="2" borderId="0" xfId="3" applyFont="1" applyFill="1" applyAlignment="1">
      <alignment horizontal="center" vertical="center"/>
    </xf>
    <xf numFmtId="0" fontId="35"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6" fillId="2" borderId="0" xfId="33" applyFont="1" applyFill="1" applyAlignment="1">
      <alignment horizontal="left" vertical="center" wrapText="1"/>
    </xf>
    <xf numFmtId="2" fontId="33" fillId="2" borderId="0" xfId="34" applyNumberFormat="1" applyFont="1" applyFill="1" applyBorder="1" applyAlignment="1" applyProtection="1">
      <alignment horizontal="center" wrapText="1"/>
      <protection locked="0"/>
    </xf>
    <xf numFmtId="1" fontId="33" fillId="2" borderId="0" xfId="34" applyNumberFormat="1" applyFont="1" applyFill="1" applyBorder="1" applyAlignment="1" applyProtection="1">
      <alignment horizontal="center" wrapText="1"/>
      <protection locked="0"/>
    </xf>
    <xf numFmtId="0" fontId="35" fillId="2" borderId="0" xfId="31" applyAlignment="1">
      <alignment horizontal="left" vertical="center" wrapText="1"/>
    </xf>
    <xf numFmtId="0" fontId="11" fillId="0" borderId="1" xfId="35">
      <alignment horizontal="center" vertical="center"/>
    </xf>
    <xf numFmtId="0" fontId="37"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7" fillId="11" borderId="1" xfId="19" applyFont="1">
      <alignment horizontal="center" vertical="center"/>
    </xf>
    <xf numFmtId="9" fontId="11" fillId="0" borderId="1" xfId="21">
      <alignment horizontal="center" vertical="center"/>
    </xf>
    <xf numFmtId="9" fontId="0" fillId="0" borderId="11" xfId="36" applyFont="1" applyFill="1" applyBorder="1" applyAlignment="1">
      <alignment horizontal="center" vertical="center" wrapText="1"/>
    </xf>
    <xf numFmtId="0" fontId="22" fillId="8" borderId="12" xfId="16" applyBorder="1">
      <alignment horizontal="left" vertical="center"/>
    </xf>
    <xf numFmtId="0" fontId="22" fillId="8" borderId="0" xfId="16" applyBorder="1">
      <alignment horizontal="left" vertical="center"/>
    </xf>
    <xf numFmtId="0" fontId="22" fillId="8" borderId="13"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0" fontId="22" fillId="8" borderId="14" xfId="16" applyBorder="1">
      <alignment horizontal="left" vertical="center"/>
    </xf>
    <xf numFmtId="0" fontId="22" fillId="8" borderId="15"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6" xfId="4" applyBorder="1">
      <alignment horizontal="left" vertical="center"/>
    </xf>
    <xf numFmtId="0" fontId="7" fillId="0" borderId="0" xfId="7" applyFill="1">
      <alignment horizontal="left" vertical="center"/>
    </xf>
    <xf numFmtId="0" fontId="40"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7" xfId="16" applyBorder="1">
      <alignment horizontal="left" vertical="center"/>
    </xf>
    <xf numFmtId="0" fontId="22" fillId="8" borderId="18" xfId="16" applyBorder="1">
      <alignment horizontal="left" vertical="center"/>
    </xf>
    <xf numFmtId="0" fontId="41"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2"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6" fillId="0" borderId="0" xfId="3" applyFont="1" applyAlignment="1" applyProtection="1">
      <alignment horizontal="center" vertical="center"/>
      <protection locked="0"/>
    </xf>
    <xf numFmtId="4" fontId="43" fillId="0" borderId="0" xfId="32" applyFont="1" applyBorder="1">
      <alignment horizontal="center" vertical="center"/>
    </xf>
    <xf numFmtId="167" fontId="44" fillId="2" borderId="0" xfId="41" applyBorder="1">
      <alignment horizontal="center" vertical="center"/>
    </xf>
    <xf numFmtId="4" fontId="43" fillId="2" borderId="0" xfId="32" applyFont="1" applyFill="1" applyBorder="1">
      <alignment horizontal="center" vertical="center"/>
    </xf>
    <xf numFmtId="0" fontId="43" fillId="2" borderId="0" xfId="29" applyFont="1" applyAlignment="1">
      <alignment horizontal="center" vertical="center"/>
    </xf>
    <xf numFmtId="0" fontId="43" fillId="2" borderId="0" xfId="6" applyFont="1" applyAlignment="1">
      <alignment horizontal="center" vertical="center"/>
    </xf>
    <xf numFmtId="164" fontId="43" fillId="2" borderId="0" xfId="6" applyNumberFormat="1" applyFont="1" applyAlignment="1">
      <alignment horizontal="center" vertical="center"/>
    </xf>
    <xf numFmtId="9" fontId="43" fillId="2" borderId="0" xfId="36" applyFont="1" applyFill="1" applyBorder="1" applyAlignment="1">
      <alignment horizontal="center" vertical="center"/>
    </xf>
    <xf numFmtId="0" fontId="45" fillId="2" borderId="0" xfId="3" applyFont="1" applyFill="1" applyAlignment="1">
      <alignment horizontal="center" vertical="center"/>
    </xf>
    <xf numFmtId="0" fontId="45" fillId="2" borderId="0" xfId="3" applyFont="1" applyFill="1"/>
    <xf numFmtId="0" fontId="43" fillId="2" borderId="0" xfId="3" applyFont="1" applyFill="1"/>
    <xf numFmtId="0" fontId="43" fillId="0" borderId="0" xfId="3" applyFont="1"/>
    <xf numFmtId="0" fontId="46" fillId="2" borderId="0" xfId="4" applyFont="1" applyAlignment="1">
      <alignment horizontal="center" vertical="center"/>
    </xf>
    <xf numFmtId="0" fontId="47" fillId="2" borderId="0" xfId="4" applyFont="1" applyAlignment="1">
      <alignment horizontal="center" vertical="center"/>
    </xf>
    <xf numFmtId="164" fontId="47" fillId="2" borderId="0" xfId="4" applyNumberFormat="1" applyFont="1" applyAlignment="1">
      <alignment horizontal="center" vertical="center"/>
    </xf>
    <xf numFmtId="0" fontId="47" fillId="2" borderId="0" xfId="3" applyFont="1" applyFill="1" applyAlignment="1">
      <alignment horizontal="center" vertical="center"/>
    </xf>
    <xf numFmtId="0" fontId="48" fillId="2" borderId="0" xfId="3" applyFont="1" applyFill="1" applyAlignment="1">
      <alignment horizontal="center" vertical="center"/>
    </xf>
    <xf numFmtId="0" fontId="48"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49"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0" fillId="2" borderId="0" xfId="3" applyFont="1" applyFill="1"/>
    <xf numFmtId="0" fontId="0" fillId="0" borderId="0" xfId="35" applyFont="1" applyBorder="1">
      <alignment horizontal="center" vertical="center"/>
    </xf>
    <xf numFmtId="0" fontId="51" fillId="2" borderId="0" xfId="46">
      <alignment horizontal="left" vertical="center"/>
    </xf>
    <xf numFmtId="0" fontId="33"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8" fillId="0" borderId="1" xfId="32" applyFont="1" applyAlignment="1">
      <alignment horizontal="center" vertical="center" wrapText="1"/>
    </xf>
    <xf numFmtId="0" fontId="4" fillId="11" borderId="20" xfId="19" applyBorder="1">
      <alignment horizontal="center" vertical="center"/>
    </xf>
    <xf numFmtId="0" fontId="11" fillId="0" borderId="20" xfId="30" applyBorder="1">
      <alignment horizontal="center" vertical="center"/>
    </xf>
    <xf numFmtId="0" fontId="54" fillId="2" borderId="1" xfId="20" applyFont="1">
      <alignment horizontal="center" vertical="center"/>
    </xf>
    <xf numFmtId="0" fontId="52" fillId="10" borderId="0" xfId="6" applyFont="1" applyFill="1">
      <alignment horizontal="left" vertical="center"/>
    </xf>
    <xf numFmtId="0" fontId="52"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5" fillId="4" borderId="0" xfId="6" applyFont="1" applyFill="1">
      <alignment horizontal="left" vertical="center"/>
    </xf>
    <xf numFmtId="0" fontId="24" fillId="2" borderId="20" xfId="20" applyBorder="1">
      <alignment horizontal="center" vertical="center"/>
    </xf>
    <xf numFmtId="0" fontId="0" fillId="0" borderId="0" xfId="6" applyFont="1" applyFill="1" applyAlignment="1">
      <alignment horizontal="left" vertical="center" wrapText="1"/>
    </xf>
    <xf numFmtId="0" fontId="4" fillId="11" borderId="20"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1" xfId="48" applyBorder="1">
      <alignment horizontal="left" vertical="center"/>
    </xf>
    <xf numFmtId="0" fontId="24" fillId="2" borderId="1" xfId="48">
      <alignment horizontal="left" vertical="center"/>
    </xf>
    <xf numFmtId="0" fontId="56" fillId="16" borderId="1" xfId="49">
      <alignment horizontal="center" vertical="center"/>
    </xf>
    <xf numFmtId="0" fontId="57" fillId="15" borderId="1" xfId="50">
      <alignment horizontal="center" vertical="center"/>
    </xf>
    <xf numFmtId="0" fontId="58" fillId="2" borderId="1" xfId="51">
      <alignment horizontal="left" vertical="center"/>
    </xf>
    <xf numFmtId="0" fontId="24" fillId="2" borderId="22" xfId="48" applyBorder="1">
      <alignment horizontal="left" vertical="center"/>
    </xf>
    <xf numFmtId="0" fontId="61" fillId="2" borderId="0" xfId="52">
      <alignment horizontal="left" vertical="center"/>
    </xf>
    <xf numFmtId="0" fontId="22" fillId="8" borderId="23"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5" fillId="2" borderId="10" xfId="6" applyFont="1" applyBorder="1">
      <alignment horizontal="left" vertical="center"/>
    </xf>
    <xf numFmtId="0" fontId="66" fillId="2" borderId="10" xfId="6" applyFont="1" applyBorder="1">
      <alignment horizontal="left" vertical="center"/>
    </xf>
    <xf numFmtId="0" fontId="67" fillId="2" borderId="10" xfId="10" applyFont="1" applyBorder="1">
      <alignment horizontal="left" vertical="center"/>
    </xf>
    <xf numFmtId="0" fontId="68" fillId="2" borderId="10" xfId="6" applyFont="1" applyBorder="1">
      <alignment horizontal="left" vertical="center"/>
    </xf>
    <xf numFmtId="0" fontId="18" fillId="12" borderId="0" xfId="45">
      <alignment horizontal="left" vertical="center" indent="1"/>
    </xf>
    <xf numFmtId="4" fontId="24" fillId="2" borderId="1" xfId="54">
      <alignment horizontal="center" vertical="center"/>
    </xf>
    <xf numFmtId="169" fontId="54" fillId="2" borderId="1" xfId="20" applyNumberFormat="1" applyFont="1">
      <alignment horizontal="center" vertical="center"/>
    </xf>
    <xf numFmtId="4" fontId="24" fillId="2" borderId="20" xfId="54" applyBorder="1">
      <alignment horizontal="center" vertical="center"/>
    </xf>
    <xf numFmtId="169" fontId="54" fillId="2" borderId="20" xfId="20" applyNumberFormat="1" applyFont="1" applyBorder="1">
      <alignment horizontal="center" vertical="center"/>
    </xf>
    <xf numFmtId="0" fontId="24" fillId="2" borderId="24" xfId="20" applyBorder="1">
      <alignment horizontal="center" vertical="center"/>
    </xf>
    <xf numFmtId="0" fontId="24" fillId="2" borderId="25" xfId="20" applyBorder="1">
      <alignment horizontal="center" vertical="center"/>
    </xf>
    <xf numFmtId="4" fontId="24" fillId="2" borderId="24" xfId="54" applyBorder="1">
      <alignment horizontal="center" vertical="center"/>
    </xf>
    <xf numFmtId="4" fontId="24" fillId="2" borderId="26" xfId="54" applyBorder="1">
      <alignment horizontal="center" vertical="center"/>
    </xf>
    <xf numFmtId="169" fontId="54" fillId="2" borderId="26" xfId="20" applyNumberFormat="1" applyFont="1" applyBorder="1">
      <alignment horizontal="center" vertical="center"/>
    </xf>
    <xf numFmtId="169" fontId="54" fillId="2" borderId="24" xfId="20" applyNumberFormat="1" applyFont="1" applyBorder="1">
      <alignment horizontal="center" vertical="center"/>
    </xf>
    <xf numFmtId="0" fontId="24" fillId="2" borderId="26" xfId="20" applyBorder="1">
      <alignment horizontal="center" vertical="center"/>
    </xf>
    <xf numFmtId="0" fontId="54" fillId="2" borderId="26" xfId="20" applyFont="1" applyBorder="1">
      <alignment horizontal="center" vertical="center"/>
    </xf>
    <xf numFmtId="0" fontId="4" fillId="2" borderId="27" xfId="4" applyBorder="1">
      <alignment horizontal="left" vertical="center"/>
    </xf>
    <xf numFmtId="170" fontId="12" fillId="2" borderId="27" xfId="3" applyNumberFormat="1" applyFont="1" applyFill="1" applyBorder="1"/>
    <xf numFmtId="0" fontId="10" fillId="2" borderId="27" xfId="29" applyBorder="1">
      <alignment horizontal="left" vertical="center" indent="1"/>
    </xf>
    <xf numFmtId="171" fontId="12" fillId="2" borderId="0" xfId="3" applyNumberFormat="1" applyFont="1" applyFill="1" applyAlignment="1">
      <alignment vertical="center"/>
    </xf>
    <xf numFmtId="170" fontId="12" fillId="2" borderId="27" xfId="3" applyNumberFormat="1" applyFont="1" applyFill="1" applyBorder="1" applyAlignment="1">
      <alignment vertical="center"/>
    </xf>
    <xf numFmtId="0" fontId="12" fillId="2" borderId="0" xfId="3" applyFont="1" applyFill="1" applyAlignment="1">
      <alignment vertical="center"/>
    </xf>
    <xf numFmtId="170" fontId="71" fillId="2" borderId="27" xfId="3" applyNumberFormat="1" applyFont="1" applyFill="1" applyBorder="1" applyAlignment="1">
      <alignment vertical="center"/>
    </xf>
    <xf numFmtId="171" fontId="54" fillId="2" borderId="1" xfId="54" applyNumberFormat="1" applyFont="1">
      <alignment horizontal="center" vertical="center"/>
    </xf>
    <xf numFmtId="171" fontId="54" fillId="2" borderId="20" xfId="54" applyNumberFormat="1" applyFont="1" applyBorder="1">
      <alignment horizontal="center" vertical="center"/>
    </xf>
    <xf numFmtId="171" fontId="54" fillId="2" borderId="26" xfId="54"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8" xfId="48" applyBorder="1">
      <alignment horizontal="left" vertical="center"/>
    </xf>
    <xf numFmtId="0" fontId="24" fillId="2" borderId="1" xfId="20" applyAlignment="1">
      <alignment horizontal="left" vertical="center"/>
    </xf>
    <xf numFmtId="0" fontId="24" fillId="2" borderId="22" xfId="20" applyBorder="1" applyAlignment="1">
      <alignment horizontal="left" vertical="center"/>
    </xf>
    <xf numFmtId="0" fontId="24" fillId="2" borderId="28" xfId="20" applyBorder="1">
      <alignment horizontal="center" vertical="center"/>
    </xf>
    <xf numFmtId="0" fontId="24" fillId="2" borderId="21" xfId="20" applyBorder="1">
      <alignment horizontal="center" vertical="center"/>
    </xf>
    <xf numFmtId="0" fontId="76" fillId="0" borderId="0" xfId="1" applyFont="1"/>
    <xf numFmtId="0" fontId="5" fillId="17" borderId="0" xfId="5" applyFill="1">
      <alignment vertical="center"/>
    </xf>
    <xf numFmtId="2" fontId="0" fillId="2" borderId="0" xfId="0" applyNumberFormat="1" applyFill="1" applyAlignment="1">
      <alignment vertical="center"/>
    </xf>
    <xf numFmtId="0" fontId="77" fillId="2" borderId="0" xfId="0" applyFont="1" applyFill="1"/>
    <xf numFmtId="2" fontId="78" fillId="2" borderId="0" xfId="0" applyNumberFormat="1" applyFont="1" applyFill="1"/>
    <xf numFmtId="0" fontId="79" fillId="18" borderId="0" xfId="56">
      <alignment horizontal="center" vertical="center"/>
    </xf>
    <xf numFmtId="167" fontId="44" fillId="2" borderId="0" xfId="57">
      <alignment horizontal="center" vertical="center"/>
    </xf>
    <xf numFmtId="0" fontId="6" fillId="2" borderId="0" xfId="6" applyAlignment="1">
      <alignment horizontal="left" vertical="center" indent="2"/>
    </xf>
    <xf numFmtId="0" fontId="75" fillId="2" borderId="0" xfId="55" applyFill="1" applyAlignment="1">
      <alignment horizontal="left" vertical="center"/>
    </xf>
    <xf numFmtId="0" fontId="4" fillId="2" borderId="10" xfId="4" applyBorder="1" applyAlignment="1">
      <alignment horizontal="center" vertical="center"/>
    </xf>
    <xf numFmtId="0" fontId="80" fillId="0" borderId="0" xfId="6" applyFont="1" applyFill="1">
      <alignment horizontal="left" vertical="center"/>
    </xf>
    <xf numFmtId="0" fontId="75" fillId="0" borderId="0" xfId="55"/>
    <xf numFmtId="0" fontId="81" fillId="5" borderId="2" xfId="12" applyFont="1">
      <alignment horizontal="left" vertical="center" indent="1"/>
    </xf>
    <xf numFmtId="0" fontId="0" fillId="0" borderId="0" xfId="0" applyAlignment="1">
      <alignment vertical="center" wrapText="1"/>
    </xf>
    <xf numFmtId="0" fontId="0" fillId="0" borderId="0" xfId="0" applyAlignment="1">
      <alignment vertical="center"/>
    </xf>
    <xf numFmtId="0" fontId="33" fillId="2" borderId="0" xfId="0" applyFont="1" applyFill="1" applyAlignment="1">
      <alignment horizontal="center" vertical="center"/>
    </xf>
    <xf numFmtId="0" fontId="33" fillId="2" borderId="0" xfId="0" applyFont="1" applyFill="1"/>
    <xf numFmtId="0" fontId="34" fillId="2" borderId="0" xfId="0" applyFont="1" applyFill="1"/>
    <xf numFmtId="0" fontId="0" fillId="2" borderId="1" xfId="20" applyFont="1" applyAlignment="1">
      <alignment horizontal="center" vertical="center" wrapText="1"/>
    </xf>
    <xf numFmtId="0" fontId="33" fillId="2" borderId="0" xfId="0" applyFont="1" applyFill="1" applyAlignment="1">
      <alignment horizontal="left" wrapText="1"/>
    </xf>
    <xf numFmtId="0" fontId="34" fillId="2" borderId="0" xfId="0" applyFont="1" applyFill="1" applyAlignment="1">
      <alignment wrapText="1"/>
    </xf>
    <xf numFmtId="0" fontId="0" fillId="2" borderId="0" xfId="0" applyFill="1" applyAlignment="1">
      <alignment wrapText="1"/>
    </xf>
    <xf numFmtId="9" fontId="0" fillId="0" borderId="0" xfId="21" applyFont="1" applyBorder="1" applyAlignment="1">
      <alignment horizontal="center" vertical="center" wrapText="1"/>
    </xf>
    <xf numFmtId="9" fontId="0" fillId="2" borderId="0" xfId="0" applyNumberFormat="1" applyFill="1"/>
    <xf numFmtId="49" fontId="24" fillId="2" borderId="1" xfId="20" applyNumberFormat="1">
      <alignment horizontal="center" vertical="center"/>
    </xf>
  </cellXfs>
  <cellStyles count="58">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5"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4"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7"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6"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input 2" xfId="53" xr:uid="{9959B7F9-DB8C-4969-B25D-267339AC17C3}"/>
    <cellStyle name="Variable type other" xfId="50" xr:uid="{9FB6C20B-1F98-4C86-8B64-373BD10A7B73}"/>
  </cellStyles>
  <dxfs count="615">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i val="0"/>
        <strike val="0"/>
        <condense val="0"/>
        <extend val="0"/>
        <outline val="0"/>
        <shadow val="0"/>
        <u val="none"/>
        <vertAlign val="baseline"/>
        <sz val="10"/>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Arial"/>
        <family val="1"/>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sz val="10"/>
        <color theme="1"/>
        <family val="2"/>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0"/>
        <color theme="1"/>
        <name val="Arial"/>
        <family val="2"/>
      </font>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ont>
        <sz val="10"/>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9"/>
        <color theme="1" tint="0.14999847407452621"/>
        <name val="Arial"/>
        <family val="1"/>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0"/>
        <color theme="1" tint="0.249977111117893"/>
        <name val="Arial"/>
        <family val="1"/>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0"/>
        <color theme="1" tint="0.14999847407452621"/>
        <name val="Arial"/>
        <family val="1"/>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614"/>
      <tableStyleElement type="headerRow" dxfId="613"/>
      <tableStyleElement type="totalRow" dxfId="612"/>
      <tableStyleElement type="firstColumn" dxfId="611"/>
      <tableStyleElement type="firstRowStripe" dxfId="610"/>
      <tableStyleElement type="secondRowStripe" dxfId="609"/>
    </tableStyle>
    <tableStyle name="Equation table" pivot="0" count="6" xr9:uid="{0B4491E8-4F2C-4EE8-9336-DC99561B4B77}">
      <tableStyleElement type="wholeTable" dxfId="608"/>
      <tableStyleElement type="headerRow" dxfId="607"/>
      <tableStyleElement type="totalRow" dxfId="606"/>
      <tableStyleElement type="firstColumn" dxfId="605"/>
      <tableStyleElement type="firstRowStripe" dxfId="604"/>
      <tableStyleElement type="secondRowStripe" dxfId="603"/>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dRichValue" Target="richData/rdrichvalue.xml"/><Relationship Id="rId47" Type="http://schemas.microsoft.com/office/2023/09/relationships/Python" Target="pyth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46" Type="http://schemas.openxmlformats.org/officeDocument/2006/relationships/customXml" Target="../customXml/item1.xml"/><Relationship Id="rId20" Type="http://schemas.openxmlformats.org/officeDocument/2006/relationships/worksheet" Target="worksheets/sheet20.xml"/><Relationship Id="rId41" Type="http://schemas.microsoft.com/office/2022/10/relationships/richValueRel" Target="richData/richValueRel.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𝑜</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𝑐𝑜</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𝑐𝑜</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𝑐𝑜</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𝐸=∑10_𝑐▒∑10_𝑜▒(𝑁_𝑐𝑜×𝑊_𝑐𝑜×𝐸𝐹_𝑐𝑜 ) ×10^(−3)</a:t>
              </a:r>
              <a:endParaRPr lang="en-AU" sz="10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91237" y="24690853"/>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91237" y="24690853"/>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×10^(−3)</a:t>
              </a:r>
              <a:endParaRPr lang="en-AU" sz="10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68825" y="41120277"/>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68825" y="41120277"/>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𝐸=∑2_𝑚▒(𝑄_𝑚×𝐸𝐹_𝑚 ) ×10^(−3)</a:t>
              </a:r>
              <a:endParaRPr lang="en-AU" sz="10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𝐸=∑2_𝑓▒∑2_𝑗▒(𝑇𝑀_𝑗𝑓×𝐸𝐹_𝑓 ) ×10^(−3)</a:t>
              </a:r>
              <a:endParaRPr lang="en-AU" sz="10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num>
                                    <m:den>
                                      <m:r>
                                        <a:rPr lang="en-AU" sz="1000" i="1">
                                          <a:latin typeface="Cambria Math" panose="02040503050406030204" pitchFamily="18" charset="0"/>
                                        </a:rPr>
                                        <m:t>100</m:t>
                                      </m:r>
                                    </m:den>
                                  </m:f>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oMath>
              </a14:m>
              <a:endParaRPr lang="en-AU" sz="10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r>
                <a:rPr lang="en-AU" sz="1000" i="0">
                  <a:latin typeface="Cambria Math" panose="02040503050406030204" pitchFamily="18" charset="0"/>
                </a:rPr>
                <a:t>𝐸=∑2_𝑓▒∑2_𝑐▒∑2_𝑗▒((𝐹_𝑐𝑓×𝑇𝑀_𝑗𝑓)/100×𝐸𝐹_𝑐 ) </a:t>
              </a:r>
              <a:endParaRPr lang="en-AU" sz="10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𝐸=∑2_𝑓▒∑2_𝑐▒∑2_𝑗▒(𝐹_𝑐𝑓×𝑇𝑀_𝑗𝑓×𝐸𝐹_𝑐 ) ×10^(−3)</a:t>
              </a:r>
              <a:endParaRPr lang="en-AU" sz="10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oMath>
                </m:oMathPara>
              </a14:m>
              <a:endParaRPr lang="en-AU" sz="10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𝐸𝐹_𝑓=∑2_𝑐▒(𝐹_𝑐𝑓×𝐸𝐹_𝑐 ) </a:t>
              </a:r>
              <a:endParaRPr lang="en-AU" sz="10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ℎ</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ℎ</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𝐸=∑2_ℎ▒(𝑄_ℎ×𝐸𝐹_ℎ ) ×10^(−3)</a:t>
              </a:r>
              <a:endParaRPr lang="en-AU" sz="10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m:t>
                        </m:r>
                      </m:sub>
                    </m:sSub>
                  </m:oMath>
                </m:oMathPara>
              </a14:m>
              <a:endParaRPr lang="en-AU" sz="10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𝐸=𝑀_𝑙𝑖𝑚𝑒×𝐸𝐹_𝑙</a:t>
              </a:r>
              <a:endParaRPr lang="en-AU" sz="10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𝐸=∑2_𝑝▒(𝐴_𝑝×𝐸𝐹_𝑝 ) ×10^(−3)</a:t>
              </a:r>
              <a:endParaRPr lang="en-AU" sz="10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𝐸=∑2_𝑝▒(𝑄_𝑝×𝐸𝐹_𝑝 ) ×10^(−3)</a:t>
              </a:r>
              <a:endParaRPr lang="en-AU" sz="10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𝑔</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𝑔</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𝑔</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𝐸=∑2_𝑔▒(𝑄_𝑔×𝐸𝐹_𝑔 ) ×10^(−3)</a:t>
              </a:r>
              <a:endParaRPr lang="en-AU" sz="10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𝑒𝑚𝑖𝑠𝑠𝑖𝑜𝑛𝑠</m:t>
                    </m:r>
                    <m:r>
                      <a:rPr lang="en-AU" sz="1000" i="1">
                        <a:latin typeface="Cambria Math" panose="02040503050406030204" pitchFamily="18" charset="0"/>
                      </a:rPr>
                      <m:t>=</m:t>
                    </m:r>
                    <m:r>
                      <a:rPr lang="en-AU" sz="1000" i="1">
                        <a:latin typeface="Cambria Math" panose="02040503050406030204" pitchFamily="18" charset="0"/>
                      </a:rPr>
                      <m:t>𝑎𝑐𝑡𝑖𝑣𝑖𝑡𝑦</m:t>
                    </m:r>
                    <m:r>
                      <m:rPr>
                        <m:lit/>
                      </m:rPr>
                      <a:rPr lang="en-AU" sz="1000" i="1">
                        <a:latin typeface="Cambria Math" panose="02040503050406030204" pitchFamily="18" charset="0"/>
                      </a:rPr>
                      <m:t>_</m:t>
                    </m:r>
                    <m:r>
                      <a:rPr lang="en-AU" sz="1000" i="1">
                        <a:latin typeface="Cambria Math" panose="02040503050406030204" pitchFamily="18" charset="0"/>
                      </a:rPr>
                      <m:t>𝑑𝑎𝑡𝑎</m:t>
                    </m:r>
                    <m:r>
                      <a:rPr lang="en-AU" sz="1000" i="1">
                        <a:latin typeface="Cambria Math" panose="02040503050406030204" pitchFamily="18" charset="0"/>
                      </a:rPr>
                      <m:t>×</m:t>
                    </m:r>
                    <m:r>
                      <a:rPr lang="en-AU" sz="1000" i="1">
                        <a:latin typeface="Cambria Math" panose="02040503050406030204" pitchFamily="18" charset="0"/>
                      </a:rPr>
                      <m:t>𝑒𝑚𝑖𝑠𝑠𝑖𝑜𝑛</m:t>
                    </m:r>
                    <m:r>
                      <m:rPr>
                        <m:lit/>
                      </m:rPr>
                      <a:rPr lang="en-AU" sz="1000" i="1">
                        <a:latin typeface="Cambria Math" panose="02040503050406030204" pitchFamily="18" charset="0"/>
                      </a:rPr>
                      <m:t>_</m:t>
                    </m:r>
                    <m:r>
                      <a:rPr lang="en-AU" sz="1000" i="1">
                        <a:latin typeface="Cambria Math" panose="02040503050406030204" pitchFamily="18" charset="0"/>
                      </a:rPr>
                      <m:t>𝑓𝑎𝑐𝑡𝑜𝑟</m:t>
                    </m:r>
                    <m:r>
                      <a:rPr lang="en-AU" sz="1000" i="1">
                        <a:latin typeface="Cambria Math" panose="02040503050406030204" pitchFamily="18" charset="0"/>
                      </a:rPr>
                      <m:t> </m:t>
                    </m:r>
                  </m:oMath>
                </m:oMathPara>
              </a14:m>
              <a:endParaRPr lang="en-AU" sz="10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𝑒𝑚𝑖𝑠𝑠𝑖𝑜𝑛𝑠=𝑎𝑐𝑡𝑖𝑣𝑖𝑡𝑦\_𝑑𝑎𝑡𝑎×𝑒𝑚𝑖𝑠𝑠𝑖𝑜𝑛\_𝑓𝑎𝑐𝑡𝑜𝑟 </a:t>
              </a:r>
              <a:endParaRPr lang="en-AU" sz="10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𝑡𝑟𝑎𝑛𝑠</m:t>
                            </m:r>
                            <m:r>
                              <a:rPr lang="en-AU" sz="1000" i="1">
                                <a:latin typeface="Cambria Math" panose="02040503050406030204" pitchFamily="18" charset="0"/>
                              </a:rPr>
                              <m:t>,</m:t>
                            </m:r>
                            <m:r>
                              <a:rPr lang="en-AU" sz="1000" i="1">
                                <a:latin typeface="Cambria Math" panose="02040503050406030204" pitchFamily="18" charset="0"/>
                              </a:rPr>
                              <m:t>𝑞</m:t>
                            </m:r>
                          </m:sub>
                        </m:sSub>
                      </m:e>
                    </m:nary>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𝑆𝐶</m:t>
                            </m:r>
                            <m:r>
                              <a:rPr lang="en-AU" sz="1000" i="1">
                                <a:latin typeface="Cambria Math" panose="02040503050406030204" pitchFamily="18" charset="0"/>
                              </a:rPr>
                              <m:t>,</m:t>
                            </m:r>
                            <m:r>
                              <a:rPr lang="en-AU" sz="1000" i="1">
                                <a:latin typeface="Cambria Math" panose="02040503050406030204" pitchFamily="18" charset="0"/>
                              </a:rPr>
                              <m:t>𝑞</m:t>
                            </m:r>
                          </m:sub>
                        </m:sSub>
                      </m:e>
                    </m:nary>
                  </m:oMath>
                </m:oMathPara>
              </a14:m>
              <a:endParaRPr lang="en-AU" sz="10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𝐸=∑2_𝑞▒𝐸_(𝑊𝑇𝑇,𝑡𝑟𝑎𝑛𝑠,𝑞) +∑2_𝑞▒𝐸_(𝑊𝑇𝑇,𝑆𝐶,𝑞) </a:t>
              </a:r>
              <a:endParaRPr lang="en-AU" sz="10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𝐸_(3,𝑒𝑙𝑒𝑐)=𝑄_𝑒𝑙𝑒𝑐×𝐸𝐹_(3,𝑒𝑙𝑒𝑐)×10^(−3)</a:t>
              </a:r>
              <a:endParaRPr lang="en-AU" sz="10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solidFill>
                              <a:srgbClr val="C00000"/>
                            </a:solidFill>
                            <a:latin typeface="Cambria Math" panose="02040503050406030204" pitchFamily="18" charset="0"/>
                          </a:rPr>
                        </m:ctrlPr>
                      </m:sSubPr>
                      <m:e>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a:t>
              </a: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𝑙𝑒𝑎𝑐ℎ</m:t>
                        </m:r>
                      </m:sub>
                    </m:sSub>
                  </m:oMath>
                </m:oMathPara>
              </a14:m>
              <a:endParaRPr lang="en-AU" sz="10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𝐸=𝐸_𝑁2𝑂+𝐸_𝑎𝑑+𝐸_𝑙𝑒𝑎𝑐ℎ</a:t>
              </a:r>
              <a:endParaRPr lang="en-AU" sz="10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𝑓</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oMath>
                </m:oMathPara>
              </a14:m>
              <a:endParaRPr lang="en-AU" sz="10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𝐸=∑2_𝑓▒((𝑊_𝑓×𝐷_𝑓 )×𝐸𝐹_𝑓 ) </a:t>
              </a:r>
              <a:endParaRPr lang="en-AU" sz="10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7B96512-42D7-46D8-82AC-B81F8CC70E10}"/>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97B96512-42D7-46D8-82AC-B81F8CC70E10}"/>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28CC673-85D2-48ED-989A-C9A7B3DC6813}"/>
                </a:ext>
              </a:extLst>
            </xdr:cNvPr>
            <xdr:cNvSpPr txBox="1"/>
          </xdr:nvSpPr>
          <xdr:spPr>
            <a:xfrm>
              <a:off x="7992530" y="24652753"/>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a14:m>
              <a:endParaRPr lang="en-AU" sz="1000"/>
            </a:p>
          </xdr:txBody>
        </xdr:sp>
      </mc:Choice>
      <mc:Fallback xmlns="">
        <xdr:sp macro="" textlink="">
          <xdr:nvSpPr>
            <xdr:cNvPr id="3" name="TextBox 2">
              <a:extLst>
                <a:ext uri="{FF2B5EF4-FFF2-40B4-BE49-F238E27FC236}">
                  <a16:creationId xmlns:a16="http://schemas.microsoft.com/office/drawing/2014/main" id="{028CC673-85D2-48ED-989A-C9A7B3DC6813}"/>
                </a:ext>
              </a:extLst>
            </xdr:cNvPr>
            <xdr:cNvSpPr txBox="1"/>
          </xdr:nvSpPr>
          <xdr:spPr>
            <a:xfrm>
              <a:off x="7992530" y="24652753"/>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1">
                  <a:solidFill>
                    <a:srgbClr val="FF0000"/>
                  </a:solidFill>
                </a:rPr>
                <a:t>ORIGINAL: </a:t>
              </a: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C369E3-3260-497C-9729-ED9169BDF8D8}"/>
                </a:ext>
              </a:extLst>
            </xdr:cNvPr>
            <xdr:cNvSpPr txBox="1"/>
          </xdr:nvSpPr>
          <xdr:spPr>
            <a:xfrm>
              <a:off x="5793442" y="41080765"/>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oMath>
              </a14:m>
              <a:endParaRPr lang="en-AU" sz="1000"/>
            </a:p>
          </xdr:txBody>
        </xdr:sp>
      </mc:Choice>
      <mc:Fallback xmlns="">
        <xdr:sp macro="" textlink="">
          <xdr:nvSpPr>
            <xdr:cNvPr id="5" name="TextBox 4">
              <a:extLst>
                <a:ext uri="{FF2B5EF4-FFF2-40B4-BE49-F238E27FC236}">
                  <a16:creationId xmlns:a16="http://schemas.microsoft.com/office/drawing/2014/main" id="{37C369E3-3260-497C-9729-ED9169BDF8D8}"/>
                </a:ext>
              </a:extLst>
            </xdr:cNvPr>
            <xdr:cNvSpPr txBox="1"/>
          </xdr:nvSpPr>
          <xdr:spPr>
            <a:xfrm>
              <a:off x="5793442" y="41080765"/>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1">
                  <a:solidFill>
                    <a:srgbClr val="FF0000"/>
                  </a:solidFill>
                </a:rPr>
                <a:t>ORIGINAL:</a:t>
              </a:r>
              <a:r>
                <a:rPr lang="en-AU" sz="1000"/>
                <a:t> </a:t>
              </a:r>
              <a:r>
                <a:rPr lang="en-AU" sz="1000" i="0">
                  <a:latin typeface="Cambria Math" panose="02040503050406030204" pitchFamily="18" charset="0"/>
                </a:rPr>
                <a:t>𝐸=∑2_𝑚▒(𝑄_𝑚×𝐸𝐹_𝑚 ) </a:t>
              </a:r>
              <a:endParaRPr lang="en-AU" sz="10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E54D8A0-8119-44DD-BF44-9E3EB00F8F4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𝑉</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𝑉𝑇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𝑤</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3E54D8A0-8119-44DD-BF44-9E3EB00F8F4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𝑄_𝑤𝑡=𝑉_𝑤𝑡×𝑉𝑇𝑀_𝑤</a:t>
              </a:r>
              <a:endParaRPr lang="en-AU" sz="10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C2A0019-C7A6-4164-ACE3-2FDDEB5A42E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𝑔</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𝑡</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𝑤</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𝑤𝑡𝑔</m:t>
                                    </m:r>
                                  </m:sub>
                                </m:sSub>
                              </m:e>
                            </m:d>
                          </m:e>
                        </m:nary>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8C2A0019-C7A6-4164-ACE3-2FDDEB5A42E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𝐸_𝑔=∑2_𝑡▒∑2_𝑤▒(𝑄_𝑤𝑡×𝐸𝐹_𝑤𝑡𝑔 ) </a:t>
              </a:r>
              <a:endParaRPr lang="en-AU" sz="10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𝑡𝑞𝑔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0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0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670B2E3F-5C70-4038-AE1D-01C1B768AE2A}" name="Table_Input_Fuel" displayName="Table_Input_Fuel" ref="D16:I21" totalsRowDxfId="602" headerRowCellStyle="Input table column header">
  <autoFilter ref="D16:I21"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4DADA52D-2CAF-4843-BD7B-2C982736B7FE}" name="Fuel use (select)" totalsRowFunction="average" totalsRowDxfId="601" dataCellStyle="Input select" totalsRowCellStyle="Input select"/>
    <tableColumn id="3" xr3:uid="{E03C244F-B016-4373-8F29-F863250A309B}" name="Fuel type (select)" totalsRowDxfId="600" dataCellStyle="Input select" totalsRowCellStyle="Input select"/>
    <tableColumn id="4" xr3:uid="{70536E5B-E617-4814-BA37-CAE5E35162C6}" name="Amount purchased" totalsRowDxfId="599" totalsRowCellStyle="Content bold"/>
    <tableColumn id="6" xr3:uid="{9F12A1DD-B701-47BF-A99D-DAA4D26B1EB3}" name="Amount unit" totalsRowDxfId="598" dataCellStyle="Input number general calculated" totalsRowCellStyle="Input text calculated">
      <calculatedColumnFormula array="1">Common_InputFunctions.Utility_LookupValueInTable(Table_Input_Fuel[[#This Row],[Fuel type (select)]],Table_FuelTypes_Units[Fuel type], Table_FuelTypes_Units[Unit])</calculatedColumnFormula>
    </tableColumn>
    <tableColumn id="5" xr3:uid="{52F4A425-C6C2-48A0-A86C-E2A159F59D29}" name="Percent consumed" totalsRowDxfId="597" totalsRowCellStyle="Input percent">
      <calculatedColumnFormula>1</calculatedColumnFormula>
    </tableColumn>
    <tableColumn id="1" xr3:uid="{54C850E9-3FE0-4B86-92C1-58D2275B9FA5}" name="Amount consumed" totalsRowFunction="custom" totalsRowDxfId="596" dataCellStyle="Input number general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224761-CD44-4496-9B3F-B7F1DC7A67BA}" name="Table_Input_InorganicFertiliser_Brands" displayName="Table_Input_InorganicFertiliser_Brands" ref="D11:Z21" dataDxfId="595" totalsRowDxfId="594" headerRowCellStyle="Input table column header">
  <autoFilter ref="D11:Z21" xr:uid="{E4224761-CD44-4496-9B3F-B7F1DC7A67BA}"/>
  <tableColumns count="23">
    <tableColumn id="2" xr3:uid="{67BDC85B-C33D-46F6-9AAA-BF8DF7124D54}" name="Product (select)" dataDxfId="593" totalsRowDxfId="592" dataCellStyle="Input select"/>
    <tableColumn id="23" xr3:uid="{AA78F546-FD7B-4394-A011-C1FB83481CCE}" name="Amount applied per hectare" totalsRowFunction="custom" dataDxfId="591" totalsRowDxfId="590">
      <totalsRowFormula>SUM(Table_Input_InorganicFertiliser_Brands[[#Headers],[#Data],[Amount applied per hectare]])</totalsRowFormula>
    </tableColumn>
    <tableColumn id="12" xr3:uid="{E7D3693C-1F5F-4FB0-ACFC-952D70FC57E7}" name="Application unit" dataDxfId="589" totalsRowDxfId="588" dataCellStyle="Input number 2 decimal places">
      <calculatedColumnFormula>IFERROR(_xlfn.XLOOKUP(Table_Input_InorganicFertiliser_Brands[[#This Row],[Product (select)]],FertiliserProducts[Product],FertiliserProducts[Unit]), "kg")</calculatedColumnFormula>
    </tableColumn>
    <tableColumn id="6" xr3:uid="{AE1963AC-9A91-43BC-90F1-A6266D28A112}" name="Application area (ha)" dataDxfId="587" totalsRowDxfId="586">
      <calculatedColumnFormula>X_Cell_Fertiliser_AreaUnderCropping</calculatedColumnFormula>
    </tableColumn>
    <tableColumn id="9" xr3:uid="{EBFBE590-AE1B-4B9D-8DD1-BEE3124B8A3F}" name="Density" dataDxfId="585" totalsRowDxfId="584" dataCellStyle="Input number general calculated">
      <calculatedColumnFormula>IFERROR(_xlfn.XLOOKUP(Table_Input_InorganicFertiliser_Brands[[#This Row],[Product (select)]],FertiliserProducts[Product],FertiliserProducts[Density]), 1)</calculatedColumnFormula>
    </tableColumn>
    <tableColumn id="1" xr3:uid="{44A67DA6-AFC3-476F-82E0-A10E3BE04DCD}" name="Total applied (kg)" dataDxfId="583" totalsRowDxfId="582"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58CE8393-1EEB-48E3-8643-CAA4E62928F5}" name="Ingredient 1" dataDxfId="581" totalsRowDxfId="580"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FertiliserProducts[#Headers])</calculatedColumnFormula>
    </tableColumn>
    <tableColumn id="4" xr3:uid="{AD1D9687-66D7-426D-B019-BEF7E1AD1188}" name="Ingredient 1 percent" dataDxfId="579"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FertiliserProducts[#Headers])</calculatedColumnFormula>
    </tableColumn>
    <tableColumn id="7" xr3:uid="{C7C63726-5A89-421D-A5EA-783B57B65A4F}" name="Ingredient 2" dataDxfId="578"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FertiliserProducts[#Headers])</calculatedColumnFormula>
    </tableColumn>
    <tableColumn id="8" xr3:uid="{B30D5985-5F33-4B77-A904-D32C740C2902}" name="Ingredient 2 percent" dataDxfId="577" totalsRowDxfId="576"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FertiliserProducts[#Headers])</calculatedColumnFormula>
    </tableColumn>
    <tableColumn id="10" xr3:uid="{D39BB024-DA75-476D-A4A2-071C661422FA}" name="Ingredient 3" dataDxfId="575" totalsRowDxfId="574"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FertiliserProducts[#Headers])</calculatedColumnFormula>
    </tableColumn>
    <tableColumn id="11" xr3:uid="{CAA2A1CF-9041-4167-8B0C-50BBA2DF7703}" name="Ingredient 3 percent" dataDxfId="573" totalsRowDxfId="572"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FertiliserProducts[#Headers])</calculatedColumnFormula>
    </tableColumn>
    <tableColumn id="13" xr3:uid="{535BE7C1-AA97-44D4-9BD5-B6F7B9E0A72C}" name="Ingredient 4" dataDxfId="571" totalsRowDxfId="570"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FertiliserProducts[#Headers])</calculatedColumnFormula>
    </tableColumn>
    <tableColumn id="14" xr3:uid="{6C219744-2EDB-44EE-98B8-F37B054EA61E}" name="Ingredient 4 percent" dataDxfId="569"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FertiliserProducts[#Headers])</calculatedColumnFormula>
    </tableColumn>
    <tableColumn id="16" xr3:uid="{44D9B6A1-4446-43AE-B3A1-8B01CD80E827}" name="Ingredient 5" dataDxfId="568"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FertiliserProducts[#Headers])</calculatedColumnFormula>
    </tableColumn>
    <tableColumn id="17" xr3:uid="{9B3DC70E-5967-4EE0-A43F-1316A3EE47F1}" name="Ingredient 5 percent" dataDxfId="567"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FertiliserProducts[#Headers])</calculatedColumnFormula>
    </tableColumn>
    <tableColumn id="19" xr3:uid="{C3110BD5-E3EA-4468-A30F-B3DC7A882B56}" name="Ingredient 6" dataDxfId="566"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FertiliserProducts[#Headers])</calculatedColumnFormula>
    </tableColumn>
    <tableColumn id="20" xr3:uid="{0F51F0F2-881D-48E9-BD1E-0D636AC6411B}" name="Ingredient 6 percent" dataDxfId="565"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FertiliserProducts[#Headers])</calculatedColumnFormula>
    </tableColumn>
    <tableColumn id="21" xr3:uid="{46390481-F368-4CDA-8AFE-DBFCBDD04F42}" name="% N (Ingredients)" dataDxfId="564" dataCellStyle="Input number general calculated">
      <calculatedColumnFormul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22" xr3:uid="{7B880EE3-8DB2-478D-AC69-12E5604A07C5}" name="% N (declared)" dataDxfId="563" dataCellStyle="Content normal">
      <calculatedColumnFormula array="1">IFERROR(Fertiliser_InputFunctions.Fertiliser_FertiliserProductLookup(Table_Input_InorganicFertiliser_Brands[[#This Row],[Product (select)]], "N declared", FertiliserProducts[#Data], FertiliserProducts[Product], FertiliserProducts[#Headers])*0.01, 0)</calculatedColumnFormula>
    </tableColumn>
    <tableColumn id="5" xr3:uid="{93403908-D92D-4734-BD5D-9540F75A30D6}" name="N application rate (kg/ha)" dataDxfId="562" totalsRowDxfId="561"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A762BCAF-B588-4FD3-AFCC-C100AD2F9974}" name="Urea source" dataDxfId="560" totalsRowDxfId="559" dataCellStyle="Input number general calculated">
      <calculatedColumnFormula>IFERROR(_xlfn.XLOOKUP(Table_Input_InorganicFertiliser_Brands[[#This Row],[Product (select)]],FertiliserProducts[Product],FertiliserProducts[Urea source]), "")</calculatedColumnFormula>
    </tableColumn>
    <tableColumn id="18" xr3:uid="{E8AAADA5-E957-4E2C-8A2A-834655B53133}" name="Ammonia source" dataDxfId="558" totalsRowDxfId="557" dataCellStyle="Input number general calculated">
      <calculatedColumnFormula>IFERROR(_xlfn.XLOOKUP(Table_Input_InorganicFertiliser_Brands[[#This Row],[Product (select)]],FertiliserProducts[Product],FertiliserProducts[Ammonia source]), "")</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5BDADA-61CB-4632-B8B1-661138F27720}" name="Table_Input_InorganicFertiliser_Custom" displayName="Table_Input_InorganicFertiliser_Custom" ref="D24:R34" totalsRowShown="0" headerRowDxfId="556" dataDxfId="555">
  <autoFilter ref="D24:R34" xr:uid="{AF5BDADA-61CB-4632-B8B1-661138F27720}"/>
  <tableColumns count="15">
    <tableColumn id="1" xr3:uid="{50CD562D-57F7-4A5E-80DE-452D10DAD7EC}" name="Custom blend name" dataCellStyle="Input text"/>
    <tableColumn id="2" xr3:uid="{61B6B223-DC23-48A4-A269-3418991DEB27}" name="Amount applied (kg / ha)" dataDxfId="554"/>
    <tableColumn id="3" xr3:uid="{E61DBD00-936B-4277-8ACB-408493889E0B}" name="Application area (ha)" dataDxfId="553" dataCellStyle="Input number 2 decimal places">
      <calculatedColumnFormula>X_Cell_Fertiliser_AreaUnderCropping</calculatedColumnFormula>
    </tableColumn>
    <tableColumn id="4" xr3:uid="{D881CC3E-1AA1-4937-A412-5999EEEFF55A}" name="Total applied (kg)" dataDxfId="552" dataCellStyle="Input number general calculated">
      <calculatedColumnFormula>Table_Input_InorganicFertiliser_Custom[[#This Row],[Amount applied (kg / ha)]]*Table_Input_InorganicFertiliser_Custom[[#This Row],[Application area (ha)]]</calculatedColumnFormula>
    </tableColumn>
    <tableColumn id="5" xr3:uid="{92DBA540-5529-4D18-B472-ED640B9C95A4}" name="Ingredient 1 (select)" dataDxfId="551" dataCellStyle="Input select"/>
    <tableColumn id="6" xr3:uid="{8662EBF6-D0B3-474D-8E37-495BDB5BFED3}" name="Ingredient 1 percent" dataDxfId="550"/>
    <tableColumn id="8" xr3:uid="{13814A6B-0F71-4315-A542-402EC47D1C0A}" name="Ingredient 2" dataDxfId="549" dataCellStyle="Input select"/>
    <tableColumn id="9" xr3:uid="{AA9842A9-5587-4546-BEFE-7B073FB50FF4}" name="Ingredient 2 percent" dataDxfId="548"/>
    <tableColumn id="11" xr3:uid="{5B41EE58-5F51-4BD4-8E46-8109BDCBFAC4}" name="Ingredient 3" dataDxfId="547" dataCellStyle="Input select"/>
    <tableColumn id="12" xr3:uid="{20629A66-2ECD-4EE4-B49E-E913BD5592AB}" name="Ingredient 3 percent" dataDxfId="546"/>
    <tableColumn id="14" xr3:uid="{6032CA28-E9B7-4C8A-B5B1-19D9E524796B}" name="Ingredient 4" dataDxfId="545" dataCellStyle="Input select"/>
    <tableColumn id="15" xr3:uid="{C2497EEB-F445-425A-A070-2D79E5289CC7}" name="Ingredient 4 percent" dataCellStyle="Input percent"/>
    <tableColumn id="7" xr3:uid="{D0E04A86-9275-4908-8676-7DD81D62A8D5}" name="N application rate (kg/ha)" dataDxfId="544"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CB854C6D-6167-457A-9128-A46B5251355C}" name="Urea source (Select)" dataCellStyle="Input select"/>
    <tableColumn id="13" xr3:uid="{F99B30AD-8F7C-4899-BDC8-9D0BAE8DE4A0}" name="Ammonia source (select)" dataCellStyle="Input select"/>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4C8A9D-A387-4B89-930C-ACAD6182FCB6}" name="Table_Input_Lime" displayName="Table_Input_Lime" ref="D41:K44" totalsRowShown="0" headerRowDxfId="543" dataDxfId="542" headerRowCellStyle="Input table column header">
  <autoFilter ref="D41:K44" xr:uid="{724C8A9D-A387-4B89-930C-ACAD6182FCB6}"/>
  <tableColumns count="8">
    <tableColumn id="1" xr3:uid="{74EC81C2-0722-47D7-AAE8-DA3D6FD867D8}" name="Product" dataDxfId="541"/>
    <tableColumn id="2" xr3:uid="{44DDFF8A-A4FB-4AD4-8C15-8AC5196D5672}" name="Amount applied (t/hectare)" dataDxfId="540"/>
    <tableColumn id="4" xr3:uid="{934319BE-1DA2-474D-90AB-755518442E40}" name="Application area (ha)" dataDxfId="539" dataCellStyle="Input number 2 decimal places">
      <calculatedColumnFormula>X_Cell_Fertiliser_AreaUnderCropping</calculatedColumnFormula>
    </tableColumn>
    <tableColumn id="3" xr3:uid="{113A7ECA-639C-4E99-9E34-41A15BA566F0}" name="Total amount applied (t)" dataDxfId="538" dataCellStyle="Input number general calculated">
      <calculatedColumnFormula>IFERROR(Table_Input_Lime[[#This Row],[Amount applied (t/hectare)]]*Table_Input_Lime[[#This Row],[Application area (ha)]], 0)</calculatedColumnFormula>
    </tableColumn>
    <tableColumn id="6" xr3:uid="{CCF04BB8-D3C7-46E3-A8F8-91DE1BAF02DA}" name="Percent Lime CaCO3" dataDxfId="537"/>
    <tableColumn id="8" xr3:uid="{B21E9CFC-944D-4E16-A9E5-8760D3C71B25}" name="Percent Dolomite CaMg(CO3)2" dataDxfId="536"/>
    <tableColumn id="7" xr3:uid="{E266EF6D-A409-420A-B48D-74C876428E8C}" name="Percent Gypsum" dataDxfId="535"/>
    <tableColumn id="10" xr3:uid="{CF94D729-919B-49AA-9CE4-E9D03525C6FF}" name="Total" dataDxfId="534">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4E67AB-0142-4C16-B7C9-CD1BDF545DF6}" name="Table_Input_OrganicFertiliser" displayName="Table_Input_OrganicFertiliser" ref="D53:J56" totalsRowShown="0" headerRowDxfId="533" dataDxfId="532" headerRowCellStyle="Input table column header">
  <autoFilter ref="D53:J56" xr:uid="{D24E67AB-0142-4C16-B7C9-CD1BDF545DF6}"/>
  <tableColumns count="7">
    <tableColumn id="1" xr3:uid="{DACFF75D-4243-40A6-93B3-2B1C60A49D97}" name="Organic fertiliser type (select)" dataDxfId="531" dataCellStyle="Input select"/>
    <tableColumn id="5" xr3:uid="{4F05E639-A6DD-45CE-8B6D-D683B0805A8F}" name="Percentage of N in fertiliser" dataDxfId="530"/>
    <tableColumn id="2" xr3:uid="{D4CBED25-AD56-4B8C-8817-DFCD555E6876}" name="Amount applied (kg/hectare)" dataDxfId="529"/>
    <tableColumn id="11" xr3:uid="{77794DF5-89E4-4872-A4B1-03C3E14D6A1B}" name="Amount N applied (kg/hectare)" dataDxfId="528" dataCellStyle="Input number general calculated">
      <calculatedColumnFormula>Table_Input_OrganicFertiliser[[#This Row],[Amount applied (kg/hectare)]]*Table_Input_OrganicFertiliser[[#This Row],[Percentage of N in fertiliser]]</calculatedColumnFormula>
    </tableColumn>
    <tableColumn id="4" xr3:uid="{9ACE457D-2812-4657-B8CA-1C90A2ED8563}" name="Application area (ha)" dataDxfId="527" dataCellStyle="Input number 2 decimal places">
      <calculatedColumnFormula>X_Cell_Fertiliser_AreaUnderCropping</calculatedColumnFormula>
    </tableColumn>
    <tableColumn id="7" xr3:uid="{6A12520F-D850-49AC-9EEA-3BD0FBD264E7}" name="Total organic fertliser applied" dataDxfId="526" dataCellStyle="Input number general calculated">
      <calculatedColumnFormula>Table_Input_OrganicFertiliser[[#This Row],[Amount applied (kg/hectare)]]*Table_Input_OrganicFertiliser[[#This Row],[Application area (ha)]]</calculatedColumnFormula>
    </tableColumn>
    <tableColumn id="3" xr3:uid="{FCD1D03D-C7C9-4F00-87E0-9111B85D92B1}" name="Total nitrogen applied (kg)" dataDxfId="525"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7:H17" totalsRowShown="0" headerRowDxfId="524" headerRowCellStyle="Input table column header">
  <autoFilter ref="D7:H17" xr:uid="{3E433F59-4BF1-4341-8498-3E5DACCDF2D3}"/>
  <tableColumns count="5">
    <tableColumn id="1" xr3:uid="{8E849261-8F35-48DE-BE22-FE2C6971C01F}" name="Packaging name"/>
    <tableColumn id="3" xr3:uid="{14ED4487-F547-485F-9AFB-212F5584207F}" name="Quantity purchased" dataDxfId="523"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9:R19" totalsRowShown="0" headerRowDxfId="522">
  <autoFilter ref="D9:R19" xr:uid="{BA52E4BB-C3D1-441A-A568-0AD50449E880}"/>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0:F20" totalsRowShown="0">
  <autoFilter ref="D10:F20" xr:uid="{206BD78F-05E0-445B-A064-B487D1B996EF}"/>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18:Q28" totalsRowShown="0">
  <autoFilter ref="D18:Q28" xr:uid="{6EC3622A-9CA1-4931-8AAA-6FC289090D20}"/>
  <tableColumns count="14">
    <tableColumn id="1" xr3:uid="{09491CF8-20F0-4FE5-B2E5-824F35323759}" name="Feed blend name" dataCellStyle="Input text"/>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2:F42" totalsRowShown="0" headerRowCellStyle="Input table column header">
  <autoFilter ref="D32:F42" xr:uid="{F7DA8543-C7DE-49A8-A739-D82C85B7B828}"/>
  <tableColumns count="3">
    <tableColumn id="3" xr3:uid="{69ECF868-4B84-4E9A-96F5-1BDF565F3FD3}" name="Product name" dataCellStyle="Input text"/>
    <tableColumn id="1" xr3:uid="{34C48247-DCDF-4B93-B49D-A318288E0686}" name="Type (select)" dataDxfId="521" dataCellStyle="Input select"/>
    <tableColumn id="2" xr3:uid="{5B0AEBA4-AB33-4382-8634-3F4C8D3B2A9B}" name="Number of head treated" dataDxfId="520" dataCellStyle="Input number general"/>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6:K16" totalsRowShown="0">
  <autoFilter ref="D6:K16"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519" dataCellStyle="Input select"/>
    <tableColumn id="2" xr3:uid="{FA43F52A-7609-4014-A6D3-CAC2C970F57C}" name="Purchase class (select)" dataDxfId="518" dataCellStyle="Input select"/>
    <tableColumn id="6" xr3:uid="{41EDEC1E-1793-4BBD-B0C8-66DE9A0925D5}" name="Source region (Select)" dataDxfId="517"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6:I16" totalsRowShown="0" headerRowDxfId="516">
  <autoFilter ref="D6:I16" xr:uid="{E938BFB3-949A-45DE-8033-0682BC494B81}"/>
  <tableColumns count="6">
    <tableColumn id="9" xr3:uid="{9915AEA9-40DA-4CFD-B08A-11FBE10BE9CF}" name="Transaction name" dataCellStyle="Input text"/>
    <tableColumn id="11" xr3:uid="{7A96FDED-4DC0-48EE-B346-DC4E5D93138D}" name="Class (select)" dataDxfId="515"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6:H16" totalsRowShown="0" headerRowDxfId="514">
  <autoFilter ref="D6:H16" xr:uid="{14ED7533-62DD-410F-8832-CD98B0CD652B}"/>
  <tableColumns count="5">
    <tableColumn id="9" xr3:uid="{FC1CEF00-A0CC-4545-ADAB-9F52D190F90C}" name="Transaction name" dataCellStyle="Input text"/>
    <tableColumn id="11" xr3:uid="{45625588-179B-4EE3-98B4-2E94FA489CC5}" name="Class (select)" dataDxfId="513"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Common_InputFunctions.Utility_LookupValueInTableNumber(Table_Input_LivestockPurchases_Pigs[[#This Row],[Class (select)]], Table_SourceData_Swine_Liveweight[Livestock type j],Table_SourceData_Swine_Liveweight[Average liveweight (kg)])</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6:H16" totalsRowShown="0">
  <autoFilter ref="D6:H16" xr:uid="{7DCBF554-869B-4226-8D02-B0F5F866C92B}"/>
  <tableColumns count="5">
    <tableColumn id="9" xr3:uid="{D6ADF99B-6024-404D-ADE3-4453D96F9A44}" name="Transaction name" dataCellStyle="Input text"/>
    <tableColumn id="11" xr3:uid="{4ED1C819-CD4A-4EB7-A045-069B468B975F}" name="Class (select)" dataDxfId="512"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Common_InputFunctions.Utility_LookupValueInTableNumber(Table_Input_LivestockPurchases_Poultry[[#This Row],[Class (select)]], Table_SourceData_Poultry_Liveweights[Livestock class j],Table_SourceData_Poultry_Liveweights[Average liveweight (kg)])</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dataCellStyle="Input text"/>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dataCellStyle="Input text"/>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7B1B7CC1-8D72-485F-81BD-F0E250CFF71C}" name="Table_Input_SolidWaste" displayName="Table_Input_SolidWaste" ref="D9:I18" totalsRowShown="0" headerRowCellStyle="Input table column header">
  <autoFilter ref="D9:I18"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E1CDB987-C484-4F93-9164-BF7C454BFCF6}" name="Description"/>
    <tableColumn id="5" xr3:uid="{8077C0B2-B8AD-4D93-884F-60AC69CB6239}" name="Treatment type (select)" dataCellStyle="Input select"/>
    <tableColumn id="2" xr3:uid="{5EE3EB50-96E6-4876-B752-44214078A1A1}" name="Waste type (select)" dataCellStyle="Input select"/>
    <tableColumn id="3" xr3:uid="{063D8EB5-8023-4995-B8BA-E63FD7010C4C}" name="Treatment location (select)" dataCellStyle="Input number general calculated"/>
    <tableColumn id="4" xr3:uid="{823DAC85-9E32-43FE-98D2-B06EFD8C3195}" name="Amount" dataCellStyle="Input number general"/>
    <tableColumn id="7" xr3:uid="{E55F05A7-C578-47BA-A408-7635DBEE96F0}" name="Amount unit (select)" dataCellStyle="Input select"/>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FA7C8C-4D15-4D48-8F74-8208F4BCB8D4}"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BF12D2-AB8E-4251-8720-960F8D5A1B00}" name="Description"/>
    <tableColumn id="5" xr3:uid="{38409708-B77C-42C7-9B6F-E8D7D0582FD6}" name="Source (select)" dataCellStyle="Input select"/>
    <tableColumn id="2" xr3:uid="{7FC1762E-54F5-4151-A09E-A71663412C1B}" name="Generation date" dataDxfId="511"/>
    <tableColumn id="3" xr3:uid="{8BDEF306-7768-439C-A244-8F4ECE015006}" name="Number of certificates"/>
    <tableColumn id="4" xr3:uid="{2D5B4122-6366-4684-BF77-2F4F59AEC193}" name="MWh" dataCellStyle="Input number general calculated">
      <calculatedColumnFormula>Table_Input_RECSurrendered[[#This Row],[Number of certificates]]</calculatedColumnFormula>
    </tableColumn>
    <tableColumn id="7" xr3:uid="{1D1C3A77-8A3C-43F3-9AA9-1D92D3D06C65}"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E2DBE17-5839-4F2F-8A64-3F40E12A498E}"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7B8D687-1092-4844-B5C2-377F278E643E}" name="Description"/>
    <tableColumn id="5" xr3:uid="{BFBC5F0D-B69C-47AF-BDE0-A643789289CF}" name="Source" dataCellStyle="Input number general calculated">
      <calculatedColumnFormula>"Issued for generated electricity"</calculatedColumnFormula>
    </tableColumn>
    <tableColumn id="2" xr3:uid="{89A8CE48-DCCB-4E01-8021-9F8D64DA67F4}" name="Generation date" dataDxfId="510"/>
    <tableColumn id="3" xr3:uid="{0AD2118E-3F34-4FB7-83FB-18287FECFD15}" name="Number of certificates"/>
    <tableColumn id="4" xr3:uid="{54403A08-11FD-4AFF-9FE9-53EA292D19E4}" name="MWh" dataCellStyle="Input number general calculated">
      <calculatedColumnFormula>Table_Input_RECConsumedByEntity[[#This Row],[Number of certificates]]</calculatedColumnFormula>
    </tableColumn>
    <tableColumn id="7" xr3:uid="{C6584786-3ACE-4433-92C5-0FFB0B48AC0D}"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A99DCC2-6F33-4657-9001-AFDF50840919}" name="Category" dataDxfId="509"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508"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507"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506"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Emissions intensity" dataDxfId="505"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504" dataCellStyle="Content normal">
      <calculatedColumnFormula array="1">Common_InputFunctions.Utility_DisplayArrayInTable(Scope3_SourceData.Scope3_Livestock_Data(), Table_SourceData_Scope3_Animals[[#Headers],[Category]], 0, 2)</calculatedColumnFormula>
    </tableColumn>
    <tableColumn id="4" xr3:uid="{882E52BB-038E-4A08-9C67-781010D9E5A3}" name="Source" dataDxfId="503" dataCellStyle="Content normal"/>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E00DA67-2268-4285-B0B6-C8E6F88FC55E}" name="Category" dataDxfId="502"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501"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500"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99"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Emissions intensity" dataDxfId="498"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97" dataCellStyle="Content normal">
      <calculatedColumnFormula array="1">Common_InputFunctions.Utility_DisplayArrayInTable(Scope3_SourceData.Scope3_Chemicals_Data(), Table_SourceData_Scope3_ChemicalsCleaning[[#Headers],[Category]], 0, 2)</calculatedColumnFormula>
    </tableColumn>
    <tableColumn id="4" xr3:uid="{507C623C-01CF-4CC5-9A57-D9ABE54B02A8}" name="Source" dataDxfId="496" dataCellStyle="Content normal"/>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J158" dataDxfId="495"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19F2701-68F1-480A-8D9E-12C627CAC316}" name="Category" totalsRowFunction="custom" dataDxfId="494" totalsRowDxfId="49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EC66DCC6-8100-4F11-A8A8-539664BA4ACD}" name="Product" totalsRowFunction="custom" dataDxfId="492" totalsRowDxfId="491"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A985E658-3F73-4AD9-B19C-0CAEAD42BEE8}" name="Region of origin" totalsRowFunction="custom" dataDxfId="490" totalsRowDxfId="489"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7006E028-9383-4657-93CA-9F7D8B66AA38}" name="Quantity Unit" totalsRowFunction="custom" dataDxfId="488" totalsRowDxfId="487"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1C50D81A-129A-4BDA-881C-9E65EF792CE6}" name="Emissions intensity" totalsRowFunction="custom" dataDxfId="486" totalsRowDxfId="485"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DAF99126-21EE-4F42-8379-91D5DC8AA914}" name="System boundary" totalsRowFunction="custom" dataDxfId="484" totalsRowDxfId="48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465E51AD-3974-41E5-9183-A7A1DD0D051F}" name="Source" totalsRowLabel="GHGEI-MIAFF" dataDxfId="482" totalsRowDxfId="481" dataCellStyle="Content normal"/>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80" dataCellStyle="Content normal">
      <calculatedColumnFormula array="1">Common_InputFunctions.Utility_DisplayArrayInTable(Scope3_SourceData.Scope3_InorganicFertilisers_Data(), Table_SourceData_Scope3_InorganicFertiliser[[#Headers],[Category]], 0, -2)</calculatedColumnFormula>
    </tableColumn>
    <tableColumn id="11" xr3:uid="{1FFFCF78-EF2E-46BF-8674-E483F449961B}" name="Source" dataDxfId="479" dataCellStyle="Content normal"/>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J209" totalsRowShown="0" dataDxfId="478"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CEB3E78-BC5A-4FFC-A3DE-61DDB731CC23}" name="Category" dataDxfId="477"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476"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475"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474"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Emissions intensity" dataDxfId="473"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472" dataCellStyle="Content normal">
      <calculatedColumnFormula array="1">Common_InputFunctions.Utility_DisplayArrayInTable(Scope3_SourceData.Scope3_Other_Data(), Table_SourceData_Scope3_Other[[#Headers],[Category]], 0, 2)</calculatedColumnFormula>
    </tableColumn>
    <tableColumn id="4" xr3:uid="{22E303AA-E1C6-403C-84C3-90AA251466CF}" name="Source" dataDxfId="471" dataCellStyle="Content normal"/>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J216" totalsRowShown="0" dataDxfId="470"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3362DD2-0B33-4BCB-B827-7C4A89047CC0}" name="Category" dataDxfId="469"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468"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467"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466"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Emissions intensity" dataDxfId="465"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464" dataCellStyle="Content normal">
      <calculatedColumnFormula array="1">Common_InputFunctions.Utility_DisplayArrayInTable(Scope3_SourceData.Scope3_Packaging_Data(), Table_SourceData_Scope3_Packaging[[#Headers],[Category]], 0, 2)</calculatedColumnFormula>
    </tableColumn>
    <tableColumn id="4" xr3:uid="{2BD93E52-9368-4597-AB7B-499505197C9B}" name="Source" dataDxfId="463" dataCellStyle="Content normal"/>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J231" totalsRowShown="0" dataDxfId="462"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04510F4-8D3C-4FA5-882C-E108FA075567}" name="Category" dataDxfId="461"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460"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459"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458"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Emissions intensity" dataDxfId="457"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456" dataCellStyle="Content normal">
      <calculatedColumnFormula array="1">Common_InputFunctions.Utility_DisplayArrayInTable(Scope3_SourceData.Scope3_Pesticides_Data(), Table_SourceData_Scope3_Pesticides[[#Headers],[Category]], 0, 2)</calculatedColumnFormula>
    </tableColumn>
    <tableColumn id="4" xr3:uid="{4A8C3117-E9B4-45A0-8226-3F4FF2A47001}" name="Source" dataDxfId="455" dataCellStyle="Content normal"/>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J237" totalsRowShown="0" dataDxfId="454"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2F3917D-29C8-409C-92F6-F329885A0AC6}" name="Category" dataDxfId="453"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452"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451"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450"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Emissions intensity" dataDxfId="449"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448" dataCellStyle="Content normal">
      <calculatedColumnFormula array="1">Common_InputFunctions.Utility_DisplayArrayInTable(Scope3_SourceData.Scope3_SoilAmendments_Data(), Table_SourceData_Scope3_SoilAmeliorants[[#Headers],[Category]], 0, 2)</calculatedColumnFormula>
    </tableColumn>
    <tableColumn id="4" xr3:uid="{49CA18B2-838F-467B-A644-A967783CB9A8}" name="Source" dataDxfId="447" dataCellStyle="Content normal"/>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J86" totalsRowShown="0" dataDxfId="446"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E805F0F-13EB-444A-AFA4-AC66F45058CE}" name="Category" dataDxfId="445"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444"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443"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442"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Emissions intensity" dataDxfId="441"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440" dataCellStyle="Content normal">
      <calculatedColumnFormula array="1">Common_InputFunctions.Utility_DisplayArrayInTable(Scope3_SourceData.Scope3_Chemicals_Data(), Table_SourceData_Scope3_ChemicalsPharmacy[[#Headers],[Category]], -3, 2)</calculatedColumnFormula>
    </tableColumn>
    <tableColumn id="4" xr3:uid="{63368DC3-6248-4707-B4EA-991B0F2E55E1}" name="Source" dataDxfId="439" dataCellStyle="Content normal"/>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J170" totalsRowShown="0" headerRowDxfId="438"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D76B938-08A2-4094-AEB0-8C3161774DD1}" name="Category" dataDxfId="437"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436"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435"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434"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Emissions intensity" dataDxfId="433"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432" dataCellStyle="Content normal">
      <calculatedColumnFormula array="1">Common_InputFunctions.Utility_DisplayArrayInTable(Scope3_SourceData.Scope3_Feed_Data(), Table_SourceData_Scope3_LickBlocks[[#Headers],[Category]], -73, 2)</calculatedColumnFormula>
    </tableColumn>
    <tableColumn id="7" xr3:uid="{9671E7C1-4B64-44E9-8472-43A819066039}" name="Source" dataDxfId="431" dataCellStyle="Content normal"/>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J165" totalsRowShown="0" headerRowDxfId="430"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8F83081-CECF-4A9D-9DDF-0E7F39862E23}" name="Category" dataDxfId="429"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428"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427"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426"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Emissions intensity" dataDxfId="425"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424" dataCellStyle="Content normal">
      <calculatedColumnFormula array="1">Common_InputFunctions.Utility_DisplayArrayInTable(Scope3_SourceData.Scope3_Feed_Data(), Table_SourceData_Scope3_MixedRations[[#Headers],[Category]], -66, 2)</calculatedColumnFormula>
    </tableColumn>
    <tableColumn id="7" xr3:uid="{09F25A95-C0C3-479F-9AD6-F8E1F2F6B6AF}" name="Source" dataDxfId="423" dataCellStyle="Content normal"/>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L97:M104" totalsRowShown="0" headerRowDxfId="422" headerRowCellStyle="Content normal">
  <autoFilter ref="L97:M104"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O104:P109" totalsRowShown="0" headerRowDxfId="421" headerRowCellStyle="Content normal">
  <autoFilter ref="O104:P109"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L109:M117" totalsRowShown="0" headerRowDxfId="420" headerRowCellStyle="Content normal">
  <autoFilter ref="L109:M117"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L150:M151" totalsRowShown="0" headerRowDxfId="419" headerRowCellStyle="Content normal" dataCellStyle="Content normal">
  <autoFilter ref="L150:M151"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L33:M49" totalsRowShown="0">
  <autoFilter ref="L33:M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2ECEE9-6AEB-4C74-BD8F-E665996241EB}" name="Table_SourceData_Scope3_FishFeedAndBait" displayName="Table_SourceData_Scope3_FishFeedAndBait" ref="D241:J247" totalsRowShown="0" dataDxfId="418"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C13660D2-7276-495F-A7CB-8FE085830C46}" name="Category" dataDxfId="417" dataCellStyle="Content normal">
      <calculatedColumnFormula array="1">Common_InputFunctions.Utility_DisplayArrayInTable(Scope3_SourceData.Scope3_FishFeedAndBait_Data(), Table_SourceData_Scope3_FishFeedAndBait[[#Headers],[Category]], 0, 1)</calculatedColumnFormula>
    </tableColumn>
    <tableColumn id="1" xr3:uid="{5BE505BF-CE58-412D-9E4A-8F3AFDABEACB}" name="Product" dataDxfId="416" dataCellStyle="Content normal">
      <calculatedColumnFormula array="1">Common_InputFunctions.Utility_DisplayArrayInTable(Scope3_SourceData.Scope3_FishFeedAndBait_Data(), Table_SourceData_Scope3_FishFeedAndBait[[#Headers],[Category]], 0, 1)</calculatedColumnFormula>
    </tableColumn>
    <tableColumn id="2" xr3:uid="{FFA9A0E9-D3F6-4E42-A8ED-1D58BE496024}" name="Region of origin" dataDxfId="415" dataCellStyle="Content normal">
      <calculatedColumnFormula array="1">Common_InputFunctions.Utility_DisplayArrayInTable(Scope3_SourceData.Scope3_FishFeedAndBait_Data(), Table_SourceData_Scope3_FishFeedAndBait[[#Headers],[Category]], 0, 1)</calculatedColumnFormula>
    </tableColumn>
    <tableColumn id="3" xr3:uid="{1C316DBB-D7EE-48A7-BC4C-C802D9A106F1}" name="Quantity Unit" dataDxfId="414" dataCellStyle="Content normal">
      <calculatedColumnFormula array="1">Common_InputFunctions.Utility_DisplayArrayInTable(Scope3_SourceData.Scope3_FishFeedAndBait_Data(), Table_SourceData_Scope3_FishFeedAndBait[[#Headers],[Category]], 0, 1)</calculatedColumnFormula>
    </tableColumn>
    <tableColumn id="4" xr3:uid="{ACEED738-E868-49B0-967C-DDFA66F732B9}" name="Emissions intensity" dataDxfId="413" dataCellStyle="Content normal">
      <calculatedColumnFormula array="1">Common_InputFunctions.Utility_DisplayArrayInTable(Scope3_SourceData.Scope3_FishFeedAndBait_Data(), Table_SourceData_Scope3_FishFeedAndBait[[#Headers],[Category]], 0, 1)</calculatedColumnFormula>
    </tableColumn>
    <tableColumn id="5" xr3:uid="{71EA12D0-F4A0-41EE-93F5-27C8DB1A6D08}" name="System boundary" dataDxfId="412" dataCellStyle="Content normal">
      <calculatedColumnFormula array="1">Common_InputFunctions.Utility_DisplayArrayInTable(Scope3_SourceData.Scope3_FishFeedAndBait_Data(), Table_SourceData_Scope3_FishFeedAndBait[[#Headers],[Category]], 0, 1)</calculatedColumnFormula>
    </tableColumn>
    <tableColumn id="8" xr3:uid="{81E95744-DE7D-4610-B637-8B1DF5894ADB}" name="Source" dataDxfId="411" dataCellStyle="Content normal"/>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E1AE06E-0B1A-47E9-9231-042CC986FCB1}" name="Table_SourceData_WasteSolid_WasteTreatmentEFs" displayName="Table_SourceData_WasteSolid_WasteTreatmentEFs" ref="D16:G50" totalsRowShown="0">
  <autoFilter ref="D16:G50" xr:uid="{0E1AE06E-0B1A-47E9-9231-042CC986FCB1}"/>
  <tableColumns count="4">
    <tableColumn id="1" xr3:uid="{43B00D7B-934C-4F2E-8E38-208D4CFBD88D}"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6E1D2D92-5D6D-49B9-842E-C324B1895599}" name="Waste type w" dataDxfId="41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A40120E1-706C-48CD-B244-DCF5520CFD13}" name="EFwt" dataDxfId="40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136BD16B-B0D9-4E2D-B853-60E68A0A8E24}" name="EF source" dataDxfId="408"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EB5970C-CA57-4EB6-890A-8F975CE6D97F}" name="Table_SourceData_WasteSolid_VolumeToMassConversion" displayName="Table_SourceData_WasteSolid_VolumeToMassConversion" ref="D57:E68" totalsRowShown="0">
  <autoFilter ref="D57:E68" xr:uid="{1EB5970C-CA57-4EB6-890A-8F975CE6D97F}"/>
  <tableColumns count="2">
    <tableColumn id="1" xr3:uid="{DF1660E5-5291-4BAF-BE38-54DD7822620A}"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40377849-3751-438E-816C-89BD138BAB6E}" name="VTMw" dataDxfId="407"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060A6F3-F929-421F-BC9E-6A449E8A8513}" name="Table_WasteTypes_Landfill" displayName="Table_WasteTypes_Landfill" ref="I16:I27" totalsRowShown="0">
  <autoFilter ref="I16:I27" xr:uid="{B060A6F3-F929-421F-BC9E-6A449E8A8513}"/>
  <tableColumns count="1">
    <tableColumn id="1" xr3:uid="{C543A9DA-6788-46D9-A884-B20CE337F4C4}"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78A86D3-CC50-45F5-8018-712EF91F3356}" name="Table_WasteTypes_Incineration" displayName="Table_WasteTypes_Incineration" ref="K16:K26" totalsRowShown="0" headerRowDxfId="406" headerRowCellStyle="Content normal" dataCellStyle="Content normal">
  <autoFilter ref="K16:K26" xr:uid="{478A86D3-CC50-45F5-8018-712EF91F3356}"/>
  <tableColumns count="1">
    <tableColumn id="1" xr3:uid="{4298DAB6-6816-4CF4-868E-6CE1D6730CE3}" name="Waste type w" dataCellStyle="Content normal">
      <calculatedColumnFormula>E29</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B016CBB-C518-4F44-8DA5-22BFEF05C8F4}" name="Table_WasteTypes_Composting" displayName="Table_WasteTypes_Composting" ref="M16:M21" totalsRowShown="0" headerRowDxfId="405" headerRowCellStyle="Content normal" dataCellStyle="Content normal">
  <autoFilter ref="M16:M21" xr:uid="{8B016CBB-C518-4F44-8DA5-22BFEF05C8F4}"/>
  <tableColumns count="1">
    <tableColumn id="1" xr3:uid="{529CBAE6-9FC8-4C67-86C3-EAFEE2218DCF}" name="Waste type w" totalsRowDxfId="404" dataCellStyle="Content normal">
      <calculatedColumnFormula>E40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29F6F0E-2A01-4D24-9251-51FC9A4458D0}" name="Table_WasteTypes_Anaerobicdigestion" displayName="Table_WasteTypes_Anaerobicdigestion" ref="O16:O21" totalsRowShown="0" headerRowDxfId="403" headerRowCellStyle="Content normal" dataCellStyle="Content normal">
  <autoFilter ref="O16:O21" xr:uid="{A29F6F0E-2A01-4D24-9251-51FC9A4458D0}"/>
  <tableColumns count="1">
    <tableColumn id="1" xr3:uid="{64CBF66F-F07B-4051-8F15-1DD91E5BCBEF}" name="Waste type w" totalsRowDxfId="402" dataCellStyle="Content normal">
      <calculatedColumnFormula>E46</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44239344-1FA2-4A55-9EBB-A935D1622AD9}" name="Table_Fuel_EFs_StationaryLiquid" displayName="Table_Fuel_EFs_StationaryLiquid" ref="D53:K77" totalsRowShown="0" headerRowDxfId="401" dataDxfId="400">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42414EA-F7B5-4F05-BEDB-95BF429D57CF}" name="Fuel combusted" dataDxfId="399">
      <calculatedColumnFormula array="1">Common_InputFunctions.Utility_DisplayArrayInTable(Fuel_SourceData.Fuel_Scope1Scope3EmissionFactorsStationaryLiquid_Data(), Table_Fuel_EFs_StationaryLiquid[[#Headers],[Fuel combusted]],0)</calculatedColumnFormula>
    </tableColumn>
    <tableColumn id="2" xr3:uid="{17135B02-9E98-47C6-B4BD-4C6C1C3BBC1C}" name="Energy Content Factor (GJ per unit of fuel)" dataDxfId="398">
      <calculatedColumnFormula array="1">Common_InputFunctions.Utility_DisplayArrayInTable(Fuel_SourceData.Fuel_Scope1Scope3EmissionFactorsStationaryLiquid_Data(), Table_Fuel_EFs_StationaryLiquid[[#Headers],[Fuel combusted]],0)</calculatedColumnFormula>
    </tableColumn>
    <tableColumn id="3" xr3:uid="{142EA494-DE90-422C-ADBF-83B7CC47A2F0}" name="Fuel unit" dataDxfId="397">
      <calculatedColumnFormula array="1">Common_InputFunctions.Utility_DisplayArrayInTable(Fuel_SourceData.Fuel_Scope1Scope3EmissionFactorsStationaryLiquid_Data(), Table_Fuel_EFs_StationaryLiquid[[#Headers],[Fuel combusted]],0)</calculatedColumnFormula>
    </tableColumn>
    <tableColumn id="4" xr3:uid="{830EEAFC-D43B-4A89-8593-9C9C21676FC9}" name="Scope 1 Emission Factor (kg CO2 - e / GJ) CO2" dataDxfId="396">
      <calculatedColumnFormula array="1">Common_InputFunctions.Utility_DisplayArrayInTable(Fuel_SourceData.Fuel_Scope1Scope3EmissionFactorsStationaryLiquid_Data(), Table_Fuel_EFs_StationaryLiquid[[#Headers],[Fuel combusted]],0)</calculatedColumnFormula>
    </tableColumn>
    <tableColumn id="5" xr3:uid="{B442DA88-CC3A-46D0-8151-C4F05EC9A347}" name="Scope 1 Emission Factor (kg CO2 - e / GJ) CH4" dataDxfId="395">
      <calculatedColumnFormula array="1">Common_InputFunctions.Utility_DisplayArrayInTable(Fuel_SourceData.Fuel_Scope1Scope3EmissionFactorsStationaryLiquid_Data(), Table_Fuel_EFs_StationaryLiquid[[#Headers],[Fuel combusted]],0)</calculatedColumnFormula>
    </tableColumn>
    <tableColumn id="6" xr3:uid="{51B8EEEB-1C44-4DB7-BB80-163871F50930}" name="Scope 1 Emission Factor (kg CO2 - e / GJ) N2O" dataDxfId="394">
      <calculatedColumnFormula array="1">Common_InputFunctions.Utility_DisplayArrayInTable(Fuel_SourceData.Fuel_Scope1Scope3EmissionFactorsStationaryLiquid_Data(), Table_Fuel_EFs_StationaryLiquid[[#Headers],[Fuel combusted]],0)</calculatedColumnFormula>
    </tableColumn>
    <tableColumn id="7" xr3:uid="{1637F946-9FE1-422A-A2EA-AA7B97E5F67D}" name="Scope 1 Emission Factor (kg CO2 - e / GJ) Combined gases" dataDxfId="393">
      <calculatedColumnFormula array="1">Common_InputFunctions.Utility_DisplayArrayInTable(Fuel_SourceData.Fuel_Scope1Scope3EmissionFactorsStationaryLiquid_Data(), Table_Fuel_EFs_StationaryLiquid[[#Headers],[Fuel combusted]],0)</calculatedColumnFormula>
    </tableColumn>
    <tableColumn id="8" xr3:uid="{14E0E748-E6AE-4BDE-91C8-1E61B10284F4}" name="Scope 3 Emission Factor (kg CO2 - e / GJ)" dataDxfId="392">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B2A11E05-29BE-4AEE-9F3B-9B4B4904A540}" name="Table_Fuel_EFs_Transport" displayName="Table_Fuel_EFs_Transport" ref="D9:L34" totalsRowShown="0" headerRowDxfId="391" dataDxfId="390">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5D42444-BF74-4149-B519-41E15328CFD7}" name="Transport type" dataDxfId="389">
      <calculatedColumnFormula array="1">Common_InputFunctions.Utility_DisplayArrayInTable(Fuel_SourceData.Fuel_Scope1Scope3EmissionFactorsTransport_Data(), Table_Fuel_EFs_Transport[[#Headers],[Transport type]], 0)</calculatedColumnFormula>
    </tableColumn>
    <tableColumn id="2" xr3:uid="{2D52A23D-FD44-46FC-A282-2281801C2594}" name="Fuel combusted" dataDxfId="388">
      <calculatedColumnFormula array="1">Common_InputFunctions.Utility_DisplayArrayInTable(Fuel_SourceData.Fuel_Scope1Scope3EmissionFactorsTransport_Data(), Table_Fuel_EFs_Transport[[#Headers],[Transport type]], 0)</calculatedColumnFormula>
    </tableColumn>
    <tableColumn id="3" xr3:uid="{AD490078-C77D-482E-9C4B-56D7FC8F1A88}" name="Energy Content Factor (GJ per unit of fuel)" dataDxfId="387">
      <calculatedColumnFormula array="1">Common_InputFunctions.Utility_DisplayArrayInTable(Fuel_SourceData.Fuel_Scope1Scope3EmissionFactorsTransport_Data(), Table_Fuel_EFs_Transport[[#Headers],[Transport type]], 0)</calculatedColumnFormula>
    </tableColumn>
    <tableColumn id="4" xr3:uid="{F6BA41A3-BBDD-45C8-9189-882BFBAAA100}" name="Fuel unit" dataDxfId="386">
      <calculatedColumnFormula array="1">Common_InputFunctions.Utility_DisplayArrayInTable(Fuel_SourceData.Fuel_Scope1Scope3EmissionFactorsTransport_Data(), Table_Fuel_EFs_Transport[[#Headers],[Transport type]], 0)</calculatedColumnFormula>
    </tableColumn>
    <tableColumn id="8" xr3:uid="{A7FD4124-6596-47EB-BAE3-07A6E7809A30}" name="Scope 1 Emission Factor (kg CO2 - e / GJ) CO2" dataDxfId="385">
      <calculatedColumnFormula array="1">Common_InputFunctions.Utility_DisplayArrayInTable(Fuel_SourceData.Fuel_Scope1Scope3EmissionFactorsTransport_Data(), Table_Fuel_EFs_Transport[[#Headers],[Transport type]], 0)</calculatedColumnFormula>
    </tableColumn>
    <tableColumn id="9" xr3:uid="{54980971-CAD2-4C78-AA33-45104B91084B}" name="Scope 1 Emission Factor (kg CO2 - e / GJ) CH4" dataDxfId="384">
      <calculatedColumnFormula array="1">Common_InputFunctions.Utility_DisplayArrayInTable(Fuel_SourceData.Fuel_Scope1Scope3EmissionFactorsTransport_Data(), Table_Fuel_EFs_Transport[[#Headers],[Transport type]], 0)</calculatedColumnFormula>
    </tableColumn>
    <tableColumn id="10" xr3:uid="{D8E1F1BB-1501-4F4B-B5D4-340D903D53A3}" name="Scope 1 Emission Factor (kg CO2 - e / GJ) N2O" dataDxfId="383">
      <calculatedColumnFormula array="1">Common_InputFunctions.Utility_DisplayArrayInTable(Fuel_SourceData.Fuel_Scope1Scope3EmissionFactorsTransport_Data(), Table_Fuel_EFs_Transport[[#Headers],[Transport type]], 0)</calculatedColumnFormula>
    </tableColumn>
    <tableColumn id="11" xr3:uid="{70DED65C-6123-4355-B782-E86BFC04F7C7}" name="Scope 1 Emission Factor (kg CO2 - e / GJ) Combined gases" dataDxfId="382">
      <calculatedColumnFormula array="1">Common_InputFunctions.Utility_DisplayArrayInTable(Fuel_SourceData.Fuel_Scope1Scope3EmissionFactorsTransport_Data(), Table_Fuel_EFs_Transport[[#Headers],[Transport type]], 0)</calculatedColumnFormula>
    </tableColumn>
    <tableColumn id="12" xr3:uid="{84F16F9E-C988-4C5B-AB31-D7413278F3ED}" name="Scope 3 Emission Factor (kg CO2 - e / GJ)" dataDxfId="381">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A7CB067D-970A-4358-BDF4-7087FF87CD8C}" name="Table_FuelTypesPerUse" displayName="Table_FuelTypesPerUse" ref="D130:J139" totalsRowShown="0" headerRowDxfId="380" dataDxfId="379">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047D22D-E620-41D7-A612-FE4AF679DBC8}" name="Generators" dataDxfId="378"/>
    <tableColumn id="2" xr3:uid="{3CFB3B0E-6A3D-4336-A2F5-7D46AE54C335}" name="Power standalone machinery or heating" dataDxfId="377"/>
    <tableColumn id="3" xr3:uid="{5AAA1831-5C5E-4C84-BCC2-2E78A9B5258B}" name="Aviation" dataDxfId="376"/>
    <tableColumn id="5" xr3:uid="{F1BD91A4-832F-462E-8EB0-A84767662BE4}" name="Cars and light commercial vehicles" dataDxfId="375"/>
    <tableColumn id="7" xr3:uid="{E9B8BAAB-717E-44AB-B2F8-3E5C76D4FFB0}" name="Off-road Agriculture and forestry equipment" dataDxfId="374" dataCellStyle="Content bold"/>
    <tableColumn id="8" xr3:uid="{63E9DB80-5FD4-4E13-BBFC-A35B40E9C88C}" name="Vessels" dataDxfId="373" dataCellStyle="Content bold"/>
    <tableColumn id="6" xr3:uid="{EF6CDD99-C67B-4B96-AB3B-8313822AD3CF}" name="General use" dataDxfId="372"/>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7655F673-F1DC-4F2C-9897-D0C005D6DA67}" name="Table_Fuel_EFs_StationaryGaseous" displayName="Table_Fuel_EFs_StationaryGaseous" ref="D86:J104" totalsRowShown="0" headerRowDxfId="371" dataDxfId="370">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2C4C48D-8E9F-4ECE-97AB-DE8B0093AA25}" name="Fuel combusted" dataDxfId="369">
      <calculatedColumnFormula array="1">Common_InputFunctions.Utility_DisplayArrayInTable(Fuel_SourceData.Fuel_Scope1EmissionFactorsStationaryGaseous_Data(), Table_Fuel_EFs_StationaryGaseous[[#Headers],[Fuel combusted]],0)</calculatedColumnFormula>
    </tableColumn>
    <tableColumn id="2" xr3:uid="{E26A55E8-644D-4AD6-AD83-1DAA42CBCF6A}" name="Energy Content Factor (GJ per unit of fuel)" dataDxfId="368">
      <calculatedColumnFormula array="1">Common_InputFunctions.Utility_DisplayArrayInTable(Fuel_SourceData.Fuel_Scope1EmissionFactorsStationaryGaseous_Data(), Table_Fuel_EFs_StationaryGaseous[[#Headers],[Fuel combusted]],0)</calculatedColumnFormula>
    </tableColumn>
    <tableColumn id="3" xr3:uid="{702C6D98-E4D6-46CF-8238-3B54EA874782}" name="Fuel unit" dataDxfId="367">
      <calculatedColumnFormula array="1">Common_InputFunctions.Utility_DisplayArrayInTable(Fuel_SourceData.Fuel_Scope1EmissionFactorsStationaryGaseous_Data(), Table_Fuel_EFs_StationaryGaseous[[#Headers],[Fuel combusted]],0)</calculatedColumnFormula>
    </tableColumn>
    <tableColumn id="4" xr3:uid="{8BF4E51B-F5E8-441D-B6E5-B9541BCAABE0}" name="Scope 1 Emission Factor (kg CO2 - e / GJ) CO2" dataDxfId="366">
      <calculatedColumnFormula array="1">Common_InputFunctions.Utility_DisplayArrayInTable(Fuel_SourceData.Fuel_Scope1EmissionFactorsStationaryGaseous_Data(), Table_Fuel_EFs_StationaryGaseous[[#Headers],[Fuel combusted]],0)</calculatedColumnFormula>
    </tableColumn>
    <tableColumn id="5" xr3:uid="{FAB0A50E-7BE8-4056-B613-90FD432A58DF}" name="Scope 1 Emission Factor (kg CO2 - e / GJ) CH4" dataDxfId="365">
      <calculatedColumnFormula array="1">Common_InputFunctions.Utility_DisplayArrayInTable(Fuel_SourceData.Fuel_Scope1EmissionFactorsStationaryGaseous_Data(), Table_Fuel_EFs_StationaryGaseous[[#Headers],[Fuel combusted]],0)</calculatedColumnFormula>
    </tableColumn>
    <tableColumn id="6" xr3:uid="{623769C4-3831-41B2-A306-B386738B66FB}" name="Scope 1 Emission Factor (kg CO2 - e / GJ) N2O" dataDxfId="364">
      <calculatedColumnFormula array="1">Common_InputFunctions.Utility_DisplayArrayInTable(Fuel_SourceData.Fuel_Scope1EmissionFactorsStationaryGaseous_Data(), Table_Fuel_EFs_StationaryGaseous[[#Headers],[Fuel combusted]],0)</calculatedColumnFormula>
    </tableColumn>
    <tableColumn id="7" xr3:uid="{4DE65DCF-8BFE-460E-95AC-F0D72628AF0D}" name="Scope 1 Emission Factor (kg CO2 - e / GJ) Combined gases" dataDxfId="363">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BC83DF7-3F77-4B91-8495-EB02C52D47FF}" name="Table_Fuel_EFs_StationaryGaseous34" displayName="Table_Fuel_EFs_StationaryGaseous34" ref="D112:F120" headerRowDxfId="362" totalsRowDxfId="361">
  <autoFilter ref="D112:F120" xr:uid="{7D6CE29D-2354-4FAC-9965-9A66FFA42416}">
    <filterColumn colId="0" hiddenButton="1"/>
    <filterColumn colId="1" hiddenButton="1"/>
    <filterColumn colId="2" hiddenButton="1"/>
  </autoFilter>
  <tableColumns count="3">
    <tableColumn id="1" xr3:uid="{19B5C8CF-5208-4996-AE39-351D2F2A00C4}" name="State or territory" totalsRowDxfId="360">
      <calculatedColumnFormula array="1">Common_InputFunctions.Utility_DisplayArrayInTable(Fuel_SourceData.Fuel_Scope3EmissionFactorsStationaryGaseous_Data(), Table_Fuel_EFs_StationaryGaseous34[[#Headers],[State or territory]],0)</calculatedColumnFormula>
    </tableColumn>
    <tableColumn id="2" xr3:uid="{1881D458-7AD7-4312-A19E-BC4FDE6286FA}" name="Metro" totalsRowDxfId="359">
      <calculatedColumnFormula array="1">Common_InputFunctions.Utility_DisplayArrayInTable(Fuel_SourceData.Fuel_Scope3EmissionFactorsStationaryGaseous_Data(), Table_Fuel_EFs_StationaryGaseous34[[#Headers],[State or territory]],0)</calculatedColumnFormula>
    </tableColumn>
    <tableColumn id="3" xr3:uid="{9C1015B4-AA9A-4E6E-9EDD-7ADD27589D91}" name="Non-metro" totalsRowDxfId="358">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CAA2FB3F-9E07-45B2-8682-89230C543974}" name="Table_FuelTypes_Units" displayName="Table_FuelTypes_Units" ref="D142:E162" totalsRowShown="0">
  <autoFilter ref="D142:E162" xr:uid="{74386805-E5CF-44F9-982C-CBCADB323E30}">
    <filterColumn colId="0" hiddenButton="1"/>
    <filterColumn colId="1" hiddenButton="1"/>
  </autoFilter>
  <tableColumns count="2">
    <tableColumn id="1" xr3:uid="{FE42109A-E008-4C28-9B6E-EFE68B2270BF}" name="Fuel type"/>
    <tableColumn id="2" xr3:uid="{E49310F2-3530-4687-B7C0-DF7BDE36ECC5}" name="Unit"/>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0D4440D-8307-4194-8353-A75DA6A8BCC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503ABF5-F764-48AF-9E89-C51448B9FDC8}"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0D6CCE62-97F9-4D39-ACFB-9F6033936215}" name="Fuel type q" dataDxfId="35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71431B35-182D-4086-9522-40F43060DC98}" name="ECTrans,q (GJ/kL)" dataDxfId="35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AC260234-A401-416E-8776-0AA7C6852FBE}" name="Scope 1 CO2 EFTran,1,tqg (kg CO2-e/GJ)" dataDxfId="35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EF37A649-4B07-4C23-B78B-D39F902B6214}" name="Scope 1 CH4 EFTran,1,tgg (kg CO2-e/GJ)" dataDxfId="35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F7154344-1C00-4C26-AACA-97F4F4649C72}" name="Scope 1 N2O EFTran,1,tgg (kg CO2-e/GJ)" dataDxfId="35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CBD7B118-9F2D-4EDD-AF11-D82AE7E79835}" name="Scope 3 EFTrans,3,q (kg CO2-e/GJ)" dataDxfId="35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1BEC493-76A8-429F-A61F-200574FC330B}"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B243E508-49FC-4246-9E6B-7EDB8A9BBFB3}"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23175F6D-37B0-4354-BDA5-FBE9A4BCC2B3}" name="Layers" dataDxfId="351"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9298735A-014E-429B-97AA-27FF82E123E1}" name="Meat chicken growers" dataDxfId="350"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39D32F10-4BD4-435F-8248-D8996332694F}" name="Meat chicken breeder" dataDxfId="349"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61B74CCD-847D-4972-9F00-DE8FE0F6DFEE}" name="Meat other" dataDxfId="348"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48B18611-37DB-4CA5-9B84-2F0273854A82}"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BE911D85-5E26-48EB-AB01-5F5CCD067473}"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6355A21C-7504-49C5-9034-B860CE14DF3C}" name="B0" dataDxfId="347"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97DEF3E-79E6-464F-B26E-6E80546B7125}" name="Table_SourceData_PoultryMMS" displayName="Table_SourceData_PoultryMMS" ref="D28:E38" totalsRowShown="0">
  <autoFilter ref="D28:E38" xr:uid="{AF7090B5-6718-41B7-9B26-A00EDB46BAC3}">
    <filterColumn colId="0" hiddenButton="1"/>
    <filterColumn colId="1" hiddenButton="1"/>
  </autoFilter>
  <tableColumns count="2">
    <tableColumn id="1" xr3:uid="{20B2DFD1-E5CD-4A0A-994B-4AC73BFECCDF}" name="MMS"/>
    <tableColumn id="2" xr3:uid="{922307C7-552C-4EB0-8D2C-DCB74655EE65}" name="Symbol and MMS" dataDxfId="346" dataCellStyle="Content normal"/>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A67DFED4-3AE0-44D4-9750-AC444DB39D4E}" name="Table_SourceData_Poultry_ProductionSystems" displayName="Table_SourceData_Poultry_ProductionSystems" ref="D44:D47" totalsRowShown="0">
  <autoFilter ref="D44:D47" xr:uid="{5810106E-36C6-489E-8962-5DE08C5F2EAC}">
    <filterColumn colId="0" hiddenButton="1"/>
  </autoFilter>
  <tableColumns count="1">
    <tableColumn id="1" xr3:uid="{9031EEAC-D1FE-4EAE-B389-DDFBB72F32F2}"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913F6249-6A4C-4955-9F9A-A925CF2E2E61}"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2421CCF-1CFC-42C1-80D1-E4A99C0D42D2}" name="MMS m">
      <calculatedColumnFormula array="1">Common_InputFunctions.Utility_DisplayArrayInTable(SourceData_Poultry.SourceData_Poultry_MCF_Data(), Table_SourceData_Poultry_MMSMCF[[#Headers],[MMS m]], 0)</calculatedColumnFormula>
    </tableColumn>
    <tableColumn id="2" xr3:uid="{F362A1BC-4F38-4EEF-9CE3-BE4CDFB64280}" name="All states" dataDxfId="345" dataCellStyle="Content normal">
      <calculatedColumnFormula array="1">Common_InputFunctions.Utility_DisplayArrayInTable(SourceData_Poultry.SourceData_Poultry_MCF_Data(), Table_SourceData_Poultry_MMSMCF[[#Headers],[MMS m]], 0)</calculatedColumnFormula>
    </tableColumn>
    <tableColumn id="3" xr3:uid="{B2EC8149-896E-4AE4-9361-F019709883E6}" name="NSW" dataDxfId="344" dataCellStyle="Content normal">
      <calculatedColumnFormula array="1">Common_InputFunctions.Utility_DisplayArrayInTable(SourceData_Poultry.SourceData_Poultry_MCF_Data(), Table_SourceData_Poultry_MMSMCF[[#Headers],[MMS m]], 0)</calculatedColumnFormula>
    </tableColumn>
    <tableColumn id="4" xr3:uid="{9C9B79C4-92C9-410A-9B20-71D45143000E}" name="ACT" dataDxfId="343" dataCellStyle="Content normal">
      <calculatedColumnFormula array="1">Common_InputFunctions.Utility_DisplayArrayInTable(SourceData_Poultry.SourceData_Poultry_MCF_Data(), Table_SourceData_Poultry_MMSMCF[[#Headers],[MMS m]], 0)</calculatedColumnFormula>
    </tableColumn>
    <tableColumn id="5" xr3:uid="{7E7CF863-1E33-40E7-9AAF-DD1F59BC22F0}" name="QLD" dataDxfId="342" dataCellStyle="Content normal">
      <calculatedColumnFormula array="1">Common_InputFunctions.Utility_DisplayArrayInTable(SourceData_Poultry.SourceData_Poultry_MCF_Data(), Table_SourceData_Poultry_MMSMCF[[#Headers],[MMS m]], 0)</calculatedColumnFormula>
    </tableColumn>
    <tableColumn id="6" xr3:uid="{C7C81061-FC02-44C9-AE76-88C33EF9ECE4}" name="NT" dataDxfId="341" dataCellStyle="Content normal">
      <calculatedColumnFormula array="1">Common_InputFunctions.Utility_DisplayArrayInTable(SourceData_Poultry.SourceData_Poultry_MCF_Data(), Table_SourceData_Poultry_MMSMCF[[#Headers],[MMS m]], 0)</calculatedColumnFormula>
    </tableColumn>
    <tableColumn id="7" xr3:uid="{A96B1204-56BE-456D-BBDB-84567033D573}" name="VIC" dataDxfId="340" dataCellStyle="Content normal">
      <calculatedColumnFormula array="1">Common_InputFunctions.Utility_DisplayArrayInTable(SourceData_Poultry.SourceData_Poultry_MCF_Data(), Table_SourceData_Poultry_MMSMCF[[#Headers],[MMS m]], 0)</calculatedColumnFormula>
    </tableColumn>
    <tableColumn id="8" xr3:uid="{5011B34B-A550-40FF-8791-9EF6D4239FA9}" name="SA" dataDxfId="339" dataCellStyle="Content normal">
      <calculatedColumnFormula array="1">Common_InputFunctions.Utility_DisplayArrayInTable(SourceData_Poultry.SourceData_Poultry_MCF_Data(), Table_SourceData_Poultry_MMSMCF[[#Headers],[MMS m]], 0)</calculatedColumnFormula>
    </tableColumn>
    <tableColumn id="9" xr3:uid="{ABD9C088-4987-4602-924F-BC3ABF983CE8}" name="WA" dataDxfId="338" dataCellStyle="Content normal">
      <calculatedColumnFormula array="1">Common_InputFunctions.Utility_DisplayArrayInTable(SourceData_Poultry.SourceData_Poultry_MCF_Data(), Table_SourceData_Poultry_MMSMCF[[#Headers],[MMS m]], 0)</calculatedColumnFormula>
    </tableColumn>
    <tableColumn id="10" xr3:uid="{E2F63026-59B6-4AA6-8B42-55A285E700B6}" name="TAS" dataDxfId="337" dataCellStyle="Content normal">
      <calculatedColumnFormula array="1">Common_InputFunctions.Utility_DisplayArrayInTable(SourceData_Poultry.SourceData_Poultry_MCF_Data(), Table_SourceData_Poultry_MMSMCF[[#Headers],[MMS m]], 0)</calculatedColumnFormula>
    </tableColumn>
    <tableColumn id="11" xr3:uid="{F552DD38-091B-4E46-A0C4-2B1F8CBC310B}" name="NIR definition" dataDxfId="336"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C203AFF-F289-4AFA-ADE6-8A79C218688E}"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73E2AAF-5ED3-49F1-92FA-7AEA0F27141A}" name="MMS"/>
    <tableColumn id="2" xr3:uid="{C80C5D24-CEDC-4CBE-B580-CA0FC8F4D827}" name="Symbol and MMS" dataDxfId="335" dataCellStyle="Content normal"/>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D43D64DD-D6AC-4D34-B66B-7F4BC2CA8A14}"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4C0C6BD8-DEE6-4912-8A7F-AD782FF2912D}" name="MMS"/>
    <tableColumn id="2" xr3:uid="{38FF62E3-2DE9-46ED-B607-80EC3AE32074}" name="Symbol and MMS" dataDxfId="334" dataCellStyle="Content normal"/>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C1AE9286-2F72-4C25-B52D-8CCF46A972C0}"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0B9BDCB1-3007-401C-8A94-6811634BCAC7}" name="MMS">
      <calculatedColumnFormula array="1">Common_InputFunctions.Utility_DisplayArrayInTable(SourceData_Poultry.SourceData_Poultry_VSL_Data(), Table_SourceData_Poultry_MMSVSL[[#Headers],[MMS]], 0)</calculatedColumnFormula>
    </tableColumn>
    <tableColumn id="2" xr3:uid="{16DF633F-896B-40B9-BD46-D97C1FE6420F}" name="VSL" dataDxfId="333" dataCellStyle="Content normal">
      <calculatedColumnFormula array="1">Common_InputFunctions.Utility_DisplayArrayInTable(SourceData_Poultry.SourceData_Poultry_VSL_Data(), Table_SourceData_Poultry_MMSVSL[[#Headers],[MMS]], 0)</calculatedColumnFormula>
    </tableColumn>
    <tableColumn id="3" xr3:uid="{305DE322-FE24-47B6-9DAE-00379ACBB8F4}" name="NIR definition" dataDxfId="332"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EA93269B-A23B-4F78-BF0E-0F3B8CBE0F57}"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AC102392-0468-476E-8D83-76CB916B4E49}" name="MMSm">
      <calculatedColumnFormula array="1">Common_InputFunctions.Utility_DisplayArrayInTable(SourceData_Poultry.SourceData_Poultry_FracGASMmT_Data(), Table_SourceData_Poultry_FracGASM[[#Headers],[MMSm]], 0)</calculatedColumnFormula>
    </tableColumn>
    <tableColumn id="2" xr3:uid="{823514F6-DBA5-4DA5-A6D4-58D76E2F7CA0}" name="FracGASMmT" dataDxfId="331" dataCellStyle="Content normal">
      <calculatedColumnFormula array="1">Common_InputFunctions.Utility_DisplayArrayInTable(SourceData_Poultry.SourceData_Poultry_FracGASMmT_Data(), Table_SourceData_Poultry_FracGASM[[#Headers],[MMSm]], 0)</calculatedColumnFormula>
    </tableColumn>
    <tableColumn id="3" xr3:uid="{F8AF52F6-FA64-47AF-AC30-3C025BF8D5AC}" name="NIR reference" dataDxfId="330"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D1327424-A4EE-4DA1-8A44-DEC7AD2F0D25}"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CDACA4B2-E1B4-4A3E-A4CA-6ED6023CBDEB}" name="MMSm">
      <calculatedColumnFormula array="1">Common_InputFunctions.Utility_DisplayArrayInTable(SourceData_Poultry.SourceData_Poultry_EFmT_Data(),Table_SourceData_Poultry_EFmT[[#Headers],[MMSm]], 0)</calculatedColumnFormula>
    </tableColumn>
    <tableColumn id="2" xr3:uid="{EAF1EE93-03E5-4363-A7A7-F0D02E6E53EA}" name="EFmT" dataDxfId="329" dataCellStyle="Content normal">
      <calculatedColumnFormula array="1">Common_InputFunctions.Utility_DisplayArrayInTable(SourceData_Poultry.SourceData_Poultry_EFmT_Data(),Table_SourceData_Poultry_EFmT[[#Headers],[MMSm]], 0)</calculatedColumnFormula>
    </tableColumn>
    <tableColumn id="3" xr3:uid="{0060EB7C-88C2-4889-A262-7E5B5B84A632}" name="NIR reference" dataDxfId="328"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C1D4E341-8FD7-41B8-8CE4-BE37EDB2615A}"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429BF07-C5EA-4E17-AD84-6F9F0A374128}" name="Livestock class j">
      <calculatedColumnFormula array="1">Common_InputFunctions.Utility_DisplayArrayInTable(SourceData_Poultry.SourceData_Poultry_Liveweights_Data(),Table_SourceData_Poultry_Liveweights[[#Headers],[Livestock class j]],0)</calculatedColumnFormula>
    </tableColumn>
    <tableColumn id="2" xr3:uid="{B1A017F9-EC3C-4B87-81A0-EB541B7710E3}" name="Average liveweight (kg)" dataDxfId="327"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2A95AA1-30BE-4370-9AA8-09ABA823E0EF}"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D69CF723-052B-412C-AE49-C79FDCBF9D62}" name="Class">
      <calculatedColumnFormula array="1">Common_InputFunctions.Utility_DisplayArrayInTable(SourceData_Swine.SourceData_Swine_VolatileSolids_Data(), Table_SourceData_Swine_VolatileSolids[[#Headers],[Class]], 0)</calculatedColumnFormula>
    </tableColumn>
    <tableColumn id="2" xr3:uid="{73416B29-D02D-4982-AEE0-FBA745B04874}" name="VSj" dataDxfId="326"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EAE3B60-21B2-4514-B5D4-37965F4BCFA0}"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A1D6565-704D-4A35-AFD0-08B07309FD4A}" name="MMS">
      <calculatedColumnFormula array="1">Common_InputFunctions.Utility_DisplayArrayInTable(SourceData_Swine.SourceData_Swine_MMS_MCFs_Data(),Table_SourceData_Swine_MMSMCF[[#Headers],[MMS]],0)</calculatedColumnFormula>
    </tableColumn>
    <tableColumn id="2" xr3:uid="{0C942164-E75B-4A41-8D90-261398420464}" name="NSW" dataDxfId="325" dataCellStyle="Content normal">
      <calculatedColumnFormula array="1">Common_InputFunctions.Utility_DisplayArrayInTable(SourceData_Swine.SourceData_Swine_MMS_MCFs_Data(),Table_SourceData_Swine_MMSMCF[[#Headers],[MMS]],0)</calculatedColumnFormula>
    </tableColumn>
    <tableColumn id="3" xr3:uid="{04C2B513-4EAE-44FD-8A07-08B7FBC04904}" name="ACT" dataDxfId="324" dataCellStyle="Content normal">
      <calculatedColumnFormula array="1">Common_InputFunctions.Utility_DisplayArrayInTable(SourceData_Swine.SourceData_Swine_MMS_MCFs_Data(),Table_SourceData_Swine_MMSMCF[[#Headers],[MMS]],0)</calculatedColumnFormula>
    </tableColumn>
    <tableColumn id="4" xr3:uid="{F354B2DA-5E1A-4DFF-B341-6567D5CB6E06}" name="QLD" dataDxfId="323" dataCellStyle="Content normal">
      <calculatedColumnFormula array="1">Common_InputFunctions.Utility_DisplayArrayInTable(SourceData_Swine.SourceData_Swine_MMS_MCFs_Data(),Table_SourceData_Swine_MMSMCF[[#Headers],[MMS]],0)</calculatedColumnFormula>
    </tableColumn>
    <tableColumn id="5" xr3:uid="{11F38387-B241-45B7-87FE-D576DB0F5BBA}" name="NT" dataDxfId="322" dataCellStyle="Content normal">
      <calculatedColumnFormula array="1">Common_InputFunctions.Utility_DisplayArrayInTable(SourceData_Swine.SourceData_Swine_MMS_MCFs_Data(),Table_SourceData_Swine_MMSMCF[[#Headers],[MMS]],0)</calculatedColumnFormula>
    </tableColumn>
    <tableColumn id="6" xr3:uid="{489736B3-2194-432E-8A72-6308A6328611}" name="SA" dataDxfId="321" dataCellStyle="Content normal">
      <calculatedColumnFormula array="1">Common_InputFunctions.Utility_DisplayArrayInTable(SourceData_Swine.SourceData_Swine_MMS_MCFs_Data(),Table_SourceData_Swine_MMSMCF[[#Headers],[MMS]],0)</calculatedColumnFormula>
    </tableColumn>
    <tableColumn id="7" xr3:uid="{3474C5D7-E249-4D40-ABF7-E23197B79982}" name="TAS" dataDxfId="320" dataCellStyle="Content normal">
      <calculatedColumnFormula array="1">Common_InputFunctions.Utility_DisplayArrayInTable(SourceData_Swine.SourceData_Swine_MMS_MCFs_Data(),Table_SourceData_Swine_MMSMCF[[#Headers],[MMS]],0)</calculatedColumnFormula>
    </tableColumn>
    <tableColumn id="8" xr3:uid="{DE3996D8-6CBF-4C83-A5FC-B0044E918384}" name="VIC" dataDxfId="319" dataCellStyle="Content normal">
      <calculatedColumnFormula array="1">Common_InputFunctions.Utility_DisplayArrayInTable(SourceData_Swine.SourceData_Swine_MMS_MCFs_Data(),Table_SourceData_Swine_MMSMCF[[#Headers],[MMS]],0)</calculatedColumnFormula>
    </tableColumn>
    <tableColumn id="9" xr3:uid="{0DBB2A19-AF71-4BD3-858D-CC8064EF3F5A}" name="WA" dataDxfId="318" dataCellStyle="Content normal">
      <calculatedColumnFormula array="1">Common_InputFunctions.Utility_DisplayArrayInTable(SourceData_Swine.SourceData_Swine_MMS_MCFs_Data(),Table_SourceData_Swine_MMSMCF[[#Headers],[MMS]],0)</calculatedColumnFormula>
    </tableColumn>
    <tableColumn id="10" xr3:uid="{E23875E6-15A7-4F31-B62B-19B82BF7A8AE}" name="NIR definition" dataDxfId="317"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2CD3280-C9FC-47EE-B96F-A0AC633FF19A}" name="Table_SourceData_SwineMMS" displayName="Table_SourceData_SwineMMS" ref="D40:E47" totalsRowShown="0">
  <autoFilter ref="D40:E47" xr:uid="{42F7033B-606B-4A24-9223-A30737FDC1FE}">
    <filterColumn colId="0" hiddenButton="1"/>
    <filterColumn colId="1" hiddenButton="1"/>
  </autoFilter>
  <tableColumns count="2">
    <tableColumn id="1" xr3:uid="{DDE7902F-5F27-4ADE-A2CB-D020FC67439A}" name="MMS"/>
    <tableColumn id="2" xr3:uid="{41D13592-D4EA-4CDD-A05A-47A2A48E5808}" name="Symbol and MMS" dataDxfId="316" dataCellStyle="Content normal"/>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9D34B0F-E2D2-4A79-9497-D369373935C9}" name="Table_SourceData_SwineVSL" displayName="Table_SourceData_SwineVSL" ref="D53:E60" totalsRowShown="0">
  <autoFilter ref="D53:E60" xr:uid="{079C074C-6E98-47B5-B4E5-F8A1F12104F2}">
    <filterColumn colId="0" hiddenButton="1"/>
    <filterColumn colId="1" hiddenButton="1"/>
  </autoFilter>
  <tableColumns count="2">
    <tableColumn id="1" xr3:uid="{FD480855-50C2-45FC-A83E-605093E92B91}" name="MMS" dataDxfId="315" dataCellStyle="Content normal"/>
    <tableColumn id="2" xr3:uid="{3C9E3AB6-C1FA-4D37-B176-5BB0B449AAD7}" name="VSL"/>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66EFE00-13B8-444B-9556-895122B08F2A}"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0948DA10-2949-4E98-9072-50FB8695C8AB}" name="MMS"/>
    <tableColumn id="2" xr3:uid="{65D51855-C75E-47FD-9276-50A5EAEB56A2}" name="Symbol and MMS"/>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65E69FD1-051D-4049-917C-589364BFF23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51A5DEE2-9F4A-4FFB-A904-1F9159B07841}" name="MMS"/>
    <tableColumn id="2" xr3:uid="{91413943-A3CB-4B22-A06D-483C6A1E900E}" name="Symbol and MMS"/>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88B15E9-9833-445C-9489-AE09BA159DCF}" name="Table_SourceData_Swine_ProductionSystems" displayName="Table_SourceData_Swine_ProductionSystems" ref="G53:G56" totalsRowShown="0">
  <autoFilter ref="G53:G56" xr:uid="{A6BE3FFD-EB90-45EB-8756-16A72E0C6869}">
    <filterColumn colId="0" hiddenButton="1"/>
  </autoFilter>
  <tableColumns count="1">
    <tableColumn id="1" xr3:uid="{CE4F6269-3E61-4B4B-937D-31B0B8864B2C}"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699D410-9777-4045-9DBD-FD3F3E6E4615}" name="Table_SourceData_Swine_NitrogenInWaste" displayName="Table_SourceData_Swine_NitrogenInWaste" ref="D89:G93" totalsRowShown="0" dataDxfId="314" dataCellStyle="Content normal">
  <autoFilter ref="D89:G93" xr:uid="{61D86DCB-D80D-4593-96F3-A897FC93073F}">
    <filterColumn colId="0" hiddenButton="1"/>
    <filterColumn colId="1" hiddenButton="1"/>
    <filterColumn colId="2" hiddenButton="1"/>
    <filterColumn colId="3" hiddenButton="1"/>
  </autoFilter>
  <tableColumns count="4">
    <tableColumn id="1" xr3:uid="{130AC564-D52E-4EBD-BBB5-7A759089B194}" name="Class" dataDxfId="313" dataCellStyle="Content normal">
      <calculatedColumnFormula array="1">Common_InputFunctions.Utility_DisplayArrayInTable(SourceData_Swine.SourceData_Swine_NitrogenInWaste_Data(), Table_SourceData_Swine_NitrogenInWaste[[#Headers],[Class]], 0)</calculatedColumnFormula>
    </tableColumn>
    <tableColumn id="2" xr3:uid="{9CAEF5F9-7F9B-4A84-862E-7B3E08B71823}" name="NWj" dataDxfId="312" dataCellStyle="Content normal">
      <calculatedColumnFormula array="1">Common_InputFunctions.Utility_DisplayArrayInTable(SourceData_Swine.SourceData_Swine_NitrogenInWaste_Data(), Table_SourceData_Swine_NitrogenInWaste[[#Headers],[Class]], 0)</calculatedColumnFormula>
    </tableColumn>
    <tableColumn id="3" xr3:uid="{86801C0E-FB00-46AC-8D21-D49B662BB1C9}" name="NWj Daily" dataDxfId="311" dataCellStyle="Content normal">
      <calculatedColumnFormula array="1">Common_InputFunctions.Utility_DisplayArrayInTable(SourceData_Swine.SourceData_Swine_NitrogenInWaste_Data(), Table_SourceData_Swine_NitrogenInWaste[[#Headers],[Class]], 0)</calculatedColumnFormula>
    </tableColumn>
    <tableColumn id="4" xr3:uid="{F7E63BEC-F111-4CB5-AFEE-9174FDDBF23E}" name="Class name" dataDxfId="310"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3EEFE99-8C62-471D-8960-77F66021B128}" name="Table_SourceData_Swine_FeedIntake" displayName="Table_SourceData_Swine_FeedIntake" ref="D78:E82" totalsRowShown="0" dataDxfId="309" dataCellStyle="Content normal">
  <autoFilter ref="D78:E82" xr:uid="{E34928EB-73E5-43B2-830B-089F30DA4EF0}">
    <filterColumn colId="0" hiddenButton="1"/>
    <filterColumn colId="1" hiddenButton="1"/>
  </autoFilter>
  <tableColumns count="2">
    <tableColumn id="1" xr3:uid="{CAD0F086-96AD-478F-9F97-BB910BCF2E2C}" name="Class" dataDxfId="308" dataCellStyle="Content normal">
      <calculatedColumnFormula array="1">Common_InputFunctions.Utility_DisplayArrayInTable(SourceData_Swine.SourceData_Swine_FeedIntake_Data(), Table_SourceData_Swine_FeedIntake[[#Headers],[Class]], 0)</calculatedColumnFormula>
    </tableColumn>
    <tableColumn id="2" xr3:uid="{1690C47D-EE38-468F-9597-9B68F6DA3A1F}" name="Ij" dataDxfId="307"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BDF3D1D-7F6A-497D-BF81-D37949972D8A}"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D9F98332-1B95-4D5F-B5E2-AEE65DE883E4}" name="MMSm">
      <calculatedColumnFormula array="1">Common_InputFunctions.Utility_DisplayArrayInTable(SourceData_Swine.SourceData_Swine_FractionNVolatilised_Data(), Table_SourceData_Swine_FracGASM[[#Headers],[MMSm]],0)</calculatedColumnFormula>
    </tableColumn>
    <tableColumn id="2" xr3:uid="{2BCCC245-DB53-4D42-ACC5-BC6EDCEE82F0}" name="FracGASMmT">
      <calculatedColumnFormula array="1">Common_InputFunctions.Utility_DisplayArrayInTable(SourceData_Swine.SourceData_Swine_FractionNVolatilised_Data(), Table_SourceData_Swine_FracGASM[[#Headers],[MMSm]],0)</calculatedColumnFormula>
    </tableColumn>
    <tableColumn id="3" xr3:uid="{4F373F91-DA42-4046-A700-612A4D03BE11}"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9B1FBA8-F209-4B60-A2C3-626CC74E920A}" name="Table_SourceData_Swine_FracGASM28" displayName="Table_SourceData_Swine_FracGASM28" ref="D111:F117" totalsRowShown="0" dataDxfId="306" dataCellStyle="Content normal">
  <autoFilter ref="D111:F117" xr:uid="{1333872B-E46C-4DC7-8E2D-1F3D704794C8}">
    <filterColumn colId="0" hiddenButton="1"/>
    <filterColumn colId="1" hiddenButton="1"/>
    <filterColumn colId="2" hiddenButton="1"/>
  </autoFilter>
  <tableColumns count="3">
    <tableColumn id="1" xr3:uid="{54A8713E-4A88-4367-AAF9-B49979E5AB2F}" name="MMSm" dataDxfId="305" dataCellStyle="Content normal">
      <calculatedColumnFormula array="1">Common_InputFunctions.Utility_DisplayArrayInTable(SourceData_Swine.SourceData_Swine_NitrousOxideEFs_Data(), Table_SourceData_Swine_FracGASM28[[#Headers],[MMSm]],0)</calculatedColumnFormula>
    </tableColumn>
    <tableColumn id="2" xr3:uid="{53BCE6E6-AFCD-4CC1-9F94-6226182EFBF0}" name="EFmT" dataDxfId="304" dataCellStyle="Content normal">
      <calculatedColumnFormula array="1">Common_InputFunctions.Utility_DisplayArrayInTable(SourceData_Swine.SourceData_Swine_NitrousOxideEFs_Data(), Table_SourceData_Swine_FracGASM28[[#Headers],[MMSm]],0)</calculatedColumnFormula>
    </tableColumn>
    <tableColumn id="3" xr3:uid="{036BD3CD-6156-4C46-9EDB-32CFB8038976}" name="NIR reference" dataDxfId="303"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1BF6DE23-110B-4C99-9F4F-0FF4882A3A45}" name="Table_SourceData_Swine_CropProdSystems" displayName="Table_SourceData_Swine_CropProdSystems" ref="D8:D10" totalsRowShown="0">
  <autoFilter ref="D8:D10" xr:uid="{1DC3FD95-46BB-428C-8DAB-6CC542C27F2F}">
    <filterColumn colId="0" hiddenButton="1"/>
  </autoFilter>
  <tableColumns count="1">
    <tableColumn id="1" xr3:uid="{02F08772-6E69-4E9B-A468-512130251402}" name="Production system">
      <calculatedColumnFormula>#REF!</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2F1845CD-2668-4E23-90D2-E9E3FDFC8A60}" name="Table_SourceData_Swine_IrrigationMethods" displayName="Table_SourceData_Swine_IrrigationMethods" ref="G8:G13" totalsRowShown="0">
  <autoFilter ref="G8:G13" xr:uid="{AA6B756B-6FF9-48AC-BC54-06A8937EFD12}">
    <filterColumn colId="0" hiddenButton="1"/>
  </autoFilter>
  <tableColumns count="1">
    <tableColumn id="1" xr3:uid="{BDFB2D6B-2434-4EAD-AEFA-23FB1CE0FC47}" name="Irrigation method"/>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991E101E-D444-4552-B825-5D71DC6A7EDE}"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5D138A20-D7BB-44A7-8D02-EBB02488388A}" name="Livestock type j">
      <calculatedColumnFormula array="1">Common_InputFunctions.Utility_DisplayArrayInTable(SourceData_Swine.SourceData_Swine_AverageLiveweight_Data(),Table_SourceData_Swine_Liveweight[[#Headers],[Livestock type j]],0)</calculatedColumnFormula>
    </tableColumn>
    <tableColumn id="2" xr3:uid="{F641F504-19AD-4109-B1BE-87CA18B07786}" name="Average liveweight (kg)" dataDxfId="302"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B94BF14F-2B18-4E74-873C-786F793AC13C}" name="Table_SourceData_Dairy_MMS" displayName="Table_SourceData_Dairy_MMS" ref="D7:E11" totalsRowShown="0">
  <autoFilter ref="D7:E11" xr:uid="{D5C443B2-EDE2-4250-B2EE-016878D19AD9}">
    <filterColumn colId="0" hiddenButton="1"/>
    <filterColumn colId="1" hiddenButton="1"/>
  </autoFilter>
  <tableColumns count="2">
    <tableColumn id="1" xr3:uid="{2D267732-40AB-4C2F-8671-7C2AA970AF16}" name="MMS"/>
    <tableColumn id="2" xr3:uid="{8F67D046-4521-4198-89FE-8B9020DE7897}" name="Symbol and MMS" dataDxfId="301" dataCellStyle="Content normal"/>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54466F1-DFF2-4F42-9283-A16E0B12185C}" name="Table_SourceData_Dairy_CropProdSystems" displayName="Table_SourceData_Dairy_CropProdSystems" ref="G7:G9" totalsRowShown="0">
  <autoFilter ref="G7:G9" xr:uid="{B6F3FE3A-A0B5-47E7-85B2-8426FB75A7C8}">
    <filterColumn colId="0" hiddenButton="1"/>
  </autoFilter>
  <tableColumns count="1">
    <tableColumn id="1" xr3:uid="{90BEE7A3-C08B-40EE-A4DF-35A1B18EA68D}" name="Production system">
      <calculatedColumnFormula>#REF!</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4C868933-7AB8-465F-868F-BB4F038B2FAA}" name="Table_SourceData_Dairy_IrrigationMethods" displayName="Table_SourceData_Dairy_IrrigationMethods" ref="J7:J12" totalsRowShown="0">
  <autoFilter ref="J7:J12" xr:uid="{FE172B77-CEA3-430C-84BC-392A64D0B8FF}">
    <filterColumn colId="0" hiddenButton="1"/>
  </autoFilter>
  <tableColumns count="1">
    <tableColumn id="1" xr3:uid="{DD3D632B-EA92-406F-86DD-317482A3A23A}" name="Irrigation method"/>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2C85C894-3263-4B16-9C0C-A34EBE0BE93C}"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EE60BFBB-0D61-4B34-B17F-5CFC526619ED}" name="Breed">
      <calculatedColumnFormula array="1">Common_InputFunctions.Utility_DisplayArrayInTable(SourceData_Dairy.SourceData_Dairy_LiveweightCowsAndHeifers_Data(), Table_SourceData_Dairy_WjCowsHeifers[[#Headers],[Breed]], 0)</calculatedColumnFormula>
    </tableColumn>
    <tableColumn id="2" xr3:uid="{4CCC390B-59F5-46F7-B12E-7FD7AF5B68C7}" name="Milking cows" dataDxfId="300" dataCellStyle="Content normal">
      <calculatedColumnFormula array="1">Common_InputFunctions.Utility_DisplayArrayInTable(SourceData_Dairy.SourceData_Dairy_LiveweightCowsAndHeifers_Data(), Table_SourceData_Dairy_WjCowsHeifers[[#Headers],[Breed]], 0)</calculatedColumnFormula>
    </tableColumn>
    <tableColumn id="3" xr3:uid="{4FE16782-624F-4BF7-A267-CAE7DF2AA522}" name="Heifers &gt; 1" dataDxfId="299" dataCellStyle="Content normal">
      <calculatedColumnFormula array="1">Common_InputFunctions.Utility_DisplayArrayInTable(SourceData_Dairy.SourceData_Dairy_LiveweightCowsAndHeifers_Data(), Table_SourceData_Dairy_WjCowsHeifers[[#Headers],[Breed]], 0)</calculatedColumnFormula>
    </tableColumn>
    <tableColumn id="4" xr3:uid="{E92A7C38-6067-46B4-884A-BD200AE86EC1}" name="Heifers &lt; 1 (weaned)" dataDxfId="298"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EFFED033-B848-4AEC-81CB-51C81DB76255}"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739EA7B-A8D5-4173-AE70-34455D7CE618}" name="Breed">
      <calculatedColumnFormula array="1">Common_InputFunctions.Utility_DisplayArrayInTable(SourceData_Dairy.SourceData_Dairy_LiveweightBulls_Data(), Table_SourceData_Dairy_WjBulls[[#Headers],[Breed]], 0)</calculatedColumnFormula>
    </tableColumn>
    <tableColumn id="2" xr3:uid="{A5E39DBB-6CB2-4677-9CF0-46BA055339D7}" name="Bulls &gt; 1" dataDxfId="297" dataCellStyle="Content normal">
      <calculatedColumnFormula array="1">Common_InputFunctions.Utility_DisplayArrayInTable(SourceData_Dairy.SourceData_Dairy_LiveweightBulls_Data(), Table_SourceData_Dairy_WjBulls[[#Headers],[Breed]], 0)</calculatedColumnFormula>
    </tableColumn>
    <tableColumn id="3" xr3:uid="{9E076D5B-0ED4-435D-8612-278300DCF2AC}" name="Bulls &lt; 1 (weaned)" dataDxfId="296"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5EC5A2BC-C4FF-499E-9B20-49ED3304EAF8}"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31D004E7-48C2-4139-B49B-342F3E6BD04D}" name="Milking cows">
      <calculatedColumnFormula array="1">Common_InputFunctions.Utility_DisplayArrayInTable(SourceData_Dairy.SourceData_Dairy_LiveweightGain_Data(), Table_SourceData_Dairy_LWGj[[#Headers],[Milking cows]], 0)</calculatedColumnFormula>
    </tableColumn>
    <tableColumn id="2" xr3:uid="{AD462129-26C6-41FB-B9CD-21F7990015A7}" name="Heifers &gt; 1" dataDxfId="295" dataCellStyle="Content normal">
      <calculatedColumnFormula array="1">Common_InputFunctions.Utility_DisplayArrayInTable(SourceData_Dairy.SourceData_Dairy_LiveweightGain_Data(), Table_SourceData_Dairy_LWGj[[#Headers],[Milking cows]], 0)</calculatedColumnFormula>
    </tableColumn>
    <tableColumn id="3" xr3:uid="{9905C12E-696D-487A-842D-EFA7CD44C817}" name="Heifers &lt; 1 (weaned)" dataDxfId="294" dataCellStyle="Content normal">
      <calculatedColumnFormula array="1">Common_InputFunctions.Utility_DisplayArrayInTable(SourceData_Dairy.SourceData_Dairy_LiveweightGain_Data(), Table_SourceData_Dairy_LWGj[[#Headers],[Milking cows]], 0)</calculatedColumnFormula>
    </tableColumn>
    <tableColumn id="4" xr3:uid="{A19A1DD5-6A92-48A8-B8BC-FCA05DEAC5BF}" name="Bulls &gt; 1" dataDxfId="293" dataCellStyle="Content normal">
      <calculatedColumnFormula array="1">Common_InputFunctions.Utility_DisplayArrayInTable(SourceData_Dairy.SourceData_Dairy_LiveweightGain_Data(), Table_SourceData_Dairy_LWGj[[#Headers],[Milking cows]], 0)</calculatedColumnFormula>
    </tableColumn>
    <tableColumn id="5" xr3:uid="{20238AC9-F749-4398-A6B6-8053695A7BD9}" name="Bulls &lt; 1 (weaned)" dataDxfId="292"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8833499F-678B-44A5-ACCB-C7FCF3165E03}" name="Table_SourceData_Dairy_WRj" displayName="Table_SourceData_Dairy_WRj" ref="D54:H55" totalsRowShown="0" headerRowDxfId="291"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4CB3684E-17D6-443A-921D-E3EBB3420C04}"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0F3E8724-5545-4E42-B9EF-1AD15E2E020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C82866B2-0A44-4F71-96A3-A0BDD95267B2}"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780CA111-5521-4DCC-B9F1-16A834EC1191}"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F853BEBE-9F98-4BFE-B42C-8F68B2D897ED}"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5BE0E9D2-8828-442C-9EB3-C6B4CDD002CE}" name="Table_SourceData_Dairy_DataPreWeaned" displayName="Table_SourceData_Dairy_DataPreWeaned" ref="D62:G64" totalsRowShown="0" dataDxfId="290" dataCellStyle="Content normal">
  <autoFilter ref="D62:G64" xr:uid="{968BB314-DB2C-4CA2-BAA9-E66557777E59}">
    <filterColumn colId="0" hiddenButton="1"/>
    <filterColumn colId="1" hiddenButton="1"/>
    <filterColumn colId="2" hiddenButton="1"/>
    <filterColumn colId="3" hiddenButton="1"/>
  </autoFilter>
  <tableColumns count="4">
    <tableColumn id="1" xr3:uid="{DF5E89FF-9007-4593-8FBE-413A877E7B11}" name="Animal class j" dataDxfId="289" dataCellStyle="Content normal">
      <calculatedColumnFormula array="1">Common_InputFunctions.Utility_DisplayArrayInTable(SourceData_Dairy.SourceData_Dairy_PreWeanedCalves_Data(), Table_SourceData_Dairy_DataPreWeaned[[#Headers],[Animal class j]], -1)</calculatedColumnFormula>
    </tableColumn>
    <tableColumn id="2" xr3:uid="{A442A162-6C35-49EF-BB5C-C30073D41640}" name="CH4 production" dataDxfId="288" dataCellStyle="Content normal">
      <calculatedColumnFormula array="1">Common_InputFunctions.Utility_DisplayArrayInTable(SourceData_Dairy.SourceData_Dairy_PreWeanedCalves_Data(), Table_SourceData_Dairy_DataPreWeaned[[#Headers],[Animal class j]], -1)</calculatedColumnFormula>
    </tableColumn>
    <tableColumn id="3" xr3:uid="{55A7699B-8335-4001-9D74-8F99A69B2DEE}" name="Volatile solids (VSj=3,5)" dataDxfId="287" dataCellStyle="Content normal">
      <calculatedColumnFormula array="1">Common_InputFunctions.Utility_DisplayArrayInTable(SourceData_Dairy.SourceData_Dairy_PreWeanedCalves_Data(), Table_SourceData_Dairy_DataPreWeaned[[#Headers],[Animal class j]], -1)</calculatedColumnFormula>
    </tableColumn>
    <tableColumn id="4" xr3:uid="{707920EA-0C26-4518-8870-9EFD759B5CCE}" name="Nitrogen Excreted (NPWj=3,5)" dataDxfId="286"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91552FD6-14D4-4524-AFC4-3FEAFA98DCE9}"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2922D06-D072-4CAA-8BA2-99B2D7F2F9E9}" name="MMS m">
      <calculatedColumnFormula array="1">Common_InputFunctions.Utility_DisplayArrayInTable(SourceData_Dairy.SourceData_Dairy_MCF_Data(), Table_SourceData_Dairy_MCFjm[[#Headers],[MMS m]], 0)</calculatedColumnFormula>
    </tableColumn>
    <tableColumn id="2" xr3:uid="{F01007B6-CC44-4C9B-AF6A-EBFCD0F21E54}" name="ACT" dataDxfId="285" dataCellStyle="Content normal">
      <calculatedColumnFormula array="1">Common_InputFunctions.Utility_DisplayArrayInTable(SourceData_Dairy.SourceData_Dairy_MCF_Data(), Table_SourceData_Dairy_MCFjm[[#Headers],[MMS m]], 0)</calculatedColumnFormula>
    </tableColumn>
    <tableColumn id="3" xr3:uid="{F6B8A7DA-34B4-4778-B7E2-A3F86EDE891A}" name="NSW" dataDxfId="284" dataCellStyle="Content normal">
      <calculatedColumnFormula array="1">Common_InputFunctions.Utility_DisplayArrayInTable(SourceData_Dairy.SourceData_Dairy_MCF_Data(), Table_SourceData_Dairy_MCFjm[[#Headers],[MMS m]], 0)</calculatedColumnFormula>
    </tableColumn>
    <tableColumn id="4" xr3:uid="{27230C27-090A-4603-8755-4A0F8CA6E24C}" name="NT" dataDxfId="283" dataCellStyle="Content normal">
      <calculatedColumnFormula array="1">Common_InputFunctions.Utility_DisplayArrayInTable(SourceData_Dairy.SourceData_Dairy_MCF_Data(), Table_SourceData_Dairy_MCFjm[[#Headers],[MMS m]], 0)</calculatedColumnFormula>
    </tableColumn>
    <tableColumn id="5" xr3:uid="{48A746ED-7602-4864-A24B-94E96DD8B7ED}" name="QLD" dataDxfId="282" dataCellStyle="Content normal">
      <calculatedColumnFormula array="1">Common_InputFunctions.Utility_DisplayArrayInTable(SourceData_Dairy.SourceData_Dairy_MCF_Data(), Table_SourceData_Dairy_MCFjm[[#Headers],[MMS m]], 0)</calculatedColumnFormula>
    </tableColumn>
    <tableColumn id="6" xr3:uid="{7A60D28F-8629-4D06-AE4C-DDAF68995F40}" name="SA" dataDxfId="281" dataCellStyle="Content normal">
      <calculatedColumnFormula array="1">Common_InputFunctions.Utility_DisplayArrayInTable(SourceData_Dairy.SourceData_Dairy_MCF_Data(), Table_SourceData_Dairy_MCFjm[[#Headers],[MMS m]], 0)</calculatedColumnFormula>
    </tableColumn>
    <tableColumn id="7" xr3:uid="{D8A3804A-CE24-463E-A882-C0A3B6779058}" name="TAS" dataDxfId="280" dataCellStyle="Content normal">
      <calculatedColumnFormula array="1">Common_InputFunctions.Utility_DisplayArrayInTable(SourceData_Dairy.SourceData_Dairy_MCF_Data(), Table_SourceData_Dairy_MCFjm[[#Headers],[MMS m]], 0)</calculatedColumnFormula>
    </tableColumn>
    <tableColumn id="8" xr3:uid="{EFD0D52E-425C-4EE6-B156-B93404DAE93B}" name="VIC" dataDxfId="279" dataCellStyle="Content normal">
      <calculatedColumnFormula array="1">Common_InputFunctions.Utility_DisplayArrayInTable(SourceData_Dairy.SourceData_Dairy_MCF_Data(), Table_SourceData_Dairy_MCFjm[[#Headers],[MMS m]], 0)</calculatedColumnFormula>
    </tableColumn>
    <tableColumn id="9" xr3:uid="{097A7215-AA72-443A-8837-3B6825E12463}" name="WA" dataDxfId="278" dataCellStyle="Content normal">
      <calculatedColumnFormula array="1">Common_InputFunctions.Utility_DisplayArrayInTable(SourceData_Dairy.SourceData_Dairy_MCF_Data(), Table_SourceData_Dairy_MCFjm[[#Headers],[MMS m]], 0)</calculatedColumnFormula>
    </tableColumn>
    <tableColumn id="10" xr3:uid="{EC80A8EE-0ECE-43F2-9EEB-2B024BAF4A86}" name="NIR reference" dataDxfId="277"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C271C319-886E-44FE-BBEF-94E66758EDF3}"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F3D4D0DB-3AE9-40E9-8AC6-24F21D18151D}" name="MMS m">
      <calculatedColumnFormula array="1">Common_InputFunctions.Utility_DisplayArrayInTable(SourceData_Dairy.SourceData_Dairy_NitrousOxideEFsAndFracGASM_Data(), Table_SourceData_Dairy_EFmFracGASM[[#Headers],[MMS m]], 0)</calculatedColumnFormula>
    </tableColumn>
    <tableColumn id="2" xr3:uid="{BD430A49-071D-4525-B98C-5F9865CA4FD7}" name="EFm" dataDxfId="276" dataCellStyle="Content normal">
      <calculatedColumnFormula array="1">Common_InputFunctions.Utility_DisplayArrayInTable(SourceData_Dairy.SourceData_Dairy_NitrousOxideEFsAndFracGASM_Data(), Table_SourceData_Dairy_EFmFracGASM[[#Headers],[MMS m]], 0)</calculatedColumnFormula>
    </tableColumn>
    <tableColumn id="3" xr3:uid="{BF13C77C-FA25-4D34-8E82-7C62AAAE6E3D}" name="FracGASMm" dataDxfId="275" dataCellStyle="Content normal">
      <calculatedColumnFormula array="1">Common_InputFunctions.Utility_DisplayArrayInTable(SourceData_Dairy.SourceData_Dairy_NitrousOxideEFsAndFracGASM_Data(), Table_SourceData_Dairy_EFmFracGASM[[#Headers],[MMS m]], 0)</calculatedColumnFormula>
    </tableColumn>
    <tableColumn id="4" xr3:uid="{C0041A7D-A97E-4628-9EFC-39DA56BCBE41}" name="NIR reference" dataDxfId="274"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48D384D8-8C55-4A44-9445-39B7940FF3FC}"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2AA5B699-4610-4515-95C6-95036DC95FB4}"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948DE1A7-9680-47A3-B97A-8A7783B06E53}" name="MPW ENTERIC" dataDxfId="273"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7E8DE6B3-2317-4E9F-AC55-AE8745DA2991}"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EA14BA23-B95E-46F2-ABC4-867D49712FB4}" name="Animal class j">
      <calculatedColumnFormula array="1">Common_InputFunctions.Utility_DisplayArrayInTable(SourceData_Dairy.SourceData_Dairy_IncreasedMetabolicRateMilk_Data(), Table_SourceData_Dairy_MRj[[#Headers],[Animal class j]], 0)</calculatedColumnFormula>
    </tableColumn>
    <tableColumn id="2" xr3:uid="{E98CA604-98B0-4A8E-8800-1BA67E46FFC6}" name="MRj" dataDxfId="272"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5E63E3E-5E11-4E52-B0E5-97AAFDD2588E}"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62D34C5A-DB51-4084-B42B-57494451BEAE}" name="Area">
      <calculatedColumnFormula array="1">Common_InputFunctions.Utility_DisplayArrayInTable(SourceData_Dairy.SourceData_Dairy_FractionVolatileSolidsVoidedMMS_Data(), Table_SourceData_Dairy_ProductionSystemTemplates[[#Headers],[Area]], 0)</calculatedColumnFormula>
    </tableColumn>
    <tableColumn id="2" xr3:uid="{62E589A5-038E-4713-A6EC-CFB9B0558A90}" name="Pasture" dataDxfId="27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C50B3A3-38C5-4BE2-8DEF-F6B066A82677}" name="Milking shed" dataDxfId="27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F35FA7B8-E4B7-4D79-9F02-6816DC598FB1}" name="Feedpad" dataDxfId="26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FB14F337-2A75-4245-A31E-5612232A07C6}"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4741802A-40E8-4E3B-886D-FE947665E64C}" name="MMS m">
      <calculatedColumnFormula array="1">Common_InputFunctions.Utility_DisplayArrayInTable(SourceData_Dairy.SourceData_Dairy_EFNitrousOxidePerMMS_Data(), Table_SourceData_Dairy_EFm[[#Headers],[MMS m]], 0)</calculatedColumnFormula>
    </tableColumn>
    <tableColumn id="2" xr3:uid="{AB679D57-80AA-4D28-8EDD-781ECE1AA202}" name="EFm" dataDxfId="268" dataCellStyle="Content normal">
      <calculatedColumnFormula array="1">Common_InputFunctions.Utility_DisplayArrayInTable(SourceData_Dairy.SourceData_Dairy_EFNitrousOxidePerMMS_Data(), Table_SourceData_Dairy_EFm[[#Headers],[MMS m]], 0)</calculatedColumnFormula>
    </tableColumn>
    <tableColumn id="3" xr3:uid="{00CE627C-EB14-436C-A6B2-9EFF817A6299}" name="NIR reference" dataDxfId="267"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D7482180-68FD-46F4-805E-53BD2C81DFA4}"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E09059D0-7174-445F-890C-A6C17F714CD6}" name="Animal class j">
      <calculatedColumnFormula array="1">Common_InputFunctions.Utility_DisplayArrayInTable(SourceData_Dairy.SourceData_Dairy_DurationOfStay_Data(), Table_SourceData_Dairy_Duration[[#Headers],[Animal class j]], 0)</calculatedColumnFormula>
    </tableColumn>
    <tableColumn id="2" xr3:uid="{86F041E4-8020-49DC-BE48-72073799CD92}" name="Duration (weaned)" dataDxfId="266" dataCellStyle="Content normal">
      <calculatedColumnFormula array="1">Common_InputFunctions.Utility_DisplayArrayInTable(SourceData_Dairy.SourceData_Dairy_DurationOfStay_Data(), Table_SourceData_Dairy_Duration[[#Headers],[Animal class j]], 0)</calculatedColumnFormula>
    </tableColumn>
    <tableColumn id="3" xr3:uid="{0A2125E2-AA9F-4939-973F-8D5C7009E560}" name="Duration (pre-weaned)" dataDxfId="265"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E49CEE49-6EB7-4DE5-AC8D-3E890074713E}" name="Table_SourceData_PastureBeef_CropProdSystems" displayName="Table_SourceData_PastureBeef_CropProdSystems" ref="D7:D9" totalsRowShown="0">
  <autoFilter ref="D7:D9" xr:uid="{B6F3FE3A-A0B5-47E7-85B2-8426FB75A7C8}">
    <filterColumn colId="0" hiddenButton="1"/>
  </autoFilter>
  <tableColumns count="1">
    <tableColumn id="1" xr3:uid="{F93BC9DA-3227-43EC-87AE-AE6848B93394}" name="Production system">
      <calculatedColumnFormula>#REF!</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F4B1EBB9-F070-4A05-B9A3-A1AA90F27763}"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275C4E5-8931-451C-B6A8-F1C413EB4604}" name="Irrigation method"/>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199F8D21-4C4A-4AAB-B040-02A9DEF84345}"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A7D303-0A7C-4870-947E-0BCB0B6F41A8}" name="State">
      <calculatedColumnFormula array="1">Common_InputFunctions.Utility_DisplayArrayInTable(SourceData_PastureBeef.SourceData_PastureBeef_Liveweight_Data(), Table_SourceData_PastureBeef_Liveweight[[#Headers],[State]], 0)</calculatedColumnFormula>
    </tableColumn>
    <tableColumn id="2" xr3:uid="{2DD4D73B-8DC8-4857-BB21-EBFD41A6681E}" name="Region" dataDxfId="264" dataCellStyle="Content normal">
      <calculatedColumnFormula array="1">Common_InputFunctions.Utility_DisplayArrayInTable(SourceData_PastureBeef.SourceData_PastureBeef_Liveweight_Data(), Table_SourceData_PastureBeef_Liveweight[[#Headers],[State]], 0)</calculatedColumnFormula>
    </tableColumn>
    <tableColumn id="3" xr3:uid="{B937E62F-F139-470A-9EC2-F86872174CE3}" name="Season" dataDxfId="263" dataCellStyle="Content normal">
      <calculatedColumnFormula array="1">Common_InputFunctions.Utility_DisplayArrayInTable(SourceData_PastureBeef.SourceData_PastureBeef_Liveweight_Data(), Table_SourceData_PastureBeef_Liveweight[[#Headers],[State]], 0)</calculatedColumnFormula>
    </tableColumn>
    <tableColumn id="4" xr3:uid="{245C4928-7D14-4E85-9899-45339D6B8707}" name="Bull &lt; 1" dataDxfId="262" dataCellStyle="Content normal">
      <calculatedColumnFormula array="1">Common_InputFunctions.Utility_DisplayArrayInTable(SourceData_PastureBeef.SourceData_PastureBeef_Liveweight_Data(), Table_SourceData_PastureBeef_Liveweight[[#Headers],[State]], 0)</calculatedColumnFormula>
    </tableColumn>
    <tableColumn id="5" xr3:uid="{AB4B28C6-481B-440C-8CEF-329B70ACE19C}" name="Bull &gt; 1" dataDxfId="261" dataCellStyle="Content normal">
      <calculatedColumnFormula array="1">Common_InputFunctions.Utility_DisplayArrayInTable(SourceData_PastureBeef.SourceData_PastureBeef_Liveweight_Data(), Table_SourceData_PastureBeef_Liveweight[[#Headers],[State]], 0)</calculatedColumnFormula>
    </tableColumn>
    <tableColumn id="6" xr3:uid="{F83648DA-F322-4C6D-864B-A09C5E928C5F}" name="Cow &lt; 1" dataDxfId="260"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901689D-3705-4ECF-A4C1-449ABEEDE5DB}" name="Cow 1-2" dataDxfId="259" dataCellStyle="Content normal">
      <calculatedColumnFormula array="1">Common_InputFunctions.Utility_DisplayArrayInTable(SourceData_PastureBeef.SourceData_PastureBeef_Liveweight_Data(), Table_SourceData_PastureBeef_Liveweight[[#Headers],[State]], 0)</calculatedColumnFormula>
    </tableColumn>
    <tableColumn id="8" xr3:uid="{99A74803-7E79-4422-9F78-2891F6F1ADF4}" name="Cow &gt; 2" dataDxfId="258"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748334A-DCC3-4CB7-8CC7-8D2C05F8A52B}" name="Steer &lt; 1" dataDxfId="257"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6C323C91-916D-4592-B37D-A515E6402174}" name="Steer &gt; 1" dataDxfId="256"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241CB1E-152C-4648-B8E2-B789702A8479}"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78C2385-3D3A-4E4E-A64A-BA8D4E29B7E5}" name="State">
      <calculatedColumnFormula array="1">Common_InputFunctions.Utility_DisplayArrayInTable(SourceData_PastureBeef.SourceData_PastureBeef_LiveweightNTQLD_Data(),Table_SourceData_PastureBeef_LiveweightNTQD[[#Headers],[State]], 0)</calculatedColumnFormula>
    </tableColumn>
    <tableColumn id="2" xr3:uid="{28043912-F68E-46F4-953F-98D6FD23BF05}" name="Region" dataDxfId="25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1A882B0-1C91-4665-9A35-C32BB96B4471}" name="Season" dataDxfId="25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F2349E71-22E9-46B8-86B0-AE3A43099E16}" name="Bull &lt;1" dataDxfId="25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DA5336C9-D336-4CD6-88D2-0D22D730F747}" name="Bull &gt;1" dataDxfId="25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099A0783-5B3B-4CF8-B22F-8EE8C9C22120}" name="Cows &lt;1" dataDxfId="25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07E30DBC-31AC-460B-AFAC-7E9B2B8F56D8}" name="Cows 1-2" dataDxfId="25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C53D1F72-907F-4E31-A69B-C55905E4B7B5}" name="Cows 2-3" dataDxfId="24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312DE61B-19FB-4430-B609-44FAE2288E62}" name="Cows &gt;3" dataDxfId="24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2903B3A3-CC64-4E11-B5C4-A1F05D718DDA}" name="Steer &lt;1" dataDxfId="24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9AFEA49F-C82F-4443-B4BA-9BEDB330E706}" name="Steer 1-2" dataDxfId="24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22A49C52-A7C5-4D57-84A2-5706EFFE0CD9}" name="Steer 2-3" dataDxfId="24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35AB7528-920E-4DAF-A25A-CA7F598288A2}" name="Steer &gt;3" dataDxfId="244"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CEFD709D-8418-4AA0-B3DE-DF24038E55FD}"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3FA48A9-8D0A-4F72-B9C1-C6C77894E678}" name="State"/>
    <tableColumn id="2" xr3:uid="{09E640C8-09D2-4775-8AA9-34ECACDD61C4}" name="Region">
      <calculatedColumnFormula>E22</calculatedColumnFormula>
    </tableColumn>
    <tableColumn id="3" xr3:uid="{4EE34C07-2B2A-467C-B09F-8312BE0875A7}" name="Season">
      <calculatedColumnFormula>F22</calculatedColumnFormula>
    </tableColumn>
    <tableColumn id="4" xr3:uid="{DC502F23-A4DC-4EBD-91B1-F2AB2D1D42C6}" name="Bulls &lt; 1 year">
      <calculatedColumnFormula>G22</calculatedColumnFormula>
    </tableColumn>
    <tableColumn id="5" xr3:uid="{CFC1AD2C-20E7-4CDA-B3BB-5C4C2CCA4965}" name="Bulls &gt; 1 year">
      <calculatedColumnFormula>H22</calculatedColumnFormula>
    </tableColumn>
    <tableColumn id="6" xr3:uid="{5CB7377E-5720-4F7D-8191-CF40193737CE}" name="Cows &lt; 1 year">
      <calculatedColumnFormula>I22</calculatedColumnFormula>
    </tableColumn>
    <tableColumn id="7" xr3:uid="{B35AD2F1-8373-48DD-BD17-6A951FE59448}" name="Cows 1-2 years">
      <calculatedColumnFormula>J22</calculatedColumnFormula>
    </tableColumn>
    <tableColumn id="8" xr3:uid="{2D9CE1BB-811C-4EBC-AE81-AA1C52B57D91}" name="Cows 2-3 years">
      <calculatedColumnFormula>K22</calculatedColumnFormula>
    </tableColumn>
    <tableColumn id="9" xr3:uid="{57088271-ED74-4CC8-A0EB-31E2DF35874B}" name="Cows &gt; 3 years">
      <calculatedColumnFormula>L22</calculatedColumnFormula>
    </tableColumn>
    <tableColumn id="10" xr3:uid="{8D2CAE93-CBF6-414C-B4E0-5ED3507CA6B9}" name="Steers &lt; 1 year">
      <calculatedColumnFormula>M22</calculatedColumnFormula>
    </tableColumn>
    <tableColumn id="11" xr3:uid="{CACAAB30-CA16-497C-9305-6943E4C93B52}" name="Steers 1-2 years">
      <calculatedColumnFormula>N22</calculatedColumnFormula>
    </tableColumn>
    <tableColumn id="12" xr3:uid="{4DE3BE7F-8D79-46DD-B623-3C1D5C2CC2AF}" name="Steers 2-3 years">
      <calculatedColumnFormula>#REF!</calculatedColumnFormula>
    </tableColumn>
    <tableColumn id="13" xr3:uid="{63157230-F8D2-4A6E-9157-63350CC5930F}" name="Steers &gt;3 years">
      <calculatedColumnFormula>P22</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284885F7-6E4A-416A-A3BE-A9A172F46F5F}"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5A51689-EE3D-4EE4-8209-433D433B74FA}" name="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D820F93-BCAA-4E87-A0FE-F48BCD5AF4D7}"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59CF99B1-36D0-4E02-B1F8-687F20B61531}" name="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AF8913A0-ECFF-428B-9BF6-A7567E64E2DE}"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F1D737B-D1A7-4399-9FF1-00B05B735C1E}"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3044B30-A09F-4350-86B9-CA3CA0DC8429}" name="Table_SourceData_PastureBeef_Region_Victoria" displayName="Table_SourceData_PastureBeef_Region_Victoria" ref="S7:S8" totalsRowShown="0">
  <autoFilter ref="S7:S8" xr:uid="{7D474D93-C1E0-4898-A434-69585070D0B9}">
    <filterColumn colId="0" hiddenButton="1"/>
  </autoFilter>
  <tableColumns count="1">
    <tableColumn id="1" xr3:uid="{81892D27-3179-49DF-AAE6-D037D5FC2228}"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80F38688-883D-40D5-A8B8-C26633C14A4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D14D935A-D5EE-4914-90D8-871F893EC443}"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8E80B970-7BF3-49EB-A097-F53AE85A9561}"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2C713AF1-775E-40CA-A900-0340069FBE6C}"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8F6CAB85-5721-4062-8628-4F5AD4CBC803}" name="Table_SourceData_PastureBeef_Region_Tasmania" displayName="Table_SourceData_PastureBeef_Region_Tasmania" ref="S22:S23" totalsRowShown="0">
  <autoFilter ref="S22:S23" xr:uid="{4E5A7E40-F6AE-4323-873A-9AB20571A18A}">
    <filterColumn colId="0" hiddenButton="1"/>
  </autoFilter>
  <tableColumns count="1">
    <tableColumn id="1" xr3:uid="{3948C0BB-49E1-4667-9F00-781B732183D1}" name="Regio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39287CB2-DC86-41B0-BA7C-6A4D17E636E8}" name="Table_SourceData_PastureBeef_Region_ACT" displayName="Table_SourceData_PastureBeef_Region_ACT" ref="S27:S28" totalsRowShown="0">
  <autoFilter ref="S27:S28" xr:uid="{3655B7FD-A2CC-4B05-9668-16F7A54ED6C1}">
    <filterColumn colId="0" hiddenButton="1"/>
  </autoFilter>
  <tableColumns count="1">
    <tableColumn id="1" xr3:uid="{E26871B1-12D0-4D9F-9046-9E6BEE20CE2F}" name="Regio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445F1ECC-6C6A-4370-ABB2-239E85A5C36B}"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8432ADC-4B8D-45AC-A848-85CAAAD99391}" name="State">
      <calculatedColumnFormula array="1">Common_InputFunctions.Utility_DisplayArrayInTable(SourceData_PastureBeef.SourceData_PastureBeef_LiveweightGain_Data(), Table_SourceData_PastureBeef_LiveweightGain[[#Headers],[State]],0)</calculatedColumnFormula>
    </tableColumn>
    <tableColumn id="2" xr3:uid="{0B40C830-549E-4BC5-8C13-A0C8833D124E}" name="Region" dataDxfId="243"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44DFC4D5-F6F5-4FC0-AF7A-7053FBB95C4C}" name="Season" dataDxfId="242"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3251D1-3F47-4E07-BC8C-103501C0B8E0}" name="Bull &lt;1" dataDxfId="241"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F33F543F-6CE5-484A-9C9B-18FF4BDC60FC}" name="Bull &gt;1" dataDxfId="240"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3761ADF7-9FE4-4319-BF9E-79590CEAA849}" name="Cow &lt;1" dataDxfId="239"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1B99881B-694E-4ECB-8749-A325146D621A}" name="Cow 1-2" dataDxfId="238"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302087C5-6AF5-448F-9D35-EACE5A7970A1}" name="Cow &gt;2" dataDxfId="237"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7CBE3334-A83F-465C-870A-62820129F709}" name="Steer &lt;1" dataDxfId="236"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6B4A046B-29F1-4687-8A68-EA0BDBACF4F2}" name="Steer &gt;1" dataDxfId="235"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A85DDBCA-A8AA-4FEA-8785-A905EBEAB82D}"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BBB9C3-1B63-4484-9757-B1CC29F7B398}" name="State">
      <calculatedColumnFormula array="1">Common_InputFunctions.Utility_DisplayArrayInTable(SourceData_PastureBeef.SourceData_PastureBeef_LiveweightGainNTQLD_Data(),Table_SourceData_PastureBeef_LiveweightGainNTQLD[[#Headers],[State]],0)</calculatedColumnFormula>
    </tableColumn>
    <tableColumn id="2" xr3:uid="{46D5639E-CE0F-4377-8A34-60DCE73D7895}" name="Region" dataDxfId="23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F4E9AF5D-FEEE-4C64-BEC4-ACA6D52F4B9E}" name="Season" dataDxfId="23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616ABA55-D48F-4662-8745-69511C7AD0F1}" name="Bull &lt;1" dataDxfId="23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79EDAC0D-3ECD-4AF5-B052-802407455218}" name="Bull &gt;1" dataDxfId="23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EE4F50D0-F91D-416E-BDA5-B4843A810660}" name="Cow &lt;1" dataDxfId="23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C633E0CD-F703-4ED6-8D43-99BD69B23DDA}" name="Cow 1-2" dataDxfId="22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763E7395-D0A1-4D04-AA1A-CCF37683ADDD}" name="Cow 2-3" dataDxfId="22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56F9C83B-CDF8-4D72-9DFA-55B5C775276E}" name="Cow &gt;3" dataDxfId="22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CD0877A-67A5-4684-AF15-832F810B3E7F}" name="Steer &lt;1" dataDxfId="22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D8E6C869-BFE0-44C9-83D2-A16163F30CB4}" name="Steer 1-2" dataDxfId="22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080F418D-3972-4309-9F35-DA75701A4AC7}" name="Steer 2-3" dataDxfId="22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00188015-A565-45D5-985D-EAA46BCA1165}" name="Steer &gt;3" dataDxfId="22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774AFA5B-0949-47EC-90E6-827F434C5A8C}"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60E5B67-15FC-49E7-A779-51B03C19B90F}" name="State"/>
    <tableColumn id="2" xr3:uid="{E294C632-66BF-4CB4-B9C1-248D1F99D50D}" name="Region">
      <calculatedColumnFormula>E159</calculatedColumnFormula>
    </tableColumn>
    <tableColumn id="3" xr3:uid="{39D987D6-C5EE-4546-9695-DF47C8351780}" name="Season">
      <calculatedColumnFormula>F159</calculatedColumnFormula>
    </tableColumn>
    <tableColumn id="4" xr3:uid="{2F031968-39FB-431A-AA4D-136E5E1C7183}" name="Bulls &lt; 1 year">
      <calculatedColumnFormula>G159</calculatedColumnFormula>
    </tableColumn>
    <tableColumn id="5" xr3:uid="{8CD7268C-C3A7-468E-ACD2-0B2EA54EA94A}" name="Bulls &gt; 1 year">
      <calculatedColumnFormula>H159</calculatedColumnFormula>
    </tableColumn>
    <tableColumn id="6" xr3:uid="{CE307F10-6D06-425B-A6E8-8F04CC832CBB}" name="Cows &lt; 1 year">
      <calculatedColumnFormula>I159</calculatedColumnFormula>
    </tableColumn>
    <tableColumn id="7" xr3:uid="{23007FAC-CFA2-4AD8-9033-94F71E3E5CDD}" name="Cows 1-2 years">
      <calculatedColumnFormula>J159</calculatedColumnFormula>
    </tableColumn>
    <tableColumn id="8" xr3:uid="{688BCC9A-3DF8-407C-9CBB-2FF0ED326374}" name="Cows 2-3 years">
      <calculatedColumnFormula>K159</calculatedColumnFormula>
    </tableColumn>
    <tableColumn id="9" xr3:uid="{731BDF75-42DD-4580-A091-DBB8DD5EE5DE}" name="Cows &gt; 3 years">
      <calculatedColumnFormula>L159</calculatedColumnFormula>
    </tableColumn>
    <tableColumn id="10" xr3:uid="{F2A82931-F0B4-4237-86BC-1D6B342CBD82}" name="Steers &lt; 1 year">
      <calculatedColumnFormula>M159</calculatedColumnFormula>
    </tableColumn>
    <tableColumn id="11" xr3:uid="{319F250D-F2D2-4EC6-A7FD-897D271EC34A}" name="Steers 1-2 years">
      <calculatedColumnFormula>N159</calculatedColumnFormula>
    </tableColumn>
    <tableColumn id="12" xr3:uid="{71A44A60-CCBC-4681-BA51-55AC20CB5C21}" name="Steers 2-3 years">
      <calculatedColumnFormula>O159</calculatedColumnFormula>
    </tableColumn>
    <tableColumn id="13" xr3:uid="{87BD97D1-2842-4D4A-B4FE-584134B27E82}" name="Steers &gt;3 years">
      <calculatedColumnFormula>P159</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584B2A6D-29C1-4BC1-8A86-08EBFC5BB40E}"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68EA7844-69BA-4A0A-A221-304149AAB216}"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E505F651-7462-42FC-AC18-5FAC29511541}" name="Region" dataDxfId="22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6BC8C01-D9A7-4A09-ADE6-D7E0FE8AE984}" name="Spring" dataDxfId="22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AE8E81F-85EC-43C9-9D7B-EE4543CE2564}" name="Summer" dataDxfId="22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24A43459-FD37-4DFE-B84F-164077B1D2E7}" name="Autumn" dataDxfId="21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E16C2C-A887-4CFC-BD29-C72FAF6BBC15}" name="Winter" dataDxfId="21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668BCC0E-2630-4BD3-9DC8-4E8017CCB0F2}" name="Table_SourceData_PastureBeef_CrudeProtein" displayName="Table_SourceData_PastureBeef_CrudeProtein" ref="D313:I328" totalsRowShown="0" dataDxfId="217"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C0654FAE-A6D3-4616-8BF6-812232A8B4BF}" name="State" dataDxfId="21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AFB02FAC-6BED-4C4F-83ED-F91F11D39853}" name="Region" dataDxfId="21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D1D2311-7AD7-4F42-9297-8EEAB6CA4179}" name="Spring" dataDxfId="21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E9902CD-39E7-4D97-B05F-A0C9AF34F468}" name="Summer" dataDxfId="21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620E9B42-7033-413C-9789-BF4F47C063A0}" name="Autumn" dataDxfId="21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ABAEA457-A43C-4E75-8AC4-17F50D041F4C}" name="Winter" dataDxfId="21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620ACD26-06C4-4EF4-8522-A435902342FD}"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680980E1-BD1A-488C-84C0-0374219E1BF6}"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AC9B7F3D-4BE3-4432-902C-A5E67DDE10F2}" name="Season" dataDxfId="21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00B7482-4709-4455-9080-20541379F5AE}" name="Feed adjustment" dataDxfId="20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5DD2FE77-655D-4A83-9F4E-7271D000489C}" name="Milk intake/production" dataDxfId="208"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A4D9B07C-0AE1-4FCF-B996-85D53C17EE5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FC361E4-65E5-42F4-8935-C05CAB2C038A}"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9F1D86DA-3A62-40DC-AE99-3BB238FEEEF0}" name="Bulls &lt;1" dataDxfId="20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73B916B2-2359-4C1D-B2EC-86A91C5685D6}" name="Bulls &gt;1" dataDxfId="20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936B9907-B0EE-4FE3-AAA6-420C80BB5C02}" name="Cows &lt;1" dataDxfId="20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91E43A00-96C0-4F89-A182-92F035E91659}" name="Cows 1-2" dataDxfId="20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5994AF44-25B4-40F5-A283-936BFF6BAB8E}" name="Cows &gt;2" dataDxfId="20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F74C7060-FA57-4D1C-BCF3-B252496AD94C}" name="Steer &lt;1" dataDxfId="20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2E906D83-C894-4C32-A370-8C2EFB01A827}" name="Steer &gt;1" dataDxfId="20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F267C464-ACA7-4133-BB19-5511E587399F}" name="State abbreviation" dataDxfId="20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797D853-8098-4F3B-AE63-893A76D22C58}"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6E2C6C2-9338-4150-9DFF-E69B894D7F34}" name="State" dataDxfId="199" dataCellStyle="Content normal">
      <calculatedColumnFormula>D351</calculatedColumnFormula>
    </tableColumn>
    <tableColumn id="2" xr3:uid="{3A500914-DEBE-4A5B-9EFF-C566204ADAFE}" name="Bulls &lt; 1 year" dataDxfId="198" dataCellStyle="Content normal">
      <calculatedColumnFormula>E351</calculatedColumnFormula>
    </tableColumn>
    <tableColumn id="3" xr3:uid="{B874FEE3-562E-454F-BDBC-45043393C99C}" name="Bulls &gt; 1 year" dataDxfId="197" dataCellStyle="Content normal">
      <calculatedColumnFormula>F351</calculatedColumnFormula>
    </tableColumn>
    <tableColumn id="4" xr3:uid="{B5355347-A1F0-4973-A512-0D2CAACA96EE}" name="Cows &lt; 1 year" dataDxfId="196" dataCellStyle="Content normal">
      <calculatedColumnFormula>G351</calculatedColumnFormula>
    </tableColumn>
    <tableColumn id="5" xr3:uid="{77A191F8-38C3-4F24-9EFF-980D069BC04A}" name="Cows 1-2 years" dataDxfId="195" dataCellStyle="Content normal">
      <calculatedColumnFormula>H351</calculatedColumnFormula>
    </tableColumn>
    <tableColumn id="6" xr3:uid="{C27A0FE8-EB36-45AD-85CC-54422EECF9D4}" name="Cows 2-3 years" dataDxfId="194" dataCellStyle="Content normal">
      <calculatedColumnFormula>I351</calculatedColumnFormula>
    </tableColumn>
    <tableColumn id="7" xr3:uid="{E45A02BC-2BD9-40C3-AA1C-086EE1B3CF4E}" name="Cows &gt; 3 years" dataDxfId="193" dataCellStyle="Content normal">
      <calculatedColumnFormula>I351</calculatedColumnFormula>
    </tableColumn>
    <tableColumn id="8" xr3:uid="{64BCADE5-A30C-422D-95A6-F7AB897FB775}" name="Steers &lt; 1 year" dataDxfId="192" dataCellStyle="Content normal">
      <calculatedColumnFormula>J351</calculatedColumnFormula>
    </tableColumn>
    <tableColumn id="9" xr3:uid="{A3AA722E-C9A8-476C-9FE8-DC46C3A6D9FA}" name="Steers 1-2 years" dataDxfId="191" dataCellStyle="Content normal">
      <calculatedColumnFormula>K351</calculatedColumnFormula>
    </tableColumn>
    <tableColumn id="10" xr3:uid="{CC7AE6BD-32DE-43F2-B3D8-F334FC0BA640}" name="Steers 2-3 years" dataDxfId="190" dataCellStyle="Content normal">
      <calculatedColumnFormula>K351</calculatedColumnFormula>
    </tableColumn>
    <tableColumn id="11" xr3:uid="{B364C281-70AB-4253-BEE3-56EAB88390C8}" name="Steers &gt;3 years" dataDxfId="189" dataCellStyle="Content normal">
      <calculatedColumnFormula>K351</calculatedColumnFormula>
    </tableColumn>
    <tableColumn id="12" xr3:uid="{1B567087-DFFB-45A9-97B9-5D55DA59D657}" name="State abbreviation" dataDxfId="188" dataCellStyle="Content normal">
      <calculatedColumnFormula>L351</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31D3430B-E31F-4FD1-B127-649DFD8B42E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495D6089-FB29-4364-B87E-385DA161F588}"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3AA6E944-2416-4AB4-A6EC-52151F8F867A}" name="Region" dataDxfId="18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92A949A-22BE-454B-A4D5-96791695B4C6}" name="Pasture range and paddock" dataDxfId="18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7CACF3C-AC2D-435C-A4A4-EAA0846D77BD}" name="Uncovered Anaerobic lagoon" dataDxfId="185"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7991D952-AEC4-4580-84E8-87E94D4D8CC6}" name="Table_SourceData_PastureBeef_MethaneConversionFactor" displayName="Table_SourceData_PastureBeef_MethaneConversionFactor" ref="D400:G415" totalsRowShown="0" dataDxfId="184" dataCellStyle="Content normal">
  <autoFilter ref="D400:G415" xr:uid="{4418AC31-F58F-4AB7-B02E-51D846B94E9A}">
    <filterColumn colId="0" hiddenButton="1"/>
    <filterColumn colId="1" hiddenButton="1"/>
    <filterColumn colId="2" hiddenButton="1"/>
    <filterColumn colId="3" hiddenButton="1"/>
  </autoFilter>
  <tableColumns count="4">
    <tableColumn id="1" xr3:uid="{61A94D89-68BA-4E0A-9806-B1110A39FDF7}" name="State" dataDxfId="18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2822E44D-E6CD-4541-BFAC-6314D9007ED7}" name="Region" dataDxfId="18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7574A1F-79E6-4EEB-8F4D-BEB129E9DB10}" name="Pasture range and paddock" dataDxfId="18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D115D680-3E06-4F5A-991D-9833A8F57FCF}" name="Uncovered Anaerobic lagoon" dataDxfId="180"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687764F1-3B6B-4A8D-B41D-5FDACC70E214}"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24C2AD5A-CDAA-4BB4-A3FB-43E15CFC872C}"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B9D4AE6E-C415-4666-95E8-648C6634ABED}" name="Season" dataDxfId="17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9BC1383-D986-4C75-A87E-88B6F2A0053B}" name="Feed adjustment" dataDxfId="17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D236C73D-10FB-4AF3-8E39-393645977835}" name="Milk intake/production" dataDxfId="177"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C65DBE5-7D9B-4C6C-A471-25B809CFACA3}" name="Table_LivestockClasses_Beefcattle" displayName="Table_LivestockClasses_Beefcattle" ref="O18:O28" totalsRowShown="0">
  <autoFilter ref="O18:O28" xr:uid="{AC65DBE5-7D9B-4C6C-A471-25B809CFACA3}">
    <filterColumn colId="0" hiddenButton="1"/>
  </autoFilter>
  <tableColumns count="1">
    <tableColumn id="1" xr3:uid="{F054DBEF-CB77-47FB-A5F3-319D5BAF2FD9}" name="Livestock class"/>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E000E66-D763-4927-9F8E-C3B8A94E50FD}" name="Table_Data_MMSSymbols" displayName="Table_Data_MMSSymbols" ref="D6:F24" totalsRowShown="0">
  <autoFilter ref="D6:F24" xr:uid="{0E000E66-D763-4927-9F8E-C3B8A94E50FD}">
    <filterColumn colId="0" hiddenButton="1"/>
    <filterColumn colId="1" hiddenButton="1"/>
    <filterColumn colId="2" hiddenButton="1"/>
  </autoFilter>
  <tableColumns count="3">
    <tableColumn id="1" xr3:uid="{3C2F8669-2292-41BE-AD7A-5D44DD7970E6}" name="Symbol">
      <calculatedColumnFormula array="1">Common_InputFunctions.Utility_DisplayArrayInTable(CommonLivestock_SourceData.SourceData_Livestock_Common_SymbolsMMS_Data(), Table_Data_MMSSymbols[[#Headers],[Symbol]], 0)</calculatedColumnFormula>
    </tableColumn>
    <tableColumn id="2" xr3:uid="{7CAEC858-D3C7-45CB-8D28-1A6D196D54C8}" name="Manure management system">
      <calculatedColumnFormula array="1">Common_InputFunctions.Utility_DisplayArrayInTable(CommonLivestock_SourceData.SourceData_Livestock_Common_SymbolsMMS_Data(), Table_Data_MMSSymbols[[#Headers],[Symbol]], 0)</calculatedColumnFormula>
    </tableColumn>
    <tableColumn id="3" xr3:uid="{A0456DD7-0E0C-4A6D-A5A9-DF42A59B6B9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8FE36D3-CC70-4E55-B1CD-2DF9D88511B2}" name="Table_SourceData_LivestockProduct_Beefcattle" displayName="Table_SourceData_LivestockProduct_Beefcattle" ref="D28:E36" totalsRowShown="0">
  <autoFilter ref="D28:E36" xr:uid="{C8FE36D3-CC70-4E55-B1CD-2DF9D88511B2}">
    <filterColumn colId="0" hiddenButton="1"/>
    <filterColumn colId="1" hiddenButton="1"/>
  </autoFilter>
  <tableColumns count="2">
    <tableColumn id="1" xr3:uid="{D52CCD92-2E4B-42E8-A3CE-6F6DB8B09E1E}" name="Product">
      <calculatedColumnFormula array="1">Common_InputFunctions.Utility_DisplayArrayInTable(CommonLivestock_SourceData.SourceData_Livestock_Product_BeefCattle_Data(),Table_SourceData_LivestockProduct_Beefcattle[[#Headers],[Product]],0)</calculatedColumnFormula>
    </tableColumn>
    <tableColumn id="2" xr3:uid="{916DA7EA-11C4-448D-9858-CE3060A32C56}" name="Source region" dataDxfId="176"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79A0650-599F-46E3-BDCA-CF804D191F3B}" name="Table_SourceData_LivestockProduct_Sheep" displayName="Table_SourceData_LivestockProduct_Sheep" ref="D40:E47" totalsRowShown="0" dataDxfId="175" dataCellStyle="Content normal">
  <autoFilter ref="D40:E47" xr:uid="{879A0650-599F-46E3-BDCA-CF804D191F3B}">
    <filterColumn colId="0" hiddenButton="1"/>
    <filterColumn colId="1" hiddenButton="1"/>
  </autoFilter>
  <tableColumns count="2">
    <tableColumn id="1" xr3:uid="{F237F8B2-5CE9-4094-A201-E708B82BA8BF}" name="Product" dataDxfId="174"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0EDD4751-35AD-4459-93E0-CE98B5BABBF2}" name="Source region" dataDxfId="173"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D161BB1-95E1-405D-861A-B4883D49A51C}" name="Table_SourceData_LivestockProduct_Chickens" displayName="Table_SourceData_LivestockProduct_Chickens" ref="D51:E52" totalsRowShown="0" dataDxfId="172" dataCellStyle="Content normal">
  <autoFilter ref="D51:E52" xr:uid="{5D161BB1-95E1-405D-861A-B4883D49A51C}">
    <filterColumn colId="0" hiddenButton="1"/>
    <filterColumn colId="1" hiddenButton="1"/>
  </autoFilter>
  <tableColumns count="2">
    <tableColumn id="1" xr3:uid="{44557688-3D5A-45A6-818D-F1328BB9ECC9}" name="Product" dataDxfId="171" dataCellStyle="Content normal">
      <calculatedColumnFormula array="1">Common_InputFunctions.Utility_DisplayArrayInTable(CommonLivestock_SourceData.SourceData_Livestock_Product_Sheep_Data(),Table_SourceData_LivestockProduct_Chickens[[#Headers],[Product]],0)</calculatedColumnFormula>
    </tableColumn>
    <tableColumn id="2" xr3:uid="{EBB79BF0-E159-4EB6-BB7B-3F1244144FB8}" name="Source region" dataDxfId="170" dataCellStyle="Content normal">
      <calculatedColumnFormula array="1">Common_InputFunctions.Utility_DisplayArrayInTable(CommonLivestock_SourceData.SourceData_Livestock_Product_Sheep_Data(),Table_SourceData_LivestockProduct_Chickens[[#Headers],[Product]],0)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1542D18-4304-4E66-85EA-4F5A2B9391FE}" name="Table_SourceData_LivestockProduct_Dairycattle" displayName="Table_SourceData_LivestockProduct_Dairycattle" ref="D56:E57" totalsRowShown="0" dataDxfId="169" dataCellStyle="Content normal">
  <autoFilter ref="D56:E57" xr:uid="{91542D18-4304-4E66-85EA-4F5A2B9391FE}">
    <filterColumn colId="0" hiddenButton="1"/>
    <filterColumn colId="1" hiddenButton="1"/>
  </autoFilter>
  <tableColumns count="2">
    <tableColumn id="1" xr3:uid="{B414FDE1-8B5E-4532-8C69-A9C006972E91}" name="Product" dataDxfId="168"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7985B54-B921-41B1-974E-732C0558CFE9}" name="Source region" dataDxfId="16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B96D517-47DA-49C8-8030-0D501D458198}" name="Table_SourceData_LivestockProduct_Pigs" displayName="Table_SourceData_LivestockProduct_Pigs" ref="D61:E62" totalsRowShown="0" dataDxfId="166" dataCellStyle="Content normal">
  <autoFilter ref="D61:E62" xr:uid="{4B96D517-47DA-49C8-8030-0D501D458198}">
    <filterColumn colId="0" hiddenButton="1"/>
    <filterColumn colId="1" hiddenButton="1"/>
  </autoFilter>
  <tableColumns count="2">
    <tableColumn id="1" xr3:uid="{20B25AB9-804F-4D21-9C93-F44C0DAF008F}" name="Product" dataDxfId="165"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B35C6622-BE74-446D-9C8E-F63C2447CD28}" name="Source region" dataDxfId="164"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2B42136-C55D-4406-935F-C32E6560EE0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CD8369B-349F-42E6-805D-14C6F763E7B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A38C8E82-36EC-473B-A4FF-CF00B4BDE9C9}" name="FNinorganic f">
      <calculatedColumnFormula array="1">Common_InputFunctions.Utility_DisplayArrayInTable(Fertiliser_SourceData.Fertiliser_ChemicalCompoundElements_Data(),Table_Fertiliser_ChemicalCompounds[[#Headers],[Fertiliser type f]], 0)</calculatedColumnFormula>
    </tableColumn>
    <tableColumn id="3" xr3:uid="{871C03ED-CF81-4534-B291-9D748D947443}" name="FU f">
      <calculatedColumnFormula array="1">Common_InputFunctions.Utility_DisplayArrayInTable(Fertiliser_SourceData.Fertiliser_ChemicalCompoundElements_Data(),Table_Fertiliser_ChemicalCompounds[[#Headers],[Fertiliser type f]], 0)</calculatedColumnFormula>
    </tableColumn>
    <tableColumn id="4" xr3:uid="{179BB24E-296D-4B79-B53E-7A584DD0E7D1}" name="Basis">
      <calculatedColumnFormula array="1">Common_InputFunctions.Utility_DisplayArrayInTable(Fertiliser_SourceData.Fertiliser_ChemicalCompoundElements_Data(),Table_Fertiliser_ChemicalCompounds[[#Headers],[Fertiliser type f]], 0)</calculatedColumnFormula>
    </tableColumn>
    <tableColumn id="5" xr3:uid="{C34BE407-CC16-49BB-AAC5-93CD8C52EC4C}"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4784547-7369-4085-AC4A-523A586AE67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3B926F-9820-4BAB-A185-2837E96F21B5}" name="FertiliserProducts" displayName="FertiliserProducts" ref="D89:AH223" totalsRowShown="0" headerRowDxfId="163" headerRowCellStyle="Content normal">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90660471-B042-45D4-A9FC-CF75A99B2C82}" name="Company" dataDxfId="162" totalsRowDxfId="161"/>
    <tableColumn id="2" xr3:uid="{B4717C55-1B95-4E74-B4A0-5CE7A609A36B}" name="Product" dataDxfId="160" totalsRowDxfId="159"/>
    <tableColumn id="3" xr3:uid="{D976AB1A-52FF-4FBD-9860-B9717ABA5514}" name="Unit" dataDxfId="158" totalsRowDxfId="157"/>
    <tableColumn id="4" xr3:uid="{D8F5EA32-4865-44AD-B9C7-F91CA2638E8B}" name="Density" dataDxfId="156" totalsRowDxfId="155"/>
    <tableColumn id="5" xr3:uid="{D241BEEC-C636-4A92-9BDB-FA8FAA1CAFB2}" name="Contains inhibitor" dataDxfId="154" totalsRowDxfId="153"/>
    <tableColumn id="6" xr3:uid="{78DBDBE9-27C7-4A0D-B9DA-9F57440C9DE9}" name="Urea source" dataDxfId="152" totalsRowDxfId="151"/>
    <tableColumn id="7" xr3:uid="{A50CBE27-EC38-4A34-A2CE-1002E6BA3DD3}" name="Ammonia source" dataDxfId="150" totalsRowDxfId="149"/>
    <tableColumn id="8" xr3:uid="{16B5D74A-9810-4E92-A540-3E051DC2151D}" name="N declared" dataDxfId="148" totalsRowDxfId="147"/>
    <tableColumn id="9" xr3:uid="{DA7A3BF5-8B40-4495-AD97-6B95B429B465}" name="P declared" dataDxfId="146" totalsRowDxfId="145"/>
    <tableColumn id="10" xr3:uid="{2A0B8472-D8FF-4086-BE70-2E8BCA80080B}" name="K declared" dataDxfId="144" totalsRowDxfId="143"/>
    <tableColumn id="11" xr3:uid="{F12415FE-ED65-47A4-AFBE-CEA738CED011}" name="S declared" dataDxfId="142" totalsRowDxfId="141"/>
    <tableColumn id="12" xr3:uid="{26500CB3-2A36-4020-8DCD-96905995028A}" name="Ingredient 1" dataDxfId="140" totalsRowDxfId="139"/>
    <tableColumn id="13" xr3:uid="{8F8E6FFC-24C1-4EC1-A491-92E852D1C21B}" name="Ingredient 1 percent" dataDxfId="138" totalsRowDxfId="137"/>
    <tableColumn id="14" xr3:uid="{0D08C50E-A1D4-4D59-8D20-E9C72FE59C88}" name="Ingredient 2" dataDxfId="136" totalsRowDxfId="135"/>
    <tableColumn id="15" xr3:uid="{E71FD370-71A1-4861-8573-8E095564A6C6}" name="Ingredient 2 percent" dataDxfId="134" totalsRowDxfId="133"/>
    <tableColumn id="16" xr3:uid="{05524065-59E0-4732-9D5C-80182402ACED}" name="Ingredient 3" dataDxfId="132" totalsRowDxfId="131"/>
    <tableColumn id="17" xr3:uid="{E73E9DAE-88FE-451C-83BB-46CE2CD11EAC}" name="Ingredient 3 percent" dataDxfId="130" totalsRowDxfId="129"/>
    <tableColumn id="18" xr3:uid="{E43B92CC-872A-4D81-AE03-F2A3A1AA9B65}" name="Ingredient 4" dataDxfId="128" totalsRowDxfId="127"/>
    <tableColumn id="19" xr3:uid="{877362A6-7696-4C2B-9AC9-A50CEF0951B6}" name="Ingredient 4 percent" dataDxfId="126" totalsRowDxfId="125"/>
    <tableColumn id="37" xr3:uid="{22756E59-4033-405C-B6C2-0A2E122D072F}" name="Ingredient 5" dataDxfId="124" totalsRowDxfId="123"/>
    <tableColumn id="20" xr3:uid="{4AE0D2CC-B8DF-4AFD-A4F6-2E34CAB929EE}" name="Ingredient 5 percent" dataDxfId="122"/>
    <tableColumn id="24" xr3:uid="{6B74DBE7-622A-449A-9E41-77A59D4B581F}" name="Ingredient 6" dataDxfId="121"/>
    <tableColumn id="23" xr3:uid="{19914632-6940-4143-8D22-E9418F00FB19}" name="Ingredient 6 percent" dataDxfId="120"/>
    <tableColumn id="26" xr3:uid="{461E0645-5302-44BD-9874-67DCFE5C32B8}" name="Ingredient 7" dataDxfId="119"/>
    <tableColumn id="25" xr3:uid="{A769ECEF-28EF-4773-BCC6-FDD846002968}" name="Ingredient 7 percent" dataDxfId="118"/>
    <tableColumn id="30" xr3:uid="{42911258-C32C-49FA-B641-594FB90ED8C8}" name="Ingredient 8" dataDxfId="117"/>
    <tableColumn id="29" xr3:uid="{CBA06944-5CBF-4AB5-A404-211D25004FEC}" name="Ingredient 8 percent" dataDxfId="116"/>
    <tableColumn id="28" xr3:uid="{EF4C1E20-8E22-4CDA-B1E0-091D3AC4290D}" name="Ingredient 9" dataDxfId="115"/>
    <tableColumn id="21" xr3:uid="{EAEC573D-06A5-488C-9911-25EC195C8600}" name="Ingredient 9 percent" dataDxfId="114" dataCellStyle="Content normal"/>
    <tableColumn id="22" xr3:uid="{5ADD64B5-B7D6-4827-B378-54CB07EE9AD1}" name="Ingredient 10" dataDxfId="113" dataCellStyle="Normal 2"/>
    <tableColumn id="27" xr3:uid="{3CDDFF95-4AED-45D7-8745-D8F872ABA10E}" name="Ingredient 10 percent" dataDxfId="112" dataCellStyle="Normal 2"/>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5A9FF7-70A7-4B6D-9295-A2BAEA1A119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1653CAF-1C28-438C-A968-A3A9AD93ADCA}" name="Fertiliser type f">
      <calculatedColumnFormula array="1">Common_InputFunctions.Utility_DisplayArrayInTable(Fertiliser_SourceData.Fertiliser_FracGASF_Data(), Table_SourceData_Fertiliser_FracGASF[[#Headers],[Fertiliser type f]], 0)</calculatedColumnFormula>
    </tableColumn>
    <tableColumn id="2" xr3:uid="{9D339199-73B4-429D-B912-46C89894AC30}" name="FracGASF f" dataDxfId="111"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E9861F-E89A-4DFC-833B-847BD41B7275}" name="Table_SourceData_Fertiliser_CropProdSystems" displayName="Table_SourceData_Fertiliser_CropProdSystems" ref="D41:D43" totalsRowShown="0">
  <autoFilter ref="D41:D43" xr:uid="{24F3A11E-40F5-4BB9-BFF4-A71FA2ADA0EF}">
    <filterColumn colId="0" hiddenButton="1"/>
  </autoFilter>
  <tableColumns count="1">
    <tableColumn id="1" xr3:uid="{066D3082-D67E-4B71-83C7-FA70FCB2D700}" name="Production system">
      <calculatedColumnFormula>#REF!</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0CAB24-F6BC-47F2-A9A8-778F08DFF7E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8A7D18B-C54A-419C-8858-EFD138C390FE}" name="Irrigation method"/>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E3D88C-98EE-40A0-96C9-E35885633B0D}" name="Table_SourceData_Fertiliser_CropTypes" displayName="Table_SourceData_Fertiliser_CropTypes" ref="F41:F45" totalsRowShown="0">
  <autoFilter ref="F41:F45" xr:uid="{CB5044B5-FA3C-4AA2-B1AB-72F7E61D072F}">
    <filterColumn colId="0" hiddenButton="1"/>
  </autoFilter>
  <tableColumns count="1">
    <tableColumn id="1" xr3:uid="{5A52CFE6-AED4-4E78-AF3D-015B4292F949}" name="Production system"/>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971AAAF-622A-4035-87B4-78C7BCD6D0E5}" name="Table_SourceData_OrganicFertiliserTypes" displayName="Table_SourceData_OrganicFertiliserTypes" ref="J41:J46" totalsRowShown="0">
  <autoFilter ref="J41:J46" xr:uid="{B44627B1-537E-4ABC-92C3-57282CEE5B40}">
    <filterColumn colId="0" hiddenButton="1"/>
  </autoFilter>
  <tableColumns count="1">
    <tableColumn id="1" xr3:uid="{4F1599D0-3855-41A1-B8CF-3F7354F1D02E}" name="Organic fertiliser type"/>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40E8AA-558F-465E-A6FB-21D240A68CB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ACBA94E-20D9-4ABB-8FE2-133ABFA6ED5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4319A8B-93C5-47AE-AA64-D550C1DC7B83}" name="P" dataDxfId="11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EBA221B-7F83-4013-9278-65A34540A879}" name="EF" dataDxfId="109"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C2324B7-0D98-4C77-AEBE-A2EF5ABB1CC7}" name="Table2" displayName="Table2" ref="K19:L28" totalsRowShown="0" dataDxfId="108" dataCellStyle="Content normal">
  <autoFilter ref="K19:L28" xr:uid="{27B93029-EB1F-4C4A-A946-CD673A8A6C46}">
    <filterColumn colId="0" hiddenButton="1"/>
    <filterColumn colId="1" hiddenButton="1"/>
  </autoFilter>
  <tableColumns count="2">
    <tableColumn id="1" xr3:uid="{D0F0FE53-48EF-4C1D-923D-46B182A1D219}" name="Fertiliser type f" dataDxfId="107" dataCellStyle="Content normal">
      <calculatedColumnFormula array="1">Common_InputFunctions.Utility_DisplayArrayInTable(Fertiliser_SourceData.Fertiliser_FractionNCommonFertilisers_Data(), Table2[[#Headers],[Fertiliser type f]], 0)</calculatedColumnFormula>
    </tableColumn>
    <tableColumn id="2" xr3:uid="{AF5AD04D-0FDF-4AED-9C58-ECF082AC42DD}" name="FNinorganic f" dataDxfId="106"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EB88649-218A-43F9-B459-50D66FBDBDB5}" name="Table28" displayName="Table28" ref="Q19:R28" totalsRowShown="0" dataDxfId="105" dataCellStyle="Content normal">
  <autoFilter ref="Q19:R28" xr:uid="{791CEA59-796C-47AB-86BC-41E8F699030C}">
    <filterColumn colId="0" hiddenButton="1"/>
    <filterColumn colId="1" hiddenButton="1"/>
  </autoFilter>
  <tableColumns count="2">
    <tableColumn id="1" xr3:uid="{8D461AD8-9C85-4218-9322-36C1AD6A4022}" name="Fertiliser type f" dataDxfId="104" dataCellStyle="Content normal">
      <calculatedColumnFormula array="1">Common_InputFunctions.Utility_DisplayArrayInTable(Fertiliser_SourceData.Fertiliser_FractionUreaCommonFertilisers_Data(), Table28[[#Headers],[Fertiliser type f]], 0)</calculatedColumnFormula>
    </tableColumn>
    <tableColumn id="2" xr3:uid="{B6FE1763-47E0-4BCE-B158-5A34B86A67A4}" name="FNinorganic f" dataDxfId="103"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70EC83-586E-4B40-AFDA-6D8ED2C5AE00}" name="Table_SourceData_Fertiliser_UreaAmmoniaSources" displayName="Table_SourceData_Fertiliser_UreaAmmoniaSources" ref="V19:V23" totalsRowShown="0">
  <autoFilter ref="V19:V23" xr:uid="{DA70EC83-586E-4B40-AFDA-6D8ED2C5AE00}">
    <filterColumn colId="0" hiddenButton="1"/>
  </autoFilter>
  <tableColumns count="1">
    <tableColumn id="1" xr3:uid="{D0ECD2CA-E626-4D4B-BB99-C674CE7E44F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815CE4-5936-4AF2-A3CD-21A6B51D968F}" name="Table_SourceData_ElectricityEFs" displayName="Table_SourceData_ElectricityEFs" ref="D9:F19" totalsRowShown="0" headerRowDxfId="102">
  <autoFilter ref="D9:F19" xr:uid="{3144A982-7A4D-4CF2-8790-1A30DAE3E0A4}">
    <filterColumn colId="0" hiddenButton="1"/>
    <filterColumn colId="1" hiddenButton="1"/>
    <filterColumn colId="2" hiddenButton="1"/>
  </autoFilter>
  <tableColumns count="3">
    <tableColumn id="1" xr3:uid="{014AD470-F735-422A-BEB3-B8C6FDC27A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268F60-A259-4A68-B464-4CCD9391255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161C8B9-7E78-4A27-B894-1A35AE36546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ECA8145-962A-4C06-8384-A5307F4BB60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A53AE81-E4EF-47E8-A1E1-0004EAAD0DE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4F6E0F8-DF29-4C21-B888-DAFA69DE9B9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FE1D1D3-0A05-4804-963E-77902D1F4B4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3663B49B-AD25-4499-B478-ED0F4BDEF091}"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4930A0D0-80DF-48EA-840E-32C5A9A518F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8128666-A0A1-440B-BF10-0E82393CDFB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77E4297-6A49-47FC-B7F0-91EB00877CB0}" name="State/Territory">
      <calculatedColumnFormula array="1">Common_InputFunctions.Utility_DisplayArrayInTable(Common_SourceData.Common_SourceData_AustralianStatesTerritories_Data(),Table_AustralianStates[[#Headers],[State/Territory]],0)</calculatedColumnFormula>
    </tableColumn>
    <tableColumn id="2" xr3:uid="{2C6201D6-8913-44E9-86AA-7B652F444A74}" name="Common Name">
      <calculatedColumnFormula array="1">Common_InputFunctions.Utility_DisplayArrayInTable(Common_SourceData.Common_SourceData_AustralianStatesTerritories_Data(),Table_AustralianStates[[#Headers],[State/Territory]],0)</calculatedColumnFormula>
    </tableColumn>
    <tableColumn id="3" xr3:uid="{D7167175-2ABB-4CD5-95FD-17B39417B5C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103CD15-3291-42F9-A272-3677445391F0}" name="Table_WASA4Areas" displayName="Table_WASA4Areas" ref="D20:D30" totalsRowShown="0">
  <autoFilter ref="D20:D30" xr:uid="{5FA81339-C6C8-4D36-BEEA-6C4AEDD9E676}">
    <filterColumn colId="0" hiddenButton="1"/>
  </autoFilter>
  <tableColumns count="1">
    <tableColumn id="1" xr3:uid="{DEDF7698-C716-4E43-BFF2-FED27A081337}"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6A8EADE-BCCE-4A71-8F07-031112EB1ECD}" name="Table_GWPData" displayName="Table_GWPData" ref="D36:E43" totalsRowShown="0">
  <autoFilter ref="D36:E43" xr:uid="{B8E87A66-3E41-4AD3-925D-01EE21B43D7A}">
    <filterColumn colId="0" hiddenButton="1"/>
    <filterColumn colId="1" hiddenButton="1"/>
  </autoFilter>
  <tableColumns count="2">
    <tableColumn id="1" xr3:uid="{61F65FAD-E80B-415E-AFD5-E0986FC18242}" name="Gas">
      <calculatedColumnFormula array="1">Common_InputFunctions.Utility_DisplayArrayInTable(Common_SourceData.Common_SourceData_GWP_Data(), Table_GWPData[[#Headers],[Gas]], 0)</calculatedColumnFormula>
    </tableColumn>
    <tableColumn id="2" xr3:uid="{1883537D-AE22-42D9-9204-38124EA929A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C59E2107-849A-46CC-A309-FD019DEF6CA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8E9A316-7C7C-4873-8312-6E5087154768}" name="Gas">
      <calculatedColumnFormula array="1">Common_InputFunctions.Utility_DisplayArrayInTable(Common_SourceData.Common_SourceData_ConvertGasElementalToMolecular_Data(),Table_GasToMolecularConversionFactor[[#Headers],[Gas]], 0)</calculatedColumnFormula>
    </tableColumn>
    <tableColumn id="5" xr3:uid="{07656D5D-6F91-40EE-A1A6-566DFF1F0633}" name="Conversion factor">
      <calculatedColumnFormula array="1">Common_InputFunctions.Utility_DisplayArrayInTable(Common_SourceData.Common_SourceData_ConvertGasElementalToMolecular_Data(),Table_GasToMolecularConversionFactor[[#Headers],[Gas]], 0)</calculatedColumnFormula>
    </tableColumn>
    <tableColumn id="2" xr3:uid="{117C3D66-EA12-4288-8678-06E4F93B87C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10E37E2E-B11C-490B-ABBD-40C62C011F74}"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DE1C4C9-F8B8-48C9-AB70-4D90213D90B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0FE3F6DD-42F1-4DAA-93D3-EAFC85631F33}"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79FDBD9-C42D-4E49-AEE7-C8130264AA9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DBA8D19-7C0F-4224-AC31-CA2932AFAF4E}" name="MAT" totalsRowDxfId="101" totalsRowCellStyle="Content bold">
      <calculatedColumnFormula array="1">Common_InputFunctions.Utility_DisplayArrayInTable(Common_SourceData.Common_SourceData_ClimateZones_Data(), Table_SourceData_ClimateZones[[#Headers],[Climate zone]], 0)</calculatedColumnFormula>
    </tableColumn>
    <tableColumn id="3" xr3:uid="{E272D5FE-B0F7-4B95-A72C-79AAA3610DA6}" name="MAP" totalsRowDxfId="100" totalsRowCellStyle="Content bold">
      <calculatedColumnFormula array="1">Common_InputFunctions.Utility_DisplayArrayInTable(Common_SourceData.Common_SourceData_ClimateZones_Data(), Table_SourceData_ClimateZones[[#Headers],[Climate zone]], 0)</calculatedColumnFormula>
    </tableColumn>
    <tableColumn id="4" xr3:uid="{0280B70A-ACDE-4903-9D5A-BB389224D0D7}" name="Frost days per year" totalsRowDxfId="99" totalsRowCellStyle="Content bold">
      <calculatedColumnFormula array="1">Common_InputFunctions.Utility_DisplayArrayInTable(Common_SourceData.Common_SourceData_ClimateZones_Data(), Table_SourceData_ClimateZones[[#Headers],[Climate zone]], 0)</calculatedColumnFormula>
    </tableColumn>
    <tableColumn id="5" xr3:uid="{A592DC57-6297-4EC6-9DD7-B4DA96248744}" name="Elevation" totalsRowDxfId="98" totalsRowCellStyle="Content bold">
      <calculatedColumnFormula array="1">Common_InputFunctions.Utility_DisplayArrayInTable(Common_SourceData.Common_SourceData_ClimateZones_Data(), Table_SourceData_ClimateZones[[#Headers],[Climate zone]], 0)</calculatedColumnFormula>
    </tableColumn>
    <tableColumn id="6" xr3:uid="{4C32DD6E-8546-4EB7-A159-792B6BDBC475}" name="MAP:PET" totalsRowDxfId="97" totalsRowCellStyle="Content bold">
      <calculatedColumnFormula array="1">Common_InputFunctions.Utility_DisplayArrayInTable(Common_SourceData.Common_SourceData_ClimateZones_Data(), Table_SourceData_ClimateZones[[#Headers],[Climate zone]], 0)</calculatedColumnFormula>
    </tableColumn>
    <tableColumn id="7" xr3:uid="{75C4B6D2-F530-4C44-B276-9EB807AC8640}" name="Min temp" totalsRowDxfId="96" totalsRowCellStyle="Content bold">
      <calculatedColumnFormula array="1">Common_InputFunctions.Utility_DisplayArrayInTable(Common_SourceData.Common_SourceData_ClimateZones_Data(), Table_SourceData_ClimateZones[[#Headers],[Climate zone]], 0)</calculatedColumnFormula>
    </tableColumn>
    <tableColumn id="8" xr3:uid="{C4F8D743-C3AF-41A1-AEB8-5C5597BC1179}" name="Max temp" totalsRowDxfId="95" totalsRowCellStyle="Content bold">
      <calculatedColumnFormula array="1">Common_InputFunctions.Utility_DisplayArrayInTable(Common_SourceData.Common_SourceData_ClimateZones_Data(), Table_SourceData_ClimateZones[[#Headers],[Climate zone]], 0)</calculatedColumnFormula>
    </tableColumn>
    <tableColumn id="9" xr3:uid="{A8BF96C1-4980-4914-8B1E-A1BA21B8393A}" name="Min rainfall" totalsRowDxfId="94" totalsRowCellStyle="Content bold">
      <calculatedColumnFormula array="1">Common_InputFunctions.Utility_DisplayArrayInTable(Common_SourceData.Common_SourceData_ClimateZones_Data(), Table_SourceData_ClimateZones[[#Headers],[Climate zone]], 0)</calculatedColumnFormula>
    </tableColumn>
    <tableColumn id="10" xr3:uid="{BCE47A38-6F6B-4E68-A43F-E9EE6CF7461E}" name="Max rainfall" totalsRowDxfId="93" totalsRowCellStyle="Content bold">
      <calculatedColumnFormula array="1">Common_InputFunctions.Utility_DisplayArrayInTable(Common_SourceData.Common_SourceData_ClimateZones_Data(), Table_SourceData_ClimateZones[[#Headers],[Climate zone]], 0)</calculatedColumnFormula>
    </tableColumn>
    <tableColumn id="11" xr3:uid="{FC140377-C69E-417F-A23A-98DB6CB62888}" name="Min frost days" totalsRowDxfId="92" totalsRowCellStyle="Content bold">
      <calculatedColumnFormula array="1">Common_InputFunctions.Utility_DisplayArrayInTable(Common_SourceData.Common_SourceData_ClimateZones_Data(), Table_SourceData_ClimateZones[[#Headers],[Climate zone]], 0)</calculatedColumnFormula>
    </tableColumn>
    <tableColumn id="15" xr3:uid="{DC944369-EE4D-4923-A855-889AB7443C39}" name="Max frost days" totalsRowDxfId="91" totalsRowCellStyle="Content bold">
      <calculatedColumnFormula array="1">Common_InputFunctions.Utility_DisplayArrayInTable(Common_SourceData.Common_SourceData_ClimateZones_Data(), Table_SourceData_ClimateZones[[#Headers],[Climate zone]], 0)</calculatedColumnFormula>
    </tableColumn>
    <tableColumn id="12" xr3:uid="{718A622E-F822-4315-8169-0B1990FBAD19}" name="Min elevation" totalsRowDxfId="90" totalsRowCellStyle="Content bold">
      <calculatedColumnFormula array="1">Common_InputFunctions.Utility_DisplayArrayInTable(Common_SourceData.Common_SourceData_ClimateZones_Data(), Table_SourceData_ClimateZones[[#Headers],[Climate zone]], 0)</calculatedColumnFormula>
    </tableColumn>
    <tableColumn id="16" xr3:uid="{FB81F007-881A-4877-AF24-17A6236E0F9F}" name="Max elevation" totalsRowDxfId="89" totalsRowCellStyle="Content bold">
      <calculatedColumnFormula array="1">Common_InputFunctions.Utility_DisplayArrayInTable(Common_SourceData.Common_SourceData_ClimateZones_Data(), Table_SourceData_ClimateZones[[#Headers],[Climate zone]], 0)</calculatedColumnFormula>
    </tableColumn>
    <tableColumn id="13" xr3:uid="{98CEDEE4-D145-469A-BFE9-A50DCA0D227C}" name="Min MAP:PET" totalsRowDxfId="88" totalsRowCellStyle="Content bold">
      <calculatedColumnFormula array="1">Common_InputFunctions.Utility_DisplayArrayInTable(Common_SourceData.Common_SourceData_ClimateZones_Data(), Table_SourceData_ClimateZones[[#Headers],[Climate zone]], 0)</calculatedColumnFormula>
    </tableColumn>
    <tableColumn id="17" xr3:uid="{F3FB27F7-51A7-477B-B6BF-B539F61A86AD}" name="Max MAP:PET" totalsRowDxfId="8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7A1D041B-56FF-42DB-9FE3-B9BDF90FD07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035E5E5-2300-4C5E-B77C-19C12B01FCA1}"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92D4C9B-8FD7-4B80-AC3A-D30531078932}" name="Wet or Dry Zone" totalsRowDxfId="8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80F0D012-3EDC-4F78-9F6F-F88179433B8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814162EB-DDA9-4427-A7E8-B02AD8CBE63E}" name="Temperature Zone">
      <calculatedColumnFormula array="1">Common_InputFunctions.Utility_DisplayArrayInTable(Common_SourceData.Common_SourceData_TemperatureZones_Data(),Table_SourceData_TemperatureZones[[#Headers],[Temperature Zone]],0)</calculatedColumnFormula>
    </tableColumn>
    <tableColumn id="2" xr3:uid="{4D81D1F0-CEAC-4FFB-A5A5-37F042C5DF1F}" name="MAT">
      <calculatedColumnFormula array="1">Common_InputFunctions.Utility_DisplayArrayInTable(Common_SourceData.Common_SourceData_TemperatureZones_Data(),Table_SourceData_TemperatureZones[[#Headers],[Temperature Zone]],0)</calculatedColumnFormula>
    </tableColumn>
    <tableColumn id="3" xr3:uid="{649AD4CE-DB0B-49A7-8155-F3259BF50605}" name="Min MAT">
      <calculatedColumnFormula array="1">Common_InputFunctions.Utility_DisplayArrayInTable(Common_SourceData.Common_SourceData_TemperatureZones_Data(),Table_SourceData_TemperatureZones[[#Headers],[Temperature Zone]],0)</calculatedColumnFormula>
    </tableColumn>
    <tableColumn id="4" xr3:uid="{3D25EF70-0E09-4E45-8919-E336AA3D6682}"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0418DA0-E32B-497F-A5CE-16CA41FC04DD}"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73B2EFBD-F46B-4311-A5B4-4CA657D88E15}" name="Rainfall Zone">
      <calculatedColumnFormula array="1">Common_InputFunctions.Utility_DisplayArrayInTable(Common_SourceData.Common_SourceData_RainfallZones_Data(),Table_SourceData_RainfallZones[[#Headers],[Rainfall Zone]],0)</calculatedColumnFormula>
    </tableColumn>
    <tableColumn id="2" xr3:uid="{8AD3490E-E769-4CF6-A70C-C6B4BEE49A74}" name="Annual rainfall">
      <calculatedColumnFormula array="1">Common_InputFunctions.Utility_DisplayArrayInTable(Common_SourceData.Common_SourceData_RainfallZones_Data(),Table_SourceData_RainfallZones[[#Headers],[Rainfall Zone]],0)</calculatedColumnFormula>
    </tableColumn>
    <tableColumn id="3" xr3:uid="{CBA47724-1E9D-46D6-B922-F60DFA18F316}" name="Min rainfall">
      <calculatedColumnFormula array="1">Common_InputFunctions.Utility_DisplayArrayInTable(Common_SourceData.Common_SourceData_RainfallZones_Data(),Table_SourceData_RainfallZones[[#Headers],[Rainfall Zone]],0)</calculatedColumnFormula>
    </tableColumn>
    <tableColumn id="4" xr3:uid="{CE0937BB-6263-4C8D-9E29-931AFA4A8E7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AAF29594-FDB5-4DA5-BB46-24130418AE4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30DBA3C-1CB3-47F4-A5D8-7E5896BA6CF1}" name="Leaching Zone">
      <calculatedColumnFormula array="1">Common_InputFunctions.Utility_DisplayArrayInTable(Common_SourceData.Common_SourceData_LeachingZones_Data(), Table_SourceData_LeachingZones[[#Headers],[Leaching Zone]], 0)</calculatedColumnFormula>
    </tableColumn>
    <tableColumn id="2" xr3:uid="{C7EC8E15-214F-465C-BFB8-549FEACE6575}"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F254DEF7-6AE0-423D-82FB-4AA40019826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313F485-A274-48C5-8A8B-90C1F3586BB5}" name="Data source">
      <calculatedColumnFormula array="1">Common_InputFunctions.Utility_DisplayArrayInTable(Common_SourceData.Common_SourceData_DataScores_Scope3_Data(), Table_SourceData_DataScores_Scope3[[#Headers],[Data source]], 0)</calculatedColumnFormula>
    </tableColumn>
    <tableColumn id="2" xr3:uid="{44610F87-0B44-41C8-B893-940E14A3A15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560468B3-26C7-436B-839D-2D16107EE074}" name="Table_SourceData_FracWET" displayName="Table_SourceData_FracWET" ref="D134:E136" totalsRowShown="0">
  <autoFilter ref="D134:E136" xr:uid="{308E99BE-FE1F-47A4-B2CA-97217277C4E9}">
    <filterColumn colId="0" hiddenButton="1"/>
    <filterColumn colId="1" hiddenButton="1"/>
  </autoFilter>
  <tableColumns count="2">
    <tableColumn id="1" xr3:uid="{CDC2BD0B-4BAC-4113-BCB8-261F704B7749}" name="Is in leaching zone">
      <calculatedColumnFormula array="1">Common_InputFunctions.Utility_DisplayArrayInTable(Common_SourceData.Common_SourceData_FracWET_Data(),Table_SourceData_FracWET[[#Headers],[Is in leaching zone]],0)</calculatedColumnFormula>
    </tableColumn>
    <tableColumn id="2" xr3:uid="{EB9D2953-DED7-4F57-8A95-B376D2AA2CB4}" name="FracWET" dataDxfId="8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1A3AAEE1-DEBB-4E91-ADEE-A098D362D3F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2EBB4C90-5C6D-433E-834E-2E2A424D9C08}" name="Production system j">
      <calculatedColumnFormula array="1">Common_InputFunctions.Utility_DisplayArrayInTable(Common_SourceData.Common_SourceData_EFN2O_Data(), Table_SourceData_Common_EFN2O[[#Headers],[Production system j]], 0)</calculatedColumnFormula>
    </tableColumn>
    <tableColumn id="2" xr3:uid="{7537D664-1DC8-493A-B351-4F7B3BFF96E3}" name="EFN2O">
      <calculatedColumnFormula array="1">Common_InputFunctions.Utility_DisplayArrayInTable(Common_SourceData.Common_SourceData_EFN2O_Data(), Table_SourceData_Common_EFN2O[[#Headers],[Production system j]], 0)</calculatedColumnFormula>
    </tableColumn>
    <tableColumn id="3" xr3:uid="{A3AAC40F-8F03-4505-9D46-613151145562}" name="Production system only">
      <calculatedColumnFormula array="1">Common_InputFunctions.Utility_DisplayArrayInTable(Common_SourceData.Common_SourceData_EFN2O_Data(), Table_SourceData_Common_EFN2O[[#Headers],[Production system j]], 0)</calculatedColumnFormula>
    </tableColumn>
    <tableColumn id="4" xr3:uid="{A7110733-A6D6-4640-98A1-6653EB831AA9}" name="Irrigation method">
      <calculatedColumnFormula array="1">Common_InputFunctions.Utility_DisplayArrayInTable(Common_SourceData.Common_SourceData_EFN2O_Data(), Table_SourceData_Common_EFN2O[[#Headers],[Production system j]], 0)</calculatedColumnFormula>
    </tableColumn>
    <tableColumn id="5" xr3:uid="{F8962CEC-3373-49A6-9A61-7F21077C4F3F}"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FED53FBB-AE70-4A81-9B4D-5945D5D0FBF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4D737B7-63FD-4CEE-BC1A-4C322A82A7D7}" name="Irrigation type i">
      <calculatedColumnFormula array="1">Common_InputFunctions.Utility_DisplayArrayInTable(Common_SourceData.Common_SourceData_FracWETIrrigation_Data(), Table_SourceData_FracWETIrrigation[[#Headers],[Irrigation type i]], 0)</calculatedColumnFormula>
    </tableColumn>
    <tableColumn id="2" xr3:uid="{1E63E295-A9AB-47B7-815E-C7B475979485}" name="FracWET" dataDxfId="8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4C5631CD-872D-4989-A770-BD9728504E2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13099586-CAA1-49EE-9315-58849098F56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A09DEF5-1AEC-43C4-8EFE-699C874E3896}" name="EFPRP" dataDxfId="8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38AEE79D-791B-45BF-BE60-DB4ABC5F943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13D2E17-4A4F-449F-BF90-CB4723371B8F}" name="Month">
      <calculatedColumnFormula array="1">Common_InputFunctions.Utility_DisplayArrayInTable(Common_SourceData.Common_SourceData_MonthsToSeasons_Data(), Table_SourceData_Common_MonthToSeason[[#Headers],[Month]], 0)</calculatedColumnFormula>
    </tableColumn>
    <tableColumn id="2" xr3:uid="{3A2C802D-131E-4389-8912-E49AC5A97FA7}" name="Season" dataDxfId="8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B637AFAD-1E1E-4457-BE28-4E10211DA1F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755B56E-85F4-4C97-A94C-761089CA26A9}"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DDC247D-8D17-42A7-8D10-9B3C22E63B2D}" name="MAT (ºC)" dataDxfId="8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03214FA-45DF-446B-A229-C56CDF46D027}" name="Anaerobic lagoon" dataDxfId="8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D5908AC-0399-4DD5-93BA-38229DCD2C90}" name="Digester / covered lagoons" dataDxfId="7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3282EE2-BF08-41F7-8E1F-CE2626A064D7}" name="Liquid systems" dataDxfId="7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A46198F9-9771-42F3-8859-FB502C1331B2}" name="Daily spread" dataDxfId="7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0DA1B15-D478-407E-B9F0-26489F532533}" name="Composting (passive windrow)" dataDxfId="7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A4604E1-6419-4542-8E9C-E97698BE55AC}" name="Solid storage" dataDxfId="7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18DFBF2-31F1-4E15-B025-3C68B3663FDC}" name="Pit storage" dataDxfId="7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706D404-50ED-4717-97E9-B85D62831587}" name="Deep litter" dataDxfId="7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CAE4879-2843-468B-AFE9-C36E35CAFA6E}" name="Poultry manure with bedding" dataDxfId="7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E06DB5D2-28B2-4931-8FE1-68145B726412}" name="Poultry manure without bedding" dataDxfId="7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7E8A0956-2517-44F5-843D-1EA2571566FA}" name="Direct processing" dataDxfId="7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6C753E13-BC92-47F3-9921-2D38EA858627}" name="Direct application" dataDxfId="6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F827B60-7990-44AB-B2AD-DBF9C6FDBA9E}" name="Pasture range and paddock" dataDxfId="6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3A348832-5F3C-49DF-B072-4B6F65F2EC4C}" name="MAT raw" dataDxfId="6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72DA15BB-E9B0-4AB2-B114-3997028A73E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ABE7BA-8EAC-4A3F-8B9A-16F064299E94}"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B332408E-553A-496D-A8C7-10AE627C7A7B}" name="EFNi &amp; EFN2Oi" dataDxfId="6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BC3C7C23-1C71-40B1-86A0-82BFD0964652}"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8C002654-29E6-4807-9839-F0DA67BF9AD3}" name="Description" dataDxfId="65" dataCellStyle="Content normal"/>
    <tableColumn id="1" xr3:uid="{8C5CFB43-1D30-4BE1-863E-20225DA0C3B3}" name="ID"/>
    <tableColumn id="3" xr3:uid="{7420833D-5CFC-4EA9-9261-306497D40B7F}" name="Score"/>
  </tableColumns>
  <tableStyleInfo name="Equation table"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C263956E-D79F-4A8E-A030-7BBEE6E14B0F}"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B2BA2CC9-8793-4654-94E4-42761BB1960F}" name="Description"/>
    <tableColumn id="2" xr3:uid="{7EC75137-DA0C-41AB-BE25-8E56109EAFED}" name="ID"/>
    <tableColumn id="3" xr3:uid="{B78260F3-270E-480B-AA33-FCD82E662CB9}" name="Score"/>
  </tableColumns>
  <tableStyleInfo name="Equation table"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8B078B29-2D13-411E-A187-8C8D28D1CB7C}"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FC973E61-5E3C-47C6-960E-809D8451BB19}" name="Description"/>
    <tableColumn id="2" xr3:uid="{DBF107D7-E192-4973-8543-32A9EC9E71D4}" name="ID"/>
    <tableColumn id="3" xr3:uid="{F038602A-6866-4584-93AE-6B83DD8FF3C0}" name="Score"/>
  </tableColumns>
  <tableStyleInfo name="Equation table"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076CC480-0A61-4C38-897D-CCC406D22FA8}"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A0C14C94-DAA0-4C9D-9C60-6F442F05CA81}" name="Description"/>
    <tableColumn id="2" xr3:uid="{9E1BF419-3C56-43AB-B87B-1FDC2700CCB3}" name="ID"/>
    <tableColumn id="3" xr3:uid="{C367DFE3-F193-47D7-B9C6-F0D20BC526A5}"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3.bin"/><Relationship Id="rId4"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8" Type="http://schemas.openxmlformats.org/officeDocument/2006/relationships/table" Target="../tables/table30.xml"/><Relationship Id="rId13" Type="http://schemas.openxmlformats.org/officeDocument/2006/relationships/table" Target="../tables/table35.xml"/><Relationship Id="rId18" Type="http://schemas.openxmlformats.org/officeDocument/2006/relationships/table" Target="../tables/table40.xml"/><Relationship Id="rId26" Type="http://schemas.openxmlformats.org/officeDocument/2006/relationships/table" Target="../tables/table48.xml"/><Relationship Id="rId3" Type="http://schemas.openxmlformats.org/officeDocument/2006/relationships/table" Target="../tables/table25.xml"/><Relationship Id="rId21" Type="http://schemas.openxmlformats.org/officeDocument/2006/relationships/table" Target="../tables/table43.xml"/><Relationship Id="rId7" Type="http://schemas.openxmlformats.org/officeDocument/2006/relationships/table" Target="../tables/table29.xml"/><Relationship Id="rId12" Type="http://schemas.openxmlformats.org/officeDocument/2006/relationships/table" Target="../tables/table34.xml"/><Relationship Id="rId17" Type="http://schemas.openxmlformats.org/officeDocument/2006/relationships/table" Target="../tables/table39.xml"/><Relationship Id="rId25" Type="http://schemas.openxmlformats.org/officeDocument/2006/relationships/table" Target="../tables/table47.xml"/><Relationship Id="rId2" Type="http://schemas.openxmlformats.org/officeDocument/2006/relationships/table" Target="../tables/table24.xml"/><Relationship Id="rId16" Type="http://schemas.openxmlformats.org/officeDocument/2006/relationships/table" Target="../tables/table38.xml"/><Relationship Id="rId20" Type="http://schemas.openxmlformats.org/officeDocument/2006/relationships/table" Target="../tables/table42.xml"/><Relationship Id="rId29" Type="http://schemas.openxmlformats.org/officeDocument/2006/relationships/table" Target="../tables/table51.xml"/><Relationship Id="rId1" Type="http://schemas.openxmlformats.org/officeDocument/2006/relationships/table" Target="../tables/table23.xml"/><Relationship Id="rId6" Type="http://schemas.openxmlformats.org/officeDocument/2006/relationships/table" Target="../tables/table28.xml"/><Relationship Id="rId11" Type="http://schemas.openxmlformats.org/officeDocument/2006/relationships/table" Target="../tables/table33.xml"/><Relationship Id="rId24" Type="http://schemas.openxmlformats.org/officeDocument/2006/relationships/table" Target="../tables/table46.xml"/><Relationship Id="rId5" Type="http://schemas.openxmlformats.org/officeDocument/2006/relationships/table" Target="../tables/table27.xml"/><Relationship Id="rId15" Type="http://schemas.openxmlformats.org/officeDocument/2006/relationships/table" Target="../tables/table37.xml"/><Relationship Id="rId23" Type="http://schemas.openxmlformats.org/officeDocument/2006/relationships/table" Target="../tables/table45.xml"/><Relationship Id="rId28" Type="http://schemas.openxmlformats.org/officeDocument/2006/relationships/table" Target="../tables/table50.xml"/><Relationship Id="rId10" Type="http://schemas.openxmlformats.org/officeDocument/2006/relationships/table" Target="../tables/table32.xml"/><Relationship Id="rId19" Type="http://schemas.openxmlformats.org/officeDocument/2006/relationships/table" Target="../tables/table41.xml"/><Relationship Id="rId31" Type="http://schemas.openxmlformats.org/officeDocument/2006/relationships/table" Target="../tables/table53.xml"/><Relationship Id="rId4" Type="http://schemas.openxmlformats.org/officeDocument/2006/relationships/table" Target="../tables/table26.xml"/><Relationship Id="rId9" Type="http://schemas.openxmlformats.org/officeDocument/2006/relationships/table" Target="../tables/table31.xml"/><Relationship Id="rId14" Type="http://schemas.openxmlformats.org/officeDocument/2006/relationships/table" Target="../tables/table36.xml"/><Relationship Id="rId22" Type="http://schemas.openxmlformats.org/officeDocument/2006/relationships/table" Target="../tables/table44.xml"/><Relationship Id="rId27" Type="http://schemas.openxmlformats.org/officeDocument/2006/relationships/table" Target="../tables/table49.xml"/><Relationship Id="rId30" Type="http://schemas.openxmlformats.org/officeDocument/2006/relationships/table" Target="../tables/table52.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55.xml"/><Relationship Id="rId7" Type="http://schemas.openxmlformats.org/officeDocument/2006/relationships/table" Target="../tables/table59.xml"/><Relationship Id="rId2" Type="http://schemas.openxmlformats.org/officeDocument/2006/relationships/table" Target="../tables/table54.xml"/><Relationship Id="rId1" Type="http://schemas.openxmlformats.org/officeDocument/2006/relationships/printerSettings" Target="../printerSettings/printerSettings8.bin"/><Relationship Id="rId6" Type="http://schemas.openxmlformats.org/officeDocument/2006/relationships/table" Target="../tables/table58.xml"/><Relationship Id="rId5" Type="http://schemas.openxmlformats.org/officeDocument/2006/relationships/table" Target="../tables/table57.xml"/><Relationship Id="rId4" Type="http://schemas.openxmlformats.org/officeDocument/2006/relationships/table" Target="../tables/table56.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62.xml"/><Relationship Id="rId7" Type="http://schemas.openxmlformats.org/officeDocument/2006/relationships/table" Target="../tables/table66.xml"/><Relationship Id="rId2" Type="http://schemas.openxmlformats.org/officeDocument/2006/relationships/table" Target="../tables/table61.xml"/><Relationship Id="rId1" Type="http://schemas.openxmlformats.org/officeDocument/2006/relationships/table" Target="../tables/table60.xml"/><Relationship Id="rId6" Type="http://schemas.openxmlformats.org/officeDocument/2006/relationships/table" Target="../tables/table65.xml"/><Relationship Id="rId5" Type="http://schemas.openxmlformats.org/officeDocument/2006/relationships/table" Target="../tables/table64.xml"/><Relationship Id="rId4" Type="http://schemas.openxmlformats.org/officeDocument/2006/relationships/table" Target="../tables/table63.xml"/></Relationships>
</file>

<file path=xl/worksheets/_rels/sheet29.xml.rels><?xml version="1.0" encoding="UTF-8" standalone="yes"?>
<Relationships xmlns="http://schemas.openxmlformats.org/package/2006/relationships"><Relationship Id="rId8" Type="http://schemas.openxmlformats.org/officeDocument/2006/relationships/table" Target="../tables/table73.xml"/><Relationship Id="rId3" Type="http://schemas.openxmlformats.org/officeDocument/2006/relationships/table" Target="../tables/table68.xml"/><Relationship Id="rId7" Type="http://schemas.openxmlformats.org/officeDocument/2006/relationships/table" Target="../tables/table72.xml"/><Relationship Id="rId12" Type="http://schemas.openxmlformats.org/officeDocument/2006/relationships/table" Target="../tables/table77.xml"/><Relationship Id="rId2" Type="http://schemas.openxmlformats.org/officeDocument/2006/relationships/table" Target="../tables/table67.xml"/><Relationship Id="rId1" Type="http://schemas.openxmlformats.org/officeDocument/2006/relationships/printerSettings" Target="../printerSettings/printerSettings9.bin"/><Relationship Id="rId6" Type="http://schemas.openxmlformats.org/officeDocument/2006/relationships/table" Target="../tables/table71.xml"/><Relationship Id="rId11" Type="http://schemas.openxmlformats.org/officeDocument/2006/relationships/table" Target="../tables/table76.xml"/><Relationship Id="rId5" Type="http://schemas.openxmlformats.org/officeDocument/2006/relationships/table" Target="../tables/table70.xml"/><Relationship Id="rId10" Type="http://schemas.openxmlformats.org/officeDocument/2006/relationships/table" Target="../tables/table75.xml"/><Relationship Id="rId4" Type="http://schemas.openxmlformats.org/officeDocument/2006/relationships/table" Target="../tables/table69.xml"/><Relationship Id="rId9" Type="http://schemas.openxmlformats.org/officeDocument/2006/relationships/table" Target="../tables/table74.xml"/></Relationships>
</file>

<file path=xl/worksheets/_rels/sheet30.xml.rels><?xml version="1.0" encoding="UTF-8" standalone="yes"?>
<Relationships xmlns="http://schemas.openxmlformats.org/package/2006/relationships"><Relationship Id="rId8" Type="http://schemas.openxmlformats.org/officeDocument/2006/relationships/table" Target="../tables/table85.xml"/><Relationship Id="rId13" Type="http://schemas.openxmlformats.org/officeDocument/2006/relationships/table" Target="../tables/table90.xml"/><Relationship Id="rId3" Type="http://schemas.openxmlformats.org/officeDocument/2006/relationships/table" Target="../tables/table80.xml"/><Relationship Id="rId7" Type="http://schemas.openxmlformats.org/officeDocument/2006/relationships/table" Target="../tables/table84.xml"/><Relationship Id="rId12" Type="http://schemas.openxmlformats.org/officeDocument/2006/relationships/table" Target="../tables/table89.xml"/><Relationship Id="rId2" Type="http://schemas.openxmlformats.org/officeDocument/2006/relationships/table" Target="../tables/table79.xml"/><Relationship Id="rId1" Type="http://schemas.openxmlformats.org/officeDocument/2006/relationships/table" Target="../tables/table78.xml"/><Relationship Id="rId6" Type="http://schemas.openxmlformats.org/officeDocument/2006/relationships/table" Target="../tables/table83.xml"/><Relationship Id="rId11" Type="http://schemas.openxmlformats.org/officeDocument/2006/relationships/table" Target="../tables/table88.xml"/><Relationship Id="rId5" Type="http://schemas.openxmlformats.org/officeDocument/2006/relationships/table" Target="../tables/table82.xml"/><Relationship Id="rId10" Type="http://schemas.openxmlformats.org/officeDocument/2006/relationships/table" Target="../tables/table87.xml"/><Relationship Id="rId4" Type="http://schemas.openxmlformats.org/officeDocument/2006/relationships/table" Target="../tables/table81.xml"/><Relationship Id="rId9" Type="http://schemas.openxmlformats.org/officeDocument/2006/relationships/table" Target="../tables/table86.xml"/><Relationship Id="rId14" Type="http://schemas.openxmlformats.org/officeDocument/2006/relationships/table" Target="../tables/table91.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99.xml"/><Relationship Id="rId13" Type="http://schemas.openxmlformats.org/officeDocument/2006/relationships/table" Target="../tables/table104.xml"/><Relationship Id="rId3" Type="http://schemas.openxmlformats.org/officeDocument/2006/relationships/table" Target="../tables/table94.xml"/><Relationship Id="rId7" Type="http://schemas.openxmlformats.org/officeDocument/2006/relationships/table" Target="../tables/table98.xml"/><Relationship Id="rId12" Type="http://schemas.openxmlformats.org/officeDocument/2006/relationships/table" Target="../tables/table103.xml"/><Relationship Id="rId2" Type="http://schemas.openxmlformats.org/officeDocument/2006/relationships/table" Target="../tables/table93.xml"/><Relationship Id="rId1" Type="http://schemas.openxmlformats.org/officeDocument/2006/relationships/table" Target="../tables/table92.xml"/><Relationship Id="rId6" Type="http://schemas.openxmlformats.org/officeDocument/2006/relationships/table" Target="../tables/table97.xml"/><Relationship Id="rId11" Type="http://schemas.openxmlformats.org/officeDocument/2006/relationships/table" Target="../tables/table102.xml"/><Relationship Id="rId5" Type="http://schemas.openxmlformats.org/officeDocument/2006/relationships/table" Target="../tables/table96.xml"/><Relationship Id="rId15" Type="http://schemas.openxmlformats.org/officeDocument/2006/relationships/table" Target="../tables/table106.xml"/><Relationship Id="rId10" Type="http://schemas.openxmlformats.org/officeDocument/2006/relationships/table" Target="../tables/table101.xml"/><Relationship Id="rId4" Type="http://schemas.openxmlformats.org/officeDocument/2006/relationships/table" Target="../tables/table95.xml"/><Relationship Id="rId9" Type="http://schemas.openxmlformats.org/officeDocument/2006/relationships/table" Target="../tables/table100.xml"/><Relationship Id="rId14" Type="http://schemas.openxmlformats.org/officeDocument/2006/relationships/table" Target="../tables/table105.xml"/></Relationships>
</file>

<file path=xl/worksheets/_rels/sheet32.xml.rels><?xml version="1.0" encoding="UTF-8" standalone="yes"?>
<Relationships xmlns="http://schemas.openxmlformats.org/package/2006/relationships"><Relationship Id="rId8" Type="http://schemas.openxmlformats.org/officeDocument/2006/relationships/table" Target="../tables/table114.xml"/><Relationship Id="rId13" Type="http://schemas.openxmlformats.org/officeDocument/2006/relationships/table" Target="../tables/table119.xml"/><Relationship Id="rId18" Type="http://schemas.openxmlformats.org/officeDocument/2006/relationships/table" Target="../tables/table124.xml"/><Relationship Id="rId3" Type="http://schemas.openxmlformats.org/officeDocument/2006/relationships/table" Target="../tables/table109.xml"/><Relationship Id="rId21" Type="http://schemas.openxmlformats.org/officeDocument/2006/relationships/table" Target="../tables/table127.xml"/><Relationship Id="rId7" Type="http://schemas.openxmlformats.org/officeDocument/2006/relationships/table" Target="../tables/table113.xml"/><Relationship Id="rId12" Type="http://schemas.openxmlformats.org/officeDocument/2006/relationships/table" Target="../tables/table118.xml"/><Relationship Id="rId17" Type="http://schemas.openxmlformats.org/officeDocument/2006/relationships/table" Target="../tables/table123.xml"/><Relationship Id="rId25" Type="http://schemas.openxmlformats.org/officeDocument/2006/relationships/table" Target="../tables/table131.xml"/><Relationship Id="rId2" Type="http://schemas.openxmlformats.org/officeDocument/2006/relationships/table" Target="../tables/table108.xml"/><Relationship Id="rId16" Type="http://schemas.openxmlformats.org/officeDocument/2006/relationships/table" Target="../tables/table122.xml"/><Relationship Id="rId20" Type="http://schemas.openxmlformats.org/officeDocument/2006/relationships/table" Target="../tables/table126.xml"/><Relationship Id="rId1" Type="http://schemas.openxmlformats.org/officeDocument/2006/relationships/table" Target="../tables/table107.xml"/><Relationship Id="rId6" Type="http://schemas.openxmlformats.org/officeDocument/2006/relationships/table" Target="../tables/table112.xml"/><Relationship Id="rId11" Type="http://schemas.openxmlformats.org/officeDocument/2006/relationships/table" Target="../tables/table117.xml"/><Relationship Id="rId24" Type="http://schemas.openxmlformats.org/officeDocument/2006/relationships/table" Target="../tables/table130.xml"/><Relationship Id="rId5" Type="http://schemas.openxmlformats.org/officeDocument/2006/relationships/table" Target="../tables/table111.xml"/><Relationship Id="rId15" Type="http://schemas.openxmlformats.org/officeDocument/2006/relationships/table" Target="../tables/table121.xml"/><Relationship Id="rId23" Type="http://schemas.openxmlformats.org/officeDocument/2006/relationships/table" Target="../tables/table129.xml"/><Relationship Id="rId10" Type="http://schemas.openxmlformats.org/officeDocument/2006/relationships/table" Target="../tables/table116.xml"/><Relationship Id="rId19" Type="http://schemas.openxmlformats.org/officeDocument/2006/relationships/table" Target="../tables/table125.xml"/><Relationship Id="rId4" Type="http://schemas.openxmlformats.org/officeDocument/2006/relationships/table" Target="../tables/table110.xml"/><Relationship Id="rId9" Type="http://schemas.openxmlformats.org/officeDocument/2006/relationships/table" Target="../tables/table115.xml"/><Relationship Id="rId14" Type="http://schemas.openxmlformats.org/officeDocument/2006/relationships/table" Target="../tables/table120.xml"/><Relationship Id="rId22" Type="http://schemas.openxmlformats.org/officeDocument/2006/relationships/table" Target="../tables/table128.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134.xml"/><Relationship Id="rId2" Type="http://schemas.openxmlformats.org/officeDocument/2006/relationships/table" Target="../tables/table133.xml"/><Relationship Id="rId1" Type="http://schemas.openxmlformats.org/officeDocument/2006/relationships/table" Target="../tables/table132.xml"/><Relationship Id="rId6" Type="http://schemas.openxmlformats.org/officeDocument/2006/relationships/table" Target="../tables/table137.xml"/><Relationship Id="rId5" Type="http://schemas.openxmlformats.org/officeDocument/2006/relationships/table" Target="../tables/table136.xml"/><Relationship Id="rId4" Type="http://schemas.openxmlformats.org/officeDocument/2006/relationships/table" Target="../tables/table135.xml"/></Relationships>
</file>

<file path=xl/worksheets/_rels/sheet34.xml.rels><?xml version="1.0" encoding="UTF-8" standalone="yes"?>
<Relationships xmlns="http://schemas.openxmlformats.org/package/2006/relationships"><Relationship Id="rId8" Type="http://schemas.openxmlformats.org/officeDocument/2006/relationships/table" Target="../tables/table145.xml"/><Relationship Id="rId3" Type="http://schemas.openxmlformats.org/officeDocument/2006/relationships/table" Target="../tables/table140.xml"/><Relationship Id="rId7" Type="http://schemas.openxmlformats.org/officeDocument/2006/relationships/table" Target="../tables/table144.xml"/><Relationship Id="rId2" Type="http://schemas.openxmlformats.org/officeDocument/2006/relationships/table" Target="../tables/table139.xml"/><Relationship Id="rId1" Type="http://schemas.openxmlformats.org/officeDocument/2006/relationships/table" Target="../tables/table138.xml"/><Relationship Id="rId6" Type="http://schemas.openxmlformats.org/officeDocument/2006/relationships/table" Target="../tables/table143.xml"/><Relationship Id="rId11" Type="http://schemas.openxmlformats.org/officeDocument/2006/relationships/table" Target="../tables/table148.xml"/><Relationship Id="rId5" Type="http://schemas.openxmlformats.org/officeDocument/2006/relationships/table" Target="../tables/table142.xml"/><Relationship Id="rId10" Type="http://schemas.openxmlformats.org/officeDocument/2006/relationships/table" Target="../tables/table147.xml"/><Relationship Id="rId4" Type="http://schemas.openxmlformats.org/officeDocument/2006/relationships/table" Target="../tables/table141.xml"/><Relationship Id="rId9" Type="http://schemas.openxmlformats.org/officeDocument/2006/relationships/table" Target="../tables/table146.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150.xml"/><Relationship Id="rId1" Type="http://schemas.openxmlformats.org/officeDocument/2006/relationships/table" Target="../tables/table149.xml"/></Relationships>
</file>

<file path=xl/worksheets/_rels/sheet36.xml.rels><?xml version="1.0" encoding="UTF-8" standalone="yes"?>
<Relationships xmlns="http://schemas.openxmlformats.org/package/2006/relationships"><Relationship Id="rId8" Type="http://schemas.openxmlformats.org/officeDocument/2006/relationships/table" Target="../tables/table157.xml"/><Relationship Id="rId13" Type="http://schemas.openxmlformats.org/officeDocument/2006/relationships/table" Target="../tables/table162.xml"/><Relationship Id="rId18" Type="http://schemas.openxmlformats.org/officeDocument/2006/relationships/table" Target="../tables/table167.xml"/><Relationship Id="rId3" Type="http://schemas.openxmlformats.org/officeDocument/2006/relationships/table" Target="../tables/table152.xml"/><Relationship Id="rId21" Type="http://schemas.openxmlformats.org/officeDocument/2006/relationships/table" Target="../tables/table170.xml"/><Relationship Id="rId7" Type="http://schemas.openxmlformats.org/officeDocument/2006/relationships/table" Target="../tables/table156.xml"/><Relationship Id="rId12" Type="http://schemas.openxmlformats.org/officeDocument/2006/relationships/table" Target="../tables/table161.xml"/><Relationship Id="rId17" Type="http://schemas.openxmlformats.org/officeDocument/2006/relationships/table" Target="../tables/table166.xml"/><Relationship Id="rId2" Type="http://schemas.openxmlformats.org/officeDocument/2006/relationships/table" Target="../tables/table151.xml"/><Relationship Id="rId16" Type="http://schemas.openxmlformats.org/officeDocument/2006/relationships/table" Target="../tables/table165.xml"/><Relationship Id="rId20" Type="http://schemas.openxmlformats.org/officeDocument/2006/relationships/table" Target="../tables/table169.xml"/><Relationship Id="rId1" Type="http://schemas.openxmlformats.org/officeDocument/2006/relationships/printerSettings" Target="../printerSettings/printerSettings10.bin"/><Relationship Id="rId6" Type="http://schemas.openxmlformats.org/officeDocument/2006/relationships/table" Target="../tables/table155.xml"/><Relationship Id="rId11" Type="http://schemas.openxmlformats.org/officeDocument/2006/relationships/table" Target="../tables/table160.xml"/><Relationship Id="rId5" Type="http://schemas.openxmlformats.org/officeDocument/2006/relationships/table" Target="../tables/table154.xml"/><Relationship Id="rId15" Type="http://schemas.openxmlformats.org/officeDocument/2006/relationships/table" Target="../tables/table164.xml"/><Relationship Id="rId10" Type="http://schemas.openxmlformats.org/officeDocument/2006/relationships/table" Target="../tables/table159.xml"/><Relationship Id="rId19" Type="http://schemas.openxmlformats.org/officeDocument/2006/relationships/table" Target="../tables/table168.xml"/><Relationship Id="rId4" Type="http://schemas.openxmlformats.org/officeDocument/2006/relationships/table" Target="../tables/table153.xml"/><Relationship Id="rId9" Type="http://schemas.openxmlformats.org/officeDocument/2006/relationships/table" Target="../tables/table158.xml"/><Relationship Id="rId14" Type="http://schemas.openxmlformats.org/officeDocument/2006/relationships/table" Target="../tables/table163.xml"/><Relationship Id="rId22" Type="http://schemas.openxmlformats.org/officeDocument/2006/relationships/table" Target="../tables/table17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A1:L38"/>
  <sheetViews>
    <sheetView showGridLines="0" zoomScaleNormal="100" workbookViewId="0">
      <selection activeCell="A38" sqref="A38"/>
    </sheetView>
  </sheetViews>
  <sheetFormatPr defaultRowHeight="20.100000000000001" customHeight="1" x14ac:dyDescent="0.2"/>
  <cols>
    <col min="1" max="1" width="30.5703125" customWidth="1"/>
    <col min="2" max="2" width="4.5703125" customWidth="1"/>
    <col min="3" max="3" width="4.5703125" style="8" customWidth="1"/>
    <col min="4" max="11" width="30.5703125" style="8" customWidth="1"/>
    <col min="12" max="12" width="4.5703125" style="8" customWidth="1"/>
  </cols>
  <sheetData>
    <row r="1" spans="1:12" s="1" customFormat="1" ht="30" customHeight="1" x14ac:dyDescent="0.35">
      <c r="A1" s="37" t="e" vm="1">
        <v>#VALUE!</v>
      </c>
      <c r="C1" s="201" t="s">
        <v>826</v>
      </c>
    </row>
    <row r="2" spans="1:12" s="2" customFormat="1" ht="20.100000000000001" customHeight="1" x14ac:dyDescent="0.2">
      <c r="A2"/>
    </row>
    <row r="3" spans="1:12" ht="20.100000000000001" customHeight="1" x14ac:dyDescent="0.2">
      <c r="A3" s="212" t="str">
        <f>HYPERLINK("#'Overview'!A1", "Overview")</f>
        <v>Overview</v>
      </c>
      <c r="C3" s="202"/>
      <c r="D3" s="202"/>
      <c r="E3" s="202"/>
      <c r="F3" s="202"/>
      <c r="G3" s="202"/>
      <c r="H3" s="202"/>
      <c r="I3" s="202"/>
      <c r="J3" s="202"/>
      <c r="K3" s="202"/>
      <c r="L3" s="202"/>
    </row>
    <row r="4" spans="1:12" ht="20.100000000000001" customHeight="1" x14ac:dyDescent="0.2">
      <c r="A4" s="16" t="str">
        <f>HYPERLINK("#'Results'!A1", "Results")</f>
        <v>Results</v>
      </c>
    </row>
    <row r="7" spans="1:12" ht="20.100000000000001" customHeight="1" x14ac:dyDescent="0.2">
      <c r="A7" s="19" t="s">
        <v>67</v>
      </c>
    </row>
    <row r="8" spans="1:12" ht="20.100000000000001" customHeight="1" x14ac:dyDescent="0.2">
      <c r="A8" s="16" t="str">
        <f>HYPERLINK("#'Input - Site'!A1", "Site")</f>
        <v>Site</v>
      </c>
    </row>
    <row r="9" spans="1:12" ht="20.100000000000001" customHeight="1" x14ac:dyDescent="0.2">
      <c r="A9" s="16" t="str">
        <f>HYPERLINK("#'Input - Fuel'!A1", "Fuel")</f>
        <v>Fuel</v>
      </c>
    </row>
    <row r="10" spans="1:12" ht="20.100000000000001" customHeight="1" x14ac:dyDescent="0.2">
      <c r="A10" s="16" t="str">
        <f>HYPERLINK("#'Input - Fertiliser'!A1", "Fertiliser")</f>
        <v>Fertiliser</v>
      </c>
    </row>
    <row r="11" spans="1:12" ht="20.100000000000001" customHeight="1" x14ac:dyDescent="0.2">
      <c r="A11" s="16" t="str">
        <f>HYPERLINK("#'Input - Farm Inputs'!A1", "Farm Inputs")</f>
        <v>Farm Inputs</v>
      </c>
    </row>
    <row r="12" spans="1:12" ht="20.100000000000001" customHeight="1" x14ac:dyDescent="0.2">
      <c r="A12" s="16" t="str">
        <f>HYPERLINK("#'Input - Livestock purchases'!A1", "Livestock purchases")</f>
        <v>Livestock purchases</v>
      </c>
    </row>
    <row r="13" spans="1:12" ht="20.100000000000001" customHeight="1" x14ac:dyDescent="0.2">
      <c r="A13" s="16" t="str">
        <f>HYPERLINK("#'Input - Freight'!A1", "Freight")</f>
        <v>Freight</v>
      </c>
    </row>
    <row r="14" spans="1:12" ht="20.100000000000001" customHeight="1" x14ac:dyDescent="0.2">
      <c r="A14" s="16" t="str">
        <f>HYPERLINK("#'Input - Solid waste'!A1", "Solid waste")</f>
        <v>Solid waste</v>
      </c>
    </row>
    <row r="15" spans="1:12" ht="20.100000000000001" customHeight="1" x14ac:dyDescent="0.2">
      <c r="A15" s="16" t="str">
        <f>HYPERLINK("#'Input - Manure sent off-site'!A1", "Manure sent off-site")</f>
        <v>Manure sent off-site</v>
      </c>
    </row>
    <row r="16" spans="1:12" ht="20.100000000000001" customHeight="1" x14ac:dyDescent="0.2">
      <c r="A16" s="16" t="str">
        <f>HYPERLINK("#'Input - Electricity'!A1", "Electricity")</f>
        <v>Electricity</v>
      </c>
    </row>
    <row r="19" spans="1:1" ht="20.100000000000001" customHeight="1" x14ac:dyDescent="0.2">
      <c r="A19" s="21" t="s">
        <v>77</v>
      </c>
    </row>
    <row r="20" spans="1:1" ht="20.100000000000001" customHeight="1" x14ac:dyDescent="0.2">
      <c r="A20" s="16" t="str">
        <f>HYPERLINK("#'15 Scope 3'!A1", "15 Scope 3")</f>
        <v>15 Scope 3</v>
      </c>
    </row>
    <row r="21" spans="1:1" ht="20.100000000000001" customHeight="1" x14ac:dyDescent="0.2">
      <c r="A21" s="16" t="str">
        <f>HYPERLINK("#'10.1.1-2 Solid waste treatment'!A1", "10.1.1-2 Solid waste treatment")</f>
        <v>10.1.1-2 Solid waste treatment</v>
      </c>
    </row>
    <row r="22" spans="1:1" ht="20.100000000000001" customHeight="1" x14ac:dyDescent="0.2">
      <c r="A22" s="16" t="str">
        <f>HYPERLINK("#'Calcs - Manure sent off-site'!A1", "Calcs - Manure sent off-site")</f>
        <v>Calcs - Manure sent off-site</v>
      </c>
    </row>
    <row r="23" spans="1:1" ht="20.100000000000001" customHeight="1" x14ac:dyDescent="0.2">
      <c r="A23" s="16" t="str">
        <f>HYPERLINK("#'8.1.1.1-2 Transport fuel'!A1", "8.1.1.1-2 Transport fuel")</f>
        <v>8.1.1.1-2 Transport fuel</v>
      </c>
    </row>
    <row r="24" spans="1:1" ht="20.100000000000001" customHeight="1" x14ac:dyDescent="0.2">
      <c r="A24" s="16" t="str">
        <f>HYPERLINK("#'8.2.1.1-2 Stationary fuel'!A1", "8.2.1.1-2 Stationary fuel")</f>
        <v>8.2.1.1-2 Stationary fuel</v>
      </c>
    </row>
    <row r="27" spans="1:1" ht="20.100000000000001" customHeight="1" x14ac:dyDescent="0.2">
      <c r="A27" s="213" t="s">
        <v>78</v>
      </c>
    </row>
    <row r="28" spans="1:1" ht="20.100000000000001" customHeight="1" x14ac:dyDescent="0.2">
      <c r="A28" s="16" t="str">
        <f>HYPERLINK("#'Constants - Scope 3'!A1", "Constants - Scope 3")</f>
        <v>Constants - Scope 3</v>
      </c>
    </row>
    <row r="29" spans="1:1" ht="20.100000000000001" customHeight="1" x14ac:dyDescent="0.2">
      <c r="A29" s="16" t="str">
        <f>HYPERLINK("#'Constants - Solid Waste'!A1", "Constants - Solid Waste")</f>
        <v>Constants - Solid Waste</v>
      </c>
    </row>
    <row r="30" spans="1:1" ht="20.100000000000001" customHeight="1" x14ac:dyDescent="0.2">
      <c r="A30" s="16" t="str">
        <f>HYPERLINK("#'Constants - Fuel'!A1", "Constants - Fuel")</f>
        <v>Constants - Fuel</v>
      </c>
    </row>
    <row r="31" spans="1:1" ht="20.100000000000001" customHeight="1" x14ac:dyDescent="0.2">
      <c r="A31" s="16" t="str">
        <f>HYPERLINK("#'Constants - Poultry'!A1", "Constants - Poultry")</f>
        <v>Constants - Poultry</v>
      </c>
    </row>
    <row r="32" spans="1:1" ht="20.100000000000001" customHeight="1" x14ac:dyDescent="0.2">
      <c r="A32" s="16" t="str">
        <f>HYPERLINK("#'Constants - Swine'!A1", "Constants - Swine")</f>
        <v>Constants - Swine</v>
      </c>
    </row>
    <row r="33" spans="1:1" ht="20.100000000000001" customHeight="1" x14ac:dyDescent="0.2">
      <c r="A33" s="16" t="str">
        <f>HYPERLINK("#'Constants - Dairy'!A1", "Constants - Dairy")</f>
        <v>Constants - Dairy</v>
      </c>
    </row>
    <row r="34" spans="1:1" ht="20.100000000000001" customHeight="1" x14ac:dyDescent="0.2">
      <c r="A34" s="16" t="str">
        <f>HYPERLINK("#'Constants - Pasture Beef'!A1", "Constants - Pasture Beef")</f>
        <v>Constants - Pasture Beef</v>
      </c>
    </row>
    <row r="35" spans="1:1" ht="20.100000000000001" customHeight="1" x14ac:dyDescent="0.2">
      <c r="A35" s="16" t="str">
        <f>HYPERLINK("#'Constants - Common Livestock'!A1", "Constants - Common Livestock")</f>
        <v>Constants - Common Livestock</v>
      </c>
    </row>
    <row r="36" spans="1:1" ht="20.100000000000001" customHeight="1" x14ac:dyDescent="0.2">
      <c r="A36" s="16" t="str">
        <f>HYPERLINK("#'Constants - Fertiliser'!A1", "Constants - Fertiliser")</f>
        <v>Constants - Fertiliser</v>
      </c>
    </row>
    <row r="37" spans="1:1" ht="20.100000000000001" customHeight="1" x14ac:dyDescent="0.2">
      <c r="A37" s="16" t="str">
        <f>HYPERLINK("#'Constants - Electricity'!A1", "Constants - Electricity")</f>
        <v>Constants - Electricity</v>
      </c>
    </row>
    <row r="38" spans="1:1" ht="20.100000000000001" customHeight="1" x14ac:dyDescent="0.2">
      <c r="A38" s="16" t="str">
        <f>HYPERLINK("#'Constants - Common'!A1", "Constants - Common")</f>
        <v>Constants - Common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A1:L38"/>
  <sheetViews>
    <sheetView showGridLines="0" topLeftCell="A6" zoomScaleNormal="100" workbookViewId="0">
      <selection activeCell="A20" sqref="A20"/>
    </sheetView>
  </sheetViews>
  <sheetFormatPr defaultRowHeight="20.100000000000001" customHeight="1" x14ac:dyDescent="0.2"/>
  <cols>
    <col min="1" max="1" width="30.5703125" customWidth="1"/>
    <col min="2" max="2" width="4.5703125" customWidth="1"/>
    <col min="3" max="3" width="4.5703125" style="8" customWidth="1"/>
    <col min="4" max="4" width="72.7109375" style="8" customWidth="1"/>
    <col min="5" max="11" width="30.5703125" style="8" customWidth="1"/>
    <col min="12" max="12" width="4.5703125" style="8" customWidth="1"/>
  </cols>
  <sheetData>
    <row r="1" spans="1:12" s="1" customFormat="1" ht="30" customHeight="1" x14ac:dyDescent="0.35">
      <c r="A1" s="37" t="e" vm="1">
        <v>#VALUE!</v>
      </c>
      <c r="C1" s="201" t="s">
        <v>827</v>
      </c>
    </row>
    <row r="2" spans="1:12" s="2" customFormat="1" ht="20.100000000000001" customHeight="1" x14ac:dyDescent="0.2">
      <c r="A2"/>
    </row>
    <row r="3" spans="1:12" ht="20.100000000000001" customHeight="1" x14ac:dyDescent="0.2">
      <c r="A3" s="16" t="str">
        <f>HYPERLINK("#'Overview'!A1", "Overview")</f>
        <v>Overview</v>
      </c>
      <c r="C3" s="202"/>
      <c r="D3" s="202"/>
      <c r="E3" s="202"/>
      <c r="F3" s="202"/>
      <c r="G3" s="202"/>
      <c r="H3" s="202"/>
      <c r="I3" s="202"/>
      <c r="J3" s="202"/>
      <c r="K3" s="202"/>
      <c r="L3" s="202"/>
    </row>
    <row r="4" spans="1:12" ht="20.100000000000001" customHeight="1" x14ac:dyDescent="0.2">
      <c r="A4" s="212" t="str">
        <f>HYPERLINK("#'Results'!A1", "Results")</f>
        <v>Results</v>
      </c>
    </row>
    <row r="5" spans="1:12" ht="20.100000000000001" customHeight="1" x14ac:dyDescent="0.2">
      <c r="D5" s="9" t="s">
        <v>828</v>
      </c>
      <c r="E5" s="203"/>
      <c r="F5" s="203"/>
      <c r="G5" s="203"/>
      <c r="H5" s="9"/>
      <c r="I5" s="9"/>
      <c r="J5" s="9"/>
    </row>
    <row r="6" spans="1:12" ht="20.100000000000001" customHeight="1" x14ac:dyDescent="0.25">
      <c r="D6" s="204"/>
      <c r="E6" s="205"/>
      <c r="F6" s="205"/>
      <c r="G6" s="205"/>
      <c r="H6" s="203"/>
      <c r="I6" s="138"/>
      <c r="J6" s="138"/>
    </row>
    <row r="7" spans="1:12" ht="20.100000000000001" customHeight="1" x14ac:dyDescent="0.2">
      <c r="A7" s="19" t="s">
        <v>67</v>
      </c>
      <c r="D7" s="86" t="s">
        <v>829</v>
      </c>
      <c r="E7" s="101"/>
      <c r="F7" s="87"/>
      <c r="G7" s="138"/>
      <c r="H7" s="138"/>
      <c r="I7" s="138"/>
      <c r="J7" s="138"/>
    </row>
    <row r="8" spans="1:12" ht="20.100000000000001" customHeight="1" x14ac:dyDescent="0.2">
      <c r="A8" s="16" t="str">
        <f>HYPERLINK("#'Input - Site'!A1", "Site")</f>
        <v>Site</v>
      </c>
      <c r="D8" s="138"/>
      <c r="E8" s="138"/>
      <c r="F8" s="138"/>
      <c r="G8" s="138"/>
      <c r="H8" s="138"/>
      <c r="I8" s="138"/>
      <c r="J8" s="138"/>
    </row>
    <row r="9" spans="1:12" ht="20.100000000000001" customHeight="1" x14ac:dyDescent="0.2">
      <c r="A9" s="16" t="str">
        <f>HYPERLINK("#'Input - Fuel'!A1", "Fuel")</f>
        <v>Fuel</v>
      </c>
      <c r="D9" s="206" t="s">
        <v>830</v>
      </c>
      <c r="E9" s="206" t="s">
        <v>831</v>
      </c>
      <c r="F9" s="206" t="s">
        <v>832</v>
      </c>
      <c r="G9" s="206"/>
    </row>
    <row r="10" spans="1:12" ht="20.100000000000001" customHeight="1" x14ac:dyDescent="0.2">
      <c r="A10" s="16" t="str">
        <f>HYPERLINK("#'Input - Fertiliser'!A1", "Fertiliser")</f>
        <v>Fertiliser</v>
      </c>
      <c r="D10" s="8" t="s">
        <v>950</v>
      </c>
      <c r="E10" s="207" t="s">
        <v>845</v>
      </c>
      <c r="F10" s="207" t="s">
        <v>845</v>
      </c>
      <c r="G10" s="13" t="s">
        <v>833</v>
      </c>
    </row>
    <row r="11" spans="1:12" ht="20.100000000000001" customHeight="1" x14ac:dyDescent="0.2">
      <c r="A11" s="16" t="str">
        <f>HYPERLINK("#'Input - Farm Inputs'!A1", "Farm Inputs")</f>
        <v>Farm Inputs</v>
      </c>
      <c r="D11" s="208" t="s">
        <v>320</v>
      </c>
      <c r="E11" s="207">
        <f>VEERG_15_1_1_1__1_EmissionsFromPurchasedLivestock_BeefCattle_Result_Method1</f>
        <v>1052.5</v>
      </c>
      <c r="F11" s="207">
        <f>VEERG_15_1_1_1__1_EmissionsFromPurchasedLivestock_BeefCattle_Result_Method2</f>
        <v>1014.5</v>
      </c>
      <c r="G11" s="13" t="s">
        <v>833</v>
      </c>
    </row>
    <row r="12" spans="1:12" ht="20.100000000000001" customHeight="1" x14ac:dyDescent="0.2">
      <c r="A12" s="16" t="str">
        <f>HYPERLINK("#'Input - Livestock purchases'!A1", "Livestock purchases")</f>
        <v>Livestock purchases</v>
      </c>
      <c r="D12" s="208" t="s">
        <v>336</v>
      </c>
      <c r="E12" s="207">
        <f>VEERG_15_1_1_1__1_EmissionsFromPurchasedLivestock_DairyCattle_Result_Method1</f>
        <v>295.47000000000003</v>
      </c>
      <c r="F12" s="207">
        <f>VEERG_15_1_1_1__1_EmissionsFromPurchasedLivestock_DairyCattle_Result_Method2</f>
        <v>415.625</v>
      </c>
      <c r="G12" s="13" t="s">
        <v>833</v>
      </c>
    </row>
    <row r="13" spans="1:12" ht="20.100000000000001" customHeight="1" x14ac:dyDescent="0.2">
      <c r="A13" s="16" t="str">
        <f>HYPERLINK("#'Input - Freight'!A1", "Freight")</f>
        <v>Freight</v>
      </c>
      <c r="D13" s="208" t="s">
        <v>537</v>
      </c>
      <c r="E13" s="207">
        <f>VEERG_15_1_1_1__1_EmissionsFromPurchasedLivestock_Pigs_Result_Method1</f>
        <v>127.08800000000001</v>
      </c>
      <c r="F13" s="207">
        <f>VEERG_15_1_1_1__1_EmissionsFromPurchasedLivestock_Pigs_Result_Method2</f>
        <v>73.38000000000001</v>
      </c>
      <c r="G13" s="13" t="s">
        <v>833</v>
      </c>
    </row>
    <row r="14" spans="1:12" ht="20.100000000000001" customHeight="1" x14ac:dyDescent="0.2">
      <c r="A14" s="16" t="str">
        <f>HYPERLINK("#'Input - Solid waste'!A1", "Solid waste")</f>
        <v>Solid waste</v>
      </c>
      <c r="D14" s="208" t="s">
        <v>563</v>
      </c>
      <c r="E14" s="207">
        <f>VEERG_15_1_1_1__1_EmissionsFromPurchasedLivestock_Poultry_Result_Method1</f>
        <v>0.36720000000000003</v>
      </c>
      <c r="F14" s="207">
        <f>VEERG_15_1_1_1__1_EmissionsFromPurchasedLivestock_Poultry_Result_Method2</f>
        <v>0.35940000000000005</v>
      </c>
      <c r="G14" s="13" t="s">
        <v>833</v>
      </c>
    </row>
    <row r="15" spans="1:12" ht="20.100000000000001" customHeight="1" x14ac:dyDescent="0.2">
      <c r="A15" s="16" t="str">
        <f>HYPERLINK("#'Input - Manure sent off-site'!A1", "Manure sent off-site")</f>
        <v>Manure sent off-site</v>
      </c>
      <c r="C15" s="209"/>
      <c r="D15" s="8" t="s">
        <v>951</v>
      </c>
      <c r="E15" s="207">
        <f>VEERG_15_2_1_1__1_EmissionsFromPurchasedFeed_Result_Method1</f>
        <v>1.1406520000000002</v>
      </c>
      <c r="F15" s="207">
        <f>VEERG_15_2_1_1__1_EmissionsFromPurchasedFeed_Result_Method2</f>
        <v>0.86778000000000011</v>
      </c>
      <c r="G15" s="13" t="s">
        <v>833</v>
      </c>
    </row>
    <row r="16" spans="1:12" ht="20.100000000000001" customHeight="1" x14ac:dyDescent="0.2">
      <c r="A16" s="16" t="str">
        <f>HYPERLINK("#'Input - Electricity'!A1", "Electricity")</f>
        <v>Electricity</v>
      </c>
      <c r="C16" s="209"/>
      <c r="D16" s="8" t="s">
        <v>952</v>
      </c>
      <c r="E16" s="207">
        <f>VEERG_15_3_1_1__1_EmissionsFromPurchasedMineralSupplements_Result_Method1</f>
        <v>0.1789</v>
      </c>
      <c r="F16" s="207">
        <f>VEERG_15_3_1_1__1_EmissionsFromPurchasedMineralSupplements_Result_Method2</f>
        <v>0.16</v>
      </c>
      <c r="G16" s="13" t="s">
        <v>833</v>
      </c>
    </row>
    <row r="17" spans="1:8" ht="20.100000000000001" customHeight="1" x14ac:dyDescent="0.2">
      <c r="D17" s="8" t="s">
        <v>953</v>
      </c>
      <c r="E17" s="207">
        <f>VEERG_15_4_1_1__2_EmissionsFromPurchasedFertiliserComponentsVariation_Result_Method1</f>
        <v>66.611033520000007</v>
      </c>
      <c r="F17" s="207">
        <f>VEERG_15_4_1_1__2_EmissionsFromPurchasedFertiliserComponentsVariation_Result_Method2</f>
        <v>65.023033519999998</v>
      </c>
      <c r="G17" s="13" t="s">
        <v>833</v>
      </c>
    </row>
    <row r="18" spans="1:8" ht="20.100000000000001" customHeight="1" x14ac:dyDescent="0.2">
      <c r="D18" s="8" t="s">
        <v>954</v>
      </c>
      <c r="E18" s="207">
        <f>VEERG_15_5_1_1__1_EmissionsFromPurchasedAgrichemicals_Result_Method1</f>
        <v>7.5159999999999991</v>
      </c>
      <c r="F18" s="207">
        <f>VEERG_15_5_1_1__1_EmissionsFromPurchasedAgrichemicals_Result_Method2</f>
        <v>7.4959999999999996</v>
      </c>
      <c r="G18" s="13" t="s">
        <v>833</v>
      </c>
    </row>
    <row r="19" spans="1:8" ht="20.100000000000001" customHeight="1" x14ac:dyDescent="0.2">
      <c r="A19" s="21" t="s">
        <v>77</v>
      </c>
      <c r="D19" s="8" t="s">
        <v>955</v>
      </c>
      <c r="E19" s="207">
        <f>VEERG_15_6_1_1__1_EmissionsFromPurchasedLime_Result_Method1</f>
        <v>1.6553999999999999E-2</v>
      </c>
      <c r="F19" s="207">
        <f>VEERG_15_6_1_1__1_EmissionsFromPurchasedLime_Result_Method2</f>
        <v>1.4400000000000001E-2</v>
      </c>
      <c r="G19" s="13" t="s">
        <v>833</v>
      </c>
    </row>
    <row r="20" spans="1:8" ht="20.100000000000001" customHeight="1" x14ac:dyDescent="0.2">
      <c r="A20" s="16" t="str">
        <f>HYPERLINK("#'15 Scope 3'!A1", "15 Scope 3")</f>
        <v>15 Scope 3</v>
      </c>
      <c r="D20" s="8" t="s">
        <v>956</v>
      </c>
      <c r="E20" s="207" t="str">
        <f>VEERG_15_7_1_1__1_EmissionsFromPurchasedServices_Result_Method1</f>
        <v>No data</v>
      </c>
      <c r="F20" s="207">
        <f>VEERG_15_7_1_1__1_EmissionsFromPurchasedServices_Result_Method2</f>
        <v>42</v>
      </c>
      <c r="G20" s="13" t="s">
        <v>833</v>
      </c>
      <c r="H20" s="209"/>
    </row>
    <row r="21" spans="1:8" ht="20.100000000000001" customHeight="1" x14ac:dyDescent="0.2">
      <c r="A21" s="16" t="str">
        <f>HYPERLINK("#'10.1.1-2 Solid waste treatment'!A1", "10.1.1-2 Solid waste treatment")</f>
        <v>10.1.1-2 Solid waste treatment</v>
      </c>
      <c r="D21" s="8" t="s">
        <v>957</v>
      </c>
      <c r="E21" s="207">
        <f>VEERG_15_8_1_1__1_EmissionsFromPurchasedPackaging_Result_Method1</f>
        <v>7.44</v>
      </c>
      <c r="F21" s="207">
        <f>VEERG_15_8_1_1__1_EmissionsFromPurchasedPackaging_Result_Method2</f>
        <v>6</v>
      </c>
      <c r="G21" s="13" t="s">
        <v>833</v>
      </c>
    </row>
    <row r="22" spans="1:8" ht="20.100000000000001" customHeight="1" x14ac:dyDescent="0.2">
      <c r="A22" s="16" t="str">
        <f>HYPERLINK("#'Calcs - Manure sent off-site'!A1", "Calcs - Manure sent off-site")</f>
        <v>Calcs - Manure sent off-site</v>
      </c>
      <c r="D22" s="8" t="s">
        <v>958</v>
      </c>
      <c r="E22" s="207" t="str">
        <f>VEERG_15_9_1_1__1_EmissionsFromPurchasedGrowMedia_Result_Method1</f>
        <v>No data</v>
      </c>
      <c r="F22" s="207">
        <f>VEERG_15_9_1_1__1_EmissionsFromPurchasedGrowMedia_Result_Method2</f>
        <v>40.200000000000003</v>
      </c>
      <c r="G22" s="13" t="s">
        <v>833</v>
      </c>
    </row>
    <row r="23" spans="1:8" ht="20.100000000000001" customHeight="1" x14ac:dyDescent="0.2">
      <c r="A23" s="16" t="str">
        <f>HYPERLINK("#'8.1.1.1-2 Transport fuel'!A1", "8.1.1.1-2 Transport fuel")</f>
        <v>8.1.1.1-2 Transport fuel</v>
      </c>
      <c r="D23" s="8" t="s">
        <v>959</v>
      </c>
      <c r="E23" s="207" t="s">
        <v>845</v>
      </c>
      <c r="F23" s="207" t="s">
        <v>845</v>
      </c>
      <c r="G23" s="13" t="s">
        <v>833</v>
      </c>
    </row>
    <row r="24" spans="1:8" ht="20.100000000000001" customHeight="1" x14ac:dyDescent="0.2">
      <c r="A24" s="16" t="str">
        <f>HYPERLINK("#'8.2.1.1-2 Stationary fuel'!A1", "8.2.1.1-2 Stationary fuel")</f>
        <v>8.2.1.1-2 Stationary fuel</v>
      </c>
      <c r="D24" s="208" t="s">
        <v>371</v>
      </c>
      <c r="E24" s="207">
        <f>VEERG_15_10_1_1__1_OtherPurchasedGoodsAndServices_CleaningChemicals_Result_Method1</f>
        <v>0.50509999999999999</v>
      </c>
      <c r="F24" s="207">
        <f>VEERG_15_10_1_1__1_OtherPurchasedGoodsAndServices_CleaningChemicals_Result_Method2</f>
        <v>2.73</v>
      </c>
      <c r="G24" s="13" t="s">
        <v>833</v>
      </c>
    </row>
    <row r="25" spans="1:8" ht="20.100000000000001" customHeight="1" x14ac:dyDescent="0.2">
      <c r="D25" s="208" t="s">
        <v>372</v>
      </c>
      <c r="E25" s="207">
        <f>VEERG_15_10_1_1__1_OtherPurchasedGoodsAndServices_PharmacyChemicals_Result_Method1</f>
        <v>1.5636000000000001E-2</v>
      </c>
      <c r="F25" s="207">
        <f>VEERG_15_10_1_1__1_OtherPurchasedGoodsAndServices_PharmacyChemicals_Result_Method2</f>
        <v>1.3400000000000002E-2</v>
      </c>
      <c r="G25" s="13" t="s">
        <v>833</v>
      </c>
    </row>
    <row r="26" spans="1:8" ht="20.100000000000001" customHeight="1" x14ac:dyDescent="0.2">
      <c r="D26" s="208" t="s">
        <v>407</v>
      </c>
      <c r="E26" s="207">
        <f>VEERG_15_10_1_1__1_OtherPurchasedGoodsAndServices_Seed_Result_Method1</f>
        <v>0.84389999999999998</v>
      </c>
      <c r="F26" s="207">
        <f>VEERG_15_10_1_1__1_OtherPurchasedGoodsAndServices_Seed_Result_Method2</f>
        <v>0.71420000000000006</v>
      </c>
      <c r="G26" s="13" t="s">
        <v>833</v>
      </c>
    </row>
    <row r="27" spans="1:8" ht="20.100000000000001" customHeight="1" x14ac:dyDescent="0.2">
      <c r="A27" s="213" t="s">
        <v>78</v>
      </c>
      <c r="D27" s="208" t="s">
        <v>701</v>
      </c>
      <c r="E27" s="207">
        <f>VEERG_15_10_1_1__1_OtherPurchasedGoodsAndServices_Misc_Result_Method1</f>
        <v>2.9531000000000005</v>
      </c>
      <c r="F27" s="207">
        <f>VEERG_15_10_1_1__1_OtherPurchasedGoodsAndServices_Misc_Result_Method2</f>
        <v>8.5860000000000006E-2</v>
      </c>
      <c r="G27" s="13" t="s">
        <v>833</v>
      </c>
    </row>
    <row r="28" spans="1:8" ht="20.100000000000001" customHeight="1" x14ac:dyDescent="0.2">
      <c r="A28" s="16" t="str">
        <f>HYPERLINK("#'Constants - Scope 3'!A1", "Constants - Scope 3")</f>
        <v>Constants - Scope 3</v>
      </c>
      <c r="D28" s="208" t="s">
        <v>702</v>
      </c>
      <c r="E28" s="207" t="str">
        <f>VEERG_15_10_1_1__1_OtherPurchasedGoodsAndServices_Uncategorised_Result_Method1</f>
        <v>No data</v>
      </c>
      <c r="F28" s="207">
        <f>VEERG_15_10_1_1__1_OtherPurchasedGoodsAndServices_Uncategorised_Result_Method2</f>
        <v>4000</v>
      </c>
      <c r="G28" s="13" t="s">
        <v>833</v>
      </c>
    </row>
    <row r="29" spans="1:8" ht="20.100000000000001" customHeight="1" x14ac:dyDescent="0.2">
      <c r="A29" s="16" t="str">
        <f>HYPERLINK("#'Constants - Solid Waste'!A1", "Constants - Solid Waste")</f>
        <v>Constants - Solid Waste</v>
      </c>
      <c r="D29" s="8" t="s">
        <v>960</v>
      </c>
      <c r="E29" s="207">
        <f>VEERG_15_11_1_1__1_TotalUpstreamEmissionsFromFuel_Result</f>
        <v>0.13617600000000002</v>
      </c>
      <c r="F29" s="207">
        <f>E29</f>
        <v>0.13617600000000002</v>
      </c>
      <c r="G29" s="13" t="s">
        <v>833</v>
      </c>
    </row>
    <row r="30" spans="1:8" ht="20.100000000000001" customHeight="1" x14ac:dyDescent="0.2">
      <c r="A30" s="16" t="str">
        <f>HYPERLINK("#'Constants - Fuel'!A1", "Constants - Fuel")</f>
        <v>Constants - Fuel</v>
      </c>
      <c r="D30" s="8" t="s">
        <v>961</v>
      </c>
      <c r="E30" s="207">
        <f>VEERG_15_12_1_1__1_UpstreamPurchasedElectricityLocationBased_Result</f>
        <v>0.03</v>
      </c>
      <c r="F30" s="207">
        <f>E30</f>
        <v>0.03</v>
      </c>
      <c r="G30" s="13" t="s">
        <v>833</v>
      </c>
    </row>
    <row r="31" spans="1:8" ht="20.100000000000001" customHeight="1" x14ac:dyDescent="0.2">
      <c r="A31" s="16" t="str">
        <f>HYPERLINK("#'Constants - Poultry'!A1", "Constants - Poultry")</f>
        <v>Constants - Poultry</v>
      </c>
      <c r="D31" s="8" t="s">
        <v>962</v>
      </c>
      <c r="E31" s="207">
        <f>VEERG_15_12_1_2__1_UpstreamPurchasedElectricityMarketBasedVariation_Result</f>
        <v>1.5</v>
      </c>
      <c r="F31" s="207">
        <f>E31</f>
        <v>1.5</v>
      </c>
      <c r="G31" s="13" t="s">
        <v>833</v>
      </c>
    </row>
    <row r="32" spans="1:8" ht="20.100000000000001" customHeight="1" x14ac:dyDescent="0.2">
      <c r="A32" s="16" t="str">
        <f>HYPERLINK("#'Constants - Swine'!A1", "Constants - Swine")</f>
        <v>Constants - Swine</v>
      </c>
      <c r="D32" s="8" t="s">
        <v>963</v>
      </c>
      <c r="E32" s="207">
        <f>VEERG_15_13_1_1__1_EmissionsFromManureSentOffSite_Result_Method1_CO2e</f>
        <v>3.7936642857142857</v>
      </c>
      <c r="F32" s="207">
        <f>VEERG_15_13_1_1__1_EmissionsFromManureSentOffSite_Result_Method2_CO2e</f>
        <v>7.5873285714285714</v>
      </c>
      <c r="G32" s="13" t="s">
        <v>833</v>
      </c>
    </row>
    <row r="33" spans="1:7" ht="20.100000000000001" customHeight="1" x14ac:dyDescent="0.2">
      <c r="A33" s="16" t="str">
        <f>HYPERLINK("#'Constants - Dairy'!A1", "Constants - Dairy")</f>
        <v>Constants - Dairy</v>
      </c>
      <c r="D33" s="8" t="s">
        <v>964</v>
      </c>
      <c r="E33" s="207">
        <f>VEERG_10_1_1_1__1_EmissionsFromWasteManagement_Scope3_Result_Method1</f>
        <v>330.84210000000002</v>
      </c>
      <c r="F33" s="207">
        <f>E33</f>
        <v>330.84210000000002</v>
      </c>
      <c r="G33" s="13" t="s">
        <v>833</v>
      </c>
    </row>
    <row r="34" spans="1:7" ht="20.100000000000001" customHeight="1" x14ac:dyDescent="0.2">
      <c r="A34" s="16" t="str">
        <f>HYPERLINK("#'Constants - Pasture Beef'!A1", "Constants - Pasture Beef")</f>
        <v>Constants - Pasture Beef</v>
      </c>
      <c r="D34" s="8" t="s">
        <v>965</v>
      </c>
      <c r="E34" s="207" t="s">
        <v>845</v>
      </c>
      <c r="F34" s="207" t="s">
        <v>845</v>
      </c>
      <c r="G34" s="13" t="s">
        <v>833</v>
      </c>
    </row>
    <row r="35" spans="1:7" ht="20.100000000000001" customHeight="1" x14ac:dyDescent="0.2">
      <c r="A35" s="16" t="str">
        <f>HYPERLINK("#'Constants - Common Livestock'!A1", "Constants - Common Livestock")</f>
        <v>Constants - Common Livestock</v>
      </c>
      <c r="D35" s="208" t="s">
        <v>801</v>
      </c>
      <c r="E35" s="207" t="str">
        <f>VEERG_15_14_1_1__1_EmbeddedEmissionsFromUpstreamFreight_Incoming_Result_Method1</f>
        <v>No data</v>
      </c>
      <c r="F35" s="207">
        <f>VEERG_15_14_1_1__1_EmbeddedEmissionsFromUpstreamFreight_Incoming_Result_Method2</f>
        <v>129155</v>
      </c>
      <c r="G35" s="13" t="s">
        <v>833</v>
      </c>
    </row>
    <row r="36" spans="1:7" ht="20.100000000000001" customHeight="1" x14ac:dyDescent="0.2">
      <c r="A36" s="16" t="str">
        <f>HYPERLINK("#'Constants - Fertiliser'!A1", "Constants - Fertiliser")</f>
        <v>Constants - Fertiliser</v>
      </c>
      <c r="D36" s="208" t="s">
        <v>809</v>
      </c>
      <c r="E36" s="207" t="str">
        <f>VEERG_15_14_1_1__1_EmbeddedEmissionsFromUpstreamFreight_Outgoing_Result_Method1</f>
        <v>No data</v>
      </c>
      <c r="F36" s="207">
        <f>VEERG_15_14_1_1__1_EmbeddedEmissionsFromUpstreamFreight_Outgoing_Result_Method2</f>
        <v>16900</v>
      </c>
      <c r="G36" s="13" t="s">
        <v>833</v>
      </c>
    </row>
    <row r="37" spans="1:7" ht="20.100000000000001" customHeight="1" x14ac:dyDescent="0.2">
      <c r="A37" s="16" t="str">
        <f>HYPERLINK("#'Constants - Electricity'!A1", "Constants - Electricity")</f>
        <v>Constants - Electricity</v>
      </c>
      <c r="D37" s="60" t="s">
        <v>218</v>
      </c>
      <c r="E37" s="210">
        <f>SUM(E10:E36)</f>
        <v>1898.9480158057149</v>
      </c>
      <c r="F37" s="210">
        <f>SUM(F10:F36)</f>
        <v>152064.26467809142</v>
      </c>
      <c r="G37" s="166" t="s">
        <v>833</v>
      </c>
    </row>
    <row r="38" spans="1:7" ht="20.100000000000001" customHeight="1" x14ac:dyDescent="0.2">
      <c r="A38" s="16" t="str">
        <f>HYPERLINK("#'Constants - Common'!A1", "Constants - Common")</f>
        <v>Constants - Common</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B8F-2DA3-47D9-B0F6-5F323AEDC7C5}">
  <sheetPr>
    <tabColor theme="5" tint="-0.249977111117893"/>
  </sheetPr>
  <dimension ref="A1:AA160"/>
  <sheetViews>
    <sheetView showGridLines="0" topLeftCell="A2" zoomScaleNormal="100" workbookViewId="0">
      <selection activeCell="A38" sqref="A38"/>
    </sheetView>
  </sheetViews>
  <sheetFormatPr defaultColWidth="8" defaultRowHeight="20.100000000000001" customHeight="1" x14ac:dyDescent="0.2"/>
  <cols>
    <col min="1" max="1" width="26.85546875" style="18" customWidth="1"/>
    <col min="2" max="2" width="4.140625" style="4" customWidth="1"/>
    <col min="3" max="3" width="4.140625" style="7" customWidth="1"/>
    <col min="4" max="4" width="53.140625" style="7" customWidth="1"/>
    <col min="5" max="5" width="44.42578125" style="7" customWidth="1"/>
    <col min="6" max="11" width="25.140625" style="7" customWidth="1"/>
    <col min="12" max="25" width="25.140625" style="4" customWidth="1"/>
    <col min="26" max="27" width="8" style="4"/>
    <col min="28" max="16384" width="8" style="7"/>
  </cols>
  <sheetData>
    <row r="1" spans="1:24" s="4" customFormat="1" ht="30" customHeight="1" x14ac:dyDescent="0.35">
      <c r="A1" s="37" t="e" vm="1">
        <v>#VALUE!</v>
      </c>
      <c r="C1" s="93" t="s">
        <v>260</v>
      </c>
    </row>
    <row r="2" spans="1:24" s="4" customFormat="1" ht="20.100000000000001" customHeight="1" x14ac:dyDescent="0.2">
      <c r="A2"/>
      <c r="C2" s="2"/>
      <c r="D2" s="2"/>
      <c r="E2" s="2"/>
      <c r="F2" s="2"/>
      <c r="G2" s="2"/>
      <c r="H2" s="2"/>
      <c r="I2" s="2"/>
      <c r="J2" s="2"/>
    </row>
    <row r="3" spans="1:24" ht="20.100000000000001" customHeight="1" x14ac:dyDescent="0.2">
      <c r="A3" s="16" t="str">
        <f>HYPERLINK("#'Overview'!A1", "Overview")</f>
        <v>Overview</v>
      </c>
      <c r="C3" s="38"/>
      <c r="D3" s="38"/>
      <c r="E3" s="38"/>
      <c r="F3" s="38"/>
      <c r="G3" s="38"/>
      <c r="H3" s="38"/>
      <c r="I3" s="38"/>
      <c r="J3" s="38"/>
      <c r="K3" s="38"/>
      <c r="M3" s="6"/>
      <c r="N3" s="6"/>
      <c r="O3" s="6"/>
      <c r="P3" s="6"/>
      <c r="Q3" s="6"/>
      <c r="R3" s="6"/>
      <c r="S3" s="6"/>
      <c r="T3" s="6"/>
      <c r="U3" s="6"/>
      <c r="V3" s="6"/>
      <c r="W3" s="6"/>
      <c r="X3" s="6"/>
    </row>
    <row r="4" spans="1:24" ht="20.100000000000001" customHeight="1" x14ac:dyDescent="0.2">
      <c r="A4" s="16" t="str">
        <f>HYPERLINK("#'Results'!A1", "Results")</f>
        <v>Results</v>
      </c>
      <c r="C4" s="94"/>
      <c r="D4" s="94"/>
      <c r="E4" s="94"/>
      <c r="F4" s="94"/>
      <c r="G4" s="94"/>
      <c r="H4" s="94"/>
      <c r="I4" s="94"/>
      <c r="J4" s="94"/>
      <c r="K4" s="94"/>
    </row>
    <row r="5" spans="1:24" ht="20.100000000000001" customHeight="1" x14ac:dyDescent="0.2">
      <c r="A5"/>
      <c r="D5" s="9" t="s">
        <v>261</v>
      </c>
      <c r="N5" s="95"/>
    </row>
    <row r="6" spans="1:24" ht="20.100000000000001" customHeight="1" x14ac:dyDescent="0.2">
      <c r="A6"/>
      <c r="D6" s="96"/>
      <c r="N6" s="97"/>
    </row>
    <row r="7" spans="1:24" ht="20.100000000000001" customHeight="1" x14ac:dyDescent="0.2">
      <c r="A7" s="19" t="s">
        <v>67</v>
      </c>
      <c r="D7" s="8" t="s">
        <v>262</v>
      </c>
      <c r="E7" s="74" t="s">
        <v>263</v>
      </c>
      <c r="F7" s="63"/>
    </row>
    <row r="8" spans="1:24" ht="20.100000000000001" customHeight="1" x14ac:dyDescent="0.2">
      <c r="A8" s="42" t="str">
        <f>HYPERLINK("#'Input - Site'!A1", "Site")</f>
        <v>Site</v>
      </c>
      <c r="D8" s="98" t="s">
        <v>264</v>
      </c>
      <c r="E8" s="74" t="s">
        <v>265</v>
      </c>
    </row>
    <row r="9" spans="1:24" ht="20.100000000000001" customHeight="1" x14ac:dyDescent="0.2">
      <c r="A9" s="16" t="str">
        <f>HYPERLINK("#'Input - Fuel'!A1", "Fuel")</f>
        <v>Fuel</v>
      </c>
      <c r="N9" s="99"/>
    </row>
    <row r="10" spans="1:24" ht="20.100000000000001" customHeight="1" x14ac:dyDescent="0.2">
      <c r="A10" s="16" t="str">
        <f>HYPERLINK("#'Input - Fertiliser'!A1", "Fertiliser")</f>
        <v>Fertiliser</v>
      </c>
      <c r="D10" s="86" t="s">
        <v>266</v>
      </c>
      <c r="E10" s="100"/>
      <c r="F10" s="101"/>
      <c r="G10" s="87"/>
      <c r="N10" s="99"/>
    </row>
    <row r="11" spans="1:24" ht="20.100000000000001" customHeight="1" x14ac:dyDescent="0.2">
      <c r="A11" s="16" t="str">
        <f>HYPERLINK("#'Input - Farm Inputs'!A1", "Farm Inputs")</f>
        <v>Farm Inputs</v>
      </c>
      <c r="N11" s="102"/>
    </row>
    <row r="12" spans="1:24" ht="20.100000000000001" customHeight="1" x14ac:dyDescent="0.2">
      <c r="A12" s="16" t="str">
        <f>HYPERLINK("#'Input - Livestock purchases'!A1", "Livestock purchases")</f>
        <v>Livestock purchases</v>
      </c>
      <c r="D12" s="98" t="s">
        <v>267</v>
      </c>
      <c r="E12" s="103">
        <v>45292</v>
      </c>
      <c r="F12" s="63" t="s">
        <v>268</v>
      </c>
    </row>
    <row r="13" spans="1:24" ht="20.100000000000001" customHeight="1" x14ac:dyDescent="0.2">
      <c r="A13" s="16" t="str">
        <f>HYPERLINK("#'Input - Freight'!A1", "Freight")</f>
        <v>Freight</v>
      </c>
      <c r="D13" s="98" t="s">
        <v>269</v>
      </c>
      <c r="E13" s="104">
        <f>DATE(YEAR(X_Cell_Site_StartDate)+1,MONTH(X_Cell_Site_StartDate),DAY(X_Cell_Site_StartDate))-1</f>
        <v>45657</v>
      </c>
      <c r="F13" s="63" t="s">
        <v>270</v>
      </c>
      <c r="N13" s="105"/>
      <c r="O13" s="105"/>
    </row>
    <row r="14" spans="1:24" ht="20.100000000000001" customHeight="1" x14ac:dyDescent="0.2">
      <c r="A14" s="16" t="str">
        <f>HYPERLINK("#'Input - Solid waste'!A1", "Solid waste")</f>
        <v>Solid waste</v>
      </c>
      <c r="N14" s="105"/>
      <c r="O14" s="105"/>
    </row>
    <row r="15" spans="1:24" ht="20.100000000000001" customHeight="1" x14ac:dyDescent="0.2">
      <c r="A15" s="16" t="str">
        <f>HYPERLINK("#'Input - Manure sent off-site'!A1", "Manure sent off-site")</f>
        <v>Manure sent off-site</v>
      </c>
      <c r="N15" s="105"/>
      <c r="O15" s="105"/>
    </row>
    <row r="16" spans="1:24" ht="20.100000000000001" customHeight="1" x14ac:dyDescent="0.2">
      <c r="A16" s="16" t="str">
        <f>HYPERLINK("#'Input - Electricity'!A1", "Electricity")</f>
        <v>Electricity</v>
      </c>
      <c r="D16" s="9" t="s">
        <v>271</v>
      </c>
      <c r="N16" s="105"/>
      <c r="O16" s="105"/>
    </row>
    <row r="17" spans="1:25" ht="20.100000000000001" customHeight="1" x14ac:dyDescent="0.2">
      <c r="A17"/>
    </row>
    <row r="18" spans="1:25" ht="20.100000000000001" customHeight="1" x14ac:dyDescent="0.2">
      <c r="A18"/>
      <c r="D18" s="106" t="s">
        <v>272</v>
      </c>
      <c r="E18" s="40"/>
      <c r="F18" s="40"/>
      <c r="G18" s="41"/>
    </row>
    <row r="19" spans="1:25" ht="20.100000000000001" customHeight="1" x14ac:dyDescent="0.2">
      <c r="A19" s="21" t="s">
        <v>77</v>
      </c>
      <c r="D19" s="43" t="s">
        <v>273</v>
      </c>
      <c r="E19" s="44"/>
      <c r="F19" s="44"/>
      <c r="G19" s="45"/>
      <c r="N19" s="95"/>
    </row>
    <row r="20" spans="1:25" ht="20.100000000000001" customHeight="1" x14ac:dyDescent="0.2">
      <c r="A20" s="16" t="str">
        <f>HYPERLINK("#'15 Scope 3'!A1", "15 Scope 3")</f>
        <v>15 Scope 3</v>
      </c>
      <c r="D20" s="8"/>
      <c r="E20" s="107"/>
      <c r="F20" s="63"/>
      <c r="N20" s="97"/>
    </row>
    <row r="21" spans="1:25" ht="20.100000000000001" customHeight="1" x14ac:dyDescent="0.2">
      <c r="A21" s="16" t="str">
        <f>HYPERLINK("#'10.1.1-2 Solid waste treatment'!A1", "10.1.1-2 Solid waste treatment")</f>
        <v>10.1.1-2 Solid waste treatment</v>
      </c>
      <c r="D21" s="8" t="s">
        <v>274</v>
      </c>
      <c r="E21" s="47" t="s">
        <v>308</v>
      </c>
      <c r="F21" s="63" t="s">
        <v>191</v>
      </c>
    </row>
    <row r="22" spans="1:25" ht="20.100000000000001" customHeight="1" x14ac:dyDescent="0.2">
      <c r="A22" s="16" t="str">
        <f>HYPERLINK("#'Calcs - Manure sent off-site'!A1", "Calcs - Manure sent off-site")</f>
        <v>Calcs - Manure sent off-site</v>
      </c>
      <c r="D22" s="8" t="s">
        <v>275</v>
      </c>
      <c r="E22" s="47" t="s">
        <v>276</v>
      </c>
      <c r="F22" s="63" t="s">
        <v>191</v>
      </c>
      <c r="G22" s="8"/>
    </row>
    <row r="23" spans="1:25" ht="20.100000000000001" customHeight="1" x14ac:dyDescent="0.2">
      <c r="A23" s="16" t="str">
        <f>HYPERLINK("#'8.1.1.1-2 Transport fuel'!A1", "8.1.1.1-2 Transport fuel")</f>
        <v>8.1.1.1-2 Transport fuel</v>
      </c>
      <c r="D23" s="8" t="s">
        <v>745</v>
      </c>
      <c r="E23" s="47" t="s">
        <v>746</v>
      </c>
      <c r="F23" s="63" t="s">
        <v>191</v>
      </c>
    </row>
    <row r="24" spans="1:25" ht="20.100000000000001" customHeight="1" x14ac:dyDescent="0.2">
      <c r="A24" s="16" t="str">
        <f>HYPERLINK("#'8.2.1.1-2 Stationary fuel'!A1", "8.2.1.1-2 Stationary fuel")</f>
        <v>8.2.1.1-2 Stationary fuel</v>
      </c>
      <c r="D24" s="8" t="s">
        <v>16</v>
      </c>
      <c r="E24" s="74">
        <v>307.7</v>
      </c>
      <c r="F24" s="63" t="s">
        <v>747</v>
      </c>
    </row>
    <row r="25" spans="1:25" ht="20.100000000000001" customHeight="1" x14ac:dyDescent="0.2">
      <c r="A25"/>
      <c r="D25" s="8" t="s">
        <v>748</v>
      </c>
      <c r="E25" s="74">
        <v>18</v>
      </c>
      <c r="F25" s="63" t="s">
        <v>749</v>
      </c>
      <c r="N25" s="97"/>
    </row>
    <row r="26" spans="1:25" ht="20.100000000000001" customHeight="1" x14ac:dyDescent="0.2">
      <c r="A26"/>
      <c r="D26" s="8" t="s">
        <v>750</v>
      </c>
      <c r="E26" s="74">
        <v>599</v>
      </c>
      <c r="F26" s="63" t="s">
        <v>751</v>
      </c>
    </row>
    <row r="27" spans="1:25" ht="20.100000000000001" customHeight="1" x14ac:dyDescent="0.2">
      <c r="A27" s="213" t="s">
        <v>78</v>
      </c>
      <c r="D27" s="98" t="s">
        <v>752</v>
      </c>
      <c r="E27" s="74">
        <v>1326</v>
      </c>
      <c r="F27" s="63" t="s">
        <v>751</v>
      </c>
    </row>
    <row r="28" spans="1:25" ht="20.100000000000001" customHeight="1" x14ac:dyDescent="0.2">
      <c r="A28" s="16" t="str">
        <f>HYPERLINK("#'Constants - Scope 3'!A1", "Constants - Scope 3")</f>
        <v>Constants - Scope 3</v>
      </c>
      <c r="D28" s="8" t="s">
        <v>753</v>
      </c>
      <c r="E28" s="74">
        <v>7</v>
      </c>
      <c r="F28" s="63" t="s">
        <v>754</v>
      </c>
    </row>
    <row r="29" spans="1:25" ht="20.100000000000001" customHeight="1" x14ac:dyDescent="0.2">
      <c r="A29" s="16" t="str">
        <f>HYPERLINK("#'Constants - Solid Waste'!A1", "Constants - Solid Waste")</f>
        <v>Constants - Solid Waste</v>
      </c>
      <c r="D29" s="98" t="s">
        <v>755</v>
      </c>
      <c r="E29" s="49">
        <f>X_Cell_Site_TotalRainfall/X_Cell_Site_PotentialEvapotranspiration</f>
        <v>0.45173453996983409</v>
      </c>
      <c r="F29" s="63"/>
    </row>
    <row r="30" spans="1:25" ht="20.100000000000001" customHeight="1" x14ac:dyDescent="0.2">
      <c r="A30" s="16" t="str">
        <f>HYPERLINK("#'Constants - Fuel'!A1", "Constants - Fuel")</f>
        <v>Constants - Fuel</v>
      </c>
      <c r="D30" s="98" t="s">
        <v>44</v>
      </c>
      <c r="E30" s="49" t="str">
        <f>Common_InputFunctions.Utility_LookupItemFromMinMax(X_Cell_Site_TotalRainfall,Table_SourceData_RainfallZones[Min rainfall],Table_SourceData_RainfallZones[Max rainfall],Table_SourceData_RainfallZones[Rainfall Zone])</f>
        <v>Low rainfall</v>
      </c>
      <c r="G30" s="108"/>
      <c r="L30" s="109"/>
      <c r="M30" s="109"/>
      <c r="N30" s="109"/>
      <c r="O30" s="109"/>
      <c r="P30" s="109"/>
      <c r="Q30" s="109"/>
      <c r="R30" s="109"/>
      <c r="S30" s="109"/>
      <c r="T30" s="109"/>
      <c r="U30" s="109"/>
      <c r="V30" s="109"/>
      <c r="W30" s="109"/>
      <c r="X30" s="109"/>
      <c r="Y30" s="109"/>
    </row>
    <row r="31" spans="1:25" ht="20.100000000000001" customHeight="1" x14ac:dyDescent="0.2">
      <c r="A31" s="16" t="str">
        <f>HYPERLINK("#'Constants - Poultry'!A1", "Constants - Poultry")</f>
        <v>Constants - Poultry</v>
      </c>
      <c r="D31" s="8" t="s">
        <v>11</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07"/>
      <c r="L31" s="110"/>
      <c r="M31" s="110"/>
      <c r="N31" s="110"/>
      <c r="O31" s="110"/>
      <c r="P31" s="110"/>
      <c r="Q31" s="110"/>
      <c r="R31" s="110"/>
      <c r="S31" s="110"/>
      <c r="T31" s="110"/>
      <c r="U31" s="110"/>
      <c r="V31" s="110"/>
      <c r="W31" s="110"/>
      <c r="X31" s="110"/>
      <c r="Y31" s="110"/>
    </row>
    <row r="32" spans="1:25" ht="20.100000000000001" customHeight="1" x14ac:dyDescent="0.2">
      <c r="A32" s="16" t="str">
        <f>HYPERLINK("#'Constants - Swine'!A1", "Constants - Swine")</f>
        <v>Constants - Swine</v>
      </c>
      <c r="D32" s="8" t="s">
        <v>756</v>
      </c>
      <c r="E32" s="49" t="str">
        <f>Common_InputFunctions.Utility_LookupValueInTable(X_Cell_Site_ClimateZone,Table_SourceData_WetDryZones[Climate zone],Table_SourceData_WetDryZones[Wet or Dry Zone])</f>
        <v>Dry climate zone</v>
      </c>
      <c r="F32" s="8"/>
      <c r="G32" s="107"/>
      <c r="L32" s="110"/>
      <c r="M32" s="110"/>
      <c r="N32" s="110"/>
      <c r="O32" s="110"/>
      <c r="P32" s="110"/>
      <c r="Q32" s="110"/>
      <c r="R32" s="110"/>
      <c r="S32" s="110"/>
      <c r="T32" s="110"/>
      <c r="U32" s="110"/>
      <c r="V32" s="110"/>
      <c r="W32" s="110"/>
      <c r="X32" s="110"/>
      <c r="Y32" s="110"/>
    </row>
    <row r="33" spans="1:25" ht="20.100000000000001" customHeight="1" x14ac:dyDescent="0.2">
      <c r="A33" s="16" t="str">
        <f>HYPERLINK("#'Constants - Dairy'!A1", "Constants - Dairy")</f>
        <v>Constants - Dairy</v>
      </c>
      <c r="D33" s="8" t="s">
        <v>48</v>
      </c>
      <c r="E33" s="49" t="str">
        <f>Common_InputFunctions.Utility_LookupItemFromMinMax(X_Cell_Site_AverageTemperature,Table_SourceData_TemperatureZones[Min MAT],Table_SourceData_TemperatureZones[Max MAT],Table_SourceData_TemperatureZones[Temperature Zone])</f>
        <v>Temperate</v>
      </c>
      <c r="G33" s="111"/>
      <c r="L33" s="110"/>
      <c r="M33" s="110"/>
      <c r="N33" s="110"/>
      <c r="O33" s="110"/>
      <c r="P33" s="110"/>
      <c r="Q33" s="110"/>
      <c r="R33" s="110"/>
      <c r="S33" s="110"/>
      <c r="T33" s="110"/>
      <c r="U33" s="110"/>
      <c r="V33" s="110"/>
      <c r="W33" s="110"/>
      <c r="X33" s="110"/>
      <c r="Y33" s="110"/>
    </row>
    <row r="34" spans="1:25" ht="20.100000000000001" customHeight="1" x14ac:dyDescent="0.2">
      <c r="A34" s="16" t="str">
        <f>HYPERLINK("#'Constants - Pasture Beef'!A1", "Constants - Pasture Beef")</f>
        <v>Constants - Pasture Beef</v>
      </c>
      <c r="J34" s="112"/>
      <c r="K34" s="113"/>
      <c r="L34" s="110"/>
      <c r="M34" s="110"/>
      <c r="N34" s="110"/>
      <c r="O34" s="110"/>
      <c r="P34" s="110"/>
      <c r="Q34" s="110"/>
      <c r="R34" s="110"/>
      <c r="S34" s="110"/>
      <c r="T34" s="110"/>
      <c r="U34" s="110"/>
      <c r="V34" s="110"/>
      <c r="W34" s="110"/>
      <c r="X34" s="110"/>
      <c r="Y34" s="110"/>
    </row>
    <row r="35" spans="1:25" ht="20.100000000000001" customHeight="1" x14ac:dyDescent="0.2">
      <c r="A35" s="16" t="str">
        <f>HYPERLINK("#'Constants - Common Livestock'!A1", "Constants - Common Livestock")</f>
        <v>Constants - Common Livestock</v>
      </c>
      <c r="J35" s="112"/>
      <c r="K35" s="113"/>
      <c r="L35" s="110"/>
      <c r="M35" s="110"/>
      <c r="N35" s="110"/>
      <c r="O35" s="110"/>
      <c r="P35" s="110"/>
      <c r="Q35" s="110"/>
      <c r="R35" s="110"/>
      <c r="S35" s="110"/>
      <c r="T35" s="110"/>
      <c r="U35" s="110"/>
      <c r="V35" s="110"/>
      <c r="W35" s="110"/>
      <c r="X35" s="110"/>
      <c r="Y35" s="110"/>
    </row>
    <row r="36" spans="1:25" ht="20.100000000000001" customHeight="1" x14ac:dyDescent="0.2">
      <c r="A36" s="16" t="str">
        <f>HYPERLINK("#'Constants - Fertiliser'!A1", "Constants - Fertiliser")</f>
        <v>Constants - Fertiliser</v>
      </c>
      <c r="D36" s="114"/>
      <c r="E36" s="114"/>
      <c r="F36" s="115"/>
      <c r="G36" s="112"/>
      <c r="H36" s="112"/>
      <c r="I36" s="116"/>
      <c r="J36" s="112"/>
      <c r="K36" s="113"/>
      <c r="L36" s="110"/>
      <c r="M36" s="110"/>
      <c r="N36" s="110"/>
      <c r="O36" s="110"/>
      <c r="P36" s="110"/>
      <c r="Q36" s="110"/>
      <c r="R36" s="110"/>
      <c r="S36" s="110"/>
      <c r="T36" s="110"/>
      <c r="U36" s="110"/>
      <c r="V36" s="110"/>
      <c r="W36" s="110"/>
      <c r="X36" s="110"/>
      <c r="Y36" s="110"/>
    </row>
    <row r="37" spans="1:25" ht="20.100000000000001" customHeight="1" x14ac:dyDescent="0.2">
      <c r="A37" s="16" t="str">
        <f>HYPERLINK("#'Constants - Electricity'!A1", "Constants - Electricity")</f>
        <v>Constants - Electricity</v>
      </c>
      <c r="D37" s="114"/>
      <c r="E37" s="114"/>
      <c r="F37" s="115"/>
      <c r="G37" s="112"/>
      <c r="H37" s="112"/>
      <c r="I37" s="116"/>
      <c r="J37" s="112"/>
      <c r="K37" s="113"/>
      <c r="L37" s="110"/>
      <c r="M37" s="110"/>
      <c r="N37" s="110"/>
      <c r="O37" s="110"/>
      <c r="P37" s="110"/>
      <c r="Q37" s="110"/>
      <c r="R37" s="110"/>
      <c r="S37" s="110"/>
      <c r="T37" s="110"/>
      <c r="U37" s="110"/>
      <c r="V37" s="110"/>
      <c r="W37" s="110"/>
      <c r="X37" s="110"/>
      <c r="Y37" s="110"/>
    </row>
    <row r="38" spans="1:25" ht="20.100000000000001" customHeight="1" x14ac:dyDescent="0.2">
      <c r="A38" s="16" t="str">
        <f>HYPERLINK("#'Constants - Common'!A1", "Constants - Common")</f>
        <v>Constants - Common</v>
      </c>
      <c r="D38" s="114"/>
      <c r="E38" s="114"/>
      <c r="F38" s="115"/>
      <c r="G38" s="112"/>
      <c r="H38" s="112"/>
      <c r="I38" s="116"/>
      <c r="J38" s="112"/>
      <c r="K38" s="113"/>
      <c r="L38" s="110"/>
      <c r="M38" s="110"/>
      <c r="N38" s="110"/>
      <c r="O38" s="110"/>
      <c r="P38" s="110"/>
      <c r="Q38" s="110"/>
      <c r="R38" s="110"/>
      <c r="S38" s="110"/>
      <c r="T38" s="110"/>
      <c r="U38" s="110"/>
      <c r="V38" s="110"/>
      <c r="W38" s="110"/>
      <c r="X38" s="110"/>
      <c r="Y38" s="110"/>
    </row>
    <row r="39" spans="1:25" ht="20.100000000000001" customHeight="1" x14ac:dyDescent="0.2">
      <c r="A39"/>
      <c r="D39" s="114"/>
      <c r="E39" s="114"/>
      <c r="F39" s="115"/>
      <c r="G39" s="112"/>
      <c r="H39" s="112"/>
      <c r="I39" s="116"/>
      <c r="J39" s="112"/>
      <c r="K39" s="113"/>
      <c r="L39" s="110"/>
      <c r="M39" s="110"/>
      <c r="N39" s="110"/>
      <c r="O39" s="110"/>
      <c r="P39" s="110"/>
      <c r="Q39" s="110"/>
      <c r="R39" s="110"/>
      <c r="S39" s="110"/>
      <c r="T39" s="110"/>
      <c r="U39" s="110"/>
      <c r="V39" s="110"/>
      <c r="W39" s="110"/>
      <c r="X39" s="110"/>
      <c r="Y39" s="110"/>
    </row>
    <row r="40" spans="1:25" ht="20.100000000000001" customHeight="1" x14ac:dyDescent="0.2">
      <c r="A40"/>
      <c r="D40" s="117"/>
      <c r="E40" s="117"/>
      <c r="F40" s="117"/>
      <c r="G40" s="118"/>
      <c r="H40" s="119"/>
      <c r="I40" s="119"/>
      <c r="J40" s="119"/>
      <c r="K40" s="119"/>
      <c r="L40" s="120"/>
      <c r="M40" s="120"/>
      <c r="N40" s="120"/>
      <c r="O40" s="120"/>
      <c r="P40" s="120"/>
      <c r="Q40" s="120"/>
      <c r="R40" s="120"/>
      <c r="S40" s="120"/>
      <c r="T40" s="120"/>
      <c r="U40" s="120"/>
      <c r="V40" s="120"/>
      <c r="W40" s="120"/>
      <c r="X40" s="120"/>
      <c r="Y40" s="120"/>
    </row>
    <row r="41" spans="1:25" ht="20.100000000000001" customHeight="1" x14ac:dyDescent="0.2">
      <c r="A41"/>
    </row>
    <row r="42" spans="1:25" ht="20.100000000000001" customHeight="1" x14ac:dyDescent="0.2">
      <c r="A42"/>
    </row>
    <row r="43" spans="1:25" ht="20.100000000000001" customHeight="1" x14ac:dyDescent="0.2">
      <c r="A43"/>
    </row>
    <row r="44" spans="1:25" ht="20.100000000000001" customHeight="1" x14ac:dyDescent="0.2">
      <c r="A44"/>
    </row>
    <row r="45" spans="1:25" ht="20.100000000000001" customHeight="1" x14ac:dyDescent="0.2">
      <c r="A45"/>
      <c r="D45" s="9"/>
    </row>
    <row r="46" spans="1:25" ht="20.100000000000001" customHeight="1" x14ac:dyDescent="0.2">
      <c r="A46"/>
      <c r="D46" s="9"/>
    </row>
    <row r="47" spans="1:25" ht="20.100000000000001" customHeight="1" x14ac:dyDescent="0.2">
      <c r="A47"/>
      <c r="D47" s="121"/>
      <c r="E47" s="121"/>
      <c r="F47" s="121"/>
      <c r="G47" s="121"/>
      <c r="H47" s="121"/>
    </row>
    <row r="48" spans="1:25" ht="20.100000000000001" customHeight="1" x14ac:dyDescent="0.2">
      <c r="A48"/>
      <c r="D48" s="122"/>
      <c r="E48" s="122"/>
      <c r="F48" s="123"/>
      <c r="G48" s="123"/>
      <c r="H48" s="122"/>
    </row>
    <row r="49" spans="1:8" ht="20.100000000000001" customHeight="1" x14ac:dyDescent="0.2">
      <c r="A49"/>
      <c r="D49" s="122"/>
      <c r="E49" s="122"/>
      <c r="F49" s="123"/>
      <c r="G49" s="123"/>
      <c r="H49" s="122"/>
    </row>
    <row r="50" spans="1:8" ht="20.100000000000001" customHeight="1" x14ac:dyDescent="0.2">
      <c r="A50"/>
      <c r="D50" s="122"/>
      <c r="E50" s="122"/>
      <c r="F50" s="123"/>
      <c r="G50" s="123"/>
      <c r="H50" s="122"/>
    </row>
    <row r="51" spans="1:8" ht="20.100000000000001" customHeight="1" x14ac:dyDescent="0.2">
      <c r="A51"/>
      <c r="D51" s="124"/>
      <c r="E51" s="125"/>
      <c r="F51" s="125"/>
      <c r="G51" s="125"/>
      <c r="H51" s="126"/>
    </row>
    <row r="52" spans="1:8" ht="20.100000000000001" customHeight="1" x14ac:dyDescent="0.2">
      <c r="A52"/>
    </row>
    <row r="53" spans="1:8" ht="20.100000000000001" customHeight="1" x14ac:dyDescent="0.2">
      <c r="A53"/>
    </row>
    <row r="54" spans="1:8" ht="20.100000000000001" customHeight="1" x14ac:dyDescent="0.2">
      <c r="A54"/>
      <c r="G54" s="127"/>
    </row>
    <row r="55" spans="1:8" ht="20.100000000000001" customHeight="1" x14ac:dyDescent="0.2">
      <c r="A55"/>
      <c r="D55" s="9"/>
    </row>
    <row r="56" spans="1:8" ht="20.100000000000001" customHeight="1" x14ac:dyDescent="0.2">
      <c r="A56"/>
    </row>
    <row r="57" spans="1:8" ht="20.100000000000001" customHeight="1" x14ac:dyDescent="0.25">
      <c r="A57"/>
      <c r="D57" s="128"/>
      <c r="F57" s="129"/>
    </row>
    <row r="58" spans="1:8" ht="20.100000000000001" customHeight="1" x14ac:dyDescent="0.2">
      <c r="A58"/>
      <c r="D58" s="8"/>
      <c r="E58" s="130"/>
    </row>
    <row r="59" spans="1:8" ht="20.100000000000001" customHeight="1" x14ac:dyDescent="0.2">
      <c r="A59"/>
      <c r="D59" s="8"/>
      <c r="E59" s="130"/>
    </row>
    <row r="60" spans="1:8" ht="20.100000000000001" customHeight="1" x14ac:dyDescent="0.2">
      <c r="A60"/>
      <c r="D60" s="8"/>
      <c r="E60" s="131"/>
    </row>
    <row r="61" spans="1:8" ht="20.100000000000001" customHeight="1" x14ac:dyDescent="0.2">
      <c r="A61"/>
      <c r="D61" s="8"/>
    </row>
    <row r="62" spans="1:8" ht="20.100000000000001" customHeight="1" x14ac:dyDescent="0.2">
      <c r="A62"/>
    </row>
    <row r="63" spans="1:8" ht="20.100000000000001" customHeight="1" x14ac:dyDescent="0.2">
      <c r="A63"/>
      <c r="D63" s="128"/>
    </row>
    <row r="64" spans="1:8" ht="20.100000000000001" customHeight="1" x14ac:dyDescent="0.2">
      <c r="A64"/>
      <c r="D64" s="8"/>
      <c r="E64" s="130"/>
    </row>
    <row r="65" spans="1:9" ht="20.100000000000001" customHeight="1" x14ac:dyDescent="0.2">
      <c r="A65"/>
      <c r="D65" s="8"/>
      <c r="E65" s="130"/>
    </row>
    <row r="66" spans="1:9" ht="20.100000000000001" customHeight="1" x14ac:dyDescent="0.2">
      <c r="A66"/>
      <c r="D66" s="8"/>
      <c r="E66" s="131"/>
    </row>
    <row r="67" spans="1:9" ht="20.100000000000001" customHeight="1" x14ac:dyDescent="0.2">
      <c r="A67"/>
    </row>
    <row r="68" spans="1:9" ht="20.100000000000001" customHeight="1" x14ac:dyDescent="0.2">
      <c r="A68"/>
    </row>
    <row r="69" spans="1:9" ht="20.100000000000001" customHeight="1" x14ac:dyDescent="0.2">
      <c r="A69"/>
      <c r="D69" s="132"/>
      <c r="E69" s="132"/>
      <c r="F69" s="132"/>
      <c r="G69" s="132"/>
      <c r="H69" s="132"/>
      <c r="I69" s="132"/>
    </row>
    <row r="70" spans="1:9" ht="20.100000000000001" customHeight="1" x14ac:dyDescent="0.2">
      <c r="A70"/>
      <c r="D70" s="132"/>
      <c r="E70" s="132"/>
      <c r="F70" s="132"/>
      <c r="G70" s="132"/>
      <c r="H70" s="132"/>
      <c r="I70" s="132"/>
    </row>
    <row r="71" spans="1:9" ht="20.100000000000001" customHeight="1" x14ac:dyDescent="0.2">
      <c r="A71"/>
      <c r="D71" s="132"/>
      <c r="E71" s="132"/>
      <c r="F71" s="132"/>
      <c r="G71" s="132"/>
      <c r="H71" s="132"/>
      <c r="I71" s="132"/>
    </row>
    <row r="72" spans="1:9" ht="20.100000000000001" customHeight="1" x14ac:dyDescent="0.2">
      <c r="A72"/>
      <c r="D72" s="132"/>
      <c r="E72" s="132"/>
      <c r="F72" s="132"/>
      <c r="G72" s="132"/>
      <c r="H72" s="132"/>
      <c r="I72" s="132"/>
    </row>
    <row r="73" spans="1:9" ht="20.100000000000001" customHeight="1" x14ac:dyDescent="0.2">
      <c r="A73"/>
    </row>
    <row r="74" spans="1:9" ht="20.100000000000001" customHeight="1" x14ac:dyDescent="0.2">
      <c r="A74"/>
    </row>
    <row r="75" spans="1:9" ht="20.100000000000001" customHeight="1" x14ac:dyDescent="0.2">
      <c r="A75"/>
    </row>
    <row r="76" spans="1:9" ht="20.100000000000001" customHeight="1" x14ac:dyDescent="0.2">
      <c r="A76"/>
    </row>
    <row r="77" spans="1:9" ht="20.100000000000001" customHeight="1" x14ac:dyDescent="0.2">
      <c r="A77"/>
    </row>
    <row r="78" spans="1:9" ht="20.100000000000001" customHeight="1" x14ac:dyDescent="0.2">
      <c r="A78"/>
      <c r="D78" s="133"/>
    </row>
    <row r="79" spans="1:9" ht="20.100000000000001" customHeight="1" x14ac:dyDescent="0.2">
      <c r="A79"/>
      <c r="D79" s="133"/>
    </row>
    <row r="80" spans="1:9" ht="20.100000000000001" customHeight="1" x14ac:dyDescent="0.2">
      <c r="A80"/>
      <c r="D80" s="133"/>
    </row>
    <row r="81" spans="1:4" ht="20.100000000000001" customHeight="1" x14ac:dyDescent="0.2">
      <c r="A81"/>
      <c r="D81" s="133"/>
    </row>
    <row r="82" spans="1:4" ht="20.100000000000001" customHeight="1" x14ac:dyDescent="0.2">
      <c r="A82"/>
      <c r="D82" s="133"/>
    </row>
    <row r="83" spans="1:4" ht="20.100000000000001" customHeight="1" x14ac:dyDescent="0.2">
      <c r="A83"/>
    </row>
    <row r="84" spans="1:4" ht="20.100000000000001" customHeight="1" x14ac:dyDescent="0.2">
      <c r="A84"/>
    </row>
    <row r="85" spans="1:4" ht="20.100000000000001" customHeight="1" x14ac:dyDescent="0.2">
      <c r="A85"/>
    </row>
    <row r="86" spans="1:4" ht="20.100000000000001" customHeight="1" x14ac:dyDescent="0.2">
      <c r="A86"/>
    </row>
    <row r="87" spans="1:4" ht="20.100000000000001" customHeight="1" x14ac:dyDescent="0.2">
      <c r="A87"/>
    </row>
    <row r="88" spans="1:4" ht="20.100000000000001" customHeight="1" x14ac:dyDescent="0.2">
      <c r="A88"/>
    </row>
    <row r="89" spans="1:4" ht="20.100000000000001" customHeight="1" x14ac:dyDescent="0.2">
      <c r="A89"/>
    </row>
    <row r="90" spans="1:4" ht="20.100000000000001" customHeight="1" x14ac:dyDescent="0.2">
      <c r="A90"/>
    </row>
    <row r="91" spans="1:4" ht="20.100000000000001" customHeight="1" x14ac:dyDescent="0.2">
      <c r="A91"/>
    </row>
    <row r="92" spans="1:4" ht="20.100000000000001" customHeight="1" x14ac:dyDescent="0.2">
      <c r="A92"/>
    </row>
    <row r="93" spans="1:4" ht="20.100000000000001" customHeight="1" x14ac:dyDescent="0.2">
      <c r="A93"/>
    </row>
    <row r="94" spans="1:4" ht="20.100000000000001" customHeight="1" x14ac:dyDescent="0.2">
      <c r="A94"/>
    </row>
    <row r="95" spans="1:4" ht="20.100000000000001" customHeight="1" x14ac:dyDescent="0.2">
      <c r="A95"/>
    </row>
    <row r="96" spans="1:4"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sheetData>
  <dataValidations count="4">
    <dataValidation type="list" allowBlank="1" showInputMessage="1" showErrorMessage="1" sqref="E21" xr:uid="{4429A646-7DAC-48DD-B671-2B9E28829890}">
      <formula1>INDIRECT("Table_AustralianStates[Common Name]")</formula1>
    </dataValidation>
    <dataValidation type="list" allowBlank="1" showInputMessage="1" showErrorMessage="1" sqref="E22" xr:uid="{0FE995D8-00CE-4E96-830A-A56FEA815EF4}">
      <formula1>INDIRECT("Table_WASA4Areas[SA 4 Name]")</formula1>
    </dataValidation>
    <dataValidation type="list" allowBlank="1" showInputMessage="1" showErrorMessage="1" sqref="G36:G39" xr:uid="{DC5998B5-0150-447E-8556-7AF4FD81D21D}">
      <formula1>$D$41:$D$43</formula1>
    </dataValidation>
    <dataValidation type="list" allowBlank="1" showInputMessage="1" showErrorMessage="1" sqref="E23" xr:uid="{C355EFE3-141E-4817-9200-A023608C977C}">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2A0CB-A215-4968-BAAE-5C270491FA98}">
  <sheetPr>
    <tabColor theme="5" tint="-0.249977111117893"/>
  </sheetPr>
  <dimension ref="A1:J354"/>
  <sheetViews>
    <sheetView showGridLines="0" zoomScaleNormal="100" workbookViewId="0">
      <selection activeCell="A38" sqref="A38"/>
    </sheetView>
  </sheetViews>
  <sheetFormatPr defaultColWidth="9" defaultRowHeight="20.100000000000001" customHeight="1" x14ac:dyDescent="0.25"/>
  <cols>
    <col min="1" max="1" width="26.85546875" style="3" customWidth="1"/>
    <col min="2" max="2" width="4.140625" style="3" customWidth="1"/>
    <col min="3" max="3" width="4.140625" style="8" customWidth="1"/>
    <col min="4" max="4" width="45.5703125" style="8" customWidth="1"/>
    <col min="5" max="5" width="41.140625" style="8" customWidth="1"/>
    <col min="6" max="9" width="21.7109375" style="8" customWidth="1"/>
    <col min="10" max="10" width="4.140625" style="8" customWidth="1"/>
    <col min="11" max="11" width="4.140625" style="3" customWidth="1"/>
    <col min="12" max="16384" width="9" style="3"/>
  </cols>
  <sheetData>
    <row r="1" spans="1:10" s="37" customFormat="1" ht="30" customHeight="1" x14ac:dyDescent="0.35">
      <c r="A1" s="37" t="e" vm="1">
        <v>#VALUE!</v>
      </c>
      <c r="C1" s="37" t="s">
        <v>119</v>
      </c>
    </row>
    <row r="2" spans="1:10" s="2" customFormat="1" ht="20.100000000000001" customHeight="1" x14ac:dyDescent="0.2">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9" t="s">
        <v>120</v>
      </c>
      <c r="E5" s="7"/>
      <c r="F5" s="7"/>
      <c r="G5" s="7"/>
      <c r="H5" s="7"/>
    </row>
    <row r="6" spans="1:10" ht="20.100000000000001" customHeight="1" x14ac:dyDescent="0.25">
      <c r="A6"/>
      <c r="D6" s="14"/>
      <c r="E6" s="14"/>
      <c r="F6" s="14"/>
      <c r="G6" s="14"/>
      <c r="H6" s="14"/>
      <c r="I6" s="14"/>
    </row>
    <row r="7" spans="1:10" ht="20.100000000000001" customHeight="1" x14ac:dyDescent="0.25">
      <c r="A7" s="19" t="s">
        <v>67</v>
      </c>
      <c r="D7" s="8" t="s">
        <v>732</v>
      </c>
    </row>
    <row r="8" spans="1:10" ht="20.100000000000001" customHeight="1" x14ac:dyDescent="0.25">
      <c r="A8" s="16" t="str">
        <f>HYPERLINK("#'Input - Site'!A1", "Site")</f>
        <v>Site</v>
      </c>
      <c r="D8" s="8" t="s">
        <v>733</v>
      </c>
    </row>
    <row r="9" spans="1:10" ht="20.100000000000001" customHeight="1" x14ac:dyDescent="0.25">
      <c r="A9" s="42" t="str">
        <f>HYPERLINK("#'Input - Fuel'!A1", "Fuel")</f>
        <v>Fuel</v>
      </c>
      <c r="D9" s="8" t="s">
        <v>734</v>
      </c>
    </row>
    <row r="10" spans="1:10" ht="20.100000000000001" customHeight="1" x14ac:dyDescent="0.25">
      <c r="A10" s="16" t="str">
        <f>HYPERLINK("#'Input - Fertiliser'!A1", "Fertiliser")</f>
        <v>Fertiliser</v>
      </c>
    </row>
    <row r="11" spans="1:10" ht="20.100000000000001" customHeight="1" x14ac:dyDescent="0.25">
      <c r="A11" s="16" t="str">
        <f>HYPERLINK("#'Input - Farm Inputs'!A1", "Farm Inputs")</f>
        <v>Farm Inputs</v>
      </c>
      <c r="D11" s="8" t="s">
        <v>735</v>
      </c>
      <c r="E11" s="47" t="s">
        <v>703</v>
      </c>
      <c r="F11" s="63" t="s">
        <v>191</v>
      </c>
    </row>
    <row r="12" spans="1:10" ht="20.100000000000001" customHeight="1" x14ac:dyDescent="0.25">
      <c r="A12" s="16" t="str">
        <f>HYPERLINK("#'Input - Livestock purchases'!A1", "Livestock purchases")</f>
        <v>Livestock purchases</v>
      </c>
    </row>
    <row r="13" spans="1:10" ht="20.100000000000001" customHeight="1" x14ac:dyDescent="0.25">
      <c r="A13" s="16" t="str">
        <f>HYPERLINK("#'Input - Freight'!A1", "Freight")</f>
        <v>Freight</v>
      </c>
      <c r="D13" s="39" t="s">
        <v>121</v>
      </c>
      <c r="E13" s="40"/>
      <c r="F13" s="40"/>
      <c r="G13" s="40"/>
      <c r="H13" s="41"/>
    </row>
    <row r="14" spans="1:10" ht="20.100000000000001" customHeight="1" x14ac:dyDescent="0.25">
      <c r="A14" s="16" t="str">
        <f>HYPERLINK("#'Input - Solid waste'!A1", "Solid waste")</f>
        <v>Solid waste</v>
      </c>
      <c r="D14" s="43" t="s">
        <v>122</v>
      </c>
      <c r="E14" s="44"/>
      <c r="F14" s="44"/>
      <c r="G14" s="44"/>
      <c r="H14" s="45"/>
    </row>
    <row r="15" spans="1:10" ht="20.100000000000001" customHeight="1" x14ac:dyDescent="0.25">
      <c r="A15" s="16" t="str">
        <f>HYPERLINK("#'Input - Manure sent off-site'!A1", "Manure sent off-site")</f>
        <v>Manure sent off-site</v>
      </c>
      <c r="D15" s="14"/>
      <c r="E15" s="14"/>
      <c r="F15" s="14"/>
      <c r="G15" s="14"/>
      <c r="H15" s="14"/>
      <c r="I15" s="14"/>
    </row>
    <row r="16" spans="1:10" ht="20.100000000000001" customHeight="1" x14ac:dyDescent="0.25">
      <c r="A16" s="16" t="str">
        <f>HYPERLINK("#'Input - Electricity'!A1", "Electricity")</f>
        <v>Electricity</v>
      </c>
      <c r="D16" s="46" t="s">
        <v>123</v>
      </c>
      <c r="E16" s="46" t="s">
        <v>124</v>
      </c>
      <c r="F16" s="46" t="s">
        <v>125</v>
      </c>
      <c r="G16" s="46" t="s">
        <v>126</v>
      </c>
      <c r="H16" s="46" t="s">
        <v>127</v>
      </c>
      <c r="I16" s="46" t="s">
        <v>128</v>
      </c>
    </row>
    <row r="17" spans="1:9" ht="20.100000000000001" customHeight="1" x14ac:dyDescent="0.25">
      <c r="A17"/>
      <c r="D17" s="47" t="s">
        <v>89</v>
      </c>
      <c r="E17" s="47" t="s">
        <v>118</v>
      </c>
      <c r="F17" s="48">
        <v>100</v>
      </c>
      <c r="G17" s="49" t="str" cm="1">
        <f t="array" ref="G17">Common_InputFunctions.Utility_LookupValueInTable(Table_Input_Fuel[[#This Row],[Fuel type (select)]],Table_FuelTypes_Units[Fuel type], Table_FuelTypes_Units[Unit])</f>
        <v>GJ</v>
      </c>
      <c r="H17" s="50">
        <f>1</f>
        <v>1</v>
      </c>
      <c r="I17" s="49">
        <f>Table_Input_Fuel[[#This Row],[Amount purchased]]*Table_Input_Fuel[[#This Row],[Percent consumed]]*10^-3</f>
        <v>0.1</v>
      </c>
    </row>
    <row r="18" spans="1:9" ht="20.100000000000001" customHeight="1" x14ac:dyDescent="0.25">
      <c r="A18"/>
      <c r="D18" s="47" t="s">
        <v>90</v>
      </c>
      <c r="E18" s="47" t="s">
        <v>106</v>
      </c>
      <c r="F18" s="48">
        <v>100</v>
      </c>
      <c r="G18" s="49" t="str" cm="1">
        <f t="array" ref="G18">Common_InputFunctions.Utility_LookupValueInTable(Table_Input_Fuel[[#This Row],[Fuel type (select)]],Table_FuelTypes_Units[Fuel type], Table_FuelTypes_Units[Unit])</f>
        <v>kL</v>
      </c>
      <c r="H18" s="50">
        <f>1</f>
        <v>1</v>
      </c>
      <c r="I18" s="49">
        <f>Table_Input_Fuel[[#This Row],[Amount purchased]]*Table_Input_Fuel[[#This Row],[Percent consumed]]*10^-3</f>
        <v>0.1</v>
      </c>
    </row>
    <row r="19" spans="1:9" ht="20.100000000000001" customHeight="1" x14ac:dyDescent="0.25">
      <c r="A19" s="21" t="s">
        <v>77</v>
      </c>
      <c r="D19" s="47" t="s">
        <v>93</v>
      </c>
      <c r="E19" s="47" t="s">
        <v>100</v>
      </c>
      <c r="F19" s="48">
        <v>100</v>
      </c>
      <c r="G19" s="49" t="str" cm="1">
        <f t="array" ref="G19">Common_InputFunctions.Utility_LookupValueInTable(Table_Input_Fuel[[#This Row],[Fuel type (select)]],Table_FuelTypes_Units[Fuel type], Table_FuelTypes_Units[Unit])</f>
        <v>kL</v>
      </c>
      <c r="H19" s="50">
        <f>1</f>
        <v>1</v>
      </c>
      <c r="I19" s="49">
        <f>Table_Input_Fuel[[#This Row],[Amount purchased]]*Table_Input_Fuel[[#This Row],[Percent consumed]]*10^-3</f>
        <v>0.1</v>
      </c>
    </row>
    <row r="20" spans="1:9" ht="20.100000000000001" customHeight="1" x14ac:dyDescent="0.25">
      <c r="A20" s="16" t="str">
        <f>HYPERLINK("#'15 Scope 3'!A1", "15 Scope 3")</f>
        <v>15 Scope 3</v>
      </c>
      <c r="D20" s="47" t="s">
        <v>89</v>
      </c>
      <c r="E20" s="47" t="s">
        <v>118</v>
      </c>
      <c r="F20" s="48">
        <v>100</v>
      </c>
      <c r="G20" s="49" t="str" cm="1">
        <f t="array" ref="G20">Common_InputFunctions.Utility_LookupValueInTable(Table_Input_Fuel[[#This Row],[Fuel type (select)]],Table_FuelTypes_Units[Fuel type], Table_FuelTypes_Units[Unit])</f>
        <v>GJ</v>
      </c>
      <c r="H20" s="50">
        <f>1</f>
        <v>1</v>
      </c>
      <c r="I20" s="49">
        <f>Table_Input_Fuel[[#This Row],[Amount purchased]]*Table_Input_Fuel[[#This Row],[Percent consumed]]*10^-3</f>
        <v>0.1</v>
      </c>
    </row>
    <row r="21" spans="1:9" ht="20.100000000000001" customHeight="1" x14ac:dyDescent="0.25">
      <c r="A21" s="16" t="str">
        <f>HYPERLINK("#'10.1.1-2 Solid waste treatment'!A1", "10.1.1-2 Solid waste treatment")</f>
        <v>10.1.1-2 Solid waste treatment</v>
      </c>
      <c r="D21" s="47" t="s">
        <v>91</v>
      </c>
      <c r="E21" s="47" t="s">
        <v>100</v>
      </c>
      <c r="F21" s="48">
        <v>100</v>
      </c>
      <c r="G21" s="49" t="str" cm="1">
        <f t="array" ref="G21">Common_InputFunctions.Utility_LookupValueInTable(Table_Input_Fuel[[#This Row],[Fuel type (select)]],Table_FuelTypes_Units[Fuel type], Table_FuelTypes_Units[Unit])</f>
        <v>kL</v>
      </c>
      <c r="H21" s="50">
        <f>1</f>
        <v>1</v>
      </c>
      <c r="I21" s="49">
        <f>Table_Input_Fuel[[#This Row],[Amount purchased]]*Table_Input_Fuel[[#This Row],[Percent consumed]]*10^-3</f>
        <v>0.1</v>
      </c>
    </row>
    <row r="22" spans="1:9" ht="20.100000000000001" customHeight="1" x14ac:dyDescent="0.25">
      <c r="A22" s="16" t="str">
        <f>HYPERLINK("#'Calcs - Manure sent off-site'!A1", "Calcs - Manure sent off-site")</f>
        <v>Calcs - Manure sent off-site</v>
      </c>
    </row>
    <row r="23" spans="1:9" ht="20.100000000000001" customHeight="1" x14ac:dyDescent="0.25">
      <c r="A23" s="16" t="str">
        <f>HYPERLINK("#'8.1.1.1-2 Transport fuel'!A1", "8.1.1.1-2 Transport fuel")</f>
        <v>8.1.1.1-2 Transport fuel</v>
      </c>
    </row>
    <row r="24" spans="1:9" ht="20.100000000000001" customHeight="1" x14ac:dyDescent="0.25">
      <c r="A24" s="16" t="str">
        <f>HYPERLINK("#'8.2.1.1-2 Stationary fuel'!A1", "8.2.1.1-2 Stationary fuel")</f>
        <v>8.2.1.1-2 Stationary fuel</v>
      </c>
    </row>
    <row r="25" spans="1:9" ht="20.100000000000001" customHeight="1" x14ac:dyDescent="0.25">
      <c r="A25"/>
    </row>
    <row r="26" spans="1:9" ht="20.100000000000001" customHeight="1" x14ac:dyDescent="0.25">
      <c r="A26"/>
    </row>
    <row r="27" spans="1:9" ht="20.100000000000001" customHeight="1" x14ac:dyDescent="0.25">
      <c r="A27" s="213" t="s">
        <v>78</v>
      </c>
    </row>
    <row r="28" spans="1:9" ht="20.100000000000001" customHeight="1" x14ac:dyDescent="0.25">
      <c r="A28" s="16" t="str">
        <f>HYPERLINK("#'Constants - Scope 3'!A1", "Constants - Scope 3")</f>
        <v>Constants - Scope 3</v>
      </c>
    </row>
    <row r="29" spans="1:9" ht="20.100000000000001" customHeight="1" x14ac:dyDescent="0.25">
      <c r="A29" s="16" t="str">
        <f>HYPERLINK("#'Constants - Solid Waste'!A1", "Constants - Solid Waste")</f>
        <v>Constants - Solid Waste</v>
      </c>
    </row>
    <row r="30" spans="1:9" ht="20.100000000000001" customHeight="1" x14ac:dyDescent="0.25">
      <c r="A30" s="16" t="str">
        <f>HYPERLINK("#'Constants - Fuel'!A1", "Constants - Fuel")</f>
        <v>Constants - Fuel</v>
      </c>
    </row>
    <row r="31" spans="1:9" ht="20.100000000000001" customHeight="1" x14ac:dyDescent="0.25">
      <c r="A31" s="16" t="str">
        <f>HYPERLINK("#'Constants - Poultry'!A1", "Constants - Poultry")</f>
        <v>Constants - Poultry</v>
      </c>
    </row>
    <row r="32" spans="1:9" ht="20.100000000000001" customHeight="1" x14ac:dyDescent="0.25">
      <c r="A32" s="16" t="str">
        <f>HYPERLINK("#'Constants - Swine'!A1", "Constants - Swine")</f>
        <v>Constants - Swine</v>
      </c>
    </row>
    <row r="33" spans="1:10" ht="20.100000000000001" customHeight="1" x14ac:dyDescent="0.25">
      <c r="A33" s="16" t="str">
        <f>HYPERLINK("#'Constants - Dairy'!A1", "Constants - Dairy")</f>
        <v>Constants - Dairy</v>
      </c>
    </row>
    <row r="34" spans="1:10" ht="20.100000000000001" customHeight="1" x14ac:dyDescent="0.25">
      <c r="A34" s="16" t="str">
        <f>HYPERLINK("#'Constants - Pasture Beef'!A1", "Constants - Pasture Beef")</f>
        <v>Constants - Pasture Beef</v>
      </c>
    </row>
    <row r="35" spans="1:10" ht="20.100000000000001" customHeight="1" x14ac:dyDescent="0.25">
      <c r="A35" s="16" t="str">
        <f>HYPERLINK("#'Constants - Common Livestock'!A1", "Constants - Common Livestock")</f>
        <v>Constants - Common Livestock</v>
      </c>
    </row>
    <row r="36" spans="1:10" ht="20.100000000000001" customHeight="1" x14ac:dyDescent="0.25">
      <c r="A36" s="16" t="str">
        <f>HYPERLINK("#'Constants - Fertiliser'!A1", "Constants - Fertiliser")</f>
        <v>Constants - Fertiliser</v>
      </c>
    </row>
    <row r="37" spans="1:10" ht="20.100000000000001" customHeight="1" x14ac:dyDescent="0.25">
      <c r="A37" s="16" t="str">
        <f>HYPERLINK("#'Constants - Electricity'!A1", "Constants - Electricity")</f>
        <v>Constants - Electricity</v>
      </c>
    </row>
    <row r="38" spans="1:10" ht="20.100000000000001" customHeight="1" x14ac:dyDescent="0.25">
      <c r="A38" s="16" t="str">
        <f>HYPERLINK("#'Constants - Common'!A1", "Constants - Common")</f>
        <v>Constants - Common</v>
      </c>
      <c r="C38" s="51"/>
      <c r="J38" s="51"/>
    </row>
    <row r="39" spans="1:10" ht="20.100000000000001" customHeight="1" x14ac:dyDescent="0.25">
      <c r="A39"/>
      <c r="C39" s="51"/>
      <c r="J39" s="51"/>
    </row>
    <row r="40" spans="1:10" s="52" customFormat="1" ht="20.100000000000001" customHeight="1" x14ac:dyDescent="0.25">
      <c r="A40"/>
      <c r="C40" s="8"/>
      <c r="D40" s="8"/>
      <c r="E40" s="8"/>
      <c r="F40" s="8"/>
      <c r="G40" s="8"/>
      <c r="H40" s="8"/>
      <c r="I40" s="8"/>
      <c r="J40" s="8"/>
    </row>
    <row r="41" spans="1:10" s="52" customFormat="1" ht="20.100000000000001" customHeight="1" x14ac:dyDescent="0.25">
      <c r="A41"/>
      <c r="C41" s="8"/>
      <c r="D41" s="8"/>
      <c r="E41" s="8"/>
      <c r="F41" s="8"/>
      <c r="G41" s="8"/>
      <c r="H41" s="8"/>
      <c r="I41" s="8"/>
      <c r="J41" s="8"/>
    </row>
    <row r="42" spans="1:10" ht="20.100000000000001" customHeight="1" x14ac:dyDescent="0.25">
      <c r="A42"/>
    </row>
    <row r="43" spans="1:10" ht="20.100000000000001" customHeight="1" x14ac:dyDescent="0.25">
      <c r="A43"/>
    </row>
    <row r="44" spans="1:10" ht="20.100000000000001" customHeight="1" x14ac:dyDescent="0.25">
      <c r="A44"/>
    </row>
    <row r="45" spans="1:10" ht="20.100000000000001" customHeight="1" x14ac:dyDescent="0.25">
      <c r="A45"/>
    </row>
    <row r="46" spans="1:10" ht="20.100000000000001" customHeight="1" x14ac:dyDescent="0.25">
      <c r="A46"/>
    </row>
    <row r="47" spans="1:10" ht="20.100000000000001" customHeight="1" x14ac:dyDescent="0.25">
      <c r="A47"/>
    </row>
    <row r="48" spans="1:10"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354" spans="4:4" ht="20.100000000000001" customHeight="1" x14ac:dyDescent="0.25">
      <c r="D354" s="54"/>
    </row>
  </sheetData>
  <conditionalFormatting sqref="F40">
    <cfRule type="cellIs" dxfId="64" priority="9" operator="lessThan">
      <formula>0</formula>
    </cfRule>
  </conditionalFormatting>
  <conditionalFormatting sqref="F119:F120">
    <cfRule type="cellIs" dxfId="63" priority="8" operator="lessThan">
      <formula>0</formula>
    </cfRule>
  </conditionalFormatting>
  <conditionalFormatting sqref="F131:F132">
    <cfRule type="cellIs" dxfId="62" priority="7" operator="lessThan">
      <formula>0</formula>
    </cfRule>
  </conditionalFormatting>
  <conditionalFormatting sqref="F143:F144">
    <cfRule type="cellIs" dxfId="61" priority="6" operator="lessThan">
      <formula>0</formula>
    </cfRule>
  </conditionalFormatting>
  <conditionalFormatting sqref="F155:F156">
    <cfRule type="cellIs" dxfId="60" priority="5" operator="lessThan">
      <formula>0</formula>
    </cfRule>
  </conditionalFormatting>
  <conditionalFormatting sqref="F243:F244">
    <cfRule type="cellIs" dxfId="59" priority="17" operator="lessThan">
      <formula>0</formula>
    </cfRule>
  </conditionalFormatting>
  <conditionalFormatting sqref="F248:F249">
    <cfRule type="cellIs" dxfId="58" priority="16" operator="lessThan">
      <formula>0</formula>
    </cfRule>
  </conditionalFormatting>
  <conditionalFormatting sqref="F253:F254">
    <cfRule type="cellIs" dxfId="57" priority="15" operator="lessThan">
      <formula>0</formula>
    </cfRule>
  </conditionalFormatting>
  <conditionalFormatting sqref="F277:F278">
    <cfRule type="cellIs" dxfId="56" priority="14" operator="lessThan">
      <formula>0</formula>
    </cfRule>
  </conditionalFormatting>
  <conditionalFormatting sqref="F282:F283">
    <cfRule type="cellIs" dxfId="55" priority="13" operator="lessThan">
      <formula>0</formula>
    </cfRule>
  </conditionalFormatting>
  <conditionalFormatting sqref="F287:F288">
    <cfRule type="cellIs" dxfId="54" priority="12" operator="lessThan">
      <formula>0</formula>
    </cfRule>
  </conditionalFormatting>
  <conditionalFormatting sqref="I24 I26:I30 I34:I35 H36:H38 I39 I41:I43 I45:I46 I197 E203:G203 I203">
    <cfRule type="cellIs" dxfId="53" priority="11" operator="lessThan">
      <formula>0</formula>
    </cfRule>
  </conditionalFormatting>
  <conditionalFormatting sqref="I50:I54">
    <cfRule type="cellIs" dxfId="52" priority="4" operator="lessThan">
      <formula>0</formula>
    </cfRule>
  </conditionalFormatting>
  <conditionalFormatting sqref="I58 I117">
    <cfRule type="cellIs" dxfId="51" priority="10" operator="lessThan">
      <formula>0</formula>
    </cfRule>
  </conditionalFormatting>
  <conditionalFormatting sqref="I69:I71">
    <cfRule type="cellIs" dxfId="50" priority="3" operator="lessThan">
      <formula>0</formula>
    </cfRule>
  </conditionalFormatting>
  <conditionalFormatting sqref="I75:I78">
    <cfRule type="cellIs" dxfId="49" priority="2" operator="lessThan">
      <formula>0</formula>
    </cfRule>
  </conditionalFormatting>
  <conditionalFormatting sqref="I82:I86">
    <cfRule type="cellIs" dxfId="48" priority="1" operator="lessThan">
      <formula>0</formula>
    </cfRule>
  </conditionalFormatting>
  <dataValidations count="9">
    <dataValidation type="list" allowBlank="1" showInputMessage="1" showErrorMessage="1" sqref="E11" xr:uid="{EC685BB7-B56B-4265-AD52-40335DE44C47}">
      <formula1>"Metro, Non-metro"</formula1>
    </dataValidation>
    <dataValidation type="list" allowBlank="1" showInputMessage="1" showErrorMessage="1" sqref="E17:E21" xr:uid="{CDFC472F-3B6B-4156-9814-EA631756A7C5}">
      <formula1>_xlfn.TRIMRANGE(INDIRECT("Table_FuelTypesPerUse["&amp;D17&amp;"]"))</formula1>
    </dataValidation>
    <dataValidation type="list" allowBlank="1" showInputMessage="1" showErrorMessage="1" sqref="D17:D21" xr:uid="{2AB8B607-6113-4019-83B9-8914AD3CCFB1}">
      <formula1>INDIRECT("Table_FuelTypesPerUse[#Headers]")</formula1>
    </dataValidation>
    <dataValidation type="list" allowBlank="1" showInputMessage="1" showErrorMessage="1" sqref="D37:D38" xr:uid="{6F95C83A-E076-4503-9E9A-7A2A314D3676}">
      <formula1>INDIRECT("Table_SourceData_OrganicFertiliserTypes[Organic fertiliser type]")</formula1>
    </dataValidation>
    <dataValidation type="list" allowBlank="1" showInputMessage="1" showErrorMessage="1" sqref="E57" xr:uid="{DCB9AC3F-7B51-44E2-8476-5A6D721418A4}">
      <formula1>INDIRECT("Table_SourceData_Swine_CropProdSystems[Production system]")</formula1>
    </dataValidation>
    <dataValidation type="list" allowBlank="1" showInputMessage="1" showErrorMessage="1" sqref="E58" xr:uid="{8A8B8C7A-CB04-4725-A2D3-9509D7095954}">
      <formula1>INDIRECT("Table_SourceData_Swine_IrrigationMethods[Irrigation method]")</formula1>
    </dataValidation>
    <dataValidation type="list" allowBlank="1" showInputMessage="1" showErrorMessage="1" sqref="E242 E247 E252 E286 E281 E276 E154 E142 E118 E130" xr:uid="{F108D1A2-7D49-4B65-BBCF-5C9040E33C98}">
      <formula1>"Yes, No"</formula1>
    </dataValidation>
    <dataValidation type="list" allowBlank="1" showInputMessage="1" showErrorMessage="1" sqref="E218" xr:uid="{B6139B07-8354-42B1-BF7E-1053FE7BF5BE}">
      <formula1>INDIRECT("Table_SourceData_Dairy_ProductionSystemTemplates[Area]")</formula1>
    </dataValidation>
    <dataValidation type="list" allowBlank="1" showInputMessage="1" showErrorMessage="1" sqref="D270" xr:uid="{57908C32-05CD-4D1F-8EAF-3562AE6E1B24}">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644F7-E137-4348-8362-8E17EED7FDAF}">
  <sheetPr>
    <tabColor theme="5" tint="-0.249977111117893"/>
  </sheetPr>
  <dimension ref="A1:K8"/>
  <sheetViews>
    <sheetView showGridLines="0" zoomScaleNormal="100" workbookViewId="0">
      <selection activeCell="E8" sqref="E8"/>
    </sheetView>
  </sheetViews>
  <sheetFormatPr defaultColWidth="9" defaultRowHeight="20.100000000000001" customHeight="1" x14ac:dyDescent="0.25"/>
  <cols>
    <col min="1" max="1" width="26.85546875" style="3" customWidth="1"/>
    <col min="2" max="2" width="4.140625" style="3" customWidth="1"/>
    <col min="3" max="3" width="4.140625" style="8" customWidth="1"/>
    <col min="4" max="10" width="26.85546875" style="8" customWidth="1"/>
    <col min="11" max="11" width="4.140625" style="8" customWidth="1"/>
    <col min="12" max="16384" width="9" style="3"/>
  </cols>
  <sheetData>
    <row r="1" spans="1:11" s="37" customFormat="1" ht="30" customHeight="1" x14ac:dyDescent="0.35">
      <c r="A1" s="37" t="e" vm="1">
        <v>#VALUE!</v>
      </c>
      <c r="C1" s="37" t="s">
        <v>932</v>
      </c>
    </row>
    <row r="2" spans="1:11" s="2" customFormat="1" ht="20.100000000000001" customHeight="1" x14ac:dyDescent="0.2"/>
    <row r="3" spans="1:11" ht="20.100000000000001" customHeight="1" x14ac:dyDescent="0.25">
      <c r="C3" s="38"/>
      <c r="D3" s="38"/>
      <c r="E3" s="38"/>
      <c r="F3" s="38"/>
      <c r="G3" s="38"/>
      <c r="H3" s="38"/>
      <c r="I3" s="38"/>
      <c r="J3" s="38"/>
      <c r="K3" s="38"/>
    </row>
    <row r="5" spans="1:11" ht="20.100000000000001" customHeight="1" x14ac:dyDescent="0.25">
      <c r="D5" s="8" t="s">
        <v>145</v>
      </c>
      <c r="E5" s="47" t="s">
        <v>150</v>
      </c>
      <c r="F5" s="63" t="s">
        <v>191</v>
      </c>
    </row>
    <row r="6" spans="1:11" ht="20.100000000000001" customHeight="1" x14ac:dyDescent="0.25">
      <c r="D6" s="8" t="s">
        <v>192</v>
      </c>
      <c r="E6" s="47" t="s">
        <v>154</v>
      </c>
      <c r="F6" s="63" t="s">
        <v>191</v>
      </c>
    </row>
    <row r="7" spans="1:11" ht="20.100000000000001" customHeight="1" x14ac:dyDescent="0.25">
      <c r="D7" s="8" t="s">
        <v>43</v>
      </c>
      <c r="E7" s="47" t="s">
        <v>152</v>
      </c>
      <c r="F7" s="63" t="s">
        <v>191</v>
      </c>
    </row>
    <row r="8" spans="1:11" ht="20.100000000000001" customHeight="1" x14ac:dyDescent="0.25">
      <c r="D8" s="8" t="s">
        <v>193</v>
      </c>
      <c r="E8" s="64">
        <v>100</v>
      </c>
      <c r="F8" s="63" t="s">
        <v>194</v>
      </c>
    </row>
  </sheetData>
  <dataValidations count="3">
    <dataValidation type="list" allowBlank="1" showInputMessage="1" showErrorMessage="1" sqref="E5" xr:uid="{10A53D93-9C7C-446B-B379-05962BCF2B2B}">
      <formula1>INDIRECT("Table_SourceData_Fertiliser_CropProdSystems[Production system]")</formula1>
    </dataValidation>
    <dataValidation type="list" allowBlank="1" showInputMessage="1" showErrorMessage="1" sqref="E7" xr:uid="{9881A6C6-7E26-4E21-9057-9B7A8BDEA123}">
      <formula1>INDIRECT("Table_SourceData_Fertiliser_IrrigationMethods[Irrigation method]")</formula1>
    </dataValidation>
    <dataValidation type="list" allowBlank="1" showInputMessage="1" showErrorMessage="1" sqref="E6" xr:uid="{F50F379B-AFC9-40D3-9496-6C0BDBB4C43A}">
      <formula1>INDIRECT("Table_SourceData_Fertiliser_CropTypes[Production system]")</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771-8F9B-4B70-9E21-CFDF5B272E0C}">
  <sheetPr>
    <tabColor theme="5" tint="-0.249977111117893"/>
  </sheetPr>
  <dimension ref="A1:AA361"/>
  <sheetViews>
    <sheetView showGridLines="0" topLeftCell="A22" zoomScaleNormal="100" workbookViewId="0">
      <selection activeCell="A20" sqref="A20"/>
    </sheetView>
  </sheetViews>
  <sheetFormatPr defaultColWidth="9" defaultRowHeight="20.100000000000001" customHeight="1" x14ac:dyDescent="0.25"/>
  <cols>
    <col min="1" max="1" width="26.85546875" style="3" customWidth="1"/>
    <col min="2" max="2" width="4.140625" style="3" customWidth="1"/>
    <col min="3" max="3" width="4.140625" style="8" customWidth="1"/>
    <col min="4" max="4" width="45.5703125" style="8" customWidth="1"/>
    <col min="5" max="25" width="30.5703125" style="8" customWidth="1"/>
    <col min="26" max="26" width="30.5703125" style="3" customWidth="1"/>
    <col min="27" max="27" width="4.5703125" style="8" customWidth="1"/>
    <col min="28" max="16384" width="9" style="3"/>
  </cols>
  <sheetData>
    <row r="1" spans="1:27" s="37" customFormat="1" ht="30" customHeight="1" x14ac:dyDescent="0.35">
      <c r="A1" s="37" t="e" vm="1">
        <v>#VALUE!</v>
      </c>
      <c r="C1" s="37" t="s">
        <v>190</v>
      </c>
    </row>
    <row r="2" spans="1:27" s="2" customFormat="1" ht="20.100000000000001" customHeight="1" x14ac:dyDescent="0.2">
      <c r="A2"/>
    </row>
    <row r="3" spans="1:27"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c r="T3" s="38"/>
      <c r="U3" s="38"/>
      <c r="V3" s="38"/>
      <c r="W3" s="38"/>
      <c r="X3" s="38"/>
      <c r="Y3" s="38"/>
      <c r="Z3" s="38"/>
      <c r="AA3" s="38"/>
    </row>
    <row r="4" spans="1:27" ht="20.100000000000001" customHeight="1" x14ac:dyDescent="0.25">
      <c r="A4" s="16" t="str">
        <f>HYPERLINK("#'Results'!A1", "Results")</f>
        <v>Results</v>
      </c>
      <c r="Z4" s="8"/>
    </row>
    <row r="5" spans="1:27" ht="20.100000000000001" customHeight="1" x14ac:dyDescent="0.25">
      <c r="A5"/>
      <c r="D5" s="9" t="s">
        <v>195</v>
      </c>
      <c r="E5" s="7"/>
      <c r="F5" s="7"/>
      <c r="G5" s="7"/>
      <c r="H5" s="7"/>
      <c r="I5" s="7"/>
      <c r="J5" s="7"/>
      <c r="K5" s="7"/>
      <c r="L5" s="7"/>
      <c r="M5" s="7"/>
      <c r="Z5" s="8"/>
    </row>
    <row r="6" spans="1:27" ht="20.100000000000001" customHeight="1" x14ac:dyDescent="0.25">
      <c r="A6"/>
      <c r="D6" s="138"/>
      <c r="E6" s="138"/>
      <c r="F6" s="138"/>
      <c r="G6" s="138"/>
      <c r="H6" s="138"/>
      <c r="I6" s="138"/>
      <c r="J6" s="138"/>
      <c r="K6" s="138"/>
      <c r="L6" s="138"/>
      <c r="M6" s="138"/>
      <c r="Z6" s="8"/>
    </row>
    <row r="7" spans="1:27" ht="20.100000000000001" customHeight="1" x14ac:dyDescent="0.25">
      <c r="A7" s="19" t="s">
        <v>67</v>
      </c>
      <c r="D7" s="39" t="s">
        <v>196</v>
      </c>
      <c r="E7" s="40"/>
      <c r="F7" s="40"/>
      <c r="G7" s="40"/>
      <c r="H7" s="41"/>
      <c r="I7" s="216"/>
      <c r="J7" s="217"/>
      <c r="K7" s="218"/>
      <c r="L7" s="218"/>
      <c r="M7" s="218"/>
      <c r="Z7" s="8"/>
    </row>
    <row r="8" spans="1:27" ht="20.100000000000001" customHeight="1" x14ac:dyDescent="0.25">
      <c r="A8" s="16" t="str">
        <f>HYPERLINK("#'Input - Site'!A1", "Site")</f>
        <v>Site</v>
      </c>
      <c r="D8" s="43" t="s">
        <v>197</v>
      </c>
      <c r="E8" s="44"/>
      <c r="F8" s="44"/>
      <c r="G8" s="44"/>
      <c r="H8" s="45"/>
      <c r="I8" s="138"/>
      <c r="J8" s="138"/>
      <c r="K8" s="138"/>
      <c r="L8" s="138"/>
      <c r="M8" s="138"/>
      <c r="Z8" s="8"/>
    </row>
    <row r="9" spans="1:27" ht="20.100000000000001" customHeight="1" x14ac:dyDescent="0.25">
      <c r="A9" s="16" t="str">
        <f>HYPERLINK("#'Input - Fuel'!A1", "Fuel")</f>
        <v>Fuel</v>
      </c>
      <c r="D9" s="138"/>
      <c r="E9" s="138"/>
      <c r="F9" s="138"/>
      <c r="G9" s="138"/>
      <c r="H9" s="138"/>
      <c r="I9" s="138"/>
      <c r="J9" s="138"/>
      <c r="K9" s="138"/>
      <c r="L9" s="138"/>
      <c r="M9" s="138"/>
      <c r="Z9" s="8"/>
    </row>
    <row r="10" spans="1:27" ht="20.100000000000001" customHeight="1" x14ac:dyDescent="0.25">
      <c r="A10" s="42" t="str">
        <f>HYPERLINK("#'Input - Fertiliser'!A1", "Fertiliser")</f>
        <v>Fertiliser</v>
      </c>
      <c r="D10" s="66" t="s">
        <v>198</v>
      </c>
      <c r="E10" s="138"/>
      <c r="F10" s="138"/>
      <c r="G10" s="138"/>
      <c r="H10" s="138"/>
      <c r="I10" s="138"/>
      <c r="J10" s="138"/>
      <c r="K10" s="138"/>
      <c r="L10" s="138"/>
      <c r="M10" s="138"/>
      <c r="Z10" s="8"/>
    </row>
    <row r="11" spans="1:27" ht="20.100000000000001" customHeight="1" x14ac:dyDescent="0.25">
      <c r="A11" s="16" t="str">
        <f>HYPERLINK("#'Input - Farm Inputs'!A1", "Farm Inputs")</f>
        <v>Farm Inputs</v>
      </c>
      <c r="D11" s="46" t="s">
        <v>199</v>
      </c>
      <c r="E11" s="46" t="s">
        <v>316</v>
      </c>
      <c r="F11" s="46" t="s">
        <v>310</v>
      </c>
      <c r="G11" s="46" t="s">
        <v>200</v>
      </c>
      <c r="H11" s="46" t="s">
        <v>311</v>
      </c>
      <c r="I11" s="46" t="s">
        <v>201</v>
      </c>
      <c r="J11" s="46" t="s">
        <v>171</v>
      </c>
      <c r="K11" s="46" t="s">
        <v>172</v>
      </c>
      <c r="L11" s="46" t="s">
        <v>173</v>
      </c>
      <c r="M11" s="46" t="s">
        <v>174</v>
      </c>
      <c r="N11" s="46" t="s">
        <v>175</v>
      </c>
      <c r="O11" s="46" t="s">
        <v>176</v>
      </c>
      <c r="P11" s="46" t="s">
        <v>177</v>
      </c>
      <c r="Q11" s="46" t="s">
        <v>178</v>
      </c>
      <c r="R11" s="46" t="s">
        <v>179</v>
      </c>
      <c r="S11" s="46" t="s">
        <v>180</v>
      </c>
      <c r="T11" s="46" t="s">
        <v>181</v>
      </c>
      <c r="U11" s="46" t="s">
        <v>182</v>
      </c>
      <c r="V11" s="46" t="s">
        <v>933</v>
      </c>
      <c r="W11" s="46" t="s">
        <v>934</v>
      </c>
      <c r="X11" s="46" t="s">
        <v>202</v>
      </c>
      <c r="Y11" s="46" t="s">
        <v>169</v>
      </c>
      <c r="Z11" s="46" t="s">
        <v>170</v>
      </c>
    </row>
    <row r="12" spans="1:27" ht="20.100000000000001" customHeight="1" x14ac:dyDescent="0.25">
      <c r="A12" s="16" t="str">
        <f>HYPERLINK("#'Input - Livestock purchases'!A1", "Livestock purchases")</f>
        <v>Livestock purchases</v>
      </c>
      <c r="D12" s="67" t="s">
        <v>207</v>
      </c>
      <c r="E12" s="68">
        <v>100</v>
      </c>
      <c r="F12" s="49" t="str">
        <f>IFERROR(_xlfn.XLOOKUP(Table_Input_InorganicFertiliser_Brands[[#This Row],[Product (select)]],FertiliserProducts[Product],FertiliserProducts[Unit]), "kg")</f>
        <v>kg</v>
      </c>
      <c r="G12" s="68">
        <f t="shared" ref="G12:G15" si="0">X_Cell_Fertiliser_AreaUnderCropping</f>
        <v>100</v>
      </c>
      <c r="H12" s="219">
        <f>IFERROR(_xlfn.XLOOKUP(Table_Input_InorganicFertiliser_Brands[[#This Row],[Product (select)]],FertiliserProducts[Product],FertiliserProducts[Density]), 1)</f>
        <v>1</v>
      </c>
      <c r="I12" s="69">
        <f>(Table_Input_InorganicFertiliser_Brands[[#This Row],[Amount applied per hectare]]*Table_Input_InorganicFertiliser_Brands[[#This Row],[Density]])*Table_Input_InorganicFertiliser_Brands[[#This Row],[Application area (ha)]]</f>
        <v>10000</v>
      </c>
      <c r="J12" s="69"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69"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69"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69"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69"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69"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69"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69"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69"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69"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69"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69"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69" cm="1">
        <f t="array" ref="W12">IFERROR(Fertiliser_InputFunctions.Fertiliser_FertiliserProductLookup(Table_Input_InorganicFertiliser_Brands[[#This Row],[Product (select)]], "N declared", FertiliserProducts[#Data], FertiliserProducts[Product], FertiliserProducts[#Headers])*0.01, 0)</f>
        <v>0.46</v>
      </c>
      <c r="X12"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69" t="str">
        <f>IFERROR(_xlfn.XLOOKUP(Table_Input_InorganicFertiliser_Brands[[#This Row],[Product (select)]],FertiliserProducts[Product],FertiliserProducts[Urea source]), "")</f>
        <v/>
      </c>
      <c r="Z12" s="69" t="str">
        <f>IFERROR(_xlfn.XLOOKUP(Table_Input_InorganicFertiliser_Brands[[#This Row],[Product (select)]],FertiliserProducts[Product],FertiliserProducts[Ammonia source]), "")</f>
        <v/>
      </c>
    </row>
    <row r="13" spans="1:27" ht="20.100000000000001" customHeight="1" x14ac:dyDescent="0.25">
      <c r="A13" s="16" t="str">
        <f>HYPERLINK("#'Input - Freight'!A1", "Freight")</f>
        <v>Freight</v>
      </c>
      <c r="D13" s="67" t="s">
        <v>935</v>
      </c>
      <c r="E13" s="68">
        <v>100</v>
      </c>
      <c r="F13" s="49" t="str">
        <f>IFERROR(_xlfn.XLOOKUP(Table_Input_InorganicFertiliser_Brands[[#This Row],[Product (select)]],FertiliserProducts[Product],FertiliserProducts[Unit]), "kg")</f>
        <v>kg</v>
      </c>
      <c r="G13" s="68">
        <f t="shared" ref="G13" si="1">X_Cell_Fertiliser_AreaUnderCropping</f>
        <v>100</v>
      </c>
      <c r="H13" s="219">
        <f>IFERROR(_xlfn.XLOOKUP(Table_Input_InorganicFertiliser_Brands[[#This Row],[Product (select)]],FertiliserProducts[Product],FertiliserProducts[Density]), 1)</f>
        <v>1</v>
      </c>
      <c r="I13" s="69">
        <f>(Table_Input_InorganicFertiliser_Brands[[#This Row],[Amount applied per hectare]]*Table_Input_InorganicFertiliser_Brands[[#This Row],[Density]])*Table_Input_InorganicFertiliser_Brands[[#This Row],[Application area (ha)]]</f>
        <v>10000</v>
      </c>
      <c r="J13" s="69"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69"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69"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69"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69"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69"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69"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69"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69"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69"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69"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69"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49" cm="1">
        <f t="array" ref="W13">IFERROR(Fertiliser_InputFunctions.Fertiliser_FertiliserProductLookup(Table_Input_InorganicFertiliser_Brands[[#This Row],[Product (select)]], "N declared", FertiliserProducts[#Data], FertiliserProducts[Product], FertiliserProducts[#Headers])*0.01, 0)</f>
        <v>0.24</v>
      </c>
      <c r="X13"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69" t="str">
        <f>IFERROR(_xlfn.XLOOKUP(Table_Input_InorganicFertiliser_Brands[[#This Row],[Product (select)]],FertiliserProducts[Product],FertiliserProducts[Urea source]), "")</f>
        <v/>
      </c>
      <c r="Z13" s="69" t="str">
        <f>IFERROR(_xlfn.XLOOKUP(Table_Input_InorganicFertiliser_Brands[[#This Row],[Product (select)]],FertiliserProducts[Product],FertiliserProducts[Ammonia source]), "")</f>
        <v/>
      </c>
    </row>
    <row r="14" spans="1:27" ht="20.100000000000001" customHeight="1" x14ac:dyDescent="0.25">
      <c r="A14" s="16" t="str">
        <f>HYPERLINK("#'Input - Solid waste'!A1", "Solid waste")</f>
        <v>Solid waste</v>
      </c>
      <c r="D14" s="67" t="s">
        <v>936</v>
      </c>
      <c r="E14" s="68">
        <v>100</v>
      </c>
      <c r="F14" s="49" t="str">
        <f>IFERROR(_xlfn.XLOOKUP(Table_Input_InorganicFertiliser_Brands[[#This Row],[Product (select)]],FertiliserProducts[Product],FertiliserProducts[Unit]), "kg")</f>
        <v>kg</v>
      </c>
      <c r="G14" s="68">
        <f t="shared" si="0"/>
        <v>100</v>
      </c>
      <c r="H14" s="219">
        <f>IFERROR(_xlfn.XLOOKUP(Table_Input_InorganicFertiliser_Brands[[#This Row],[Product (select)]],FertiliserProducts[Product],FertiliserProducts[Density]), 1)</f>
        <v>1</v>
      </c>
      <c r="I14" s="69">
        <f>(Table_Input_InorganicFertiliser_Brands[[#This Row],[Amount applied per hectare]]*Table_Input_InorganicFertiliser_Brands[[#This Row],[Density]])*Table_Input_InorganicFertiliser_Brands[[#This Row],[Application area (ha)]]</f>
        <v>10000</v>
      </c>
      <c r="J14" s="69"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69"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69"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69"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69"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69"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69"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69"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69"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69"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69"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69"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49" cm="1">
        <f t="array" ref="W14">IFERROR(Fertiliser_InputFunctions.Fertiliser_FertiliserProductLookup(Table_Input_InorganicFertiliser_Brands[[#This Row],[Product (select)]], "N declared", FertiliserProducts[#Data], FertiliserProducts[Product], FertiliserProducts[#Headers])*0.01, 0)</f>
        <v>0.17899999999999999</v>
      </c>
      <c r="X14"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69" t="str">
        <f>IFERROR(_xlfn.XLOOKUP(Table_Input_InorganicFertiliser_Brands[[#This Row],[Product (select)]],FertiliserProducts[Product],FertiliserProducts[Urea source]), "")</f>
        <v/>
      </c>
      <c r="Z14" s="69" t="str">
        <f>IFERROR(_xlfn.XLOOKUP(Table_Input_InorganicFertiliser_Brands[[#This Row],[Product (select)]],FertiliserProducts[Product],FertiliserProducts[Ammonia source]), "")</f>
        <v/>
      </c>
    </row>
    <row r="15" spans="1:27" ht="20.100000000000001" customHeight="1" x14ac:dyDescent="0.25">
      <c r="A15" s="16" t="str">
        <f>HYPERLINK("#'Input - Manure sent off-site'!A1", "Manure sent off-site")</f>
        <v>Manure sent off-site</v>
      </c>
      <c r="D15" s="67"/>
      <c r="E15" s="68"/>
      <c r="F15" s="49" t="str">
        <f>IFERROR(_xlfn.XLOOKUP(Table_Input_InorganicFertiliser_Brands[[#This Row],[Product (select)]],FertiliserProducts[Product],FertiliserProducts[Unit]), "kg")</f>
        <v>kg</v>
      </c>
      <c r="G15" s="68">
        <f t="shared" si="0"/>
        <v>100</v>
      </c>
      <c r="H15" s="219">
        <f>IFERROR(_xlfn.XLOOKUP(Table_Input_InorganicFertiliser_Brands[[#This Row],[Product (select)]],FertiliserProducts[Product],FertiliserProducts[Density]), 1)</f>
        <v>1</v>
      </c>
      <c r="I15" s="69">
        <f>(Table_Input_InorganicFertiliser_Brands[[#This Row],[Amount applied per hectare]]*Table_Input_InorganicFertiliser_Brands[[#This Row],[Density]])*Table_Input_InorganicFertiliser_Brands[[#This Row],[Application area (ha)]]</f>
        <v>0</v>
      </c>
      <c r="J15" s="69"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69"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69"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69"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69"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69"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69"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69"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69"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69"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69"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69"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49" cm="1">
        <f t="array" ref="W15">IFERROR(Fertiliser_InputFunctions.Fertiliser_FertiliserProductLookup(Table_Input_InorganicFertiliser_Brands[[#This Row],[Product (select)]], "N declared", FertiliserProducts[#Data], FertiliserProducts[Product], FertiliserProducts[#Headers])*0.01, 0)</f>
        <v>0</v>
      </c>
      <c r="X15"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69" t="str">
        <f>IFERROR(_xlfn.XLOOKUP(Table_Input_InorganicFertiliser_Brands[[#This Row],[Product (select)]],FertiliserProducts[Product],FertiliserProducts[Urea source]), "")</f>
        <v/>
      </c>
      <c r="Z15" s="69" t="str">
        <f>IFERROR(_xlfn.XLOOKUP(Table_Input_InorganicFertiliser_Brands[[#This Row],[Product (select)]],FertiliserProducts[Product],FertiliserProducts[Ammonia source]), "")</f>
        <v/>
      </c>
    </row>
    <row r="16" spans="1:27" ht="20.100000000000001" customHeight="1" x14ac:dyDescent="0.25">
      <c r="A16" s="16" t="str">
        <f>HYPERLINK("#'Input - Electricity'!A1", "Electricity")</f>
        <v>Electricity</v>
      </c>
      <c r="D16" s="67"/>
      <c r="E16" s="68"/>
      <c r="F16" s="49" t="str">
        <f>IFERROR(_xlfn.XLOOKUP(Table_Input_InorganicFertiliser_Brands[[#This Row],[Product (select)]],FertiliserProducts[Product],FertiliserProducts[Unit]), "kg")</f>
        <v>kg</v>
      </c>
      <c r="G16" s="68">
        <f t="shared" ref="G16" si="2">X_Cell_Fertiliser_AreaUnderCropping</f>
        <v>100</v>
      </c>
      <c r="H16" s="219">
        <f>IFERROR(_xlfn.XLOOKUP(Table_Input_InorganicFertiliser_Brands[[#This Row],[Product (select)]],FertiliserProducts[Product],FertiliserProducts[Density]), 1)</f>
        <v>1</v>
      </c>
      <c r="I16" s="69">
        <f>(Table_Input_InorganicFertiliser_Brands[[#This Row],[Amount applied per hectare]]*Table_Input_InorganicFertiliser_Brands[[#This Row],[Density]])*Table_Input_InorganicFertiliser_Brands[[#This Row],[Application area (ha)]]</f>
        <v>0</v>
      </c>
      <c r="J16" s="69"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69"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69"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69"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69"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69"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69"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69"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69"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69"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69"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69"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49" cm="1">
        <f t="array" ref="W16">IFERROR(Fertiliser_InputFunctions.Fertiliser_FertiliserProductLookup(Table_Input_InorganicFertiliser_Brands[[#This Row],[Product (select)]], "N declared", FertiliserProducts[#Data], FertiliserProducts[Product], FertiliserProducts[#Headers])*0.01, 0)</f>
        <v>0</v>
      </c>
      <c r="X16"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69" t="str">
        <f>IFERROR(_xlfn.XLOOKUP(Table_Input_InorganicFertiliser_Brands[[#This Row],[Product (select)]],FertiliserProducts[Product],FertiliserProducts[Urea source]), "")</f>
        <v/>
      </c>
      <c r="Z16" s="69" t="str">
        <f>IFERROR(_xlfn.XLOOKUP(Table_Input_InorganicFertiliser_Brands[[#This Row],[Product (select)]],FertiliserProducts[Product],FertiliserProducts[Ammonia source]), "")</f>
        <v/>
      </c>
    </row>
    <row r="17" spans="1:26" ht="20.100000000000001" customHeight="1" x14ac:dyDescent="0.25">
      <c r="A17"/>
      <c r="D17" s="67"/>
      <c r="E17" s="68"/>
      <c r="F17" s="49" t="str">
        <f>IFERROR(_xlfn.XLOOKUP(Table_Input_InorganicFertiliser_Brands[[#This Row],[Product (select)]],FertiliserProducts[Product],FertiliserProducts[Unit]), "kg")</f>
        <v>kg</v>
      </c>
      <c r="G17" s="68">
        <f t="shared" ref="G17" si="3">X_Cell_Fertiliser_AreaUnderCropping</f>
        <v>100</v>
      </c>
      <c r="H17" s="219">
        <f>IFERROR(_xlfn.XLOOKUP(Table_Input_InorganicFertiliser_Brands[[#This Row],[Product (select)]],FertiliserProducts[Product],FertiliserProducts[Density]), 1)</f>
        <v>1</v>
      </c>
      <c r="I17" s="69">
        <f>(Table_Input_InorganicFertiliser_Brands[[#This Row],[Amount applied per hectare]]*Table_Input_InorganicFertiliser_Brands[[#This Row],[Density]])*Table_Input_InorganicFertiliser_Brands[[#This Row],[Application area (ha)]]</f>
        <v>0</v>
      </c>
      <c r="J17" s="69"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69"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69"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69"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69"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69"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69"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69"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69"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69"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69"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69"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49" cm="1">
        <f t="array" ref="W17">IFERROR(Fertiliser_InputFunctions.Fertiliser_FertiliserProductLookup(Table_Input_InorganicFertiliser_Brands[[#This Row],[Product (select)]], "N declared", FertiliserProducts[#Data], FertiliserProducts[Product], FertiliserProducts[#Headers])*0.01, 0)</f>
        <v>0</v>
      </c>
      <c r="X17"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69" t="str">
        <f>IFERROR(_xlfn.XLOOKUP(Table_Input_InorganicFertiliser_Brands[[#This Row],[Product (select)]],FertiliserProducts[Product],FertiliserProducts[Urea source]), "")</f>
        <v/>
      </c>
      <c r="Z17" s="69" t="str">
        <f>IFERROR(_xlfn.XLOOKUP(Table_Input_InorganicFertiliser_Brands[[#This Row],[Product (select)]],FertiliserProducts[Product],FertiliserProducts[Ammonia source]), "")</f>
        <v/>
      </c>
    </row>
    <row r="18" spans="1:26" ht="20.100000000000001" customHeight="1" x14ac:dyDescent="0.25">
      <c r="A18"/>
      <c r="D18" s="67"/>
      <c r="E18" s="68"/>
      <c r="F18" s="49" t="str">
        <f>IFERROR(_xlfn.XLOOKUP(Table_Input_InorganicFertiliser_Brands[[#This Row],[Product (select)]],FertiliserProducts[Product],FertiliserProducts[Unit]), "kg")</f>
        <v>kg</v>
      </c>
      <c r="G18" s="68">
        <f t="shared" ref="G18" si="4">X_Cell_Fertiliser_AreaUnderCropping</f>
        <v>100</v>
      </c>
      <c r="H18" s="219">
        <f>IFERROR(_xlfn.XLOOKUP(Table_Input_InorganicFertiliser_Brands[[#This Row],[Product (select)]],FertiliserProducts[Product],FertiliserProducts[Density]), 1)</f>
        <v>1</v>
      </c>
      <c r="I18" s="69">
        <f>(Table_Input_InorganicFertiliser_Brands[[#This Row],[Amount applied per hectare]]*Table_Input_InorganicFertiliser_Brands[[#This Row],[Density]])*Table_Input_InorganicFertiliser_Brands[[#This Row],[Application area (ha)]]</f>
        <v>0</v>
      </c>
      <c r="J18" s="69"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69"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69"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69"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69"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69"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69"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69"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69"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69"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69"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69"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49" cm="1">
        <f t="array" ref="W18">IFERROR(Fertiliser_InputFunctions.Fertiliser_FertiliserProductLookup(Table_Input_InorganicFertiliser_Brands[[#This Row],[Product (select)]], "N declared", FertiliserProducts[#Data], FertiliserProducts[Product], FertiliserProducts[#Headers])*0.01, 0)</f>
        <v>0</v>
      </c>
      <c r="X18"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69" t="str">
        <f>IFERROR(_xlfn.XLOOKUP(Table_Input_InorganicFertiliser_Brands[[#This Row],[Product (select)]],FertiliserProducts[Product],FertiliserProducts[Urea source]), "")</f>
        <v/>
      </c>
      <c r="Z18" s="69" t="str">
        <f>IFERROR(_xlfn.XLOOKUP(Table_Input_InorganicFertiliser_Brands[[#This Row],[Product (select)]],FertiliserProducts[Product],FertiliserProducts[Ammonia source]), "")</f>
        <v/>
      </c>
    </row>
    <row r="19" spans="1:26" ht="20.100000000000001" customHeight="1" x14ac:dyDescent="0.25">
      <c r="A19" s="21" t="s">
        <v>77</v>
      </c>
      <c r="D19" s="67"/>
      <c r="E19" s="68"/>
      <c r="F19" s="49" t="str">
        <f>IFERROR(_xlfn.XLOOKUP(Table_Input_InorganicFertiliser_Brands[[#This Row],[Product (select)]],FertiliserProducts[Product],FertiliserProducts[Unit]), "kg")</f>
        <v>kg</v>
      </c>
      <c r="G19" s="68">
        <f t="shared" ref="G19" si="5">X_Cell_Fertiliser_AreaUnderCropping</f>
        <v>100</v>
      </c>
      <c r="H19" s="219">
        <f>IFERROR(_xlfn.XLOOKUP(Table_Input_InorganicFertiliser_Brands[[#This Row],[Product (select)]],FertiliserProducts[Product],FertiliserProducts[Density]), 1)</f>
        <v>1</v>
      </c>
      <c r="I19" s="69">
        <f>(Table_Input_InorganicFertiliser_Brands[[#This Row],[Amount applied per hectare]]*Table_Input_InorganicFertiliser_Brands[[#This Row],[Density]])*Table_Input_InorganicFertiliser_Brands[[#This Row],[Application area (ha)]]</f>
        <v>0</v>
      </c>
      <c r="J19" s="69"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69"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69"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69"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69"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69"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69"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69"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69"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69"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69"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69"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49" cm="1">
        <f t="array" ref="W19">IFERROR(Fertiliser_InputFunctions.Fertiliser_FertiliserProductLookup(Table_Input_InorganicFertiliser_Brands[[#This Row],[Product (select)]], "N declared", FertiliserProducts[#Data], FertiliserProducts[Product], FertiliserProducts[#Headers])*0.01, 0)</f>
        <v>0</v>
      </c>
      <c r="X19"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69" t="str">
        <f>IFERROR(_xlfn.XLOOKUP(Table_Input_InorganicFertiliser_Brands[[#This Row],[Product (select)]],FertiliserProducts[Product],FertiliserProducts[Urea source]), "")</f>
        <v/>
      </c>
      <c r="Z19" s="69" t="str">
        <f>IFERROR(_xlfn.XLOOKUP(Table_Input_InorganicFertiliser_Brands[[#This Row],[Product (select)]],FertiliserProducts[Product],FertiliserProducts[Ammonia source]), "")</f>
        <v/>
      </c>
    </row>
    <row r="20" spans="1:26" ht="20.100000000000001" customHeight="1" x14ac:dyDescent="0.25">
      <c r="A20" s="16" t="str">
        <f>HYPERLINK("#'15 Scope 3'!A1", "15 Scope 3")</f>
        <v>15 Scope 3</v>
      </c>
      <c r="D20" s="67"/>
      <c r="E20" s="68"/>
      <c r="F20" s="49" t="str">
        <f>IFERROR(_xlfn.XLOOKUP(Table_Input_InorganicFertiliser_Brands[[#This Row],[Product (select)]],FertiliserProducts[Product],FertiliserProducts[Unit]), "kg")</f>
        <v>kg</v>
      </c>
      <c r="G20" s="68">
        <f t="shared" ref="G20" si="6">X_Cell_Fertiliser_AreaUnderCropping</f>
        <v>100</v>
      </c>
      <c r="H20" s="219">
        <f>IFERROR(_xlfn.XLOOKUP(Table_Input_InorganicFertiliser_Brands[[#This Row],[Product (select)]],FertiliserProducts[Product],FertiliserProducts[Density]), 1)</f>
        <v>1</v>
      </c>
      <c r="I20" s="69">
        <f>(Table_Input_InorganicFertiliser_Brands[[#This Row],[Amount applied per hectare]]*Table_Input_InorganicFertiliser_Brands[[#This Row],[Density]])*Table_Input_InorganicFertiliser_Brands[[#This Row],[Application area (ha)]]</f>
        <v>0</v>
      </c>
      <c r="J20" s="69"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69"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69"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69"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69"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69"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69"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69"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69"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69"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69"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69"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49" cm="1">
        <f t="array" ref="W20">IFERROR(Fertiliser_InputFunctions.Fertiliser_FertiliserProductLookup(Table_Input_InorganicFertiliser_Brands[[#This Row],[Product (select)]], "N declared", FertiliserProducts[#Data], FertiliserProducts[Product], FertiliserProducts[#Headers])*0.01, 0)</f>
        <v>0</v>
      </c>
      <c r="X20"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69" t="str">
        <f>IFERROR(_xlfn.XLOOKUP(Table_Input_InorganicFertiliser_Brands[[#This Row],[Product (select)]],FertiliserProducts[Product],FertiliserProducts[Urea source]), "")</f>
        <v/>
      </c>
      <c r="Z20" s="69" t="str">
        <f>IFERROR(_xlfn.XLOOKUP(Table_Input_InorganicFertiliser_Brands[[#This Row],[Product (select)]],FertiliserProducts[Product],FertiliserProducts[Ammonia source]), "")</f>
        <v/>
      </c>
    </row>
    <row r="21" spans="1:26" ht="20.100000000000001" customHeight="1" x14ac:dyDescent="0.25">
      <c r="A21" s="16" t="str">
        <f>HYPERLINK("#'10.1.1-2 Solid waste treatment'!A1", "10.1.1-2 Solid waste treatment")</f>
        <v>10.1.1-2 Solid waste treatment</v>
      </c>
      <c r="D21" s="67"/>
      <c r="E21" s="68"/>
      <c r="F21" s="49" t="str">
        <f>IFERROR(_xlfn.XLOOKUP(Table_Input_InorganicFertiliser_Brands[[#This Row],[Product (select)]],FertiliserProducts[Product],FertiliserProducts[Unit]), "kg")</f>
        <v>kg</v>
      </c>
      <c r="G21" s="68">
        <f t="shared" ref="G21" si="7">X_Cell_Fertiliser_AreaUnderCropping</f>
        <v>100</v>
      </c>
      <c r="H21" s="219">
        <f>IFERROR(_xlfn.XLOOKUP(Table_Input_InorganicFertiliser_Brands[[#This Row],[Product (select)]],FertiliserProducts[Product],FertiliserProducts[Density]), 1)</f>
        <v>1</v>
      </c>
      <c r="I21" s="69">
        <f>(Table_Input_InorganicFertiliser_Brands[[#This Row],[Amount applied per hectare]]*Table_Input_InorganicFertiliser_Brands[[#This Row],[Density]])*Table_Input_InorganicFertiliser_Brands[[#This Row],[Application area (ha)]]</f>
        <v>0</v>
      </c>
      <c r="J21" s="69"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69"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69"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69"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69"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69"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69"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69"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69"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69"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69"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69"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6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49" cm="1">
        <f t="array" ref="W21">IFERROR(Fertiliser_InputFunctions.Fertiliser_FertiliserProductLookup(Table_Input_InorganicFertiliser_Brands[[#This Row],[Product (select)]], "N declared", FertiliserProducts[#Data], FertiliserProducts[Product], FertiliserProducts[#Headers])*0.01, 0)</f>
        <v>0</v>
      </c>
      <c r="X21" s="6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69" t="str">
        <f>IFERROR(_xlfn.XLOOKUP(Table_Input_InorganicFertiliser_Brands[[#This Row],[Product (select)]],FertiliserProducts[Product],FertiliserProducts[Urea source]), "")</f>
        <v/>
      </c>
      <c r="Z21" s="69" t="str">
        <f>IFERROR(_xlfn.XLOOKUP(Table_Input_InorganicFertiliser_Brands[[#This Row],[Product (select)]],FertiliserProducts[Product],FertiliserProducts[Ammonia source]), "")</f>
        <v/>
      </c>
    </row>
    <row r="22" spans="1:26" ht="20.100000000000001" customHeight="1" x14ac:dyDescent="0.25">
      <c r="A22" s="16" t="str">
        <f>HYPERLINK("#'Calcs - Manure sent off-site'!A1", "Calcs - Manure sent off-site")</f>
        <v>Calcs - Manure sent off-site</v>
      </c>
      <c r="D22" s="70"/>
      <c r="E22" s="71"/>
      <c r="F22" s="72"/>
      <c r="G22" s="72"/>
      <c r="H22" s="72"/>
      <c r="I22" s="72"/>
      <c r="J22" s="220"/>
      <c r="K22" s="220"/>
      <c r="L22" s="221"/>
      <c r="M22" s="221"/>
      <c r="N22" s="51"/>
      <c r="O22" s="51"/>
      <c r="P22" s="51"/>
      <c r="Q22" s="51"/>
      <c r="R22" s="51"/>
      <c r="S22" s="51"/>
      <c r="T22" s="51"/>
      <c r="U22" s="51"/>
      <c r="V22" s="51"/>
      <c r="W22" s="51"/>
      <c r="X22" s="51"/>
      <c r="Z22" s="8"/>
    </row>
    <row r="23" spans="1:26" ht="20.100000000000001" customHeight="1" x14ac:dyDescent="0.25">
      <c r="A23" s="16" t="str">
        <f>HYPERLINK("#'8.1.1.1-2 Transport fuel'!A1", "8.1.1.1-2 Transport fuel")</f>
        <v>8.1.1.1-2 Transport fuel</v>
      </c>
      <c r="D23" s="73" t="s">
        <v>203</v>
      </c>
      <c r="E23" s="222"/>
      <c r="F23" s="222"/>
      <c r="G23" s="222"/>
      <c r="H23" s="222"/>
      <c r="I23" s="222"/>
      <c r="J23" s="222"/>
      <c r="K23" s="222"/>
      <c r="L23" s="222"/>
      <c r="M23" s="222"/>
      <c r="N23" s="51"/>
      <c r="O23" s="51"/>
      <c r="P23" s="51"/>
      <c r="Q23" s="51"/>
      <c r="R23" s="51"/>
      <c r="S23" s="51"/>
      <c r="T23" s="51"/>
      <c r="V23" s="51"/>
      <c r="W23" s="51"/>
      <c r="X23" s="51"/>
      <c r="Z23" s="8"/>
    </row>
    <row r="24" spans="1:26" ht="20.100000000000001" customHeight="1" x14ac:dyDescent="0.25">
      <c r="A24" s="16" t="str">
        <f>HYPERLINK("#'8.2.1.1-2 Stationary fuel'!A1", "8.2.1.1-2 Stationary fuel")</f>
        <v>8.2.1.1-2 Stationary fuel</v>
      </c>
      <c r="D24" s="145" t="s">
        <v>204</v>
      </c>
      <c r="E24" s="145" t="s">
        <v>937</v>
      </c>
      <c r="F24" s="145" t="s">
        <v>200</v>
      </c>
      <c r="G24" s="145" t="s">
        <v>201</v>
      </c>
      <c r="H24" s="145" t="s">
        <v>205</v>
      </c>
      <c r="I24" s="145" t="s">
        <v>172</v>
      </c>
      <c r="J24" s="145" t="s">
        <v>173</v>
      </c>
      <c r="K24" s="145" t="s">
        <v>174</v>
      </c>
      <c r="L24" s="145" t="s">
        <v>175</v>
      </c>
      <c r="M24" s="145" t="s">
        <v>176</v>
      </c>
      <c r="N24" s="145" t="s">
        <v>177</v>
      </c>
      <c r="O24" s="145" t="s">
        <v>178</v>
      </c>
      <c r="P24" s="145" t="s">
        <v>202</v>
      </c>
      <c r="Q24" s="46" t="s">
        <v>856</v>
      </c>
      <c r="R24" s="46" t="s">
        <v>857</v>
      </c>
      <c r="S24" s="51"/>
      <c r="T24" s="51"/>
      <c r="V24" s="51"/>
      <c r="W24" s="51"/>
      <c r="X24" s="51"/>
      <c r="Z24" s="8"/>
    </row>
    <row r="25" spans="1:26" ht="20.100000000000001" customHeight="1" x14ac:dyDescent="0.25">
      <c r="A25"/>
      <c r="D25" s="74" t="s">
        <v>206</v>
      </c>
      <c r="E25" s="145">
        <v>100</v>
      </c>
      <c r="F25" s="68">
        <f t="shared" ref="F25:F34" si="8">X_Cell_Fertiliser_AreaUnderCropping</f>
        <v>100</v>
      </c>
      <c r="G25" s="69">
        <f>Table_Input_InorganicFertiliser_Custom[[#This Row],[Amount applied (kg / ha)]]*Table_Input_InorganicFertiliser_Custom[[#This Row],[Application area (ha)]]</f>
        <v>10000</v>
      </c>
      <c r="H25" s="75" t="s">
        <v>314</v>
      </c>
      <c r="I25" s="76">
        <v>0.5</v>
      </c>
      <c r="J25" s="75" t="s">
        <v>938</v>
      </c>
      <c r="K25" s="76">
        <v>0.2</v>
      </c>
      <c r="L25" s="75" t="s">
        <v>208</v>
      </c>
      <c r="M25" s="76">
        <v>0.2</v>
      </c>
      <c r="N25" s="77" t="s">
        <v>209</v>
      </c>
      <c r="O25" s="78">
        <v>0.1</v>
      </c>
      <c r="P25"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47"/>
      <c r="R25" s="47"/>
      <c r="T25" s="27"/>
      <c r="V25" s="51"/>
      <c r="Z25" s="8"/>
    </row>
    <row r="26" spans="1:26" ht="20.100000000000001" customHeight="1" x14ac:dyDescent="0.25">
      <c r="A26"/>
      <c r="D26" s="74" t="s">
        <v>939</v>
      </c>
      <c r="E26" s="145">
        <v>100</v>
      </c>
      <c r="F26" s="68">
        <f t="shared" si="8"/>
        <v>100</v>
      </c>
      <c r="G26" s="69">
        <f>Table_Input_InorganicFertiliser_Custom[[#This Row],[Amount applied (kg / ha)]]*Table_Input_InorganicFertiliser_Custom[[#This Row],[Application area (ha)]]</f>
        <v>10000</v>
      </c>
      <c r="H26" s="75" t="s">
        <v>207</v>
      </c>
      <c r="I26" s="79">
        <v>1</v>
      </c>
      <c r="J26" s="75"/>
      <c r="K26" s="79"/>
      <c r="L26" s="75"/>
      <c r="M26" s="79"/>
      <c r="N26" s="77"/>
      <c r="O26" s="78"/>
      <c r="P26"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47"/>
      <c r="R26" s="47"/>
      <c r="V26" s="51"/>
      <c r="W26" s="27"/>
      <c r="Z26" s="8"/>
    </row>
    <row r="27" spans="1:26" ht="20.100000000000001" customHeight="1" x14ac:dyDescent="0.25">
      <c r="A27" s="213" t="s">
        <v>78</v>
      </c>
      <c r="D27" s="74" t="s">
        <v>940</v>
      </c>
      <c r="E27" s="145">
        <v>100</v>
      </c>
      <c r="F27" s="68">
        <f t="shared" si="8"/>
        <v>100</v>
      </c>
      <c r="G27" s="69">
        <f>Table_Input_InorganicFertiliser_Custom[[#This Row],[Amount applied (kg / ha)]]*Table_Input_InorganicFertiliser_Custom[[#This Row],[Application area (ha)]]</f>
        <v>10000</v>
      </c>
      <c r="H27" s="75" t="s">
        <v>315</v>
      </c>
      <c r="I27" s="79">
        <v>0.5</v>
      </c>
      <c r="J27" s="75"/>
      <c r="K27" s="79"/>
      <c r="L27" s="75"/>
      <c r="M27" s="79"/>
      <c r="N27" s="77"/>
      <c r="O27" s="78"/>
      <c r="P27"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47"/>
      <c r="R27" s="47"/>
      <c r="V27" s="51"/>
      <c r="Z27" s="8"/>
    </row>
    <row r="28" spans="1:26" ht="20.100000000000001" customHeight="1" x14ac:dyDescent="0.25">
      <c r="A28" s="16" t="str">
        <f>HYPERLINK("#'Constants - Scope 3'!A1", "Constants - Scope 3")</f>
        <v>Constants - Scope 3</v>
      </c>
      <c r="D28" s="74"/>
      <c r="E28" s="145"/>
      <c r="F28" s="139">
        <f t="shared" si="8"/>
        <v>100</v>
      </c>
      <c r="G28" s="69">
        <f>Table_Input_InorganicFertiliser_Custom[[#This Row],[Amount applied (kg / ha)]]*Table_Input_InorganicFertiliser_Custom[[#This Row],[Application area (ha)]]</f>
        <v>0</v>
      </c>
      <c r="H28" s="75"/>
      <c r="I28" s="79"/>
      <c r="J28" s="75"/>
      <c r="K28" s="79"/>
      <c r="L28" s="75"/>
      <c r="M28" s="79"/>
      <c r="N28" s="77"/>
      <c r="O28" s="78"/>
      <c r="P28"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47"/>
      <c r="R28" s="47"/>
      <c r="V28" s="27"/>
      <c r="Z28" s="8"/>
    </row>
    <row r="29" spans="1:26" ht="20.100000000000001" customHeight="1" x14ac:dyDescent="0.25">
      <c r="A29" s="16" t="str">
        <f>HYPERLINK("#'Constants - Solid Waste'!A1", "Constants - Solid Waste")</f>
        <v>Constants - Solid Waste</v>
      </c>
      <c r="D29" s="74"/>
      <c r="E29" s="145"/>
      <c r="F29" s="139">
        <f t="shared" si="8"/>
        <v>100</v>
      </c>
      <c r="G29" s="69">
        <f>Table_Input_InorganicFertiliser_Custom[[#This Row],[Amount applied (kg / ha)]]*Table_Input_InorganicFertiliser_Custom[[#This Row],[Application area (ha)]]</f>
        <v>0</v>
      </c>
      <c r="H29" s="75"/>
      <c r="I29" s="79"/>
      <c r="J29" s="75"/>
      <c r="K29" s="79"/>
      <c r="L29" s="75"/>
      <c r="M29" s="79"/>
      <c r="N29" s="77"/>
      <c r="O29" s="78"/>
      <c r="P29"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47"/>
      <c r="R29" s="47"/>
      <c r="Z29" s="8"/>
    </row>
    <row r="30" spans="1:26" ht="20.100000000000001" customHeight="1" x14ac:dyDescent="0.25">
      <c r="A30" s="16" t="str">
        <f>HYPERLINK("#'Constants - Fuel'!A1", "Constants - Fuel")</f>
        <v>Constants - Fuel</v>
      </c>
      <c r="D30" s="74"/>
      <c r="E30" s="145"/>
      <c r="F30" s="139">
        <f t="shared" si="8"/>
        <v>100</v>
      </c>
      <c r="G30" s="69">
        <f>Table_Input_InorganicFertiliser_Custom[[#This Row],[Amount applied (kg / ha)]]*Table_Input_InorganicFertiliser_Custom[[#This Row],[Application area (ha)]]</f>
        <v>0</v>
      </c>
      <c r="H30" s="75"/>
      <c r="I30" s="79"/>
      <c r="J30" s="75"/>
      <c r="K30" s="79"/>
      <c r="L30" s="75"/>
      <c r="M30" s="79"/>
      <c r="N30" s="77"/>
      <c r="O30" s="78"/>
      <c r="P30"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47"/>
      <c r="R30" s="47"/>
      <c r="Z30" s="8"/>
    </row>
    <row r="31" spans="1:26" ht="20.100000000000001" customHeight="1" x14ac:dyDescent="0.25">
      <c r="A31" s="16" t="str">
        <f>HYPERLINK("#'Constants - Poultry'!A1", "Constants - Poultry")</f>
        <v>Constants - Poultry</v>
      </c>
      <c r="D31" s="74"/>
      <c r="E31" s="145"/>
      <c r="F31" s="139">
        <f t="shared" si="8"/>
        <v>100</v>
      </c>
      <c r="G31" s="69">
        <f>Table_Input_InorganicFertiliser_Custom[[#This Row],[Amount applied (kg / ha)]]*Table_Input_InorganicFertiliser_Custom[[#This Row],[Application area (ha)]]</f>
        <v>0</v>
      </c>
      <c r="H31" s="75"/>
      <c r="I31" s="79"/>
      <c r="J31" s="75"/>
      <c r="K31" s="79"/>
      <c r="L31" s="75"/>
      <c r="M31" s="79"/>
      <c r="N31" s="77"/>
      <c r="O31" s="78"/>
      <c r="P31"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47"/>
      <c r="R31" s="47"/>
      <c r="Z31" s="8"/>
    </row>
    <row r="32" spans="1:26" ht="20.100000000000001" customHeight="1" x14ac:dyDescent="0.25">
      <c r="A32" s="16" t="str">
        <f>HYPERLINK("#'Constants - Swine'!A1", "Constants - Swine")</f>
        <v>Constants - Swine</v>
      </c>
      <c r="D32" s="74"/>
      <c r="E32" s="145"/>
      <c r="F32" s="139">
        <f t="shared" si="8"/>
        <v>100</v>
      </c>
      <c r="G32" s="69">
        <f>Table_Input_InorganicFertiliser_Custom[[#This Row],[Amount applied (kg / ha)]]*Table_Input_InorganicFertiliser_Custom[[#This Row],[Application area (ha)]]</f>
        <v>0</v>
      </c>
      <c r="H32" s="75"/>
      <c r="I32" s="79"/>
      <c r="J32" s="75"/>
      <c r="K32" s="79"/>
      <c r="L32" s="75"/>
      <c r="M32" s="79"/>
      <c r="N32" s="77"/>
      <c r="O32" s="78"/>
      <c r="P32"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47"/>
      <c r="R32" s="47"/>
      <c r="Z32" s="8"/>
    </row>
    <row r="33" spans="1:27" ht="20.100000000000001" customHeight="1" x14ac:dyDescent="0.25">
      <c r="A33" s="16" t="str">
        <f>HYPERLINK("#'Constants - Dairy'!A1", "Constants - Dairy")</f>
        <v>Constants - Dairy</v>
      </c>
      <c r="D33" s="74"/>
      <c r="E33" s="145"/>
      <c r="F33" s="139">
        <f t="shared" si="8"/>
        <v>100</v>
      </c>
      <c r="G33" s="69">
        <f>Table_Input_InorganicFertiliser_Custom[[#This Row],[Amount applied (kg / ha)]]*Table_Input_InorganicFertiliser_Custom[[#This Row],[Application area (ha)]]</f>
        <v>0</v>
      </c>
      <c r="H33" s="75"/>
      <c r="I33" s="79"/>
      <c r="J33" s="75"/>
      <c r="K33" s="79"/>
      <c r="L33" s="75"/>
      <c r="M33" s="79"/>
      <c r="N33" s="77"/>
      <c r="O33" s="78"/>
      <c r="P33"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47"/>
      <c r="R33" s="47"/>
      <c r="Z33" s="8"/>
    </row>
    <row r="34" spans="1:27" ht="20.100000000000001" customHeight="1" x14ac:dyDescent="0.25">
      <c r="A34" s="16" t="str">
        <f>HYPERLINK("#'Constants - Pasture Beef'!A1", "Constants - Pasture Beef")</f>
        <v>Constants - Pasture Beef</v>
      </c>
      <c r="D34" s="74"/>
      <c r="E34" s="145"/>
      <c r="F34" s="139">
        <f t="shared" si="8"/>
        <v>100</v>
      </c>
      <c r="G34" s="69">
        <f>Table_Input_InorganicFertiliser_Custom[[#This Row],[Amount applied (kg / ha)]]*Table_Input_InorganicFertiliser_Custom[[#This Row],[Application area (ha)]]</f>
        <v>0</v>
      </c>
      <c r="H34" s="75"/>
      <c r="I34" s="79"/>
      <c r="J34" s="75"/>
      <c r="K34" s="79"/>
      <c r="L34" s="75"/>
      <c r="M34" s="79"/>
      <c r="N34" s="77"/>
      <c r="O34" s="78"/>
      <c r="P34" s="6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47"/>
      <c r="R34" s="47"/>
      <c r="Z34" s="8"/>
    </row>
    <row r="35" spans="1:27" ht="20.100000000000001" customHeight="1" x14ac:dyDescent="0.25">
      <c r="A35" s="16" t="str">
        <f>HYPERLINK("#'Constants - Common Livestock'!A1", "Constants - Common Livestock")</f>
        <v>Constants - Common Livestock</v>
      </c>
      <c r="Z35" s="8"/>
    </row>
    <row r="36" spans="1:27" ht="20.100000000000001" customHeight="1" x14ac:dyDescent="0.25">
      <c r="A36" s="16" t="str">
        <f>HYPERLINK("#'Constants - Fertiliser'!A1", "Constants - Fertiliser")</f>
        <v>Constants - Fertiliser</v>
      </c>
      <c r="D36" s="9" t="s">
        <v>941</v>
      </c>
      <c r="E36" s="7"/>
      <c r="F36" s="7"/>
      <c r="G36" s="7"/>
      <c r="H36" s="7"/>
      <c r="I36" s="7"/>
      <c r="J36" s="7"/>
      <c r="K36" s="138"/>
      <c r="L36" s="138"/>
      <c r="M36" s="138"/>
      <c r="Z36" s="8"/>
    </row>
    <row r="37" spans="1:27" ht="20.100000000000001" customHeight="1" x14ac:dyDescent="0.25">
      <c r="A37" s="16" t="str">
        <f>HYPERLINK("#'Constants - Electricity'!A1", "Constants - Electricity")</f>
        <v>Constants - Electricity</v>
      </c>
      <c r="D37" s="39" t="s">
        <v>210</v>
      </c>
      <c r="E37" s="40"/>
      <c r="F37" s="40"/>
      <c r="G37" s="40"/>
      <c r="H37" s="41"/>
      <c r="I37" s="7"/>
      <c r="J37" s="7"/>
      <c r="K37" s="138"/>
      <c r="L37" s="138"/>
      <c r="M37" s="7"/>
      <c r="Z37" s="8"/>
    </row>
    <row r="38" spans="1:27" ht="20.100000000000001" customHeight="1" x14ac:dyDescent="0.25">
      <c r="A38" s="16" t="str">
        <f>HYPERLINK("#'Constants - Common'!A1", "Constants - Common")</f>
        <v>Constants - Common</v>
      </c>
      <c r="C38" s="51"/>
      <c r="D38" s="80" t="s">
        <v>211</v>
      </c>
      <c r="E38" s="81"/>
      <c r="F38" s="81"/>
      <c r="G38" s="81"/>
      <c r="H38" s="82"/>
      <c r="I38" s="138"/>
      <c r="J38" s="138"/>
      <c r="K38" s="138"/>
      <c r="L38" s="138"/>
      <c r="M38" s="138"/>
      <c r="Z38" s="8"/>
    </row>
    <row r="39" spans="1:27" ht="20.100000000000001" customHeight="1" x14ac:dyDescent="0.25">
      <c r="A39"/>
      <c r="C39" s="51"/>
      <c r="D39" s="43" t="s">
        <v>197</v>
      </c>
      <c r="E39" s="44"/>
      <c r="F39" s="44"/>
      <c r="G39" s="44"/>
      <c r="H39" s="45"/>
      <c r="I39" s="138"/>
      <c r="J39" s="138"/>
      <c r="K39" s="138"/>
      <c r="L39" s="138"/>
      <c r="M39" s="7"/>
      <c r="Z39" s="8"/>
    </row>
    <row r="40" spans="1:27" s="52" customFormat="1" ht="20.100000000000001" customHeight="1" x14ac:dyDescent="0.25">
      <c r="A40"/>
      <c r="C40" s="8"/>
      <c r="D40" s="54" t="str">
        <f>IF(MAX(Table_Input_Lime[Total]) &gt; 1, "There can not be more than 100% ingredients in a product. Check the table below.", "")</f>
        <v/>
      </c>
      <c r="E40" s="8"/>
      <c r="F40" s="8"/>
      <c r="G40" s="8"/>
      <c r="H40" s="8"/>
      <c r="I40" s="8"/>
      <c r="J40" s="8"/>
      <c r="K40" s="8"/>
      <c r="L40" s="138"/>
      <c r="M40" s="7"/>
      <c r="N40" s="8"/>
      <c r="O40" s="8"/>
      <c r="P40" s="8"/>
      <c r="Q40" s="8"/>
      <c r="R40" s="8"/>
      <c r="S40" s="8"/>
      <c r="T40" s="8"/>
      <c r="U40" s="8"/>
      <c r="V40" s="8"/>
      <c r="W40" s="8"/>
      <c r="X40" s="8"/>
      <c r="Y40" s="8"/>
      <c r="Z40" s="8"/>
      <c r="AA40" s="8"/>
    </row>
    <row r="41" spans="1:27" s="52" customFormat="1" ht="20.100000000000001" customHeight="1" x14ac:dyDescent="0.25">
      <c r="A41"/>
      <c r="C41" s="8"/>
      <c r="D41" s="83" t="s">
        <v>212</v>
      </c>
      <c r="E41" s="83" t="s">
        <v>213</v>
      </c>
      <c r="F41" s="83" t="s">
        <v>200</v>
      </c>
      <c r="G41" s="83" t="s">
        <v>214</v>
      </c>
      <c r="H41" s="83" t="s">
        <v>215</v>
      </c>
      <c r="I41" s="83" t="s">
        <v>216</v>
      </c>
      <c r="J41" s="83" t="s">
        <v>217</v>
      </c>
      <c r="K41" s="83" t="s">
        <v>218</v>
      </c>
      <c r="L41" s="8"/>
      <c r="M41" s="8"/>
      <c r="N41" s="8"/>
      <c r="O41" s="8"/>
      <c r="P41" s="8"/>
      <c r="Q41" s="8"/>
      <c r="R41" s="8"/>
      <c r="S41" s="51"/>
      <c r="T41" s="8"/>
      <c r="U41" s="8"/>
      <c r="V41" s="8"/>
      <c r="W41" s="8"/>
      <c r="X41" s="8"/>
      <c r="Y41" s="8"/>
      <c r="Z41" s="8"/>
      <c r="AA41" s="8"/>
    </row>
    <row r="42" spans="1:27" ht="20.100000000000001" customHeight="1" x14ac:dyDescent="0.25">
      <c r="A42"/>
      <c r="D42" s="84" t="s">
        <v>219</v>
      </c>
      <c r="E42" s="68">
        <v>1</v>
      </c>
      <c r="F42" s="68">
        <f>X_Cell_Fertiliser_AreaUnderCropping</f>
        <v>100</v>
      </c>
      <c r="G42" s="69">
        <f>IFERROR(Table_Input_Lime[[#This Row],[Amount applied (t/hectare)]]*Table_Input_Lime[[#This Row],[Application area (ha)]], 0)</f>
        <v>100</v>
      </c>
      <c r="H42" s="223">
        <v>0.8</v>
      </c>
      <c r="I42" s="223">
        <v>0.1</v>
      </c>
      <c r="J42" s="223">
        <v>0.1</v>
      </c>
      <c r="K42" s="85">
        <f>SUM(Table_Input_Lime[[#This Row],[Percent Lime CaCO3]:[Percent Gypsum]])</f>
        <v>1</v>
      </c>
      <c r="S42" s="51"/>
      <c r="Z42" s="8"/>
    </row>
    <row r="43" spans="1:27" ht="20.100000000000001" customHeight="1" x14ac:dyDescent="0.25">
      <c r="A43"/>
      <c r="D43" s="84" t="s">
        <v>220</v>
      </c>
      <c r="E43" s="68">
        <v>1</v>
      </c>
      <c r="F43" s="68">
        <f>X_Cell_Fertiliser_AreaUnderCropping</f>
        <v>100</v>
      </c>
      <c r="G43" s="69">
        <f>IFERROR(Table_Input_Lime[[#This Row],[Amount applied (t/hectare)]]*Table_Input_Lime[[#This Row],[Application area (ha)]], 0)</f>
        <v>100</v>
      </c>
      <c r="H43" s="223">
        <v>1</v>
      </c>
      <c r="I43" s="223"/>
      <c r="J43" s="223"/>
      <c r="K43" s="85">
        <f>SUM(Table_Input_Lime[[#This Row],[Percent Lime CaCO3]:[Percent Gypsum]])</f>
        <v>1</v>
      </c>
      <c r="Z43" s="8"/>
    </row>
    <row r="44" spans="1:27" ht="20.100000000000001" customHeight="1" x14ac:dyDescent="0.25">
      <c r="A44"/>
      <c r="D44" s="84" t="s">
        <v>942</v>
      </c>
      <c r="E44" s="68">
        <v>1</v>
      </c>
      <c r="F44" s="68">
        <f>X_Cell_Fertiliser_AreaUnderCropping</f>
        <v>100</v>
      </c>
      <c r="G44" s="69">
        <f>IFERROR(Table_Input_Lime[[#This Row],[Amount applied (t/hectare)]]*Table_Input_Lime[[#This Row],[Application area (ha)]], 0)</f>
        <v>100</v>
      </c>
      <c r="H44" s="223">
        <v>0</v>
      </c>
      <c r="I44" s="223"/>
      <c r="J44" s="223">
        <v>1</v>
      </c>
      <c r="K44" s="85">
        <f>SUM(Table_Input_Lime[[#This Row],[Percent Lime CaCO3]:[Percent Gypsum]])</f>
        <v>1</v>
      </c>
      <c r="L44" s="7"/>
      <c r="Z44" s="8"/>
    </row>
    <row r="45" spans="1:27" ht="20.100000000000001" customHeight="1" x14ac:dyDescent="0.25">
      <c r="A45"/>
      <c r="L45" s="7"/>
      <c r="M45" s="7"/>
      <c r="Z45" s="8"/>
    </row>
    <row r="46" spans="1:27" ht="20.100000000000001" customHeight="1" x14ac:dyDescent="0.25">
      <c r="A46"/>
      <c r="D46" s="138"/>
      <c r="E46" s="138"/>
      <c r="F46" s="138"/>
      <c r="G46" s="138"/>
      <c r="H46" s="138"/>
      <c r="I46" s="138"/>
      <c r="J46" s="138"/>
      <c r="L46" s="138"/>
      <c r="M46" s="7"/>
      <c r="Z46" s="8"/>
    </row>
    <row r="47" spans="1:27" ht="20.100000000000001" customHeight="1" x14ac:dyDescent="0.25">
      <c r="A47"/>
      <c r="D47" s="138"/>
      <c r="E47" s="138"/>
      <c r="F47" s="138"/>
      <c r="G47" s="138"/>
      <c r="H47" s="138"/>
      <c r="I47" s="138"/>
      <c r="J47" s="224"/>
      <c r="K47" s="7"/>
      <c r="L47" s="138"/>
      <c r="M47" s="138"/>
      <c r="Z47" s="8"/>
    </row>
    <row r="48" spans="1:27" ht="20.100000000000001" customHeight="1" x14ac:dyDescent="0.25">
      <c r="A48"/>
      <c r="D48" s="9" t="s">
        <v>943</v>
      </c>
      <c r="E48" s="7"/>
      <c r="F48" s="7"/>
      <c r="G48" s="7"/>
      <c r="H48" s="138"/>
      <c r="I48" s="138"/>
      <c r="J48" s="138"/>
      <c r="K48" s="138"/>
      <c r="L48" s="138"/>
      <c r="M48" s="138"/>
      <c r="Z48" s="8"/>
    </row>
    <row r="49" spans="1:26" ht="20.100000000000001" customHeight="1" x14ac:dyDescent="0.25">
      <c r="A49"/>
      <c r="D49" s="138"/>
      <c r="E49" s="138"/>
      <c r="F49" s="138"/>
      <c r="G49" s="138"/>
      <c r="H49" s="138"/>
      <c r="I49" s="138"/>
      <c r="J49" s="138"/>
      <c r="K49" s="138"/>
      <c r="L49" s="138"/>
      <c r="M49" s="138"/>
      <c r="Q49" s="51"/>
      <c r="R49" s="51"/>
      <c r="Z49" s="8"/>
    </row>
    <row r="50" spans="1:26" ht="20.100000000000001" customHeight="1" x14ac:dyDescent="0.25">
      <c r="A50"/>
      <c r="D50" s="39" t="s">
        <v>210</v>
      </c>
      <c r="E50" s="40"/>
      <c r="F50" s="40"/>
      <c r="G50" s="40"/>
      <c r="H50" s="41"/>
      <c r="I50" s="138"/>
      <c r="J50" s="138"/>
      <c r="K50" s="138"/>
      <c r="L50" s="138"/>
      <c r="M50" s="138"/>
      <c r="O50" s="51"/>
      <c r="P50" s="51"/>
      <c r="Q50" s="51"/>
      <c r="R50" s="51"/>
      <c r="Z50" s="8"/>
    </row>
    <row r="51" spans="1:26" ht="20.100000000000001" customHeight="1" x14ac:dyDescent="0.25">
      <c r="A51"/>
      <c r="D51" s="43" t="s">
        <v>197</v>
      </c>
      <c r="E51" s="44"/>
      <c r="F51" s="44"/>
      <c r="G51" s="44"/>
      <c r="H51" s="45"/>
      <c r="I51" s="138"/>
      <c r="J51" s="138"/>
      <c r="K51" s="138"/>
      <c r="L51" s="222"/>
      <c r="M51" s="51"/>
      <c r="N51" s="51"/>
      <c r="O51" s="51"/>
      <c r="P51" s="51"/>
      <c r="Z51" s="8"/>
    </row>
    <row r="52" spans="1:26" ht="20.100000000000001" customHeight="1" x14ac:dyDescent="0.25">
      <c r="A52"/>
      <c r="D52" s="138"/>
      <c r="E52" s="138"/>
      <c r="F52" s="138"/>
      <c r="G52" s="138"/>
      <c r="H52" s="138"/>
      <c r="I52" s="138"/>
      <c r="J52" s="138"/>
      <c r="K52" s="138"/>
      <c r="L52" s="222"/>
      <c r="M52" s="51"/>
      <c r="N52" s="51"/>
      <c r="Z52" s="8"/>
    </row>
    <row r="53" spans="1:26" ht="20.100000000000001" customHeight="1" x14ac:dyDescent="0.25">
      <c r="A53"/>
      <c r="D53" s="83" t="s">
        <v>944</v>
      </c>
      <c r="E53" s="83" t="s">
        <v>945</v>
      </c>
      <c r="F53" s="83" t="s">
        <v>946</v>
      </c>
      <c r="G53" s="83" t="s">
        <v>947</v>
      </c>
      <c r="H53" s="83" t="s">
        <v>200</v>
      </c>
      <c r="I53" s="83" t="s">
        <v>948</v>
      </c>
      <c r="J53" s="83" t="s">
        <v>949</v>
      </c>
      <c r="K53" s="222"/>
      <c r="Z53" s="8"/>
    </row>
    <row r="54" spans="1:26" ht="20.100000000000001" customHeight="1" x14ac:dyDescent="0.25">
      <c r="A54"/>
      <c r="D54" s="67" t="s">
        <v>159</v>
      </c>
      <c r="E54" s="223">
        <v>0.3</v>
      </c>
      <c r="F54" s="68">
        <v>10</v>
      </c>
      <c r="G54" s="69">
        <f>Table_Input_OrganicFertiliser[[#This Row],[Amount applied (kg/hectare)]]*Table_Input_OrganicFertiliser[[#This Row],[Percentage of N in fertiliser]]</f>
        <v>3</v>
      </c>
      <c r="H54" s="68">
        <f>X_Cell_Fertiliser_AreaUnderCropping</f>
        <v>100</v>
      </c>
      <c r="I54" s="69">
        <f>Table_Input_OrganicFertiliser[[#This Row],[Amount applied (kg/hectare)]]*Table_Input_OrganicFertiliser[[#This Row],[Application area (ha)]]</f>
        <v>1000</v>
      </c>
      <c r="J54" s="69">
        <f>IFERROR(Table_Input_OrganicFertiliser[[#This Row],[Amount N applied (kg/hectare)]]*Table_Input_OrganicFertiliser[[#This Row],[Application area (ha)]], 0)</f>
        <v>300</v>
      </c>
      <c r="K54" s="222"/>
      <c r="Z54" s="8"/>
    </row>
    <row r="55" spans="1:26" ht="20.100000000000001" customHeight="1" x14ac:dyDescent="0.25">
      <c r="A55"/>
      <c r="D55" s="67" t="s">
        <v>153</v>
      </c>
      <c r="E55" s="223">
        <v>0.25</v>
      </c>
      <c r="F55" s="68">
        <v>10</v>
      </c>
      <c r="G55" s="69">
        <f>Table_Input_OrganicFertiliser[[#This Row],[Amount applied (kg/hectare)]]*Table_Input_OrganicFertiliser[[#This Row],[Percentage of N in fertiliser]]</f>
        <v>2.5</v>
      </c>
      <c r="H55" s="68">
        <f>X_Cell_Fertiliser_AreaUnderCropping</f>
        <v>100</v>
      </c>
      <c r="I55" s="69">
        <f>Table_Input_OrganicFertiliser[[#This Row],[Amount applied (kg/hectare)]]*Table_Input_OrganicFertiliser[[#This Row],[Application area (ha)]]</f>
        <v>1000</v>
      </c>
      <c r="J55" s="69">
        <f>IFERROR(Table_Input_OrganicFertiliser[[#This Row],[Amount N applied (kg/hectare)]]*Table_Input_OrganicFertiliser[[#This Row],[Application area (ha)]], 0)</f>
        <v>250</v>
      </c>
      <c r="Z55" s="8"/>
    </row>
    <row r="56" spans="1:26" ht="20.100000000000001" customHeight="1" x14ac:dyDescent="0.25">
      <c r="A56"/>
      <c r="D56" s="67" t="s">
        <v>161</v>
      </c>
      <c r="E56" s="223">
        <v>0.16</v>
      </c>
      <c r="F56" s="68">
        <v>10</v>
      </c>
      <c r="G56" s="69">
        <f>Table_Input_OrganicFertiliser[[#This Row],[Amount applied (kg/hectare)]]*Table_Input_OrganicFertiliser[[#This Row],[Percentage of N in fertiliser]]</f>
        <v>1.6</v>
      </c>
      <c r="H56" s="68">
        <f>X_Cell_Fertiliser_AreaUnderCropping</f>
        <v>100</v>
      </c>
      <c r="I56" s="69">
        <f>Table_Input_OrganicFertiliser[[#This Row],[Amount applied (kg/hectare)]]*Table_Input_OrganicFertiliser[[#This Row],[Application area (ha)]]</f>
        <v>1000</v>
      </c>
      <c r="J56" s="69">
        <f>IFERROR(Table_Input_OrganicFertiliser[[#This Row],[Amount N applied (kg/hectare)]]*Table_Input_OrganicFertiliser[[#This Row],[Application area (ha)]], 0)</f>
        <v>160</v>
      </c>
      <c r="Z56" s="8"/>
    </row>
    <row r="57" spans="1:26" ht="20.100000000000001" customHeight="1" x14ac:dyDescent="0.25">
      <c r="A57"/>
      <c r="Z57" s="8"/>
    </row>
    <row r="58" spans="1:26" ht="20.100000000000001" customHeight="1" x14ac:dyDescent="0.25">
      <c r="A58"/>
      <c r="Z58" s="8"/>
    </row>
    <row r="59" spans="1:26" ht="20.100000000000001" customHeight="1" x14ac:dyDescent="0.25">
      <c r="A59"/>
      <c r="Z59" s="8"/>
    </row>
    <row r="60" spans="1:26" ht="20.100000000000001" customHeight="1" x14ac:dyDescent="0.25">
      <c r="A60"/>
      <c r="Z60" s="8"/>
    </row>
    <row r="61" spans="1:26" ht="20.100000000000001" customHeight="1" x14ac:dyDescent="0.25">
      <c r="A61"/>
      <c r="Z61" s="8"/>
    </row>
    <row r="62" spans="1:26" ht="20.100000000000001" customHeight="1" x14ac:dyDescent="0.25">
      <c r="A62"/>
      <c r="Z62" s="8"/>
    </row>
    <row r="63" spans="1:26" ht="20.100000000000001" customHeight="1" x14ac:dyDescent="0.25">
      <c r="A63"/>
      <c r="Z63" s="8"/>
    </row>
    <row r="64" spans="1:26" ht="20.100000000000001" customHeight="1" x14ac:dyDescent="0.25">
      <c r="A64"/>
      <c r="Z64" s="8"/>
    </row>
    <row r="65" spans="1:26" ht="20.100000000000001" customHeight="1" x14ac:dyDescent="0.25">
      <c r="A65"/>
      <c r="Z65" s="8"/>
    </row>
    <row r="66" spans="1:26" ht="20.100000000000001" customHeight="1" x14ac:dyDescent="0.25">
      <c r="A66"/>
      <c r="Z66" s="8"/>
    </row>
    <row r="67" spans="1:26" ht="20.100000000000001" customHeight="1" x14ac:dyDescent="0.25">
      <c r="A67"/>
      <c r="Z67" s="8"/>
    </row>
    <row r="68" spans="1:26" ht="20.100000000000001" customHeight="1" x14ac:dyDescent="0.25">
      <c r="A68"/>
      <c r="Z68" s="8"/>
    </row>
    <row r="69" spans="1:26" ht="20.100000000000001" customHeight="1" x14ac:dyDescent="0.25">
      <c r="A69"/>
      <c r="Z69" s="8"/>
    </row>
    <row r="70" spans="1:26" ht="20.100000000000001" customHeight="1" x14ac:dyDescent="0.25">
      <c r="A70"/>
      <c r="Z70" s="8"/>
    </row>
    <row r="71" spans="1:26" ht="20.100000000000001" customHeight="1" x14ac:dyDescent="0.25">
      <c r="A71"/>
      <c r="Z71" s="8"/>
    </row>
    <row r="72" spans="1:26" ht="20.100000000000001" customHeight="1" x14ac:dyDescent="0.25">
      <c r="A72"/>
      <c r="Z72" s="8"/>
    </row>
    <row r="73" spans="1:26" ht="20.100000000000001" customHeight="1" x14ac:dyDescent="0.25">
      <c r="A73"/>
      <c r="Z73" s="8"/>
    </row>
    <row r="74" spans="1:26" ht="20.100000000000001" customHeight="1" x14ac:dyDescent="0.25">
      <c r="A74"/>
      <c r="Z74" s="8"/>
    </row>
    <row r="75" spans="1:26" ht="20.100000000000001" customHeight="1" x14ac:dyDescent="0.25">
      <c r="A75"/>
      <c r="Z75" s="8"/>
    </row>
    <row r="76" spans="1:26" ht="20.100000000000001" customHeight="1" x14ac:dyDescent="0.25">
      <c r="A76"/>
      <c r="Z76" s="8"/>
    </row>
    <row r="77" spans="1:26" ht="20.100000000000001" customHeight="1" x14ac:dyDescent="0.25">
      <c r="A77"/>
      <c r="Z77" s="8"/>
    </row>
    <row r="78" spans="1:26" ht="20.100000000000001" customHeight="1" x14ac:dyDescent="0.25">
      <c r="A78"/>
      <c r="Z78" s="8"/>
    </row>
    <row r="79" spans="1:26" ht="20.100000000000001" customHeight="1" x14ac:dyDescent="0.25">
      <c r="A79"/>
      <c r="Z79" s="8"/>
    </row>
    <row r="80" spans="1:26" ht="20.100000000000001" customHeight="1" x14ac:dyDescent="0.25">
      <c r="A80"/>
      <c r="Z80" s="8"/>
    </row>
    <row r="81" spans="1:26" ht="20.100000000000001" customHeight="1" x14ac:dyDescent="0.25">
      <c r="A81"/>
      <c r="Z81" s="8"/>
    </row>
    <row r="82" spans="1:26" ht="20.100000000000001" customHeight="1" x14ac:dyDescent="0.25">
      <c r="A82"/>
      <c r="Z82" s="8"/>
    </row>
    <row r="83" spans="1:26" ht="20.100000000000001" customHeight="1" x14ac:dyDescent="0.25">
      <c r="A83"/>
      <c r="Z83" s="8"/>
    </row>
    <row r="84" spans="1:26" ht="20.100000000000001" customHeight="1" x14ac:dyDescent="0.25">
      <c r="A84"/>
      <c r="Z84" s="8"/>
    </row>
    <row r="85" spans="1:26" ht="20.100000000000001" customHeight="1" x14ac:dyDescent="0.25">
      <c r="A85"/>
      <c r="Z85" s="8"/>
    </row>
    <row r="86" spans="1:26" ht="20.100000000000001" customHeight="1" x14ac:dyDescent="0.25">
      <c r="A86"/>
      <c r="Z86" s="8"/>
    </row>
    <row r="87" spans="1:26" ht="20.100000000000001" customHeight="1" x14ac:dyDescent="0.25">
      <c r="A87"/>
      <c r="Z87" s="8"/>
    </row>
    <row r="88" spans="1:26" ht="20.100000000000001" customHeight="1" x14ac:dyDescent="0.25">
      <c r="A88"/>
      <c r="Z88" s="8"/>
    </row>
    <row r="89" spans="1:26" ht="20.100000000000001" customHeight="1" x14ac:dyDescent="0.25">
      <c r="A89"/>
      <c r="Z89" s="8"/>
    </row>
    <row r="90" spans="1:26" ht="20.100000000000001" customHeight="1" x14ac:dyDescent="0.25">
      <c r="A90"/>
      <c r="Z90" s="8"/>
    </row>
    <row r="91" spans="1:26" ht="20.100000000000001" customHeight="1" x14ac:dyDescent="0.25">
      <c r="A91"/>
      <c r="Z91" s="8"/>
    </row>
    <row r="92" spans="1:26" ht="20.100000000000001" customHeight="1" x14ac:dyDescent="0.25">
      <c r="A92"/>
      <c r="Z92" s="8"/>
    </row>
    <row r="93" spans="1:26" ht="20.100000000000001" customHeight="1" x14ac:dyDescent="0.25">
      <c r="A93"/>
      <c r="Z93" s="8"/>
    </row>
    <row r="94" spans="1:26" ht="20.100000000000001" customHeight="1" x14ac:dyDescent="0.25">
      <c r="A94"/>
      <c r="Z94" s="8"/>
    </row>
    <row r="95" spans="1:26" ht="20.100000000000001" customHeight="1" x14ac:dyDescent="0.25">
      <c r="A95"/>
      <c r="Z95" s="8"/>
    </row>
    <row r="96" spans="1:26" ht="20.100000000000001" customHeight="1" x14ac:dyDescent="0.25">
      <c r="A96"/>
      <c r="Z96" s="8"/>
    </row>
    <row r="97" spans="1:26" ht="20.100000000000001" customHeight="1" x14ac:dyDescent="0.25">
      <c r="A97"/>
      <c r="Z97" s="8"/>
    </row>
    <row r="98" spans="1:26" ht="20.100000000000001" customHeight="1" x14ac:dyDescent="0.25">
      <c r="A98"/>
      <c r="Z98" s="8"/>
    </row>
    <row r="99" spans="1:26" ht="20.100000000000001" customHeight="1" x14ac:dyDescent="0.25">
      <c r="A99"/>
      <c r="Z99" s="8"/>
    </row>
    <row r="100" spans="1:26" ht="20.100000000000001" customHeight="1" x14ac:dyDescent="0.25">
      <c r="A100"/>
      <c r="Z100" s="8"/>
    </row>
    <row r="101" spans="1:26" ht="20.100000000000001" customHeight="1" x14ac:dyDescent="0.25">
      <c r="A101"/>
      <c r="Z101" s="8"/>
    </row>
    <row r="102" spans="1:26" ht="20.100000000000001" customHeight="1" x14ac:dyDescent="0.25">
      <c r="A102"/>
      <c r="Z102" s="8"/>
    </row>
    <row r="103" spans="1:26" ht="20.100000000000001" customHeight="1" x14ac:dyDescent="0.25">
      <c r="A103"/>
      <c r="Z103" s="8"/>
    </row>
    <row r="104" spans="1:26" ht="20.100000000000001" customHeight="1" x14ac:dyDescent="0.25">
      <c r="A104"/>
      <c r="Z104" s="8"/>
    </row>
    <row r="105" spans="1:26" ht="20.100000000000001" customHeight="1" x14ac:dyDescent="0.25">
      <c r="A105"/>
      <c r="Z105" s="8"/>
    </row>
    <row r="106" spans="1:26" ht="20.100000000000001" customHeight="1" x14ac:dyDescent="0.25">
      <c r="A106"/>
      <c r="Z106" s="8"/>
    </row>
    <row r="107" spans="1:26" ht="20.100000000000001" customHeight="1" x14ac:dyDescent="0.25">
      <c r="A107"/>
      <c r="Z107" s="8"/>
    </row>
    <row r="108" spans="1:26" ht="20.100000000000001" customHeight="1" x14ac:dyDescent="0.25">
      <c r="A108"/>
      <c r="Z108" s="8"/>
    </row>
    <row r="109" spans="1:26" ht="20.100000000000001" customHeight="1" x14ac:dyDescent="0.25">
      <c r="A109"/>
      <c r="Z109" s="8"/>
    </row>
    <row r="110" spans="1:26" ht="20.100000000000001" customHeight="1" x14ac:dyDescent="0.25">
      <c r="A110"/>
      <c r="Z110" s="8"/>
    </row>
    <row r="111" spans="1:26" ht="20.100000000000001" customHeight="1" x14ac:dyDescent="0.25">
      <c r="A111"/>
      <c r="M111" s="7"/>
      <c r="Z111" s="8"/>
    </row>
    <row r="112" spans="1:26" ht="20.100000000000001" customHeight="1" x14ac:dyDescent="0.25">
      <c r="A112"/>
      <c r="M112" s="7"/>
      <c r="Z112" s="8"/>
    </row>
    <row r="113" spans="1:26" ht="20.100000000000001" customHeight="1" x14ac:dyDescent="0.25">
      <c r="A113"/>
      <c r="M113" s="7"/>
      <c r="Z113" s="8"/>
    </row>
    <row r="114" spans="1:26" ht="20.100000000000001" customHeight="1" x14ac:dyDescent="0.25">
      <c r="A114"/>
      <c r="M114" s="7"/>
      <c r="Z114" s="8"/>
    </row>
    <row r="115" spans="1:26" ht="20.100000000000001" customHeight="1" x14ac:dyDescent="0.25">
      <c r="A115"/>
      <c r="M115" s="7"/>
      <c r="Z115" s="8"/>
    </row>
    <row r="116" spans="1:26" ht="20.100000000000001" customHeight="1" x14ac:dyDescent="0.25">
      <c r="A116"/>
      <c r="M116" s="7"/>
      <c r="Z116" s="8"/>
    </row>
    <row r="117" spans="1:26" ht="20.100000000000001" customHeight="1" x14ac:dyDescent="0.25">
      <c r="A117"/>
      <c r="M117" s="7"/>
      <c r="Z117" s="8"/>
    </row>
    <row r="118" spans="1:26" ht="20.100000000000001" customHeight="1" x14ac:dyDescent="0.25">
      <c r="A118"/>
      <c r="M118" s="7"/>
      <c r="Z118" s="8"/>
    </row>
    <row r="119" spans="1:26" ht="20.100000000000001" customHeight="1" x14ac:dyDescent="0.25">
      <c r="A119"/>
      <c r="M119" s="7"/>
      <c r="Z119" s="8"/>
    </row>
    <row r="120" spans="1:26" ht="20.100000000000001" customHeight="1" x14ac:dyDescent="0.25">
      <c r="A120"/>
      <c r="M120" s="7"/>
      <c r="Z120" s="8"/>
    </row>
    <row r="121" spans="1:26" ht="20.100000000000001" customHeight="1" x14ac:dyDescent="0.25">
      <c r="A121"/>
      <c r="M121" s="7"/>
      <c r="Z121" s="8"/>
    </row>
    <row r="122" spans="1:26" ht="20.100000000000001" customHeight="1" x14ac:dyDescent="0.25">
      <c r="A122"/>
      <c r="M122" s="7"/>
      <c r="Z122" s="8"/>
    </row>
    <row r="123" spans="1:26" ht="20.100000000000001" customHeight="1" x14ac:dyDescent="0.25">
      <c r="A123"/>
      <c r="M123" s="7"/>
      <c r="Z123" s="8"/>
    </row>
    <row r="124" spans="1:26" ht="20.100000000000001" customHeight="1" x14ac:dyDescent="0.25">
      <c r="A124"/>
      <c r="M124" s="7"/>
      <c r="Z124" s="8"/>
    </row>
    <row r="125" spans="1:26" ht="20.100000000000001" customHeight="1" x14ac:dyDescent="0.25">
      <c r="A125"/>
      <c r="M125" s="7"/>
      <c r="Z125" s="8"/>
    </row>
    <row r="126" spans="1:26" ht="20.100000000000001" customHeight="1" x14ac:dyDescent="0.25">
      <c r="A126"/>
      <c r="M126" s="7"/>
      <c r="Z126" s="8"/>
    </row>
    <row r="127" spans="1:26" ht="20.100000000000001" customHeight="1" x14ac:dyDescent="0.25">
      <c r="A127"/>
      <c r="M127" s="7"/>
      <c r="Z127" s="8"/>
    </row>
    <row r="128" spans="1:26" ht="20.100000000000001" customHeight="1" x14ac:dyDescent="0.25">
      <c r="A128"/>
      <c r="M128" s="7"/>
      <c r="Z128" s="8"/>
    </row>
    <row r="129" spans="1:26" ht="20.100000000000001" customHeight="1" x14ac:dyDescent="0.25">
      <c r="A129"/>
      <c r="M129" s="7"/>
      <c r="Z129" s="8"/>
    </row>
    <row r="130" spans="1:26" ht="20.100000000000001" customHeight="1" x14ac:dyDescent="0.25">
      <c r="A130"/>
      <c r="M130" s="7"/>
      <c r="Z130" s="8"/>
    </row>
    <row r="131" spans="1:26" ht="20.100000000000001" customHeight="1" x14ac:dyDescent="0.25">
      <c r="A131"/>
      <c r="M131" s="7"/>
      <c r="Z131" s="8"/>
    </row>
    <row r="132" spans="1:26" ht="20.100000000000001" customHeight="1" x14ac:dyDescent="0.25">
      <c r="A132"/>
      <c r="M132" s="7"/>
      <c r="Z132" s="8"/>
    </row>
    <row r="133" spans="1:26" ht="20.100000000000001" customHeight="1" x14ac:dyDescent="0.25">
      <c r="A133"/>
      <c r="Z133" s="8"/>
    </row>
    <row r="134" spans="1:26" ht="20.100000000000001" customHeight="1" x14ac:dyDescent="0.25">
      <c r="A134"/>
      <c r="Z134" s="8"/>
    </row>
    <row r="135" spans="1:26" ht="20.100000000000001" customHeight="1" x14ac:dyDescent="0.25">
      <c r="A135"/>
      <c r="Z135" s="8"/>
    </row>
    <row r="136" spans="1:26" ht="20.100000000000001" customHeight="1" x14ac:dyDescent="0.25">
      <c r="A136"/>
      <c r="Z136" s="8"/>
    </row>
    <row r="137" spans="1:26" ht="20.100000000000001" customHeight="1" x14ac:dyDescent="0.25">
      <c r="A137"/>
      <c r="Z137" s="8"/>
    </row>
    <row r="138" spans="1:26" ht="20.100000000000001" customHeight="1" x14ac:dyDescent="0.25">
      <c r="A138"/>
      <c r="Z138" s="8"/>
    </row>
    <row r="139" spans="1:26" ht="20.100000000000001" customHeight="1" x14ac:dyDescent="0.25">
      <c r="A139"/>
      <c r="Z139" s="8"/>
    </row>
    <row r="140" spans="1:26" ht="20.100000000000001" customHeight="1" x14ac:dyDescent="0.25">
      <c r="A140"/>
      <c r="Z140" s="8"/>
    </row>
    <row r="141" spans="1:26" ht="20.100000000000001" customHeight="1" x14ac:dyDescent="0.25">
      <c r="A141"/>
      <c r="Z141" s="8"/>
    </row>
    <row r="142" spans="1:26" ht="20.100000000000001" customHeight="1" x14ac:dyDescent="0.25">
      <c r="A142"/>
      <c r="Z142" s="8"/>
    </row>
    <row r="143" spans="1:26" ht="20.100000000000001" customHeight="1" x14ac:dyDescent="0.25">
      <c r="A143"/>
      <c r="Z143" s="8"/>
    </row>
    <row r="144" spans="1:26" ht="20.100000000000001" customHeight="1" x14ac:dyDescent="0.25">
      <c r="A144"/>
      <c r="Z144" s="8"/>
    </row>
    <row r="145" spans="1:26" ht="20.100000000000001" customHeight="1" x14ac:dyDescent="0.25">
      <c r="A145"/>
      <c r="Z145" s="8"/>
    </row>
    <row r="146" spans="1:26" ht="20.100000000000001" customHeight="1" x14ac:dyDescent="0.25">
      <c r="A146"/>
      <c r="Z146" s="8"/>
    </row>
    <row r="147" spans="1:26" ht="20.100000000000001" customHeight="1" x14ac:dyDescent="0.25">
      <c r="A147"/>
      <c r="Z147" s="8"/>
    </row>
    <row r="148" spans="1:26" ht="20.100000000000001" customHeight="1" x14ac:dyDescent="0.25">
      <c r="A148"/>
      <c r="Z148" s="8"/>
    </row>
    <row r="149" spans="1:26" ht="20.100000000000001" customHeight="1" x14ac:dyDescent="0.25">
      <c r="A149"/>
      <c r="Z149" s="8"/>
    </row>
    <row r="150" spans="1:26" ht="20.100000000000001" customHeight="1" x14ac:dyDescent="0.25">
      <c r="A150"/>
      <c r="Z150" s="8"/>
    </row>
    <row r="151" spans="1:26" ht="20.100000000000001" customHeight="1" x14ac:dyDescent="0.25">
      <c r="A151"/>
      <c r="Z151" s="8"/>
    </row>
    <row r="152" spans="1:26" ht="20.100000000000001" customHeight="1" x14ac:dyDescent="0.25">
      <c r="A152"/>
      <c r="Z152" s="8"/>
    </row>
    <row r="153" spans="1:26" ht="20.100000000000001" customHeight="1" x14ac:dyDescent="0.25">
      <c r="A153"/>
      <c r="Z153" s="8"/>
    </row>
    <row r="154" spans="1:26" ht="20.100000000000001" customHeight="1" x14ac:dyDescent="0.25">
      <c r="A154"/>
      <c r="Z154" s="8"/>
    </row>
    <row r="155" spans="1:26" ht="20.100000000000001" customHeight="1" x14ac:dyDescent="0.25">
      <c r="A155"/>
      <c r="Z155" s="8"/>
    </row>
    <row r="156" spans="1:26" ht="20.100000000000001" customHeight="1" x14ac:dyDescent="0.25">
      <c r="A156"/>
      <c r="Z156" s="8"/>
    </row>
    <row r="157" spans="1:26" ht="20.100000000000001" customHeight="1" x14ac:dyDescent="0.25">
      <c r="A157"/>
      <c r="Z157" s="8"/>
    </row>
    <row r="158" spans="1:26" ht="20.100000000000001" customHeight="1" x14ac:dyDescent="0.25">
      <c r="A158"/>
      <c r="Z158" s="8"/>
    </row>
    <row r="159" spans="1:26" ht="20.100000000000001" customHeight="1" x14ac:dyDescent="0.25">
      <c r="A159"/>
      <c r="Z159" s="8"/>
    </row>
    <row r="160" spans="1:26" ht="20.100000000000001" customHeight="1" x14ac:dyDescent="0.25">
      <c r="A160"/>
      <c r="Z160" s="8"/>
    </row>
    <row r="161" spans="26:26" ht="20.100000000000001" customHeight="1" x14ac:dyDescent="0.25">
      <c r="Z161" s="8"/>
    </row>
    <row r="162" spans="26:26" ht="20.100000000000001" customHeight="1" x14ac:dyDescent="0.25">
      <c r="Z162" s="8"/>
    </row>
    <row r="163" spans="26:26" ht="20.100000000000001" customHeight="1" x14ac:dyDescent="0.25">
      <c r="Z163" s="8"/>
    </row>
    <row r="164" spans="26:26" ht="20.100000000000001" customHeight="1" x14ac:dyDescent="0.25">
      <c r="Z164" s="8"/>
    </row>
    <row r="165" spans="26:26" ht="20.100000000000001" customHeight="1" x14ac:dyDescent="0.25">
      <c r="Z165" s="8"/>
    </row>
    <row r="166" spans="26:26" ht="20.100000000000001" customHeight="1" x14ac:dyDescent="0.25">
      <c r="Z166" s="8"/>
    </row>
    <row r="167" spans="26:26" ht="20.100000000000001" customHeight="1" x14ac:dyDescent="0.25">
      <c r="Z167" s="8"/>
    </row>
    <row r="168" spans="26:26" ht="20.100000000000001" customHeight="1" x14ac:dyDescent="0.25">
      <c r="Z168" s="8"/>
    </row>
    <row r="169" spans="26:26" ht="20.100000000000001" customHeight="1" x14ac:dyDescent="0.25">
      <c r="Z169" s="8"/>
    </row>
    <row r="170" spans="26:26" ht="20.100000000000001" customHeight="1" x14ac:dyDescent="0.25">
      <c r="Z170" s="8"/>
    </row>
    <row r="171" spans="26:26" ht="20.100000000000001" customHeight="1" x14ac:dyDescent="0.25">
      <c r="Z171" s="8"/>
    </row>
    <row r="172" spans="26:26" ht="20.100000000000001" customHeight="1" x14ac:dyDescent="0.25">
      <c r="Z172" s="8"/>
    </row>
    <row r="173" spans="26:26" ht="20.100000000000001" customHeight="1" x14ac:dyDescent="0.25">
      <c r="Z173" s="8"/>
    </row>
    <row r="174" spans="26:26" ht="20.100000000000001" customHeight="1" x14ac:dyDescent="0.25">
      <c r="Z174" s="8"/>
    </row>
    <row r="175" spans="26:26" ht="20.100000000000001" customHeight="1" x14ac:dyDescent="0.25">
      <c r="Z175" s="8"/>
    </row>
    <row r="176" spans="26:26" ht="20.100000000000001" customHeight="1" x14ac:dyDescent="0.25">
      <c r="Z176" s="8"/>
    </row>
    <row r="177" spans="26:26" ht="20.100000000000001" customHeight="1" x14ac:dyDescent="0.25">
      <c r="Z177" s="8"/>
    </row>
    <row r="178" spans="26:26" ht="20.100000000000001" customHeight="1" x14ac:dyDescent="0.25">
      <c r="Z178" s="8"/>
    </row>
    <row r="179" spans="26:26" ht="20.100000000000001" customHeight="1" x14ac:dyDescent="0.25">
      <c r="Z179" s="8"/>
    </row>
    <row r="180" spans="26:26" ht="20.100000000000001" customHeight="1" x14ac:dyDescent="0.25">
      <c r="Z180" s="8"/>
    </row>
    <row r="181" spans="26:26" ht="20.100000000000001" customHeight="1" x14ac:dyDescent="0.25">
      <c r="Z181" s="8"/>
    </row>
    <row r="182" spans="26:26" ht="20.100000000000001" customHeight="1" x14ac:dyDescent="0.25">
      <c r="Z182" s="8"/>
    </row>
    <row r="183" spans="26:26" ht="20.100000000000001" customHeight="1" x14ac:dyDescent="0.25">
      <c r="Z183" s="8"/>
    </row>
    <row r="184" spans="26:26" ht="20.100000000000001" customHeight="1" x14ac:dyDescent="0.25">
      <c r="Z184" s="8"/>
    </row>
    <row r="185" spans="26:26" ht="20.100000000000001" customHeight="1" x14ac:dyDescent="0.25">
      <c r="Z185" s="8"/>
    </row>
    <row r="186" spans="26:26" ht="20.100000000000001" customHeight="1" x14ac:dyDescent="0.25">
      <c r="Z186" s="8"/>
    </row>
    <row r="187" spans="26:26" ht="20.100000000000001" customHeight="1" x14ac:dyDescent="0.25">
      <c r="Z187" s="8"/>
    </row>
    <row r="188" spans="26:26" ht="20.100000000000001" customHeight="1" x14ac:dyDescent="0.25">
      <c r="Z188" s="8"/>
    </row>
    <row r="189" spans="26:26" ht="20.100000000000001" customHeight="1" x14ac:dyDescent="0.25">
      <c r="Z189" s="8"/>
    </row>
    <row r="190" spans="26:26" ht="20.100000000000001" customHeight="1" x14ac:dyDescent="0.25">
      <c r="Z190" s="8"/>
    </row>
    <row r="191" spans="26:26" ht="20.100000000000001" customHeight="1" x14ac:dyDescent="0.25">
      <c r="Z191" s="8"/>
    </row>
    <row r="192" spans="26:26" ht="20.100000000000001" customHeight="1" x14ac:dyDescent="0.25">
      <c r="Z192" s="8"/>
    </row>
    <row r="193" spans="26:26" ht="20.100000000000001" customHeight="1" x14ac:dyDescent="0.25">
      <c r="Z193" s="8"/>
    </row>
    <row r="194" spans="26:26" ht="20.100000000000001" customHeight="1" x14ac:dyDescent="0.25">
      <c r="Z194" s="8"/>
    </row>
    <row r="195" spans="26:26" ht="20.100000000000001" customHeight="1" x14ac:dyDescent="0.25">
      <c r="Z195" s="8"/>
    </row>
    <row r="196" spans="26:26" ht="20.100000000000001" customHeight="1" x14ac:dyDescent="0.25">
      <c r="Z196" s="8"/>
    </row>
    <row r="197" spans="26:26" ht="20.100000000000001" customHeight="1" x14ac:dyDescent="0.25">
      <c r="Z197" s="8"/>
    </row>
    <row r="198" spans="26:26" ht="20.100000000000001" customHeight="1" x14ac:dyDescent="0.25">
      <c r="Z198" s="8"/>
    </row>
    <row r="199" spans="26:26" ht="20.100000000000001" customHeight="1" x14ac:dyDescent="0.25">
      <c r="Z199" s="8"/>
    </row>
    <row r="200" spans="26:26" ht="20.100000000000001" customHeight="1" x14ac:dyDescent="0.25">
      <c r="Z200" s="8"/>
    </row>
    <row r="201" spans="26:26" ht="20.100000000000001" customHeight="1" x14ac:dyDescent="0.25">
      <c r="Z201" s="8"/>
    </row>
    <row r="202" spans="26:26" ht="20.100000000000001" customHeight="1" x14ac:dyDescent="0.25">
      <c r="Z202" s="8"/>
    </row>
    <row r="203" spans="26:26" ht="20.100000000000001" customHeight="1" x14ac:dyDescent="0.25">
      <c r="Z203" s="8"/>
    </row>
    <row r="204" spans="26:26" ht="20.100000000000001" customHeight="1" x14ac:dyDescent="0.25">
      <c r="Z204" s="8"/>
    </row>
    <row r="205" spans="26:26" ht="20.100000000000001" customHeight="1" x14ac:dyDescent="0.25">
      <c r="Z205" s="8"/>
    </row>
    <row r="206" spans="26:26" ht="20.100000000000001" customHeight="1" x14ac:dyDescent="0.25">
      <c r="Z206" s="8"/>
    </row>
    <row r="207" spans="26:26" ht="20.100000000000001" customHeight="1" x14ac:dyDescent="0.25">
      <c r="Z207" s="8"/>
    </row>
    <row r="208" spans="26:26" ht="20.100000000000001" customHeight="1" x14ac:dyDescent="0.25">
      <c r="Z208" s="8"/>
    </row>
    <row r="209" spans="12:26" ht="20.100000000000001" customHeight="1" x14ac:dyDescent="0.25">
      <c r="Z209" s="8"/>
    </row>
    <row r="210" spans="12:26" ht="20.100000000000001" customHeight="1" x14ac:dyDescent="0.25">
      <c r="L210" s="63"/>
      <c r="Z210" s="8"/>
    </row>
    <row r="211" spans="12:26" ht="20.100000000000001" customHeight="1" x14ac:dyDescent="0.25">
      <c r="L211" s="63"/>
      <c r="Z211" s="8"/>
    </row>
    <row r="212" spans="12:26" ht="20.100000000000001" customHeight="1" x14ac:dyDescent="0.25">
      <c r="L212" s="63"/>
      <c r="Z212" s="8"/>
    </row>
    <row r="213" spans="12:26" ht="20.100000000000001" customHeight="1" x14ac:dyDescent="0.25">
      <c r="L213" s="63"/>
      <c r="Z213" s="8"/>
    </row>
    <row r="214" spans="12:26" ht="20.100000000000001" customHeight="1" x14ac:dyDescent="0.25">
      <c r="L214" s="63"/>
      <c r="Z214" s="8"/>
    </row>
    <row r="215" spans="12:26" ht="20.100000000000001" customHeight="1" x14ac:dyDescent="0.25">
      <c r="Z215" s="8"/>
    </row>
    <row r="216" spans="12:26" ht="20.100000000000001" customHeight="1" x14ac:dyDescent="0.25">
      <c r="L216" s="63"/>
      <c r="Z216" s="8"/>
    </row>
    <row r="217" spans="12:26" ht="20.100000000000001" customHeight="1" x14ac:dyDescent="0.25">
      <c r="Z217" s="8"/>
    </row>
    <row r="218" spans="12:26" ht="20.100000000000001" customHeight="1" x14ac:dyDescent="0.25">
      <c r="L218" s="63"/>
      <c r="Z218" s="8"/>
    </row>
    <row r="219" spans="12:26" ht="20.100000000000001" customHeight="1" x14ac:dyDescent="0.25">
      <c r="L219" s="63"/>
      <c r="Z219" s="8"/>
    </row>
    <row r="220" spans="12:26" ht="20.100000000000001" customHeight="1" x14ac:dyDescent="0.25">
      <c r="L220" s="63"/>
      <c r="Z220" s="8"/>
    </row>
    <row r="221" spans="12:26" ht="20.100000000000001" customHeight="1" x14ac:dyDescent="0.25">
      <c r="L221" s="63"/>
      <c r="Z221" s="8"/>
    </row>
    <row r="222" spans="12:26" ht="20.100000000000001" customHeight="1" x14ac:dyDescent="0.25">
      <c r="Z222" s="8"/>
    </row>
    <row r="223" spans="12:26" ht="20.100000000000001" customHeight="1" x14ac:dyDescent="0.25">
      <c r="L223" s="63"/>
      <c r="Z223" s="8"/>
    </row>
    <row r="224" spans="12:26" ht="20.100000000000001" customHeight="1" x14ac:dyDescent="0.25">
      <c r="Z224" s="8"/>
    </row>
    <row r="225" spans="12:26" ht="20.100000000000001" customHeight="1" x14ac:dyDescent="0.25">
      <c r="Z225" s="8"/>
    </row>
    <row r="226" spans="12:26" ht="20.100000000000001" customHeight="1" x14ac:dyDescent="0.25">
      <c r="Z226" s="8"/>
    </row>
    <row r="227" spans="12:26" ht="20.100000000000001" customHeight="1" x14ac:dyDescent="0.25">
      <c r="Z227" s="8"/>
    </row>
    <row r="228" spans="12:26" ht="20.100000000000001" customHeight="1" x14ac:dyDescent="0.25">
      <c r="Z228" s="8"/>
    </row>
    <row r="229" spans="12:26" ht="20.100000000000001" customHeight="1" x14ac:dyDescent="0.25">
      <c r="Z229" s="8"/>
    </row>
    <row r="230" spans="12:26" ht="20.100000000000001" customHeight="1" x14ac:dyDescent="0.25">
      <c r="Z230" s="8"/>
    </row>
    <row r="231" spans="12:26" ht="20.100000000000001" customHeight="1" x14ac:dyDescent="0.25">
      <c r="L231" s="63"/>
      <c r="Z231" s="8"/>
    </row>
    <row r="232" spans="12:26" ht="20.100000000000001" customHeight="1" x14ac:dyDescent="0.25">
      <c r="L232" s="63"/>
      <c r="Z232" s="8"/>
    </row>
    <row r="233" spans="12:26" ht="20.100000000000001" customHeight="1" x14ac:dyDescent="0.25">
      <c r="L233" s="63"/>
      <c r="Z233" s="8"/>
    </row>
    <row r="234" spans="12:26" ht="20.100000000000001" customHeight="1" x14ac:dyDescent="0.25">
      <c r="Z234" s="8"/>
    </row>
    <row r="235" spans="12:26" ht="20.100000000000001" customHeight="1" x14ac:dyDescent="0.25">
      <c r="Z235" s="8"/>
    </row>
    <row r="236" spans="12:26" ht="20.100000000000001" customHeight="1" x14ac:dyDescent="0.25">
      <c r="L236" s="63"/>
      <c r="Z236" s="8"/>
    </row>
    <row r="237" spans="12:26" ht="20.100000000000001" customHeight="1" x14ac:dyDescent="0.25">
      <c r="L237" s="63"/>
      <c r="Z237" s="8"/>
    </row>
    <row r="238" spans="12:26" ht="20.100000000000001" customHeight="1" x14ac:dyDescent="0.25">
      <c r="L238" s="63"/>
      <c r="Z238" s="8"/>
    </row>
    <row r="239" spans="12:26" ht="20.100000000000001" customHeight="1" x14ac:dyDescent="0.25">
      <c r="Z239" s="8"/>
    </row>
    <row r="240" spans="12:26" ht="20.100000000000001" customHeight="1" x14ac:dyDescent="0.25">
      <c r="Z240" s="8"/>
    </row>
    <row r="241" spans="11:26" ht="20.100000000000001" customHeight="1" x14ac:dyDescent="0.25">
      <c r="L241" s="63"/>
      <c r="Z241" s="8"/>
    </row>
    <row r="242" spans="11:26" ht="20.100000000000001" customHeight="1" x14ac:dyDescent="0.25">
      <c r="L242" s="63"/>
      <c r="Z242" s="8"/>
    </row>
    <row r="243" spans="11:26" ht="20.100000000000001" customHeight="1" x14ac:dyDescent="0.25">
      <c r="L243" s="63"/>
      <c r="Z243" s="8"/>
    </row>
    <row r="244" spans="11:26" ht="20.100000000000001" customHeight="1" x14ac:dyDescent="0.25">
      <c r="Z244" s="8"/>
    </row>
    <row r="245" spans="11:26" ht="20.100000000000001" customHeight="1" x14ac:dyDescent="0.25">
      <c r="Z245" s="8"/>
    </row>
    <row r="246" spans="11:26" ht="20.100000000000001" customHeight="1" x14ac:dyDescent="0.25">
      <c r="L246" s="63"/>
      <c r="Z246" s="8"/>
    </row>
    <row r="247" spans="11:26" ht="20.100000000000001" customHeight="1" x14ac:dyDescent="0.25">
      <c r="K247" s="63"/>
      <c r="L247" s="63"/>
      <c r="Z247" s="8"/>
    </row>
    <row r="248" spans="11:26" ht="20.100000000000001" customHeight="1" x14ac:dyDescent="0.25">
      <c r="L248" s="63"/>
      <c r="Z248" s="8"/>
    </row>
    <row r="249" spans="11:26" ht="20.100000000000001" customHeight="1" x14ac:dyDescent="0.25">
      <c r="Z249" s="8"/>
    </row>
    <row r="250" spans="11:26" ht="20.100000000000001" customHeight="1" x14ac:dyDescent="0.25">
      <c r="Z250" s="8"/>
    </row>
    <row r="251" spans="11:26" ht="20.100000000000001" customHeight="1" x14ac:dyDescent="0.25">
      <c r="Z251" s="8"/>
    </row>
    <row r="252" spans="11:26" ht="20.100000000000001" customHeight="1" x14ac:dyDescent="0.25">
      <c r="K252" s="63"/>
      <c r="Z252" s="8"/>
    </row>
    <row r="253" spans="11:26" ht="20.100000000000001" customHeight="1" x14ac:dyDescent="0.25">
      <c r="Z253" s="8"/>
    </row>
    <row r="254" spans="11:26" ht="20.100000000000001" customHeight="1" x14ac:dyDescent="0.25">
      <c r="Z254" s="8"/>
    </row>
    <row r="255" spans="11:26" ht="20.100000000000001" customHeight="1" x14ac:dyDescent="0.25">
      <c r="L255" s="63"/>
      <c r="Z255" s="8"/>
    </row>
    <row r="256" spans="11:26" ht="20.100000000000001" customHeight="1" x14ac:dyDescent="0.25">
      <c r="L256" s="63"/>
      <c r="Z256" s="8"/>
    </row>
    <row r="257" spans="11:26" ht="20.100000000000001" customHeight="1" x14ac:dyDescent="0.25">
      <c r="K257" s="63"/>
      <c r="L257" s="63"/>
      <c r="Z257" s="8"/>
    </row>
    <row r="258" spans="11:26" ht="20.100000000000001" customHeight="1" x14ac:dyDescent="0.25">
      <c r="Z258" s="8"/>
    </row>
    <row r="259" spans="11:26" ht="20.100000000000001" customHeight="1" x14ac:dyDescent="0.25">
      <c r="Z259" s="8"/>
    </row>
    <row r="260" spans="11:26" ht="20.100000000000001" customHeight="1" x14ac:dyDescent="0.25">
      <c r="L260" s="63"/>
      <c r="Z260" s="8"/>
    </row>
    <row r="261" spans="11:26" ht="20.100000000000001" customHeight="1" x14ac:dyDescent="0.25">
      <c r="L261" s="63"/>
      <c r="Z261" s="8"/>
    </row>
    <row r="262" spans="11:26" ht="20.100000000000001" customHeight="1" x14ac:dyDescent="0.25">
      <c r="K262" s="63"/>
      <c r="L262" s="63"/>
      <c r="Z262" s="8"/>
    </row>
    <row r="263" spans="11:26" ht="20.100000000000001" customHeight="1" x14ac:dyDescent="0.25">
      <c r="K263" s="63"/>
      <c r="Z263" s="8"/>
    </row>
    <row r="264" spans="11:26" ht="20.100000000000001" customHeight="1" x14ac:dyDescent="0.25">
      <c r="K264" s="63"/>
      <c r="Z264" s="8"/>
    </row>
    <row r="265" spans="11:26" ht="20.100000000000001" customHeight="1" x14ac:dyDescent="0.25">
      <c r="K265" s="63"/>
      <c r="L265" s="63"/>
      <c r="Z265" s="8"/>
    </row>
    <row r="266" spans="11:26" ht="20.100000000000001" customHeight="1" x14ac:dyDescent="0.25">
      <c r="K266" s="63"/>
      <c r="L266" s="63"/>
      <c r="Z266" s="8"/>
    </row>
    <row r="267" spans="11:26" ht="20.100000000000001" customHeight="1" x14ac:dyDescent="0.25">
      <c r="L267" s="63"/>
      <c r="Z267" s="8"/>
    </row>
    <row r="268" spans="11:26" ht="20.100000000000001" customHeight="1" x14ac:dyDescent="0.25">
      <c r="K268" s="63"/>
      <c r="Z268" s="8"/>
    </row>
    <row r="269" spans="11:26" ht="20.100000000000001" customHeight="1" x14ac:dyDescent="0.25">
      <c r="Z269" s="8"/>
    </row>
    <row r="270" spans="11:26" ht="20.100000000000001" customHeight="1" x14ac:dyDescent="0.25">
      <c r="K270" s="63"/>
      <c r="L270" s="63"/>
      <c r="Z270" s="8"/>
    </row>
    <row r="271" spans="11:26" ht="20.100000000000001" customHeight="1" x14ac:dyDescent="0.25">
      <c r="K271" s="63"/>
      <c r="L271" s="63"/>
      <c r="Z271" s="8"/>
    </row>
    <row r="272" spans="11:26" ht="20.100000000000001" customHeight="1" x14ac:dyDescent="0.25">
      <c r="K272" s="63"/>
      <c r="L272" s="63"/>
      <c r="Z272" s="8"/>
    </row>
    <row r="273" spans="11:26" ht="20.100000000000001" customHeight="1" x14ac:dyDescent="0.25">
      <c r="K273" s="63"/>
      <c r="Z273" s="8"/>
    </row>
    <row r="274" spans="11:26" ht="20.100000000000001" customHeight="1" x14ac:dyDescent="0.25">
      <c r="Z274" s="8"/>
    </row>
    <row r="275" spans="11:26" ht="20.100000000000001" customHeight="1" x14ac:dyDescent="0.25">
      <c r="K275" s="63"/>
      <c r="Z275" s="8"/>
    </row>
    <row r="276" spans="11:26" ht="20.100000000000001" customHeight="1" x14ac:dyDescent="0.25">
      <c r="Z276" s="8"/>
    </row>
    <row r="277" spans="11:26" ht="20.100000000000001" customHeight="1" x14ac:dyDescent="0.25">
      <c r="Z277" s="8"/>
    </row>
    <row r="278" spans="11:26" ht="20.100000000000001" customHeight="1" x14ac:dyDescent="0.25">
      <c r="Z278" s="8"/>
    </row>
    <row r="279" spans="11:26" ht="20.100000000000001" customHeight="1" x14ac:dyDescent="0.25">
      <c r="Z279" s="8"/>
    </row>
    <row r="280" spans="11:26" ht="20.100000000000001" customHeight="1" x14ac:dyDescent="0.25">
      <c r="Z280" s="8"/>
    </row>
    <row r="281" spans="11:26" ht="20.100000000000001" customHeight="1" x14ac:dyDescent="0.25">
      <c r="K281" s="63"/>
      <c r="Z281" s="8"/>
    </row>
    <row r="282" spans="11:26" ht="20.100000000000001" customHeight="1" x14ac:dyDescent="0.25">
      <c r="Z282" s="8"/>
    </row>
    <row r="283" spans="11:26" ht="20.100000000000001" customHeight="1" x14ac:dyDescent="0.25">
      <c r="Z283" s="8"/>
    </row>
    <row r="284" spans="11:26" ht="20.100000000000001" customHeight="1" x14ac:dyDescent="0.25">
      <c r="Z284" s="8"/>
    </row>
    <row r="286" spans="11:26" ht="20.100000000000001" customHeight="1" x14ac:dyDescent="0.25">
      <c r="K286" s="63"/>
    </row>
    <row r="291" spans="11:11" ht="20.100000000000001" customHeight="1" x14ac:dyDescent="0.25">
      <c r="K291" s="63"/>
    </row>
    <row r="296" spans="11:11" ht="20.100000000000001" customHeight="1" x14ac:dyDescent="0.25">
      <c r="K296" s="63"/>
    </row>
    <row r="297" spans="11:11" ht="20.100000000000001" customHeight="1" x14ac:dyDescent="0.25">
      <c r="K297" s="63"/>
    </row>
    <row r="298" spans="11:11" ht="20.100000000000001" customHeight="1" x14ac:dyDescent="0.25">
      <c r="K298" s="63"/>
    </row>
    <row r="299" spans="11:11" ht="20.100000000000001" customHeight="1" x14ac:dyDescent="0.25">
      <c r="K299" s="63"/>
    </row>
    <row r="300" spans="11:11" ht="20.100000000000001" customHeight="1" x14ac:dyDescent="0.25">
      <c r="K300" s="63"/>
    </row>
    <row r="302" spans="11:11" ht="20.100000000000001" customHeight="1" x14ac:dyDescent="0.25">
      <c r="K302" s="63"/>
    </row>
    <row r="304" spans="11:11" ht="20.100000000000001" customHeight="1" x14ac:dyDescent="0.25">
      <c r="K304" s="63"/>
    </row>
    <row r="305" spans="11:11" ht="20.100000000000001" customHeight="1" x14ac:dyDescent="0.25">
      <c r="K305" s="63"/>
    </row>
    <row r="306" spans="11:11" ht="20.100000000000001" customHeight="1" x14ac:dyDescent="0.25">
      <c r="K306" s="63"/>
    </row>
    <row r="307" spans="11:11" ht="20.100000000000001" customHeight="1" x14ac:dyDescent="0.25">
      <c r="K307" s="63"/>
    </row>
    <row r="309" spans="11:11" ht="20.100000000000001" customHeight="1" x14ac:dyDescent="0.25">
      <c r="K309" s="63"/>
    </row>
    <row r="317" spans="11:11" ht="20.100000000000001" customHeight="1" x14ac:dyDescent="0.25">
      <c r="K317" s="63"/>
    </row>
    <row r="318" spans="11:11" ht="20.100000000000001" customHeight="1" x14ac:dyDescent="0.25">
      <c r="K318" s="63"/>
    </row>
    <row r="319" spans="11:11" ht="20.100000000000001" customHeight="1" x14ac:dyDescent="0.25">
      <c r="K319" s="63"/>
    </row>
    <row r="322" spans="11:11" ht="20.100000000000001" customHeight="1" x14ac:dyDescent="0.25">
      <c r="K322" s="63"/>
    </row>
    <row r="323" spans="11:11" ht="20.100000000000001" customHeight="1" x14ac:dyDescent="0.25">
      <c r="K323" s="63"/>
    </row>
    <row r="324" spans="11:11" ht="20.100000000000001" customHeight="1" x14ac:dyDescent="0.25">
      <c r="K324" s="63"/>
    </row>
    <row r="327" spans="11:11" ht="20.100000000000001" customHeight="1" x14ac:dyDescent="0.25">
      <c r="K327" s="63"/>
    </row>
    <row r="328" spans="11:11" ht="20.100000000000001" customHeight="1" x14ac:dyDescent="0.25">
      <c r="K328" s="63"/>
    </row>
    <row r="329" spans="11:11" ht="20.100000000000001" customHeight="1" x14ac:dyDescent="0.25">
      <c r="K329" s="63"/>
    </row>
    <row r="332" spans="11:11" ht="20.100000000000001" customHeight="1" x14ac:dyDescent="0.25">
      <c r="K332" s="63"/>
    </row>
    <row r="333" spans="11:11" ht="20.100000000000001" customHeight="1" x14ac:dyDescent="0.25">
      <c r="K333" s="63"/>
    </row>
    <row r="334" spans="11:11" ht="20.100000000000001" customHeight="1" x14ac:dyDescent="0.25">
      <c r="K334" s="63"/>
    </row>
    <row r="341" spans="11:11" ht="20.100000000000001" customHeight="1" x14ac:dyDescent="0.25">
      <c r="K341" s="63"/>
    </row>
    <row r="342" spans="11:11" ht="20.100000000000001" customHeight="1" x14ac:dyDescent="0.25">
      <c r="K342" s="63"/>
    </row>
    <row r="343" spans="11:11" ht="20.100000000000001" customHeight="1" x14ac:dyDescent="0.25">
      <c r="K343" s="63"/>
    </row>
    <row r="346" spans="11:11" ht="20.100000000000001" customHeight="1" x14ac:dyDescent="0.25">
      <c r="K346" s="63"/>
    </row>
    <row r="347" spans="11:11" ht="20.100000000000001" customHeight="1" x14ac:dyDescent="0.25">
      <c r="K347" s="63"/>
    </row>
    <row r="348" spans="11:11" ht="20.100000000000001" customHeight="1" x14ac:dyDescent="0.25">
      <c r="K348" s="63"/>
    </row>
    <row r="351" spans="11:11" ht="20.100000000000001" customHeight="1" x14ac:dyDescent="0.25">
      <c r="K351" s="63"/>
    </row>
    <row r="352" spans="11:11" ht="20.100000000000001" customHeight="1" x14ac:dyDescent="0.25">
      <c r="K352" s="63"/>
    </row>
    <row r="353" spans="4:11" ht="20.100000000000001" customHeight="1" x14ac:dyDescent="0.25">
      <c r="K353" s="63"/>
    </row>
    <row r="356" spans="4:11" ht="20.100000000000001" customHeight="1" x14ac:dyDescent="0.25">
      <c r="K356" s="63"/>
    </row>
    <row r="357" spans="4:11" ht="20.100000000000001" customHeight="1" x14ac:dyDescent="0.25">
      <c r="K357" s="63"/>
    </row>
    <row r="358" spans="4:11" ht="20.100000000000001" customHeight="1" x14ac:dyDescent="0.25">
      <c r="K358" s="63"/>
    </row>
    <row r="361" spans="4:11" ht="20.100000000000001" customHeight="1" x14ac:dyDescent="0.25">
      <c r="D361" s="54"/>
    </row>
  </sheetData>
  <phoneticPr fontId="53" type="noConversion"/>
  <conditionalFormatting sqref="F126:F127">
    <cfRule type="cellIs" dxfId="47" priority="20" operator="lessThan">
      <formula>0</formula>
    </cfRule>
  </conditionalFormatting>
  <conditionalFormatting sqref="F138:F139">
    <cfRule type="cellIs" dxfId="46" priority="19" operator="lessThan">
      <formula>0</formula>
    </cfRule>
  </conditionalFormatting>
  <conditionalFormatting sqref="F150:F151">
    <cfRule type="cellIs" dxfId="45" priority="18" operator="lessThan">
      <formula>0</formula>
    </cfRule>
  </conditionalFormatting>
  <conditionalFormatting sqref="F162:F163">
    <cfRule type="cellIs" dxfId="44" priority="17" operator="lessThan">
      <formula>0</formula>
    </cfRule>
  </conditionalFormatting>
  <conditionalFormatting sqref="F250:F251">
    <cfRule type="cellIs" dxfId="43" priority="30" operator="lessThan">
      <formula>0</formula>
    </cfRule>
  </conditionalFormatting>
  <conditionalFormatting sqref="F255:F256">
    <cfRule type="cellIs" dxfId="42" priority="29" operator="lessThan">
      <formula>0</formula>
    </cfRule>
  </conditionalFormatting>
  <conditionalFormatting sqref="F260:F261">
    <cfRule type="cellIs" dxfId="41" priority="28" operator="lessThan">
      <formula>0</formula>
    </cfRule>
  </conditionalFormatting>
  <conditionalFormatting sqref="F284:F285">
    <cfRule type="cellIs" dxfId="40" priority="27" operator="lessThan">
      <formula>0</formula>
    </cfRule>
  </conditionalFormatting>
  <conditionalFormatting sqref="F289:F290">
    <cfRule type="cellIs" dxfId="39" priority="26" operator="lessThan">
      <formula>0</formula>
    </cfRule>
  </conditionalFormatting>
  <conditionalFormatting sqref="F294:F295">
    <cfRule type="cellIs" dxfId="38" priority="25" operator="lessThan">
      <formula>0</formula>
    </cfRule>
  </conditionalFormatting>
  <conditionalFormatting sqref="H53">
    <cfRule type="cellIs" dxfId="37" priority="1" operator="lessThan">
      <formula>0</formula>
    </cfRule>
  </conditionalFormatting>
  <conditionalFormatting sqref="I39 I51:I52 O53 N54 I57 I59:I61 I63:I64">
    <cfRule type="cellIs" dxfId="36" priority="3" operator="lessThan">
      <formula>0</formula>
    </cfRule>
  </conditionalFormatting>
  <conditionalFormatting sqref="I41:I44 I46:I47 F58">
    <cfRule type="cellIs" dxfId="35" priority="2" operator="lessThan">
      <formula>0</formula>
    </cfRule>
  </conditionalFormatting>
  <conditionalFormatting sqref="I76:I78">
    <cfRule type="cellIs" dxfId="34" priority="6" operator="lessThan">
      <formula>0</formula>
    </cfRule>
  </conditionalFormatting>
  <conditionalFormatting sqref="I82:I85">
    <cfRule type="cellIs" dxfId="33" priority="5" operator="lessThan">
      <formula>0</formula>
    </cfRule>
  </conditionalFormatting>
  <conditionalFormatting sqref="I89:I93">
    <cfRule type="cellIs" dxfId="32" priority="4" operator="lessThan">
      <formula>0</formula>
    </cfRule>
  </conditionalFormatting>
  <conditionalFormatting sqref="I204:J204 E210:G210 I210:J210 K247 J248 K252 J253 K257 J258 K262:K266 J263:J267 K268 J269 K270:K273 J271:J274 K275 J276 K281 J282 K286 J287 K291 J292 K296:K300 J297:J301 K302 J303 K304:K307 J305:J308 K309 J310">
    <cfRule type="cellIs" dxfId="31" priority="24" operator="lessThan">
      <formula>0</formula>
    </cfRule>
  </conditionalFormatting>
  <conditionalFormatting sqref="J152">
    <cfRule type="cellIs" dxfId="30" priority="21" operator="lessThan">
      <formula>0</formula>
    </cfRule>
  </conditionalFormatting>
  <conditionalFormatting sqref="K184:L184 K188:L189 K192:L193 K198:L199 K202:L203 K209:L209">
    <cfRule type="cellIs" dxfId="29" priority="22" operator="lessThan">
      <formula>0</formula>
    </cfRule>
  </conditionalFormatting>
  <conditionalFormatting sqref="L117:L120">
    <cfRule type="cellIs" dxfId="28" priority="11" operator="lessThan">
      <formula>0</formula>
    </cfRule>
  </conditionalFormatting>
  <conditionalFormatting sqref="L123">
    <cfRule type="cellIs" dxfId="27" priority="16" operator="lessThan">
      <formula>0</formula>
    </cfRule>
  </conditionalFormatting>
  <conditionalFormatting sqref="L129:L132">
    <cfRule type="cellIs" dxfId="26" priority="10" operator="lessThan">
      <formula>0</formula>
    </cfRule>
  </conditionalFormatting>
  <conditionalFormatting sqref="L135">
    <cfRule type="cellIs" dxfId="25" priority="15" operator="lessThan">
      <formula>0</formula>
    </cfRule>
  </conditionalFormatting>
  <conditionalFormatting sqref="L141:L144">
    <cfRule type="cellIs" dxfId="24" priority="9" operator="lessThan">
      <formula>0</formula>
    </cfRule>
  </conditionalFormatting>
  <conditionalFormatting sqref="L147">
    <cfRule type="cellIs" dxfId="23" priority="14" operator="lessThan">
      <formula>0</formula>
    </cfRule>
  </conditionalFormatting>
  <conditionalFormatting sqref="L153:L156">
    <cfRule type="cellIs" dxfId="22" priority="8" operator="lessThan">
      <formula>0</formula>
    </cfRule>
  </conditionalFormatting>
  <conditionalFormatting sqref="L159">
    <cfRule type="cellIs" dxfId="21" priority="13" operator="lessThan">
      <formula>0</formula>
    </cfRule>
  </conditionalFormatting>
  <conditionalFormatting sqref="L163:L164">
    <cfRule type="cellIs" dxfId="20" priority="12" operator="lessThan">
      <formula>0</formula>
    </cfRule>
  </conditionalFormatting>
  <conditionalFormatting sqref="L210:L214 L216 L218:L221 L223 J228:J230 J233:J235">
    <cfRule type="cellIs" dxfId="19" priority="31" operator="lessThan">
      <formula>0</formula>
    </cfRule>
  </conditionalFormatting>
  <conditionalFormatting sqref="M104 I124:J124">
    <cfRule type="cellIs" dxfId="18" priority="23" operator="lessThan">
      <formula>0</formula>
    </cfRule>
  </conditionalFormatting>
  <dataValidations count="7">
    <dataValidation type="list" allowBlank="1" showInputMessage="1" showErrorMessage="1" sqref="D54:D56" xr:uid="{40ACDE91-A471-496D-8601-B66CB483F88A}">
      <formula1>INDIRECT("Table_SourceData_OrganicFertiliserTypes[Organic fertiliser type]")</formula1>
    </dataValidation>
    <dataValidation type="list" allowBlank="1" showInputMessage="1" showErrorMessage="1" sqref="H25:H34 J25:J34 L25:L34 N25:N34" xr:uid="{1689F3EE-EAC1-48E1-8764-9FF8D5A2B34A}">
      <formula1>INDIRECT("Table_Fertiliser_ChemicalCompounds[Fertiliser type f]")</formula1>
    </dataValidation>
    <dataValidation type="list" allowBlank="1" showInputMessage="1" showErrorMessage="1" sqref="E249 E254 E259 E293 E288 E283 E161 E149 E125 E137" xr:uid="{25F6A59C-0583-41B9-9DD8-3BA15915AFD8}">
      <formula1>"Yes, No"</formula1>
    </dataValidation>
    <dataValidation type="list" allowBlank="1" showInputMessage="1" showErrorMessage="1" sqref="E225" xr:uid="{2695B8EE-F17D-4863-835D-8745430A24C1}">
      <formula1>INDIRECT("Table_SourceData_Dairy_ProductionSystemTemplates[Area]")</formula1>
    </dataValidation>
    <dataValidation type="list" allowBlank="1" showInputMessage="1" showErrorMessage="1" sqref="D277" xr:uid="{B3E90F14-EC39-4891-8BD5-CB7DD89D5A7E}">
      <formula1>INDIRECT("Table_SourceData_PoultryMMSStage1[MMS]")</formula1>
    </dataValidation>
    <dataValidation type="list" allowBlank="1" showInputMessage="1" showErrorMessage="1" sqref="Q25:R34" xr:uid="{2C7DA5E1-A22C-4EAB-AC1A-9825EB493EC7}">
      <formula1>INDIRECT("Table_SourceData_Fertiliser_UreaAmmoniaSources[Source]")</formula1>
    </dataValidation>
    <dataValidation type="list" allowBlank="1" showInputMessage="1" showErrorMessage="1" sqref="D12:D21" xr:uid="{4308C766-9087-4F6D-A778-4086E75E9D91}">
      <formula1>INDIRECT("FertiliserProducts[Product]")</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190"/>
  <sheetViews>
    <sheetView showGridLines="0" topLeftCell="A5" zoomScaleNormal="100" workbookViewId="0">
      <selection activeCell="D90" sqref="D90:H102"/>
    </sheetView>
  </sheetViews>
  <sheetFormatPr defaultColWidth="9" defaultRowHeight="20.100000000000001" customHeight="1" x14ac:dyDescent="0.25"/>
  <cols>
    <col min="1" max="1" width="26.85546875" style="3" customWidth="1"/>
    <col min="2" max="2" width="4.140625" style="3" customWidth="1"/>
    <col min="3" max="3" width="4.140625" style="14" customWidth="1"/>
    <col min="4" max="4" width="41.28515625" style="14" customWidth="1"/>
    <col min="5" max="10" width="26.85546875" style="14" customWidth="1"/>
    <col min="11" max="18" width="30.5703125" style="8" customWidth="1"/>
    <col min="19" max="19" width="4.5703125" style="8" customWidth="1"/>
    <col min="20" max="16384" width="9" style="3"/>
  </cols>
  <sheetData>
    <row r="1" spans="1:19" ht="30" customHeight="1" x14ac:dyDescent="0.35">
      <c r="A1" s="37" t="e" vm="1">
        <v>#VALUE!</v>
      </c>
      <c r="C1" s="93" t="s">
        <v>860</v>
      </c>
      <c r="D1" s="4"/>
      <c r="E1" s="4"/>
      <c r="F1" s="4"/>
      <c r="G1" s="4"/>
      <c r="H1" s="4"/>
      <c r="I1" s="4"/>
      <c r="J1" s="4"/>
      <c r="K1" s="4"/>
      <c r="L1" s="4"/>
      <c r="M1" s="4"/>
      <c r="N1" s="4"/>
      <c r="O1" s="4"/>
      <c r="P1" s="4"/>
      <c r="Q1" s="4"/>
      <c r="R1" s="4"/>
      <c r="S1" s="4"/>
    </row>
    <row r="2" spans="1:19" ht="20.100000000000001" customHeight="1" x14ac:dyDescent="0.25">
      <c r="A2"/>
      <c r="C2" s="2"/>
      <c r="D2" s="2"/>
      <c r="E2" s="2"/>
      <c r="F2" s="2"/>
      <c r="G2" s="2"/>
      <c r="H2" s="2"/>
      <c r="I2" s="2"/>
      <c r="J2" s="2"/>
      <c r="K2" s="2"/>
      <c r="L2" s="2"/>
      <c r="M2" s="2"/>
      <c r="N2" s="2"/>
      <c r="O2" s="2"/>
      <c r="P2" s="2"/>
      <c r="Q2" s="2"/>
      <c r="R2" s="2"/>
      <c r="S2" s="2"/>
    </row>
    <row r="3" spans="1:19"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row>
    <row r="4" spans="1:19" ht="20.100000000000001" customHeight="1" x14ac:dyDescent="0.25">
      <c r="A4" s="16" t="str">
        <f>HYPERLINK("#'Results'!A1", "Results")</f>
        <v>Results</v>
      </c>
      <c r="C4" s="7"/>
      <c r="D4" s="7"/>
      <c r="E4" s="7"/>
      <c r="F4" s="7"/>
      <c r="G4" s="7"/>
      <c r="H4" s="7"/>
      <c r="I4" s="7"/>
      <c r="J4" s="7"/>
    </row>
    <row r="5" spans="1:19" ht="20.100000000000001" customHeight="1" x14ac:dyDescent="0.25">
      <c r="A5"/>
      <c r="C5" s="8"/>
      <c r="D5" s="9" t="s">
        <v>284</v>
      </c>
      <c r="E5" s="7"/>
      <c r="F5" s="7"/>
      <c r="G5" s="7"/>
      <c r="H5" s="7"/>
      <c r="I5" s="7"/>
      <c r="J5" s="7"/>
    </row>
    <row r="6" spans="1:19" ht="20.100000000000001" customHeight="1" x14ac:dyDescent="0.25">
      <c r="A6"/>
      <c r="C6" s="8"/>
    </row>
    <row r="7" spans="1:19" ht="20.100000000000001" customHeight="1" x14ac:dyDescent="0.25">
      <c r="A7" s="19" t="s">
        <v>67</v>
      </c>
      <c r="C7" s="8"/>
      <c r="D7" s="46" t="s">
        <v>168</v>
      </c>
      <c r="E7" s="46" t="s">
        <v>339</v>
      </c>
      <c r="F7" s="46" t="s">
        <v>342</v>
      </c>
    </row>
    <row r="8" spans="1:19" ht="20.100000000000001" customHeight="1" x14ac:dyDescent="0.25">
      <c r="A8" s="16" t="str">
        <f>HYPERLINK("#'Input - Site'!A1", "Site")</f>
        <v>Site</v>
      </c>
      <c r="C8" s="8"/>
      <c r="D8" s="74" t="s">
        <v>379</v>
      </c>
      <c r="E8" s="47" t="s">
        <v>341</v>
      </c>
      <c r="F8" s="64">
        <v>100</v>
      </c>
    </row>
    <row r="9" spans="1:19" ht="20.100000000000001" customHeight="1" x14ac:dyDescent="0.25">
      <c r="A9" s="16" t="str">
        <f>HYPERLINK("#'Input - Fuel'!A1", "Fuel")</f>
        <v>Fuel</v>
      </c>
      <c r="C9" s="8"/>
      <c r="D9" s="74" t="s">
        <v>378</v>
      </c>
      <c r="E9" s="140" t="s">
        <v>340</v>
      </c>
      <c r="F9" s="141">
        <v>100</v>
      </c>
    </row>
    <row r="10" spans="1:19" ht="20.100000000000001" customHeight="1" x14ac:dyDescent="0.25">
      <c r="A10" s="16" t="str">
        <f>HYPERLINK("#'Input - Fertiliser'!A1", "Fertiliser")</f>
        <v>Fertiliser</v>
      </c>
      <c r="D10" s="74" t="s">
        <v>285</v>
      </c>
      <c r="E10" s="140" t="s">
        <v>286</v>
      </c>
      <c r="F10" s="141">
        <v>100</v>
      </c>
    </row>
    <row r="11" spans="1:19" ht="20.100000000000001" customHeight="1" x14ac:dyDescent="0.25">
      <c r="A11" s="42" t="str">
        <f>HYPERLINK("#'Input - Farm Inputs'!A1", "Farm Inputs")</f>
        <v>Farm Inputs</v>
      </c>
      <c r="D11" s="74" t="s">
        <v>285</v>
      </c>
      <c r="E11" s="140" t="s">
        <v>286</v>
      </c>
      <c r="F11" s="141">
        <v>100</v>
      </c>
    </row>
    <row r="12" spans="1:19" ht="20.100000000000001" customHeight="1" x14ac:dyDescent="0.25">
      <c r="A12" s="16" t="str">
        <f>HYPERLINK("#'Input - Livestock purchases'!A1", "Livestock purchases")</f>
        <v>Livestock purchases</v>
      </c>
      <c r="C12" s="8"/>
      <c r="D12" s="74" t="s">
        <v>379</v>
      </c>
      <c r="E12" s="140" t="s">
        <v>341</v>
      </c>
      <c r="F12" s="141">
        <v>100</v>
      </c>
    </row>
    <row r="13" spans="1:19" ht="20.100000000000001" customHeight="1" x14ac:dyDescent="0.25">
      <c r="A13" s="16" t="str">
        <f>HYPERLINK("#'Input - Freight'!A1", "Freight")</f>
        <v>Freight</v>
      </c>
      <c r="C13" s="8"/>
      <c r="D13" s="74" t="s">
        <v>379</v>
      </c>
      <c r="E13" s="140" t="s">
        <v>341</v>
      </c>
      <c r="F13" s="141">
        <v>100</v>
      </c>
    </row>
    <row r="14" spans="1:19" ht="20.100000000000001" customHeight="1" x14ac:dyDescent="0.25">
      <c r="A14" s="16" t="str">
        <f>HYPERLINK("#'Input - Solid waste'!A1", "Solid waste")</f>
        <v>Solid waste</v>
      </c>
      <c r="D14" s="74"/>
      <c r="E14" s="47"/>
      <c r="F14" s="64"/>
    </row>
    <row r="15" spans="1:19" ht="20.100000000000001" customHeight="1" x14ac:dyDescent="0.25">
      <c r="A15" s="16" t="str">
        <f>HYPERLINK("#'Input - Manure sent off-site'!A1", "Manure sent off-site")</f>
        <v>Manure sent off-site</v>
      </c>
      <c r="D15" s="74"/>
      <c r="E15" s="47"/>
      <c r="F15" s="64"/>
    </row>
    <row r="16" spans="1:19" ht="20.100000000000001" customHeight="1" x14ac:dyDescent="0.25">
      <c r="A16" s="16" t="str">
        <f>HYPERLINK("#'Input - Electricity'!A1", "Electricity")</f>
        <v>Electricity</v>
      </c>
      <c r="D16" s="74"/>
      <c r="E16" s="47"/>
      <c r="F16" s="64"/>
    </row>
    <row r="17" spans="1:10" ht="20.100000000000001" customHeight="1" x14ac:dyDescent="0.25">
      <c r="A17"/>
      <c r="C17" s="8"/>
      <c r="D17" s="74"/>
      <c r="E17" s="47"/>
      <c r="F17" s="64"/>
    </row>
    <row r="18" spans="1:10" ht="20.100000000000001" customHeight="1" x14ac:dyDescent="0.25">
      <c r="A18"/>
      <c r="C18" s="8"/>
    </row>
    <row r="19" spans="1:10" ht="20.100000000000001" customHeight="1" x14ac:dyDescent="0.25">
      <c r="A19" s="21" t="s">
        <v>77</v>
      </c>
    </row>
    <row r="20" spans="1:10" ht="20.100000000000001" customHeight="1" x14ac:dyDescent="0.25">
      <c r="A20" s="16" t="str">
        <f>HYPERLINK("#'15 Scope 3'!A1", "15 Scope 3")</f>
        <v>15 Scope 3</v>
      </c>
      <c r="D20" s="9" t="s">
        <v>601</v>
      </c>
    </row>
    <row r="21" spans="1:10" ht="20.100000000000001" customHeight="1" x14ac:dyDescent="0.25">
      <c r="A21" s="16" t="str">
        <f>HYPERLINK("#'10.1.1-2 Solid waste treatment'!A1", "10.1.1-2 Solid waste treatment")</f>
        <v>10.1.1-2 Solid waste treatment</v>
      </c>
      <c r="D21" s="12"/>
      <c r="I21" s="7"/>
      <c r="J21" s="7"/>
    </row>
    <row r="22" spans="1:10" ht="20.100000000000001" customHeight="1" x14ac:dyDescent="0.25">
      <c r="A22" s="16" t="str">
        <f>HYPERLINK("#'Calcs - Manure sent off-site'!A1", "Calcs - Manure sent off-site")</f>
        <v>Calcs - Manure sent off-site</v>
      </c>
      <c r="D22" s="155" t="s">
        <v>602</v>
      </c>
      <c r="E22" s="155" t="s">
        <v>611</v>
      </c>
      <c r="F22" s="155" t="s">
        <v>606</v>
      </c>
      <c r="G22" s="155" t="s">
        <v>126</v>
      </c>
    </row>
    <row r="23" spans="1:10" ht="20.100000000000001" customHeight="1" x14ac:dyDescent="0.25">
      <c r="A23" s="16" t="str">
        <f>HYPERLINK("#'8.1.1.1-2 Transport fuel'!A1", "8.1.1.1-2 Transport fuel")</f>
        <v>8.1.1.1-2 Transport fuel</v>
      </c>
      <c r="D23" s="74" t="s">
        <v>603</v>
      </c>
      <c r="E23" s="74" t="s">
        <v>604</v>
      </c>
      <c r="F23" s="64">
        <v>10000</v>
      </c>
      <c r="G23" s="47" t="s">
        <v>608</v>
      </c>
    </row>
    <row r="24" spans="1:10" ht="20.100000000000001" customHeight="1" x14ac:dyDescent="0.25">
      <c r="A24" s="16" t="str">
        <f>HYPERLINK("#'8.2.1.1-2 Stationary fuel'!A1", "8.2.1.1-2 Stationary fuel")</f>
        <v>8.2.1.1-2 Stationary fuel</v>
      </c>
      <c r="D24" s="74" t="s">
        <v>605</v>
      </c>
      <c r="E24" s="74" t="s">
        <v>610</v>
      </c>
      <c r="F24" s="64">
        <v>1000</v>
      </c>
      <c r="G24" s="47" t="s">
        <v>609</v>
      </c>
    </row>
    <row r="25" spans="1:10" ht="20.100000000000001" customHeight="1" x14ac:dyDescent="0.25">
      <c r="A25"/>
      <c r="C25" s="8"/>
      <c r="D25" s="74"/>
      <c r="E25" s="74"/>
      <c r="F25" s="64"/>
      <c r="G25" s="47"/>
    </row>
    <row r="26" spans="1:10" ht="20.100000000000001" customHeight="1" x14ac:dyDescent="0.25">
      <c r="A26"/>
      <c r="C26" s="8"/>
      <c r="D26" s="74"/>
      <c r="E26" s="74"/>
      <c r="F26" s="64"/>
      <c r="G26" s="47"/>
    </row>
    <row r="27" spans="1:10" ht="20.100000000000001" customHeight="1" x14ac:dyDescent="0.25">
      <c r="A27" s="213" t="s">
        <v>78</v>
      </c>
      <c r="C27" s="8"/>
      <c r="D27" s="74"/>
      <c r="E27" s="74"/>
      <c r="F27" s="64"/>
      <c r="G27" s="47"/>
    </row>
    <row r="28" spans="1:10" ht="20.100000000000001" customHeight="1" x14ac:dyDescent="0.25">
      <c r="A28" s="16" t="str">
        <f>HYPERLINK("#'Constants - Scope 3'!A1", "Constants - Scope 3")</f>
        <v>Constants - Scope 3</v>
      </c>
      <c r="D28" s="74"/>
      <c r="E28" s="74"/>
      <c r="F28" s="64"/>
      <c r="G28" s="47"/>
    </row>
    <row r="29" spans="1:10" ht="20.100000000000001" customHeight="1" x14ac:dyDescent="0.25">
      <c r="A29" s="16" t="str">
        <f>HYPERLINK("#'Constants - Solid Waste'!A1", "Constants - Solid Waste")</f>
        <v>Constants - Solid Waste</v>
      </c>
      <c r="D29" s="74"/>
      <c r="E29" s="74"/>
      <c r="F29" s="64"/>
      <c r="G29" s="47"/>
    </row>
    <row r="30" spans="1:10" ht="20.100000000000001" customHeight="1" x14ac:dyDescent="0.25">
      <c r="A30" s="16" t="str">
        <f>HYPERLINK("#'Constants - Fuel'!A1", "Constants - Fuel")</f>
        <v>Constants - Fuel</v>
      </c>
      <c r="D30" s="74"/>
      <c r="E30" s="74"/>
      <c r="F30" s="64"/>
      <c r="G30" s="47"/>
    </row>
    <row r="31" spans="1:10" ht="20.100000000000001" customHeight="1" x14ac:dyDescent="0.25">
      <c r="A31" s="16" t="str">
        <f>HYPERLINK("#'Constants - Poultry'!A1", "Constants - Poultry")</f>
        <v>Constants - Poultry</v>
      </c>
      <c r="D31" s="74"/>
      <c r="E31" s="74"/>
      <c r="F31" s="64"/>
      <c r="G31" s="47"/>
    </row>
    <row r="32" spans="1:10" ht="20.100000000000001" customHeight="1" x14ac:dyDescent="0.25">
      <c r="A32" s="16" t="str">
        <f>HYPERLINK("#'Constants - Swine'!A1", "Constants - Swine")</f>
        <v>Constants - Swine</v>
      </c>
      <c r="D32" s="74"/>
      <c r="E32" s="74"/>
      <c r="F32" s="64"/>
      <c r="G32" s="47"/>
    </row>
    <row r="33" spans="1:6" ht="20.100000000000001" customHeight="1" x14ac:dyDescent="0.25">
      <c r="A33" s="16" t="str">
        <f>HYPERLINK("#'Constants - Dairy'!A1", "Constants - Dairy")</f>
        <v>Constants - Dairy</v>
      </c>
    </row>
    <row r="34" spans="1:6" ht="20.100000000000001" customHeight="1" x14ac:dyDescent="0.25">
      <c r="A34" s="16" t="str">
        <f>HYPERLINK("#'Constants - Pasture Beef'!A1", "Constants - Pasture Beef")</f>
        <v>Constants - Pasture Beef</v>
      </c>
    </row>
    <row r="35" spans="1:6" ht="20.100000000000001" customHeight="1" x14ac:dyDescent="0.25">
      <c r="A35" s="16" t="str">
        <f>HYPERLINK("#'Constants - Common Livestock'!A1", "Constants - Common Livestock")</f>
        <v>Constants - Common Livestock</v>
      </c>
      <c r="D35" s="9" t="s">
        <v>600</v>
      </c>
    </row>
    <row r="36" spans="1:6" ht="20.100000000000001" customHeight="1" x14ac:dyDescent="0.25">
      <c r="A36" s="16" t="str">
        <f>HYPERLINK("#'Constants - Fertiliser'!A1", "Constants - Fertiliser")</f>
        <v>Constants - Fertiliser</v>
      </c>
      <c r="D36" s="12"/>
    </row>
    <row r="37" spans="1:6" ht="20.100000000000001" customHeight="1" x14ac:dyDescent="0.25">
      <c r="A37" s="16" t="str">
        <f>HYPERLINK("#'Constants - Electricity'!A1", "Constants - Electricity")</f>
        <v>Constants - Electricity</v>
      </c>
      <c r="D37" s="46" t="s">
        <v>595</v>
      </c>
      <c r="E37" s="46" t="s">
        <v>594</v>
      </c>
      <c r="F37" s="46" t="s">
        <v>126</v>
      </c>
    </row>
    <row r="38" spans="1:6" ht="20.100000000000001" customHeight="1" x14ac:dyDescent="0.25">
      <c r="A38" s="16" t="str">
        <f>HYPERLINK("#'Constants - Common'!A1", "Constants - Common")</f>
        <v>Constants - Common</v>
      </c>
      <c r="D38" s="74" t="s">
        <v>696</v>
      </c>
      <c r="E38" s="64">
        <v>1000</v>
      </c>
      <c r="F38" s="74" t="s">
        <v>345</v>
      </c>
    </row>
    <row r="39" spans="1:6" ht="20.100000000000001" customHeight="1" x14ac:dyDescent="0.25">
      <c r="A39"/>
      <c r="D39" s="74"/>
      <c r="E39" s="64"/>
      <c r="F39" s="74"/>
    </row>
    <row r="40" spans="1:6" ht="20.100000000000001" customHeight="1" x14ac:dyDescent="0.25">
      <c r="A40"/>
      <c r="D40" s="74"/>
      <c r="E40" s="64"/>
      <c r="F40" s="74"/>
    </row>
    <row r="41" spans="1:6" ht="20.100000000000001" customHeight="1" x14ac:dyDescent="0.25">
      <c r="A41"/>
      <c r="D41" s="74"/>
      <c r="E41" s="64"/>
      <c r="F41" s="74"/>
    </row>
    <row r="42" spans="1:6" ht="20.100000000000001" customHeight="1" x14ac:dyDescent="0.25">
      <c r="A42"/>
      <c r="D42" s="74"/>
      <c r="E42" s="64"/>
      <c r="F42" s="74"/>
    </row>
    <row r="43" spans="1:6" ht="20.100000000000001" customHeight="1" x14ac:dyDescent="0.25">
      <c r="A43"/>
      <c r="D43" s="74"/>
      <c r="E43" s="64"/>
      <c r="F43" s="74"/>
    </row>
    <row r="44" spans="1:6" ht="20.100000000000001" customHeight="1" x14ac:dyDescent="0.25">
      <c r="A44"/>
      <c r="C44" s="8"/>
      <c r="D44" s="74"/>
      <c r="E44" s="64"/>
      <c r="F44" s="74"/>
    </row>
    <row r="45" spans="1:6" ht="20.100000000000001" customHeight="1" x14ac:dyDescent="0.25">
      <c r="A45"/>
      <c r="C45" s="8"/>
      <c r="D45" s="74"/>
      <c r="E45" s="64"/>
      <c r="F45" s="74"/>
    </row>
    <row r="46" spans="1:6" ht="20.100000000000001" customHeight="1" x14ac:dyDescent="0.25">
      <c r="A46"/>
      <c r="C46" s="8"/>
      <c r="D46" s="74"/>
      <c r="E46" s="64"/>
      <c r="F46" s="74"/>
    </row>
    <row r="47" spans="1:6" ht="20.100000000000001" customHeight="1" x14ac:dyDescent="0.25">
      <c r="A47"/>
      <c r="C47" s="8"/>
      <c r="D47" s="74"/>
      <c r="E47" s="64"/>
      <c r="F47" s="74"/>
    </row>
    <row r="48" spans="1:6" ht="20.100000000000001" customHeight="1" x14ac:dyDescent="0.25">
      <c r="A48"/>
      <c r="C48" s="8"/>
    </row>
    <row r="49" spans="1:3" ht="20.100000000000001" customHeight="1" x14ac:dyDescent="0.25">
      <c r="A49"/>
      <c r="C49" s="8"/>
    </row>
    <row r="50" spans="1:3" ht="20.100000000000001" customHeight="1" x14ac:dyDescent="0.25">
      <c r="A50"/>
    </row>
    <row r="51" spans="1:3" ht="20.100000000000001" customHeight="1" x14ac:dyDescent="0.25">
      <c r="A51"/>
    </row>
    <row r="52" spans="1:3" ht="20.100000000000001" customHeight="1" x14ac:dyDescent="0.25">
      <c r="A52"/>
    </row>
    <row r="53" spans="1:3" ht="20.100000000000001" customHeight="1" x14ac:dyDescent="0.25">
      <c r="A53"/>
    </row>
    <row r="54" spans="1:3" ht="20.100000000000001" customHeight="1" x14ac:dyDescent="0.25">
      <c r="A54"/>
    </row>
    <row r="55" spans="1:3" ht="20.100000000000001" customHeight="1" x14ac:dyDescent="0.25">
      <c r="A55"/>
    </row>
    <row r="56" spans="1:3" ht="20.100000000000001" customHeight="1" x14ac:dyDescent="0.25">
      <c r="A56"/>
    </row>
    <row r="57" spans="1:3" ht="20.100000000000001" customHeight="1" x14ac:dyDescent="0.25">
      <c r="A57"/>
    </row>
    <row r="58" spans="1:3" ht="20.100000000000001" customHeight="1" x14ac:dyDescent="0.25">
      <c r="A58"/>
    </row>
    <row r="59" spans="1:3" ht="20.100000000000001" customHeight="1" x14ac:dyDescent="0.25">
      <c r="A59"/>
    </row>
    <row r="60" spans="1:3" ht="20.100000000000001" customHeight="1" x14ac:dyDescent="0.25">
      <c r="A60"/>
    </row>
    <row r="61" spans="1:3" ht="20.100000000000001" customHeight="1" x14ac:dyDescent="0.25">
      <c r="A61"/>
    </row>
    <row r="62" spans="1:3" ht="20.100000000000001" customHeight="1" x14ac:dyDescent="0.25">
      <c r="A62"/>
    </row>
    <row r="63" spans="1:3" ht="20.100000000000001" customHeight="1" x14ac:dyDescent="0.25">
      <c r="A63"/>
    </row>
    <row r="64" spans="1:3" ht="20.100000000000001" customHeight="1" x14ac:dyDescent="0.25">
      <c r="A64"/>
    </row>
    <row r="65" spans="1:11" ht="20.100000000000001" customHeight="1" x14ac:dyDescent="0.25">
      <c r="A65"/>
    </row>
    <row r="66" spans="1:11" ht="20.100000000000001" customHeight="1" x14ac:dyDescent="0.25">
      <c r="A66"/>
    </row>
    <row r="67" spans="1:11" ht="20.100000000000001" customHeight="1" x14ac:dyDescent="0.25">
      <c r="A67"/>
    </row>
    <row r="68" spans="1:11" ht="20.100000000000001" customHeight="1" x14ac:dyDescent="0.25">
      <c r="A68"/>
    </row>
    <row r="69" spans="1:11" ht="20.100000000000001" customHeight="1" x14ac:dyDescent="0.25">
      <c r="A69"/>
    </row>
    <row r="70" spans="1:11" ht="20.100000000000001" customHeight="1" x14ac:dyDescent="0.25">
      <c r="A70"/>
    </row>
    <row r="71" spans="1:11" ht="20.100000000000001" customHeight="1" x14ac:dyDescent="0.25">
      <c r="A71"/>
    </row>
    <row r="72" spans="1:11" ht="20.100000000000001" customHeight="1" x14ac:dyDescent="0.25">
      <c r="A72"/>
    </row>
    <row r="73" spans="1:11" ht="20.100000000000001" customHeight="1" x14ac:dyDescent="0.25">
      <c r="A73"/>
    </row>
    <row r="74" spans="1:11" ht="20.100000000000001" customHeight="1" x14ac:dyDescent="0.25">
      <c r="A74"/>
      <c r="K74" s="14"/>
    </row>
    <row r="75" spans="1:11" ht="20.100000000000001" customHeight="1" x14ac:dyDescent="0.25">
      <c r="A75"/>
    </row>
    <row r="76" spans="1:11" ht="20.100000000000001" customHeight="1" x14ac:dyDescent="0.25">
      <c r="A76"/>
    </row>
    <row r="77" spans="1:11" ht="20.100000000000001" customHeight="1" x14ac:dyDescent="0.25">
      <c r="A77"/>
    </row>
    <row r="78" spans="1:11" ht="20.100000000000001" customHeight="1" x14ac:dyDescent="0.25">
      <c r="A78"/>
    </row>
    <row r="79" spans="1:11" ht="20.100000000000001" customHeight="1" x14ac:dyDescent="0.25">
      <c r="A79"/>
    </row>
    <row r="80" spans="1:11" ht="20.100000000000001" customHeight="1" x14ac:dyDescent="0.25">
      <c r="A80"/>
    </row>
    <row r="81" spans="1:10" ht="20.100000000000001" customHeight="1" x14ac:dyDescent="0.25">
      <c r="A81"/>
    </row>
    <row r="82" spans="1:10" ht="20.100000000000001" customHeight="1" x14ac:dyDescent="0.25">
      <c r="A82"/>
    </row>
    <row r="83" spans="1:10" ht="20.100000000000001" customHeight="1" x14ac:dyDescent="0.25">
      <c r="A83"/>
    </row>
    <row r="84" spans="1:10" ht="20.100000000000001" customHeight="1" x14ac:dyDescent="0.25">
      <c r="A84"/>
    </row>
    <row r="85" spans="1:10" ht="20.100000000000001" customHeight="1" x14ac:dyDescent="0.25">
      <c r="A85"/>
    </row>
    <row r="86" spans="1:10" ht="20.100000000000001" customHeight="1" x14ac:dyDescent="0.25">
      <c r="A86"/>
    </row>
    <row r="87" spans="1:10" ht="20.100000000000001" customHeight="1" x14ac:dyDescent="0.25">
      <c r="A87"/>
    </row>
    <row r="88" spans="1:10" ht="20.100000000000001" customHeight="1" x14ac:dyDescent="0.25">
      <c r="A88"/>
    </row>
    <row r="89" spans="1:10" ht="20.100000000000001" customHeight="1" x14ac:dyDescent="0.25">
      <c r="A89"/>
    </row>
    <row r="90" spans="1:10" ht="20.100000000000001" customHeight="1" x14ac:dyDescent="0.25">
      <c r="A90"/>
    </row>
    <row r="91" spans="1:10" ht="20.100000000000001" customHeight="1" x14ac:dyDescent="0.25">
      <c r="A91"/>
    </row>
    <row r="92" spans="1:10" ht="20.100000000000001" customHeight="1" x14ac:dyDescent="0.25">
      <c r="A92"/>
      <c r="J92" s="7"/>
    </row>
    <row r="93" spans="1:10" ht="20.100000000000001" customHeight="1" x14ac:dyDescent="0.25">
      <c r="A93"/>
      <c r="J93" s="7"/>
    </row>
    <row r="94" spans="1:10" ht="20.100000000000001" customHeight="1" x14ac:dyDescent="0.25">
      <c r="A94"/>
      <c r="J94" s="7"/>
    </row>
    <row r="95" spans="1:10" ht="20.100000000000001" customHeight="1" x14ac:dyDescent="0.25">
      <c r="A95"/>
      <c r="J95" s="7"/>
    </row>
    <row r="96" spans="1:10" ht="20.100000000000001" customHeight="1" x14ac:dyDescent="0.25">
      <c r="A96"/>
      <c r="J96" s="7"/>
    </row>
    <row r="97" spans="1:10" ht="20.100000000000001" customHeight="1" x14ac:dyDescent="0.25">
      <c r="A97"/>
      <c r="J97" s="9"/>
    </row>
    <row r="98" spans="1:10" ht="20.100000000000001" customHeight="1" x14ac:dyDescent="0.25">
      <c r="A98"/>
      <c r="J98" s="8"/>
    </row>
    <row r="99" spans="1:10" ht="20.100000000000001" customHeight="1" x14ac:dyDescent="0.25">
      <c r="A99"/>
      <c r="J99" s="8"/>
    </row>
    <row r="100" spans="1:10" ht="20.100000000000001" customHeight="1" x14ac:dyDescent="0.25">
      <c r="A100"/>
      <c r="J100" s="8"/>
    </row>
    <row r="101" spans="1:10" ht="20.100000000000001" customHeight="1" x14ac:dyDescent="0.25">
      <c r="A101"/>
      <c r="J101" s="8"/>
    </row>
    <row r="102" spans="1:10" ht="20.100000000000001" customHeight="1" x14ac:dyDescent="0.25">
      <c r="A102"/>
      <c r="J102" s="8"/>
    </row>
    <row r="103" spans="1:10" ht="20.100000000000001" customHeight="1" x14ac:dyDescent="0.25">
      <c r="A103"/>
    </row>
    <row r="104" spans="1:10" ht="20.100000000000001" customHeight="1" x14ac:dyDescent="0.25">
      <c r="A104"/>
    </row>
    <row r="105" spans="1:10" ht="20.100000000000001" customHeight="1" x14ac:dyDescent="0.25">
      <c r="A105"/>
    </row>
    <row r="106" spans="1:10" ht="20.100000000000001" customHeight="1" x14ac:dyDescent="0.25">
      <c r="A106"/>
    </row>
    <row r="107" spans="1:10" ht="20.100000000000001" customHeight="1" x14ac:dyDescent="0.25">
      <c r="A107"/>
      <c r="J107" s="8"/>
    </row>
    <row r="108" spans="1:10" ht="20.100000000000001" customHeight="1" x14ac:dyDescent="0.25">
      <c r="A108"/>
      <c r="J108" s="8"/>
    </row>
    <row r="109" spans="1:10" ht="20.100000000000001" customHeight="1" x14ac:dyDescent="0.25">
      <c r="A109"/>
      <c r="J109" s="8"/>
    </row>
    <row r="110" spans="1:10" ht="20.100000000000001" customHeight="1" x14ac:dyDescent="0.25">
      <c r="A110"/>
      <c r="J110" s="8"/>
    </row>
    <row r="111" spans="1:10" ht="20.100000000000001" customHeight="1" x14ac:dyDescent="0.25">
      <c r="A111"/>
      <c r="J111" s="8"/>
    </row>
    <row r="112" spans="1:10" ht="20.100000000000001" customHeight="1" x14ac:dyDescent="0.25">
      <c r="A112"/>
      <c r="J112" s="8"/>
    </row>
    <row r="113" spans="1:16" ht="20.100000000000001" customHeight="1" x14ac:dyDescent="0.25">
      <c r="A113"/>
      <c r="J113" s="8"/>
      <c r="L113" s="7"/>
      <c r="M113" s="7"/>
      <c r="N113" s="7"/>
      <c r="O113" s="7"/>
      <c r="P113" s="7"/>
    </row>
    <row r="114" spans="1:16" ht="20.100000000000001" customHeight="1" x14ac:dyDescent="0.25">
      <c r="A114"/>
      <c r="J114" s="8"/>
      <c r="L114" s="7"/>
      <c r="M114" s="7"/>
      <c r="N114" s="7"/>
      <c r="O114" s="7"/>
      <c r="P114" s="7"/>
    </row>
    <row r="115" spans="1:16" ht="20.100000000000001" customHeight="1" x14ac:dyDescent="0.25">
      <c r="A115"/>
      <c r="J115" s="8"/>
      <c r="L115" s="7"/>
      <c r="M115" s="7"/>
      <c r="N115" s="7"/>
      <c r="O115" s="7"/>
      <c r="P115" s="7"/>
    </row>
    <row r="116" spans="1:16" ht="20.100000000000001" customHeight="1" x14ac:dyDescent="0.25">
      <c r="A116"/>
      <c r="I116" s="7"/>
      <c r="J116" s="8"/>
      <c r="N116" s="7"/>
      <c r="O116" s="7"/>
      <c r="P116" s="7"/>
    </row>
    <row r="117" spans="1:16" ht="20.100000000000001" customHeight="1" x14ac:dyDescent="0.25">
      <c r="A117"/>
      <c r="I117" s="7"/>
      <c r="J117" s="8"/>
      <c r="N117" s="7"/>
      <c r="O117" s="7"/>
      <c r="P117" s="7"/>
    </row>
    <row r="118" spans="1:16" ht="20.100000000000001" customHeight="1" x14ac:dyDescent="0.25">
      <c r="A118"/>
      <c r="J118" s="7"/>
      <c r="N118" s="9"/>
      <c r="O118" s="9"/>
      <c r="P118" s="7"/>
    </row>
    <row r="119" spans="1:16" ht="20.100000000000001" customHeight="1" x14ac:dyDescent="0.25">
      <c r="A119"/>
      <c r="J119" s="7"/>
      <c r="P119" s="138"/>
    </row>
    <row r="120" spans="1:16" ht="20.100000000000001" customHeight="1" x14ac:dyDescent="0.25">
      <c r="A120"/>
      <c r="J120" s="7"/>
      <c r="P120" s="138"/>
    </row>
    <row r="121" spans="1:16" ht="20.100000000000001" customHeight="1" x14ac:dyDescent="0.25">
      <c r="A121"/>
      <c r="J121" s="9"/>
      <c r="P121" s="138"/>
    </row>
    <row r="122" spans="1:16" ht="20.100000000000001" customHeight="1" x14ac:dyDescent="0.25">
      <c r="A122"/>
      <c r="G122" s="7"/>
      <c r="H122" s="8"/>
      <c r="J122" s="8"/>
      <c r="P122" s="138"/>
    </row>
    <row r="123" spans="1:16" ht="20.100000000000001" customHeight="1" x14ac:dyDescent="0.25">
      <c r="A123"/>
      <c r="G123" s="7"/>
      <c r="H123" s="8"/>
      <c r="J123" s="8"/>
      <c r="P123" s="138"/>
    </row>
    <row r="124" spans="1:16" ht="20.100000000000001" customHeight="1" x14ac:dyDescent="0.25">
      <c r="A124"/>
      <c r="G124" s="7"/>
      <c r="H124" s="7"/>
      <c r="J124" s="8"/>
      <c r="N124" s="7"/>
      <c r="O124" s="7"/>
      <c r="P124" s="7"/>
    </row>
    <row r="125" spans="1:16" ht="20.100000000000001" customHeight="1" x14ac:dyDescent="0.25">
      <c r="A125"/>
      <c r="G125" s="7"/>
      <c r="H125" s="7"/>
      <c r="I125" s="7"/>
      <c r="J125" s="8"/>
      <c r="N125" s="7"/>
      <c r="O125" s="7"/>
      <c r="P125" s="7"/>
    </row>
    <row r="126" spans="1:16" ht="20.100000000000001" customHeight="1" x14ac:dyDescent="0.25">
      <c r="A126"/>
      <c r="G126" s="7"/>
      <c r="I126" s="7"/>
      <c r="J126" s="8"/>
    </row>
    <row r="127" spans="1:16" ht="20.100000000000001" customHeight="1" x14ac:dyDescent="0.25">
      <c r="A127"/>
      <c r="I127" s="7"/>
      <c r="J127" s="7"/>
    </row>
    <row r="128" spans="1:16" ht="20.100000000000001" customHeight="1" x14ac:dyDescent="0.25">
      <c r="A128"/>
      <c r="I128" s="7"/>
      <c r="J128" s="7"/>
    </row>
    <row r="129" spans="1:13" ht="20.100000000000001" customHeight="1" x14ac:dyDescent="0.25">
      <c r="A129"/>
      <c r="I129" s="7"/>
      <c r="L129" s="7"/>
      <c r="M129" s="7"/>
    </row>
    <row r="130" spans="1:13" ht="20.100000000000001" customHeight="1" x14ac:dyDescent="0.25">
      <c r="A130"/>
      <c r="I130" s="7"/>
      <c r="L130" s="7"/>
      <c r="M130" s="7"/>
    </row>
    <row r="131" spans="1:13" ht="20.100000000000001" customHeight="1" x14ac:dyDescent="0.25">
      <c r="A131"/>
      <c r="G131" s="8"/>
      <c r="I131" s="8"/>
      <c r="L131" s="9"/>
      <c r="M131" s="9"/>
    </row>
    <row r="132" spans="1:13" ht="20.100000000000001" customHeight="1" x14ac:dyDescent="0.25">
      <c r="A132"/>
      <c r="G132" s="7"/>
      <c r="I132" s="8"/>
    </row>
    <row r="133" spans="1:13" ht="20.100000000000001" customHeight="1" x14ac:dyDescent="0.25">
      <c r="A133"/>
      <c r="G133" s="7"/>
      <c r="I133" s="8"/>
    </row>
    <row r="134" spans="1:13" ht="20.100000000000001" customHeight="1" x14ac:dyDescent="0.25">
      <c r="A134"/>
      <c r="I134" s="8"/>
    </row>
    <row r="135" spans="1:13" ht="20.100000000000001" customHeight="1" x14ac:dyDescent="0.25">
      <c r="A135"/>
      <c r="I135" s="8"/>
    </row>
    <row r="136" spans="1:13" ht="20.100000000000001" customHeight="1" x14ac:dyDescent="0.25">
      <c r="A136"/>
      <c r="I136" s="7"/>
    </row>
    <row r="137" spans="1:13" ht="20.100000000000001" customHeight="1" x14ac:dyDescent="0.25">
      <c r="A137"/>
      <c r="I137" s="7"/>
      <c r="L137" s="7"/>
      <c r="M137" s="7"/>
    </row>
    <row r="138" spans="1:13" ht="20.100000000000001" customHeight="1" x14ac:dyDescent="0.25">
      <c r="A138"/>
      <c r="L138" s="7"/>
      <c r="M138" s="7"/>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5" spans="11:19" ht="20.100000000000001" customHeight="1" x14ac:dyDescent="0.25">
      <c r="S165" s="3"/>
    </row>
    <row r="166" spans="11:19" ht="20.100000000000001" customHeight="1" x14ac:dyDescent="0.25">
      <c r="S166" s="3"/>
    </row>
    <row r="167" spans="11:19" ht="20.100000000000001" customHeight="1" x14ac:dyDescent="0.25">
      <c r="S167" s="3"/>
    </row>
    <row r="168" spans="11:19" ht="20.100000000000001" customHeight="1" x14ac:dyDescent="0.25">
      <c r="S168" s="3"/>
    </row>
    <row r="169" spans="11:19" ht="20.100000000000001" customHeight="1" x14ac:dyDescent="0.25">
      <c r="S169" s="3"/>
    </row>
    <row r="170" spans="11:19" ht="20.100000000000001" customHeight="1" x14ac:dyDescent="0.25">
      <c r="S170" s="3"/>
    </row>
    <row r="171" spans="11:19" ht="20.100000000000001" customHeight="1" x14ac:dyDescent="0.25">
      <c r="S171" s="3"/>
    </row>
    <row r="172" spans="11:19" ht="20.100000000000001" customHeight="1" x14ac:dyDescent="0.25">
      <c r="S172" s="3"/>
    </row>
    <row r="173" spans="11:19" ht="20.100000000000001" customHeight="1" x14ac:dyDescent="0.25">
      <c r="S173" s="3"/>
    </row>
    <row r="174" spans="11:19" ht="20.100000000000001" customHeight="1" x14ac:dyDescent="0.25">
      <c r="S174" s="3"/>
    </row>
    <row r="175" spans="11:19" ht="20.100000000000001" customHeight="1" x14ac:dyDescent="0.25">
      <c r="S175" s="3"/>
    </row>
    <row r="176" spans="11:19" ht="20.100000000000001" customHeight="1" x14ac:dyDescent="0.25">
      <c r="K176" s="7"/>
    </row>
    <row r="177" spans="11:19" ht="20.100000000000001" customHeight="1" x14ac:dyDescent="0.25">
      <c r="K177" s="7"/>
    </row>
    <row r="180" spans="11:19" ht="20.100000000000001" customHeight="1" x14ac:dyDescent="0.25">
      <c r="S180" s="3"/>
    </row>
    <row r="181" spans="11:19" ht="20.100000000000001" customHeight="1" x14ac:dyDescent="0.25">
      <c r="S181" s="3"/>
    </row>
    <row r="182" spans="11:19" ht="20.100000000000001" customHeight="1" x14ac:dyDescent="0.25">
      <c r="S182" s="3"/>
    </row>
    <row r="183" spans="11:19" ht="20.100000000000001" customHeight="1" x14ac:dyDescent="0.25">
      <c r="S183" s="3"/>
    </row>
    <row r="184" spans="11:19" ht="20.100000000000001" customHeight="1" x14ac:dyDescent="0.25">
      <c r="S184" s="3"/>
    </row>
    <row r="185" spans="11:19" ht="20.100000000000001" customHeight="1" x14ac:dyDescent="0.25">
      <c r="S185" s="3"/>
    </row>
    <row r="186" spans="11:19" ht="20.100000000000001" customHeight="1" x14ac:dyDescent="0.25">
      <c r="S186" s="3"/>
    </row>
    <row r="187" spans="11:19" ht="20.100000000000001" customHeight="1" x14ac:dyDescent="0.25">
      <c r="S187" s="3"/>
    </row>
    <row r="188" spans="11:19" ht="20.100000000000001" customHeight="1" x14ac:dyDescent="0.25">
      <c r="S188" s="3"/>
    </row>
    <row r="189" spans="11:19" ht="20.100000000000001" customHeight="1" x14ac:dyDescent="0.25">
      <c r="S189" s="3"/>
    </row>
    <row r="190" spans="11:19" ht="20.100000000000001" customHeight="1" x14ac:dyDescent="0.25">
      <c r="S190" s="3"/>
    </row>
  </sheetData>
  <phoneticPr fontId="53" type="noConversion"/>
  <dataValidations count="3">
    <dataValidation type="list" allowBlank="1" showInputMessage="1" showErrorMessage="1" sqref="E8:E17" xr:uid="{C432D3D7-90B5-49EB-9686-44E33AA46DF7}">
      <formula1>INDIRECT("Table_SourceData_Scope3_ChemicalsCleaning[Product]")</formula1>
    </dataValidation>
    <dataValidation type="list" allowBlank="1" showInputMessage="1" showErrorMessage="1" sqref="G23:G32" xr:uid="{92F419C3-BB6B-4ED0-BE3F-195DAC4808A6}">
      <formula1>"Hour, Hectare"</formula1>
    </dataValidation>
    <dataValidation type="list" allowBlank="1" showInputMessage="1" showErrorMessage="1" sqref="N122:N123 H122:H123 J125:J126 L135:L136" xr:uid="{0AD8851A-09E8-483B-9827-926349C05F01}">
      <formula1>INDIRECT("Table_Scope3_AquacultureFeedBait[Feed / Bait ingredient]")</formula1>
    </dataValidation>
  </dataValidations>
  <pageMargins left="0.7" right="0.7" top="0.75" bottom="0.75" header="0.3" footer="0.3"/>
  <pageSetup orientation="portrait" r:id="rId1"/>
  <tableParts count="3">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57E6F-01DC-4691-A4D3-FD22E4E07C07}">
  <sheetPr>
    <tabColor theme="5" tint="-0.249977111117893"/>
  </sheetPr>
  <dimension ref="C1:I17"/>
  <sheetViews>
    <sheetView showGridLines="0" zoomScaleNormal="100" workbookViewId="0">
      <selection activeCell="D32" sqref="D32"/>
    </sheetView>
  </sheetViews>
  <sheetFormatPr defaultRowHeight="20.100000000000001" customHeight="1" x14ac:dyDescent="0.2"/>
  <cols>
    <col min="1" max="1" width="30.5703125" customWidth="1"/>
    <col min="2" max="2" width="4.5703125" customWidth="1"/>
    <col min="3" max="3" width="4.5703125" style="8" customWidth="1"/>
    <col min="4" max="8" width="30.5703125" style="8" customWidth="1"/>
    <col min="9" max="9" width="4.5703125" style="8" customWidth="1"/>
  </cols>
  <sheetData>
    <row r="1" spans="3:9" s="37" customFormat="1" ht="30" customHeight="1" x14ac:dyDescent="0.35">
      <c r="C1" s="37" t="s">
        <v>863</v>
      </c>
    </row>
    <row r="2" spans="3:9" s="2" customFormat="1" ht="20.100000000000001" customHeight="1" x14ac:dyDescent="0.2"/>
    <row r="3" spans="3:9" ht="20.100000000000001" customHeight="1" x14ac:dyDescent="0.2">
      <c r="C3" s="38"/>
      <c r="D3" s="38"/>
      <c r="E3" s="38"/>
      <c r="F3" s="38"/>
      <c r="G3" s="38"/>
      <c r="H3" s="38"/>
      <c r="I3" s="38"/>
    </row>
    <row r="5" spans="3:9" ht="20.100000000000001" customHeight="1" x14ac:dyDescent="0.25">
      <c r="D5" s="9" t="s">
        <v>361</v>
      </c>
      <c r="E5" s="14"/>
      <c r="F5" s="14"/>
      <c r="G5" s="14"/>
      <c r="H5" s="14"/>
    </row>
    <row r="6" spans="3:9" ht="20.100000000000001" customHeight="1" x14ac:dyDescent="0.25">
      <c r="D6" s="14"/>
      <c r="E6" s="14"/>
      <c r="F6" s="14"/>
      <c r="G6" s="14"/>
      <c r="H6" s="14"/>
    </row>
    <row r="7" spans="3:9" ht="20.100000000000001" customHeight="1" x14ac:dyDescent="0.2">
      <c r="D7" s="83" t="s">
        <v>282</v>
      </c>
      <c r="E7" s="83" t="s">
        <v>283</v>
      </c>
      <c r="F7" s="83" t="s">
        <v>401</v>
      </c>
      <c r="G7" s="83" t="s">
        <v>402</v>
      </c>
      <c r="H7" s="83" t="s">
        <v>596</v>
      </c>
    </row>
    <row r="8" spans="3:9" ht="20.100000000000001" customHeight="1" x14ac:dyDescent="0.2">
      <c r="D8" s="134" t="s">
        <v>403</v>
      </c>
      <c r="E8" s="64">
        <v>100000</v>
      </c>
      <c r="F8" s="47" t="s">
        <v>404</v>
      </c>
      <c r="G8" s="64">
        <v>0.02</v>
      </c>
      <c r="H8" s="49">
        <f>Table_Input_Packaging[[#This Row],[Quantity purchased]]*Table_Input_Packaging[[#This Row],[Weight per unit (kg)]]</f>
        <v>2000</v>
      </c>
    </row>
    <row r="9" spans="3:9" ht="20.100000000000001" customHeight="1" x14ac:dyDescent="0.2">
      <c r="D9" s="134"/>
      <c r="E9" s="156"/>
      <c r="F9" s="47"/>
      <c r="G9" s="64"/>
      <c r="H9" s="49">
        <f>Table_Input_Packaging[[#This Row],[Quantity purchased]]*Table_Input_Packaging[[#This Row],[Weight per unit (kg)]]</f>
        <v>0</v>
      </c>
    </row>
    <row r="10" spans="3:9" ht="20.100000000000001" customHeight="1" x14ac:dyDescent="0.2">
      <c r="D10" s="134"/>
      <c r="E10" s="156"/>
      <c r="F10" s="47"/>
      <c r="G10" s="64"/>
      <c r="H10" s="49">
        <f>Table_Input_Packaging[[#This Row],[Quantity purchased]]*Table_Input_Packaging[[#This Row],[Weight per unit (kg)]]</f>
        <v>0</v>
      </c>
    </row>
    <row r="11" spans="3:9" ht="20.100000000000001" customHeight="1" x14ac:dyDescent="0.2">
      <c r="D11" s="134"/>
      <c r="E11" s="156"/>
      <c r="F11" s="47"/>
      <c r="G11" s="64"/>
      <c r="H11" s="49">
        <f>Table_Input_Packaging[[#This Row],[Quantity purchased]]*Table_Input_Packaging[[#This Row],[Weight per unit (kg)]]</f>
        <v>0</v>
      </c>
    </row>
    <row r="12" spans="3:9" ht="20.100000000000001" customHeight="1" x14ac:dyDescent="0.2">
      <c r="D12" s="134"/>
      <c r="E12" s="156"/>
      <c r="F12" s="47"/>
      <c r="G12" s="64"/>
      <c r="H12" s="49">
        <f>Table_Input_Packaging[[#This Row],[Quantity purchased]]*Table_Input_Packaging[[#This Row],[Weight per unit (kg)]]</f>
        <v>0</v>
      </c>
    </row>
    <row r="13" spans="3:9" ht="20.100000000000001" customHeight="1" x14ac:dyDescent="0.2">
      <c r="D13" s="134"/>
      <c r="E13" s="156"/>
      <c r="F13" s="47"/>
      <c r="G13" s="64"/>
      <c r="H13" s="49">
        <f>Table_Input_Packaging[[#This Row],[Quantity purchased]]*Table_Input_Packaging[[#This Row],[Weight per unit (kg)]]</f>
        <v>0</v>
      </c>
    </row>
    <row r="14" spans="3:9" ht="20.100000000000001" customHeight="1" x14ac:dyDescent="0.2">
      <c r="D14" s="134"/>
      <c r="E14" s="156"/>
      <c r="F14" s="47"/>
      <c r="G14" s="64"/>
      <c r="H14" s="49">
        <f>Table_Input_Packaging[[#This Row],[Quantity purchased]]*Table_Input_Packaging[[#This Row],[Weight per unit (kg)]]</f>
        <v>0</v>
      </c>
    </row>
    <row r="15" spans="3:9" ht="20.100000000000001" customHeight="1" x14ac:dyDescent="0.2">
      <c r="D15" s="134"/>
      <c r="E15" s="156"/>
      <c r="F15" s="47"/>
      <c r="G15" s="64"/>
      <c r="H15" s="49">
        <f>Table_Input_Packaging[[#This Row],[Quantity purchased]]*Table_Input_Packaging[[#This Row],[Weight per unit (kg)]]</f>
        <v>0</v>
      </c>
    </row>
    <row r="16" spans="3:9" ht="20.100000000000001" customHeight="1" x14ac:dyDescent="0.2">
      <c r="D16" s="134"/>
      <c r="E16" s="156"/>
      <c r="F16" s="47"/>
      <c r="G16" s="64"/>
      <c r="H16" s="49">
        <f>Table_Input_Packaging[[#This Row],[Quantity purchased]]*Table_Input_Packaging[[#This Row],[Weight per unit (kg)]]</f>
        <v>0</v>
      </c>
    </row>
    <row r="17" spans="4:8" ht="20.100000000000001" customHeight="1" x14ac:dyDescent="0.2">
      <c r="D17" s="134"/>
      <c r="E17" s="156"/>
      <c r="F17" s="47"/>
      <c r="G17" s="64"/>
      <c r="H17" s="49">
        <f>Table_Input_Packaging[[#This Row],[Quantity purchased]]*Table_Input_Packaging[[#This Row],[Weight per unit (kg)]]</f>
        <v>0</v>
      </c>
    </row>
  </sheetData>
  <dataValidations count="1">
    <dataValidation type="list" allowBlank="1" showInputMessage="1" showErrorMessage="1" sqref="F8:F17" xr:uid="{C1194F4C-B4BA-4C6C-9335-96226E3C874D}">
      <formula1>INDIRECT("Table_SourceData_Scope3_Packaging[Product]")</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D86D0-1A03-4883-95F2-A33D9BAD0AFE}">
  <sheetPr>
    <tabColor theme="5" tint="-0.249977111117893"/>
  </sheetPr>
  <dimension ref="C1:S27"/>
  <sheetViews>
    <sheetView showGridLines="0" zoomScaleNormal="100" workbookViewId="0">
      <selection activeCell="F28" sqref="F28"/>
    </sheetView>
  </sheetViews>
  <sheetFormatPr defaultRowHeight="20.100000000000001" customHeight="1" x14ac:dyDescent="0.2"/>
  <cols>
    <col min="1" max="1" width="30.5703125" customWidth="1"/>
    <col min="2" max="2" width="4.5703125" customWidth="1"/>
    <col min="3" max="3" width="4.5703125" style="8" customWidth="1"/>
    <col min="4" max="18" width="30.5703125" style="8" customWidth="1"/>
    <col min="19" max="19" width="4.5703125" style="8" customWidth="1"/>
  </cols>
  <sheetData>
    <row r="1" spans="3:19" s="37" customFormat="1" ht="30" customHeight="1" x14ac:dyDescent="0.35">
      <c r="C1" s="37" t="s">
        <v>861</v>
      </c>
    </row>
    <row r="2" spans="3:19" s="2" customFormat="1" ht="20.100000000000001" customHeight="1" x14ac:dyDescent="0.2"/>
    <row r="3" spans="3:19" ht="20.100000000000001" customHeight="1" x14ac:dyDescent="0.2">
      <c r="C3" s="38"/>
      <c r="D3" s="38"/>
      <c r="E3" s="38"/>
      <c r="F3" s="38"/>
      <c r="G3" s="38"/>
      <c r="H3" s="38"/>
      <c r="I3" s="38"/>
      <c r="J3" s="38"/>
      <c r="K3" s="38"/>
      <c r="L3" s="38"/>
      <c r="M3" s="38"/>
      <c r="N3" s="38"/>
      <c r="O3" s="38"/>
      <c r="P3" s="38"/>
      <c r="Q3" s="38"/>
      <c r="R3" s="38"/>
      <c r="S3" s="38"/>
    </row>
    <row r="5" spans="3:19" ht="20.100000000000001" customHeight="1" x14ac:dyDescent="0.2">
      <c r="D5" s="135" t="s">
        <v>362</v>
      </c>
      <c r="E5" s="138"/>
      <c r="F5" s="138"/>
      <c r="G5" s="138"/>
      <c r="H5" s="138"/>
      <c r="I5" s="138"/>
      <c r="J5" s="138"/>
    </row>
    <row r="6" spans="3:19" ht="20.100000000000001" customHeight="1" x14ac:dyDescent="0.2">
      <c r="D6" s="164" t="s">
        <v>296</v>
      </c>
      <c r="E6" s="164"/>
      <c r="F6" s="39"/>
      <c r="G6" s="41"/>
      <c r="H6" s="7"/>
      <c r="I6" s="7"/>
      <c r="J6" s="7"/>
    </row>
    <row r="7" spans="3:19" ht="20.100000000000001" customHeight="1" x14ac:dyDescent="0.2">
      <c r="D7" s="43" t="s">
        <v>297</v>
      </c>
      <c r="E7" s="44"/>
      <c r="F7" s="44"/>
      <c r="G7" s="45"/>
      <c r="H7" s="7"/>
      <c r="I7" s="7"/>
      <c r="J7" s="7"/>
    </row>
    <row r="8" spans="3:19" ht="20.100000000000001" customHeight="1" x14ac:dyDescent="0.2">
      <c r="D8" s="138"/>
      <c r="E8" s="138"/>
      <c r="F8" s="138"/>
      <c r="G8" s="138"/>
      <c r="H8" s="138"/>
      <c r="I8" s="138"/>
      <c r="J8" s="138"/>
      <c r="K8" s="54" t="str" cm="1">
        <f t="array" ref="K8">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8" s="54" t="str" cm="1">
        <f t="array" ref="N8">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8" s="54" t="str" cm="1">
        <f t="array" ref="Q8">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9" spans="3:19" ht="20.100000000000001" customHeight="1" x14ac:dyDescent="0.2">
      <c r="D9" s="145" t="s">
        <v>168</v>
      </c>
      <c r="E9" s="145" t="s">
        <v>298</v>
      </c>
      <c r="F9" s="145" t="s">
        <v>299</v>
      </c>
      <c r="G9" s="145" t="s">
        <v>200</v>
      </c>
      <c r="H9" s="145" t="s">
        <v>300</v>
      </c>
      <c r="I9" s="145" t="s">
        <v>418</v>
      </c>
      <c r="J9" s="145" t="s">
        <v>301</v>
      </c>
      <c r="K9" s="153" t="s">
        <v>302</v>
      </c>
      <c r="L9" s="153" t="s">
        <v>414</v>
      </c>
      <c r="M9" s="153" t="s">
        <v>303</v>
      </c>
      <c r="N9" s="153" t="s">
        <v>304</v>
      </c>
      <c r="O9" s="153" t="s">
        <v>415</v>
      </c>
      <c r="P9" s="153" t="s">
        <v>305</v>
      </c>
      <c r="Q9" s="153" t="s">
        <v>306</v>
      </c>
      <c r="R9" s="153" t="s">
        <v>416</v>
      </c>
    </row>
    <row r="10" spans="3:19" ht="20.100000000000001" customHeight="1" x14ac:dyDescent="0.2">
      <c r="D10" s="134" t="s">
        <v>420</v>
      </c>
      <c r="E10" s="146">
        <v>10</v>
      </c>
      <c r="F10" s="47" t="s">
        <v>410</v>
      </c>
      <c r="G10" s="64">
        <v>100</v>
      </c>
      <c r="H10" s="49">
        <f>Table_Input_Pesticides[[#This Row],[Amount applied per ha]]*Table_Input_Pesticides[[#This Row],[Application area (ha)]]</f>
        <v>1000</v>
      </c>
      <c r="I10" s="47" t="s">
        <v>409</v>
      </c>
      <c r="J10" s="47" t="s">
        <v>408</v>
      </c>
      <c r="K10" s="64">
        <v>100</v>
      </c>
      <c r="L10" s="49">
        <f>Table_Input_Pesticides[[#This Row],[Total applied]]*Table_Input_Pesticides[[#This Row],[Active ingredient 1 amount]]*IF(Table_Input_Pesticides[[#This Row],[Constituent unit (select)]]="fraction of product", 1, 10^-3)</f>
        <v>100</v>
      </c>
      <c r="M10" s="47" t="s">
        <v>408</v>
      </c>
      <c r="N10" s="64">
        <v>100</v>
      </c>
      <c r="O10" s="49">
        <f>Table_Input_Pesticides[[#This Row],[Total applied]]*Table_Input_Pesticides[[#This Row],[Active ingredient 2 amount]]*IF(Table_Input_Pesticides[[#This Row],[Constituent unit (select)]]="fraction of product", 1, 10^-3)</f>
        <v>100</v>
      </c>
      <c r="P10" s="47" t="s">
        <v>672</v>
      </c>
      <c r="Q10" s="64">
        <v>100</v>
      </c>
      <c r="R10" s="49">
        <f>Table_Input_Pesticides[[#This Row],[Total applied]]*Table_Input_Pesticides[[#This Row],[Active ingredient 3 amount]]*IF(Table_Input_Pesticides[[#This Row],[Constituent unit (select)]]="fraction of product", 1, 10^-3)</f>
        <v>100</v>
      </c>
    </row>
    <row r="11" spans="3:19" ht="20.100000000000001" customHeight="1" x14ac:dyDescent="0.2">
      <c r="D11" s="134" t="s">
        <v>419</v>
      </c>
      <c r="E11" s="146">
        <v>10</v>
      </c>
      <c r="F11" s="47" t="s">
        <v>307</v>
      </c>
      <c r="G11" s="64">
        <v>100</v>
      </c>
      <c r="H11" s="49">
        <f>Table_Input_Pesticides[[#This Row],[Amount applied per ha]]*Table_Input_Pesticides[[#This Row],[Application area (ha)]]</f>
        <v>1000</v>
      </c>
      <c r="I11" s="47" t="s">
        <v>409</v>
      </c>
      <c r="J11" s="47" t="s">
        <v>408</v>
      </c>
      <c r="K11" s="64">
        <v>100</v>
      </c>
      <c r="L11" s="49">
        <f>Table_Input_Pesticides[[#This Row],[Total applied]]*Table_Input_Pesticides[[#This Row],[Active ingredient 1 amount]]*IF(Table_Input_Pesticides[[#This Row],[Constituent unit (select)]]="fraction of product", 1, 10^-3)</f>
        <v>100</v>
      </c>
      <c r="M11" s="47" t="s">
        <v>670</v>
      </c>
      <c r="N11" s="64">
        <v>100</v>
      </c>
      <c r="O11" s="49">
        <f>Table_Input_Pesticides[[#This Row],[Total applied]]*Table_Input_Pesticides[[#This Row],[Active ingredient 2 amount]]*IF(Table_Input_Pesticides[[#This Row],[Constituent unit (select)]]="fraction of product", 1, 10^-3)</f>
        <v>100</v>
      </c>
      <c r="P11" s="47" t="s">
        <v>673</v>
      </c>
      <c r="Q11" s="64">
        <v>100</v>
      </c>
      <c r="R11" s="49">
        <f>Table_Input_Pesticides[[#This Row],[Total applied]]*Table_Input_Pesticides[[#This Row],[Active ingredient 3 amount]]*IF(Table_Input_Pesticides[[#This Row],[Constituent unit (select)]]="fraction of product", 1, 10^-3)</f>
        <v>100</v>
      </c>
    </row>
    <row r="12" spans="3:19" ht="20.100000000000001" customHeight="1" x14ac:dyDescent="0.2">
      <c r="D12" s="134" t="s">
        <v>417</v>
      </c>
      <c r="E12" s="146">
        <v>10</v>
      </c>
      <c r="F12" s="47" t="s">
        <v>410</v>
      </c>
      <c r="G12" s="64">
        <v>100</v>
      </c>
      <c r="H12" s="49">
        <f>Table_Input_Pesticides[[#This Row],[Amount applied per ha]]*Table_Input_Pesticides[[#This Row],[Application area (ha)]]</f>
        <v>1000</v>
      </c>
      <c r="I12" s="47" t="s">
        <v>409</v>
      </c>
      <c r="J12" s="47" t="s">
        <v>408</v>
      </c>
      <c r="K12" s="64">
        <v>100</v>
      </c>
      <c r="L12" s="49">
        <f>Table_Input_Pesticides[[#This Row],[Total applied]]*Table_Input_Pesticides[[#This Row],[Active ingredient 1 amount]]*IF(Table_Input_Pesticides[[#This Row],[Constituent unit (select)]]="fraction of product", 1, 10^-3)</f>
        <v>100</v>
      </c>
      <c r="M12" s="47" t="s">
        <v>671</v>
      </c>
      <c r="N12" s="64">
        <v>100</v>
      </c>
      <c r="O12" s="49">
        <f>Table_Input_Pesticides[[#This Row],[Total applied]]*Table_Input_Pesticides[[#This Row],[Active ingredient 2 amount]]*IF(Table_Input_Pesticides[[#This Row],[Constituent unit (select)]]="fraction of product", 1, 10^-3)</f>
        <v>100</v>
      </c>
      <c r="P12" s="47" t="s">
        <v>674</v>
      </c>
      <c r="Q12" s="64">
        <v>100</v>
      </c>
      <c r="R12" s="49">
        <f>Table_Input_Pesticides[[#This Row],[Total applied]]*Table_Input_Pesticides[[#This Row],[Active ingredient 3 amount]]*IF(Table_Input_Pesticides[[#This Row],[Constituent unit (select)]]="fraction of product", 1, 10^-3)</f>
        <v>100</v>
      </c>
    </row>
    <row r="13" spans="3:19" ht="20.100000000000001" customHeight="1" x14ac:dyDescent="0.2">
      <c r="D13" s="134"/>
      <c r="E13" s="146"/>
      <c r="F13" s="47"/>
      <c r="G13" s="64"/>
      <c r="H13" s="49">
        <f>Table_Input_Pesticides[[#This Row],[Amount applied per ha]]*Table_Input_Pesticides[[#This Row],[Application area (ha)]]</f>
        <v>0</v>
      </c>
      <c r="I13" s="47"/>
      <c r="J13" s="47"/>
      <c r="K13" s="64"/>
      <c r="L13" s="49">
        <f>Table_Input_Pesticides[[#This Row],[Total applied]]*Table_Input_Pesticides[[#This Row],[Active ingredient 1 amount]]*IF(Table_Input_Pesticides[[#This Row],[Constituent unit (select)]]="fraction of product", 1, 10^-3)</f>
        <v>0</v>
      </c>
      <c r="M13" s="47"/>
      <c r="N13" s="64"/>
      <c r="O13" s="49">
        <f>Table_Input_Pesticides[[#This Row],[Total applied]]*Table_Input_Pesticides[[#This Row],[Active ingredient 2 amount]]*IF(Table_Input_Pesticides[[#This Row],[Constituent unit (select)]]="fraction of product", 1, 10^-3)</f>
        <v>0</v>
      </c>
      <c r="P13" s="47"/>
      <c r="Q13" s="64"/>
      <c r="R13" s="49">
        <f>Table_Input_Pesticides[[#This Row],[Total applied]]*Table_Input_Pesticides[[#This Row],[Active ingredient 3 amount]]*IF(Table_Input_Pesticides[[#This Row],[Constituent unit (select)]]="fraction of product", 1, 10^-3)</f>
        <v>0</v>
      </c>
    </row>
    <row r="14" spans="3:19" ht="20.100000000000001" customHeight="1" x14ac:dyDescent="0.2">
      <c r="D14" s="134"/>
      <c r="E14" s="146"/>
      <c r="F14" s="47"/>
      <c r="G14" s="64"/>
      <c r="H14" s="49">
        <f>Table_Input_Pesticides[[#This Row],[Amount applied per ha]]*Table_Input_Pesticides[[#This Row],[Application area (ha)]]</f>
        <v>0</v>
      </c>
      <c r="I14" s="47"/>
      <c r="J14" s="47"/>
      <c r="K14" s="64"/>
      <c r="L14" s="49">
        <f>Table_Input_Pesticides[[#This Row],[Total applied]]*Table_Input_Pesticides[[#This Row],[Active ingredient 1 amount]]*IF(Table_Input_Pesticides[[#This Row],[Constituent unit (select)]]="fraction of product", 1, 10^-3)</f>
        <v>0</v>
      </c>
      <c r="M14" s="47"/>
      <c r="N14" s="64"/>
      <c r="O14" s="49">
        <f>Table_Input_Pesticides[[#This Row],[Total applied]]*Table_Input_Pesticides[[#This Row],[Active ingredient 2 amount]]*IF(Table_Input_Pesticides[[#This Row],[Constituent unit (select)]]="fraction of product", 1, 10^-3)</f>
        <v>0</v>
      </c>
      <c r="P14" s="47"/>
      <c r="Q14" s="64"/>
      <c r="R14" s="49">
        <f>Table_Input_Pesticides[[#This Row],[Total applied]]*Table_Input_Pesticides[[#This Row],[Active ingredient 3 amount]]*IF(Table_Input_Pesticides[[#This Row],[Constituent unit (select)]]="fraction of product", 1, 10^-3)</f>
        <v>0</v>
      </c>
    </row>
    <row r="15" spans="3:19" ht="20.100000000000001" customHeight="1" x14ac:dyDescent="0.2">
      <c r="D15" s="134"/>
      <c r="E15" s="146"/>
      <c r="F15" s="47"/>
      <c r="G15" s="64"/>
      <c r="H15" s="49">
        <f>Table_Input_Pesticides[[#This Row],[Amount applied per ha]]*Table_Input_Pesticides[[#This Row],[Application area (ha)]]</f>
        <v>0</v>
      </c>
      <c r="I15" s="47"/>
      <c r="J15" s="47"/>
      <c r="K15" s="64"/>
      <c r="L15" s="49">
        <f>Table_Input_Pesticides[[#This Row],[Total applied]]*Table_Input_Pesticides[[#This Row],[Active ingredient 1 amount]]*IF(Table_Input_Pesticides[[#This Row],[Constituent unit (select)]]="fraction of product", 1, 10^-3)</f>
        <v>0</v>
      </c>
      <c r="M15" s="47"/>
      <c r="N15" s="64"/>
      <c r="O15" s="49">
        <f>Table_Input_Pesticides[[#This Row],[Total applied]]*Table_Input_Pesticides[[#This Row],[Active ingredient 2 amount]]*IF(Table_Input_Pesticides[[#This Row],[Constituent unit (select)]]="fraction of product", 1, 10^-3)</f>
        <v>0</v>
      </c>
      <c r="P15" s="47"/>
      <c r="Q15" s="64"/>
      <c r="R15" s="49">
        <f>Table_Input_Pesticides[[#This Row],[Total applied]]*Table_Input_Pesticides[[#This Row],[Active ingredient 3 amount]]*IF(Table_Input_Pesticides[[#This Row],[Constituent unit (select)]]="fraction of product", 1, 10^-3)</f>
        <v>0</v>
      </c>
    </row>
    <row r="16" spans="3:19" ht="20.100000000000001" customHeight="1" x14ac:dyDescent="0.2">
      <c r="D16" s="134"/>
      <c r="E16" s="146"/>
      <c r="F16" s="47"/>
      <c r="G16" s="64"/>
      <c r="H16" s="49">
        <f>Table_Input_Pesticides[[#This Row],[Amount applied per ha]]*Table_Input_Pesticides[[#This Row],[Application area (ha)]]</f>
        <v>0</v>
      </c>
      <c r="I16" s="47"/>
      <c r="J16" s="47"/>
      <c r="K16" s="64"/>
      <c r="L16" s="49">
        <f>Table_Input_Pesticides[[#This Row],[Total applied]]*Table_Input_Pesticides[[#This Row],[Active ingredient 1 amount]]*IF(Table_Input_Pesticides[[#This Row],[Constituent unit (select)]]="fraction of product", 1, 10^-3)</f>
        <v>0</v>
      </c>
      <c r="M16" s="47"/>
      <c r="N16" s="64"/>
      <c r="O16" s="49">
        <f>Table_Input_Pesticides[[#This Row],[Total applied]]*Table_Input_Pesticides[[#This Row],[Active ingredient 2 amount]]*IF(Table_Input_Pesticides[[#This Row],[Constituent unit (select)]]="fraction of product", 1, 10^-3)</f>
        <v>0</v>
      </c>
      <c r="P16" s="47"/>
      <c r="Q16" s="64"/>
      <c r="R16" s="49">
        <f>Table_Input_Pesticides[[#This Row],[Total applied]]*Table_Input_Pesticides[[#This Row],[Active ingredient 3 amount]]*IF(Table_Input_Pesticides[[#This Row],[Constituent unit (select)]]="fraction of product", 1, 10^-3)</f>
        <v>0</v>
      </c>
    </row>
    <row r="17" spans="4:18" ht="20.100000000000001" customHeight="1" x14ac:dyDescent="0.2">
      <c r="D17" s="134"/>
      <c r="E17" s="146"/>
      <c r="F17" s="47"/>
      <c r="G17" s="64"/>
      <c r="H17" s="49">
        <f>Table_Input_Pesticides[[#This Row],[Amount applied per ha]]*Table_Input_Pesticides[[#This Row],[Application area (ha)]]</f>
        <v>0</v>
      </c>
      <c r="I17" s="47"/>
      <c r="J17" s="47"/>
      <c r="K17" s="64"/>
      <c r="L17" s="49">
        <f>Table_Input_Pesticides[[#This Row],[Total applied]]*Table_Input_Pesticides[[#This Row],[Active ingredient 1 amount]]*IF(Table_Input_Pesticides[[#This Row],[Constituent unit (select)]]="fraction of product", 1, 10^-3)</f>
        <v>0</v>
      </c>
      <c r="M17" s="47"/>
      <c r="N17" s="64"/>
      <c r="O17" s="49">
        <f>Table_Input_Pesticides[[#This Row],[Total applied]]*Table_Input_Pesticides[[#This Row],[Active ingredient 2 amount]]*IF(Table_Input_Pesticides[[#This Row],[Constituent unit (select)]]="fraction of product", 1, 10^-3)</f>
        <v>0</v>
      </c>
      <c r="P17" s="47"/>
      <c r="Q17" s="64"/>
      <c r="R17" s="49">
        <f>Table_Input_Pesticides[[#This Row],[Total applied]]*Table_Input_Pesticides[[#This Row],[Active ingredient 3 amount]]*IF(Table_Input_Pesticides[[#This Row],[Constituent unit (select)]]="fraction of product", 1, 10^-3)</f>
        <v>0</v>
      </c>
    </row>
    <row r="18" spans="4:18" ht="20.100000000000001" customHeight="1" x14ac:dyDescent="0.2">
      <c r="D18" s="134"/>
      <c r="E18" s="146"/>
      <c r="F18" s="47"/>
      <c r="G18" s="64"/>
      <c r="H18" s="49">
        <f>Table_Input_Pesticides[[#This Row],[Amount applied per ha]]*Table_Input_Pesticides[[#This Row],[Application area (ha)]]</f>
        <v>0</v>
      </c>
      <c r="I18" s="47"/>
      <c r="J18" s="47"/>
      <c r="K18" s="64"/>
      <c r="L18" s="49">
        <f>Table_Input_Pesticides[[#This Row],[Total applied]]*Table_Input_Pesticides[[#This Row],[Active ingredient 1 amount]]*IF(Table_Input_Pesticides[[#This Row],[Constituent unit (select)]]="fraction of product", 1, 10^-3)</f>
        <v>0</v>
      </c>
      <c r="M18" s="47"/>
      <c r="N18" s="64"/>
      <c r="O18" s="49">
        <f>Table_Input_Pesticides[[#This Row],[Total applied]]*Table_Input_Pesticides[[#This Row],[Active ingredient 2 amount]]*IF(Table_Input_Pesticides[[#This Row],[Constituent unit (select)]]="fraction of product", 1, 10^-3)</f>
        <v>0</v>
      </c>
      <c r="P18" s="47"/>
      <c r="Q18" s="64"/>
      <c r="R18" s="49">
        <f>Table_Input_Pesticides[[#This Row],[Total applied]]*Table_Input_Pesticides[[#This Row],[Active ingredient 3 amount]]*IF(Table_Input_Pesticides[[#This Row],[Constituent unit (select)]]="fraction of product", 1, 10^-3)</f>
        <v>0</v>
      </c>
    </row>
    <row r="19" spans="4:18" ht="20.100000000000001" customHeight="1" x14ac:dyDescent="0.2">
      <c r="D19" s="134"/>
      <c r="E19" s="146"/>
      <c r="F19" s="47"/>
      <c r="G19" s="64"/>
      <c r="H19" s="49">
        <f>Table_Input_Pesticides[[#This Row],[Amount applied per ha]]*Table_Input_Pesticides[[#This Row],[Application area (ha)]]</f>
        <v>0</v>
      </c>
      <c r="I19" s="47"/>
      <c r="J19" s="47"/>
      <c r="K19" s="64"/>
      <c r="L19" s="49">
        <f>Table_Input_Pesticides[[#This Row],[Total applied]]*Table_Input_Pesticides[[#This Row],[Active ingredient 1 amount]]*IF(Table_Input_Pesticides[[#This Row],[Constituent unit (select)]]="fraction of product", 1, 10^-3)</f>
        <v>0</v>
      </c>
      <c r="M19" s="47"/>
      <c r="N19" s="64"/>
      <c r="O19" s="49">
        <f>Table_Input_Pesticides[[#This Row],[Total applied]]*Table_Input_Pesticides[[#This Row],[Active ingredient 2 amount]]*IF(Table_Input_Pesticides[[#This Row],[Constituent unit (select)]]="fraction of product", 1, 10^-3)</f>
        <v>0</v>
      </c>
      <c r="P19" s="47"/>
      <c r="Q19" s="64"/>
      <c r="R19" s="49">
        <f>Table_Input_Pesticides[[#This Row],[Total applied]]*Table_Input_Pesticides[[#This Row],[Active ingredient 3 amount]]*IF(Table_Input_Pesticides[[#This Row],[Constituent unit (select)]]="fraction of product", 1, 10^-3)</f>
        <v>0</v>
      </c>
    </row>
    <row r="22" spans="4:18" ht="20.100000000000001" customHeight="1" x14ac:dyDescent="0.25">
      <c r="D22" s="9" t="s">
        <v>407</v>
      </c>
      <c r="E22" s="14"/>
      <c r="F22" s="14"/>
    </row>
    <row r="23" spans="4:18" ht="20.100000000000001" customHeight="1" x14ac:dyDescent="0.2">
      <c r="D23" s="8" t="str">
        <f>'Constants - Scope 3'!E204</f>
        <v>Barley grain (for seed)</v>
      </c>
      <c r="E23" s="64">
        <v>500</v>
      </c>
      <c r="F23" s="63" t="s">
        <v>345</v>
      </c>
    </row>
    <row r="24" spans="4:18" ht="20.100000000000001" customHeight="1" x14ac:dyDescent="0.2">
      <c r="D24" s="8" t="str">
        <f>'Constants - Scope 3'!E205</f>
        <v>Maize grain (for seed)</v>
      </c>
      <c r="E24" s="64">
        <v>600</v>
      </c>
      <c r="F24" s="63" t="s">
        <v>345</v>
      </c>
    </row>
    <row r="25" spans="4:18" ht="20.100000000000001" customHeight="1" x14ac:dyDescent="0.2">
      <c r="D25" s="8" t="str">
        <f>'Constants - Scope 3'!E207</f>
        <v>Oat grain (for seed)</v>
      </c>
      <c r="E25" s="64">
        <v>700</v>
      </c>
      <c r="F25" s="63" t="s">
        <v>345</v>
      </c>
    </row>
    <row r="26" spans="4:18" ht="20.100000000000001" customHeight="1" x14ac:dyDescent="0.2">
      <c r="D26" s="8" t="str">
        <f>'Constants - Scope 3'!E208</f>
        <v>Sorghum grain (for seed)</v>
      </c>
      <c r="E26" s="64">
        <v>800</v>
      </c>
      <c r="F26" s="63" t="s">
        <v>345</v>
      </c>
    </row>
    <row r="27" spans="4:18" ht="20.100000000000001" customHeight="1" x14ac:dyDescent="0.2">
      <c r="D27" s="8" t="str">
        <f>'Constants - Scope 3'!E209</f>
        <v>Wheat grain (for seed)</v>
      </c>
      <c r="E27" s="64">
        <v>900</v>
      </c>
      <c r="F27" s="63" t="s">
        <v>345</v>
      </c>
    </row>
  </sheetData>
  <dataValidations count="3">
    <dataValidation type="list" allowBlank="1" showInputMessage="1" showErrorMessage="1" sqref="F10:F19" xr:uid="{3E384BB8-0CCC-45EA-83A2-5F436B025D10}">
      <formula1>"kg / hectare, litre / hectare"</formula1>
    </dataValidation>
    <dataValidation type="list" allowBlank="1" showInputMessage="1" showErrorMessage="1" sqref="I10:I19" xr:uid="{8108ECDB-1F4C-43F2-85A5-19117852A987}">
      <formula1>"grams/litre or grams/kg, fraction of product"</formula1>
    </dataValidation>
    <dataValidation type="list" allowBlank="1" showInputMessage="1" showErrorMessage="1" sqref="J10:J19 M10:M19 P10:P19" xr:uid="{4EB7609B-9081-416E-B296-83CB5579804F}">
      <formula1>INDIRECT("Table_SourceData_Scope3_Pesticides[Product]")</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D657B-5418-4A51-83CD-A627B1146FC3}">
  <sheetPr>
    <tabColor theme="5" tint="-0.249977111117893"/>
  </sheetPr>
  <dimension ref="C1:K20"/>
  <sheetViews>
    <sheetView showGridLines="0" zoomScaleNormal="100" workbookViewId="0">
      <selection activeCell="G13" sqref="G13"/>
    </sheetView>
  </sheetViews>
  <sheetFormatPr defaultRowHeight="20.100000000000001" customHeight="1" x14ac:dyDescent="0.2"/>
  <cols>
    <col min="1" max="1" width="30.5703125" customWidth="1"/>
    <col min="2" max="2" width="4.5703125" customWidth="1"/>
    <col min="3" max="3" width="4.5703125" style="8" customWidth="1"/>
    <col min="4" max="10" width="30.5703125" style="8" customWidth="1"/>
    <col min="11" max="11" width="4.5703125" style="8" customWidth="1"/>
  </cols>
  <sheetData>
    <row r="1" spans="3:11" s="37" customFormat="1" ht="30" customHeight="1" x14ac:dyDescent="0.35">
      <c r="C1" s="37" t="s">
        <v>859</v>
      </c>
    </row>
    <row r="2" spans="3:11" s="2" customFormat="1" ht="20.100000000000001" customHeight="1" x14ac:dyDescent="0.2"/>
    <row r="3" spans="3:11" ht="20.100000000000001" customHeight="1" x14ac:dyDescent="0.2">
      <c r="C3" s="38"/>
      <c r="D3" s="38"/>
      <c r="E3" s="38"/>
      <c r="F3" s="38"/>
      <c r="G3" s="38"/>
      <c r="H3" s="38"/>
      <c r="I3" s="38"/>
      <c r="J3" s="38"/>
      <c r="K3" s="38"/>
    </row>
    <row r="5" spans="3:11" ht="20.100000000000001" customHeight="1" x14ac:dyDescent="0.2">
      <c r="D5" s="8" t="str">
        <f>'Constants - Scope 3'!E206</f>
        <v>Nylon netting</v>
      </c>
      <c r="E5" s="64">
        <v>300</v>
      </c>
      <c r="F5" s="63" t="s">
        <v>345</v>
      </c>
    </row>
    <row r="8" spans="3:11" ht="20.100000000000001" customHeight="1" x14ac:dyDescent="0.25">
      <c r="D8" s="9" t="s">
        <v>690</v>
      </c>
      <c r="E8" s="14"/>
      <c r="F8" s="14"/>
    </row>
    <row r="9" spans="3:11" ht="20.100000000000001" customHeight="1" x14ac:dyDescent="0.25">
      <c r="D9" s="12"/>
      <c r="E9" s="14"/>
      <c r="F9" s="14"/>
    </row>
    <row r="10" spans="3:11" ht="20.100000000000001" customHeight="1" x14ac:dyDescent="0.2">
      <c r="D10" s="155" t="s">
        <v>691</v>
      </c>
      <c r="E10" s="155" t="s">
        <v>606</v>
      </c>
      <c r="F10" s="155" t="s">
        <v>126</v>
      </c>
    </row>
    <row r="11" spans="3:11" ht="20.100000000000001" customHeight="1" x14ac:dyDescent="0.2">
      <c r="D11" s="74" t="s">
        <v>693</v>
      </c>
      <c r="E11" s="64">
        <v>10000</v>
      </c>
      <c r="F11" s="47" t="s">
        <v>345</v>
      </c>
    </row>
    <row r="12" spans="3:11" ht="20.100000000000001" customHeight="1" x14ac:dyDescent="0.2">
      <c r="D12" s="74" t="s">
        <v>694</v>
      </c>
      <c r="E12" s="64">
        <v>100</v>
      </c>
      <c r="F12" s="47" t="s">
        <v>692</v>
      </c>
    </row>
    <row r="13" spans="3:11" ht="20.100000000000001" customHeight="1" x14ac:dyDescent="0.2">
      <c r="D13" s="74" t="s">
        <v>695</v>
      </c>
      <c r="E13" s="64">
        <v>10000</v>
      </c>
      <c r="F13" s="47" t="s">
        <v>345</v>
      </c>
    </row>
    <row r="14" spans="3:11" ht="20.100000000000001" customHeight="1" x14ac:dyDescent="0.2">
      <c r="D14" s="74"/>
      <c r="E14" s="64"/>
      <c r="F14" s="47"/>
    </row>
    <row r="15" spans="3:11" ht="20.100000000000001" customHeight="1" x14ac:dyDescent="0.2">
      <c r="D15" s="74"/>
      <c r="E15" s="64"/>
      <c r="F15" s="47"/>
    </row>
    <row r="16" spans="3:11" ht="20.100000000000001" customHeight="1" x14ac:dyDescent="0.2">
      <c r="D16" s="74"/>
      <c r="E16" s="64"/>
      <c r="F16" s="47"/>
    </row>
    <row r="17" spans="4:6" ht="20.100000000000001" customHeight="1" x14ac:dyDescent="0.2">
      <c r="D17" s="74"/>
      <c r="E17" s="64"/>
      <c r="F17" s="47"/>
    </row>
    <row r="18" spans="4:6" ht="20.100000000000001" customHeight="1" x14ac:dyDescent="0.2">
      <c r="D18" s="74"/>
      <c r="E18" s="64"/>
      <c r="F18" s="47"/>
    </row>
    <row r="19" spans="4:6" ht="20.100000000000001" customHeight="1" x14ac:dyDescent="0.2">
      <c r="D19" s="74"/>
      <c r="E19" s="64"/>
      <c r="F19" s="47"/>
    </row>
    <row r="20" spans="4:6" ht="20.100000000000001" customHeight="1" x14ac:dyDescent="0.2">
      <c r="D20" s="74"/>
      <c r="E20" s="64"/>
      <c r="F20" s="47"/>
    </row>
  </sheetData>
  <dataValidations count="1">
    <dataValidation type="list" allowBlank="1" showInputMessage="1" showErrorMessage="1" sqref="F11:F20" xr:uid="{9C8B3973-FAC4-43D3-9591-1F01F0AB4558}">
      <formula1>"kg, m3"</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AC24D-2696-4CE2-8385-3146CB7DCC45}">
  <sheetPr>
    <tabColor theme="5" tint="-0.249977111117893"/>
  </sheetPr>
  <dimension ref="C1:R48"/>
  <sheetViews>
    <sheetView showGridLines="0" topLeftCell="A32" zoomScaleNormal="100" workbookViewId="0">
      <selection activeCell="G15" sqref="G15"/>
    </sheetView>
  </sheetViews>
  <sheetFormatPr defaultRowHeight="20.100000000000001" customHeight="1" x14ac:dyDescent="0.2"/>
  <cols>
    <col min="1" max="1" width="30.5703125" customWidth="1"/>
    <col min="2" max="2" width="4.5703125" customWidth="1"/>
    <col min="3" max="3" width="4.5703125" style="8" customWidth="1"/>
    <col min="4" max="17" width="30.5703125" style="8" customWidth="1"/>
    <col min="18" max="18" width="4.5703125" style="8" customWidth="1"/>
  </cols>
  <sheetData>
    <row r="1" spans="3:18" s="37" customFormat="1" ht="30" customHeight="1" x14ac:dyDescent="0.35">
      <c r="C1" s="37" t="s">
        <v>862</v>
      </c>
    </row>
    <row r="2" spans="3:18" s="2" customFormat="1" ht="20.100000000000001" customHeight="1" x14ac:dyDescent="0.2"/>
    <row r="3" spans="3:18" ht="20.100000000000001" customHeight="1" x14ac:dyDescent="0.2">
      <c r="C3" s="38"/>
      <c r="D3" s="38"/>
      <c r="E3" s="38"/>
      <c r="F3" s="38"/>
      <c r="G3" s="38"/>
      <c r="H3" s="38"/>
      <c r="I3" s="38"/>
      <c r="J3" s="38"/>
      <c r="K3" s="38"/>
      <c r="L3" s="38"/>
      <c r="M3" s="38"/>
      <c r="N3" s="38"/>
      <c r="O3" s="38"/>
      <c r="P3" s="38"/>
      <c r="Q3" s="38"/>
      <c r="R3" s="38"/>
    </row>
    <row r="5" spans="3:18" ht="20.100000000000001" customHeight="1" x14ac:dyDescent="0.25">
      <c r="D5" s="9" t="s">
        <v>359</v>
      </c>
      <c r="E5" s="14"/>
      <c r="F5" s="14"/>
      <c r="G5" s="14"/>
      <c r="H5" s="14"/>
      <c r="I5" s="14"/>
      <c r="J5" s="14"/>
    </row>
    <row r="6" spans="3:18" ht="20.100000000000001" customHeight="1" x14ac:dyDescent="0.25">
      <c r="D6" s="135" t="s">
        <v>287</v>
      </c>
      <c r="E6" s="136"/>
      <c r="F6" s="65"/>
      <c r="G6" s="14"/>
      <c r="H6" s="14"/>
      <c r="I6" s="14"/>
      <c r="J6" s="14"/>
    </row>
    <row r="7" spans="3:18" ht="20.100000000000001" customHeight="1" x14ac:dyDescent="0.25">
      <c r="D7" s="8" t="str" cm="1">
        <f t="array" ref="D7:D9">Table_SourceData_Scope3_LickBlocks[Product]</f>
        <v>Lick block, dry season mix</v>
      </c>
      <c r="E7" s="64">
        <v>100</v>
      </c>
      <c r="F7" s="63" t="s">
        <v>345</v>
      </c>
      <c r="G7" s="14"/>
      <c r="H7" s="14"/>
      <c r="I7" s="14"/>
      <c r="J7" s="14"/>
    </row>
    <row r="8" spans="3:18" ht="20.100000000000001" customHeight="1" x14ac:dyDescent="0.25">
      <c r="D8" s="8" t="str">
        <v>Lick block, mineral</v>
      </c>
      <c r="E8" s="64">
        <v>100</v>
      </c>
      <c r="F8" s="63" t="s">
        <v>345</v>
      </c>
      <c r="G8" s="14"/>
      <c r="H8" s="14"/>
      <c r="I8" s="14"/>
      <c r="J8" s="14"/>
    </row>
    <row r="9" spans="3:18" ht="20.100000000000001" customHeight="1" x14ac:dyDescent="0.25">
      <c r="D9" s="8" t="str">
        <v>Lick block, weaner</v>
      </c>
      <c r="E9" s="64">
        <v>100</v>
      </c>
      <c r="F9" s="63" t="s">
        <v>345</v>
      </c>
      <c r="G9" s="14"/>
      <c r="H9" s="14"/>
      <c r="I9" s="14"/>
      <c r="J9" s="14"/>
    </row>
    <row r="10" spans="3:18" ht="20.100000000000001" customHeight="1" x14ac:dyDescent="0.25">
      <c r="G10" s="14"/>
      <c r="H10" s="14"/>
      <c r="I10" s="14"/>
      <c r="J10" s="14"/>
    </row>
    <row r="11" spans="3:18" ht="20.100000000000001" customHeight="1" x14ac:dyDescent="0.25">
      <c r="D11" s="135" t="s">
        <v>393</v>
      </c>
      <c r="E11" s="7"/>
      <c r="F11" s="7"/>
      <c r="G11" s="14"/>
      <c r="H11" s="14"/>
      <c r="I11" s="14"/>
      <c r="J11" s="14"/>
    </row>
    <row r="12" spans="3:18" ht="20.100000000000001" customHeight="1" x14ac:dyDescent="0.25">
      <c r="D12" s="8" t="str" cm="1">
        <f t="array" ref="D12:D15">Table_SourceData_Scope3_MixedRations[Product]</f>
        <v>Feed for chickens</v>
      </c>
      <c r="E12" s="64">
        <v>100</v>
      </c>
      <c r="F12" s="63" t="s">
        <v>345</v>
      </c>
      <c r="G12" s="14"/>
      <c r="H12" s="14"/>
      <c r="I12" s="14"/>
      <c r="J12" s="14"/>
    </row>
    <row r="13" spans="3:18" ht="20.100000000000001" customHeight="1" x14ac:dyDescent="0.25">
      <c r="D13" s="8" t="str">
        <v>Feed for dairy calves</v>
      </c>
      <c r="E13" s="64">
        <v>100</v>
      </c>
      <c r="F13" s="63" t="s">
        <v>345</v>
      </c>
      <c r="G13" s="14"/>
      <c r="H13" s="14"/>
      <c r="I13" s="14"/>
      <c r="J13" s="14"/>
    </row>
    <row r="14" spans="3:18" ht="20.100000000000001" customHeight="1" x14ac:dyDescent="0.25">
      <c r="D14" s="8" t="str">
        <v>Feed for dairy cows</v>
      </c>
      <c r="E14" s="64">
        <v>100</v>
      </c>
      <c r="F14" s="63" t="s">
        <v>345</v>
      </c>
      <c r="G14" s="14"/>
      <c r="H14" s="14"/>
      <c r="I14" s="14"/>
      <c r="J14" s="14"/>
    </row>
    <row r="15" spans="3:18" ht="20.100000000000001" customHeight="1" x14ac:dyDescent="0.25">
      <c r="D15" s="8" t="str">
        <v>Feed for pigs</v>
      </c>
      <c r="E15" s="64">
        <v>100</v>
      </c>
      <c r="F15" s="63" t="s">
        <v>345</v>
      </c>
      <c r="G15" s="14"/>
      <c r="H15" s="14"/>
      <c r="I15" s="14"/>
      <c r="J15" s="14"/>
    </row>
    <row r="16" spans="3:18" ht="20.100000000000001" customHeight="1" x14ac:dyDescent="0.25">
      <c r="D16" s="7"/>
      <c r="E16" s="7"/>
      <c r="F16" s="7"/>
      <c r="G16" s="14"/>
      <c r="H16" s="14"/>
      <c r="I16" s="14"/>
      <c r="J16" s="14"/>
    </row>
    <row r="17" spans="4:17" ht="20.100000000000001" customHeight="1" x14ac:dyDescent="0.25">
      <c r="D17" s="135" t="s">
        <v>858</v>
      </c>
      <c r="E17" s="7"/>
      <c r="F17" s="7"/>
      <c r="G17" s="14"/>
      <c r="H17" s="14"/>
      <c r="I17" s="14"/>
      <c r="J17" s="14"/>
    </row>
    <row r="18" spans="4:17" ht="20.100000000000001" customHeight="1" x14ac:dyDescent="0.2">
      <c r="D18" s="46" t="s">
        <v>289</v>
      </c>
      <c r="E18" s="46" t="s">
        <v>290</v>
      </c>
      <c r="F18" s="46" t="s">
        <v>205</v>
      </c>
      <c r="G18" s="46" t="s">
        <v>385</v>
      </c>
      <c r="H18" s="46" t="s">
        <v>172</v>
      </c>
      <c r="I18" s="46" t="s">
        <v>291</v>
      </c>
      <c r="J18" s="46" t="s">
        <v>389</v>
      </c>
      <c r="K18" s="46" t="s">
        <v>174</v>
      </c>
      <c r="L18" s="46" t="s">
        <v>292</v>
      </c>
      <c r="M18" s="46" t="s">
        <v>390</v>
      </c>
      <c r="N18" s="46" t="s">
        <v>176</v>
      </c>
      <c r="O18" s="46" t="s">
        <v>293</v>
      </c>
      <c r="P18" s="46" t="s">
        <v>391</v>
      </c>
      <c r="Q18" s="48" t="s">
        <v>178</v>
      </c>
    </row>
    <row r="19" spans="4:17" ht="20.100000000000001" customHeight="1" x14ac:dyDescent="0.2">
      <c r="D19" s="74"/>
      <c r="E19" s="137">
        <v>1200</v>
      </c>
      <c r="F19" s="47" t="s">
        <v>838</v>
      </c>
      <c r="G19" s="47" t="s">
        <v>386</v>
      </c>
      <c r="H19" s="50">
        <v>0.35</v>
      </c>
      <c r="I19" s="47" t="s">
        <v>382</v>
      </c>
      <c r="J19" s="47" t="s">
        <v>386</v>
      </c>
      <c r="K19" s="50">
        <v>0.22</v>
      </c>
      <c r="L19" s="47" t="s">
        <v>294</v>
      </c>
      <c r="M19" s="47" t="s">
        <v>330</v>
      </c>
      <c r="N19" s="50">
        <v>0.12</v>
      </c>
      <c r="O19" s="47" t="s">
        <v>392</v>
      </c>
      <c r="P19" s="47" t="s">
        <v>332</v>
      </c>
      <c r="Q19" s="50">
        <v>0.05</v>
      </c>
    </row>
    <row r="20" spans="4:17" ht="20.100000000000001" customHeight="1" x14ac:dyDescent="0.2">
      <c r="D20" s="74"/>
      <c r="E20" s="137">
        <v>3456</v>
      </c>
      <c r="F20" s="47" t="s">
        <v>387</v>
      </c>
      <c r="G20" s="47" t="s">
        <v>330</v>
      </c>
      <c r="H20" s="50">
        <v>0.2</v>
      </c>
      <c r="I20" s="47" t="s">
        <v>387</v>
      </c>
      <c r="J20" s="47" t="s">
        <v>331</v>
      </c>
      <c r="K20" s="50">
        <v>0.2</v>
      </c>
      <c r="L20" s="47"/>
      <c r="M20" s="47"/>
      <c r="N20" s="50"/>
      <c r="O20" s="47"/>
      <c r="P20" s="47"/>
      <c r="Q20" s="50"/>
    </row>
    <row r="21" spans="4:17" ht="20.100000000000001" customHeight="1" x14ac:dyDescent="0.2">
      <c r="D21" s="74" t="s">
        <v>295</v>
      </c>
      <c r="E21" s="137">
        <v>300</v>
      </c>
      <c r="F21" s="47" t="s">
        <v>915</v>
      </c>
      <c r="G21" s="47" t="s">
        <v>386</v>
      </c>
      <c r="H21" s="50">
        <v>0.8</v>
      </c>
      <c r="I21" s="47" t="s">
        <v>383</v>
      </c>
      <c r="J21" s="47" t="s">
        <v>388</v>
      </c>
      <c r="K21" s="50">
        <v>0.2</v>
      </c>
      <c r="L21" s="47"/>
      <c r="M21" s="47"/>
      <c r="N21" s="50"/>
      <c r="O21" s="47"/>
      <c r="P21" s="47"/>
      <c r="Q21" s="50"/>
    </row>
    <row r="22" spans="4:17" ht="20.100000000000001" customHeight="1" x14ac:dyDescent="0.2">
      <c r="D22" s="74"/>
      <c r="E22" s="137">
        <v>500</v>
      </c>
      <c r="F22" s="47" t="s">
        <v>394</v>
      </c>
      <c r="G22" s="47" t="s">
        <v>337</v>
      </c>
      <c r="H22" s="50">
        <v>1</v>
      </c>
      <c r="I22" s="47"/>
      <c r="J22" s="47"/>
      <c r="K22" s="50"/>
      <c r="L22" s="47"/>
      <c r="M22" s="47"/>
      <c r="N22" s="50"/>
      <c r="O22" s="47"/>
      <c r="P22" s="47"/>
      <c r="Q22" s="50"/>
    </row>
    <row r="23" spans="4:17" ht="20.100000000000001" customHeight="1" x14ac:dyDescent="0.2">
      <c r="D23" s="74"/>
      <c r="E23" s="137"/>
      <c r="F23" s="47"/>
      <c r="G23" s="47"/>
      <c r="H23" s="50"/>
      <c r="I23" s="47"/>
      <c r="J23" s="47"/>
      <c r="K23" s="50"/>
      <c r="L23" s="47"/>
      <c r="M23" s="47"/>
      <c r="N23" s="50"/>
      <c r="O23" s="47"/>
      <c r="P23" s="47"/>
      <c r="Q23" s="50"/>
    </row>
    <row r="24" spans="4:17" ht="20.100000000000001" customHeight="1" x14ac:dyDescent="0.2">
      <c r="D24" s="74"/>
      <c r="E24" s="137"/>
      <c r="F24" s="47"/>
      <c r="G24" s="47"/>
      <c r="H24" s="50"/>
      <c r="I24" s="47"/>
      <c r="J24" s="47"/>
      <c r="K24" s="50"/>
      <c r="L24" s="47"/>
      <c r="M24" s="47"/>
      <c r="N24" s="50"/>
      <c r="O24" s="47"/>
      <c r="P24" s="47"/>
      <c r="Q24" s="50"/>
    </row>
    <row r="25" spans="4:17" ht="20.100000000000001" customHeight="1" x14ac:dyDescent="0.2">
      <c r="D25" s="74"/>
      <c r="E25" s="137"/>
      <c r="F25" s="47"/>
      <c r="G25" s="47"/>
      <c r="H25" s="50"/>
      <c r="I25" s="47"/>
      <c r="J25" s="47"/>
      <c r="K25" s="50"/>
      <c r="L25" s="47"/>
      <c r="M25" s="47"/>
      <c r="N25" s="50"/>
      <c r="O25" s="47"/>
      <c r="P25" s="47"/>
      <c r="Q25" s="50"/>
    </row>
    <row r="26" spans="4:17" ht="20.100000000000001" customHeight="1" x14ac:dyDescent="0.2">
      <c r="D26" s="74"/>
      <c r="E26" s="137"/>
      <c r="F26" s="47"/>
      <c r="G26" s="47"/>
      <c r="H26" s="50"/>
      <c r="I26" s="47"/>
      <c r="J26" s="47"/>
      <c r="K26" s="50"/>
      <c r="L26" s="47"/>
      <c r="M26" s="47"/>
      <c r="N26" s="50"/>
      <c r="O26" s="47"/>
      <c r="P26" s="47"/>
      <c r="Q26" s="50"/>
    </row>
    <row r="27" spans="4:17" ht="20.100000000000001" customHeight="1" x14ac:dyDescent="0.2">
      <c r="D27" s="74"/>
      <c r="E27" s="137"/>
      <c r="F27" s="47"/>
      <c r="G27" s="47"/>
      <c r="H27" s="50"/>
      <c r="I27" s="47"/>
      <c r="J27" s="47"/>
      <c r="K27" s="50"/>
      <c r="L27" s="47"/>
      <c r="M27" s="47"/>
      <c r="N27" s="50"/>
      <c r="O27" s="47"/>
      <c r="P27" s="47"/>
      <c r="Q27" s="50"/>
    </row>
    <row r="28" spans="4:17" ht="20.100000000000001" customHeight="1" x14ac:dyDescent="0.2">
      <c r="D28" s="74"/>
      <c r="E28" s="137"/>
      <c r="F28" s="47"/>
      <c r="G28" s="47"/>
      <c r="H28" s="50"/>
      <c r="I28" s="47"/>
      <c r="J28" s="47"/>
      <c r="K28" s="50"/>
      <c r="L28" s="47"/>
      <c r="M28" s="47"/>
      <c r="N28" s="50"/>
      <c r="O28" s="47"/>
      <c r="P28" s="47"/>
      <c r="Q28" s="50"/>
    </row>
    <row r="31" spans="4:17" ht="20.100000000000001" customHeight="1" x14ac:dyDescent="0.2">
      <c r="D31" s="135" t="s">
        <v>822</v>
      </c>
    </row>
    <row r="32" spans="4:17" ht="20.100000000000001" customHeight="1" x14ac:dyDescent="0.2">
      <c r="D32" s="46" t="s">
        <v>168</v>
      </c>
      <c r="E32" s="46" t="s">
        <v>339</v>
      </c>
      <c r="F32" s="46" t="s">
        <v>370</v>
      </c>
    </row>
    <row r="33" spans="4:6" ht="20.100000000000001" customHeight="1" x14ac:dyDescent="0.2">
      <c r="D33" s="74" t="s">
        <v>374</v>
      </c>
      <c r="E33" s="67" t="s">
        <v>366</v>
      </c>
      <c r="F33" s="64">
        <v>100</v>
      </c>
    </row>
    <row r="34" spans="4:6" ht="20.100000000000001" customHeight="1" x14ac:dyDescent="0.2">
      <c r="D34" s="74" t="s">
        <v>375</v>
      </c>
      <c r="E34" s="154" t="s">
        <v>367</v>
      </c>
      <c r="F34" s="141">
        <v>100</v>
      </c>
    </row>
    <row r="35" spans="4:6" ht="20.100000000000001" customHeight="1" x14ac:dyDescent="0.2">
      <c r="D35" s="74" t="s">
        <v>376</v>
      </c>
      <c r="E35" s="154" t="s">
        <v>368</v>
      </c>
      <c r="F35" s="141">
        <v>100</v>
      </c>
    </row>
    <row r="36" spans="4:6" ht="20.100000000000001" customHeight="1" x14ac:dyDescent="0.2">
      <c r="D36" s="74" t="s">
        <v>377</v>
      </c>
      <c r="E36" s="154" t="s">
        <v>369</v>
      </c>
      <c r="F36" s="141">
        <v>100</v>
      </c>
    </row>
    <row r="37" spans="4:6" ht="20.100000000000001" customHeight="1" x14ac:dyDescent="0.2">
      <c r="D37" s="74" t="s">
        <v>374</v>
      </c>
      <c r="E37" s="154" t="s">
        <v>366</v>
      </c>
      <c r="F37" s="141">
        <v>100</v>
      </c>
    </row>
    <row r="38" spans="4:6" ht="20.100000000000001" customHeight="1" x14ac:dyDescent="0.2">
      <c r="D38" s="74" t="s">
        <v>375</v>
      </c>
      <c r="E38" s="154" t="s">
        <v>367</v>
      </c>
      <c r="F38" s="141">
        <v>100</v>
      </c>
    </row>
    <row r="39" spans="4:6" ht="20.100000000000001" customHeight="1" x14ac:dyDescent="0.2">
      <c r="D39" s="74"/>
      <c r="E39" s="67"/>
      <c r="F39" s="64"/>
    </row>
    <row r="40" spans="4:6" ht="20.100000000000001" customHeight="1" x14ac:dyDescent="0.2">
      <c r="D40" s="74"/>
      <c r="E40" s="67"/>
      <c r="F40" s="64"/>
    </row>
    <row r="41" spans="4:6" ht="20.100000000000001" customHeight="1" x14ac:dyDescent="0.2">
      <c r="D41" s="74"/>
      <c r="E41" s="67"/>
      <c r="F41" s="64"/>
    </row>
    <row r="42" spans="4:6" ht="20.100000000000001" customHeight="1" x14ac:dyDescent="0.2">
      <c r="D42" s="74"/>
      <c r="E42" s="67"/>
      <c r="F42" s="64"/>
    </row>
    <row r="46" spans="4:6" ht="20.100000000000001" customHeight="1" x14ac:dyDescent="0.25">
      <c r="D46" s="9" t="s">
        <v>413</v>
      </c>
      <c r="E46" s="14"/>
      <c r="F46" s="14"/>
    </row>
    <row r="47" spans="4:6" ht="20.100000000000001" customHeight="1" x14ac:dyDescent="0.2">
      <c r="D47" s="8" t="str">
        <f>'Constants - Scope 3'!E202</f>
        <v>Animal ear tags (large)</v>
      </c>
      <c r="E47" s="64">
        <v>100</v>
      </c>
      <c r="F47" s="63" t="s">
        <v>400</v>
      </c>
    </row>
    <row r="48" spans="4:6" ht="20.100000000000001" customHeight="1" x14ac:dyDescent="0.2">
      <c r="D48" s="8" t="str">
        <f>'Constants - Scope 3'!E203</f>
        <v>Animal ear tags (small)</v>
      </c>
      <c r="E48" s="64">
        <v>200</v>
      </c>
      <c r="F48" s="63" t="s">
        <v>400</v>
      </c>
    </row>
  </sheetData>
  <dataValidations count="3">
    <dataValidation type="list" allowBlank="1" showInputMessage="1" showErrorMessage="1" sqref="F19:F28 I19:I28 L19:L28 O19:O28" xr:uid="{1054A587-AE3C-4093-8FA5-82F7F165672F}">
      <formula1>INDIRECT(_xlfn.UNIQUE("Table_SourceData_Scope3_Feed[Product]"))</formula1>
    </dataValidation>
    <dataValidation type="list" allowBlank="1" showInputMessage="1" showErrorMessage="1" sqref="M19:M28 P19:P28 J19:J28 G19:G28" xr:uid="{299DE751-C45B-453E-A22E-D9874EC037B6}">
      <formula1>INDIRECT("Table_ProductRegions_" &amp; SUBSTITUTE(SUBSTITUTE(SUBSTITUTE(SUBSTITUTE(F19, " ", ""), ",", ""), "(", ""), ")", "") &amp; "[Region]")</formula1>
    </dataValidation>
    <dataValidation type="list" allowBlank="1" showInputMessage="1" showErrorMessage="1" sqref="E33:E42" xr:uid="{F14848CE-F457-49B7-A95E-514E2B530B92}">
      <formula1>INDIRECT("Table_SourceData_Scope3_ChemicalsPharmacy[Product]")</formula1>
    </dataValidation>
  </dataValidation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C0CD1-D04A-4ABE-8A15-867D223FBAEF}">
  <sheetPr>
    <tabColor theme="5" tint="-0.249977111117893"/>
  </sheetPr>
  <dimension ref="C1:G12"/>
  <sheetViews>
    <sheetView showGridLines="0" zoomScaleNormal="100" workbookViewId="0">
      <selection activeCell="E12" sqref="E12"/>
    </sheetView>
  </sheetViews>
  <sheetFormatPr defaultRowHeight="20.100000000000001" customHeight="1" x14ac:dyDescent="0.2"/>
  <cols>
    <col min="1" max="1" width="30.5703125" customWidth="1"/>
    <col min="2" max="2" width="4.5703125" customWidth="1"/>
    <col min="3" max="3" width="4.5703125" style="8" customWidth="1"/>
    <col min="4" max="4" width="36.42578125" style="8" customWidth="1"/>
    <col min="5" max="6" width="30.5703125" style="8" customWidth="1"/>
    <col min="7" max="7" width="4.5703125" style="8" customWidth="1"/>
  </cols>
  <sheetData>
    <row r="1" spans="3:7" s="37" customFormat="1" ht="30" customHeight="1" x14ac:dyDescent="0.35">
      <c r="C1" s="37" t="s">
        <v>916</v>
      </c>
    </row>
    <row r="2" spans="3:7" s="2" customFormat="1" ht="20.100000000000001" customHeight="1" x14ac:dyDescent="0.2"/>
    <row r="3" spans="3:7" ht="20.100000000000001" customHeight="1" x14ac:dyDescent="0.2">
      <c r="C3" s="38"/>
      <c r="D3" s="38"/>
      <c r="E3" s="38"/>
      <c r="F3" s="38"/>
      <c r="G3" s="38"/>
    </row>
    <row r="5" spans="3:7" ht="20.100000000000001" customHeight="1" x14ac:dyDescent="0.2">
      <c r="D5" s="9" t="s">
        <v>917</v>
      </c>
    </row>
    <row r="7" spans="3:7" ht="20.100000000000001" customHeight="1" x14ac:dyDescent="0.2">
      <c r="D7" s="8" t="s">
        <v>922</v>
      </c>
      <c r="E7" s="64">
        <v>100</v>
      </c>
      <c r="F7" s="63" t="s">
        <v>924</v>
      </c>
    </row>
    <row r="8" spans="3:7" ht="20.100000000000001" customHeight="1" x14ac:dyDescent="0.2">
      <c r="D8" s="8" t="s">
        <v>923</v>
      </c>
      <c r="E8" s="64">
        <v>100</v>
      </c>
      <c r="F8" s="63" t="s">
        <v>924</v>
      </c>
    </row>
    <row r="9" spans="3:7" ht="20.100000000000001" customHeight="1" x14ac:dyDescent="0.2">
      <c r="D9" s="8" t="s">
        <v>918</v>
      </c>
      <c r="E9" s="64">
        <v>100</v>
      </c>
      <c r="F9" s="63" t="s">
        <v>924</v>
      </c>
    </row>
    <row r="10" spans="3:7" ht="20.100000000000001" customHeight="1" x14ac:dyDescent="0.2">
      <c r="D10" s="8" t="s">
        <v>919</v>
      </c>
      <c r="E10" s="64">
        <v>100</v>
      </c>
      <c r="F10" s="63" t="s">
        <v>924</v>
      </c>
    </row>
    <row r="11" spans="3:7" ht="20.100000000000001" customHeight="1" x14ac:dyDescent="0.2">
      <c r="D11" s="8" t="s">
        <v>920</v>
      </c>
      <c r="E11" s="64">
        <v>100</v>
      </c>
      <c r="F11" s="63" t="s">
        <v>924</v>
      </c>
    </row>
    <row r="12" spans="3:7" ht="20.100000000000001" customHeight="1" x14ac:dyDescent="0.2">
      <c r="D12" s="8" t="s">
        <v>921</v>
      </c>
      <c r="E12" s="64">
        <v>100</v>
      </c>
      <c r="F12" s="63" t="s">
        <v>924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AF18-D064-4E84-8820-6C85F9EE7D8E}">
  <sheetPr>
    <tabColor theme="5" tint="-0.249977111117893"/>
  </sheetPr>
  <dimension ref="A1:L63"/>
  <sheetViews>
    <sheetView showGridLines="0" zoomScaleNormal="100" workbookViewId="0">
      <selection activeCell="D5" sqref="D5"/>
    </sheetView>
  </sheetViews>
  <sheetFormatPr defaultRowHeight="20.100000000000001" customHeight="1" x14ac:dyDescent="0.2"/>
  <cols>
    <col min="1" max="1" width="30.5703125" customWidth="1"/>
    <col min="2" max="2" width="4.5703125" customWidth="1"/>
    <col min="3" max="3" width="4.5703125" style="8" customWidth="1"/>
    <col min="4" max="11" width="30.5703125" style="8" customWidth="1"/>
    <col min="12" max="12" width="4.5703125" style="8" customWidth="1"/>
    <col min="13" max="16" width="30.5703125" customWidth="1"/>
  </cols>
  <sheetData>
    <row r="1" spans="1:12" ht="30" customHeight="1" x14ac:dyDescent="0.35">
      <c r="A1" s="37" t="e" vm="1">
        <v>#VALUE!</v>
      </c>
      <c r="B1" s="3"/>
      <c r="C1" s="37" t="s">
        <v>854</v>
      </c>
      <c r="D1" s="37"/>
      <c r="E1" s="37"/>
      <c r="F1" s="37"/>
      <c r="G1" s="37"/>
      <c r="H1" s="37"/>
      <c r="I1" s="37"/>
      <c r="J1" s="37"/>
      <c r="K1" s="37"/>
      <c r="L1" s="37"/>
    </row>
    <row r="2" spans="1:12" ht="20.100000000000001" customHeight="1" x14ac:dyDescent="0.2">
      <c r="C2" s="2"/>
      <c r="D2" s="2"/>
      <c r="E2" s="2"/>
      <c r="F2" s="2"/>
      <c r="G2" s="2"/>
      <c r="H2" s="2"/>
      <c r="I2" s="2"/>
      <c r="J2" s="2"/>
      <c r="K2" s="2"/>
      <c r="L2" s="2"/>
    </row>
    <row r="3" spans="1:12" ht="20.100000000000001" customHeight="1" x14ac:dyDescent="0.2">
      <c r="A3" s="16" t="str">
        <f>HYPERLINK("#'Overview'!A1", "Overview")</f>
        <v>Overview</v>
      </c>
      <c r="C3" s="38"/>
      <c r="D3" s="38"/>
      <c r="E3" s="38"/>
      <c r="F3" s="38"/>
      <c r="G3" s="38"/>
      <c r="H3" s="38"/>
      <c r="I3" s="38"/>
      <c r="J3" s="38"/>
      <c r="K3" s="38"/>
      <c r="L3" s="38"/>
    </row>
    <row r="4" spans="1:12" ht="20.100000000000001" customHeight="1" x14ac:dyDescent="0.2">
      <c r="A4" s="16" t="str">
        <f>HYPERLINK("#'Results'!A1", "Results")</f>
        <v>Results</v>
      </c>
    </row>
    <row r="5" spans="1:12" ht="20.100000000000001" customHeight="1" x14ac:dyDescent="0.25">
      <c r="D5" s="54" t="s">
        <v>855</v>
      </c>
      <c r="E5" s="14"/>
      <c r="F5" s="14"/>
      <c r="G5" s="14"/>
      <c r="H5" s="14"/>
      <c r="I5" s="14"/>
      <c r="J5" s="14"/>
    </row>
    <row r="6" spans="1:12" ht="20.100000000000001" customHeight="1" x14ac:dyDescent="0.2">
      <c r="D6" s="10" t="s">
        <v>353</v>
      </c>
      <c r="E6" s="10" t="s">
        <v>424</v>
      </c>
      <c r="F6" s="10" t="s">
        <v>318</v>
      </c>
      <c r="G6" s="10" t="s">
        <v>421</v>
      </c>
      <c r="H6" s="10" t="s">
        <v>321</v>
      </c>
      <c r="I6" s="10" t="s">
        <v>319</v>
      </c>
      <c r="J6" s="153" t="s">
        <v>422</v>
      </c>
      <c r="K6" s="153" t="s">
        <v>423</v>
      </c>
    </row>
    <row r="7" spans="1:12" ht="20.100000000000001" customHeight="1" x14ac:dyDescent="0.2">
      <c r="A7" s="19" t="s">
        <v>67</v>
      </c>
      <c r="D7" s="74" t="s">
        <v>511</v>
      </c>
      <c r="E7" s="149">
        <v>45547</v>
      </c>
      <c r="F7" s="47" t="s">
        <v>482</v>
      </c>
      <c r="G7" s="67" t="s">
        <v>329</v>
      </c>
      <c r="H7" s="47" t="s">
        <v>430</v>
      </c>
      <c r="I7" s="64">
        <v>100</v>
      </c>
      <c r="J7" s="49" cm="1">
        <f t="array" ref="J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7" s="64">
        <v>205</v>
      </c>
    </row>
    <row r="8" spans="1:12" ht="20.100000000000001" customHeight="1" x14ac:dyDescent="0.2">
      <c r="A8" s="16" t="str">
        <f>HYPERLINK("#'Input - Site'!A1", "Site")</f>
        <v>Site</v>
      </c>
      <c r="D8" s="74"/>
      <c r="E8" s="149">
        <v>45292</v>
      </c>
      <c r="F8" s="140" t="s">
        <v>483</v>
      </c>
      <c r="G8" s="67" t="s">
        <v>328</v>
      </c>
      <c r="H8" s="47" t="s">
        <v>429</v>
      </c>
      <c r="I8" s="64">
        <v>100</v>
      </c>
      <c r="J8" s="49"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8" s="64">
        <v>465</v>
      </c>
    </row>
    <row r="9" spans="1:12" ht="20.100000000000001" customHeight="1" x14ac:dyDescent="0.2">
      <c r="A9" s="16" t="str">
        <f>HYPERLINK("#'Input - Fuel'!A1", "Fuel")</f>
        <v>Fuel</v>
      </c>
      <c r="D9" s="74"/>
      <c r="E9" s="74"/>
      <c r="F9" s="140"/>
      <c r="G9" s="67"/>
      <c r="H9" s="47"/>
      <c r="I9" s="64"/>
      <c r="J9" s="49"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9" s="64"/>
    </row>
    <row r="10" spans="1:12" ht="20.100000000000001" customHeight="1" x14ac:dyDescent="0.2">
      <c r="A10" s="16" t="str">
        <f>HYPERLINK("#'Input - Fertiliser'!A1", "Fertiliser")</f>
        <v>Fertiliser</v>
      </c>
      <c r="D10" s="74"/>
      <c r="E10" s="74"/>
      <c r="F10" s="140"/>
      <c r="G10" s="67"/>
      <c r="H10" s="47"/>
      <c r="I10" s="64"/>
      <c r="J10" s="49"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0" s="64"/>
    </row>
    <row r="11" spans="1:12" ht="20.100000000000001" customHeight="1" x14ac:dyDescent="0.2">
      <c r="A11" s="16" t="str">
        <f>HYPERLINK("#'Input - Farm Inputs'!A1", "Farm Inputs")</f>
        <v>Farm Inputs</v>
      </c>
      <c r="D11" s="74"/>
      <c r="E11" s="74"/>
      <c r="F11" s="140"/>
      <c r="G11" s="67"/>
      <c r="H11" s="47"/>
      <c r="I11" s="64"/>
      <c r="J11" s="49"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1" s="64"/>
    </row>
    <row r="12" spans="1:12" ht="20.100000000000001" customHeight="1" x14ac:dyDescent="0.2">
      <c r="A12" s="42" t="str">
        <f>HYPERLINK("#'Input - Beef cattle purchases'!A1", "Beef cattle purchases")</f>
        <v>Beef cattle purchases</v>
      </c>
      <c r="D12" s="74"/>
      <c r="E12" s="74"/>
      <c r="F12" s="140"/>
      <c r="G12" s="67"/>
      <c r="H12" s="47"/>
      <c r="I12" s="64"/>
      <c r="J12" s="49"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2" s="64"/>
    </row>
    <row r="13" spans="1:12" ht="20.100000000000001" customHeight="1" x14ac:dyDescent="0.2">
      <c r="A13" s="16" t="str">
        <f>HYPERLINK("#'Input - Dairy cattle purchases'!A1", "Dairy cattle purchases")</f>
        <v>Dairy cattle purchases</v>
      </c>
      <c r="D13" s="74"/>
      <c r="E13" s="74"/>
      <c r="F13" s="140"/>
      <c r="G13" s="67"/>
      <c r="H13" s="47"/>
      <c r="I13" s="64"/>
      <c r="J13" s="49"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3" s="64"/>
    </row>
    <row r="14" spans="1:12" ht="20.100000000000001" customHeight="1" x14ac:dyDescent="0.2">
      <c r="A14" s="16" t="str">
        <f>HYPERLINK("#'Input - Pig purchases'!A1", "Pig purchases")</f>
        <v>Pig purchases</v>
      </c>
      <c r="D14" s="74"/>
      <c r="E14" s="74"/>
      <c r="F14" s="140"/>
      <c r="G14" s="67"/>
      <c r="H14" s="47"/>
      <c r="I14" s="64"/>
      <c r="J14" s="49"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4" s="64"/>
    </row>
    <row r="15" spans="1:12" ht="20.100000000000001" customHeight="1" x14ac:dyDescent="0.2">
      <c r="A15" s="16" t="str">
        <f>HYPERLINK("#'Input - Poultry purchases'!A1", "Poultry purchases")</f>
        <v>Poultry purchases</v>
      </c>
      <c r="D15" s="74"/>
      <c r="E15" s="74"/>
      <c r="F15" s="140"/>
      <c r="G15" s="67"/>
      <c r="H15" s="47"/>
      <c r="I15" s="64"/>
      <c r="J15" s="49"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5" s="64"/>
    </row>
    <row r="16" spans="1:12" ht="20.100000000000001" customHeight="1" x14ac:dyDescent="0.2">
      <c r="A16" s="16" t="str">
        <f>HYPERLINK("#'Input - Freight'!A1", "Freight")</f>
        <v>Freight</v>
      </c>
      <c r="D16" s="74"/>
      <c r="E16" s="74"/>
      <c r="F16" s="140"/>
      <c r="G16" s="67"/>
      <c r="H16" s="47"/>
      <c r="I16" s="64"/>
      <c r="J16" s="49"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6" s="64"/>
    </row>
    <row r="17" spans="1:10" ht="20.100000000000001" customHeight="1" x14ac:dyDescent="0.2">
      <c r="A17" s="16" t="str">
        <f>HYPERLINK("#'Input - Solid waste'!A1", "Solid waste")</f>
        <v>Solid waste</v>
      </c>
    </row>
    <row r="18" spans="1:10" ht="20.100000000000001" customHeight="1" x14ac:dyDescent="0.25">
      <c r="A18" s="16" t="str">
        <f>HYPERLINK("#'Input - Manure sent off-site'!A1", "Manure sent off-site")</f>
        <v>Manure sent off-site</v>
      </c>
      <c r="D18" s="14"/>
      <c r="E18" s="14"/>
      <c r="F18" s="14"/>
      <c r="G18" s="14"/>
      <c r="H18" s="14"/>
      <c r="I18" s="14"/>
      <c r="J18" s="14"/>
    </row>
    <row r="19" spans="1:10" ht="20.100000000000001" customHeight="1" x14ac:dyDescent="0.25">
      <c r="A19" s="16" t="str">
        <f>HYPERLINK("#'Input - Electricity'!A1", "Electricity")</f>
        <v>Electricity</v>
      </c>
      <c r="J19" s="14"/>
    </row>
    <row r="20" spans="1:10" ht="20.100000000000001" customHeight="1" x14ac:dyDescent="0.25">
      <c r="J20" s="14"/>
    </row>
    <row r="21" spans="1:10" ht="20.100000000000001" customHeight="1" x14ac:dyDescent="0.25">
      <c r="J21" s="14"/>
    </row>
    <row r="22" spans="1:10" ht="20.100000000000001" customHeight="1" x14ac:dyDescent="0.25">
      <c r="A22" s="21" t="s">
        <v>77</v>
      </c>
      <c r="J22" s="14"/>
    </row>
    <row r="23" spans="1:10" ht="20.100000000000001" customHeight="1" x14ac:dyDescent="0.25">
      <c r="A23" s="16" t="str">
        <f>HYPERLINK("#'15 Scope 3'!A1", "15 Scope 3")</f>
        <v>15 Scope 3</v>
      </c>
      <c r="J23" s="14"/>
    </row>
    <row r="24" spans="1:10" ht="20.100000000000001" customHeight="1" x14ac:dyDescent="0.25">
      <c r="A24" s="16" t="str">
        <f>HYPERLINK("#'10.1.1-2 Solid waste treatment'!A1", "10.1.1-2 Solid waste treatment")</f>
        <v>10.1.1-2 Solid waste treatment</v>
      </c>
      <c r="J24" s="14"/>
    </row>
    <row r="25" spans="1:10" ht="20.100000000000001" customHeight="1" x14ac:dyDescent="0.25">
      <c r="A25" s="16" t="str">
        <f>HYPERLINK("#'Calcs - Manure sent off-site'!A1", "Calcs - Manure sent off-site")</f>
        <v>Calcs - Manure sent off-site</v>
      </c>
      <c r="J25" s="14"/>
    </row>
    <row r="26" spans="1:10" ht="20.100000000000001" customHeight="1" x14ac:dyDescent="0.25">
      <c r="A26" s="16" t="str">
        <f>HYPERLINK("#'8.1.1.1-2 Transport fuel'!A1", "8.1.1.1-2 Transport fuel")</f>
        <v>8.1.1.1-2 Transport fuel</v>
      </c>
      <c r="J26" s="14"/>
    </row>
    <row r="27" spans="1:10" ht="20.100000000000001" customHeight="1" x14ac:dyDescent="0.25">
      <c r="A27" s="16" t="str">
        <f>HYPERLINK("#'8.2.1.1-2 Stationary fuel'!A1", "8.2.1.1-2 Stationary fuel")</f>
        <v>8.2.1.1-2 Stationary fuel</v>
      </c>
      <c r="J27" s="14"/>
    </row>
    <row r="28" spans="1:10" ht="20.100000000000001" customHeight="1" x14ac:dyDescent="0.25">
      <c r="J28" s="14"/>
    </row>
    <row r="29" spans="1:10" ht="20.100000000000001" customHeight="1" x14ac:dyDescent="0.25">
      <c r="J29" s="14"/>
    </row>
    <row r="30" spans="1:10" ht="20.100000000000001" customHeight="1" x14ac:dyDescent="0.25">
      <c r="A30" s="213" t="s">
        <v>78</v>
      </c>
      <c r="J30" s="14"/>
    </row>
    <row r="31" spans="1:10" ht="20.100000000000001" customHeight="1" x14ac:dyDescent="0.25">
      <c r="A31" s="16" t="str">
        <f>HYPERLINK("#'Constants - Scope 3'!A1", "Constants - Scope 3")</f>
        <v>Constants - Scope 3</v>
      </c>
      <c r="D31" s="14"/>
      <c r="E31" s="14"/>
      <c r="F31" s="14"/>
      <c r="G31" s="14"/>
      <c r="H31" s="14"/>
      <c r="I31" s="14"/>
      <c r="J31" s="14"/>
    </row>
    <row r="32" spans="1:10" ht="20.100000000000001" customHeight="1" x14ac:dyDescent="0.25">
      <c r="A32" s="16" t="str">
        <f>HYPERLINK("#'Constants - Solid Waste'!A1", "Constants - Solid Waste")</f>
        <v>Constants - Solid Waste</v>
      </c>
      <c r="I32" s="14"/>
      <c r="J32" s="14"/>
    </row>
    <row r="33" spans="1:10" ht="20.100000000000001" customHeight="1" x14ac:dyDescent="0.25">
      <c r="A33" s="16" t="str">
        <f>HYPERLINK("#'Constants - Fuel'!A1", "Constants - Fuel")</f>
        <v>Constants - Fuel</v>
      </c>
      <c r="I33" s="14"/>
      <c r="J33" s="14"/>
    </row>
    <row r="34" spans="1:10" ht="20.100000000000001" customHeight="1" x14ac:dyDescent="0.25">
      <c r="A34" s="16" t="str">
        <f>HYPERLINK("#'Constants - Poultry'!A1", "Constants - Poultry")</f>
        <v>Constants - Poultry</v>
      </c>
      <c r="I34" s="14"/>
      <c r="J34" s="14"/>
    </row>
    <row r="35" spans="1:10" ht="20.100000000000001" customHeight="1" x14ac:dyDescent="0.25">
      <c r="A35" s="16" t="str">
        <f>HYPERLINK("#'Constants - Swine'!A1", "Constants - Swine")</f>
        <v>Constants - Swine</v>
      </c>
      <c r="I35" s="14"/>
      <c r="J35" s="14"/>
    </row>
    <row r="36" spans="1:10" ht="20.100000000000001" customHeight="1" x14ac:dyDescent="0.25">
      <c r="A36" s="16" t="str">
        <f>HYPERLINK("#'Constants - Dairy'!A1", "Constants - Dairy")</f>
        <v>Constants - Dairy</v>
      </c>
      <c r="I36" s="14"/>
      <c r="J36" s="14"/>
    </row>
    <row r="37" spans="1:10" ht="20.100000000000001" customHeight="1" x14ac:dyDescent="0.25">
      <c r="A37" s="16" t="str">
        <f>HYPERLINK("#'Constants - Pasture Beef'!A1", "Constants - Pasture Beef")</f>
        <v>Constants - Pasture Beef</v>
      </c>
      <c r="I37" s="14"/>
      <c r="J37" s="14"/>
    </row>
    <row r="38" spans="1:10" ht="20.100000000000001" customHeight="1" x14ac:dyDescent="0.25">
      <c r="A38" s="16" t="str">
        <f>HYPERLINK("#'Constants - Common Livestock'!A1", "Constants - Common Livestock")</f>
        <v>Constants - Common Livestock</v>
      </c>
      <c r="I38" s="14"/>
      <c r="J38" s="14"/>
    </row>
    <row r="39" spans="1:10" ht="20.100000000000001" customHeight="1" x14ac:dyDescent="0.25">
      <c r="A39" s="16" t="str">
        <f>HYPERLINK("#'Constants - Fertiliser'!A1", "Constants - Fertiliser")</f>
        <v>Constants - Fertiliser</v>
      </c>
      <c r="I39" s="14"/>
      <c r="J39" s="14"/>
    </row>
    <row r="40" spans="1:10" ht="20.100000000000001" customHeight="1" x14ac:dyDescent="0.25">
      <c r="A40" s="16" t="str">
        <f>HYPERLINK("#'Constants - Electricity'!A1", "Constants - Electricity")</f>
        <v>Constants - Electricity</v>
      </c>
      <c r="I40" s="14"/>
      <c r="J40" s="14"/>
    </row>
    <row r="41" spans="1:10" ht="20.100000000000001" customHeight="1" x14ac:dyDescent="0.25">
      <c r="A41" s="16" t="str">
        <f>HYPERLINK("#'Constants - Common'!A1", "Constants - Common")</f>
        <v>Constants - Common</v>
      </c>
      <c r="I41" s="14"/>
      <c r="J41" s="14"/>
    </row>
    <row r="42" spans="1:10" ht="20.100000000000001" customHeight="1" x14ac:dyDescent="0.25">
      <c r="I42" s="14"/>
      <c r="J42" s="14"/>
    </row>
    <row r="43" spans="1:10" ht="20.100000000000001" customHeight="1" x14ac:dyDescent="0.25">
      <c r="I43" s="14"/>
      <c r="J43" s="14"/>
    </row>
    <row r="44" spans="1:10" ht="20.100000000000001" customHeight="1" x14ac:dyDescent="0.25">
      <c r="D44" s="14"/>
      <c r="E44" s="14"/>
      <c r="F44" s="14"/>
      <c r="G44" s="14"/>
      <c r="H44" s="14"/>
      <c r="I44" s="14"/>
      <c r="J44" s="14"/>
    </row>
    <row r="45" spans="1:10" ht="20.100000000000001" customHeight="1" x14ac:dyDescent="0.25">
      <c r="I45" s="14"/>
      <c r="J45" s="14"/>
    </row>
    <row r="46" spans="1:10" ht="20.100000000000001" customHeight="1" x14ac:dyDescent="0.25">
      <c r="I46" s="14"/>
      <c r="J46" s="14"/>
    </row>
    <row r="47" spans="1:10" ht="20.100000000000001" customHeight="1" x14ac:dyDescent="0.25">
      <c r="I47" s="14"/>
      <c r="J47" s="14"/>
    </row>
    <row r="48" spans="1:10" ht="20.100000000000001" customHeight="1" x14ac:dyDescent="0.25">
      <c r="I48" s="14"/>
      <c r="J48" s="14"/>
    </row>
    <row r="49" spans="4:10" ht="20.100000000000001" customHeight="1" x14ac:dyDescent="0.25">
      <c r="I49" s="14"/>
      <c r="J49" s="14"/>
    </row>
    <row r="50" spans="4:10" ht="20.100000000000001" customHeight="1" x14ac:dyDescent="0.25">
      <c r="I50" s="14"/>
      <c r="J50" s="14"/>
    </row>
    <row r="51" spans="4:10" ht="20.100000000000001" customHeight="1" x14ac:dyDescent="0.25">
      <c r="I51" s="14"/>
      <c r="J51" s="14"/>
    </row>
    <row r="52" spans="4:10" ht="20.100000000000001" customHeight="1" x14ac:dyDescent="0.25">
      <c r="I52" s="14"/>
      <c r="J52" s="14"/>
    </row>
    <row r="53" spans="4:10" ht="20.100000000000001" customHeight="1" x14ac:dyDescent="0.25">
      <c r="I53" s="14"/>
      <c r="J53" s="14"/>
    </row>
    <row r="54" spans="4:10" ht="20.100000000000001" customHeight="1" x14ac:dyDescent="0.25">
      <c r="I54" s="14"/>
      <c r="J54" s="14"/>
    </row>
    <row r="55" spans="4:10" ht="20.100000000000001" customHeight="1" x14ac:dyDescent="0.25">
      <c r="I55" s="14"/>
      <c r="J55" s="14"/>
    </row>
    <row r="56" spans="4:10" ht="20.100000000000001" customHeight="1" x14ac:dyDescent="0.25">
      <c r="I56" s="14"/>
      <c r="J56" s="14"/>
    </row>
    <row r="57" spans="4:10" ht="20.100000000000001" customHeight="1" x14ac:dyDescent="0.25">
      <c r="D57" s="14"/>
      <c r="E57" s="14"/>
      <c r="F57" s="14"/>
      <c r="G57" s="14"/>
      <c r="H57" s="14"/>
      <c r="I57" s="14"/>
      <c r="J57" s="14"/>
    </row>
    <row r="58" spans="4:10" ht="20.100000000000001" customHeight="1" x14ac:dyDescent="0.25">
      <c r="D58" s="135"/>
      <c r="E58" s="14"/>
      <c r="F58" s="14"/>
      <c r="G58" s="14"/>
      <c r="H58" s="14"/>
      <c r="I58" s="14"/>
      <c r="J58" s="14"/>
    </row>
    <row r="59" spans="4:10" ht="20.100000000000001" customHeight="1" x14ac:dyDescent="0.25">
      <c r="D59" s="14"/>
      <c r="E59" s="14"/>
      <c r="F59" s="14"/>
      <c r="G59" s="14"/>
      <c r="H59" s="14"/>
      <c r="I59" s="14"/>
      <c r="J59" s="14"/>
    </row>
    <row r="60" spans="4:10" ht="20.100000000000001" customHeight="1" x14ac:dyDescent="0.25">
      <c r="D60" s="14"/>
      <c r="E60" s="14"/>
      <c r="F60" s="14"/>
      <c r="G60" s="14"/>
      <c r="H60" s="14"/>
      <c r="I60" s="14"/>
      <c r="J60" s="14"/>
    </row>
    <row r="61" spans="4:10" ht="20.100000000000001" customHeight="1" x14ac:dyDescent="0.25">
      <c r="D61" s="14"/>
      <c r="E61" s="14"/>
      <c r="F61" s="14"/>
      <c r="G61" s="14"/>
      <c r="H61" s="14"/>
      <c r="I61" s="14"/>
      <c r="J61" s="14"/>
    </row>
    <row r="62" spans="4:10" ht="20.100000000000001" customHeight="1" x14ac:dyDescent="0.25">
      <c r="D62" s="14"/>
      <c r="E62" s="14"/>
      <c r="F62" s="14"/>
      <c r="G62" s="14"/>
      <c r="H62" s="14"/>
      <c r="I62" s="14"/>
      <c r="J62" s="14"/>
    </row>
    <row r="63" spans="4:10" ht="20.100000000000001" customHeight="1" x14ac:dyDescent="0.25">
      <c r="D63" s="14"/>
      <c r="E63" s="14"/>
      <c r="F63" s="14"/>
      <c r="G63" s="14"/>
      <c r="H63" s="14"/>
      <c r="I63" s="14"/>
      <c r="J63" s="14"/>
    </row>
  </sheetData>
  <dataValidations count="3">
    <dataValidation type="list" allowBlank="1" showInputMessage="1" showErrorMessage="1" sqref="F7:F16" xr:uid="{E820CFC8-651A-4AAE-8CFC-0434A22A2CFE}">
      <formula1>INDIRECT("Table_LivestockClasses_Beefcattle[Livestock class]")</formula1>
    </dataValidation>
    <dataValidation type="list" allowBlank="1" showInputMessage="1" showErrorMessage="1" sqref="G7:G16" xr:uid="{D038D161-4CB4-4F66-9EA9-1B3DFD795E64}">
      <formula1>INDIRECT(TRIM("Table_SourceData_LivestockProduct_Beefcattle[Product]"))</formula1>
    </dataValidation>
    <dataValidation type="list" allowBlank="1" showInputMessage="1" showErrorMessage="1" sqref="H7:H16" xr:uid="{579B6E80-B21D-49A6-A5CC-E0740A79C06C}">
      <formula1>INDIRECT("Table_ProductRegions_Beefcattle[Region]")</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85AB-6202-448E-860E-DDB3E9B12826}">
  <sheetPr>
    <tabColor theme="5" tint="-0.249977111117893"/>
  </sheetPr>
  <dimension ref="C1:J16"/>
  <sheetViews>
    <sheetView showGridLines="0" zoomScaleNormal="100" workbookViewId="0">
      <selection activeCell="D5" sqref="D5"/>
    </sheetView>
  </sheetViews>
  <sheetFormatPr defaultRowHeight="20.100000000000001" customHeight="1" x14ac:dyDescent="0.2"/>
  <cols>
    <col min="1" max="1" width="30.5703125" customWidth="1"/>
    <col min="2" max="2" width="4.5703125" customWidth="1"/>
    <col min="3" max="3" width="4.5703125" style="8" customWidth="1"/>
    <col min="4" max="9" width="30.5703125" style="8" customWidth="1"/>
    <col min="10" max="10" width="4.5703125" style="8" customWidth="1"/>
  </cols>
  <sheetData>
    <row r="1" spans="3:10" ht="30" customHeight="1" x14ac:dyDescent="0.35">
      <c r="C1" s="37" t="s">
        <v>853</v>
      </c>
      <c r="D1" s="37"/>
      <c r="E1" s="37"/>
      <c r="F1" s="37"/>
      <c r="G1" s="37"/>
      <c r="H1" s="37"/>
      <c r="I1" s="37"/>
      <c r="J1" s="37"/>
    </row>
    <row r="2" spans="3:10" ht="20.100000000000001" customHeight="1" x14ac:dyDescent="0.2">
      <c r="C2" s="2"/>
      <c r="D2" s="2"/>
      <c r="E2" s="2"/>
      <c r="F2" s="2"/>
      <c r="G2" s="2"/>
      <c r="H2" s="2"/>
      <c r="I2" s="2"/>
      <c r="J2" s="2"/>
    </row>
    <row r="3" spans="3:10" ht="20.100000000000001" customHeight="1" x14ac:dyDescent="0.2">
      <c r="C3" s="38"/>
      <c r="D3" s="38"/>
      <c r="E3" s="38"/>
      <c r="F3" s="38"/>
      <c r="G3" s="38"/>
      <c r="H3" s="38"/>
      <c r="I3" s="38"/>
      <c r="J3" s="38"/>
    </row>
    <row r="5" spans="3:10" ht="20.100000000000001" customHeight="1" x14ac:dyDescent="0.25">
      <c r="D5" s="54" t="s">
        <v>855</v>
      </c>
      <c r="E5" s="14"/>
      <c r="F5" s="14"/>
      <c r="G5" s="14"/>
      <c r="H5" s="14"/>
      <c r="I5" s="14"/>
    </row>
    <row r="6" spans="3:10" ht="20.100000000000001" customHeight="1" x14ac:dyDescent="0.2">
      <c r="D6" s="153" t="s">
        <v>353</v>
      </c>
      <c r="E6" s="153" t="s">
        <v>318</v>
      </c>
      <c r="F6" s="153" t="s">
        <v>513</v>
      </c>
      <c r="G6" s="153" t="s">
        <v>319</v>
      </c>
      <c r="H6" s="153" t="s">
        <v>422</v>
      </c>
      <c r="I6" s="153" t="s">
        <v>423</v>
      </c>
    </row>
    <row r="7" spans="3:10" ht="20.100000000000001" customHeight="1" x14ac:dyDescent="0.2">
      <c r="D7" s="74" t="s">
        <v>512</v>
      </c>
      <c r="E7" s="47" t="s">
        <v>510</v>
      </c>
      <c r="F7" s="47" t="s">
        <v>836</v>
      </c>
      <c r="G7" s="64">
        <v>100</v>
      </c>
      <c r="H7" s="49" cm="1">
        <f t="array" ref="H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7" s="64">
        <v>350</v>
      </c>
    </row>
    <row r="8" spans="3:10" ht="20.100000000000001" customHeight="1" x14ac:dyDescent="0.2">
      <c r="D8" s="74"/>
      <c r="E8" s="140" t="s">
        <v>509</v>
      </c>
      <c r="F8" s="47" t="s">
        <v>837</v>
      </c>
      <c r="G8" s="64">
        <v>100</v>
      </c>
      <c r="H8" s="49" cm="1">
        <f t="array" ref="H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8" s="64">
        <v>625</v>
      </c>
    </row>
    <row r="9" spans="3:10" ht="20.100000000000001" customHeight="1" x14ac:dyDescent="0.2">
      <c r="D9" s="74"/>
      <c r="E9" s="140" t="s">
        <v>518</v>
      </c>
      <c r="F9" s="47" t="s">
        <v>836</v>
      </c>
      <c r="G9" s="64"/>
      <c r="H9" s="49" cm="1">
        <f t="array" ref="H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9" s="64"/>
    </row>
    <row r="10" spans="3:10" ht="20.100000000000001" customHeight="1" x14ac:dyDescent="0.2">
      <c r="D10" s="74"/>
      <c r="E10" s="140"/>
      <c r="F10" s="47"/>
      <c r="G10" s="64"/>
      <c r="H10" s="49" cm="1">
        <f t="array" ref="H1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0" s="64"/>
    </row>
    <row r="11" spans="3:10" ht="20.100000000000001" customHeight="1" x14ac:dyDescent="0.2">
      <c r="D11" s="74"/>
      <c r="E11" s="140"/>
      <c r="F11" s="47"/>
      <c r="G11" s="64"/>
      <c r="H11" s="49" cm="1">
        <f t="array" ref="H1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1" s="64"/>
    </row>
    <row r="12" spans="3:10" ht="20.100000000000001" customHeight="1" x14ac:dyDescent="0.2">
      <c r="D12" s="74"/>
      <c r="E12" s="140"/>
      <c r="F12" s="47"/>
      <c r="G12" s="64"/>
      <c r="H12" s="49" cm="1">
        <f t="array" ref="H1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2" s="64"/>
    </row>
    <row r="13" spans="3:10" ht="20.100000000000001" customHeight="1" x14ac:dyDescent="0.2">
      <c r="D13" s="74"/>
      <c r="E13" s="140"/>
      <c r="F13" s="47"/>
      <c r="G13" s="64"/>
      <c r="H13" s="49" cm="1">
        <f t="array" ref="H1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3" s="64"/>
    </row>
    <row r="14" spans="3:10" ht="20.100000000000001" customHeight="1" x14ac:dyDescent="0.2">
      <c r="D14" s="74"/>
      <c r="E14" s="140"/>
      <c r="F14" s="47"/>
      <c r="G14" s="64"/>
      <c r="H14" s="49" cm="1">
        <f t="array" ref="H1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4" s="64"/>
    </row>
    <row r="15" spans="3:10" ht="20.100000000000001" customHeight="1" x14ac:dyDescent="0.2">
      <c r="D15" s="74"/>
      <c r="E15" s="140"/>
      <c r="F15" s="47"/>
      <c r="G15" s="64"/>
      <c r="H15" s="49" cm="1">
        <f t="array" ref="H1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5" s="64"/>
    </row>
    <row r="16" spans="3:10" ht="20.100000000000001" customHeight="1" x14ac:dyDescent="0.2">
      <c r="D16" s="74"/>
      <c r="E16" s="140"/>
      <c r="F16" s="47"/>
      <c r="G16" s="64"/>
      <c r="H16" s="49" cm="1">
        <f t="array" ref="H1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6" s="64"/>
    </row>
  </sheetData>
  <dataValidations count="2">
    <dataValidation type="list" allowBlank="1" showInputMessage="1" showErrorMessage="1" sqref="F7:F16" xr:uid="{6C01C856-27C6-4CD3-9F44-CB174DFAC047}">
      <formula1>INDIRECT("Table_SourceData_Dairy_WjCowsHeifers[Breed]")</formula1>
    </dataValidation>
    <dataValidation type="list" allowBlank="1" showInputMessage="1" showErrorMessage="1" sqref="E7:E16" xr:uid="{5781C060-ED70-4962-97D0-9C205A1D4D9A}">
      <formula1>INDIRECT("Table_SourceData_Dairy_WjCowsHeifers[[#Headers],[Milking cows]:[Heifers &lt; 1 (weaned)]]")</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B7189-D8E7-45FA-AE6D-92AD001C72EC}">
  <sheetPr>
    <tabColor theme="5" tint="-0.249977111117893"/>
  </sheetPr>
  <dimension ref="C1:J16"/>
  <sheetViews>
    <sheetView showGridLines="0" zoomScaleNormal="100" workbookViewId="0">
      <selection activeCell="E21" sqref="E21"/>
    </sheetView>
  </sheetViews>
  <sheetFormatPr defaultRowHeight="20.100000000000001" customHeight="1" x14ac:dyDescent="0.2"/>
  <cols>
    <col min="1" max="1" width="30.5703125" customWidth="1"/>
    <col min="2" max="2" width="4.5703125" customWidth="1"/>
    <col min="3" max="3" width="4.5703125" style="8" customWidth="1"/>
    <col min="4" max="9" width="30.5703125" style="8" customWidth="1"/>
    <col min="10" max="10" width="4.5703125" style="8" customWidth="1"/>
  </cols>
  <sheetData>
    <row r="1" spans="3:10" ht="30" customHeight="1" x14ac:dyDescent="0.35">
      <c r="C1" s="37" t="s">
        <v>852</v>
      </c>
      <c r="D1" s="37"/>
      <c r="E1" s="37"/>
      <c r="F1" s="37"/>
      <c r="G1" s="37"/>
      <c r="H1" s="37"/>
      <c r="I1" s="37"/>
      <c r="J1" s="37"/>
    </row>
    <row r="2" spans="3:10" ht="20.100000000000001" customHeight="1" x14ac:dyDescent="0.2">
      <c r="C2" s="2"/>
      <c r="D2" s="2"/>
      <c r="E2" s="2"/>
      <c r="F2" s="2"/>
      <c r="G2" s="2"/>
      <c r="H2" s="2"/>
      <c r="I2" s="2"/>
      <c r="J2" s="2"/>
    </row>
    <row r="3" spans="3:10" ht="20.100000000000001" customHeight="1" x14ac:dyDescent="0.2">
      <c r="C3" s="38"/>
      <c r="D3" s="38"/>
      <c r="E3" s="38"/>
      <c r="F3" s="38"/>
      <c r="G3" s="38"/>
      <c r="H3" s="38"/>
      <c r="I3" s="38"/>
      <c r="J3" s="38"/>
    </row>
    <row r="5" spans="3:10" ht="20.100000000000001" customHeight="1" x14ac:dyDescent="0.25">
      <c r="D5" s="54" t="s">
        <v>855</v>
      </c>
      <c r="E5" s="14"/>
      <c r="F5" s="14"/>
      <c r="G5" s="14"/>
      <c r="H5" s="14"/>
    </row>
    <row r="6" spans="3:10" ht="20.100000000000001" customHeight="1" x14ac:dyDescent="0.2">
      <c r="D6" s="153" t="s">
        <v>353</v>
      </c>
      <c r="E6" s="153" t="s">
        <v>318</v>
      </c>
      <c r="F6" s="153" t="s">
        <v>319</v>
      </c>
      <c r="G6" s="153" t="s">
        <v>422</v>
      </c>
      <c r="H6" s="153" t="s">
        <v>423</v>
      </c>
    </row>
    <row r="7" spans="3:10" ht="20.100000000000001" customHeight="1" x14ac:dyDescent="0.2">
      <c r="D7" s="74" t="s">
        <v>559</v>
      </c>
      <c r="E7" s="47" t="s">
        <v>560</v>
      </c>
      <c r="F7" s="64">
        <v>100</v>
      </c>
      <c r="G7" s="49" cm="1">
        <f t="array" ref="G7">Common_InputFunctions.Utility_LookupValueInTableNumber(Table_Input_LivestockPurchases_Pigs[[#This Row],[Class (select)]], Table_SourceData_Swine_Liveweight[Livestock type j],Table_SourceData_Swine_Liveweight[Average liveweight (kg)])</f>
        <v>188</v>
      </c>
      <c r="H7" s="64">
        <v>180</v>
      </c>
    </row>
    <row r="8" spans="3:10" ht="20.100000000000001" customHeight="1" x14ac:dyDescent="0.2">
      <c r="D8" s="74" t="s">
        <v>561</v>
      </c>
      <c r="E8" s="140" t="s">
        <v>560</v>
      </c>
      <c r="F8" s="64">
        <v>100</v>
      </c>
      <c r="G8" s="49" cm="1">
        <f t="array" ref="G8">Common_InputFunctions.Utility_LookupValueInTableNumber(Table_Input_LivestockPurchases_Pigs[[#This Row],[Class (select)]], Table_SourceData_Swine_Liveweight[Livestock type j],Table_SourceData_Swine_Liveweight[Average liveweight (kg)])</f>
        <v>188</v>
      </c>
      <c r="H8" s="64">
        <v>38</v>
      </c>
    </row>
    <row r="9" spans="3:10" ht="20.100000000000001" customHeight="1" x14ac:dyDescent="0.2">
      <c r="D9" s="74"/>
      <c r="E9" s="140"/>
      <c r="F9" s="64"/>
      <c r="G9" s="49" cm="1">
        <f t="array" ref="G9">Common_InputFunctions.Utility_LookupValueInTableNumber(Table_Input_LivestockPurchases_Pigs[[#This Row],[Class (select)]], Table_SourceData_Swine_Liveweight[Livestock type j],Table_SourceData_Swine_Liveweight[Average liveweight (kg)])</f>
        <v>0</v>
      </c>
      <c r="H9" s="64"/>
    </row>
    <row r="10" spans="3:10" ht="20.100000000000001" customHeight="1" x14ac:dyDescent="0.2">
      <c r="D10" s="74"/>
      <c r="E10" s="140"/>
      <c r="F10" s="64"/>
      <c r="G10" s="49" cm="1">
        <f t="array" ref="G10">Common_InputFunctions.Utility_LookupValueInTableNumber(Table_Input_LivestockPurchases_Pigs[[#This Row],[Class (select)]], Table_SourceData_Swine_Liveweight[Livestock type j],Table_SourceData_Swine_Liveweight[Average liveweight (kg)])</f>
        <v>0</v>
      </c>
      <c r="H10" s="64"/>
    </row>
    <row r="11" spans="3:10" ht="20.100000000000001" customHeight="1" x14ac:dyDescent="0.2">
      <c r="D11" s="74"/>
      <c r="E11" s="140"/>
      <c r="F11" s="64"/>
      <c r="G11" s="49" cm="1">
        <f t="array" ref="G11">Common_InputFunctions.Utility_LookupValueInTableNumber(Table_Input_LivestockPurchases_Pigs[[#This Row],[Class (select)]], Table_SourceData_Swine_Liveweight[Livestock type j],Table_SourceData_Swine_Liveweight[Average liveweight (kg)])</f>
        <v>0</v>
      </c>
      <c r="H11" s="64"/>
    </row>
    <row r="12" spans="3:10" ht="20.100000000000001" customHeight="1" x14ac:dyDescent="0.2">
      <c r="D12" s="74"/>
      <c r="E12" s="140"/>
      <c r="F12" s="64"/>
      <c r="G12" s="49" cm="1">
        <f t="array" ref="G12">Common_InputFunctions.Utility_LookupValueInTableNumber(Table_Input_LivestockPurchases_Pigs[[#This Row],[Class (select)]], Table_SourceData_Swine_Liveweight[Livestock type j],Table_SourceData_Swine_Liveweight[Average liveweight (kg)])</f>
        <v>0</v>
      </c>
      <c r="H12" s="64"/>
    </row>
    <row r="13" spans="3:10" ht="20.100000000000001" customHeight="1" x14ac:dyDescent="0.2">
      <c r="D13" s="74"/>
      <c r="E13" s="140"/>
      <c r="F13" s="64"/>
      <c r="G13" s="49" cm="1">
        <f t="array" ref="G13">Common_InputFunctions.Utility_LookupValueInTableNumber(Table_Input_LivestockPurchases_Pigs[[#This Row],[Class (select)]], Table_SourceData_Swine_Liveweight[Livestock type j],Table_SourceData_Swine_Liveweight[Average liveweight (kg)])</f>
        <v>0</v>
      </c>
      <c r="H13" s="64"/>
    </row>
    <row r="14" spans="3:10" ht="20.100000000000001" customHeight="1" x14ac:dyDescent="0.2">
      <c r="D14" s="74"/>
      <c r="E14" s="140"/>
      <c r="F14" s="64"/>
      <c r="G14" s="49" cm="1">
        <f t="array" ref="G14">Common_InputFunctions.Utility_LookupValueInTableNumber(Table_Input_LivestockPurchases_Pigs[[#This Row],[Class (select)]], Table_SourceData_Swine_Liveweight[Livestock type j],Table_SourceData_Swine_Liveweight[Average liveweight (kg)])</f>
        <v>0</v>
      </c>
      <c r="H14" s="64"/>
    </row>
    <row r="15" spans="3:10" ht="20.100000000000001" customHeight="1" x14ac:dyDescent="0.2">
      <c r="D15" s="74"/>
      <c r="E15" s="140"/>
      <c r="F15" s="64"/>
      <c r="G15" s="49" cm="1">
        <f t="array" ref="G15">Common_InputFunctions.Utility_LookupValueInTableNumber(Table_Input_LivestockPurchases_Pigs[[#This Row],[Class (select)]], Table_SourceData_Swine_Liveweight[Livestock type j],Table_SourceData_Swine_Liveweight[Average liveweight (kg)])</f>
        <v>0</v>
      </c>
      <c r="H15" s="64"/>
    </row>
    <row r="16" spans="3:10" ht="20.100000000000001" customHeight="1" x14ac:dyDescent="0.2">
      <c r="D16" s="74"/>
      <c r="E16" s="140"/>
      <c r="F16" s="64"/>
      <c r="G16" s="49" cm="1">
        <f t="array" ref="G16">Common_InputFunctions.Utility_LookupValueInTableNumber(Table_Input_LivestockPurchases_Pigs[[#This Row],[Class (select)]], Table_SourceData_Swine_Liveweight[Livestock type j],Table_SourceData_Swine_Liveweight[Average liveweight (kg)])</f>
        <v>0</v>
      </c>
      <c r="H16" s="64"/>
    </row>
  </sheetData>
  <dataValidations count="1">
    <dataValidation type="list" allowBlank="1" showInputMessage="1" showErrorMessage="1" sqref="E7:E16" xr:uid="{F5AB456D-7F9C-4165-97C1-CAA2ABA57C96}">
      <formula1>INDIRECT("Table_SourceData_Swine_Liveweight[Livestock type j]")</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3FA9-AC33-4EC0-8F0E-A1D128249FE0}">
  <sheetPr>
    <tabColor theme="5" tint="-0.249977111117893"/>
  </sheetPr>
  <dimension ref="C1:J16"/>
  <sheetViews>
    <sheetView showGridLines="0" zoomScaleNormal="100" workbookViewId="0">
      <selection activeCell="E8" sqref="E8"/>
    </sheetView>
  </sheetViews>
  <sheetFormatPr defaultRowHeight="20.100000000000001" customHeight="1" x14ac:dyDescent="0.2"/>
  <cols>
    <col min="1" max="1" width="30.5703125" customWidth="1"/>
    <col min="2" max="2" width="4.5703125" customWidth="1"/>
    <col min="3" max="3" width="4.5703125" style="8" customWidth="1"/>
    <col min="4" max="9" width="30.5703125" style="8" customWidth="1"/>
    <col min="10" max="10" width="4.5703125" style="8" customWidth="1"/>
  </cols>
  <sheetData>
    <row r="1" spans="3:10" ht="30" customHeight="1" x14ac:dyDescent="0.35">
      <c r="C1" s="37" t="s">
        <v>851</v>
      </c>
      <c r="D1" s="37"/>
      <c r="E1" s="37"/>
      <c r="F1" s="37"/>
      <c r="G1" s="37"/>
      <c r="H1" s="37"/>
      <c r="I1" s="37"/>
      <c r="J1" s="37"/>
    </row>
    <row r="2" spans="3:10" ht="20.100000000000001" customHeight="1" x14ac:dyDescent="0.2">
      <c r="C2" s="2"/>
      <c r="D2" s="2"/>
      <c r="E2" s="2"/>
      <c r="F2" s="2"/>
      <c r="G2" s="2"/>
      <c r="H2" s="2"/>
      <c r="I2" s="2"/>
      <c r="J2" s="2"/>
    </row>
    <row r="3" spans="3:10" ht="20.100000000000001" customHeight="1" x14ac:dyDescent="0.2">
      <c r="C3" s="38"/>
      <c r="D3" s="38"/>
      <c r="E3" s="38"/>
      <c r="F3" s="38"/>
      <c r="G3" s="38"/>
      <c r="H3" s="38"/>
      <c r="I3" s="38"/>
      <c r="J3" s="38"/>
    </row>
    <row r="5" spans="3:10" ht="20.100000000000001" customHeight="1" x14ac:dyDescent="0.25">
      <c r="D5" s="54" t="s">
        <v>855</v>
      </c>
      <c r="E5" s="14"/>
      <c r="F5" s="14"/>
      <c r="G5" s="14"/>
      <c r="H5" s="14"/>
    </row>
    <row r="6" spans="3:10" ht="20.100000000000001" customHeight="1" x14ac:dyDescent="0.2">
      <c r="D6" s="153" t="s">
        <v>353</v>
      </c>
      <c r="E6" s="153" t="s">
        <v>318</v>
      </c>
      <c r="F6" s="153" t="s">
        <v>319</v>
      </c>
      <c r="G6" s="153" t="s">
        <v>422</v>
      </c>
      <c r="H6" s="153" t="s">
        <v>423</v>
      </c>
    </row>
    <row r="7" spans="3:10" ht="20.100000000000001" customHeight="1" x14ac:dyDescent="0.2">
      <c r="D7" s="74" t="s">
        <v>564</v>
      </c>
      <c r="E7" s="47" t="s">
        <v>592</v>
      </c>
      <c r="F7" s="64">
        <v>100</v>
      </c>
      <c r="G7" s="49" cm="1">
        <f t="array" ref="G7">Common_InputFunctions.Utility_LookupValueInTableNumber(Table_Input_LivestockPurchases_Poultry[[#This Row],[Class (select)]], Table_SourceData_Poultry_Liveweights[Livestock class j],Table_SourceData_Poultry_Liveweights[Average liveweight (kg)])</f>
        <v>1.3</v>
      </c>
      <c r="H7" s="64">
        <v>1.3</v>
      </c>
    </row>
    <row r="8" spans="3:10" ht="20.100000000000001" customHeight="1" x14ac:dyDescent="0.2">
      <c r="D8" s="74" t="s">
        <v>565</v>
      </c>
      <c r="E8" s="140" t="s">
        <v>593</v>
      </c>
      <c r="F8" s="64">
        <v>100</v>
      </c>
      <c r="G8" s="49" cm="1">
        <f t="array" ref="G8">Common_InputFunctions.Utility_LookupValueInTableNumber(Table_Input_LivestockPurchases_Poultry[[#This Row],[Class (select)]], Table_SourceData_Poultry_Liveweights[Livestock class j],Table_SourceData_Poultry_Liveweights[Average liveweight (kg)])</f>
        <v>1.4</v>
      </c>
      <c r="H8" s="64">
        <v>1.4</v>
      </c>
    </row>
    <row r="9" spans="3:10" ht="20.100000000000001" customHeight="1" x14ac:dyDescent="0.2">
      <c r="D9" s="74"/>
      <c r="E9" s="140"/>
      <c r="F9" s="64"/>
      <c r="G9" s="49" cm="1">
        <f t="array" ref="G9">Common_InputFunctions.Utility_LookupValueInTableNumber(Table_Input_LivestockPurchases_Poultry[[#This Row],[Class (select)]], Table_SourceData_Poultry_Liveweights[Livestock class j],Table_SourceData_Poultry_Liveweights[Average liveweight (kg)])</f>
        <v>0</v>
      </c>
      <c r="H9" s="64"/>
    </row>
    <row r="10" spans="3:10" ht="20.100000000000001" customHeight="1" x14ac:dyDescent="0.2">
      <c r="D10" s="74"/>
      <c r="E10" s="140"/>
      <c r="F10" s="64"/>
      <c r="G10" s="49" cm="1">
        <f t="array" ref="G10">Common_InputFunctions.Utility_LookupValueInTableNumber(Table_Input_LivestockPurchases_Poultry[[#This Row],[Class (select)]], Table_SourceData_Poultry_Liveweights[Livestock class j],Table_SourceData_Poultry_Liveweights[Average liveweight (kg)])</f>
        <v>0</v>
      </c>
      <c r="H10" s="64"/>
    </row>
    <row r="11" spans="3:10" ht="20.100000000000001" customHeight="1" x14ac:dyDescent="0.2">
      <c r="D11" s="74"/>
      <c r="E11" s="140"/>
      <c r="F11" s="64"/>
      <c r="G11" s="49" cm="1">
        <f t="array" ref="G11">Common_InputFunctions.Utility_LookupValueInTableNumber(Table_Input_LivestockPurchases_Poultry[[#This Row],[Class (select)]], Table_SourceData_Poultry_Liveweights[Livestock class j],Table_SourceData_Poultry_Liveweights[Average liveweight (kg)])</f>
        <v>0</v>
      </c>
      <c r="H11" s="64"/>
    </row>
    <row r="12" spans="3:10" ht="20.100000000000001" customHeight="1" x14ac:dyDescent="0.2">
      <c r="D12" s="74"/>
      <c r="E12" s="140"/>
      <c r="F12" s="64"/>
      <c r="G12" s="49" cm="1">
        <f t="array" ref="G12">Common_InputFunctions.Utility_LookupValueInTableNumber(Table_Input_LivestockPurchases_Poultry[[#This Row],[Class (select)]], Table_SourceData_Poultry_Liveweights[Livestock class j],Table_SourceData_Poultry_Liveweights[Average liveweight (kg)])</f>
        <v>0</v>
      </c>
      <c r="H12" s="64"/>
    </row>
    <row r="13" spans="3:10" ht="20.100000000000001" customHeight="1" x14ac:dyDescent="0.2">
      <c r="D13" s="74"/>
      <c r="E13" s="140"/>
      <c r="F13" s="64"/>
      <c r="G13" s="49" cm="1">
        <f t="array" ref="G13">Common_InputFunctions.Utility_LookupValueInTableNumber(Table_Input_LivestockPurchases_Poultry[[#This Row],[Class (select)]], Table_SourceData_Poultry_Liveweights[Livestock class j],Table_SourceData_Poultry_Liveweights[Average liveweight (kg)])</f>
        <v>0</v>
      </c>
      <c r="H13" s="64"/>
    </row>
    <row r="14" spans="3:10" ht="20.100000000000001" customHeight="1" x14ac:dyDescent="0.2">
      <c r="D14" s="74"/>
      <c r="E14" s="140"/>
      <c r="F14" s="64"/>
      <c r="G14" s="49" cm="1">
        <f t="array" ref="G14">Common_InputFunctions.Utility_LookupValueInTableNumber(Table_Input_LivestockPurchases_Poultry[[#This Row],[Class (select)]], Table_SourceData_Poultry_Liveweights[Livestock class j],Table_SourceData_Poultry_Liveweights[Average liveweight (kg)])</f>
        <v>0</v>
      </c>
      <c r="H14" s="64"/>
    </row>
    <row r="15" spans="3:10" ht="20.100000000000001" customHeight="1" x14ac:dyDescent="0.2">
      <c r="D15" s="74"/>
      <c r="E15" s="140"/>
      <c r="F15" s="64"/>
      <c r="G15" s="49" cm="1">
        <f t="array" ref="G15">Common_InputFunctions.Utility_LookupValueInTableNumber(Table_Input_LivestockPurchases_Poultry[[#This Row],[Class (select)]], Table_SourceData_Poultry_Liveweights[Livestock class j],Table_SourceData_Poultry_Liveweights[Average liveweight (kg)])</f>
        <v>0</v>
      </c>
      <c r="H15" s="64"/>
    </row>
    <row r="16" spans="3:10" ht="20.100000000000001" customHeight="1" x14ac:dyDescent="0.2">
      <c r="D16" s="74"/>
      <c r="E16" s="140"/>
      <c r="F16" s="64"/>
      <c r="G16" s="49" cm="1">
        <f t="array" ref="G16">Common_InputFunctions.Utility_LookupValueInTableNumber(Table_Input_LivestockPurchases_Poultry[[#This Row],[Class (select)]], Table_SourceData_Poultry_Liveweights[Livestock class j],Table_SourceData_Poultry_Liveweights[Average liveweight (kg)])</f>
        <v>0</v>
      </c>
      <c r="H16" s="64"/>
    </row>
  </sheetData>
  <dataValidations count="1">
    <dataValidation type="list" allowBlank="1" showInputMessage="1" showErrorMessage="1" sqref="E7:E16" xr:uid="{EF3323C3-C624-43FE-8DC3-2DC12C1B5DDD}">
      <formula1>INDIRECT("Table_SourceData_Poultry_Liveweights[Livestock class j]")</formula1>
    </dataValidation>
  </dataValidation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A1:J38"/>
  <sheetViews>
    <sheetView showGridLines="0" topLeftCell="A7" zoomScaleNormal="100" workbookViewId="0">
      <selection activeCell="A11" sqref="A11"/>
    </sheetView>
  </sheetViews>
  <sheetFormatPr defaultRowHeight="20.100000000000001" customHeight="1" x14ac:dyDescent="0.2"/>
  <cols>
    <col min="1" max="1" width="30.5703125" customWidth="1"/>
    <col min="2" max="2" width="4.5703125" customWidth="1"/>
    <col min="3" max="3" width="4.5703125" style="8" customWidth="1"/>
    <col min="4" max="4" width="40.7109375" style="8" customWidth="1"/>
    <col min="5" max="9" width="30.5703125" style="8" customWidth="1"/>
    <col min="10" max="10" width="4.5703125" style="8" customWidth="1"/>
  </cols>
  <sheetData>
    <row r="1" spans="1:10" s="37" customFormat="1" ht="30" customHeight="1" x14ac:dyDescent="0.35">
      <c r="C1" s="37" t="s">
        <v>824</v>
      </c>
    </row>
    <row r="2" spans="1:10" s="2" customFormat="1" ht="20.100000000000001" customHeight="1" x14ac:dyDescent="0.2">
      <c r="A2"/>
    </row>
    <row r="3" spans="1:10" ht="20.100000000000001" customHeight="1" x14ac:dyDescent="0.2">
      <c r="A3" s="16" t="str">
        <f>HYPERLINK("#'Overview'!A1", "Overview")</f>
        <v>Overview</v>
      </c>
      <c r="C3" s="38"/>
      <c r="D3" s="38"/>
      <c r="E3" s="38"/>
      <c r="F3" s="38"/>
      <c r="G3" s="38"/>
      <c r="H3" s="38"/>
      <c r="I3" s="38"/>
      <c r="J3" s="38"/>
    </row>
    <row r="4" spans="1:10" ht="20.100000000000001" customHeight="1" x14ac:dyDescent="0.2">
      <c r="A4" s="16" t="str">
        <f>HYPERLINK("#'Results'!A1", "Results")</f>
        <v>Results</v>
      </c>
    </row>
    <row r="6" spans="1:10" ht="20.100000000000001" customHeight="1" x14ac:dyDescent="0.2">
      <c r="D6" s="9" t="s">
        <v>801</v>
      </c>
    </row>
    <row r="7" spans="1:10" ht="20.100000000000001" customHeight="1" x14ac:dyDescent="0.2">
      <c r="A7" s="19" t="s">
        <v>67</v>
      </c>
    </row>
    <row r="8" spans="1:10" ht="20.100000000000001" customHeight="1" x14ac:dyDescent="0.2">
      <c r="A8" s="16" t="str">
        <f>HYPERLINK("#'Input - Site'!A1", "Site")</f>
        <v>Site</v>
      </c>
      <c r="D8" s="10" t="s">
        <v>803</v>
      </c>
      <c r="E8" s="10" t="s">
        <v>806</v>
      </c>
      <c r="F8" s="10" t="s">
        <v>807</v>
      </c>
      <c r="G8" s="10" t="s">
        <v>804</v>
      </c>
      <c r="H8" s="10" t="s">
        <v>805</v>
      </c>
    </row>
    <row r="9" spans="1:10" ht="20.100000000000001" customHeight="1" x14ac:dyDescent="0.2">
      <c r="A9" s="16" t="str">
        <f>HYPERLINK("#'Input - Fuel'!A1", "Fuel")</f>
        <v>Fuel</v>
      </c>
      <c r="D9" s="74" t="s">
        <v>810</v>
      </c>
      <c r="E9" s="47" t="s">
        <v>808</v>
      </c>
      <c r="F9" s="10">
        <v>986</v>
      </c>
      <c r="G9" s="10">
        <v>10</v>
      </c>
      <c r="H9" s="10">
        <v>52</v>
      </c>
    </row>
    <row r="10" spans="1:10" ht="20.100000000000001" customHeight="1" x14ac:dyDescent="0.2">
      <c r="A10" s="16" t="str">
        <f>HYPERLINK("#'Input - Fertiliser'!A1", "Fertiliser")</f>
        <v>Fertiliser</v>
      </c>
      <c r="D10" s="74" t="s">
        <v>812</v>
      </c>
      <c r="E10" s="47" t="s">
        <v>813</v>
      </c>
      <c r="F10" s="10">
        <v>65</v>
      </c>
      <c r="G10" s="10">
        <v>10</v>
      </c>
      <c r="H10" s="10">
        <v>6</v>
      </c>
    </row>
    <row r="11" spans="1:10" ht="20.100000000000001" customHeight="1" x14ac:dyDescent="0.2">
      <c r="A11" s="16" t="str">
        <f>HYPERLINK("#'Input - Farm Inputs'!A1", "Farm Inputs")</f>
        <v>Farm Inputs</v>
      </c>
      <c r="D11" s="74"/>
      <c r="E11" s="47"/>
      <c r="F11" s="10"/>
      <c r="G11" s="10"/>
      <c r="H11" s="10"/>
    </row>
    <row r="12" spans="1:10" ht="20.100000000000001" customHeight="1" x14ac:dyDescent="0.2">
      <c r="A12" s="16" t="str">
        <f>HYPERLINK("#'Input - Livestock purchases'!A1", "Livestock purchases")</f>
        <v>Livestock purchases</v>
      </c>
      <c r="D12" s="74"/>
      <c r="E12" s="47"/>
      <c r="F12" s="10"/>
      <c r="G12" s="10"/>
      <c r="H12" s="10"/>
    </row>
    <row r="13" spans="1:10" ht="20.100000000000001" customHeight="1" x14ac:dyDescent="0.2">
      <c r="A13" s="42" t="str">
        <f>HYPERLINK("#'Input - Freight'!A1", "Freight")</f>
        <v>Freight</v>
      </c>
      <c r="D13" s="74"/>
      <c r="E13" s="47"/>
      <c r="F13" s="10"/>
      <c r="G13" s="10"/>
      <c r="H13" s="10"/>
    </row>
    <row r="14" spans="1:10" ht="20.100000000000001" customHeight="1" x14ac:dyDescent="0.2">
      <c r="A14" s="16" t="str">
        <f>HYPERLINK("#'Input - Solid waste'!A1", "Solid waste")</f>
        <v>Solid waste</v>
      </c>
      <c r="D14" s="74"/>
      <c r="E14" s="47"/>
      <c r="F14" s="10"/>
      <c r="G14" s="10"/>
      <c r="H14" s="10"/>
    </row>
    <row r="15" spans="1:10" ht="20.100000000000001" customHeight="1" x14ac:dyDescent="0.2">
      <c r="A15" s="16" t="str">
        <f>HYPERLINK("#'Input - Manure sent off-site'!A1", "Manure sent off-site")</f>
        <v>Manure sent off-site</v>
      </c>
      <c r="D15" s="74"/>
      <c r="E15" s="47"/>
      <c r="F15" s="10"/>
      <c r="G15" s="10"/>
      <c r="H15" s="10"/>
    </row>
    <row r="16" spans="1:10" ht="20.100000000000001" customHeight="1" x14ac:dyDescent="0.2">
      <c r="A16" s="16" t="str">
        <f>HYPERLINK("#'Input - Electricity'!A1", "Electricity")</f>
        <v>Electricity</v>
      </c>
      <c r="D16" s="74"/>
      <c r="E16" s="47"/>
      <c r="F16" s="10"/>
      <c r="G16" s="10"/>
      <c r="H16" s="10"/>
    </row>
    <row r="17" spans="1:8" ht="20.100000000000001" customHeight="1" x14ac:dyDescent="0.2">
      <c r="D17" s="74"/>
      <c r="E17" s="47"/>
      <c r="F17" s="10"/>
      <c r="G17" s="10"/>
      <c r="H17" s="10"/>
    </row>
    <row r="18" spans="1:8" ht="20.100000000000001" customHeight="1" x14ac:dyDescent="0.2">
      <c r="D18" s="74"/>
      <c r="E18" s="47"/>
      <c r="F18" s="10"/>
      <c r="G18" s="10"/>
      <c r="H18" s="10"/>
    </row>
    <row r="19" spans="1:8" ht="20.100000000000001" customHeight="1" x14ac:dyDescent="0.2">
      <c r="A19" s="21" t="s">
        <v>77</v>
      </c>
    </row>
    <row r="20" spans="1:8" ht="20.100000000000001" customHeight="1" x14ac:dyDescent="0.2">
      <c r="A20" s="16" t="str">
        <f>HYPERLINK("#'15 Scope 3'!A1", "15 Scope 3")</f>
        <v>15 Scope 3</v>
      </c>
    </row>
    <row r="21" spans="1:8" ht="20.100000000000001" customHeight="1" x14ac:dyDescent="0.2">
      <c r="A21" s="16" t="str">
        <f>HYPERLINK("#'10.1.1-2 Solid waste treatment'!A1", "10.1.1-2 Solid waste treatment")</f>
        <v>10.1.1-2 Solid waste treatment</v>
      </c>
    </row>
    <row r="22" spans="1:8" ht="20.100000000000001" customHeight="1" x14ac:dyDescent="0.2">
      <c r="A22" s="16" t="str">
        <f>HYPERLINK("#'Calcs - Manure sent off-site'!A1", "Calcs - Manure sent off-site")</f>
        <v>Calcs - Manure sent off-site</v>
      </c>
      <c r="D22" s="9" t="s">
        <v>809</v>
      </c>
    </row>
    <row r="23" spans="1:8" ht="20.100000000000001" customHeight="1" x14ac:dyDescent="0.2">
      <c r="A23" s="16" t="str">
        <f>HYPERLINK("#'8.1.1.1-2 Transport fuel'!A1", "8.1.1.1-2 Transport fuel")</f>
        <v>8.1.1.1-2 Transport fuel</v>
      </c>
    </row>
    <row r="24" spans="1:8" ht="20.100000000000001" customHeight="1" x14ac:dyDescent="0.2">
      <c r="A24" s="16" t="str">
        <f>HYPERLINK("#'8.2.1.1-2 Stationary fuel'!A1", "8.2.1.1-2 Stationary fuel")</f>
        <v>8.2.1.1-2 Stationary fuel</v>
      </c>
      <c r="D24" s="10" t="s">
        <v>803</v>
      </c>
      <c r="E24" s="10" t="s">
        <v>806</v>
      </c>
      <c r="F24" s="10" t="s">
        <v>807</v>
      </c>
      <c r="G24" s="10" t="s">
        <v>804</v>
      </c>
      <c r="H24" s="10" t="s">
        <v>805</v>
      </c>
    </row>
    <row r="25" spans="1:8" ht="20.100000000000001" customHeight="1" x14ac:dyDescent="0.2">
      <c r="D25" s="74" t="s">
        <v>811</v>
      </c>
      <c r="E25" s="47" t="s">
        <v>808</v>
      </c>
      <c r="F25" s="10">
        <v>65</v>
      </c>
      <c r="G25" s="10">
        <v>20</v>
      </c>
      <c r="H25" s="10">
        <v>52</v>
      </c>
    </row>
    <row r="26" spans="1:8" ht="20.100000000000001" customHeight="1" x14ac:dyDescent="0.2">
      <c r="D26" s="74"/>
      <c r="E26" s="47"/>
      <c r="F26" s="10"/>
      <c r="G26" s="10"/>
      <c r="H26" s="10"/>
    </row>
    <row r="27" spans="1:8" ht="20.100000000000001" customHeight="1" x14ac:dyDescent="0.2">
      <c r="A27" s="213" t="s">
        <v>78</v>
      </c>
      <c r="D27" s="74"/>
      <c r="E27" s="47"/>
      <c r="F27" s="10"/>
      <c r="G27" s="10"/>
      <c r="H27" s="10"/>
    </row>
    <row r="28" spans="1:8" ht="20.100000000000001" customHeight="1" x14ac:dyDescent="0.2">
      <c r="A28" s="16" t="str">
        <f>HYPERLINK("#'Constants - Scope 3'!A1", "Constants - Scope 3")</f>
        <v>Constants - Scope 3</v>
      </c>
      <c r="D28" s="74"/>
      <c r="E28" s="47"/>
      <c r="F28" s="10"/>
      <c r="G28" s="10"/>
      <c r="H28" s="10"/>
    </row>
    <row r="29" spans="1:8" ht="20.100000000000001" customHeight="1" x14ac:dyDescent="0.2">
      <c r="A29" s="16" t="str">
        <f>HYPERLINK("#'Constants - Solid Waste'!A1", "Constants - Solid Waste")</f>
        <v>Constants - Solid Waste</v>
      </c>
      <c r="D29" s="74"/>
      <c r="E29" s="47"/>
      <c r="F29" s="10"/>
      <c r="G29" s="10"/>
      <c r="H29" s="10"/>
    </row>
    <row r="30" spans="1:8" ht="20.100000000000001" customHeight="1" x14ac:dyDescent="0.2">
      <c r="A30" s="16" t="str">
        <f>HYPERLINK("#'Constants - Fuel'!A1", "Constants - Fuel")</f>
        <v>Constants - Fuel</v>
      </c>
      <c r="D30" s="74"/>
      <c r="E30" s="47"/>
      <c r="F30" s="10"/>
      <c r="G30" s="10"/>
      <c r="H30" s="10"/>
    </row>
    <row r="31" spans="1:8" ht="20.100000000000001" customHeight="1" x14ac:dyDescent="0.2">
      <c r="A31" s="16" t="str">
        <f>HYPERLINK("#'Constants - Poultry'!A1", "Constants - Poultry")</f>
        <v>Constants - Poultry</v>
      </c>
      <c r="D31" s="74"/>
      <c r="E31" s="47"/>
      <c r="F31" s="10"/>
      <c r="G31" s="10"/>
      <c r="H31" s="10"/>
    </row>
    <row r="32" spans="1:8" ht="20.100000000000001" customHeight="1" x14ac:dyDescent="0.2">
      <c r="A32" s="16" t="str">
        <f>HYPERLINK("#'Constants - Swine'!A1", "Constants - Swine")</f>
        <v>Constants - Swine</v>
      </c>
      <c r="D32" s="74"/>
      <c r="E32" s="47"/>
      <c r="F32" s="10"/>
      <c r="G32" s="10"/>
      <c r="H32" s="10"/>
    </row>
    <row r="33" spans="1:8" ht="20.100000000000001" customHeight="1" x14ac:dyDescent="0.2">
      <c r="A33" s="16" t="str">
        <f>HYPERLINK("#'Constants - Dairy'!A1", "Constants - Dairy")</f>
        <v>Constants - Dairy</v>
      </c>
      <c r="D33" s="74"/>
      <c r="E33" s="47"/>
      <c r="F33" s="10"/>
      <c r="G33" s="10"/>
      <c r="H33" s="10"/>
    </row>
    <row r="34" spans="1:8" ht="20.100000000000001" customHeight="1" x14ac:dyDescent="0.2">
      <c r="A34" s="16" t="str">
        <f>HYPERLINK("#'Constants - Pasture Beef'!A1", "Constants - Pasture Beef")</f>
        <v>Constants - Pasture Beef</v>
      </c>
      <c r="D34" s="74"/>
      <c r="E34" s="47"/>
      <c r="F34" s="10"/>
      <c r="G34" s="10"/>
      <c r="H34" s="10"/>
    </row>
    <row r="35" spans="1:8" ht="20.100000000000001" customHeight="1" x14ac:dyDescent="0.2">
      <c r="A35" s="16" t="str">
        <f>HYPERLINK("#'Constants - Common Livestock'!A1", "Constants - Common Livestock")</f>
        <v>Constants - Common Livestock</v>
      </c>
    </row>
    <row r="36" spans="1:8" ht="20.100000000000001" customHeight="1" x14ac:dyDescent="0.2">
      <c r="A36" s="16" t="str">
        <f>HYPERLINK("#'Constants - Fertiliser'!A1", "Constants - Fertiliser")</f>
        <v>Constants - Fertiliser</v>
      </c>
    </row>
    <row r="37" spans="1:8" ht="20.100000000000001" customHeight="1" x14ac:dyDescent="0.2">
      <c r="A37" s="16" t="str">
        <f>HYPERLINK("#'Constants - Electricity'!A1", "Constants - Electricity")</f>
        <v>Constants - Electricity</v>
      </c>
    </row>
    <row r="38" spans="1:8" ht="20.100000000000001" customHeight="1" x14ac:dyDescent="0.2">
      <c r="A38" s="16" t="str">
        <f>HYPERLINK("#'Constants - Common'!A1", "Constants - Common")</f>
        <v>Constants - Common</v>
      </c>
    </row>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A64F-97E7-4417-9266-0D8579540B1C}">
  <sheetPr>
    <tabColor theme="5" tint="-0.249977111117893"/>
  </sheetPr>
  <dimension ref="A1:K38"/>
  <sheetViews>
    <sheetView showGridLines="0" topLeftCell="A2" zoomScaleNormal="100" workbookViewId="0">
      <selection activeCell="A38" sqref="A38"/>
    </sheetView>
  </sheetViews>
  <sheetFormatPr defaultRowHeight="20.100000000000001" customHeight="1" x14ac:dyDescent="0.2"/>
  <cols>
    <col min="1" max="1" width="30.5703125" customWidth="1"/>
    <col min="2" max="2" width="4.5703125" customWidth="1"/>
    <col min="3" max="3" width="4.5703125" style="8" customWidth="1"/>
    <col min="4" max="10" width="30.5703125" style="8" customWidth="1"/>
    <col min="11" max="11" width="4.5703125" style="8" customWidth="1"/>
  </cols>
  <sheetData>
    <row r="1" spans="1:11" s="37" customFormat="1" ht="30" customHeight="1" x14ac:dyDescent="0.35">
      <c r="C1" s="93" t="s">
        <v>760</v>
      </c>
    </row>
    <row r="2" spans="1:11" s="2" customFormat="1" ht="20.100000000000001" customHeight="1" x14ac:dyDescent="0.2">
      <c r="A2"/>
    </row>
    <row r="3" spans="1:11" ht="20.100000000000001" customHeight="1" x14ac:dyDescent="0.2">
      <c r="A3" s="16" t="str">
        <f>HYPERLINK("#'Overview'!A1", "Overview")</f>
        <v>Overview</v>
      </c>
      <c r="C3" s="38"/>
      <c r="D3" s="38"/>
      <c r="E3" s="38"/>
      <c r="F3" s="38"/>
      <c r="G3" s="38"/>
      <c r="H3" s="38"/>
      <c r="I3" s="38"/>
      <c r="J3" s="38"/>
      <c r="K3" s="38"/>
    </row>
    <row r="4" spans="1:11" ht="20.100000000000001" customHeight="1" x14ac:dyDescent="0.2">
      <c r="A4" s="16" t="str">
        <f>HYPERLINK("#'Results'!A1", "Results")</f>
        <v>Results</v>
      </c>
    </row>
    <row r="5" spans="1:11" ht="20.100000000000001" customHeight="1" x14ac:dyDescent="0.2">
      <c r="D5" s="9" t="s">
        <v>785</v>
      </c>
    </row>
    <row r="7" spans="1:11" ht="20.100000000000001" customHeight="1" x14ac:dyDescent="0.2">
      <c r="A7" s="19" t="s">
        <v>67</v>
      </c>
      <c r="D7" s="86" t="s">
        <v>121</v>
      </c>
      <c r="E7" s="87"/>
    </row>
    <row r="8" spans="1:11" ht="20.100000000000001" customHeight="1" x14ac:dyDescent="0.2">
      <c r="A8" s="16" t="str">
        <f>HYPERLINK("#'Input - Site'!A1", "Site")</f>
        <v>Site</v>
      </c>
    </row>
    <row r="9" spans="1:11" ht="20.100000000000001" customHeight="1" x14ac:dyDescent="0.2">
      <c r="A9" s="16" t="str">
        <f>HYPERLINK("#'Input - Fuel'!A1", "Fuel")</f>
        <v>Fuel</v>
      </c>
      <c r="D9" s="46" t="s">
        <v>246</v>
      </c>
      <c r="E9" s="46" t="s">
        <v>773</v>
      </c>
      <c r="F9" s="46" t="s">
        <v>774</v>
      </c>
      <c r="G9" s="46" t="s">
        <v>775</v>
      </c>
      <c r="H9" s="46" t="s">
        <v>594</v>
      </c>
      <c r="I9" s="46" t="s">
        <v>776</v>
      </c>
    </row>
    <row r="10" spans="1:11" ht="20.100000000000001" customHeight="1" x14ac:dyDescent="0.2">
      <c r="A10" s="16" t="str">
        <f>HYPERLINK("#'Input - Fertiliser'!A1", "Fertiliser")</f>
        <v>Fertiliser</v>
      </c>
      <c r="D10" s="10" t="s">
        <v>777</v>
      </c>
      <c r="E10" s="47" t="s">
        <v>778</v>
      </c>
      <c r="F10" s="47" t="s">
        <v>779</v>
      </c>
      <c r="G10" s="49" t="s">
        <v>780</v>
      </c>
      <c r="H10" s="64">
        <v>50</v>
      </c>
      <c r="I10" s="47" t="s">
        <v>781</v>
      </c>
    </row>
    <row r="11" spans="1:11" ht="20.100000000000001" customHeight="1" x14ac:dyDescent="0.2">
      <c r="A11" s="16" t="str">
        <f>HYPERLINK("#'Input - Farm Inputs'!A1", "Farm Inputs")</f>
        <v>Farm Inputs</v>
      </c>
      <c r="D11" s="10"/>
      <c r="E11" s="47" t="s">
        <v>778</v>
      </c>
      <c r="F11" s="47" t="s">
        <v>779</v>
      </c>
      <c r="G11" s="49" t="s">
        <v>780</v>
      </c>
      <c r="H11" s="64">
        <v>50</v>
      </c>
      <c r="I11" s="47" t="s">
        <v>781</v>
      </c>
    </row>
    <row r="12" spans="1:11" ht="20.100000000000001" customHeight="1" x14ac:dyDescent="0.2">
      <c r="A12" s="16" t="str">
        <f>HYPERLINK("#'Input - Livestock purchases'!A1", "Livestock purchases")</f>
        <v>Livestock purchases</v>
      </c>
      <c r="D12" s="10"/>
      <c r="E12" s="47" t="s">
        <v>778</v>
      </c>
      <c r="F12" s="47" t="s">
        <v>779</v>
      </c>
      <c r="G12" s="49" t="s">
        <v>780</v>
      </c>
      <c r="H12" s="64">
        <v>50</v>
      </c>
      <c r="I12" s="47" t="s">
        <v>782</v>
      </c>
    </row>
    <row r="13" spans="1:11" ht="20.100000000000001" customHeight="1" x14ac:dyDescent="0.2">
      <c r="A13" s="16" t="str">
        <f>HYPERLINK("#'Input - Freight'!A1", "Freight")</f>
        <v>Freight</v>
      </c>
      <c r="D13" s="10"/>
      <c r="E13" s="47" t="s">
        <v>778</v>
      </c>
      <c r="F13" s="47" t="s">
        <v>779</v>
      </c>
      <c r="G13" s="49" t="s">
        <v>780</v>
      </c>
      <c r="H13" s="64">
        <v>50</v>
      </c>
      <c r="I13" s="47" t="s">
        <v>782</v>
      </c>
    </row>
    <row r="14" spans="1:11" ht="20.100000000000001" customHeight="1" x14ac:dyDescent="0.2">
      <c r="A14" s="42" t="str">
        <f>HYPERLINK("#'Input - Solid waste'!A1", "Solid waste")</f>
        <v>Solid waste</v>
      </c>
      <c r="D14" s="10"/>
      <c r="E14" s="47" t="s">
        <v>783</v>
      </c>
      <c r="F14" s="47" t="s">
        <v>823</v>
      </c>
      <c r="G14" s="49" t="s">
        <v>780</v>
      </c>
      <c r="H14" s="64">
        <v>50</v>
      </c>
      <c r="I14" s="47" t="s">
        <v>781</v>
      </c>
    </row>
    <row r="15" spans="1:11" ht="20.100000000000001" customHeight="1" x14ac:dyDescent="0.2">
      <c r="A15" s="16" t="str">
        <f>HYPERLINK("#'Input - Manure sent off-site'!A1", "Manure sent off-site")</f>
        <v>Manure sent off-site</v>
      </c>
      <c r="D15" s="10"/>
      <c r="E15" s="47" t="s">
        <v>783</v>
      </c>
      <c r="F15" s="47" t="s">
        <v>784</v>
      </c>
      <c r="G15" s="49" t="s">
        <v>780</v>
      </c>
      <c r="H15" s="64">
        <v>50</v>
      </c>
      <c r="I15" s="47" t="s">
        <v>781</v>
      </c>
    </row>
    <row r="16" spans="1:11" ht="20.100000000000001" customHeight="1" x14ac:dyDescent="0.2">
      <c r="A16" s="16" t="str">
        <f>HYPERLINK("#'Input - Electricity'!A1", "Electricity")</f>
        <v>Electricity</v>
      </c>
      <c r="D16" s="10"/>
      <c r="E16" s="47" t="s">
        <v>783</v>
      </c>
      <c r="F16" s="47" t="s">
        <v>784</v>
      </c>
      <c r="G16" s="49" t="s">
        <v>780</v>
      </c>
      <c r="H16" s="64">
        <v>50</v>
      </c>
      <c r="I16" s="47" t="s">
        <v>782</v>
      </c>
    </row>
    <row r="17" spans="1:9" ht="20.100000000000001" customHeight="1" x14ac:dyDescent="0.2">
      <c r="D17" s="10"/>
      <c r="E17" s="47" t="s">
        <v>783</v>
      </c>
      <c r="F17" s="47" t="s">
        <v>784</v>
      </c>
      <c r="G17" s="49" t="s">
        <v>780</v>
      </c>
      <c r="H17" s="64">
        <v>50</v>
      </c>
      <c r="I17" s="47" t="s">
        <v>782</v>
      </c>
    </row>
    <row r="18" spans="1:9" ht="20.100000000000001" customHeight="1" x14ac:dyDescent="0.2">
      <c r="D18" s="10"/>
      <c r="E18" s="47" t="s">
        <v>783</v>
      </c>
      <c r="F18" s="47" t="s">
        <v>784</v>
      </c>
      <c r="G18" s="49" t="s">
        <v>780</v>
      </c>
      <c r="H18" s="64">
        <v>50</v>
      </c>
      <c r="I18" s="47" t="s">
        <v>781</v>
      </c>
    </row>
    <row r="19" spans="1:9" ht="20.100000000000001" customHeight="1" x14ac:dyDescent="0.2">
      <c r="A19" s="21" t="s">
        <v>77</v>
      </c>
    </row>
    <row r="20" spans="1:9" ht="20.100000000000001" customHeight="1" x14ac:dyDescent="0.2">
      <c r="A20" s="16" t="str">
        <f>HYPERLINK("#'15 Scope 3'!A1", "15 Scope 3")</f>
        <v>15 Scope 3</v>
      </c>
    </row>
    <row r="21" spans="1:9" ht="20.100000000000001" customHeight="1" x14ac:dyDescent="0.2">
      <c r="A21" s="16" t="str">
        <f>HYPERLINK("#'10.1.1-2 Solid waste treatment'!A1", "10.1.1-2 Solid waste treatment")</f>
        <v>10.1.1-2 Solid waste treatment</v>
      </c>
    </row>
    <row r="22" spans="1:9" ht="20.100000000000001" customHeight="1" x14ac:dyDescent="0.2">
      <c r="A22" s="16" t="str">
        <f>HYPERLINK("#'Calcs - Manure sent off-site'!A1", "Calcs - Manure sent off-site")</f>
        <v>Calcs - Manure sent off-site</v>
      </c>
    </row>
    <row r="23" spans="1:9" ht="20.100000000000001" customHeight="1" x14ac:dyDescent="0.2">
      <c r="A23" s="16" t="str">
        <f>HYPERLINK("#'8.1.1.1-2 Transport fuel'!A1", "8.1.1.1-2 Transport fuel")</f>
        <v>8.1.1.1-2 Transport fuel</v>
      </c>
    </row>
    <row r="24" spans="1:9" ht="20.100000000000001" customHeight="1" x14ac:dyDescent="0.2">
      <c r="A24" s="16" t="str">
        <f>HYPERLINK("#'8.2.1.1-2 Stationary fuel'!A1", "8.2.1.1-2 Stationary fuel")</f>
        <v>8.2.1.1-2 Stationary fuel</v>
      </c>
    </row>
    <row r="27" spans="1:9" ht="20.100000000000001" customHeight="1" x14ac:dyDescent="0.2">
      <c r="A27" s="213" t="s">
        <v>78</v>
      </c>
    </row>
    <row r="28" spans="1:9" ht="20.100000000000001" customHeight="1" x14ac:dyDescent="0.2">
      <c r="A28" s="16" t="str">
        <f>HYPERLINK("#'Constants - Scope 3'!A1", "Constants - Scope 3")</f>
        <v>Constants - Scope 3</v>
      </c>
    </row>
    <row r="29" spans="1:9" ht="20.100000000000001" customHeight="1" x14ac:dyDescent="0.2">
      <c r="A29" s="16" t="str">
        <f>HYPERLINK("#'Constants - Solid Waste'!A1", "Constants - Solid Waste")</f>
        <v>Constants - Solid Waste</v>
      </c>
    </row>
    <row r="30" spans="1:9" ht="20.100000000000001" customHeight="1" x14ac:dyDescent="0.2">
      <c r="A30" s="16" t="str">
        <f>HYPERLINK("#'Constants - Fuel'!A1", "Constants - Fuel")</f>
        <v>Constants - Fuel</v>
      </c>
    </row>
    <row r="31" spans="1:9" ht="20.100000000000001" customHeight="1" x14ac:dyDescent="0.2">
      <c r="A31" s="16" t="str">
        <f>HYPERLINK("#'Constants - Poultry'!A1", "Constants - Poultry")</f>
        <v>Constants - Poultry</v>
      </c>
    </row>
    <row r="32" spans="1:9" ht="20.100000000000001" customHeight="1" x14ac:dyDescent="0.2">
      <c r="A32" s="16" t="str">
        <f>HYPERLINK("#'Constants - Swine'!A1", "Constants - Swine")</f>
        <v>Constants - Swine</v>
      </c>
    </row>
    <row r="33" spans="1:1" ht="20.100000000000001" customHeight="1" x14ac:dyDescent="0.2">
      <c r="A33" s="16" t="str">
        <f>HYPERLINK("#'Constants - Dairy'!A1", "Constants - Dairy")</f>
        <v>Constants - Dairy</v>
      </c>
    </row>
    <row r="34" spans="1:1" ht="20.100000000000001" customHeight="1" x14ac:dyDescent="0.2">
      <c r="A34" s="16" t="str">
        <f>HYPERLINK("#'Constants - Pasture Beef'!A1", "Constants - Pasture Beef")</f>
        <v>Constants - Pasture Beef</v>
      </c>
    </row>
    <row r="35" spans="1:1" ht="20.100000000000001" customHeight="1" x14ac:dyDescent="0.2">
      <c r="A35" s="16" t="str">
        <f>HYPERLINK("#'Constants - Common Livestock'!A1", "Constants - Common Livestock")</f>
        <v>Constants - Common Livestock</v>
      </c>
    </row>
    <row r="36" spans="1:1" ht="20.100000000000001" customHeight="1" x14ac:dyDescent="0.2">
      <c r="A36" s="16" t="str">
        <f>HYPERLINK("#'Constants - Fertiliser'!A1", "Constants - Fertiliser")</f>
        <v>Constants - Fertiliser</v>
      </c>
    </row>
    <row r="37" spans="1:1" ht="20.100000000000001" customHeight="1" x14ac:dyDescent="0.2">
      <c r="A37" s="16" t="str">
        <f>HYPERLINK("#'Constants - Electricity'!A1", "Constants - Electricity")</f>
        <v>Constants - Electricity</v>
      </c>
    </row>
    <row r="38" spans="1:1" ht="20.100000000000001" customHeight="1" x14ac:dyDescent="0.2">
      <c r="A38" s="16" t="str">
        <f>HYPERLINK("#'Constants - Common'!A1", "Constants - Common")</f>
        <v>Constants - Common</v>
      </c>
    </row>
  </sheetData>
  <conditionalFormatting sqref="I30">
    <cfRule type="cellIs" dxfId="17" priority="1" operator="lessThan">
      <formula>0</formula>
    </cfRule>
  </conditionalFormatting>
  <dataValidations count="4">
    <dataValidation type="list" allowBlank="1" showInputMessage="1" showErrorMessage="1" sqref="E10:E18" xr:uid="{3F495E7C-4D24-4D19-86E9-9EED671E0444}">
      <formula1>INDIRECT(_xlfn.UNIQUE("Table_SourceData_WasteSolid_WasteTreatmentEFs[Treatment type t]"))</formula1>
    </dataValidation>
    <dataValidation type="list" allowBlank="1" showInputMessage="1" showErrorMessage="1" sqref="G10:G18" xr:uid="{97A3C4B6-FFC2-4584-9F07-94A094AA24D0}">
      <formula1>"Removed and treated off-site"</formula1>
    </dataValidation>
    <dataValidation type="list" allowBlank="1" showInputMessage="1" showErrorMessage="1" sqref="I10:I18" xr:uid="{82C47F76-631A-49C4-B15B-FBE027EE7CB0}">
      <formula1>"tonnes, cubic metres m3"</formula1>
    </dataValidation>
    <dataValidation type="list" allowBlank="1" showInputMessage="1" showErrorMessage="1" sqref="F10:F18" xr:uid="{8E0FD0C6-A37F-4220-A483-A841E04E3816}">
      <formula1>INDIRECT("Table_WasteTypes_" &amp; SUBSTITUTE(E10, " ", "") &amp; "[Waste type w]")</formula1>
    </dataValidation>
  </dataValidation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247E-4D4E-4FCB-91D2-0BBB5F8DD794}">
  <sheetPr>
    <tabColor theme="5" tint="-0.249977111117893"/>
  </sheetPr>
  <dimension ref="A1:K38"/>
  <sheetViews>
    <sheetView showGridLines="0" topLeftCell="A3" zoomScaleNormal="100" workbookViewId="0">
      <selection activeCell="A20" sqref="A20"/>
    </sheetView>
  </sheetViews>
  <sheetFormatPr defaultRowHeight="20.100000000000001" customHeight="1" x14ac:dyDescent="0.2"/>
  <cols>
    <col min="1" max="1" width="30.5703125" customWidth="1"/>
    <col min="2" max="2" width="4.5703125" customWidth="1"/>
    <col min="3" max="3" width="4.5703125" style="8" customWidth="1"/>
    <col min="4" max="10" width="30.5703125" style="8" customWidth="1"/>
    <col min="11" max="11" width="4.5703125" style="8" customWidth="1"/>
  </cols>
  <sheetData>
    <row r="1" spans="1:11" ht="30" customHeight="1" x14ac:dyDescent="0.35">
      <c r="A1" s="37" t="e" vm="1">
        <v>#VALUE!</v>
      </c>
      <c r="C1" s="37" t="s">
        <v>846</v>
      </c>
      <c r="D1" s="37"/>
      <c r="E1" s="37"/>
      <c r="F1" s="37"/>
      <c r="G1" s="37"/>
      <c r="H1" s="37"/>
      <c r="I1" s="37"/>
      <c r="J1" s="37"/>
      <c r="K1" s="37"/>
    </row>
    <row r="2" spans="1:11" s="2" customFormat="1" ht="20.100000000000001" customHeight="1" x14ac:dyDescent="0.2">
      <c r="A2"/>
    </row>
    <row r="3" spans="1:11" ht="20.100000000000001" customHeight="1" x14ac:dyDescent="0.2">
      <c r="A3" s="16" t="str">
        <f>HYPERLINK("#'Overview'!A1", "Overview")</f>
        <v>Overview</v>
      </c>
      <c r="C3" s="38"/>
      <c r="D3" s="38"/>
      <c r="E3" s="38"/>
      <c r="F3" s="38"/>
      <c r="G3" s="38"/>
      <c r="H3" s="38"/>
      <c r="I3" s="38"/>
      <c r="J3" s="38"/>
      <c r="K3" s="38"/>
    </row>
    <row r="4" spans="1:11" ht="20.100000000000001" customHeight="1" x14ac:dyDescent="0.2">
      <c r="A4" s="16" t="str">
        <f>HYPERLINK("#'Results'!A1", "Results")</f>
        <v>Results</v>
      </c>
    </row>
    <row r="5" spans="1:11" ht="20.100000000000001" customHeight="1" x14ac:dyDescent="0.2">
      <c r="D5" s="9" t="s">
        <v>738</v>
      </c>
    </row>
    <row r="7" spans="1:11" ht="20.100000000000001" customHeight="1" x14ac:dyDescent="0.2">
      <c r="A7" s="19" t="s">
        <v>67</v>
      </c>
      <c r="D7" s="8" t="s">
        <v>761</v>
      </c>
    </row>
    <row r="8" spans="1:11" ht="20.100000000000001" customHeight="1" x14ac:dyDescent="0.2">
      <c r="A8" s="16" t="str">
        <f>HYPERLINK("#'Input - Site'!A1", "Site")</f>
        <v>Site</v>
      </c>
      <c r="D8" s="8" t="s">
        <v>762</v>
      </c>
    </row>
    <row r="9" spans="1:11" ht="20.100000000000001" customHeight="1" x14ac:dyDescent="0.2">
      <c r="A9" s="16" t="str">
        <f>HYPERLINK("#'Input - Fuel'!A1", "Fuel")</f>
        <v>Fuel</v>
      </c>
    </row>
    <row r="10" spans="1:11" ht="20.100000000000001" customHeight="1" x14ac:dyDescent="0.2">
      <c r="A10" s="16" t="str">
        <f>HYPERLINK("#'Input - Fertiliser'!A1", "Fertiliser")</f>
        <v>Fertiliser</v>
      </c>
      <c r="D10" s="8" t="s">
        <v>847</v>
      </c>
      <c r="F10" s="64">
        <v>1000</v>
      </c>
      <c r="G10" s="63" t="s">
        <v>739</v>
      </c>
    </row>
    <row r="11" spans="1:11" ht="20.100000000000001" customHeight="1" x14ac:dyDescent="0.2">
      <c r="A11" s="16" t="str">
        <f>HYPERLINK("#'Input - Farm Inputs'!A1", "Farm Inputs")</f>
        <v>Farm Inputs</v>
      </c>
      <c r="D11" s="8" t="s">
        <v>848</v>
      </c>
      <c r="F11" s="64">
        <v>2000</v>
      </c>
      <c r="G11" s="63" t="s">
        <v>739</v>
      </c>
    </row>
    <row r="12" spans="1:11" ht="20.100000000000001" customHeight="1" x14ac:dyDescent="0.2">
      <c r="A12" s="16" t="str">
        <f>HYPERLINK("#'Input - Livestock purchases'!A1", "Livestock purchases")</f>
        <v>Livestock purchases</v>
      </c>
    </row>
    <row r="13" spans="1:11" ht="20.100000000000001" customHeight="1" x14ac:dyDescent="0.2">
      <c r="A13" s="16" t="str">
        <f>HYPERLINK("#'Input - Freight'!A1", "Freight")</f>
        <v>Freight</v>
      </c>
      <c r="D13" s="8" t="s">
        <v>740</v>
      </c>
      <c r="F13" s="47" t="s">
        <v>150</v>
      </c>
      <c r="G13" s="63" t="s">
        <v>191</v>
      </c>
    </row>
    <row r="14" spans="1:11" ht="20.100000000000001" customHeight="1" x14ac:dyDescent="0.2">
      <c r="A14" s="16" t="str">
        <f>HYPERLINK("#'Input - Solid waste'!A1", "Solid waste")</f>
        <v>Solid waste</v>
      </c>
      <c r="D14" s="8" t="s">
        <v>744</v>
      </c>
      <c r="F14" s="47" t="s">
        <v>155</v>
      </c>
      <c r="G14" s="63" t="s">
        <v>191</v>
      </c>
    </row>
    <row r="15" spans="1:11" ht="20.100000000000001" customHeight="1" x14ac:dyDescent="0.2">
      <c r="A15" s="42" t="str">
        <f>HYPERLINK("#'Input - Manure sent off-site'!A1", "Manure sent off-site")</f>
        <v>Manure sent off-site</v>
      </c>
    </row>
    <row r="16" spans="1:11" ht="20.100000000000001" customHeight="1" x14ac:dyDescent="0.2">
      <c r="A16" s="16" t="str">
        <f>HYPERLINK("#'Input - Electricity'!A1", "Electricity")</f>
        <v>Electricity</v>
      </c>
    </row>
    <row r="19" spans="1:1" ht="20.100000000000001" customHeight="1" x14ac:dyDescent="0.2">
      <c r="A19" s="21" t="s">
        <v>77</v>
      </c>
    </row>
    <row r="20" spans="1:1" ht="20.100000000000001" customHeight="1" x14ac:dyDescent="0.2">
      <c r="A20" s="16" t="str">
        <f>HYPERLINK("#'15 Scope 3'!A1", "15 Scope 3")</f>
        <v>15 Scope 3</v>
      </c>
    </row>
    <row r="21" spans="1:1" ht="20.100000000000001" customHeight="1" x14ac:dyDescent="0.2">
      <c r="A21" s="16" t="str">
        <f>HYPERLINK("#'10.1.1-2 Solid waste treatment'!A1", "10.1.1-2 Solid waste treatment")</f>
        <v>10.1.1-2 Solid waste treatment</v>
      </c>
    </row>
    <row r="22" spans="1:1" ht="20.100000000000001" customHeight="1" x14ac:dyDescent="0.2">
      <c r="A22" s="16" t="str">
        <f>HYPERLINK("#'Calcs - Manure sent off-site'!A1", "Calcs - Manure sent off-site")</f>
        <v>Calcs - Manure sent off-site</v>
      </c>
    </row>
    <row r="23" spans="1:1" ht="20.100000000000001" customHeight="1" x14ac:dyDescent="0.2">
      <c r="A23" s="16" t="str">
        <f>HYPERLINK("#'8.1.1.1-2 Transport fuel'!A1", "8.1.1.1-2 Transport fuel")</f>
        <v>8.1.1.1-2 Transport fuel</v>
      </c>
    </row>
    <row r="24" spans="1:1" ht="20.100000000000001" customHeight="1" x14ac:dyDescent="0.2">
      <c r="A24" s="16" t="str">
        <f>HYPERLINK("#'8.2.1.1-2 Stationary fuel'!A1", "8.2.1.1-2 Stationary fuel")</f>
        <v>8.2.1.1-2 Stationary fuel</v>
      </c>
    </row>
    <row r="27" spans="1:1" ht="20.100000000000001" customHeight="1" x14ac:dyDescent="0.2">
      <c r="A27" s="213" t="s">
        <v>78</v>
      </c>
    </row>
    <row r="28" spans="1:1" ht="20.100000000000001" customHeight="1" x14ac:dyDescent="0.2">
      <c r="A28" s="16" t="str">
        <f>HYPERLINK("#'Constants - Scope 3'!A1", "Constants - Scope 3")</f>
        <v>Constants - Scope 3</v>
      </c>
    </row>
    <row r="29" spans="1:1" ht="20.100000000000001" customHeight="1" x14ac:dyDescent="0.2">
      <c r="A29" s="16" t="str">
        <f>HYPERLINK("#'Constants - Solid Waste'!A1", "Constants - Solid Waste")</f>
        <v>Constants - Solid Waste</v>
      </c>
    </row>
    <row r="30" spans="1:1" ht="20.100000000000001" customHeight="1" x14ac:dyDescent="0.2">
      <c r="A30" s="16" t="str">
        <f>HYPERLINK("#'Constants - Fuel'!A1", "Constants - Fuel")</f>
        <v>Constants - Fuel</v>
      </c>
    </row>
    <row r="31" spans="1:1" ht="20.100000000000001" customHeight="1" x14ac:dyDescent="0.2">
      <c r="A31" s="16" t="str">
        <f>HYPERLINK("#'Constants - Poultry'!A1", "Constants - Poultry")</f>
        <v>Constants - Poultry</v>
      </c>
    </row>
    <row r="32" spans="1:1" ht="20.100000000000001" customHeight="1" x14ac:dyDescent="0.2">
      <c r="A32" s="16" t="str">
        <f>HYPERLINK("#'Constants - Swine'!A1", "Constants - Swine")</f>
        <v>Constants - Swine</v>
      </c>
    </row>
    <row r="33" spans="1:1" ht="20.100000000000001" customHeight="1" x14ac:dyDescent="0.2">
      <c r="A33" s="16" t="str">
        <f>HYPERLINK("#'Constants - Dairy'!A1", "Constants - Dairy")</f>
        <v>Constants - Dairy</v>
      </c>
    </row>
    <row r="34" spans="1:1" ht="20.100000000000001" customHeight="1" x14ac:dyDescent="0.2">
      <c r="A34" s="16" t="str">
        <f>HYPERLINK("#'Constants - Pasture Beef'!A1", "Constants - Pasture Beef")</f>
        <v>Constants - Pasture Beef</v>
      </c>
    </row>
    <row r="35" spans="1:1" ht="20.100000000000001" customHeight="1" x14ac:dyDescent="0.2">
      <c r="A35" s="16" t="str">
        <f>HYPERLINK("#'Constants - Common Livestock'!A1", "Constants - Common Livestock")</f>
        <v>Constants - Common Livestock</v>
      </c>
    </row>
    <row r="36" spans="1:1" ht="20.100000000000001" customHeight="1" x14ac:dyDescent="0.2">
      <c r="A36" s="16" t="str">
        <f>HYPERLINK("#'Constants - Fertiliser'!A1", "Constants - Fertiliser")</f>
        <v>Constants - Fertiliser</v>
      </c>
    </row>
    <row r="37" spans="1:1" ht="20.100000000000001" customHeight="1" x14ac:dyDescent="0.2">
      <c r="A37" s="16" t="str">
        <f>HYPERLINK("#'Constants - Electricity'!A1", "Constants - Electricity")</f>
        <v>Constants - Electricity</v>
      </c>
    </row>
    <row r="38" spans="1:1" ht="20.100000000000001" customHeight="1" x14ac:dyDescent="0.2">
      <c r="A38" s="16" t="str">
        <f>HYPERLINK("#'Constants - Common'!A1", "Constants - Common")</f>
        <v>Constants - Common</v>
      </c>
    </row>
  </sheetData>
  <dataValidations count="2">
    <dataValidation type="list" allowBlank="1" showInputMessage="1" showErrorMessage="1" sqref="F13" xr:uid="{F53F4331-B6CB-4FFE-8E82-663561C8DD8D}">
      <formula1>INDIRECT("Table_SourceData_Fertiliser_CropProdSystems[Production system]")</formula1>
    </dataValidation>
    <dataValidation type="list" allowBlank="1" showInputMessage="1" showErrorMessage="1" sqref="F14" xr:uid="{6070C71B-330E-4E19-BC5E-8182BE003281}">
      <formula1>INDIRECT("Table_SourceData_Fertiliser_IrrigationMethods[Irrigation method]")</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299A-2CFF-433C-84D9-A1BED0455EEB}">
  <sheetPr>
    <tabColor theme="5" tint="-0.249977111117893"/>
  </sheetPr>
  <dimension ref="A1:L365"/>
  <sheetViews>
    <sheetView showGridLines="0" topLeftCell="A12" zoomScaleNormal="100" workbookViewId="0">
      <selection activeCell="A38" sqref="A38"/>
    </sheetView>
  </sheetViews>
  <sheetFormatPr defaultColWidth="9" defaultRowHeight="20.100000000000001" customHeight="1" x14ac:dyDescent="0.25"/>
  <cols>
    <col min="1" max="1" width="26.85546875" style="3" customWidth="1"/>
    <col min="2" max="2" width="4.140625" style="3" customWidth="1"/>
    <col min="3" max="3" width="4.140625" style="8" customWidth="1"/>
    <col min="4" max="4" width="58.42578125" style="8" customWidth="1"/>
    <col min="5" max="5" width="41.140625" style="8" customWidth="1"/>
    <col min="6" max="8" width="21.7109375" style="8" customWidth="1"/>
    <col min="9" max="9" width="26" style="8" customWidth="1"/>
    <col min="10" max="10" width="4.140625" style="8" customWidth="1"/>
    <col min="11" max="11" width="4.140625" style="3" customWidth="1"/>
    <col min="12" max="16384" width="9" style="3"/>
  </cols>
  <sheetData>
    <row r="1" spans="1:10" s="37" customFormat="1" ht="30" customHeight="1" x14ac:dyDescent="0.35">
      <c r="A1" s="37" t="e" vm="1">
        <v>#VALUE!</v>
      </c>
      <c r="C1" s="37" t="s">
        <v>229</v>
      </c>
    </row>
    <row r="2" spans="1:10" s="2" customFormat="1" ht="20.100000000000001" customHeight="1" x14ac:dyDescent="0.2">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8" t="s">
        <v>834</v>
      </c>
      <c r="E5" s="47" t="s">
        <v>835</v>
      </c>
      <c r="F5" s="63" t="s">
        <v>191</v>
      </c>
    </row>
    <row r="6" spans="1:10" ht="20.100000000000001" customHeight="1" x14ac:dyDescent="0.25">
      <c r="A6"/>
      <c r="E6" s="54"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16" t="str">
        <f>HYPERLINK("#'Input - Site'!A1", "Site")</f>
        <v>Site</v>
      </c>
      <c r="C8" s="89"/>
      <c r="D8" s="89"/>
      <c r="E8" s="89"/>
      <c r="F8" s="89"/>
      <c r="G8" s="89"/>
      <c r="H8" s="89"/>
      <c r="I8" s="89"/>
      <c r="J8" s="89"/>
    </row>
    <row r="9" spans="1:10" ht="20.100000000000001" customHeight="1" x14ac:dyDescent="0.25">
      <c r="A9" s="16" t="str">
        <f>HYPERLINK("#'Input - Fuel'!A1", "Fuel")</f>
        <v>Fuel</v>
      </c>
      <c r="D9" s="9" t="s">
        <v>230</v>
      </c>
    </row>
    <row r="10" spans="1:10" ht="20.100000000000001" customHeight="1" x14ac:dyDescent="0.25">
      <c r="A10" s="16" t="str">
        <f>HYPERLINK("#'Input - Fertiliser'!A1", "Fertiliser")</f>
        <v>Fertiliser</v>
      </c>
    </row>
    <row r="11" spans="1:10" ht="20.100000000000001" customHeight="1" x14ac:dyDescent="0.25">
      <c r="A11" s="16" t="str">
        <f>HYPERLINK("#'Input - Farm Inputs'!A1", "Farm Inputs")</f>
        <v>Farm Inputs</v>
      </c>
      <c r="D11" s="66" t="s">
        <v>231</v>
      </c>
    </row>
    <row r="12" spans="1:10" ht="20.100000000000001" customHeight="1" x14ac:dyDescent="0.25">
      <c r="A12" s="16" t="str">
        <f>HYPERLINK("#'Input - Livestock purchases'!A1", "Livestock purchases")</f>
        <v>Livestock purchases</v>
      </c>
    </row>
    <row r="13" spans="1:10" ht="20.100000000000001" customHeight="1" x14ac:dyDescent="0.25">
      <c r="A13" s="16" t="str">
        <f>HYPERLINK("#'Input - Freight'!A1", "Freight")</f>
        <v>Freight</v>
      </c>
      <c r="D13" s="86" t="s">
        <v>232</v>
      </c>
      <c r="E13" s="87"/>
      <c r="F13" s="14"/>
    </row>
    <row r="14" spans="1:10" ht="20.100000000000001" customHeight="1" x14ac:dyDescent="0.25">
      <c r="A14" s="16" t="str">
        <f>HYPERLINK("#'Input - Solid waste'!A1", "Solid waste")</f>
        <v>Solid waste</v>
      </c>
      <c r="D14" s="14"/>
      <c r="E14" s="14"/>
      <c r="F14" s="14"/>
    </row>
    <row r="15" spans="1:10" ht="20.100000000000001" customHeight="1" x14ac:dyDescent="0.25">
      <c r="A15" s="16" t="str">
        <f>HYPERLINK("#'Input - Manure sent off-site'!A1", "Manure sent off-site")</f>
        <v>Manure sent off-site</v>
      </c>
      <c r="D15" s="8" t="s">
        <v>233</v>
      </c>
      <c r="E15" s="88">
        <v>500</v>
      </c>
      <c r="F15" s="63" t="s">
        <v>234</v>
      </c>
    </row>
    <row r="16" spans="1:10" ht="20.100000000000001" customHeight="1" x14ac:dyDescent="0.25">
      <c r="A16" s="42" t="str">
        <f>HYPERLINK("#'Input - Electricity'!A1", "Electricity")</f>
        <v>Electricity</v>
      </c>
      <c r="D16" s="8" t="s">
        <v>235</v>
      </c>
      <c r="E16" s="49" t="str">
        <f>IF(X_Cell_Site_State="Western Australia", X_Cell_Site_Region, X_Cell_Site_State)</f>
        <v>ACT</v>
      </c>
      <c r="F16" s="14"/>
    </row>
    <row r="17" spans="1:11" ht="20.100000000000001" customHeight="1" x14ac:dyDescent="0.25">
      <c r="A17"/>
      <c r="D17" s="8" t="s">
        <v>236</v>
      </c>
      <c r="E17" s="47" t="s">
        <v>309</v>
      </c>
      <c r="F17" s="63" t="s">
        <v>191</v>
      </c>
    </row>
    <row r="18" spans="1:11" ht="20.100000000000001" customHeight="1" x14ac:dyDescent="0.25">
      <c r="A18"/>
    </row>
    <row r="19" spans="1:11" ht="20.100000000000001" customHeight="1" x14ac:dyDescent="0.25">
      <c r="A19" s="21" t="s">
        <v>77</v>
      </c>
    </row>
    <row r="20" spans="1:11" ht="20.100000000000001" customHeight="1" x14ac:dyDescent="0.25">
      <c r="A20" s="16" t="str">
        <f>HYPERLINK("#'15 Scope 3'!A1", "15 Scope 3")</f>
        <v>15 Scope 3</v>
      </c>
      <c r="C20" s="89"/>
      <c r="D20" s="89"/>
      <c r="E20" s="89"/>
      <c r="F20" s="89"/>
      <c r="G20" s="89"/>
      <c r="H20" s="89"/>
      <c r="I20" s="89"/>
      <c r="J20" s="89"/>
    </row>
    <row r="21" spans="1:11" ht="20.100000000000001" customHeight="1" x14ac:dyDescent="0.25">
      <c r="A21" s="16" t="str">
        <f>HYPERLINK("#'10.1.1-2 Solid waste treatment'!A1", "10.1.1-2 Solid waste treatment")</f>
        <v>10.1.1-2 Solid waste treatment</v>
      </c>
      <c r="D21" s="9" t="s">
        <v>237</v>
      </c>
    </row>
    <row r="22" spans="1:11" ht="20.100000000000001" customHeight="1" x14ac:dyDescent="0.25">
      <c r="A22" s="16" t="str">
        <f>HYPERLINK("#'Calcs - Manure sent off-site'!A1", "Calcs - Manure sent off-site")</f>
        <v>Calcs - Manure sent off-site</v>
      </c>
      <c r="E22" s="54" t="str">
        <f>IF(E16="ACT", "", "ALERT: Your farm is not in the ACT, so the JRPP is not applicable")</f>
        <v/>
      </c>
    </row>
    <row r="23" spans="1:11" ht="20.100000000000001" customHeight="1" x14ac:dyDescent="0.25">
      <c r="A23" s="16" t="str">
        <f>HYPERLINK("#'8.1.1.1-2 Transport fuel'!A1", "8.1.1.1-2 Transport fuel")</f>
        <v>8.1.1.1-2 Transport fuel</v>
      </c>
      <c r="D23" s="8" t="s">
        <v>238</v>
      </c>
      <c r="E23" s="88">
        <v>30000</v>
      </c>
      <c r="F23" s="63" t="s">
        <v>234</v>
      </c>
    </row>
    <row r="24" spans="1:11" ht="20.100000000000001" customHeight="1" x14ac:dyDescent="0.25">
      <c r="A24" s="16" t="str">
        <f>HYPERLINK("#'8.2.1.1-2 Stationary fuel'!A1", "8.2.1.1-2 Stationary fuel")</f>
        <v>8.2.1.1-2 Stationary fuel</v>
      </c>
      <c r="D24" s="8" t="s">
        <v>239</v>
      </c>
      <c r="E24" s="78">
        <v>0.1</v>
      </c>
      <c r="F24" s="63" t="s">
        <v>240</v>
      </c>
    </row>
    <row r="25" spans="1:11" ht="20.100000000000001" customHeight="1" x14ac:dyDescent="0.25">
      <c r="A25"/>
      <c r="D25" s="8" t="s">
        <v>241</v>
      </c>
      <c r="E25" s="78">
        <v>0.1</v>
      </c>
      <c r="F25" s="63" t="s">
        <v>240</v>
      </c>
    </row>
    <row r="26" spans="1:11" ht="20.100000000000001" customHeight="1" x14ac:dyDescent="0.25">
      <c r="A26"/>
    </row>
    <row r="27" spans="1:11" ht="20.100000000000001" customHeight="1" x14ac:dyDescent="0.25">
      <c r="A27" s="213" t="s">
        <v>78</v>
      </c>
      <c r="D27" s="8" t="s">
        <v>242</v>
      </c>
      <c r="E27" s="88">
        <v>10000</v>
      </c>
      <c r="F27" s="63" t="s">
        <v>234</v>
      </c>
    </row>
    <row r="28" spans="1:11" ht="20.100000000000001" customHeight="1" x14ac:dyDescent="0.25">
      <c r="A28" s="16" t="str">
        <f>HYPERLINK("#'Constants - Scope 3'!A1", "Constants - Scope 3")</f>
        <v>Constants - Scope 3</v>
      </c>
    </row>
    <row r="29" spans="1:11" ht="20.100000000000001" customHeight="1" x14ac:dyDescent="0.25">
      <c r="A29" s="16" t="str">
        <f>HYPERLINK("#'Constants - Solid Waste'!A1", "Constants - Solid Waste")</f>
        <v>Constants - Solid Waste</v>
      </c>
      <c r="D29" s="8" t="s">
        <v>243</v>
      </c>
      <c r="E29" s="90" t="str">
        <f>TEXT(X_Cell_Site_StartDate, "dd mmm yyyy")</f>
        <v>01 Jan 2024</v>
      </c>
      <c r="K29" s="52"/>
    </row>
    <row r="30" spans="1:11" ht="20.100000000000001" customHeight="1" x14ac:dyDescent="0.25">
      <c r="A30" s="16" t="str">
        <f>HYPERLINK("#'Constants - Fuel'!A1", "Constants - Fuel")</f>
        <v>Constants - Fuel</v>
      </c>
      <c r="D30" s="8" t="s">
        <v>244</v>
      </c>
      <c r="E30" s="90" t="str">
        <f>TEXT(X_Cell_Site_EndDate, "dd mmm yyyy")</f>
        <v>31 Dec 2024</v>
      </c>
      <c r="K30" s="52"/>
    </row>
    <row r="31" spans="1:11" ht="20.100000000000001" customHeight="1" x14ac:dyDescent="0.25">
      <c r="A31" s="16" t="str">
        <f>HYPERLINK("#'Constants - Poultry'!A1", "Constants - Poultry")</f>
        <v>Constants - Poultry</v>
      </c>
      <c r="K31" s="52"/>
    </row>
    <row r="32" spans="1:11" ht="20.100000000000001" customHeight="1" x14ac:dyDescent="0.25">
      <c r="A32" s="16" t="str">
        <f>HYPERLINK("#'Constants - Swine'!A1", "Constants - Swine")</f>
        <v>Constants - Swine</v>
      </c>
      <c r="D32" s="66" t="s">
        <v>245</v>
      </c>
      <c r="K32" s="52"/>
    </row>
    <row r="33" spans="1:12" ht="20.100000000000001" customHeight="1" x14ac:dyDescent="0.25">
      <c r="A33" s="16" t="str">
        <f>HYPERLINK("#'Constants - Dairy'!A1", "Constants - Dairy")</f>
        <v>Constants - Dairy</v>
      </c>
      <c r="K33" s="52"/>
    </row>
    <row r="34" spans="1:12" ht="20.100000000000001" customHeight="1" x14ac:dyDescent="0.25">
      <c r="A34" s="16" t="str">
        <f>HYPERLINK("#'Constants - Pasture Beef'!A1", "Constants - Pasture Beef")</f>
        <v>Constants - Pasture Beef</v>
      </c>
      <c r="D34" s="86" t="s">
        <v>121</v>
      </c>
      <c r="E34" s="87"/>
      <c r="K34" s="52"/>
    </row>
    <row r="35" spans="1:12" ht="20.100000000000001" customHeight="1" x14ac:dyDescent="0.25">
      <c r="A35" s="16" t="str">
        <f>HYPERLINK("#'Constants - Common Livestock'!A1", "Constants - Common Livestock")</f>
        <v>Constants - Common Livestock</v>
      </c>
    </row>
    <row r="36" spans="1:12" ht="20.100000000000001" customHeight="1" x14ac:dyDescent="0.25">
      <c r="A36" s="16" t="str">
        <f>HYPERLINK("#'Constants - Fertiliser'!A1", "Constants - Fertiliser")</f>
        <v>Constants - Fertiliser</v>
      </c>
      <c r="D36" s="46" t="s">
        <v>246</v>
      </c>
      <c r="E36" s="46" t="s">
        <v>247</v>
      </c>
      <c r="F36" s="46" t="s">
        <v>248</v>
      </c>
      <c r="G36" s="46" t="s">
        <v>249</v>
      </c>
      <c r="H36" s="46" t="s">
        <v>250</v>
      </c>
      <c r="I36" s="46" t="s">
        <v>251</v>
      </c>
      <c r="L36" s="52"/>
    </row>
    <row r="37" spans="1:12" ht="20.100000000000001" customHeight="1" x14ac:dyDescent="0.25">
      <c r="A37" s="16" t="str">
        <f>HYPERLINK("#'Constants - Electricity'!A1", "Constants - Electricity")</f>
        <v>Constants - Electricity</v>
      </c>
      <c r="D37" s="10" t="s">
        <v>252</v>
      </c>
      <c r="E37" s="47" t="s">
        <v>253</v>
      </c>
      <c r="F37" s="91">
        <v>44185</v>
      </c>
      <c r="G37" s="10">
        <v>12</v>
      </c>
      <c r="H37" s="49">
        <f>Table_Input_RECSurrendered[[#This Row],[Number of certificates]]</f>
        <v>12</v>
      </c>
      <c r="I37" s="49" t="str">
        <f>IF(DATEDIF(Table_Input_RECSurrendered[[#This Row],[Generation date]],DATEVALUE($E$30),"M")&gt;36,"Ineligible - older than 36 months","Elegible")</f>
        <v>Ineligible - older than 36 months</v>
      </c>
      <c r="L37" s="52"/>
    </row>
    <row r="38" spans="1:12" ht="20.100000000000001" customHeight="1" x14ac:dyDescent="0.25">
      <c r="A38" s="16" t="str">
        <f>HYPERLINK("#'Constants - Common'!A1", "Constants - Common")</f>
        <v>Constants - Common</v>
      </c>
      <c r="D38" s="10"/>
      <c r="E38" s="47" t="s">
        <v>254</v>
      </c>
      <c r="F38" s="91">
        <v>44575</v>
      </c>
      <c r="G38" s="10">
        <v>5</v>
      </c>
      <c r="H38" s="49">
        <f>Table_Input_RECSurrendered[[#This Row],[Number of certificates]]</f>
        <v>5</v>
      </c>
      <c r="I38" s="49" t="str">
        <f>IF(DATEDIF(Table_Input_RECSurrendered[[#This Row],[Generation date]],DATEVALUE($E$30),"M")&gt;36,"Ineligible - older than 36 months","Elegible")</f>
        <v>Elegible</v>
      </c>
    </row>
    <row r="39" spans="1:12" ht="20.100000000000001" customHeight="1" x14ac:dyDescent="0.25">
      <c r="A39"/>
      <c r="D39" s="10"/>
      <c r="E39" s="47" t="s">
        <v>253</v>
      </c>
      <c r="F39" s="91">
        <v>45438</v>
      </c>
      <c r="G39" s="10">
        <v>5</v>
      </c>
      <c r="H39" s="49">
        <f>Table_Input_RECSurrendered[[#This Row],[Number of certificates]]</f>
        <v>5</v>
      </c>
      <c r="I39" s="49" t="str">
        <f>IF(DATEDIF(Table_Input_RECSurrendered[[#This Row],[Generation date]],DATEVALUE($E$30),"M")&gt;36,"Ineligible - older than 36 months","Elegible")</f>
        <v>Elegible</v>
      </c>
    </row>
    <row r="40" spans="1:12" s="52" customFormat="1" ht="20.100000000000001" customHeight="1" x14ac:dyDescent="0.25">
      <c r="A40"/>
      <c r="C40" s="8"/>
      <c r="D40" s="8"/>
      <c r="E40" s="8"/>
      <c r="F40" s="8"/>
      <c r="G40" s="8"/>
      <c r="H40" s="8"/>
      <c r="I40" s="8"/>
      <c r="J40" s="8"/>
    </row>
    <row r="41" spans="1:12" s="52" customFormat="1" ht="20.100000000000001" customHeight="1" x14ac:dyDescent="0.25">
      <c r="A41"/>
      <c r="C41" s="8"/>
      <c r="D41" s="8" t="s">
        <v>255</v>
      </c>
      <c r="E41" s="49">
        <f>SUMIF(Table_Input_RECSurrendered[Elegibility], "Elegible", Table_Input_RECSurrendered[MWh])</f>
        <v>10</v>
      </c>
      <c r="F41" s="63" t="s">
        <v>250</v>
      </c>
      <c r="G41" s="8"/>
      <c r="H41" s="8"/>
      <c r="I41" s="8"/>
      <c r="J41" s="8"/>
      <c r="L41" s="52" t="s">
        <v>257</v>
      </c>
    </row>
    <row r="42" spans="1:12" ht="20.100000000000001" customHeight="1" x14ac:dyDescent="0.25">
      <c r="A42"/>
      <c r="C42" s="51"/>
    </row>
    <row r="43" spans="1:12" ht="20.100000000000001" customHeight="1" x14ac:dyDescent="0.25">
      <c r="A43"/>
      <c r="C43" s="51"/>
      <c r="D43" s="66" t="s">
        <v>256</v>
      </c>
      <c r="J43" s="51"/>
    </row>
    <row r="44" spans="1:12" ht="20.100000000000001" customHeight="1" x14ac:dyDescent="0.25">
      <c r="A44"/>
    </row>
    <row r="45" spans="1:12" ht="20.100000000000001" customHeight="1" x14ac:dyDescent="0.25">
      <c r="A45"/>
      <c r="D45" s="46" t="s">
        <v>246</v>
      </c>
      <c r="E45" s="46" t="s">
        <v>140</v>
      </c>
      <c r="F45" s="46" t="s">
        <v>248</v>
      </c>
      <c r="G45" s="46" t="s">
        <v>249</v>
      </c>
      <c r="H45" s="46" t="s">
        <v>250</v>
      </c>
      <c r="I45" s="46" t="s">
        <v>251</v>
      </c>
    </row>
    <row r="46" spans="1:12" ht="20.100000000000001" customHeight="1" x14ac:dyDescent="0.25">
      <c r="A46"/>
      <c r="D46" s="10" t="s">
        <v>258</v>
      </c>
      <c r="E46" s="49" t="str">
        <f>"Issued for generated electricity"</f>
        <v>Issued for generated electricity</v>
      </c>
      <c r="F46" s="91">
        <v>44697</v>
      </c>
      <c r="G46" s="10">
        <v>10</v>
      </c>
      <c r="H46" s="49">
        <f>Table_Input_RECConsumedByEntity[[#This Row],[Number of certificates]]</f>
        <v>10</v>
      </c>
      <c r="I46" s="49"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A47"/>
      <c r="D47" s="10"/>
      <c r="E47" s="49" t="str">
        <f>"Issued for generated electricity"</f>
        <v>Issued for generated electricity</v>
      </c>
      <c r="F47" s="91">
        <v>45483</v>
      </c>
      <c r="G47" s="10">
        <v>4</v>
      </c>
      <c r="H47" s="49">
        <f>Table_Input_RECConsumedByEntity[[#This Row],[Number of certificates]]</f>
        <v>4</v>
      </c>
      <c r="I47" s="49"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A48"/>
      <c r="D48" s="10"/>
      <c r="E48" s="49" t="str">
        <f>"Issued for generated electricity"</f>
        <v>Issued for generated electricity</v>
      </c>
      <c r="F48" s="91">
        <v>45607</v>
      </c>
      <c r="G48" s="10">
        <v>7</v>
      </c>
      <c r="H48" s="49">
        <f>Table_Input_RECConsumedByEntity[[#This Row],[Number of certificates]]</f>
        <v>7</v>
      </c>
      <c r="I48" s="49" t="str">
        <f>IF(AND(Table_Input_RECConsumedByEntity[[#This Row],[Generation date]]&gt;=DATEVALUE($E$29), Table_Input_RECConsumedByEntity[[#This Row],[Generation date]]&lt;= DATEVALUE($E$30)), "Elegible", "Ineligible - outside reporting year")</f>
        <v>Elegible</v>
      </c>
    </row>
    <row r="49" spans="1:6" ht="20.100000000000001" customHeight="1" x14ac:dyDescent="0.25">
      <c r="A49"/>
    </row>
    <row r="50" spans="1:6" ht="20.100000000000001" customHeight="1" x14ac:dyDescent="0.25">
      <c r="A50"/>
      <c r="D50" s="8" t="s">
        <v>259</v>
      </c>
      <c r="E50" s="49">
        <f>SUMIF(Table_Input_RECConsumedByEntity[Elegibility], "Elegible", Table_Input_RECConsumedByEntity[Number of certificates])</f>
        <v>11</v>
      </c>
      <c r="F50" s="63" t="s">
        <v>250</v>
      </c>
    </row>
    <row r="51" spans="1:6" ht="20.100000000000001" customHeight="1" x14ac:dyDescent="0.25">
      <c r="A51"/>
    </row>
    <row r="52" spans="1:6" ht="20.100000000000001" customHeight="1" x14ac:dyDescent="0.25">
      <c r="A52"/>
    </row>
    <row r="53" spans="1:6" ht="20.100000000000001" customHeight="1" x14ac:dyDescent="0.25">
      <c r="A53"/>
    </row>
    <row r="54" spans="1:6" ht="20.100000000000001" customHeight="1" x14ac:dyDescent="0.25">
      <c r="A54"/>
    </row>
    <row r="55" spans="1:6" ht="20.100000000000001" customHeight="1" x14ac:dyDescent="0.25">
      <c r="A55"/>
    </row>
    <row r="56" spans="1:6" ht="20.100000000000001" customHeight="1" x14ac:dyDescent="0.25">
      <c r="A56"/>
    </row>
    <row r="57" spans="1:6" ht="20.100000000000001" customHeight="1" x14ac:dyDescent="0.25">
      <c r="A57"/>
      <c r="D57" s="92"/>
    </row>
    <row r="58" spans="1:6" ht="20.100000000000001" customHeight="1" x14ac:dyDescent="0.25">
      <c r="A58"/>
    </row>
    <row r="59" spans="1:6" ht="20.100000000000001" customHeight="1" x14ac:dyDescent="0.25">
      <c r="A59"/>
      <c r="D59" s="92"/>
    </row>
    <row r="60" spans="1:6" ht="20.100000000000001" customHeight="1" x14ac:dyDescent="0.25">
      <c r="A60"/>
      <c r="D60" s="92"/>
    </row>
    <row r="61" spans="1:6" ht="20.100000000000001" customHeight="1" x14ac:dyDescent="0.25">
      <c r="A61"/>
    </row>
    <row r="62" spans="1:6" ht="20.100000000000001" customHeight="1" x14ac:dyDescent="0.25">
      <c r="A62"/>
    </row>
    <row r="63" spans="1:6" ht="20.100000000000001" customHeight="1" x14ac:dyDescent="0.25">
      <c r="A63"/>
    </row>
    <row r="64" spans="1:6"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365" spans="4:4" ht="20.100000000000001" customHeight="1" x14ac:dyDescent="0.25">
      <c r="D365" s="54"/>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61: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6 I58:I59 I206 I212 E214:G214">
    <cfRule type="cellIs" dxfId="1" priority="11" operator="lessThan">
      <formula>0</formula>
    </cfRule>
  </conditionalFormatting>
  <conditionalFormatting sqref="J39 I40 J41 I43 F55">
    <cfRule type="cellIs" dxfId="0" priority="9" operator="lessThan">
      <formula>0</formula>
    </cfRule>
  </conditionalFormatting>
  <dataValidations count="7">
    <dataValidation type="list" allowBlank="1" showInputMessage="1" showErrorMessage="1" sqref="E37:E39" xr:uid="{FBACCABC-AF99-44FB-9146-6F32E67A5303}">
      <formula1>"Purchased certificate, Issued for generated electricity"</formula1>
    </dataValidation>
    <dataValidation type="list" allowBlank="1" showInputMessage="1" showErrorMessage="1" sqref="E17" xr:uid="{E4F8F83F-4341-4C8F-8B4E-3BD34EE5E4F4}">
      <formula1>INDIRECT("Table_SourceData_ElectricityEFs[State, Territory or grid description]")</formula1>
    </dataValidation>
    <dataValidation type="list" allowBlank="1" showInputMessage="1" showErrorMessage="1" sqref="E69" xr:uid="{5829DD4C-82EE-4484-BFD4-BF665CA59C05}">
      <formula1>INDIRECT("Table_SourceData_Swine_IrrigationMethods[Irrigation method]")</formula1>
    </dataValidation>
    <dataValidation type="list" allowBlank="1" showInputMessage="1" showErrorMessage="1" sqref="E253 E258 E263 E297 E292 E287 E165 E153 E129 E141" xr:uid="{110E900E-E296-4031-BCA4-9ED9DDD251B6}">
      <formula1>"Yes, No"</formula1>
    </dataValidation>
    <dataValidation type="list" allowBlank="1" showInputMessage="1" showErrorMessage="1" sqref="E229" xr:uid="{2AF8AB1C-BD2F-4557-A61A-4DD9335E9F3D}">
      <formula1>INDIRECT("Table_SourceData_Dairy_ProductionSystemTemplates[Area]")</formula1>
    </dataValidation>
    <dataValidation type="list" allowBlank="1" showInputMessage="1" showErrorMessage="1" sqref="D281" xr:uid="{80CC41A3-3729-4900-AAA2-039D4AFBBB7A}">
      <formula1>INDIRECT("Table_SourceData_PoultryMMSStage1[MMS]")</formula1>
    </dataValidation>
    <dataValidation type="list" allowBlank="1" showInputMessage="1" showErrorMessage="1" sqref="E5" xr:uid="{28F0502C-12DB-4B63-8AF7-49181A465B60}">
      <formula1>"Location-based (simpler), Market-based (more complex)"</formula1>
    </dataValidation>
  </dataValidations>
  <pageMargins left="0.7" right="0.7" top="0.75" bottom="0.75" header="0.3" footer="0.3"/>
  <pageSetup paperSize="9" orientation="portrait"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A1:AO657"/>
  <sheetViews>
    <sheetView showGridLines="0" zoomScale="85" zoomScaleNormal="85" workbookViewId="0">
      <selection activeCell="A21" sqref="A21"/>
    </sheetView>
  </sheetViews>
  <sheetFormatPr defaultRowHeight="20.100000000000001" customHeight="1" x14ac:dyDescent="0.2"/>
  <cols>
    <col min="1" max="1" width="30.5703125" customWidth="1"/>
    <col min="2" max="2" width="4.5703125" customWidth="1"/>
    <col min="3" max="3" width="4.5703125" style="8" customWidth="1"/>
    <col min="4" max="40" width="30.5703125" style="8" customWidth="1"/>
    <col min="41" max="41" width="4.5703125" style="8" customWidth="1"/>
  </cols>
  <sheetData>
    <row r="1" spans="1:41" s="1" customFormat="1" ht="30" customHeight="1" x14ac:dyDescent="0.35">
      <c r="A1" s="37" t="e" vm="1">
        <v>#VALUE!</v>
      </c>
      <c r="C1" s="1" t="s">
        <v>825</v>
      </c>
    </row>
    <row r="2" spans="1:41" s="2" customFormat="1" ht="20.100000000000001" customHeight="1" x14ac:dyDescent="0.2">
      <c r="A2"/>
    </row>
    <row r="3" spans="1:41" ht="20.100000000000001" customHeight="1" x14ac:dyDescent="0.2">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1:41" ht="20.100000000000001" customHeight="1" x14ac:dyDescent="0.2">
      <c r="A4" s="16" t="str">
        <f>HYPERLINK("#'Results'!A1", "Results")</f>
        <v>Results</v>
      </c>
    </row>
    <row r="5" spans="1:41" ht="20.100000000000001" customHeight="1" x14ac:dyDescent="0.2">
      <c r="D5" s="9" t="str" cm="1">
        <f t="array" ref="D5">Scope3_Equations.VEERG_15_1_1_1__1_EmissionsFromPurchasedLivestock_Title()</f>
        <v>Total emissions from purchased livestock</v>
      </c>
    </row>
    <row r="6" spans="1:41" ht="20.100000000000001" customHeight="1" x14ac:dyDescent="0.2">
      <c r="D6" s="11" t="str" cm="1">
        <f t="array" ref="D6">Scope3_Equations.VEERG_15_1_1_1__1_EmissionsFromPurchasedLivestock_Source()</f>
        <v>VEERG 2026: 15.1.1.1, Equation (1)</v>
      </c>
    </row>
    <row r="7" spans="1:41" ht="20.100000000000001" customHeight="1" x14ac:dyDescent="0.2">
      <c r="A7" s="19" t="s">
        <v>67</v>
      </c>
      <c r="D7" s="163" t="s">
        <v>621</v>
      </c>
      <c r="E7" s="163" t="str" cm="1">
        <f t="array" aca="1" ref="E7" ca="1">Common_InputFunctions.Utility_DisplayFunctionName(J23)</f>
        <v>=Scope3_Equations.VEERG_15_1_1_1__1_EmissionsFromPurchasedLivestock</v>
      </c>
    </row>
    <row r="8" spans="1:41" ht="20.100000000000001" customHeight="1" x14ac:dyDescent="0.2">
      <c r="A8" s="16" t="str">
        <f>HYPERLINK("#'Input - Site'!A1", "Site")</f>
        <v>Site</v>
      </c>
    </row>
    <row r="9" spans="1:41" ht="20.100000000000001" customHeight="1" x14ac:dyDescent="0.2">
      <c r="A9" s="16" t="str">
        <f>HYPERLINK("#'Input - Fuel'!A1", "Fuel")</f>
        <v>Fuel</v>
      </c>
      <c r="H9" s="163"/>
    </row>
    <row r="10" spans="1:41" ht="20.100000000000001" customHeight="1" x14ac:dyDescent="0.2">
      <c r="A10" s="16" t="str">
        <f>HYPERLINK("#'Input - Fertiliser'!A1", "Fertiliser")</f>
        <v>Fertiliser</v>
      </c>
      <c r="D10" s="27" t="s">
        <v>622</v>
      </c>
      <c r="E10" s="8" t="str" cm="1">
        <f t="array" ref="E10">Scope3_Equations.VEERG_15_1_1_1__1_EmissionsFromPurchasedLivestock_Variable()</f>
        <v>E</v>
      </c>
    </row>
    <row r="11" spans="1:41" ht="20.100000000000001" customHeight="1" x14ac:dyDescent="0.2">
      <c r="A11" s="16" t="str">
        <f>HYPERLINK("#'Input - Farm Inputs'!A1", "Farm Inputs")</f>
        <v>Farm Inputs</v>
      </c>
      <c r="D11" s="27" t="s">
        <v>97</v>
      </c>
      <c r="E11" s="13" t="str" cm="1">
        <f t="array" ref="E11">Scope3_Equations.VEERG_15_1_1_1__1_EmissionsFromPurchasedLivestock_Unit()</f>
        <v>t CO2e</v>
      </c>
    </row>
    <row r="12" spans="1:41" ht="20.100000000000001" customHeight="1" x14ac:dyDescent="0.2">
      <c r="A12" s="16" t="str">
        <f>HYPERLINK("#'Input - Livestock purchases'!A1", "Livestock purchases")</f>
        <v>Livestock purchases</v>
      </c>
    </row>
    <row r="13" spans="1:41" ht="20.100000000000001" customHeight="1" x14ac:dyDescent="0.2">
      <c r="A13" s="16" t="str">
        <f>HYPERLINK("#'Input - Freight'!A1", "Freight")</f>
        <v>Freight</v>
      </c>
      <c r="D13" s="158" t="str" cm="1">
        <f t="array" ref="D13:E17">_xlfn.CHOOSECOLS(Scope3_Equations.VEERG_15_1_1_1__1_EmissionsFromPurchasedLivestock_Arguments(),1,2)</f>
        <v>N_co</v>
      </c>
      <c r="E13" s="162" t="str">
        <v>number of animals purchased in livestock type c from origin o</v>
      </c>
      <c r="F13" s="157"/>
      <c r="G13" s="158" t="str" cm="1">
        <f t="array" ref="G13:H17">_xlfn.CHOOSECOLS(Scope3_Equations.VEERG_15_1_1_1__1_EmissionsFromPurchasedLivestock_Arguments(),3,4)</f>
        <v>head</v>
      </c>
      <c r="H13" s="159" t="str">
        <v>Input</v>
      </c>
    </row>
    <row r="14" spans="1:41" ht="20.100000000000001" customHeight="1" x14ac:dyDescent="0.2">
      <c r="A14" s="16" t="str">
        <f>HYPERLINK("#'Input - Solid waste'!A1", "Solid waste")</f>
        <v>Solid waste</v>
      </c>
      <c r="D14" s="158" t="str">
        <v>W_co</v>
      </c>
      <c r="E14" s="162" t="str">
        <v>average liveweight of purchased livestock at point of purchase</v>
      </c>
      <c r="F14" s="157"/>
      <c r="G14" s="158" t="str">
        <v>kg/head</v>
      </c>
      <c r="H14" s="159" t="str">
        <v>Input</v>
      </c>
    </row>
    <row r="15" spans="1:41" ht="20.100000000000001" customHeight="1" x14ac:dyDescent="0.2">
      <c r="A15" s="16" t="str">
        <f>HYPERLINK("#'Input - Manure sent off-site'!A1", "Manure sent off-site")</f>
        <v>Manure sent off-site</v>
      </c>
      <c r="D15" s="158" t="str">
        <v>EF_co</v>
      </c>
      <c r="E15" s="162" t="str">
        <v>emission factor per livestock type and origin</v>
      </c>
      <c r="F15" s="157"/>
      <c r="G15" s="158" t="str">
        <v>kg CO2e/kg</v>
      </c>
      <c r="H15" s="160" t="str">
        <v>Constant</v>
      </c>
    </row>
    <row r="16" spans="1:41" ht="20.100000000000001" customHeight="1" x14ac:dyDescent="0.2">
      <c r="A16" s="16" t="str">
        <f>HYPERLINK("#'Input - Electricity'!A1", "Electricity")</f>
        <v>Electricity</v>
      </c>
      <c r="D16" s="158" t="str">
        <v>c</v>
      </c>
      <c r="E16" s="162" t="str">
        <v>livestock type</v>
      </c>
      <c r="F16" s="157"/>
      <c r="G16" s="158" t="str">
        <v/>
      </c>
      <c r="H16" s="159" t="str">
        <v>Input</v>
      </c>
    </row>
    <row r="17" spans="1:16" ht="20.100000000000001" customHeight="1" x14ac:dyDescent="0.2">
      <c r="D17" s="158" t="str">
        <v>o</v>
      </c>
      <c r="E17" s="162" t="str">
        <v>origin</v>
      </c>
      <c r="F17" s="157"/>
      <c r="G17" s="158" t="str">
        <v/>
      </c>
      <c r="H17" s="159" t="str">
        <v>Input</v>
      </c>
    </row>
    <row r="19" spans="1:16" ht="20.100000000000001" customHeight="1" x14ac:dyDescent="0.2">
      <c r="A19" s="21" t="s">
        <v>77</v>
      </c>
      <c r="D19" s="86" t="s">
        <v>562</v>
      </c>
      <c r="E19" s="101"/>
      <c r="F19" s="87"/>
    </row>
    <row r="20" spans="1:16" ht="20.100000000000001" customHeight="1" x14ac:dyDescent="0.2">
      <c r="A20" s="171" t="str">
        <f>HYPERLINK("#'15 Scope 3'!A1", "15 Scope 3")</f>
        <v>15 Scope 3</v>
      </c>
    </row>
    <row r="21" spans="1:16" ht="20.100000000000001" customHeight="1" x14ac:dyDescent="0.2">
      <c r="A21" s="16" t="str">
        <f>HYPERLINK("#'10.1.1-2 Solid waste treatment'!A1", "10.1.1-2 Solid waste treatment")</f>
        <v>10.1.1-2 Solid waste treatment</v>
      </c>
      <c r="D21" s="135" t="s">
        <v>320</v>
      </c>
    </row>
    <row r="22" spans="1:16" ht="20.100000000000001" customHeight="1" x14ac:dyDescent="0.2">
      <c r="A22" s="16" t="str">
        <f>HYPERLINK("#'Calcs - Manure sent off-site'!A1", "Calcs - Manure sent off-site")</f>
        <v>Calcs - Manure sent off-site</v>
      </c>
      <c r="D22" s="46" t="s">
        <v>357</v>
      </c>
      <c r="E22" s="143" t="s">
        <v>615</v>
      </c>
      <c r="F22" s="143" t="s">
        <v>614</v>
      </c>
      <c r="G22" s="143" t="s">
        <v>616</v>
      </c>
      <c r="H22" s="143" t="s">
        <v>617</v>
      </c>
      <c r="I22" s="57" t="s">
        <v>619</v>
      </c>
      <c r="J22" s="57" t="s">
        <v>628</v>
      </c>
      <c r="K22" s="143" t="s">
        <v>618</v>
      </c>
      <c r="L22" s="46" t="s">
        <v>620</v>
      </c>
      <c r="M22" s="57" t="s">
        <v>630</v>
      </c>
      <c r="N22" s="46" t="s">
        <v>624</v>
      </c>
      <c r="O22" s="46" t="s">
        <v>625</v>
      </c>
      <c r="P22" s="46" t="s">
        <v>626</v>
      </c>
    </row>
    <row r="23" spans="1:16" ht="20.100000000000001" customHeight="1" x14ac:dyDescent="0.2">
      <c r="A23" s="16" t="str">
        <f>HYPERLINK("#'8.1.1.1-2 Transport fuel'!A1", "8.1.1.1-2 Transport fuel")</f>
        <v>8.1.1.1-2 Transport fuel</v>
      </c>
      <c r="D23" s="49" t="str" cm="1">
        <f t="array" ref="D23:D32">IFERROR(INDEX(Table_Input_LivestockPurchases_Beefcattle[Transaction name], _xlfn.SEQUENCE(10)), "")</f>
        <v>Cows from Barry</v>
      </c>
      <c r="E23" s="49" t="str" cm="1">
        <f t="array" ref="E23:E32">IFERROR(INDEX(Table_Input_LivestockPurchases_Beefcattle[Purchase class (select)], _xlfn.SEQUENCE(10)), "")</f>
        <v>Cattle, for prime beef</v>
      </c>
      <c r="F23" s="49" t="str" cm="1">
        <f t="array" ref="F23:F32">IFERROR(_xlfn.XLOOKUP(INDEX(Table_Input_LivestockPurchases_Beefcattle[Source region (Select)], _xlfn.SEQUENCE(10)), Table_ProductRegions_Beefcattle[Region],Table_ProductRegions_Beefcattle[Scope3 region]), "")</f>
        <v>WA</v>
      </c>
      <c r="G23" s="49" cm="1">
        <f t="array" ref="G23:G32">IFERROR(INDEX(Table_Input_LivestockPurchases_Beefcattle[Quantity (head)], _xlfn.SEQUENCE(10)), "")</f>
        <v>100</v>
      </c>
      <c r="H23" s="49" cm="1">
        <f t="array" ref="H23:H32">IFERROR(INDEX(Table_Input_LivestockPurchases_Beefcattle[Liveweight (kg/head) Method 1], _xlfn.SEQUENCE(10)), 0)</f>
        <v>210</v>
      </c>
      <c r="I23" s="49" cm="1">
        <f t="array" ref="I23">Common_InputFunctions.Utility_LookupValueInTableTwoColumns(E23,F23,Table_SourceData_Scope3_Animals[Product],Table_SourceData_Scope3_Animals[Region of origin],Table_SourceData_Scope3_Animals[Emissions intensity], 0)</f>
        <v>20.8</v>
      </c>
      <c r="J23" s="142" cm="1">
        <f t="array" ref="J23">Scope3_Equations.VEERG_15_1_1_1__1_EmissionsFromPurchasedLivestock(G23,H23,I23)</f>
        <v>436.8</v>
      </c>
      <c r="K23" s="49" cm="1">
        <f t="array" ref="K23:K32">IFERROR(INDEX(Table_Input_LivestockPurchases_Beefcattle[Liveweight (kg/head) Method 2], _xlfn.SEQUENCE(10)), "")</f>
        <v>205</v>
      </c>
      <c r="L23" s="64">
        <v>20</v>
      </c>
      <c r="M23" s="142" cm="1">
        <f t="array" ref="M23">Scope3_Equations.VEERG_15_1_1_1__1_EmissionsFromPurchasedLivestock(G23,K23,IF(L23, L23, I23))</f>
        <v>410</v>
      </c>
      <c r="N23" s="74" t="s">
        <v>598</v>
      </c>
      <c r="O23" s="47" t="s">
        <v>597</v>
      </c>
      <c r="P23" t="s">
        <v>599</v>
      </c>
    </row>
    <row r="24" spans="1:16" ht="20.100000000000001" customHeight="1" x14ac:dyDescent="0.2">
      <c r="A24" s="16" t="str">
        <f>HYPERLINK("#'8.2.1.1-2 Stationary fuel'!A1", "8.2.1.1-2 Stationary fuel")</f>
        <v>8.2.1.1-2 Stationary fuel</v>
      </c>
      <c r="D24" s="49">
        <v>0</v>
      </c>
      <c r="E24" s="49" t="str">
        <v>Cattle, for manufacturing beef</v>
      </c>
      <c r="F24" s="49" t="str">
        <v>WA</v>
      </c>
      <c r="G24" s="49">
        <v>100</v>
      </c>
      <c r="H24" s="49">
        <v>470</v>
      </c>
      <c r="I24" s="49" cm="1">
        <f t="array" ref="I24">Common_InputFunctions.Utility_LookupValueInTableTwoColumns(E24,F24,Table_SourceData_Scope3_Animals[Product],Table_SourceData_Scope3_Animals[Region of origin],Table_SourceData_Scope3_Animals[Emissions intensity], 0)</f>
        <v>13.1</v>
      </c>
      <c r="J24" s="142" cm="1">
        <f t="array" ref="J24">Scope3_Equations.VEERG_15_1_1_1__1_EmissionsFromPurchasedLivestock(G24,H24,I24)</f>
        <v>615.70000000000005</v>
      </c>
      <c r="K24" s="49">
        <v>465</v>
      </c>
      <c r="L24" s="64">
        <v>13</v>
      </c>
      <c r="M24" s="142" cm="1">
        <f t="array" ref="M24">Scope3_Equations.VEERG_15_1_1_1__1_EmissionsFromPurchasedLivestock(G24,K24,IF(L24, L24, I24))</f>
        <v>604.5</v>
      </c>
      <c r="N24" s="74"/>
      <c r="O24" s="47"/>
      <c r="P24" s="74"/>
    </row>
    <row r="25" spans="1:16" ht="20.100000000000001" customHeight="1" x14ac:dyDescent="0.2">
      <c r="D25" s="49">
        <v>0</v>
      </c>
      <c r="E25" s="49">
        <v>0</v>
      </c>
      <c r="F25" s="49" t="str">
        <v/>
      </c>
      <c r="G25" s="49">
        <v>0</v>
      </c>
      <c r="H25" s="49">
        <v>0</v>
      </c>
      <c r="I25" s="49" cm="1">
        <f t="array" ref="I25">Common_InputFunctions.Utility_LookupValueInTableTwoColumns(E25,F25,Table_SourceData_Scope3_Animals[Product],Table_SourceData_Scope3_Animals[Region of origin],Table_SourceData_Scope3_Animals[Emissions intensity], 0)</f>
        <v>0</v>
      </c>
      <c r="J25" s="142" cm="1">
        <f t="array" ref="J25">Scope3_Equations.VEERG_15_1_1_1__1_EmissionsFromPurchasedLivestock(G25,H25,I25)</f>
        <v>0</v>
      </c>
      <c r="K25" s="49">
        <v>0</v>
      </c>
      <c r="L25" s="64"/>
      <c r="M25" s="142" cm="1">
        <f t="array" ref="M25">Scope3_Equations.VEERG_15_1_1_1__1_EmissionsFromPurchasedLivestock(G25,K25,IF(L25, L25, I25))</f>
        <v>0</v>
      </c>
      <c r="N25" s="74"/>
      <c r="O25" s="47"/>
      <c r="P25" s="74"/>
    </row>
    <row r="26" spans="1:16" ht="20.100000000000001" customHeight="1" x14ac:dyDescent="0.2">
      <c r="D26" s="49">
        <v>0</v>
      </c>
      <c r="E26" s="49">
        <v>0</v>
      </c>
      <c r="F26" s="49" t="str">
        <v/>
      </c>
      <c r="G26" s="49">
        <v>0</v>
      </c>
      <c r="H26" s="49">
        <v>0</v>
      </c>
      <c r="I26" s="49" cm="1">
        <f t="array" ref="I26">Common_InputFunctions.Utility_LookupValueInTableTwoColumns(E26,F26,Table_SourceData_Scope3_Animals[Product],Table_SourceData_Scope3_Animals[Region of origin],Table_SourceData_Scope3_Animals[Emissions intensity], 0)</f>
        <v>0</v>
      </c>
      <c r="J26" s="142" cm="1">
        <f t="array" ref="J26">Scope3_Equations.VEERG_15_1_1_1__1_EmissionsFromPurchasedLivestock(G26,H26,I26)</f>
        <v>0</v>
      </c>
      <c r="K26" s="49">
        <v>0</v>
      </c>
      <c r="L26" s="64"/>
      <c r="M26" s="142" cm="1">
        <f t="array" ref="M26">Scope3_Equations.VEERG_15_1_1_1__1_EmissionsFromPurchasedLivestock(G26,K26,IF(L26, L26, I26))</f>
        <v>0</v>
      </c>
      <c r="N26" s="74"/>
      <c r="O26" s="47"/>
      <c r="P26" s="74"/>
    </row>
    <row r="27" spans="1:16" ht="20.100000000000001" customHeight="1" x14ac:dyDescent="0.2">
      <c r="A27" s="213" t="s">
        <v>78</v>
      </c>
      <c r="D27" s="49">
        <v>0</v>
      </c>
      <c r="E27" s="49">
        <v>0</v>
      </c>
      <c r="F27" s="49" t="str">
        <v/>
      </c>
      <c r="G27" s="49">
        <v>0</v>
      </c>
      <c r="H27" s="49">
        <v>0</v>
      </c>
      <c r="I27" s="49" cm="1">
        <f t="array" ref="I27">Common_InputFunctions.Utility_LookupValueInTableTwoColumns(E27,F27,Table_SourceData_Scope3_Animals[Product],Table_SourceData_Scope3_Animals[Region of origin],Table_SourceData_Scope3_Animals[Emissions intensity], 0)</f>
        <v>0</v>
      </c>
      <c r="J27" s="142" cm="1">
        <f t="array" ref="J27">Scope3_Equations.VEERG_15_1_1_1__1_EmissionsFromPurchasedLivestock(G27,H27,I27)</f>
        <v>0</v>
      </c>
      <c r="K27" s="49">
        <v>0</v>
      </c>
      <c r="L27" s="64"/>
      <c r="M27" s="142" cm="1">
        <f t="array" ref="M27">Scope3_Equations.VEERG_15_1_1_1__1_EmissionsFromPurchasedLivestock(G27,K27,IF(L27, L27, I27))</f>
        <v>0</v>
      </c>
      <c r="N27" s="74"/>
      <c r="O27" s="47"/>
      <c r="P27" s="74"/>
    </row>
    <row r="28" spans="1:16" ht="20.100000000000001" customHeight="1" x14ac:dyDescent="0.2">
      <c r="A28" s="16" t="str">
        <f>HYPERLINK("#'Constants - Scope 3'!A1", "Constants - Scope 3")</f>
        <v>Constants - Scope 3</v>
      </c>
      <c r="D28" s="49">
        <v>0</v>
      </c>
      <c r="E28" s="49">
        <v>0</v>
      </c>
      <c r="F28" s="49" t="str">
        <v/>
      </c>
      <c r="G28" s="49">
        <v>0</v>
      </c>
      <c r="H28" s="49">
        <v>0</v>
      </c>
      <c r="I28" s="49" cm="1">
        <f t="array" ref="I28">Common_InputFunctions.Utility_LookupValueInTableTwoColumns(E28,F28,Table_SourceData_Scope3_Animals[Product],Table_SourceData_Scope3_Animals[Region of origin],Table_SourceData_Scope3_Animals[Emissions intensity], 0)</f>
        <v>0</v>
      </c>
      <c r="J28" s="142" cm="1">
        <f t="array" ref="J28">Scope3_Equations.VEERG_15_1_1_1__1_EmissionsFromPurchasedLivestock(G28,H28,I28)</f>
        <v>0</v>
      </c>
      <c r="K28" s="49">
        <v>0</v>
      </c>
      <c r="L28" s="64"/>
      <c r="M28" s="142" cm="1">
        <f t="array" ref="M28">Scope3_Equations.VEERG_15_1_1_1__1_EmissionsFromPurchasedLivestock(G28,K28,IF(L28, L28, I28))</f>
        <v>0</v>
      </c>
      <c r="N28" s="74"/>
      <c r="O28" s="47"/>
      <c r="P28" s="74"/>
    </row>
    <row r="29" spans="1:16" ht="20.100000000000001" customHeight="1" x14ac:dyDescent="0.2">
      <c r="A29" s="16" t="str">
        <f>HYPERLINK("#'Constants - Solid Waste'!A1", "Constants - Solid Waste")</f>
        <v>Constants - Solid Waste</v>
      </c>
      <c r="D29" s="49">
        <v>0</v>
      </c>
      <c r="E29" s="49">
        <v>0</v>
      </c>
      <c r="F29" s="49" t="str">
        <v/>
      </c>
      <c r="G29" s="49">
        <v>0</v>
      </c>
      <c r="H29" s="49">
        <v>0</v>
      </c>
      <c r="I29" s="49" cm="1">
        <f t="array" ref="I29">Common_InputFunctions.Utility_LookupValueInTableTwoColumns(E29,F29,Table_SourceData_Scope3_Animals[Product],Table_SourceData_Scope3_Animals[Region of origin],Table_SourceData_Scope3_Animals[Emissions intensity], 0)</f>
        <v>0</v>
      </c>
      <c r="J29" s="142" cm="1">
        <f t="array" ref="J29">Scope3_Equations.VEERG_15_1_1_1__1_EmissionsFromPurchasedLivestock(G29,H29,I29)</f>
        <v>0</v>
      </c>
      <c r="K29" s="49">
        <v>0</v>
      </c>
      <c r="L29" s="64"/>
      <c r="M29" s="142" cm="1">
        <f t="array" ref="M29">Scope3_Equations.VEERG_15_1_1_1__1_EmissionsFromPurchasedLivestock(G29,K29,IF(L29, L29, I29))</f>
        <v>0</v>
      </c>
      <c r="N29" s="74"/>
      <c r="O29" s="47"/>
      <c r="P29" s="74"/>
    </row>
    <row r="30" spans="1:16" ht="20.100000000000001" customHeight="1" x14ac:dyDescent="0.2">
      <c r="A30" s="16" t="str">
        <f>HYPERLINK("#'Constants - Fuel'!A1", "Constants - Fuel")</f>
        <v>Constants - Fuel</v>
      </c>
      <c r="D30" s="49">
        <v>0</v>
      </c>
      <c r="E30" s="49">
        <v>0</v>
      </c>
      <c r="F30" s="49" t="str">
        <v/>
      </c>
      <c r="G30" s="49">
        <v>0</v>
      </c>
      <c r="H30" s="49">
        <v>0</v>
      </c>
      <c r="I30" s="49" cm="1">
        <f t="array" ref="I30">Common_InputFunctions.Utility_LookupValueInTableTwoColumns(E30,F30,Table_SourceData_Scope3_Animals[Product],Table_SourceData_Scope3_Animals[Region of origin],Table_SourceData_Scope3_Animals[Emissions intensity], 0)</f>
        <v>0</v>
      </c>
      <c r="J30" s="142" cm="1">
        <f t="array" ref="J30">Scope3_Equations.VEERG_15_1_1_1__1_EmissionsFromPurchasedLivestock(G30,H30,I30)</f>
        <v>0</v>
      </c>
      <c r="K30" s="49">
        <v>0</v>
      </c>
      <c r="L30" s="64"/>
      <c r="M30" s="142" cm="1">
        <f t="array" ref="M30">Scope3_Equations.VEERG_15_1_1_1__1_EmissionsFromPurchasedLivestock(G30,K30,IF(L30, L30, I30))</f>
        <v>0</v>
      </c>
      <c r="N30" s="74"/>
      <c r="O30" s="47"/>
      <c r="P30" s="74"/>
    </row>
    <row r="31" spans="1:16" ht="20.100000000000001" customHeight="1" x14ac:dyDescent="0.2">
      <c r="A31" s="16" t="str">
        <f>HYPERLINK("#'Constants - Poultry'!A1", "Constants - Poultry")</f>
        <v>Constants - Poultry</v>
      </c>
      <c r="D31" s="49">
        <v>0</v>
      </c>
      <c r="E31" s="49">
        <v>0</v>
      </c>
      <c r="F31" s="49" t="str">
        <v/>
      </c>
      <c r="G31" s="49">
        <v>0</v>
      </c>
      <c r="H31" s="49">
        <v>0</v>
      </c>
      <c r="I31" s="49" cm="1">
        <f t="array" ref="I31">Common_InputFunctions.Utility_LookupValueInTableTwoColumns(E31,F31,Table_SourceData_Scope3_Animals[Product],Table_SourceData_Scope3_Animals[Region of origin],Table_SourceData_Scope3_Animals[Emissions intensity], 0)</f>
        <v>0</v>
      </c>
      <c r="J31" s="142" cm="1">
        <f t="array" ref="J31">Scope3_Equations.VEERG_15_1_1_1__1_EmissionsFromPurchasedLivestock(G31,H31,I31)</f>
        <v>0</v>
      </c>
      <c r="K31" s="49">
        <v>0</v>
      </c>
      <c r="L31" s="64"/>
      <c r="M31" s="142" cm="1">
        <f t="array" ref="M31">Scope3_Equations.VEERG_15_1_1_1__1_EmissionsFromPurchasedLivestock(G31,K31,IF(L31, L31, I31))</f>
        <v>0</v>
      </c>
      <c r="N31" s="74"/>
      <c r="O31" s="47"/>
      <c r="P31" s="74"/>
    </row>
    <row r="32" spans="1:16" ht="20.100000000000001" customHeight="1" x14ac:dyDescent="0.2">
      <c r="A32" s="16" t="str">
        <f>HYPERLINK("#'Constants - Swine'!A1", "Constants - Swine")</f>
        <v>Constants - Swine</v>
      </c>
      <c r="D32" s="49">
        <v>0</v>
      </c>
      <c r="E32" s="49">
        <v>0</v>
      </c>
      <c r="F32" s="49" t="str">
        <v/>
      </c>
      <c r="G32" s="49">
        <v>0</v>
      </c>
      <c r="H32" s="49">
        <v>0</v>
      </c>
      <c r="I32" s="49" cm="1">
        <f t="array" ref="I32">Common_InputFunctions.Utility_LookupValueInTableTwoColumns(E32,F32,Table_SourceData_Scope3_Animals[Product],Table_SourceData_Scope3_Animals[Region of origin],Table_SourceData_Scope3_Animals[Emissions intensity], 0)</f>
        <v>0</v>
      </c>
      <c r="J32" s="142" cm="1">
        <f t="array" ref="J32">Scope3_Equations.VEERG_15_1_1_1__1_EmissionsFromPurchasedLivestock(G32,H32,I32)</f>
        <v>0</v>
      </c>
      <c r="K32" s="49">
        <v>0</v>
      </c>
      <c r="L32" s="64"/>
      <c r="M32" s="142" cm="1">
        <f t="array" ref="M32">Scope3_Equations.VEERG_15_1_1_1__1_EmissionsFromPurchasedLivestock(G32,K32,IF(L32, L32, I32))</f>
        <v>0</v>
      </c>
      <c r="N32" s="74"/>
      <c r="O32" s="47"/>
      <c r="P32" s="74"/>
    </row>
    <row r="33" spans="1:13" ht="20.100000000000001" customHeight="1" x14ac:dyDescent="0.2">
      <c r="A33" s="16" t="str">
        <f>HYPERLINK("#'Constants - Dairy'!A1", "Constants - Dairy")</f>
        <v>Constants - Dairy</v>
      </c>
    </row>
    <row r="34" spans="1:13" ht="20.100000000000001" customHeight="1" x14ac:dyDescent="0.2">
      <c r="A34" s="16" t="str">
        <f>HYPERLINK("#'Constants - Pasture Beef'!A1", "Constants - Pasture Beef")</f>
        <v>Constants - Pasture Beef</v>
      </c>
      <c r="D34" s="165" t="s">
        <v>644</v>
      </c>
      <c r="E34" s="89">
        <f>SUM(J23:J32)</f>
        <v>1052.5</v>
      </c>
      <c r="F34" s="166" t="str">
        <f>$E$11</f>
        <v>t CO2e</v>
      </c>
    </row>
    <row r="35" spans="1:13" ht="20.100000000000001" customHeight="1" x14ac:dyDescent="0.2">
      <c r="A35" s="16" t="str">
        <f>HYPERLINK("#'Constants - Common Livestock'!A1", "Constants - Common Livestock")</f>
        <v>Constants - Common Livestock</v>
      </c>
      <c r="D35" s="165" t="s">
        <v>645</v>
      </c>
      <c r="E35" s="89">
        <f>SUM(M23:M32)</f>
        <v>1014.5</v>
      </c>
      <c r="F35" s="166" t="str">
        <f>$E$11</f>
        <v>t CO2e</v>
      </c>
    </row>
    <row r="36" spans="1:13" ht="20.100000000000001" customHeight="1" x14ac:dyDescent="0.2">
      <c r="A36" s="16" t="str">
        <f>HYPERLINK("#'Constants - Fertiliser'!A1", "Constants - Fertiliser")</f>
        <v>Constants - Fertiliser</v>
      </c>
    </row>
    <row r="37" spans="1:13" ht="20.100000000000001" customHeight="1" x14ac:dyDescent="0.2">
      <c r="A37" s="16" t="str">
        <f>HYPERLINK("#'Constants - Electricity'!A1", "Constants - Electricity")</f>
        <v>Constants - Electricity</v>
      </c>
    </row>
    <row r="38" spans="1:13" ht="20.100000000000001" customHeight="1" x14ac:dyDescent="0.2">
      <c r="A38" s="16" t="str">
        <f>HYPERLINK("#'Constants - Common'!A1", "Constants - Common")</f>
        <v>Constants - Common</v>
      </c>
      <c r="D38" s="135" t="s">
        <v>336</v>
      </c>
    </row>
    <row r="39" spans="1:13" ht="20.100000000000001" customHeight="1" x14ac:dyDescent="0.2">
      <c r="D39" s="158" t="s">
        <v>623</v>
      </c>
      <c r="E39" s="49" cm="1">
        <f t="array" ref="E39">Common_InputFunctions.Utility_LookupValueInTableNumber("Dairy cows", Table_SourceData_Scope3_Animals[Product],Table_SourceData_Scope3_Animals[Emissions intensity])</f>
        <v>4.41</v>
      </c>
    </row>
    <row r="41" spans="1:13" ht="20.100000000000001" customHeight="1" x14ac:dyDescent="0.2">
      <c r="D41" s="46" t="s">
        <v>357</v>
      </c>
      <c r="E41" s="143" t="s">
        <v>616</v>
      </c>
      <c r="F41" s="143" t="s">
        <v>617</v>
      </c>
      <c r="G41" s="57" t="s">
        <v>628</v>
      </c>
      <c r="H41" s="143" t="s">
        <v>618</v>
      </c>
      <c r="I41" s="46" t="s">
        <v>620</v>
      </c>
      <c r="J41" s="57" t="s">
        <v>630</v>
      </c>
      <c r="K41" s="46" t="s">
        <v>624</v>
      </c>
      <c r="L41" s="46" t="s">
        <v>625</v>
      </c>
      <c r="M41" s="46" t="s">
        <v>626</v>
      </c>
    </row>
    <row r="42" spans="1:13" ht="20.100000000000001" customHeight="1" x14ac:dyDescent="0.2">
      <c r="D42" s="49" t="str" cm="1">
        <f t="array" ref="D42:D51">IFERROR(INDEX(Table_Input_LivestockPurchases_Dairy[Transaction name], _xlfn.SEQUENCE(10)), "")</f>
        <v>Dairy cows from Denise</v>
      </c>
      <c r="E42" s="49" cm="1">
        <f t="array" ref="E42:E51">IFERROR(INDEX(Table_Input_LivestockPurchases_Dairy[Quantity (head)], _xlfn.SEQUENCE(10)), 0)</f>
        <v>100</v>
      </c>
      <c r="F42" s="49" cm="1">
        <f t="array" ref="F42:F51">IFERROR(INDEX(Table_Input_LivestockPurchases_Dairy[Liveweight (kg/head) Method 1], _xlfn.SEQUENCE(10)), 0)</f>
        <v>130</v>
      </c>
      <c r="G42" s="142" cm="1">
        <f t="array" ref="G42">Scope3_Equations.VEERG_15_1_1_1__1_EmissionsFromPurchasedLivestock(E42,F42,$E$39)</f>
        <v>57.33</v>
      </c>
      <c r="H42" s="49" cm="1">
        <f t="array" ref="H42:H51">IFERROR(INDEX(Table_Input_LivestockPurchases_Dairy[Liveweight (kg/head) Method 2], _xlfn.SEQUENCE(10)), "")</f>
        <v>350</v>
      </c>
      <c r="I42" s="64">
        <v>4</v>
      </c>
      <c r="J42" s="142" cm="1">
        <f t="array" ref="J42">Scope3_Equations.VEERG_15_1_1_1__1_EmissionsFromPurchasedLivestock(E42,H42,IF(I42,I42,$E$39))</f>
        <v>140</v>
      </c>
      <c r="K42" s="74" t="s">
        <v>598</v>
      </c>
      <c r="L42" s="47" t="s">
        <v>597</v>
      </c>
      <c r="M42" t="s">
        <v>599</v>
      </c>
    </row>
    <row r="43" spans="1:13" ht="20.100000000000001" customHeight="1" x14ac:dyDescent="0.2">
      <c r="D43" s="49">
        <v>0</v>
      </c>
      <c r="E43" s="49">
        <v>100</v>
      </c>
      <c r="F43" s="49">
        <v>540</v>
      </c>
      <c r="G43" s="142" cm="1">
        <f t="array" ref="G43">Scope3_Equations.VEERG_15_1_1_1__1_EmissionsFromPurchasedLivestock(E43,F43,$E$39)</f>
        <v>238.14000000000001</v>
      </c>
      <c r="H43" s="49">
        <v>625</v>
      </c>
      <c r="I43" s="64"/>
      <c r="J43" s="142" cm="1">
        <f t="array" ref="J43">Scope3_Equations.VEERG_15_1_1_1__1_EmissionsFromPurchasedLivestock(E43,H43,IF(I43,I43,$E$39))</f>
        <v>275.625</v>
      </c>
      <c r="K43" s="74"/>
      <c r="L43" s="47"/>
      <c r="M43" s="74"/>
    </row>
    <row r="44" spans="1:13" ht="20.100000000000001" customHeight="1" x14ac:dyDescent="0.2">
      <c r="D44" s="49">
        <v>0</v>
      </c>
      <c r="E44" s="49">
        <v>0</v>
      </c>
      <c r="F44" s="49">
        <v>315</v>
      </c>
      <c r="G44" s="142" cm="1">
        <f t="array" ref="G44">Scope3_Equations.VEERG_15_1_1_1__1_EmissionsFromPurchasedLivestock(E44,F44,$E$39)</f>
        <v>0</v>
      </c>
      <c r="H44" s="49">
        <v>0</v>
      </c>
      <c r="I44" s="64"/>
      <c r="J44" s="142" cm="1">
        <f t="array" ref="J44">Scope3_Equations.VEERG_15_1_1_1__1_EmissionsFromPurchasedLivestock(E44,H44,IF(I44,I44,$E$39))</f>
        <v>0</v>
      </c>
      <c r="K44" s="74"/>
      <c r="L44" s="47"/>
      <c r="M44" s="74"/>
    </row>
    <row r="45" spans="1:13" ht="20.100000000000001" customHeight="1" x14ac:dyDescent="0.2">
      <c r="D45" s="49">
        <v>0</v>
      </c>
      <c r="E45" s="49">
        <v>0</v>
      </c>
      <c r="F45" s="49">
        <v>0</v>
      </c>
      <c r="G45" s="142" cm="1">
        <f t="array" ref="G45">Scope3_Equations.VEERG_15_1_1_1__1_EmissionsFromPurchasedLivestock(E45,F45,$E$39)</f>
        <v>0</v>
      </c>
      <c r="H45" s="49">
        <v>0</v>
      </c>
      <c r="I45" s="64"/>
      <c r="J45" s="142" cm="1">
        <f t="array" ref="J45">Scope3_Equations.VEERG_15_1_1_1__1_EmissionsFromPurchasedLivestock(E45,H45,IF(I45,I45,$E$39))</f>
        <v>0</v>
      </c>
      <c r="K45" s="74"/>
      <c r="L45" s="47"/>
      <c r="M45" s="74"/>
    </row>
    <row r="46" spans="1:13" ht="20.100000000000001" customHeight="1" x14ac:dyDescent="0.2">
      <c r="D46" s="49">
        <v>0</v>
      </c>
      <c r="E46" s="49">
        <v>0</v>
      </c>
      <c r="F46" s="49">
        <v>0</v>
      </c>
      <c r="G46" s="142" cm="1">
        <f t="array" ref="G46">Scope3_Equations.VEERG_15_1_1_1__1_EmissionsFromPurchasedLivestock(E46,F46,$E$39)</f>
        <v>0</v>
      </c>
      <c r="H46" s="49">
        <v>0</v>
      </c>
      <c r="I46" s="64"/>
      <c r="J46" s="142" cm="1">
        <f t="array" ref="J46">Scope3_Equations.VEERG_15_1_1_1__1_EmissionsFromPurchasedLivestock(E46,H46,IF(I46,I46,$E$39))</f>
        <v>0</v>
      </c>
      <c r="K46" s="74"/>
      <c r="L46" s="47"/>
      <c r="M46" s="74"/>
    </row>
    <row r="47" spans="1:13" ht="20.100000000000001" customHeight="1" x14ac:dyDescent="0.2">
      <c r="D47" s="49">
        <v>0</v>
      </c>
      <c r="E47" s="49">
        <v>0</v>
      </c>
      <c r="F47" s="49">
        <v>0</v>
      </c>
      <c r="G47" s="142" cm="1">
        <f t="array" ref="G47">Scope3_Equations.VEERG_15_1_1_1__1_EmissionsFromPurchasedLivestock(E47,F47,$E$39)</f>
        <v>0</v>
      </c>
      <c r="H47" s="49">
        <v>0</v>
      </c>
      <c r="I47" s="64"/>
      <c r="J47" s="142" cm="1">
        <f t="array" ref="J47">Scope3_Equations.VEERG_15_1_1_1__1_EmissionsFromPurchasedLivestock(E47,H47,IF(I47,I47,$E$39))</f>
        <v>0</v>
      </c>
      <c r="K47" s="74"/>
      <c r="L47" s="47"/>
      <c r="M47" s="74"/>
    </row>
    <row r="48" spans="1:13" ht="20.100000000000001" customHeight="1" x14ac:dyDescent="0.2">
      <c r="D48" s="49">
        <v>0</v>
      </c>
      <c r="E48" s="49">
        <v>0</v>
      </c>
      <c r="F48" s="49">
        <v>0</v>
      </c>
      <c r="G48" s="142" cm="1">
        <f t="array" ref="G48">Scope3_Equations.VEERG_15_1_1_1__1_EmissionsFromPurchasedLivestock(E48,F48,$E$39)</f>
        <v>0</v>
      </c>
      <c r="H48" s="49">
        <v>0</v>
      </c>
      <c r="I48" s="64"/>
      <c r="J48" s="142" cm="1">
        <f t="array" ref="J48">Scope3_Equations.VEERG_15_1_1_1__1_EmissionsFromPurchasedLivestock(E48,H48,IF(I48,I48,$E$39))</f>
        <v>0</v>
      </c>
      <c r="K48" s="74"/>
      <c r="L48" s="47"/>
      <c r="M48" s="74"/>
    </row>
    <row r="49" spans="4:13" ht="20.100000000000001" customHeight="1" x14ac:dyDescent="0.2">
      <c r="D49" s="49">
        <v>0</v>
      </c>
      <c r="E49" s="49">
        <v>0</v>
      </c>
      <c r="F49" s="49">
        <v>0</v>
      </c>
      <c r="G49" s="142" cm="1">
        <f t="array" ref="G49">Scope3_Equations.VEERG_15_1_1_1__1_EmissionsFromPurchasedLivestock(E49,F49,$E$39)</f>
        <v>0</v>
      </c>
      <c r="H49" s="49">
        <v>0</v>
      </c>
      <c r="I49" s="64"/>
      <c r="J49" s="142" cm="1">
        <f t="array" ref="J49">Scope3_Equations.VEERG_15_1_1_1__1_EmissionsFromPurchasedLivestock(E49,H49,IF(I49,I49,$E$39))</f>
        <v>0</v>
      </c>
      <c r="K49" s="74"/>
      <c r="L49" s="47"/>
      <c r="M49" s="74"/>
    </row>
    <row r="50" spans="4:13" ht="20.100000000000001" customHeight="1" x14ac:dyDescent="0.2">
      <c r="D50" s="49">
        <v>0</v>
      </c>
      <c r="E50" s="49">
        <v>0</v>
      </c>
      <c r="F50" s="49">
        <v>0</v>
      </c>
      <c r="G50" s="142" cm="1">
        <f t="array" ref="G50">Scope3_Equations.VEERG_15_1_1_1__1_EmissionsFromPurchasedLivestock(E50,F50,$E$39)</f>
        <v>0</v>
      </c>
      <c r="H50" s="49">
        <v>0</v>
      </c>
      <c r="I50" s="64"/>
      <c r="J50" s="142" cm="1">
        <f t="array" ref="J50">Scope3_Equations.VEERG_15_1_1_1__1_EmissionsFromPurchasedLivestock(E50,H50,IF(I50,I50,$E$39))</f>
        <v>0</v>
      </c>
      <c r="K50" s="74"/>
      <c r="L50" s="47"/>
      <c r="M50" s="74"/>
    </row>
    <row r="51" spans="4:13" ht="20.100000000000001" customHeight="1" x14ac:dyDescent="0.2">
      <c r="D51" s="49">
        <v>0</v>
      </c>
      <c r="E51" s="49">
        <v>0</v>
      </c>
      <c r="F51" s="49">
        <v>0</v>
      </c>
      <c r="G51" s="142" cm="1">
        <f t="array" ref="G51">Scope3_Equations.VEERG_15_1_1_1__1_EmissionsFromPurchasedLivestock(E51,F51,$E$39)</f>
        <v>0</v>
      </c>
      <c r="H51" s="49">
        <v>0</v>
      </c>
      <c r="I51" s="64"/>
      <c r="J51" s="142" cm="1">
        <f t="array" ref="J51">Scope3_Equations.VEERG_15_1_1_1__1_EmissionsFromPurchasedLivestock(E51,H51,IF(I51,I51,$E$39))</f>
        <v>0</v>
      </c>
      <c r="K51" s="74"/>
      <c r="L51" s="47"/>
      <c r="M51" s="74"/>
    </row>
    <row r="53" spans="4:13" ht="20.100000000000001" customHeight="1" x14ac:dyDescent="0.2">
      <c r="D53" s="165" t="s">
        <v>642</v>
      </c>
      <c r="E53" s="89">
        <f>SUM(G42:G51)</f>
        <v>295.47000000000003</v>
      </c>
      <c r="F53" s="166" t="str">
        <f>$E$11</f>
        <v>t CO2e</v>
      </c>
    </row>
    <row r="54" spans="4:13" ht="20.100000000000001" customHeight="1" x14ac:dyDescent="0.2">
      <c r="D54" s="165" t="s">
        <v>643</v>
      </c>
      <c r="E54" s="89">
        <f>SUM(J42:J51)</f>
        <v>415.625</v>
      </c>
      <c r="F54" s="166" t="str">
        <f>$E$11</f>
        <v>t CO2e</v>
      </c>
    </row>
    <row r="57" spans="4:13" ht="20.100000000000001" customHeight="1" x14ac:dyDescent="0.2">
      <c r="D57" s="135" t="s">
        <v>537</v>
      </c>
    </row>
    <row r="58" spans="4:13" ht="20.100000000000001" customHeight="1" x14ac:dyDescent="0.2">
      <c r="D58" s="158" t="s">
        <v>623</v>
      </c>
      <c r="E58" s="49" cm="1">
        <f t="array" ref="E58">Common_InputFunctions.Utility_LookupValueInTableNumber("Pigs", Table_SourceData_Scope3_Animals[Product],Table_SourceData_Scope3_Animals[Emissions intensity])</f>
        <v>3.38</v>
      </c>
    </row>
    <row r="60" spans="4:13" ht="20.100000000000001" customHeight="1" x14ac:dyDescent="0.2">
      <c r="D60" s="46" t="s">
        <v>357</v>
      </c>
      <c r="E60" s="143" t="s">
        <v>616</v>
      </c>
      <c r="F60" s="143" t="s">
        <v>617</v>
      </c>
      <c r="G60" s="57" t="s">
        <v>628</v>
      </c>
      <c r="H60" s="143" t="s">
        <v>618</v>
      </c>
      <c r="I60" s="46" t="s">
        <v>620</v>
      </c>
      <c r="J60" s="57" t="s">
        <v>630</v>
      </c>
      <c r="K60" s="46" t="s">
        <v>624</v>
      </c>
      <c r="L60" s="46" t="s">
        <v>625</v>
      </c>
      <c r="M60" s="46" t="s">
        <v>626</v>
      </c>
    </row>
    <row r="61" spans="4:13" ht="20.100000000000001" customHeight="1" x14ac:dyDescent="0.2">
      <c r="D61" s="49" t="str" cm="1">
        <f t="array" ref="D61:D70">IFERROR(INDEX(Table_Input_LivestockPurchases_Pigs[Transaction name], _xlfn.SEQUENCE(10)), "")</f>
        <v>Pigs from Pam</v>
      </c>
      <c r="E61" s="49" cm="1">
        <f t="array" ref="E61:E70">IFERROR(INDEX(Table_Input_LivestockPurchases_Pigs[Quantity (head)], _xlfn.SEQUENCE(10)), 0)</f>
        <v>100</v>
      </c>
      <c r="F61" s="49" cm="1">
        <f t="array" ref="F61:F70">IFERROR(INDEX(Table_Input_LivestockPurchases_Pigs[Liveweight (kg/head) Method 1], _xlfn.SEQUENCE(10)), 0)</f>
        <v>188</v>
      </c>
      <c r="G61" s="142" cm="1">
        <f t="array" ref="G61">Scope3_Equations.VEERG_15_1_1_1__1_EmissionsFromPurchasedLivestock(E61,F61,$E$58)</f>
        <v>63.544000000000004</v>
      </c>
      <c r="H61" s="49" cm="1">
        <f t="array" ref="H61:H70">IFERROR(INDEX(Table_Input_LivestockPurchases_Pigs[Liveweight (kg/head) Method 2], _xlfn.SEQUENCE(10)), 0)</f>
        <v>180</v>
      </c>
      <c r="I61" s="64">
        <v>3.38</v>
      </c>
      <c r="J61" s="142" cm="1">
        <f t="array" ref="J61">Scope3_Equations.VEERG_15_1_1_1__1_EmissionsFromPurchasedLivestock(E61,H61,IF(I61, I61,$E$58))</f>
        <v>60.84</v>
      </c>
      <c r="K61" s="74"/>
      <c r="L61" s="47"/>
      <c r="M61"/>
    </row>
    <row r="62" spans="4:13" ht="20.100000000000001" customHeight="1" x14ac:dyDescent="0.2">
      <c r="D62" s="49" t="str">
        <v>Swine from Samantha</v>
      </c>
      <c r="E62" s="49">
        <v>100</v>
      </c>
      <c r="F62" s="49">
        <v>188</v>
      </c>
      <c r="G62" s="142" cm="1">
        <f t="array" ref="G62">Scope3_Equations.VEERG_15_1_1_1__1_EmissionsFromPurchasedLivestock(E62,F62,$E$58)</f>
        <v>63.544000000000004</v>
      </c>
      <c r="H62" s="49">
        <v>38</v>
      </c>
      <c r="I62" s="64">
        <v>3.3</v>
      </c>
      <c r="J62" s="142" cm="1">
        <f t="array" ref="J62">Scope3_Equations.VEERG_15_1_1_1__1_EmissionsFromPurchasedLivestock(E62,H62,IF(I62, I62,$E$58))</f>
        <v>12.540000000000001</v>
      </c>
      <c r="K62" s="74"/>
      <c r="L62" s="47"/>
      <c r="M62" s="74"/>
    </row>
    <row r="63" spans="4:13" ht="20.100000000000001" customHeight="1" x14ac:dyDescent="0.2">
      <c r="D63" s="49">
        <v>0</v>
      </c>
      <c r="E63" s="49">
        <v>0</v>
      </c>
      <c r="F63" s="49">
        <v>0</v>
      </c>
      <c r="G63" s="142" cm="1">
        <f t="array" ref="G63">Scope3_Equations.VEERG_15_1_1_1__1_EmissionsFromPurchasedLivestock(E63,F63,$E$58)</f>
        <v>0</v>
      </c>
      <c r="H63" s="49">
        <v>0</v>
      </c>
      <c r="I63" s="64"/>
      <c r="J63" s="142" cm="1">
        <f t="array" ref="J63">Scope3_Equations.VEERG_15_1_1_1__1_EmissionsFromPurchasedLivestock(E63,H63,IF(I63, I63,$E$58))</f>
        <v>0</v>
      </c>
      <c r="K63" s="74"/>
      <c r="L63" s="47"/>
      <c r="M63" s="74"/>
    </row>
    <row r="64" spans="4:13" ht="20.100000000000001" customHeight="1" x14ac:dyDescent="0.2">
      <c r="D64" s="49">
        <v>0</v>
      </c>
      <c r="E64" s="49">
        <v>0</v>
      </c>
      <c r="F64" s="49">
        <v>0</v>
      </c>
      <c r="G64" s="142" cm="1">
        <f t="array" ref="G64">Scope3_Equations.VEERG_15_1_1_1__1_EmissionsFromPurchasedLivestock(E64,F64,$E$58)</f>
        <v>0</v>
      </c>
      <c r="H64" s="49">
        <v>0</v>
      </c>
      <c r="I64" s="64"/>
      <c r="J64" s="142" cm="1">
        <f t="array" ref="J64">Scope3_Equations.VEERG_15_1_1_1__1_EmissionsFromPurchasedLivestock(E64,H64,IF(I64, I64,$E$58))</f>
        <v>0</v>
      </c>
      <c r="K64" s="74"/>
      <c r="L64" s="47"/>
      <c r="M64" s="74"/>
    </row>
    <row r="65" spans="4:13" ht="20.100000000000001" customHeight="1" x14ac:dyDescent="0.2">
      <c r="D65" s="49">
        <v>0</v>
      </c>
      <c r="E65" s="49">
        <v>0</v>
      </c>
      <c r="F65" s="49">
        <v>0</v>
      </c>
      <c r="G65" s="142" cm="1">
        <f t="array" ref="G65">Scope3_Equations.VEERG_15_1_1_1__1_EmissionsFromPurchasedLivestock(E65,F65,$E$58)</f>
        <v>0</v>
      </c>
      <c r="H65" s="49">
        <v>0</v>
      </c>
      <c r="I65" s="64"/>
      <c r="J65" s="142" cm="1">
        <f t="array" ref="J65">Scope3_Equations.VEERG_15_1_1_1__1_EmissionsFromPurchasedLivestock(E65,H65,IF(I65, I65,$E$58))</f>
        <v>0</v>
      </c>
      <c r="K65" s="74"/>
      <c r="L65" s="47"/>
      <c r="M65" s="74"/>
    </row>
    <row r="66" spans="4:13" ht="20.100000000000001" customHeight="1" x14ac:dyDescent="0.2">
      <c r="D66" s="49">
        <v>0</v>
      </c>
      <c r="E66" s="49">
        <v>0</v>
      </c>
      <c r="F66" s="49">
        <v>0</v>
      </c>
      <c r="G66" s="142" cm="1">
        <f t="array" ref="G66">Scope3_Equations.VEERG_15_1_1_1__1_EmissionsFromPurchasedLivestock(E66,F66,$E$58)</f>
        <v>0</v>
      </c>
      <c r="H66" s="49">
        <v>0</v>
      </c>
      <c r="I66" s="64"/>
      <c r="J66" s="142" cm="1">
        <f t="array" ref="J66">Scope3_Equations.VEERG_15_1_1_1__1_EmissionsFromPurchasedLivestock(E66,H66,IF(I66, I66,$E$58))</f>
        <v>0</v>
      </c>
      <c r="K66" s="74"/>
      <c r="L66" s="47"/>
      <c r="M66" s="74"/>
    </row>
    <row r="67" spans="4:13" ht="20.100000000000001" customHeight="1" x14ac:dyDescent="0.2">
      <c r="D67" s="49">
        <v>0</v>
      </c>
      <c r="E67" s="49">
        <v>0</v>
      </c>
      <c r="F67" s="49">
        <v>0</v>
      </c>
      <c r="G67" s="142" cm="1">
        <f t="array" ref="G67">Scope3_Equations.VEERG_15_1_1_1__1_EmissionsFromPurchasedLivestock(E67,F67,$E$58)</f>
        <v>0</v>
      </c>
      <c r="H67" s="49">
        <v>0</v>
      </c>
      <c r="I67" s="64"/>
      <c r="J67" s="142" cm="1">
        <f t="array" ref="J67">Scope3_Equations.VEERG_15_1_1_1__1_EmissionsFromPurchasedLivestock(E67,H67,IF(I67, I67,$E$58))</f>
        <v>0</v>
      </c>
      <c r="K67" s="74"/>
      <c r="L67" s="47"/>
      <c r="M67" s="74"/>
    </row>
    <row r="68" spans="4:13" ht="20.100000000000001" customHeight="1" x14ac:dyDescent="0.2">
      <c r="D68" s="49">
        <v>0</v>
      </c>
      <c r="E68" s="49">
        <v>0</v>
      </c>
      <c r="F68" s="49">
        <v>0</v>
      </c>
      <c r="G68" s="142" cm="1">
        <f t="array" ref="G68">Scope3_Equations.VEERG_15_1_1_1__1_EmissionsFromPurchasedLivestock(E68,F68,$E$58)</f>
        <v>0</v>
      </c>
      <c r="H68" s="49">
        <v>0</v>
      </c>
      <c r="I68" s="64"/>
      <c r="J68" s="142" cm="1">
        <f t="array" ref="J68">Scope3_Equations.VEERG_15_1_1_1__1_EmissionsFromPurchasedLivestock(E68,H68,IF(I68, I68,$E$58))</f>
        <v>0</v>
      </c>
      <c r="K68" s="74"/>
      <c r="L68" s="47"/>
      <c r="M68" s="74"/>
    </row>
    <row r="69" spans="4:13" ht="20.100000000000001" customHeight="1" x14ac:dyDescent="0.2">
      <c r="D69" s="49">
        <v>0</v>
      </c>
      <c r="E69" s="49">
        <v>0</v>
      </c>
      <c r="F69" s="49">
        <v>0</v>
      </c>
      <c r="G69" s="142" cm="1">
        <f t="array" ref="G69">Scope3_Equations.VEERG_15_1_1_1__1_EmissionsFromPurchasedLivestock(E69,F69,$E$58)</f>
        <v>0</v>
      </c>
      <c r="H69" s="49">
        <v>0</v>
      </c>
      <c r="I69" s="64"/>
      <c r="J69" s="142" cm="1">
        <f t="array" ref="J69">Scope3_Equations.VEERG_15_1_1_1__1_EmissionsFromPurchasedLivestock(E69,H69,IF(I69, I69,$E$58))</f>
        <v>0</v>
      </c>
      <c r="K69" s="74"/>
      <c r="L69" s="47"/>
      <c r="M69" s="74"/>
    </row>
    <row r="70" spans="4:13" ht="20.100000000000001" customHeight="1" x14ac:dyDescent="0.2">
      <c r="D70" s="49">
        <v>0</v>
      </c>
      <c r="E70" s="49">
        <v>0</v>
      </c>
      <c r="F70" s="49">
        <v>0</v>
      </c>
      <c r="G70" s="142" cm="1">
        <f t="array" ref="G70">Scope3_Equations.VEERG_15_1_1_1__1_EmissionsFromPurchasedLivestock(E70,F70,$E$58)</f>
        <v>0</v>
      </c>
      <c r="H70" s="49">
        <v>0</v>
      </c>
      <c r="I70" s="64"/>
      <c r="J70" s="142" cm="1">
        <f t="array" ref="J70">Scope3_Equations.VEERG_15_1_1_1__1_EmissionsFromPurchasedLivestock(E70,H70,IF(I70, I70,$E$58))</f>
        <v>0</v>
      </c>
      <c r="K70" s="74"/>
      <c r="L70" s="47"/>
      <c r="M70" s="74"/>
    </row>
    <row r="72" spans="4:13" ht="20.100000000000001" customHeight="1" x14ac:dyDescent="0.2">
      <c r="D72" s="165" t="s">
        <v>640</v>
      </c>
      <c r="E72" s="89">
        <f>SUM(G61:G70)</f>
        <v>127.08800000000001</v>
      </c>
      <c r="F72" s="166" t="str">
        <f>$E$11</f>
        <v>t CO2e</v>
      </c>
    </row>
    <row r="73" spans="4:13" ht="20.100000000000001" customHeight="1" x14ac:dyDescent="0.2">
      <c r="D73" s="165" t="s">
        <v>641</v>
      </c>
      <c r="E73" s="89">
        <f>SUM(J61:J70)</f>
        <v>73.38000000000001</v>
      </c>
      <c r="F73" s="166" t="str">
        <f>$E$11</f>
        <v>t CO2e</v>
      </c>
    </row>
    <row r="75" spans="4:13" ht="20.100000000000001" customHeight="1" x14ac:dyDescent="0.2">
      <c r="D75" s="135" t="s">
        <v>563</v>
      </c>
    </row>
    <row r="76" spans="4:13" ht="20.100000000000001" customHeight="1" x14ac:dyDescent="0.2">
      <c r="D76" s="158" t="s">
        <v>623</v>
      </c>
      <c r="E76" s="49" cm="1">
        <f t="array" ref="E76">Common_InputFunctions.Utility_LookupValueInTableNumber("Chickens", Table_SourceData_Scope3_Animals[Product],Table_SourceData_Scope3_Animals[Emissions intensity])</f>
        <v>1.36</v>
      </c>
    </row>
    <row r="78" spans="4:13" ht="20.100000000000001" customHeight="1" x14ac:dyDescent="0.2">
      <c r="D78" s="46" t="s">
        <v>357</v>
      </c>
      <c r="E78" s="143" t="s">
        <v>616</v>
      </c>
      <c r="F78" s="143" t="s">
        <v>617</v>
      </c>
      <c r="G78" s="57" t="s">
        <v>628</v>
      </c>
      <c r="H78" s="143" t="s">
        <v>618</v>
      </c>
      <c r="I78" s="46" t="s">
        <v>620</v>
      </c>
      <c r="J78" s="57" t="s">
        <v>630</v>
      </c>
      <c r="K78" s="46" t="s">
        <v>624</v>
      </c>
      <c r="L78" s="46" t="s">
        <v>625</v>
      </c>
      <c r="M78" s="46" t="s">
        <v>626</v>
      </c>
    </row>
    <row r="79" spans="4:13" ht="20.100000000000001" customHeight="1" x14ac:dyDescent="0.2">
      <c r="D79" s="49" t="str" cm="1">
        <f t="array" ref="D79:D88">IFERROR(INDEX(Table_Input_LivestockPurchases_Poultry[Transaction name], _xlfn.SEQUENCE(10)), "")</f>
        <v>Chooks from Carolyn</v>
      </c>
      <c r="E79" s="49" cm="1">
        <f t="array" ref="E79:E88">IFERROR(INDEX(Table_Input_LivestockPurchases_Poultry[Quantity (head)], _xlfn.SEQUENCE(10)), "")</f>
        <v>100</v>
      </c>
      <c r="F79" s="49" cm="1">
        <f t="array" ref="F79:F88">IFERROR(INDEX(Table_Input_LivestockPurchases_Poultry[Liveweight (kg/head) Method 1], _xlfn.SEQUENCE(10)), "")</f>
        <v>1.3</v>
      </c>
      <c r="G79" s="142" cm="1">
        <f t="array" ref="G79">Scope3_Equations.VEERG_15_1_1_1__1_EmissionsFromPurchasedLivestock(E79,F79,$E$76)</f>
        <v>0.17680000000000001</v>
      </c>
      <c r="H79" s="49" cm="1">
        <f t="array" ref="H79:H88">IFERROR(INDEX(Table_Input_LivestockPurchases_Poultry[Liveweight (kg/head) Method 2], _xlfn.SEQUENCE(10)), "")</f>
        <v>1.3</v>
      </c>
      <c r="I79" s="64">
        <v>1.3</v>
      </c>
      <c r="J79" s="142" cm="1">
        <f t="array" ref="J79">Scope3_Equations.VEERG_15_1_1_1__1_EmissionsFromPurchasedLivestock(E79,H79,IF(I79, I79,$E$76))</f>
        <v>0.16900000000000001</v>
      </c>
      <c r="K79" s="74"/>
      <c r="L79" s="47"/>
      <c r="M79"/>
    </row>
    <row r="80" spans="4:13" ht="20.100000000000001" customHeight="1" x14ac:dyDescent="0.2">
      <c r="D80" s="49" t="str">
        <v>Roosters from Raj</v>
      </c>
      <c r="E80" s="49">
        <v>100</v>
      </c>
      <c r="F80" s="49">
        <v>1.4</v>
      </c>
      <c r="G80" s="142" cm="1">
        <f t="array" ref="G80">Scope3_Equations.VEERG_15_1_1_1__1_EmissionsFromPurchasedLivestock(E80,F80,$E$76)</f>
        <v>0.19040000000000001</v>
      </c>
      <c r="H80" s="49">
        <v>1.4</v>
      </c>
      <c r="I80" s="64"/>
      <c r="J80" s="142" cm="1">
        <f t="array" ref="J80">Scope3_Equations.VEERG_15_1_1_1__1_EmissionsFromPurchasedLivestock(E80,H80,IF(I80, I80,$E$76))</f>
        <v>0.19040000000000001</v>
      </c>
      <c r="K80" s="74"/>
      <c r="L80" s="47"/>
      <c r="M80" s="74"/>
    </row>
    <row r="81" spans="4:13" ht="20.100000000000001" customHeight="1" x14ac:dyDescent="0.2">
      <c r="D81" s="49">
        <v>0</v>
      </c>
      <c r="E81" s="49">
        <v>0</v>
      </c>
      <c r="F81" s="49">
        <v>0</v>
      </c>
      <c r="G81" s="142" cm="1">
        <f t="array" ref="G81">Scope3_Equations.VEERG_15_1_1_1__1_EmissionsFromPurchasedLivestock(E81,F81,$E$76)</f>
        <v>0</v>
      </c>
      <c r="H81" s="49">
        <v>0</v>
      </c>
      <c r="I81" s="64"/>
      <c r="J81" s="142" cm="1">
        <f t="array" ref="J81">Scope3_Equations.VEERG_15_1_1_1__1_EmissionsFromPurchasedLivestock(E81,H81,IF(I81, I81,$E$76))</f>
        <v>0</v>
      </c>
      <c r="K81" s="74"/>
      <c r="L81" s="47"/>
      <c r="M81" s="74"/>
    </row>
    <row r="82" spans="4:13" ht="20.100000000000001" customHeight="1" x14ac:dyDescent="0.2">
      <c r="D82" s="49">
        <v>0</v>
      </c>
      <c r="E82" s="49">
        <v>0</v>
      </c>
      <c r="F82" s="49">
        <v>0</v>
      </c>
      <c r="G82" s="142" cm="1">
        <f t="array" ref="G82">Scope3_Equations.VEERG_15_1_1_1__1_EmissionsFromPurchasedLivestock(E82,F82,$E$76)</f>
        <v>0</v>
      </c>
      <c r="H82" s="49">
        <v>0</v>
      </c>
      <c r="I82" s="64"/>
      <c r="J82" s="142" cm="1">
        <f t="array" ref="J82">Scope3_Equations.VEERG_15_1_1_1__1_EmissionsFromPurchasedLivestock(E82,H82,IF(I82, I82,$E$76))</f>
        <v>0</v>
      </c>
      <c r="K82" s="74"/>
      <c r="L82" s="47"/>
      <c r="M82" s="74"/>
    </row>
    <row r="83" spans="4:13" ht="20.100000000000001" customHeight="1" x14ac:dyDescent="0.2">
      <c r="D83" s="49">
        <v>0</v>
      </c>
      <c r="E83" s="49">
        <v>0</v>
      </c>
      <c r="F83" s="49">
        <v>0</v>
      </c>
      <c r="G83" s="142" cm="1">
        <f t="array" ref="G83">Scope3_Equations.VEERG_15_1_1_1__1_EmissionsFromPurchasedLivestock(E83,F83,$E$76)</f>
        <v>0</v>
      </c>
      <c r="H83" s="49">
        <v>0</v>
      </c>
      <c r="I83" s="64"/>
      <c r="J83" s="142" cm="1">
        <f t="array" ref="J83">Scope3_Equations.VEERG_15_1_1_1__1_EmissionsFromPurchasedLivestock(E83,H83,IF(I83, I83,$E$76))</f>
        <v>0</v>
      </c>
      <c r="K83" s="74"/>
      <c r="L83" s="47"/>
      <c r="M83" s="74"/>
    </row>
    <row r="84" spans="4:13" ht="20.100000000000001" customHeight="1" x14ac:dyDescent="0.2">
      <c r="D84" s="49">
        <v>0</v>
      </c>
      <c r="E84" s="49">
        <v>0</v>
      </c>
      <c r="F84" s="49">
        <v>0</v>
      </c>
      <c r="G84" s="142" cm="1">
        <f t="array" ref="G84">Scope3_Equations.VEERG_15_1_1_1__1_EmissionsFromPurchasedLivestock(E84,F84,$E$76)</f>
        <v>0</v>
      </c>
      <c r="H84" s="49">
        <v>0</v>
      </c>
      <c r="I84" s="64"/>
      <c r="J84" s="142" cm="1">
        <f t="array" ref="J84">Scope3_Equations.VEERG_15_1_1_1__1_EmissionsFromPurchasedLivestock(E84,H84,IF(I84, I84,$E$76))</f>
        <v>0</v>
      </c>
      <c r="K84" s="74"/>
      <c r="L84" s="47"/>
      <c r="M84" s="74"/>
    </row>
    <row r="85" spans="4:13" ht="20.100000000000001" customHeight="1" x14ac:dyDescent="0.2">
      <c r="D85" s="49">
        <v>0</v>
      </c>
      <c r="E85" s="49">
        <v>0</v>
      </c>
      <c r="F85" s="49">
        <v>0</v>
      </c>
      <c r="G85" s="142" cm="1">
        <f t="array" ref="G85">Scope3_Equations.VEERG_15_1_1_1__1_EmissionsFromPurchasedLivestock(E85,F85,$E$76)</f>
        <v>0</v>
      </c>
      <c r="H85" s="49">
        <v>0</v>
      </c>
      <c r="I85" s="64"/>
      <c r="J85" s="142" cm="1">
        <f t="array" ref="J85">Scope3_Equations.VEERG_15_1_1_1__1_EmissionsFromPurchasedLivestock(E85,H85,IF(I85, I85,$E$76))</f>
        <v>0</v>
      </c>
      <c r="K85" s="74"/>
      <c r="L85" s="47"/>
      <c r="M85" s="74"/>
    </row>
    <row r="86" spans="4:13" ht="20.100000000000001" customHeight="1" x14ac:dyDescent="0.2">
      <c r="D86" s="49">
        <v>0</v>
      </c>
      <c r="E86" s="49">
        <v>0</v>
      </c>
      <c r="F86" s="49">
        <v>0</v>
      </c>
      <c r="G86" s="142" cm="1">
        <f t="array" ref="G86">Scope3_Equations.VEERG_15_1_1_1__1_EmissionsFromPurchasedLivestock(E86,F86,$E$76)</f>
        <v>0</v>
      </c>
      <c r="H86" s="49">
        <v>0</v>
      </c>
      <c r="I86" s="64"/>
      <c r="J86" s="142" cm="1">
        <f t="array" ref="J86">Scope3_Equations.VEERG_15_1_1_1__1_EmissionsFromPurchasedLivestock(E86,H86,IF(I86, I86,$E$76))</f>
        <v>0</v>
      </c>
      <c r="K86" s="74"/>
      <c r="L86" s="47"/>
      <c r="M86" s="74"/>
    </row>
    <row r="87" spans="4:13" ht="20.100000000000001" customHeight="1" x14ac:dyDescent="0.2">
      <c r="D87" s="49">
        <v>0</v>
      </c>
      <c r="E87" s="49">
        <v>0</v>
      </c>
      <c r="F87" s="49">
        <v>0</v>
      </c>
      <c r="G87" s="142" cm="1">
        <f t="array" ref="G87">Scope3_Equations.VEERG_15_1_1_1__1_EmissionsFromPurchasedLivestock(E87,F87,$E$76)</f>
        <v>0</v>
      </c>
      <c r="H87" s="49">
        <v>0</v>
      </c>
      <c r="I87" s="64"/>
      <c r="J87" s="142" cm="1">
        <f t="array" ref="J87">Scope3_Equations.VEERG_15_1_1_1__1_EmissionsFromPurchasedLivestock(E87,H87,IF(I87, I87,$E$76))</f>
        <v>0</v>
      </c>
      <c r="K87" s="74"/>
      <c r="L87" s="47"/>
      <c r="M87" s="74"/>
    </row>
    <row r="88" spans="4:13" ht="20.100000000000001" customHeight="1" x14ac:dyDescent="0.2">
      <c r="D88" s="49">
        <v>0</v>
      </c>
      <c r="E88" s="49">
        <v>0</v>
      </c>
      <c r="F88" s="49">
        <v>0</v>
      </c>
      <c r="G88" s="142" cm="1">
        <f t="array" ref="G88">Scope3_Equations.VEERG_15_1_1_1__1_EmissionsFromPurchasedLivestock(E88,F88,$E$76)</f>
        <v>0</v>
      </c>
      <c r="H88" s="49">
        <v>0</v>
      </c>
      <c r="I88" s="64"/>
      <c r="J88" s="142" cm="1">
        <f t="array" ref="J88">Scope3_Equations.VEERG_15_1_1_1__1_EmissionsFromPurchasedLivestock(E88,H88,IF(I88, I88,$E$76))</f>
        <v>0</v>
      </c>
      <c r="K88" s="74"/>
      <c r="L88" s="47"/>
      <c r="M88" s="74"/>
    </row>
    <row r="90" spans="4:13" ht="20.100000000000001" customHeight="1" x14ac:dyDescent="0.2">
      <c r="D90" s="165" t="s">
        <v>638</v>
      </c>
      <c r="E90" s="89">
        <f>SUM(G79:G88)</f>
        <v>0.36720000000000003</v>
      </c>
      <c r="F90" s="166" t="str">
        <f>$E$11</f>
        <v>t CO2e</v>
      </c>
    </row>
    <row r="91" spans="4:13" ht="20.100000000000001" customHeight="1" x14ac:dyDescent="0.2">
      <c r="D91" s="165" t="s">
        <v>639</v>
      </c>
      <c r="E91" s="89">
        <f>SUM(J79:J88)</f>
        <v>0.35940000000000005</v>
      </c>
      <c r="F91" s="166" t="str">
        <f>$E$11</f>
        <v>t CO2e</v>
      </c>
    </row>
    <row r="93" spans="4:13" ht="20.100000000000001" customHeight="1" x14ac:dyDescent="0.2">
      <c r="D93" s="167" t="s">
        <v>628</v>
      </c>
      <c r="E93" s="168">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1475.4251999999999</v>
      </c>
      <c r="F93" s="169" t="str">
        <f>$E$11</f>
        <v>t CO2e</v>
      </c>
    </row>
    <row r="94" spans="4:13" ht="20.100000000000001" customHeight="1" x14ac:dyDescent="0.2">
      <c r="D94" s="167" t="s">
        <v>630</v>
      </c>
      <c r="E94" s="168">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1503.8644000000002</v>
      </c>
      <c r="F94" s="169" t="str">
        <f>$E$11</f>
        <v>t CO2e</v>
      </c>
    </row>
    <row r="97" spans="3:41" ht="20.100000000000001" customHeight="1" x14ac:dyDescent="0.2">
      <c r="C97" s="89"/>
      <c r="D97" s="89"/>
      <c r="E97" s="89"/>
      <c r="F97" s="89"/>
      <c r="G97" s="89"/>
      <c r="H97" s="89"/>
      <c r="I97" s="89"/>
      <c r="J97" s="89"/>
      <c r="K97" s="89"/>
      <c r="L97" s="89"/>
      <c r="M97" s="89"/>
      <c r="N97" s="89"/>
      <c r="O97" s="89"/>
      <c r="P97" s="89"/>
      <c r="Q97" s="89"/>
      <c r="R97" s="89"/>
      <c r="S97" s="89"/>
      <c r="T97" s="89"/>
      <c r="U97" s="89"/>
      <c r="V97" s="89"/>
      <c r="W97" s="89"/>
      <c r="X97" s="89"/>
      <c r="Y97" s="89"/>
      <c r="Z97" s="89"/>
      <c r="AA97" s="89"/>
      <c r="AB97" s="89"/>
      <c r="AC97" s="89"/>
      <c r="AD97" s="89"/>
      <c r="AE97" s="89"/>
      <c r="AF97" s="89"/>
      <c r="AG97" s="89"/>
      <c r="AH97" s="89"/>
      <c r="AI97" s="89"/>
      <c r="AJ97" s="89"/>
      <c r="AK97" s="89"/>
      <c r="AL97" s="89"/>
      <c r="AM97" s="89"/>
      <c r="AN97" s="89"/>
      <c r="AO97" s="89"/>
    </row>
    <row r="98" spans="3:41" ht="20.100000000000001" customHeight="1" x14ac:dyDescent="0.2">
      <c r="D98" s="9" t="str" cm="1">
        <f t="array" ref="D98">Scope3_Equations.VEERG_15_2_1_1__1_EmissionsFromPurchasedFeed_Title()</f>
        <v>Emissions from purchased feed</v>
      </c>
    </row>
    <row r="99" spans="3:41" ht="20.100000000000001" customHeight="1" x14ac:dyDescent="0.2">
      <c r="D99" s="11" t="str" cm="1">
        <f t="array" ref="D99">Scope3_Equations.VEERG_15_2_1_1__1_EmissionsFromPurchasedFeed_Source()</f>
        <v>VEERG 2026: 15.2.1.1, Equation (1)</v>
      </c>
    </row>
    <row r="100" spans="3:41" ht="20.100000000000001" customHeight="1" x14ac:dyDescent="0.2">
      <c r="D100" s="12" t="str" cm="1">
        <f t="array" ref="D100">Scope3_Equations.VEERG_15_2_1_1__1_EmissionsFromPurchasedFeed_Variation()</f>
        <v>VARIATION ON SOURCE: Input Q_j in kg instead of t to match EF units. Multiply by 10^-3 to convert kg CO2e to t CO2e.</v>
      </c>
    </row>
    <row r="101" spans="3:41" ht="20.100000000000001" customHeight="1" x14ac:dyDescent="0.2">
      <c r="D101" s="163" t="s">
        <v>621</v>
      </c>
      <c r="E101" s="163" t="str" cm="1">
        <f t="array" aca="1" ref="E101" ca="1">Common_InputFunctions.Utility_DisplayFunctionName(G120)</f>
        <v>=Scope3_Equations.VEERG_15_2_1_1__1_EmissionsFromPurchasedFeedVariation</v>
      </c>
      <c r="H101" s="12"/>
    </row>
    <row r="103" spans="3:41" ht="20.100000000000001" customHeight="1" x14ac:dyDescent="0.2">
      <c r="H103" s="163"/>
    </row>
    <row r="104" spans="3:41" ht="20.100000000000001" customHeight="1" x14ac:dyDescent="0.2">
      <c r="D104" s="27" t="s">
        <v>622</v>
      </c>
      <c r="E104" s="8" t="str" cm="1">
        <f t="array" ref="E104">Scope3_Equations.VEERG_15_2_1_1__1_EmissionsFromPurchasedFeed_Variable()</f>
        <v>E</v>
      </c>
    </row>
    <row r="105" spans="3:41" ht="20.100000000000001" customHeight="1" x14ac:dyDescent="0.2">
      <c r="D105" s="27" t="s">
        <v>97</v>
      </c>
      <c r="E105" s="13" t="str" cm="1">
        <f t="array" ref="E105">Scope3_Equations.VEERG_15_2_1_1__1_EmissionsFromPurchasedFeed_Unit()</f>
        <v>t CO2e</v>
      </c>
    </row>
    <row r="107" spans="3:41" ht="20.100000000000001" customHeight="1" x14ac:dyDescent="0.2">
      <c r="D107" s="158" t="str" cm="1">
        <f t="array" ref="D107:E109">_xlfn.CHOOSECOLS(Scope3_Equations.VEERG_15_2_1_1__1_EmissionsFromPurchasedFeed_ArgumentsVariation(),1,2)</f>
        <v>Q_j</v>
      </c>
      <c r="E107" s="162" t="str">
        <v>quantity of feed type j purchased</v>
      </c>
      <c r="F107" s="157"/>
      <c r="G107" s="158" t="str" cm="1">
        <f t="array" ref="G107:H109">_xlfn.CHOOSECOLS(Scope3_Equations.VEERG_15_2_1_1__1_EmissionsFromPurchasedFeed_ArgumentsVariation(),3,4)</f>
        <v>kg</v>
      </c>
      <c r="H107" s="159" t="str">
        <v>Input</v>
      </c>
    </row>
    <row r="108" spans="3:41" ht="20.100000000000001" customHeight="1" x14ac:dyDescent="0.2">
      <c r="D108" s="158" t="str">
        <v>EF_j</v>
      </c>
      <c r="E108" s="162" t="str">
        <v>emission factor of purchased feed</v>
      </c>
      <c r="F108" s="157"/>
      <c r="G108" s="158" t="str">
        <v>kg CO2e/kg</v>
      </c>
      <c r="H108" s="160" t="str">
        <v>Constant</v>
      </c>
    </row>
    <row r="109" spans="3:41" ht="20.100000000000001" customHeight="1" x14ac:dyDescent="0.2">
      <c r="D109" s="158" t="str">
        <v>j</v>
      </c>
      <c r="E109" s="162" t="str">
        <v>feed type</v>
      </c>
      <c r="F109" s="157"/>
      <c r="G109" s="158" t="str">
        <v/>
      </c>
      <c r="H109" s="159" t="str">
        <v>Input</v>
      </c>
    </row>
    <row r="111" spans="3:41" ht="20.100000000000001" customHeight="1" x14ac:dyDescent="0.2">
      <c r="D111" s="135" t="s">
        <v>288</v>
      </c>
    </row>
    <row r="113" spans="4:28" ht="20.100000000000001" customHeight="1" x14ac:dyDescent="0.2">
      <c r="D113" s="39" t="s">
        <v>632</v>
      </c>
      <c r="E113" s="41"/>
      <c r="F113" s="39"/>
      <c r="G113" s="40"/>
      <c r="H113" s="41"/>
    </row>
    <row r="114" spans="4:28" ht="20.100000000000001" customHeight="1" x14ac:dyDescent="0.2">
      <c r="D114" s="80" t="s">
        <v>633</v>
      </c>
      <c r="E114" s="82"/>
      <c r="F114" s="80"/>
      <c r="G114" s="81"/>
      <c r="H114" s="82"/>
    </row>
    <row r="115" spans="4:28" ht="20.100000000000001" customHeight="1" x14ac:dyDescent="0.2">
      <c r="D115" s="43" t="s">
        <v>634</v>
      </c>
      <c r="E115" s="45"/>
      <c r="F115" s="43"/>
      <c r="G115" s="44"/>
      <c r="H115" s="45"/>
    </row>
    <row r="117" spans="4:28" ht="20.100000000000001" customHeight="1" x14ac:dyDescent="0.2">
      <c r="D117" s="86" t="s">
        <v>395</v>
      </c>
      <c r="E117" s="101"/>
      <c r="F117" s="87"/>
    </row>
    <row r="119" spans="4:28" ht="20.100000000000001" customHeight="1" x14ac:dyDescent="0.2">
      <c r="D119" s="46" t="s">
        <v>399</v>
      </c>
      <c r="E119" s="46" t="s">
        <v>627</v>
      </c>
      <c r="F119" s="57" t="s">
        <v>631</v>
      </c>
      <c r="G119" s="57" t="s">
        <v>628</v>
      </c>
      <c r="H119" s="46" t="s">
        <v>629</v>
      </c>
      <c r="I119" s="57" t="s">
        <v>630</v>
      </c>
      <c r="J119" s="46" t="s">
        <v>624</v>
      </c>
      <c r="K119" s="46" t="s">
        <v>625</v>
      </c>
      <c r="L119" s="46" t="s">
        <v>626</v>
      </c>
      <c r="M119" s="57" t="s">
        <v>171</v>
      </c>
      <c r="N119" s="57" t="s">
        <v>381</v>
      </c>
      <c r="O119" s="57" t="s">
        <v>172</v>
      </c>
      <c r="P119" s="57" t="s">
        <v>343</v>
      </c>
      <c r="Q119" s="57" t="s">
        <v>173</v>
      </c>
      <c r="R119" s="57" t="s">
        <v>396</v>
      </c>
      <c r="S119" s="57" t="s">
        <v>174</v>
      </c>
      <c r="T119" s="57" t="s">
        <v>346</v>
      </c>
      <c r="U119" s="57" t="s">
        <v>175</v>
      </c>
      <c r="V119" s="57" t="s">
        <v>397</v>
      </c>
      <c r="W119" s="57" t="s">
        <v>176</v>
      </c>
      <c r="X119" s="57" t="s">
        <v>347</v>
      </c>
      <c r="Y119" s="57" t="s">
        <v>177</v>
      </c>
      <c r="Z119" s="57" t="s">
        <v>398</v>
      </c>
      <c r="AA119" s="57" t="s">
        <v>178</v>
      </c>
      <c r="AB119" s="57" t="s">
        <v>348</v>
      </c>
    </row>
    <row r="120" spans="4:28" ht="20.100000000000001" customHeight="1" x14ac:dyDescent="0.2">
      <c r="D120" s="49" cm="1">
        <f t="array" ref="D120:D129">IFERROR(INDEX(Table_Input_FeedBlends[Feed blend name], _xlfn.SEQUENCE(10)), "")</f>
        <v>0</v>
      </c>
      <c r="E120" s="49" cm="1">
        <f t="array" ref="E120:E129">IFERROR(INDEX(Table_Input_FeedBlends[Amount fed (kg)], _xlfn.SEQUENCE(10)), "")</f>
        <v>1200</v>
      </c>
      <c r="F120" s="49">
        <f t="shared" ref="F120:F129" si="0">IFERROR((O120*P120)+(S120*T120)+(W120*X120)+(AA120*AB120), 0)</f>
        <v>0.16272999999999999</v>
      </c>
      <c r="G120" s="142" cm="1">
        <f t="array" ref="G120">Scope3_Equations.VEERG_15_2_1_1__1_EmissionsFromPurchasedFeedVariation(E120,F120)</f>
        <v>0.19527599999999998</v>
      </c>
      <c r="H120" s="64">
        <v>0.04</v>
      </c>
      <c r="I120" s="142" cm="1">
        <f t="array" ref="I120">Scope3_Equations.VEERG_15_2_1_1__1_EmissionsFromPurchasedFeedVariation(E120,IF(H120,H120, F120))</f>
        <v>4.8000000000000001E-2</v>
      </c>
      <c r="J120" s="74"/>
      <c r="K120" s="47"/>
      <c r="L120"/>
      <c r="M120" s="49" t="str" cm="1">
        <f t="array" ref="M120:M129">IFERROR(INDEX(Table_Input_FeedBlends[Ingredient 1 (select)], _xlfn.SEQUENCE(10)), "")</f>
        <v>Cereal silage</v>
      </c>
      <c r="N120" s="49" t="str" cm="1">
        <f t="array" ref="N120:N129">IFERROR(INDEX(Table_Input_FeedBlends[Ingredient 1 source region], _xlfn.SEQUENCE(10)), "")</f>
        <v>SA</v>
      </c>
      <c r="O120" s="49" cm="1">
        <f t="array" ref="O120:O129">IFERROR(INDEX(Table_Input_FeedBlends[Ingredient 1 percent], _xlfn.SEQUENCE(10)), "")</f>
        <v>0.35</v>
      </c>
      <c r="P120" s="49" cm="1">
        <f t="array" ref="P120">_xlfn.LET(_xlpm.result, Common_InputFunctions.Utility_LookupValueInTableTwoColumns(M120, N120, Table_SourceData_Scope3_Feed[Product], Table_SourceData_Scope3_Feed[Region of origin], Table_SourceData_Scope3_Feed[Emissions intensity]), IF(_xlpm.result="", 0, _xlpm.result))</f>
        <v>7.0599999999999996E-2</v>
      </c>
      <c r="Q120" s="49" t="str" cm="1">
        <f t="array" ref="Q120:Q129">IFERROR(INDEX(Table_Input_FeedBlends[Ingredient 2 (select)], _xlfn.SEQUENCE(10)), "")</f>
        <v>Cereal hay</v>
      </c>
      <c r="R120" s="49" t="str" cm="1">
        <f t="array" ref="R120:R129">IFERROR(INDEX(Table_Input_FeedBlends[Ingredient 2 source region], _xlfn.SEQUENCE(10)), "")</f>
        <v>SA</v>
      </c>
      <c r="S120" s="49" cm="1">
        <f t="array" ref="S120:S129">IFERROR(INDEX(Table_Input_FeedBlends[Ingredient 2 percent], _xlfn.SEQUENCE(10)), "")</f>
        <v>0.22</v>
      </c>
      <c r="T120" s="49" cm="1">
        <f t="array" ref="T120">_xlfn.LET(_xlpm.result, Common_InputFunctions.Utility_LookupValueInTableTwoColumns(Q120, R120, Table_SourceData_Scope3_Feed[Product], Table_SourceData_Scope3_Feed[Region of origin], Table_SourceData_Scope3_Feed[Emissions intensity]), IF(_xlpm.result="", 0, _xlpm.result))</f>
        <v>0.111</v>
      </c>
      <c r="U120" s="49" t="str" cm="1">
        <f t="array" ref="U120:U129">IFERROR(INDEX(Table_Input_FeedBlends[Ingredient 3 (select)], _xlfn.SEQUENCE(10)), "")</f>
        <v>Canola oil</v>
      </c>
      <c r="V120" s="49" t="str" cm="1">
        <f t="array" ref="V120:V129">IFERROR(INDEX(Table_Input_FeedBlends[Ingredient 3 source region], _xlfn.SEQUENCE(10)), "")</f>
        <v>Australia</v>
      </c>
      <c r="W120" s="49" cm="1">
        <f t="array" ref="W120:W129">IFERROR(INDEX(Table_Input_FeedBlends[Ingredient 3 percent], _xlfn.SEQUENCE(10)), "")</f>
        <v>0.12</v>
      </c>
      <c r="X120" s="49" cm="1">
        <f t="array" ref="X120">_xlfn.LET(_xlpm.result, Common_InputFunctions.Utility_LookupValueInTableTwoColumns(U120, V120, Table_SourceData_Scope3_Feed[Product], Table_SourceData_Scope3_Feed[Region of origin], Table_SourceData_Scope3_Feed[Emissions intensity]), IF(_xlpm.result="", 0, _xlpm.result))</f>
        <v>0.87</v>
      </c>
      <c r="Y120" s="49" t="str" cm="1">
        <f t="array" ref="Y120:Y129">IFERROR(INDEX(Table_Input_FeedBlends[Ingredient 4 (select)], _xlfn.SEQUENCE(10)), "")</f>
        <v>Molasses</v>
      </c>
      <c r="Z120" s="49" t="str" cm="1">
        <f t="array" ref="Z120:Z129">IFERROR(INDEX(Table_Input_FeedBlends[Ingredient 4 source region], _xlfn.SEQUENCE(10)), "")</f>
        <v>QLD</v>
      </c>
      <c r="AA120" s="49" cm="1">
        <f t="array" ref="AA120:AA129">IFERROR(INDEX(Table_Input_FeedBlends[Ingredient 4 percent], _xlfn.SEQUENCE(10)), "")</f>
        <v>0.05</v>
      </c>
      <c r="AB120" s="49" cm="1">
        <f t="array" ref="AB120">_xlfn.LET(_xlpm.result, Common_InputFunctions.Utility_LookupValueInTableTwoColumns(Y120, Z120, Table_SourceData_Scope3_Feed[Product], Table_SourceData_Scope3_Feed[Region of origin], Table_SourceData_Scope3_Feed[Emissions intensity]), IF(_xlpm.result="", 0, _xlpm.result))</f>
        <v>0.184</v>
      </c>
    </row>
    <row r="121" spans="4:28" ht="20.100000000000001" customHeight="1" x14ac:dyDescent="0.2">
      <c r="D121" s="49">
        <v>0</v>
      </c>
      <c r="E121" s="49">
        <v>3456</v>
      </c>
      <c r="F121" s="49">
        <f t="shared" si="0"/>
        <v>4.6000000000000006E-2</v>
      </c>
      <c r="G121" s="142" cm="1">
        <f t="array" ref="G121">Scope3_Equations.VEERG_15_2_1_1__1_EmissionsFromPurchasedFeedVariation(E121,F121)</f>
        <v>0.15897600000000003</v>
      </c>
      <c r="H121" s="64">
        <v>0.03</v>
      </c>
      <c r="I121" s="142" cm="1">
        <f t="array" ref="I121">Scope3_Equations.VEERG_15_2_1_1__1_EmissionsFromPurchasedFeedVariation(E121,IF(H121,H121, F121))</f>
        <v>0.10367999999999999</v>
      </c>
      <c r="J121" s="74"/>
      <c r="K121" s="47"/>
      <c r="L121" s="74"/>
      <c r="M121" s="49" t="str">
        <v>Lucerne hay</v>
      </c>
      <c r="N121" s="49" t="str">
        <v>Australia</v>
      </c>
      <c r="O121" s="49">
        <v>0.2</v>
      </c>
      <c r="P121" s="49" cm="1">
        <f t="array" ref="P121">_xlfn.LET(_xlpm.result, Common_InputFunctions.Utility_LookupValueInTableTwoColumns(M121, N121, Table_SourceData_Scope3_Feed[Product], Table_SourceData_Scope3_Feed[Region of origin], Table_SourceData_Scope3_Feed[Emissions intensity]), IF(_xlpm.result="", 0, _xlpm.result))</f>
        <v>0.11700000000000001</v>
      </c>
      <c r="Q121" s="49" t="str">
        <v>Lucerne hay</v>
      </c>
      <c r="R121" s="49" t="str">
        <v>NSW</v>
      </c>
      <c r="S121" s="49">
        <v>0.2</v>
      </c>
      <c r="T121" s="49" cm="1">
        <f t="array" ref="T121">_xlfn.LET(_xlpm.result, Common_InputFunctions.Utility_LookupValueInTableTwoColumns(Q121, R121, Table_SourceData_Scope3_Feed[Product], Table_SourceData_Scope3_Feed[Region of origin], Table_SourceData_Scope3_Feed[Emissions intensity]), IF(_xlpm.result="", 0, _xlpm.result))</f>
        <v>0.113</v>
      </c>
      <c r="U121" s="49">
        <v>0</v>
      </c>
      <c r="V121" s="49">
        <v>0</v>
      </c>
      <c r="W121" s="49">
        <v>0</v>
      </c>
      <c r="X121" s="49"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49">
        <v>0</v>
      </c>
      <c r="Z121" s="49">
        <v>0</v>
      </c>
      <c r="AA121" s="49">
        <v>0</v>
      </c>
      <c r="AB121" s="49"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4:28" ht="20.100000000000001" customHeight="1" x14ac:dyDescent="0.2">
      <c r="D122" s="49" t="str">
        <v>Hay bales in paddock</v>
      </c>
      <c r="E122" s="49">
        <v>300</v>
      </c>
      <c r="F122" s="49">
        <f t="shared" si="0"/>
        <v>0.27800000000000002</v>
      </c>
      <c r="G122" s="142" cm="1">
        <f t="array" ref="G122">Scope3_Equations.VEERG_15_2_1_1__1_EmissionsFromPurchasedFeedVariation(E122,F122)</f>
        <v>8.3400000000000002E-2</v>
      </c>
      <c r="H122" s="64">
        <v>0.14000000000000001</v>
      </c>
      <c r="I122" s="142" cm="1">
        <f t="array" ref="I122">Scope3_Equations.VEERG_15_2_1_1__1_EmissionsFromPurchasedFeedVariation(E122,IF(H122,H122, F122))</f>
        <v>4.200000000000001E-2</v>
      </c>
      <c r="J122" s="74"/>
      <c r="K122" s="47"/>
      <c r="L122" s="74"/>
      <c r="M122" s="49" t="str">
        <v>Wheat grain</v>
      </c>
      <c r="N122" s="49" t="str">
        <v>SA</v>
      </c>
      <c r="O122" s="49">
        <v>0.8</v>
      </c>
      <c r="P122" s="49" cm="1">
        <f t="array" ref="P122">_xlfn.LET(_xlpm.result, Common_InputFunctions.Utility_LookupValueInTableTwoColumns(M122, N122, Table_SourceData_Scope3_Feed[Product], Table_SourceData_Scope3_Feed[Region of origin], Table_SourceData_Scope3_Feed[Emissions intensity]), IF(_xlpm.result="", 0, _xlpm.result))</f>
        <v>0.24099999999999999</v>
      </c>
      <c r="Q122" s="49" t="str">
        <v>Soybean meal</v>
      </c>
      <c r="R122" s="49" t="str">
        <v>Brazil</v>
      </c>
      <c r="S122" s="49">
        <v>0.2</v>
      </c>
      <c r="T122" s="49" cm="1">
        <f t="array" ref="T122">_xlfn.LET(_xlpm.result, Common_InputFunctions.Utility_LookupValueInTableTwoColumns(Q122, R122, Table_SourceData_Scope3_Feed[Product], Table_SourceData_Scope3_Feed[Region of origin], Table_SourceData_Scope3_Feed[Emissions intensity]), IF(_xlpm.result="", 0, _xlpm.result))</f>
        <v>0.42599999999999999</v>
      </c>
      <c r="U122" s="49">
        <v>0</v>
      </c>
      <c r="V122" s="49">
        <v>0</v>
      </c>
      <c r="W122" s="49">
        <v>0</v>
      </c>
      <c r="X122" s="49"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49">
        <v>0</v>
      </c>
      <c r="Z122" s="49">
        <v>0</v>
      </c>
      <c r="AA122" s="49">
        <v>0</v>
      </c>
      <c r="AB122" s="49"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4:28" ht="20.100000000000001" customHeight="1" x14ac:dyDescent="0.2">
      <c r="D123" s="49">
        <v>0</v>
      </c>
      <c r="E123" s="49">
        <v>500</v>
      </c>
      <c r="F123" s="49">
        <f t="shared" si="0"/>
        <v>0.34499999999999997</v>
      </c>
      <c r="G123" s="142" cm="1">
        <f t="array" ref="G123">Scope3_Equations.VEERG_15_2_1_1__1_EmissionsFromPurchasedFeedVariation(E123,F123)</f>
        <v>0.17250000000000001</v>
      </c>
      <c r="H123" s="64"/>
      <c r="I123" s="142" cm="1">
        <f t="array" ref="I123">Scope3_Equations.VEERG_15_2_1_1__1_EmissionsFromPurchasedFeedVariation(E123,IF(H123,H123, F123))</f>
        <v>0.17250000000000001</v>
      </c>
      <c r="J123" s="74"/>
      <c r="K123" s="47"/>
      <c r="L123" s="74"/>
      <c r="M123" s="49" t="str">
        <v>Pasture hay</v>
      </c>
      <c r="N123" s="49" t="str">
        <v>VIC</v>
      </c>
      <c r="O123" s="49">
        <v>1</v>
      </c>
      <c r="P123" s="49" cm="1">
        <f t="array" ref="P123">_xlfn.LET(_xlpm.result, Common_InputFunctions.Utility_LookupValueInTableTwoColumns(M123, N123, Table_SourceData_Scope3_Feed[Product], Table_SourceData_Scope3_Feed[Region of origin], Table_SourceData_Scope3_Feed[Emissions intensity]), IF(_xlpm.result="", 0, _xlpm.result))</f>
        <v>0.34499999999999997</v>
      </c>
      <c r="Q123" s="49">
        <v>0</v>
      </c>
      <c r="R123" s="49">
        <v>0</v>
      </c>
      <c r="S123" s="49">
        <v>0</v>
      </c>
      <c r="T123" s="49"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49">
        <v>0</v>
      </c>
      <c r="V123" s="49">
        <v>0</v>
      </c>
      <c r="W123" s="49">
        <v>0</v>
      </c>
      <c r="X123" s="49"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49">
        <v>0</v>
      </c>
      <c r="Z123" s="49">
        <v>0</v>
      </c>
      <c r="AA123" s="49">
        <v>0</v>
      </c>
      <c r="AB123" s="49"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4:28" ht="20.100000000000001" customHeight="1" x14ac:dyDescent="0.2">
      <c r="D124" s="49">
        <v>0</v>
      </c>
      <c r="E124" s="49">
        <v>0</v>
      </c>
      <c r="F124" s="49">
        <f t="shared" si="0"/>
        <v>0</v>
      </c>
      <c r="G124" s="142" cm="1">
        <f t="array" ref="G124">Scope3_Equations.VEERG_15_2_1_1__1_EmissionsFromPurchasedFeedVariation(E124,F124)</f>
        <v>0</v>
      </c>
      <c r="H124" s="64"/>
      <c r="I124" s="142" cm="1">
        <f t="array" ref="I124">Scope3_Equations.VEERG_15_2_1_1__1_EmissionsFromPurchasedFeedVariation(E124,IF(H124,H124, F124))</f>
        <v>0</v>
      </c>
      <c r="J124" s="74"/>
      <c r="K124" s="47"/>
      <c r="L124" s="74"/>
      <c r="M124" s="49">
        <v>0</v>
      </c>
      <c r="N124" s="49">
        <v>0</v>
      </c>
      <c r="O124" s="49">
        <v>0</v>
      </c>
      <c r="P124" s="49"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49">
        <v>0</v>
      </c>
      <c r="R124" s="49">
        <v>0</v>
      </c>
      <c r="S124" s="49">
        <v>0</v>
      </c>
      <c r="T124" s="49"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49">
        <v>0</v>
      </c>
      <c r="V124" s="49">
        <v>0</v>
      </c>
      <c r="W124" s="49">
        <v>0</v>
      </c>
      <c r="X124" s="49"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49">
        <v>0</v>
      </c>
      <c r="Z124" s="49">
        <v>0</v>
      </c>
      <c r="AA124" s="49">
        <v>0</v>
      </c>
      <c r="AB124" s="49"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4:28" ht="20.100000000000001" customHeight="1" x14ac:dyDescent="0.2">
      <c r="D125" s="49">
        <v>0</v>
      </c>
      <c r="E125" s="49">
        <v>0</v>
      </c>
      <c r="F125" s="49">
        <f t="shared" si="0"/>
        <v>0</v>
      </c>
      <c r="G125" s="142" cm="1">
        <f t="array" ref="G125">Scope3_Equations.VEERG_15_2_1_1__1_EmissionsFromPurchasedFeedVariation(E125,F125)</f>
        <v>0</v>
      </c>
      <c r="H125" s="64"/>
      <c r="I125" s="142" cm="1">
        <f t="array" ref="I125">Scope3_Equations.VEERG_15_2_1_1__1_EmissionsFromPurchasedFeedVariation(E125,IF(H125,H125, F125))</f>
        <v>0</v>
      </c>
      <c r="J125" s="74"/>
      <c r="K125" s="47"/>
      <c r="L125" s="74"/>
      <c r="M125" s="49">
        <v>0</v>
      </c>
      <c r="N125" s="49">
        <v>0</v>
      </c>
      <c r="O125" s="49">
        <v>0</v>
      </c>
      <c r="P125" s="49"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49">
        <v>0</v>
      </c>
      <c r="R125" s="49">
        <v>0</v>
      </c>
      <c r="S125" s="49">
        <v>0</v>
      </c>
      <c r="T125" s="49"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49">
        <v>0</v>
      </c>
      <c r="V125" s="49">
        <v>0</v>
      </c>
      <c r="W125" s="49">
        <v>0</v>
      </c>
      <c r="X125" s="49"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49">
        <v>0</v>
      </c>
      <c r="Z125" s="49">
        <v>0</v>
      </c>
      <c r="AA125" s="49">
        <v>0</v>
      </c>
      <c r="AB125" s="49"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4:28" ht="20.100000000000001" customHeight="1" x14ac:dyDescent="0.2">
      <c r="D126" s="49">
        <v>0</v>
      </c>
      <c r="E126" s="49">
        <v>0</v>
      </c>
      <c r="F126" s="49">
        <f t="shared" si="0"/>
        <v>0</v>
      </c>
      <c r="G126" s="142" cm="1">
        <f t="array" ref="G126">Scope3_Equations.VEERG_15_2_1_1__1_EmissionsFromPurchasedFeedVariation(E126,F126)</f>
        <v>0</v>
      </c>
      <c r="H126" s="64"/>
      <c r="I126" s="142" cm="1">
        <f t="array" ref="I126">Scope3_Equations.VEERG_15_2_1_1__1_EmissionsFromPurchasedFeedVariation(E126,IF(H126,H126, F126))</f>
        <v>0</v>
      </c>
      <c r="J126" s="74"/>
      <c r="K126" s="47"/>
      <c r="L126" s="74"/>
      <c r="M126" s="49">
        <v>0</v>
      </c>
      <c r="N126" s="49">
        <v>0</v>
      </c>
      <c r="O126" s="49">
        <v>0</v>
      </c>
      <c r="P126" s="49"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49">
        <v>0</v>
      </c>
      <c r="R126" s="49">
        <v>0</v>
      </c>
      <c r="S126" s="49">
        <v>0</v>
      </c>
      <c r="T126" s="49"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49">
        <v>0</v>
      </c>
      <c r="V126" s="49">
        <v>0</v>
      </c>
      <c r="W126" s="49">
        <v>0</v>
      </c>
      <c r="X126" s="49"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49">
        <v>0</v>
      </c>
      <c r="Z126" s="49">
        <v>0</v>
      </c>
      <c r="AA126" s="49">
        <v>0</v>
      </c>
      <c r="AB126" s="49"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4:28" ht="20.100000000000001" customHeight="1" x14ac:dyDescent="0.2">
      <c r="D127" s="49">
        <v>0</v>
      </c>
      <c r="E127" s="49">
        <v>0</v>
      </c>
      <c r="F127" s="49">
        <f t="shared" si="0"/>
        <v>0</v>
      </c>
      <c r="G127" s="142" cm="1">
        <f t="array" ref="G127">Scope3_Equations.VEERG_15_2_1_1__1_EmissionsFromPurchasedFeedVariation(E127,F127)</f>
        <v>0</v>
      </c>
      <c r="H127" s="64"/>
      <c r="I127" s="142" cm="1">
        <f t="array" ref="I127">Scope3_Equations.VEERG_15_2_1_1__1_EmissionsFromPurchasedFeedVariation(E127,IF(H127,H127, F127))</f>
        <v>0</v>
      </c>
      <c r="J127" s="74"/>
      <c r="K127" s="47"/>
      <c r="L127" s="74"/>
      <c r="M127" s="49">
        <v>0</v>
      </c>
      <c r="N127" s="49">
        <v>0</v>
      </c>
      <c r="O127" s="49">
        <v>0</v>
      </c>
      <c r="P127" s="49"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49">
        <v>0</v>
      </c>
      <c r="R127" s="49">
        <v>0</v>
      </c>
      <c r="S127" s="49">
        <v>0</v>
      </c>
      <c r="T127" s="49"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49">
        <v>0</v>
      </c>
      <c r="V127" s="49">
        <v>0</v>
      </c>
      <c r="W127" s="49">
        <v>0</v>
      </c>
      <c r="X127" s="49"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49">
        <v>0</v>
      </c>
      <c r="Z127" s="49">
        <v>0</v>
      </c>
      <c r="AA127" s="49">
        <v>0</v>
      </c>
      <c r="AB127" s="49"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4:28" ht="20.100000000000001" customHeight="1" x14ac:dyDescent="0.2">
      <c r="D128" s="49">
        <v>0</v>
      </c>
      <c r="E128" s="49">
        <v>0</v>
      </c>
      <c r="F128" s="49">
        <f t="shared" si="0"/>
        <v>0</v>
      </c>
      <c r="G128" s="142" cm="1">
        <f t="array" ref="G128">Scope3_Equations.VEERG_15_2_1_1__1_EmissionsFromPurchasedFeedVariation(E128,F128)</f>
        <v>0</v>
      </c>
      <c r="H128" s="64"/>
      <c r="I128" s="142" cm="1">
        <f t="array" ref="I128">Scope3_Equations.VEERG_15_2_1_1__1_EmissionsFromPurchasedFeedVariation(E128,IF(H128,H128, F128))</f>
        <v>0</v>
      </c>
      <c r="J128" s="74"/>
      <c r="K128" s="47"/>
      <c r="L128" s="74"/>
      <c r="M128" s="49">
        <v>0</v>
      </c>
      <c r="N128" s="49">
        <v>0</v>
      </c>
      <c r="O128" s="49">
        <v>0</v>
      </c>
      <c r="P128" s="49"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49">
        <v>0</v>
      </c>
      <c r="R128" s="49">
        <v>0</v>
      </c>
      <c r="S128" s="49">
        <v>0</v>
      </c>
      <c r="T128" s="49"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49">
        <v>0</v>
      </c>
      <c r="V128" s="49">
        <v>0</v>
      </c>
      <c r="W128" s="49">
        <v>0</v>
      </c>
      <c r="X128" s="49"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49">
        <v>0</v>
      </c>
      <c r="Z128" s="49">
        <v>0</v>
      </c>
      <c r="AA128" s="49">
        <v>0</v>
      </c>
      <c r="AB128" s="49"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4:28" ht="20.100000000000001" customHeight="1" x14ac:dyDescent="0.2">
      <c r="D129" s="49">
        <v>0</v>
      </c>
      <c r="E129" s="49">
        <v>0</v>
      </c>
      <c r="F129" s="49">
        <f t="shared" si="0"/>
        <v>0</v>
      </c>
      <c r="G129" s="142" cm="1">
        <f t="array" ref="G129">Scope3_Equations.VEERG_15_2_1_1__1_EmissionsFromPurchasedFeedVariation(E129,F129)</f>
        <v>0</v>
      </c>
      <c r="H129" s="64"/>
      <c r="I129" s="142" cm="1">
        <f t="array" ref="I129">Scope3_Equations.VEERG_15_2_1_1__1_EmissionsFromPurchasedFeedVariation(E129,IF(H129,H129, F129))</f>
        <v>0</v>
      </c>
      <c r="J129" s="74"/>
      <c r="K129" s="47"/>
      <c r="L129" s="74"/>
      <c r="M129" s="49">
        <v>0</v>
      </c>
      <c r="N129" s="49">
        <v>0</v>
      </c>
      <c r="O129" s="49">
        <v>0</v>
      </c>
      <c r="P129" s="49"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49">
        <v>0</v>
      </c>
      <c r="R129" s="49">
        <v>0</v>
      </c>
      <c r="S129" s="49">
        <v>0</v>
      </c>
      <c r="T129" s="49"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49">
        <v>0</v>
      </c>
      <c r="V129" s="49">
        <v>0</v>
      </c>
      <c r="W129" s="49">
        <v>0</v>
      </c>
      <c r="X129" s="49"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49">
        <v>0</v>
      </c>
      <c r="Z129" s="49">
        <v>0</v>
      </c>
      <c r="AA129" s="49">
        <v>0</v>
      </c>
      <c r="AB129" s="49"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1" spans="4:28" ht="20.100000000000001" customHeight="1" x14ac:dyDescent="0.2">
      <c r="D131" s="165" t="s">
        <v>628</v>
      </c>
      <c r="E131" s="89">
        <f>SUM(G120:G129)</f>
        <v>0.61015200000000003</v>
      </c>
      <c r="F131" s="166" t="str">
        <f>$E$105</f>
        <v>t CO2e</v>
      </c>
    </row>
    <row r="132" spans="4:28" ht="20.100000000000001" customHeight="1" x14ac:dyDescent="0.2">
      <c r="D132" s="165" t="s">
        <v>630</v>
      </c>
      <c r="E132" s="89">
        <f>SUM(I120:I129)</f>
        <v>0.36618000000000001</v>
      </c>
      <c r="F132" s="166" t="str">
        <f>$E$105</f>
        <v>t CO2e</v>
      </c>
    </row>
    <row r="135" spans="4:28" ht="20.100000000000001" customHeight="1" x14ac:dyDescent="0.2">
      <c r="D135" s="135" t="s">
        <v>393</v>
      </c>
    </row>
    <row r="136" spans="4:28" ht="20.100000000000001" customHeight="1" x14ac:dyDescent="0.2">
      <c r="D136" s="46" t="s">
        <v>212</v>
      </c>
      <c r="E136" s="46" t="s">
        <v>627</v>
      </c>
      <c r="F136" s="57" t="s">
        <v>631</v>
      </c>
      <c r="G136" s="57" t="s">
        <v>628</v>
      </c>
      <c r="H136" s="46" t="s">
        <v>629</v>
      </c>
      <c r="I136" s="57" t="s">
        <v>630</v>
      </c>
      <c r="J136" s="46" t="s">
        <v>624</v>
      </c>
      <c r="K136" s="46" t="s">
        <v>625</v>
      </c>
      <c r="L136" s="46" t="s">
        <v>626</v>
      </c>
    </row>
    <row r="137" spans="4:28" ht="20.100000000000001" customHeight="1" x14ac:dyDescent="0.2">
      <c r="D137" s="49" t="str">
        <f>'Input - Livestock farm Inputs'!D12</f>
        <v>Feed for chickens</v>
      </c>
      <c r="E137" s="49">
        <f>IFERROR(X_Cell_FarmInputs_FeedRations_Chickens, 0)</f>
        <v>100</v>
      </c>
      <c r="F137" s="49" cm="1">
        <f t="array" ref="F137">Common_InputFunctions.Utility_LookupValueInTableNumber(D137,Table_SourceData_Scope3_MixedRations[Product],Table_SourceData_Scope3_MixedRations[Emissions intensity])</f>
        <v>0.59399999999999997</v>
      </c>
      <c r="G137" s="142" cm="1">
        <f t="array" ref="G137">Scope3_Equations.VEERG_15_2_1_1__1_EmissionsFromPurchasedFeedVariation(E137,F137)</f>
        <v>5.9400000000000001E-2</v>
      </c>
      <c r="H137" s="64">
        <v>0.5</v>
      </c>
      <c r="I137" s="142" cm="1">
        <f t="array" ref="I137">Scope3_Equations.VEERG_15_2_1_1__1_EmissionsFromPurchasedFeedVariation(E137,IF(H137,H137, F137))</f>
        <v>0.05</v>
      </c>
      <c r="J137" s="74"/>
      <c r="K137" s="47"/>
      <c r="L137" s="74"/>
    </row>
    <row r="138" spans="4:28" ht="20.100000000000001" customHeight="1" x14ac:dyDescent="0.2">
      <c r="D138" s="49" t="str">
        <f>'Input - Livestock farm Inputs'!D13</f>
        <v>Feed for dairy calves</v>
      </c>
      <c r="E138" s="49">
        <f>IFERROR(X_Cell_FarmInputs_FeedRations_DairyCalves, 0)</f>
        <v>100</v>
      </c>
      <c r="F138" s="49" cm="1">
        <f t="array" ref="F138">Common_InputFunctions.Utility_LookupValueInTableNumber(D138,Table_SourceData_Scope3_MixedRations[Product],Table_SourceData_Scope3_MixedRations[Emissions intensity])</f>
        <v>0.41899999999999998</v>
      </c>
      <c r="G138" s="142" cm="1">
        <f t="array" ref="G138">Scope3_Equations.VEERG_15_2_1_1__1_EmissionsFromPurchasedFeedVariation(E138,F138)</f>
        <v>4.19E-2</v>
      </c>
      <c r="H138" s="64">
        <v>0.4</v>
      </c>
      <c r="I138" s="142" cm="1">
        <f t="array" ref="I138">Scope3_Equations.VEERG_15_2_1_1__1_EmissionsFromPurchasedFeedVariation(E138,IF(H138,H138, F138))</f>
        <v>0.04</v>
      </c>
      <c r="J138" s="74"/>
      <c r="K138" s="47"/>
      <c r="L138" s="74"/>
    </row>
    <row r="139" spans="4:28" ht="20.100000000000001" customHeight="1" x14ac:dyDescent="0.2">
      <c r="D139" s="49" t="str">
        <f>'Input - Livestock farm Inputs'!D14</f>
        <v>Feed for dairy cows</v>
      </c>
      <c r="E139" s="49">
        <f>IFERROR(X_Cell_FarmInputs_FeedRations_DairyCows, 0)</f>
        <v>100</v>
      </c>
      <c r="F139" s="49" cm="1">
        <f t="array" ref="F139">Common_InputFunctions.Utility_LookupValueInTableNumber(D139,Table_SourceData_Scope3_MixedRations[Product],Table_SourceData_Scope3_MixedRations[Emissions intensity])</f>
        <v>0.33300000000000002</v>
      </c>
      <c r="G139" s="142" cm="1">
        <f t="array" ref="G139">Scope3_Equations.VEERG_15_2_1_1__1_EmissionsFromPurchasedFeedVariation(E139,F139)</f>
        <v>3.3300000000000003E-2</v>
      </c>
      <c r="H139" s="64">
        <v>0</v>
      </c>
      <c r="I139" s="142" cm="1">
        <f t="array" ref="I139">Scope3_Equations.VEERG_15_2_1_1__1_EmissionsFromPurchasedFeedVariation(E139,IF(H139,H139, F139))</f>
        <v>3.3300000000000003E-2</v>
      </c>
      <c r="J139" s="74"/>
      <c r="K139" s="47"/>
      <c r="L139" s="74"/>
    </row>
    <row r="140" spans="4:28" ht="20.100000000000001" customHeight="1" x14ac:dyDescent="0.2">
      <c r="D140" s="49" t="str">
        <f>'Input - Livestock farm Inputs'!D15</f>
        <v>Feed for pigs</v>
      </c>
      <c r="E140" s="49">
        <f>IFERROR(X_Cell_FarmInputs_FeedRations_Pigs, 0)</f>
        <v>100</v>
      </c>
      <c r="F140" s="49" cm="1">
        <f t="array" ref="F140">Common_InputFunctions.Utility_LookupValueInTableNumber(D140,Table_SourceData_Scope3_MixedRations[Product],Table_SourceData_Scope3_MixedRations[Emissions intensity])</f>
        <v>0.40300000000000002</v>
      </c>
      <c r="G140" s="142" cm="1">
        <f t="array" ref="G140">Scope3_Equations.VEERG_15_2_1_1__1_EmissionsFromPurchasedFeedVariation(E140,F140)</f>
        <v>4.0300000000000002E-2</v>
      </c>
      <c r="H140" s="64">
        <v>0</v>
      </c>
      <c r="I140" s="142" cm="1">
        <f t="array" ref="I140">Scope3_Equations.VEERG_15_2_1_1__1_EmissionsFromPurchasedFeedVariation(E140,IF(H140,H140, F140))</f>
        <v>4.0300000000000002E-2</v>
      </c>
      <c r="J140" s="74"/>
      <c r="K140" s="47"/>
      <c r="L140" s="74"/>
    </row>
    <row r="142" spans="4:28" ht="20.100000000000001" customHeight="1" x14ac:dyDescent="0.2">
      <c r="D142" s="165" t="s">
        <v>628</v>
      </c>
      <c r="E142" s="89">
        <f>SUM(G137:G140)</f>
        <v>0.1749</v>
      </c>
      <c r="F142" s="166" t="str">
        <f>$E$105</f>
        <v>t CO2e</v>
      </c>
    </row>
    <row r="143" spans="4:28" ht="20.100000000000001" customHeight="1" x14ac:dyDescent="0.2">
      <c r="D143" s="165" t="s">
        <v>630</v>
      </c>
      <c r="E143" s="89">
        <f>SUM(I137:I140)</f>
        <v>0.1636</v>
      </c>
      <c r="F143" s="166" t="str">
        <f>$E$105</f>
        <v>t CO2e</v>
      </c>
    </row>
    <row r="146" spans="4:12" ht="20.100000000000001" customHeight="1" x14ac:dyDescent="0.2">
      <c r="D146" s="135" t="s">
        <v>925</v>
      </c>
    </row>
    <row r="147" spans="4:12" ht="20.100000000000001" customHeight="1" x14ac:dyDescent="0.2">
      <c r="D147" s="46" t="s">
        <v>212</v>
      </c>
      <c r="E147" s="46" t="s">
        <v>627</v>
      </c>
      <c r="F147" s="57" t="s">
        <v>631</v>
      </c>
      <c r="G147" s="57" t="s">
        <v>628</v>
      </c>
      <c r="H147" s="46" t="s">
        <v>629</v>
      </c>
      <c r="I147" s="57" t="s">
        <v>630</v>
      </c>
      <c r="J147" s="46" t="s">
        <v>624</v>
      </c>
      <c r="K147" s="46" t="s">
        <v>625</v>
      </c>
      <c r="L147" s="46" t="s">
        <v>626</v>
      </c>
    </row>
    <row r="148" spans="4:12" ht="20.100000000000001" customHeight="1" x14ac:dyDescent="0.2">
      <c r="D148" s="49" t="str">
        <f>'Input - Aquaculture inputs'!D7</f>
        <v>Sardines (whole) from South Australia</v>
      </c>
      <c r="E148" s="49">
        <f>IFERROR(X_Cell_Input_AquacultureInput_SardinesSouthAustralia, 0)</f>
        <v>100</v>
      </c>
      <c r="F148" s="49" cm="1">
        <f t="array" ref="F148">Common_InputFunctions.Utility_LookupValueInTableNumber("Sardines (whole)" &amp;"SA", Table_SourceData_Scope3_FishFeedAndBait[Product]&amp;Table_SourceData_Scope3_FishFeedAndBait[Region of origin], Table_SourceData_Scope3_FishFeedAndBait[Emissions intensity])</f>
        <v>0.376</v>
      </c>
      <c r="G148" s="142" cm="1">
        <f t="array" ref="G148">Scope3_Equations.VEERG_15_2_1_1__1_EmissionsFromPurchasedFeedVariation(E148,F148)</f>
        <v>3.7600000000000001E-2</v>
      </c>
      <c r="H148" s="64">
        <v>0.2</v>
      </c>
      <c r="I148" s="142" cm="1">
        <f t="array" ref="I148">Scope3_Equations.VEERG_15_2_1_1__1_EmissionsFromPurchasedFeedVariation(E148,IF(H148,H148, F148))</f>
        <v>0.02</v>
      </c>
      <c r="J148" s="74"/>
      <c r="K148" s="74"/>
      <c r="L148" s="74"/>
    </row>
    <row r="149" spans="4:12" ht="20.100000000000001" customHeight="1" x14ac:dyDescent="0.2">
      <c r="D149" s="49" t="str">
        <f>'Input - Aquaculture inputs'!D8</f>
        <v>Sardines (whole) from the rest of Australia</v>
      </c>
      <c r="E149" s="49">
        <f>IFERROR(X_Cell_Input_AquacultureInput_SardinesAustralia, 0)</f>
        <v>100</v>
      </c>
      <c r="F149" s="49"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142" cm="1">
        <f t="array" ref="G149">Scope3_Equations.VEERG_15_2_1_1__1_EmissionsFromPurchasedFeedVariation(E149,F149)</f>
        <v>0.03</v>
      </c>
      <c r="H149" s="64">
        <v>0</v>
      </c>
      <c r="I149" s="142" cm="1">
        <f t="array" ref="I149">Scope3_Equations.VEERG_15_2_1_1__1_EmissionsFromPurchasedFeedVariation(E149,IF(H149,H149, F149))</f>
        <v>0.03</v>
      </c>
      <c r="J149" s="74"/>
      <c r="K149" s="74"/>
      <c r="L149" s="74"/>
    </row>
    <row r="150" spans="4:12" ht="20.100000000000001" customHeight="1" x14ac:dyDescent="0.2">
      <c r="D150" s="49" t="str">
        <f>'Input - Aquaculture inputs'!D9</f>
        <v>Low Animal Protein Formulated Feed</v>
      </c>
      <c r="E150" s="49">
        <f>IFERROR(X_Cell_Input_AquacultureInput_LowAnimalProteinFormulatedFeed, 0)</f>
        <v>100</v>
      </c>
      <c r="F150" s="49" cm="1">
        <f t="array" ref="F150">Common_InputFunctions.Utility_LookupValueInTableNumber(D150&amp;"Australia", Table_SourceData_Scope3_FishFeedAndBait[Product]&amp;Table_SourceData_Scope3_FishFeedAndBait[Region of origin], Table_SourceData_Scope3_FishFeedAndBait[Emissions intensity])</f>
        <v>2.2000000000000002</v>
      </c>
      <c r="G150" s="142" cm="1">
        <f t="array" ref="G150">Scope3_Equations.VEERG_15_2_1_1__1_EmissionsFromPurchasedFeedVariation(E150,F150)</f>
        <v>0.22000000000000003</v>
      </c>
      <c r="H150" s="64">
        <v>0</v>
      </c>
      <c r="I150" s="142" cm="1">
        <f t="array" ref="I150">Scope3_Equations.VEERG_15_2_1_1__1_EmissionsFromPurchasedFeedVariation(E150,IF(H150,H150, F150))</f>
        <v>0.22000000000000003</v>
      </c>
      <c r="J150" s="74"/>
      <c r="K150" s="74"/>
      <c r="L150" s="74"/>
    </row>
    <row r="151" spans="4:12" ht="20.100000000000001" customHeight="1" x14ac:dyDescent="0.2">
      <c r="D151" s="49" t="str">
        <f>'Input - Aquaculture inputs'!D10</f>
        <v>Squid</v>
      </c>
      <c r="E151" s="49">
        <f>IFERROR(X_Cell_Input_AquacultureInput_Squid, 0)</f>
        <v>100</v>
      </c>
      <c r="F151" s="49" cm="1">
        <f t="array" ref="F151">Common_InputFunctions.Utility_LookupValueInTableNumber(D151&amp;"Australia", Table_SourceData_Scope3_FishFeedAndBait[Product]&amp;Table_SourceData_Scope3_FishFeedAndBait[Region of origin], Table_SourceData_Scope3_FishFeedAndBait[Emissions intensity])</f>
        <v>0.3</v>
      </c>
      <c r="G151" s="142" cm="1">
        <f t="array" ref="G151">Scope3_Equations.VEERG_15_2_1_1__1_EmissionsFromPurchasedFeedVariation(E151,F151)</f>
        <v>0.03</v>
      </c>
      <c r="H151" s="64">
        <v>0</v>
      </c>
      <c r="I151" s="142" cm="1">
        <f t="array" ref="I151">Scope3_Equations.VEERG_15_2_1_1__1_EmissionsFromPurchasedFeedVariation(E151,IF(H151,H151, F151))</f>
        <v>0.03</v>
      </c>
      <c r="J151" s="74"/>
      <c r="K151" s="74"/>
      <c r="L151" s="74"/>
    </row>
    <row r="152" spans="4:12" ht="20.100000000000001" customHeight="1" x14ac:dyDescent="0.2">
      <c r="D152" s="49" t="str">
        <f>'Input - Aquaculture inputs'!D11</f>
        <v>Whole fish</v>
      </c>
      <c r="E152" s="49">
        <f>IFERROR(X_Cell_Input_AquacultureInput_WholeFish, 0)</f>
        <v>100</v>
      </c>
      <c r="F152" s="49" cm="1">
        <f t="array" ref="F152">Common_InputFunctions.Utility_LookupValueInTableNumber(D152&amp;"Australia", Table_SourceData_Scope3_FishFeedAndBait[Product]&amp;Table_SourceData_Scope3_FishFeedAndBait[Region of origin], Table_SourceData_Scope3_FishFeedAndBait[Emissions intensity])</f>
        <v>0.3</v>
      </c>
      <c r="G152" s="142" cm="1">
        <f t="array" ref="G152">Scope3_Equations.VEERG_15_2_1_1__1_EmissionsFromPurchasedFeedVariation(E152,F152)</f>
        <v>0.03</v>
      </c>
      <c r="H152" s="64">
        <v>0</v>
      </c>
      <c r="I152" s="142" cm="1">
        <f t="array" ref="I152">Scope3_Equations.VEERG_15_2_1_1__1_EmissionsFromPurchasedFeedVariation(E152,IF(H152,H152, F152))</f>
        <v>0.03</v>
      </c>
      <c r="J152" s="74"/>
      <c r="K152" s="74"/>
      <c r="L152" s="74"/>
    </row>
    <row r="153" spans="4:12" ht="20.100000000000001" customHeight="1" x14ac:dyDescent="0.2">
      <c r="D153" s="49" t="str">
        <f>'Input - Aquaculture inputs'!D12</f>
        <v>Custom Bait</v>
      </c>
      <c r="E153" s="49">
        <f>IFERROR(X_Cell_Input_AquacultureInput_CustomBait, 0)</f>
        <v>100</v>
      </c>
      <c r="F153" s="49" cm="1">
        <f t="array" ref="F153">Common_InputFunctions.Utility_LookupValueInTableNumber(D153&amp;"Australia", Table_SourceData_Scope3_FishFeedAndBait[Product]&amp;Table_SourceData_Scope3_FishFeedAndBait[Region of origin], Table_SourceData_Scope3_FishFeedAndBait[Emissions intensity])</f>
        <v>0.08</v>
      </c>
      <c r="G153" s="142" cm="1">
        <f t="array" ref="G153">Scope3_Equations.VEERG_15_2_1_1__1_EmissionsFromPurchasedFeedVariation(E153,F153)</f>
        <v>8.0000000000000002E-3</v>
      </c>
      <c r="H153" s="64">
        <v>0</v>
      </c>
      <c r="I153" s="142" cm="1">
        <f t="array" ref="I153">Scope3_Equations.VEERG_15_2_1_1__1_EmissionsFromPurchasedFeedVariation(E153,IF(H153,H153, F153))</f>
        <v>8.0000000000000002E-3</v>
      </c>
      <c r="J153" s="74"/>
      <c r="K153" s="74"/>
      <c r="L153" s="74"/>
    </row>
    <row r="155" spans="4:12" ht="20.100000000000001" customHeight="1" x14ac:dyDescent="0.2">
      <c r="D155" s="165" t="s">
        <v>628</v>
      </c>
      <c r="E155" s="89">
        <f>SUM(G148:G153)</f>
        <v>0.35560000000000003</v>
      </c>
      <c r="F155" s="166" t="str">
        <f>$E$105</f>
        <v>t CO2e</v>
      </c>
    </row>
    <row r="156" spans="4:12" ht="20.100000000000001" customHeight="1" x14ac:dyDescent="0.2">
      <c r="D156" s="165" t="s">
        <v>630</v>
      </c>
      <c r="E156" s="89">
        <f>SUM(I148:I153)</f>
        <v>0.33800000000000008</v>
      </c>
      <c r="F156" s="166" t="str">
        <f>$E$105</f>
        <v>t CO2e</v>
      </c>
    </row>
    <row r="159" spans="4:12" ht="20.100000000000001" customHeight="1" x14ac:dyDescent="0.2">
      <c r="D159" s="167" t="s">
        <v>628</v>
      </c>
      <c r="E159" s="168">
        <f>E131+E142+E155</f>
        <v>1.1406520000000002</v>
      </c>
      <c r="F159" s="169" t="str">
        <f>$E$105</f>
        <v>t CO2e</v>
      </c>
    </row>
    <row r="160" spans="4:12" ht="20.100000000000001" customHeight="1" x14ac:dyDescent="0.2">
      <c r="D160" s="167" t="s">
        <v>630</v>
      </c>
      <c r="E160" s="168">
        <f>E132+E143+E156</f>
        <v>0.86778000000000011</v>
      </c>
      <c r="F160" s="169" t="str">
        <f>$E$105</f>
        <v>t CO2e</v>
      </c>
    </row>
    <row r="163" spans="3:41" ht="20.100000000000001" customHeight="1" x14ac:dyDescent="0.2">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c r="AB163" s="89"/>
      <c r="AC163" s="89"/>
      <c r="AD163" s="89"/>
      <c r="AE163" s="89"/>
      <c r="AF163" s="89"/>
      <c r="AG163" s="89"/>
      <c r="AH163" s="89"/>
      <c r="AI163" s="89"/>
      <c r="AJ163" s="89"/>
      <c r="AK163" s="89"/>
      <c r="AL163" s="89"/>
      <c r="AM163" s="89"/>
      <c r="AN163" s="89"/>
      <c r="AO163" s="89"/>
    </row>
    <row r="164" spans="3:41" ht="20.100000000000001" customHeight="1" x14ac:dyDescent="0.2">
      <c r="D164" s="9" t="str" cm="1">
        <f t="array" ref="D164">Scope3_Equations.VEERG_15_3_1_1__1_EmissionsFromPurchasedMineralSupplements_Title()</f>
        <v>Total emissions from purchased mineral supplements</v>
      </c>
    </row>
    <row r="165" spans="3:41" ht="20.100000000000001" customHeight="1" x14ac:dyDescent="0.2">
      <c r="D165" s="11" t="str" cm="1">
        <f t="array" ref="D165">Scope3_Equations.VEERG_15_3_1_1__1_EmissionsFromPurchasedMineralSupplements_Source()</f>
        <v>VEERG 2026: 15.3.1.1, Equation (1)</v>
      </c>
    </row>
    <row r="166" spans="3:41" ht="20.100000000000001" customHeight="1" x14ac:dyDescent="0.2">
      <c r="D166" s="163" t="s">
        <v>621</v>
      </c>
      <c r="E166" s="163" t="str" cm="1">
        <f t="array" aca="1" ref="E166" ca="1">Common_InputFunctions.Utility_DisplayFunctionName(G177)</f>
        <v>=Scope3_Equations.VEERG_15_3_1_1__1_EmissionsFromPurchasedMineralSupplementsVariation</v>
      </c>
    </row>
    <row r="168" spans="3:41" ht="20.100000000000001" customHeight="1" x14ac:dyDescent="0.2">
      <c r="F168" s="12" t="str" cm="1">
        <f t="array" ref="F168">Scope3_Equations.VEERG_15_3_1_1__1_EmissionsFromPurchasedMineralSupplements_Variation()</f>
        <v>VARIATION ON SOURCE: Input Q_j in kg instead of t to match EF units. Multiply by 10^-3 to convert kg CO2e to t CO2e.</v>
      </c>
      <c r="H168" s="163"/>
    </row>
    <row r="169" spans="3:41" ht="20.100000000000001" customHeight="1" x14ac:dyDescent="0.2">
      <c r="D169" s="27" t="s">
        <v>622</v>
      </c>
      <c r="E169" s="8" t="str" cm="1">
        <f t="array" ref="E169">Scope3_Equations.VEERG_15_3_1_1__1_EmissionsFromPurchasedMineralSupplements_Variable()</f>
        <v>E</v>
      </c>
    </row>
    <row r="170" spans="3:41" ht="20.100000000000001" customHeight="1" x14ac:dyDescent="0.2">
      <c r="D170" s="27" t="s">
        <v>97</v>
      </c>
      <c r="E170" s="13" t="str" cm="1">
        <f t="array" ref="E170">Scope3_Equations.VEERG_15_3_1_1__1_EmissionsFromPurchasedMineralSupplements_Unit()</f>
        <v>t CO2e</v>
      </c>
    </row>
    <row r="172" spans="3:41" ht="20.100000000000001" customHeight="1" x14ac:dyDescent="0.2">
      <c r="D172" s="158" t="str" cm="1">
        <f t="array" ref="D172:E174">_xlfn.CHOOSECOLS(Scope3_Equations.VEERG_15_3_1_1__1_EmissionsFromPurchasedMineralSupplements_ArgumentsVariation(),1,2)</f>
        <v>Q_m</v>
      </c>
      <c r="E172" s="162" t="str">
        <v>total quantity of mineral supplement type m used</v>
      </c>
      <c r="F172" s="157"/>
      <c r="G172" s="158" t="str" cm="1">
        <f t="array" ref="G172:H174">_xlfn.CHOOSECOLS(Scope3_Equations.VEERG_15_3_1_1__1_EmissionsFromPurchasedMineralSupplements_ArgumentsVariation(),3,4)</f>
        <v>kg</v>
      </c>
      <c r="H172" s="159" t="str">
        <v>Input</v>
      </c>
    </row>
    <row r="173" spans="3:41" ht="20.100000000000001" customHeight="1" x14ac:dyDescent="0.2">
      <c r="D173" s="158" t="str">
        <v>EF_m</v>
      </c>
      <c r="E173" s="162" t="str">
        <v>emission factor of purchased mineral supplement</v>
      </c>
      <c r="F173" s="157"/>
      <c r="G173" s="158" t="str">
        <v>kg CO2e/kg</v>
      </c>
      <c r="H173" s="159" t="str">
        <v>Constant</v>
      </c>
    </row>
    <row r="174" spans="3:41" ht="20.100000000000001" customHeight="1" x14ac:dyDescent="0.2">
      <c r="D174" s="158" t="str">
        <v>m</v>
      </c>
      <c r="E174" s="162" t="str">
        <v>mineral supplement type</v>
      </c>
      <c r="F174" s="157"/>
      <c r="G174" s="158" t="str">
        <v/>
      </c>
      <c r="H174" s="160" t="str">
        <v>Input</v>
      </c>
    </row>
    <row r="176" spans="3:41" ht="20.100000000000001" customHeight="1" x14ac:dyDescent="0.2">
      <c r="D176" s="46" t="s">
        <v>212</v>
      </c>
      <c r="E176" s="46" t="s">
        <v>635</v>
      </c>
      <c r="F176" s="57" t="s">
        <v>636</v>
      </c>
      <c r="G176" s="57" t="s">
        <v>628</v>
      </c>
      <c r="H176" s="46" t="s">
        <v>637</v>
      </c>
      <c r="I176" s="57" t="s">
        <v>630</v>
      </c>
      <c r="J176" s="46" t="s">
        <v>624</v>
      </c>
      <c r="K176" s="46" t="s">
        <v>625</v>
      </c>
      <c r="L176" s="46" t="s">
        <v>626</v>
      </c>
    </row>
    <row r="177" spans="3:41" ht="20.100000000000001" customHeight="1" x14ac:dyDescent="0.2">
      <c r="D177" s="49" t="str">
        <f>'Input - Livestock farm Inputs'!D7</f>
        <v>Lick block, dry season mix</v>
      </c>
      <c r="E177" s="49">
        <f>IFERROR(X_Cell_FarmInputs_LickBlocks_DrySeasonMix, 0)</f>
        <v>100</v>
      </c>
      <c r="F177" s="49" cm="1">
        <f t="array" ref="F177">Common_InputFunctions.Utility_LookupValueInTableNumber(D177,Table_SourceData_Scope3_LickBlocks[Product],Table_SourceData_Scope3_LickBlocks[Emissions intensity])</f>
        <v>0.88100000000000001</v>
      </c>
      <c r="G177" s="142" cm="1">
        <f t="array" ref="G177">Scope3_Equations.VEERG_15_3_1_1__1_EmissionsFromPurchasedMineralSupplementsVariation(E177,F177)</f>
        <v>8.8099999999999998E-2</v>
      </c>
      <c r="H177" s="64">
        <v>0.8</v>
      </c>
      <c r="I177" s="142" cm="1">
        <f t="array" ref="I177">Scope3_Equations.VEERG_15_3_1_1__1_EmissionsFromPurchasedMineralSupplementsVariation(E177,IF(H177, H177, F177))</f>
        <v>0.08</v>
      </c>
      <c r="J177" s="74"/>
      <c r="K177" s="47"/>
      <c r="L177" s="74"/>
    </row>
    <row r="178" spans="3:41" ht="20.100000000000001" customHeight="1" x14ac:dyDescent="0.2">
      <c r="D178" s="49" t="str">
        <f>'Input - Livestock farm Inputs'!D8</f>
        <v>Lick block, mineral</v>
      </c>
      <c r="E178" s="49">
        <f>IFERROR(X_Cell_FarmInputs_LickBlocks_Mineral, 0)</f>
        <v>100</v>
      </c>
      <c r="F178" s="49" cm="1">
        <f t="array" ref="F178">Common_InputFunctions.Utility_LookupValueInTableNumber(D178,Table_SourceData_Scope3_LickBlocks[Product],Table_SourceData_Scope3_LickBlocks[Emissions intensity])</f>
        <v>0.67700000000000005</v>
      </c>
      <c r="G178" s="142" cm="1">
        <f t="array" ref="G178">Scope3_Equations.VEERG_15_3_1_1__1_EmissionsFromPurchasedMineralSupplementsVariation(E178,F178)</f>
        <v>6.770000000000001E-2</v>
      </c>
      <c r="H178" s="64">
        <v>0.6</v>
      </c>
      <c r="I178" s="142" cm="1">
        <f t="array" ref="I178">Scope3_Equations.VEERG_15_3_1_1__1_EmissionsFromPurchasedMineralSupplementsVariation(E178,IF(H178, H178, F178))</f>
        <v>0.06</v>
      </c>
      <c r="J178" s="74"/>
      <c r="K178" s="47"/>
      <c r="L178" s="74"/>
    </row>
    <row r="179" spans="3:41" ht="20.100000000000001" customHeight="1" x14ac:dyDescent="0.2">
      <c r="D179" s="49" t="str">
        <f>'Input - Livestock farm Inputs'!D9</f>
        <v>Lick block, weaner</v>
      </c>
      <c r="E179" s="49">
        <f>IFERROR(X_Cell_FarmInputs_LickBlocks_Weaner, 0)</f>
        <v>100</v>
      </c>
      <c r="F179" s="49" cm="1">
        <f t="array" ref="F179">Common_InputFunctions.Utility_LookupValueInTableNumber(D179,Table_SourceData_Scope3_LickBlocks[Product],Table_SourceData_Scope3_LickBlocks[Emissions intensity])</f>
        <v>0.23100000000000001</v>
      </c>
      <c r="G179" s="142" cm="1">
        <f t="array" ref="G179">Scope3_Equations.VEERG_15_3_1_1__1_EmissionsFromPurchasedMineralSupplementsVariation(E179,F179)</f>
        <v>2.3100000000000002E-2</v>
      </c>
      <c r="H179" s="64">
        <v>0.2</v>
      </c>
      <c r="I179" s="142" cm="1">
        <f t="array" ref="I179">Scope3_Equations.VEERG_15_3_1_1__1_EmissionsFromPurchasedMineralSupplementsVariation(E179,IF(H179, H179, F179))</f>
        <v>0.02</v>
      </c>
      <c r="J179" s="74"/>
      <c r="K179" s="47"/>
      <c r="L179" s="74"/>
    </row>
    <row r="181" spans="3:41" ht="20.100000000000001" customHeight="1" x14ac:dyDescent="0.2">
      <c r="D181" s="167" t="s">
        <v>628</v>
      </c>
      <c r="E181" s="168">
        <f>SUM(G177:G179)</f>
        <v>0.1789</v>
      </c>
      <c r="F181" s="169" t="str">
        <f>$E$170</f>
        <v>t CO2e</v>
      </c>
    </row>
    <row r="182" spans="3:41" ht="20.100000000000001" customHeight="1" x14ac:dyDescent="0.2">
      <c r="D182" s="167" t="s">
        <v>630</v>
      </c>
      <c r="E182" s="168">
        <f>SUM(I177:I179)</f>
        <v>0.16</v>
      </c>
      <c r="F182" s="169" t="str">
        <f>$E$170</f>
        <v>t CO2e</v>
      </c>
    </row>
    <row r="185" spans="3:41" ht="20.100000000000001" customHeight="1" x14ac:dyDescent="0.2">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c r="AF185" s="89"/>
      <c r="AG185" s="89"/>
      <c r="AH185" s="89"/>
      <c r="AI185" s="89"/>
      <c r="AJ185" s="89"/>
      <c r="AK185" s="89"/>
      <c r="AL185" s="89"/>
      <c r="AM185" s="89"/>
      <c r="AN185" s="89"/>
      <c r="AO185" s="89"/>
    </row>
    <row r="186" spans="3:41" ht="20.100000000000001" customHeight="1" x14ac:dyDescent="0.2">
      <c r="D186" s="9" t="str" cm="1">
        <f t="array" ref="D186">Scope3_Equations.VEERG_15_4_1_1__X_EmissionFactorFromPurchasedFertiliserComponents_Title()</f>
        <v>Emission factor for fertiliser product derived from components</v>
      </c>
    </row>
    <row r="187" spans="3:41" ht="20.100000000000001" customHeight="1" x14ac:dyDescent="0.2">
      <c r="D187" s="11" t="str" cm="1">
        <f t="array" ref="D187">Scope3_Equations.VEERG_15_4_1_1__X_EmissionFactorFromPurchasedFertiliserComponents_Source()</f>
        <v>GAF</v>
      </c>
    </row>
    <row r="188" spans="3:41" ht="20.100000000000001" customHeight="1" x14ac:dyDescent="0.2">
      <c r="D188" s="12" t="str" cm="1">
        <f t="array" ref="D188">Scope3_Equations.VEERG_15_4_1_1__X_EmissionFactorFromPurchasedFertiliserComponents_Variation()</f>
        <v>VARIATION ON SOURCE: This equation is added to calculate an EF value from fertiliser components that can be used in 15.4.1.1 (1)</v>
      </c>
    </row>
    <row r="189" spans="3:41" ht="20.100000000000001" customHeight="1" x14ac:dyDescent="0.2">
      <c r="D189" s="163" t="s">
        <v>621</v>
      </c>
      <c r="E189" s="163" t="str" cm="1">
        <f t="array" aca="1" ref="E189" ca="1">Common_InputFunctions.Utility_DisplayFunctionName(F236)</f>
        <v>=Scope3_Equations.VEERG_15_4_1_1__X_EmissionFactorFromPurchasedFertiliserComponents</v>
      </c>
    </row>
    <row r="192" spans="3:41" ht="20.100000000000001" customHeight="1" x14ac:dyDescent="0.2">
      <c r="D192" s="27" t="s">
        <v>622</v>
      </c>
      <c r="E192" s="8" t="str" cm="1">
        <f t="array" ref="E192">Scope3_Equations.VEERG_15_4_1_1__X_EmissionFactorFromPurchasedFertiliserComponents_Variable()</f>
        <v>EF_f</v>
      </c>
    </row>
    <row r="193" spans="4:8" ht="20.100000000000001" customHeight="1" x14ac:dyDescent="0.2">
      <c r="D193" s="27" t="s">
        <v>97</v>
      </c>
      <c r="E193" s="13" t="str" cm="1">
        <f t="array" ref="E193">Scope3_Equations.VEERG_15_4_1_1__X_EmissionFactorFromPurchasedFertiliserComponents_Unit()</f>
        <v>kg CO2e/kg fertiliser</v>
      </c>
    </row>
    <row r="195" spans="4:8" ht="20.100000000000001" customHeight="1" x14ac:dyDescent="0.2">
      <c r="D195" s="158" t="str" cm="1">
        <f t="array" ref="D195:E198">_xlfn.CHOOSECOLS(Scope3_Equations.VEERG_15_4_1_1__X_EmissionFactorFromPurchasedFertiliserComponents_Arguments(),1,2)</f>
        <v>F_cf</v>
      </c>
      <c r="E195" s="162" t="str">
        <v>fraction of component c contained within the inorganic fertiliser f</v>
      </c>
      <c r="F195" s="157"/>
      <c r="G195" s="158" t="str" cm="1">
        <f t="array" ref="G195:H198">_xlfn.CHOOSECOLS(Scope3_Equations.VEERG_15_4_1_1__X_EmissionFactorFromPurchasedFertiliserComponents_Arguments(),3,4)</f>
        <v>wt%</v>
      </c>
      <c r="H195" s="159" t="str">
        <v>Input</v>
      </c>
    </row>
    <row r="196" spans="4:8" ht="20.100000000000001" customHeight="1" x14ac:dyDescent="0.2">
      <c r="D196" s="158" t="str">
        <v>EF_c</v>
      </c>
      <c r="E196" s="162" t="str">
        <v>emission factor for the production of component c</v>
      </c>
      <c r="F196" s="157"/>
      <c r="G196" s="158" t="str">
        <v>kg CO2e/kg component</v>
      </c>
      <c r="H196" s="160" t="str">
        <v>Constant</v>
      </c>
    </row>
    <row r="197" spans="4:8" ht="20.100000000000001" customHeight="1" x14ac:dyDescent="0.2">
      <c r="D197" s="158" t="str">
        <v>c</v>
      </c>
      <c r="E197" s="162" t="str">
        <v>fertiliser component</v>
      </c>
      <c r="F197" s="157"/>
      <c r="G197" s="158" t="str">
        <v/>
      </c>
      <c r="H197" s="159" t="str">
        <v>Input</v>
      </c>
    </row>
    <row r="198" spans="4:8" ht="20.100000000000001" customHeight="1" x14ac:dyDescent="0.2">
      <c r="D198" s="158" t="str">
        <v>f</v>
      </c>
      <c r="E198" s="162" t="str">
        <v>inorganic fertiliser type</v>
      </c>
      <c r="F198" s="157"/>
      <c r="G198" s="158" t="str">
        <v/>
      </c>
      <c r="H198" s="159" t="str">
        <v>Input</v>
      </c>
    </row>
    <row r="201" spans="4:8" ht="20.100000000000001" customHeight="1" x14ac:dyDescent="0.2">
      <c r="D201" s="9" t="str" cm="1">
        <f t="array" ref="D201">Scope3_Equations.VEERG_15_4_1_1__1_EmissionsFromPurchasedFertiliser_Title()</f>
        <v>Emissions from purchased fertiliser</v>
      </c>
    </row>
    <row r="202" spans="4:8" ht="20.100000000000001" customHeight="1" x14ac:dyDescent="0.2">
      <c r="D202" s="11" t="str" cm="1">
        <f t="array" ref="D202">Scope3_Equations.VEERG_15_4_1_1__1_EmissionsFromPurchasedFertiliser_Source()</f>
        <v>VEERG 2026: 15.4.1.1, Equation (1)</v>
      </c>
    </row>
    <row r="203" spans="4:8" ht="20.100000000000001" customHeight="1" x14ac:dyDescent="0.2">
      <c r="D203" s="163" t="s">
        <v>621</v>
      </c>
      <c r="E203" s="163" t="str" cm="1">
        <f t="array" aca="1" ref="E203" ca="1">Common_InputFunctions.Utility_DisplayFunctionName(G236)</f>
        <v>=Scope3_Equations.VEERG_15_4_1_1__1_EmissionsFromPurchasedFertiliser</v>
      </c>
    </row>
    <row r="206" spans="4:8" ht="20.100000000000001" customHeight="1" x14ac:dyDescent="0.2">
      <c r="D206" s="27" t="s">
        <v>622</v>
      </c>
      <c r="E206" s="8" t="str" cm="1">
        <f t="array" ref="E206">Scope3_Equations.VEERG_15_4_1_1__1_EmissionsFromPurchasedFertiliser_Variable()</f>
        <v>E</v>
      </c>
    </row>
    <row r="207" spans="4:8" ht="20.100000000000001" customHeight="1" x14ac:dyDescent="0.2">
      <c r="D207" s="27" t="s">
        <v>97</v>
      </c>
      <c r="E207" s="13" t="str" cm="1">
        <f t="array" ref="E207">Scope3_Equations.VEERG_15_4_1_1__1_EmissionsFromPurchasedFertiliser_Unit()</f>
        <v>t CO2e</v>
      </c>
    </row>
    <row r="209" spans="4:8" ht="20.100000000000001" customHeight="1" x14ac:dyDescent="0.2">
      <c r="D209" s="158" t="str" cm="1">
        <f t="array" ref="D209:E212">_xlfn.CHOOSECOLS(Scope3_Equations.VEERG_15_4_1_1__1_EmissionsFromPurchasedFertiliser_Arguments(),1,2)</f>
        <v>TM_jf</v>
      </c>
      <c r="E209" s="158" t="str">
        <v>quantity of inorganic fertiliser type f purchased and applied to production system j</v>
      </c>
      <c r="F209" s="158"/>
      <c r="G209" s="158" t="str" cm="1">
        <f t="array" ref="G209:H212">_xlfn.CHOOSECOLS(Scope3_Equations.VEERG_15_4_1_1__1_EmissionsFromPurchasedFertiliser_Arguments(),3,4)</f>
        <v>kg</v>
      </c>
      <c r="H209" s="159" t="str">
        <v>Input</v>
      </c>
    </row>
    <row r="210" spans="4:8" ht="20.100000000000001" customHeight="1" x14ac:dyDescent="0.2">
      <c r="D210" s="158" t="str">
        <v>EF_f</v>
      </c>
      <c r="E210" s="158" t="str">
        <v>emission factor of purchased inorganic fertiliser</v>
      </c>
      <c r="F210" s="158"/>
      <c r="G210" s="158" t="str">
        <v>kg CO2e/kg</v>
      </c>
      <c r="H210" s="160" t="str">
        <v>Constant</v>
      </c>
    </row>
    <row r="211" spans="4:8" ht="20.100000000000001" customHeight="1" x14ac:dyDescent="0.2">
      <c r="D211" s="158" t="str">
        <v>j</v>
      </c>
      <c r="E211" s="162" t="str">
        <v>production system</v>
      </c>
      <c r="F211" s="157"/>
      <c r="G211" s="158" t="str">
        <v/>
      </c>
      <c r="H211" s="159" t="str">
        <v>Input</v>
      </c>
    </row>
    <row r="212" spans="4:8" ht="20.100000000000001" customHeight="1" x14ac:dyDescent="0.2">
      <c r="D212" s="158" t="str">
        <v>f</v>
      </c>
      <c r="E212" s="162" t="str">
        <v>inorganic fertiliser type</v>
      </c>
      <c r="F212" s="157"/>
      <c r="G212" s="158" t="str">
        <v/>
      </c>
      <c r="H212" s="159" t="str">
        <v>Input</v>
      </c>
    </row>
    <row r="215" spans="4:8" ht="20.100000000000001" customHeight="1" x14ac:dyDescent="0.2">
      <c r="D215" s="9" t="str" cm="1">
        <f t="array" ref="D215">Scope3_Equations.VEERG_15_4_1_1__2_EmissionsFromPurchasedFertiliserComponents_Title()</f>
        <v>Emissions from purchased fertiliser components</v>
      </c>
    </row>
    <row r="216" spans="4:8" ht="20.100000000000001" customHeight="1" x14ac:dyDescent="0.2">
      <c r="D216" s="11" t="str" cm="1">
        <f t="array" ref="D216">Scope3_Equations.VEERG_15_4_1_1__2_EmissionsFromPurchasedFertiliserComponents_Source()</f>
        <v>VEERG 2026: 15.4.1.1, Equation (2)</v>
      </c>
    </row>
    <row r="217" spans="4:8" ht="20.100000000000001" customHeight="1" x14ac:dyDescent="0.2">
      <c r="D217" s="12" t="str" cm="1">
        <f t="array" ref="D217">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18" spans="4:8" ht="20.100000000000001" customHeight="1" x14ac:dyDescent="0.2">
      <c r="D218" s="163" t="s">
        <v>621</v>
      </c>
      <c r="E218" s="163" t="str" cm="1">
        <f t="array" aca="1" ref="E218" ca="1">Common_InputFunctions.Utility_DisplayFunctionName(H236)</f>
        <v>=Scope3_Equations.VEERG_15_4_1_1__2_EmissionsFromPurchasedFertiliserComponentsVariation</v>
      </c>
    </row>
    <row r="221" spans="4:8" ht="20.100000000000001" customHeight="1" x14ac:dyDescent="0.2">
      <c r="D221" s="27" t="s">
        <v>622</v>
      </c>
      <c r="E221" s="8" t="str" cm="1">
        <f t="array" ref="E221">Scope3_Equations.VEERG_15_4_1_1__2_EmissionsFromPurchasedFertiliserComponents_Variable()</f>
        <v>E</v>
      </c>
    </row>
    <row r="222" spans="4:8" ht="20.100000000000001" customHeight="1" x14ac:dyDescent="0.2">
      <c r="D222" s="27" t="s">
        <v>97</v>
      </c>
      <c r="E222" s="13" t="str" cm="1">
        <f t="array" ref="E222">Scope3_Equations.VEERG_15_4_1_1__2_EmissionsFromPurchasedFertiliserComponents_Unit()</f>
        <v>t CO2e</v>
      </c>
    </row>
    <row r="224" spans="4:8" ht="20.100000000000001" customHeight="1" x14ac:dyDescent="0.2">
      <c r="D224" s="158" t="str" cm="1">
        <f t="array" ref="D224:E229">_xlfn.CHOOSECOLS(Scope3_Equations.VEERG_15_4_1_1__2_EmissionsFromPurchasedFertiliserComponents_Arguments(),1,2)</f>
        <v>F_cf</v>
      </c>
      <c r="E224" s="162" t="str">
        <v>fraction of component c contained within the inorganic fertiliser f</v>
      </c>
      <c r="F224" s="157"/>
      <c r="G224" s="158" t="str" cm="1">
        <f t="array" ref="G224:H229">_xlfn.CHOOSECOLS(Scope3_Equations.VEERG_15_4_1_1__2_EmissionsFromPurchasedFertiliserComponents_Arguments(),3,4)</f>
        <v>wt%</v>
      </c>
      <c r="H224" s="159" t="str">
        <v>Input</v>
      </c>
    </row>
    <row r="225" spans="4:40" ht="20.100000000000001" customHeight="1" x14ac:dyDescent="0.2">
      <c r="D225" s="158" t="str">
        <v>TM_jf</v>
      </c>
      <c r="E225" s="162" t="str">
        <v>quantity of inorganic fertiliser type f purchased and applied to production system j</v>
      </c>
      <c r="F225" s="157"/>
      <c r="G225" s="158" t="str">
        <v>kg</v>
      </c>
      <c r="H225" s="160" t="str">
        <v>Input</v>
      </c>
    </row>
    <row r="226" spans="4:40" ht="20.100000000000001" customHeight="1" x14ac:dyDescent="0.2">
      <c r="D226" s="158" t="str">
        <v>EF_c</v>
      </c>
      <c r="E226" s="162" t="str">
        <v>emission factor for the production of component c</v>
      </c>
      <c r="F226" s="157"/>
      <c r="G226" s="158" t="str">
        <v>kg CO2e/kg component</v>
      </c>
      <c r="H226" s="160" t="str">
        <v>Constant</v>
      </c>
    </row>
    <row r="227" spans="4:40" ht="20.100000000000001" customHeight="1" x14ac:dyDescent="0.2">
      <c r="D227" s="158" t="str">
        <v>c</v>
      </c>
      <c r="E227" s="162" t="str">
        <v>fertiliser component</v>
      </c>
      <c r="F227" s="157"/>
      <c r="G227" s="158" t="str">
        <v/>
      </c>
      <c r="H227" s="159" t="str">
        <v>Input</v>
      </c>
    </row>
    <row r="228" spans="4:40" ht="20.100000000000001" customHeight="1" x14ac:dyDescent="0.2">
      <c r="D228" s="158" t="str">
        <v>f</v>
      </c>
      <c r="E228" s="162" t="str">
        <v>inorganic fertiliser type</v>
      </c>
      <c r="F228" s="157"/>
      <c r="G228" s="158" t="str">
        <v/>
      </c>
      <c r="H228" s="159" t="str">
        <v>Input</v>
      </c>
    </row>
    <row r="229" spans="4:40" ht="20.100000000000001" customHeight="1" x14ac:dyDescent="0.2">
      <c r="D229" s="158" t="str">
        <v>j</v>
      </c>
      <c r="E229" s="162" t="str">
        <v>production system</v>
      </c>
      <c r="F229" s="157"/>
      <c r="G229" s="158" t="str">
        <v/>
      </c>
      <c r="H229" s="159" t="str">
        <v>Input</v>
      </c>
    </row>
    <row r="231" spans="4:40" ht="20.100000000000001" customHeight="1" x14ac:dyDescent="0.2">
      <c r="D231" s="135" t="s">
        <v>365</v>
      </c>
    </row>
    <row r="233" spans="4:40" ht="20.100000000000001" customHeight="1" x14ac:dyDescent="0.2">
      <c r="D233" s="86" t="s">
        <v>364</v>
      </c>
      <c r="E233" s="101"/>
      <c r="F233" s="87"/>
    </row>
    <row r="235" spans="4:40" ht="20.100000000000001" customHeight="1" x14ac:dyDescent="0.2">
      <c r="D235" s="46" t="s">
        <v>212</v>
      </c>
      <c r="E235" s="46" t="s">
        <v>352</v>
      </c>
      <c r="F235" s="57" t="s">
        <v>663</v>
      </c>
      <c r="G235" s="57" t="s">
        <v>647</v>
      </c>
      <c r="H235" s="57" t="s">
        <v>646</v>
      </c>
      <c r="I235" s="46" t="s">
        <v>664</v>
      </c>
      <c r="J235" s="57" t="s">
        <v>648</v>
      </c>
      <c r="K235" s="57" t="s">
        <v>649</v>
      </c>
      <c r="L235" s="46" t="s">
        <v>624</v>
      </c>
      <c r="M235" s="46" t="s">
        <v>625</v>
      </c>
      <c r="N235" s="46" t="s">
        <v>626</v>
      </c>
      <c r="O235" s="57" t="s">
        <v>169</v>
      </c>
      <c r="P235" s="57" t="s">
        <v>170</v>
      </c>
      <c r="Q235" s="57" t="s">
        <v>171</v>
      </c>
      <c r="R235" s="57" t="s">
        <v>172</v>
      </c>
      <c r="S235" s="57" t="s">
        <v>651</v>
      </c>
      <c r="T235" s="46" t="s">
        <v>652</v>
      </c>
      <c r="U235" s="57" t="s">
        <v>173</v>
      </c>
      <c r="V235" s="57" t="s">
        <v>174</v>
      </c>
      <c r="W235" s="57" t="s">
        <v>653</v>
      </c>
      <c r="X235" s="46" t="s">
        <v>654</v>
      </c>
      <c r="Y235" s="57" t="s">
        <v>175</v>
      </c>
      <c r="Z235" s="57" t="s">
        <v>176</v>
      </c>
      <c r="AA235" s="57" t="s">
        <v>655</v>
      </c>
      <c r="AB235" s="46" t="s">
        <v>656</v>
      </c>
      <c r="AC235" s="57" t="s">
        <v>177</v>
      </c>
      <c r="AD235" s="57" t="s">
        <v>178</v>
      </c>
      <c r="AE235" s="57" t="s">
        <v>657</v>
      </c>
      <c r="AF235" s="46" t="s">
        <v>658</v>
      </c>
      <c r="AG235" s="57" t="s">
        <v>179</v>
      </c>
      <c r="AH235" s="57" t="s">
        <v>180</v>
      </c>
      <c r="AI235" s="57" t="s">
        <v>659</v>
      </c>
      <c r="AJ235" s="46" t="s">
        <v>660</v>
      </c>
      <c r="AK235" s="57" t="s">
        <v>181</v>
      </c>
      <c r="AL235" s="57" t="s">
        <v>182</v>
      </c>
      <c r="AM235" s="57" t="s">
        <v>661</v>
      </c>
      <c r="AN235" s="46" t="s">
        <v>662</v>
      </c>
    </row>
    <row r="236" spans="4:40" ht="20.100000000000001" customHeight="1" x14ac:dyDescent="0.2">
      <c r="D236" s="49" t="str" cm="1">
        <f t="array" ref="D236:D245">IFERROR(INDEX(Table_Input_InorganicFertiliser_Brands[Product (select)], _xlfn.SEQUENCE(10)), "")</f>
        <v>Urea</v>
      </c>
      <c r="E236" s="49" cm="1">
        <f t="array" ref="E236:E245">IFERROR(INDEX(Table_Input_InorganicFertiliser_Brands[Total applied (kg)], _xlfn.SEQUENCE(10)), 0)</f>
        <v>10000</v>
      </c>
      <c r="F236" s="49" cm="1">
        <f t="array" ref="F236">Scope3_Equations.VEERG_15_4_1_1__X_EmissionFactorFromPurchasedFertiliserComponents(R236,S236)+
Scope3_Equations.VEERG_15_4_1_1__X_EmissionFactorFromPurchasedFertiliserComponents(V236,W236)+
Scope3_Equations.VEERG_15_4_1_1__X_EmissionFactorFromPurchasedFertiliserComponents(Z236,AA236)+
Scope3_Equations.VEERG_15_4_1_1__X_EmissionFactorFromPurchasedFertiliserComponents(AD236,AE236)+
Scope3_Equations.VEERG_15_4_1_1__X_EmissionFactorFromPurchasedFertiliserComponents(AH236,AI236)+
Scope3_Equations.VEERG_15_4_1_1__X_EmissionFactorFromPurchasedFertiliserComponents(AL236,AM236)</f>
        <v>0.96799999999999997</v>
      </c>
      <c r="G236" s="142" cm="1">
        <f t="array" ref="G236">Scope3_Equations.VEERG_15_4_1_1__1_EmissionsFromPurchasedFertiliser(E236,F236)</f>
        <v>9.68</v>
      </c>
      <c r="H236" s="49" cm="1">
        <f t="array" ref="H236">Scope3_Equations.VEERG_15_4_1_1__2_EmissionsFromPurchasedFertiliserComponentsVariation(R236, $E236,S236)+
Scope3_Equations.VEERG_15_4_1_1__2_EmissionsFromPurchasedFertiliserComponentsVariation(V236, $E236,W236)+
Scope3_Equations.VEERG_15_4_1_1__2_EmissionsFromPurchasedFertiliserComponentsVariation(Z236, $E236,AA236)+
Scope3_Equations.VEERG_15_4_1_1__2_EmissionsFromPurchasedFertiliserComponentsVariation(AD236, $E236,AE236)+
Scope3_Equations.VEERG_15_4_1_1__2_EmissionsFromPurchasedFertiliserComponentsVariation(AH236, $E236,AI236)+
Scope3_Equations.VEERG_15_4_1_1__2_EmissionsFromPurchasedFertiliserComponentsVariation(AL236, $E236,AM236)</f>
        <v>9.68</v>
      </c>
      <c r="I236" s="64">
        <v>0.4</v>
      </c>
      <c r="J236" s="142" cm="1">
        <f t="array" ref="J236">Scope3_Equations.VEERG_15_4_1_1__1_EmissionsFromPurchasedFertiliser(E236,I236)</f>
        <v>4</v>
      </c>
      <c r="K236" s="142" cm="1">
        <f t="array" ref="K236">Scope3_Equations.VEERG_15_4_1_1__2_EmissionsFromPurchasedFertiliserComponentsVariation(R236, $E236,IF(T236,T236,S236))+
Scope3_Equations.VEERG_15_4_1_1__2_EmissionsFromPurchasedFertiliserComponentsVariation(V236, $E236,IF(X236,X236,W236))+
Scope3_Equations.VEERG_15_4_1_1__2_EmissionsFromPurchasedFertiliserComponentsVariation(Z236, $E236,IF(AB236,AB236,AA236))+
Scope3_Equations.VEERG_15_4_1_1__2_EmissionsFromPurchasedFertiliserComponentsVariation(AD236, $E236,IF(AF236,AF236,AE236))+
Scope3_Equations.VEERG_15_4_1_1__2_EmissionsFromPurchasedFertiliserComponentsVariation(AH236, $E236,IF(AJ236,AJ236,AI236))+
Scope3_Equations.VEERG_15_4_1_1__2_EmissionsFromPurchasedFertiliserComponentsVariation(AL236, $E236,IF(AN236,AN236,AM236))</f>
        <v>9</v>
      </c>
      <c r="L236" s="74"/>
      <c r="M236" s="47"/>
      <c r="N236"/>
      <c r="O236" s="49" t="str" cm="1">
        <f t="array" ref="O236:O245">IFERROR(INDEX(Table_Input_InorganicFertiliser_Brands[Urea source], _xlfn.SEQUENCE(10)), "")</f>
        <v/>
      </c>
      <c r="P236" s="49" t="str" cm="1">
        <f t="array" ref="P236:P245">IFERROR(INDEX(Table_Input_InorganicFertiliser_Brands[Ammonia source], _xlfn.SEQUENCE(10)), "")</f>
        <v/>
      </c>
      <c r="Q236" s="49" t="str" cm="1">
        <f t="array" ref="Q236:Q245">IFERROR(INDEX(Table_Input_InorganicFertiliser_Brands[Ingredient 1], _xlfn.SEQUENCE(10)), "")</f>
        <v>Urea</v>
      </c>
      <c r="R236" s="49" cm="1">
        <f t="array" ref="R236:R245">IFERROR(INDEX(_xlfn.LET(_xlpm.result, Table_Input_InorganicFertiliser_Brands[Ingredient 1 percent], IF(_xlpm.result="", 0, _xlpm.result)), _xlfn.SEQUENCE(10)), 0)</f>
        <v>1</v>
      </c>
      <c r="S236" s="49"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0.96799999999999997</v>
      </c>
      <c r="T236" s="64">
        <v>0.9</v>
      </c>
      <c r="U236" s="49" t="str" cm="1">
        <f t="array" ref="U236:U245">IFERROR(INDEX(Table_Input_InorganicFertiliser_Brands[Ingredient 2], _xlfn.SEQUENCE(10)), "")</f>
        <v/>
      </c>
      <c r="V236" s="49" cm="1">
        <f t="array" ref="V236:V245">IFERROR(INDEX(_xlfn.LET(_xlpm.result, Table_Input_InorganicFertiliser_Brands[Ingredient 2 percent], IF(_xlpm.result="", 0, _xlpm.result)), _xlfn.SEQUENCE(10)), 0)</f>
        <v>0</v>
      </c>
      <c r="W236" s="49"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64">
        <v>0.9</v>
      </c>
      <c r="Y236" s="49" t="str" cm="1">
        <f t="array" ref="Y236:Y245">IFERROR(INDEX(Table_Input_InorganicFertiliser_Brands[Ingredient 3], _xlfn.SEQUENCE(10)), "")</f>
        <v/>
      </c>
      <c r="Z236" s="49" cm="1">
        <f t="array" ref="Z236:Z245">IFERROR(INDEX(_xlfn.LET(_xlpm.result, Table_Input_InorganicFertiliser_Brands[Ingredient 3 percent], IF(_xlpm.result="", 0, _xlpm.result)), _xlfn.SEQUENCE(10)), 0)</f>
        <v>0</v>
      </c>
      <c r="AA236" s="49"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64">
        <v>4</v>
      </c>
      <c r="AC236" s="49" t="str" cm="1">
        <f t="array" ref="AC236:AC245">IFERROR(INDEX(Table_Input_InorganicFertiliser_Brands[Ingredient 4], _xlfn.SEQUENCE(10)), "")</f>
        <v/>
      </c>
      <c r="AD236" s="49" cm="1">
        <f t="array" ref="AD236:AD245">IFERROR(INDEX(_xlfn.LET(_xlpm.result, Table_Input_InorganicFertiliser_Brands[Ingredient 4 percent], IF(_xlpm.result="", 0, _xlpm.result)), _xlfn.SEQUENCE(10)), 0)</f>
        <v>0</v>
      </c>
      <c r="AE236" s="49"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64">
        <v>0</v>
      </c>
      <c r="AG236" s="49" t="str" cm="1">
        <f t="array" ref="AG236:AG245">IFERROR(INDEX(Table_Input_InorganicFertiliser_Brands[Ingredient 5], _xlfn.SEQUENCE(10)), "")</f>
        <v/>
      </c>
      <c r="AH236" s="49" cm="1">
        <f t="array" ref="AH236:AH245">IFERROR(INDEX(_xlfn.LET(_xlpm.result, Table_Input_InorganicFertiliser_Brands[Ingredient 5 percent], IF(_xlpm.result="", 0, _xlpm.result)), _xlfn.SEQUENCE(10)), 0)</f>
        <v>0</v>
      </c>
      <c r="AI236" s="49"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64">
        <v>0</v>
      </c>
      <c r="AK236" s="49" t="str" cm="1">
        <f t="array" ref="AK236:AK245">IFERROR(INDEX(Table_Input_InorganicFertiliser_Brands[Ingredient 6], _xlfn.SEQUENCE(10)), "")</f>
        <v/>
      </c>
      <c r="AL236" s="49" cm="1">
        <f t="array" ref="AL236:AL245">IFERROR(INDEX(_xlfn.LET(_xlpm.result, Table_Input_InorganicFertiliser_Brands[Ingredient 6 percent], IF(_xlpm.result="", 0, _xlpm.result)), _xlfn.SEQUENCE(10)), 0)</f>
        <v>0</v>
      </c>
      <c r="AM236" s="49"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64"/>
    </row>
    <row r="237" spans="4:40" ht="20.100000000000001" customHeight="1" x14ac:dyDescent="0.2">
      <c r="D237" s="49" t="str">
        <v>Boost-It</v>
      </c>
      <c r="E237" s="49">
        <v>10000</v>
      </c>
      <c r="F237" s="49"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
Scope3_Equations.VEERG_15_4_1_1__X_EmissionFactorFromPurchasedFertiliserComponents(AH237,AI237)+
Scope3_Equations.VEERG_15_4_1_1__X_EmissionFactorFromPurchasedFertiliserComponents(AL237,AM237)</f>
        <v>0.9161833519999999</v>
      </c>
      <c r="G237" s="142" cm="1">
        <f t="array" ref="G237">Scope3_Equations.VEERG_15_4_1_1__1_EmissionsFromPurchasedFertiliser(E237,F237)</f>
        <v>9.1618335199999983</v>
      </c>
      <c r="H237" s="49"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
Scope3_Equations.VEERG_15_4_1_1__2_EmissionsFromPurchasedFertiliserComponentsVariation(AH237, $E237,AI237)+
Scope3_Equations.VEERG_15_4_1_1__2_EmissionsFromPurchasedFertiliserComponentsVariation(AL237, $E237,AM237)</f>
        <v>9.1618335199999983</v>
      </c>
      <c r="I237" s="64">
        <v>0.9</v>
      </c>
      <c r="J237" s="142" cm="1">
        <f t="array" ref="J237">Scope3_Equations.VEERG_15_4_1_1__1_EmissionsFromPurchasedFertiliser(E237,I237)</f>
        <v>9</v>
      </c>
      <c r="K237" s="142"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
Scope3_Equations.VEERG_15_4_1_1__2_EmissionsFromPurchasedFertiliserComponentsVariation(AH237, $E237,IF(AJ237,AJ237,AI237))+
Scope3_Equations.VEERG_15_4_1_1__2_EmissionsFromPurchasedFertiliserComponentsVariation(AL237, $E237,IF(AN237,AN237,AM237))</f>
        <v>9.1618335199999983</v>
      </c>
      <c r="L237" s="74"/>
      <c r="M237" s="47"/>
      <c r="N237" s="74"/>
      <c r="O237" s="49" t="str">
        <v/>
      </c>
      <c r="P237" s="49" t="str">
        <v/>
      </c>
      <c r="Q237" s="49" t="str">
        <v>Urea</v>
      </c>
      <c r="R237" s="49">
        <v>0.52173899999999995</v>
      </c>
      <c r="S237" s="49"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0.96799999999999997</v>
      </c>
      <c r="T237" s="64"/>
      <c r="U237" s="49" t="str">
        <v>Potassium - Generic</v>
      </c>
      <c r="V237" s="49">
        <v>0.08</v>
      </c>
      <c r="W237" s="49"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0.90900000000000003</v>
      </c>
      <c r="X237" s="64"/>
      <c r="Y237" s="49" t="str">
        <v>Sulfur - Generic</v>
      </c>
      <c r="Z237" s="49">
        <v>5.2999999999999999E-2</v>
      </c>
      <c r="AA237" s="49"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2.5</v>
      </c>
      <c r="AB237" s="64"/>
      <c r="AC237" s="49" t="str">
        <v>Phosphorus - Generic</v>
      </c>
      <c r="AD237" s="49">
        <v>5.1999999999999998E-2</v>
      </c>
      <c r="AE237" s="49"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3.96</v>
      </c>
      <c r="AF237" s="64"/>
      <c r="AG237" s="49" t="str">
        <v>Magnesium</v>
      </c>
      <c r="AH237" s="49">
        <v>1.2999999999999999E-2</v>
      </c>
      <c r="AI237" s="49"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64"/>
      <c r="AK237" s="49" t="str">
        <v>Zinc</v>
      </c>
      <c r="AL237" s="49">
        <v>2E-3</v>
      </c>
      <c r="AM237" s="49"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64"/>
    </row>
    <row r="238" spans="4:40" ht="20.100000000000001" customHeight="1" x14ac:dyDescent="0.2">
      <c r="D238" s="49" t="str">
        <v>Cal-Gran 50/50</v>
      </c>
      <c r="E238" s="49">
        <v>10000</v>
      </c>
      <c r="F238" s="49"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
Scope3_Equations.VEERG_15_4_1_1__X_EmissionFactorFromPurchasedFertiliserComponents(AH238,AI238)+
Scope3_Equations.VEERG_15_4_1_1__X_EmissionFactorFromPurchasedFertiliserComponents(AL238,AM238)</f>
        <v>0.8781199999999999</v>
      </c>
      <c r="G238" s="142" cm="1">
        <f t="array" ref="G238">Scope3_Equations.VEERG_15_4_1_1__1_EmissionsFromPurchasedFertiliser(E238,F238)</f>
        <v>8.7811999999999983</v>
      </c>
      <c r="H238" s="49"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
Scope3_Equations.VEERG_15_4_1_1__2_EmissionsFromPurchasedFertiliserComponentsVariation(AH238, $E238,AI238)+
Scope3_Equations.VEERG_15_4_1_1__2_EmissionsFromPurchasedFertiliserComponentsVariation(AL238, $E238,AM238)</f>
        <v>8.7812000000000001</v>
      </c>
      <c r="I238" s="64">
        <v>0.4</v>
      </c>
      <c r="J238" s="142" cm="1">
        <f t="array" ref="J238">Scope3_Equations.VEERG_15_4_1_1__1_EmissionsFromPurchasedFertiliser(E238,I238)</f>
        <v>4</v>
      </c>
      <c r="K238" s="142"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
Scope3_Equations.VEERG_15_4_1_1__2_EmissionsFromPurchasedFertiliserComponentsVariation(AH238, $E238,IF(AJ238,AJ238,AI238))+
Scope3_Equations.VEERG_15_4_1_1__2_EmissionsFromPurchasedFertiliserComponentsVariation(AL238, $E238,IF(AN238,AN238,AM238))</f>
        <v>8.7812000000000001</v>
      </c>
      <c r="L238" s="74"/>
      <c r="M238" s="47"/>
      <c r="N238" s="74"/>
      <c r="O238" s="49" t="str">
        <v/>
      </c>
      <c r="P238" s="49" t="str">
        <v/>
      </c>
      <c r="Q238" s="49" t="str">
        <v>Nitrogen - Nitrate</v>
      </c>
      <c r="R238" s="49">
        <v>5.5E-2</v>
      </c>
      <c r="S238" s="49"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5.47</v>
      </c>
      <c r="T238" s="64"/>
      <c r="U238" s="49" t="str">
        <v>Nitrogen - Ammoniacal</v>
      </c>
      <c r="V238" s="49">
        <v>0.124</v>
      </c>
      <c r="W238" s="49"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2.83</v>
      </c>
      <c r="X238" s="64"/>
      <c r="Y238" s="49" t="str">
        <v>Potassium - Generic</v>
      </c>
      <c r="Z238" s="49">
        <v>0.15</v>
      </c>
      <c r="AA238" s="49"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0.90900000000000003</v>
      </c>
      <c r="AB238" s="64"/>
      <c r="AC238" s="49" t="str">
        <v>Sulfur - Generic</v>
      </c>
      <c r="AD238" s="49">
        <v>3.5999999999999997E-2</v>
      </c>
      <c r="AE238" s="49"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2.5</v>
      </c>
      <c r="AF238" s="64"/>
      <c r="AG238" s="49" t="str">
        <v>Calcium</v>
      </c>
      <c r="AH238" s="49">
        <v>4.3999999999999997E-2</v>
      </c>
      <c r="AI238" s="49"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64"/>
      <c r="AK238" s="49" t="str">
        <v/>
      </c>
      <c r="AL238" s="49">
        <v>0</v>
      </c>
      <c r="AM238" s="49"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64"/>
    </row>
    <row r="239" spans="4:40" ht="20.100000000000001" customHeight="1" x14ac:dyDescent="0.2">
      <c r="D239" s="49">
        <v>0</v>
      </c>
      <c r="E239" s="49">
        <v>0</v>
      </c>
      <c r="F239" s="49"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
Scope3_Equations.VEERG_15_4_1_1__X_EmissionFactorFromPurchasedFertiliserComponents(AH239,AI239)+
Scope3_Equations.VEERG_15_4_1_1__X_EmissionFactorFromPurchasedFertiliserComponents(AL239,AM239)</f>
        <v>0</v>
      </c>
      <c r="G239" s="142" cm="1">
        <f t="array" ref="G239">Scope3_Equations.VEERG_15_4_1_1__1_EmissionsFromPurchasedFertiliser(E239,F239)</f>
        <v>0</v>
      </c>
      <c r="H239" s="49"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
Scope3_Equations.VEERG_15_4_1_1__2_EmissionsFromPurchasedFertiliserComponentsVariation(AH239, $E239,AI239)+
Scope3_Equations.VEERG_15_4_1_1__2_EmissionsFromPurchasedFertiliserComponentsVariation(AL239, $E239,AM239)</f>
        <v>0</v>
      </c>
      <c r="I239" s="64"/>
      <c r="J239" s="142" cm="1">
        <f t="array" ref="J239">Scope3_Equations.VEERG_15_4_1_1__1_EmissionsFromPurchasedFertiliser(E239,I239)</f>
        <v>0</v>
      </c>
      <c r="K239" s="142"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
Scope3_Equations.VEERG_15_4_1_1__2_EmissionsFromPurchasedFertiliserComponentsVariation(AH239, $E239,IF(AJ239,AJ239,AI239))+
Scope3_Equations.VEERG_15_4_1_1__2_EmissionsFromPurchasedFertiliserComponentsVariation(AL239, $E239,IF(AN239,AN239,AM239))</f>
        <v>0</v>
      </c>
      <c r="L239" s="74"/>
      <c r="M239" s="47"/>
      <c r="N239" s="74"/>
      <c r="O239" s="49" t="str">
        <v/>
      </c>
      <c r="P239" s="49" t="str">
        <v/>
      </c>
      <c r="Q239" s="49" t="str">
        <v/>
      </c>
      <c r="R239" s="49">
        <v>0</v>
      </c>
      <c r="S239" s="49"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64"/>
      <c r="U239" s="49" t="str">
        <v/>
      </c>
      <c r="V239" s="49">
        <v>0</v>
      </c>
      <c r="W239" s="49"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64"/>
      <c r="Y239" s="49" t="str">
        <v/>
      </c>
      <c r="Z239" s="49">
        <v>0</v>
      </c>
      <c r="AA239" s="49"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64"/>
      <c r="AC239" s="49" t="str">
        <v/>
      </c>
      <c r="AD239" s="49">
        <v>0</v>
      </c>
      <c r="AE239" s="49"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64"/>
      <c r="AG239" s="49" t="str">
        <v/>
      </c>
      <c r="AH239" s="49">
        <v>0</v>
      </c>
      <c r="AI239" s="49"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64"/>
      <c r="AK239" s="49" t="str">
        <v/>
      </c>
      <c r="AL239" s="49">
        <v>0</v>
      </c>
      <c r="AM239" s="49"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64"/>
    </row>
    <row r="240" spans="4:40" ht="20.100000000000001" customHeight="1" x14ac:dyDescent="0.2">
      <c r="D240" s="49">
        <v>0</v>
      </c>
      <c r="E240" s="49">
        <v>0</v>
      </c>
      <c r="F240" s="49"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
Scope3_Equations.VEERG_15_4_1_1__X_EmissionFactorFromPurchasedFertiliserComponents(AH240,AI240)+
Scope3_Equations.VEERG_15_4_1_1__X_EmissionFactorFromPurchasedFertiliserComponents(AL240,AM240)</f>
        <v>0</v>
      </c>
      <c r="G240" s="142" cm="1">
        <f t="array" ref="G240">Scope3_Equations.VEERG_15_4_1_1__1_EmissionsFromPurchasedFertiliser(E240,F240)</f>
        <v>0</v>
      </c>
      <c r="H240" s="49"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
Scope3_Equations.VEERG_15_4_1_1__2_EmissionsFromPurchasedFertiliserComponentsVariation(AH240, $E240,AI240)+
Scope3_Equations.VEERG_15_4_1_1__2_EmissionsFromPurchasedFertiliserComponentsVariation(AL240, $E240,AM240)</f>
        <v>0</v>
      </c>
      <c r="I240" s="64"/>
      <c r="J240" s="142" cm="1">
        <f t="array" ref="J240">Scope3_Equations.VEERG_15_4_1_1__1_EmissionsFromPurchasedFertiliser(E240,I240)</f>
        <v>0</v>
      </c>
      <c r="K240" s="142"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
Scope3_Equations.VEERG_15_4_1_1__2_EmissionsFromPurchasedFertiliserComponentsVariation(AH240, $E240,IF(AJ240,AJ240,AI240))+
Scope3_Equations.VEERG_15_4_1_1__2_EmissionsFromPurchasedFertiliserComponentsVariation(AL240, $E240,IF(AN240,AN240,AM240))</f>
        <v>0</v>
      </c>
      <c r="L240" s="74"/>
      <c r="M240" s="47"/>
      <c r="N240" s="74"/>
      <c r="O240" s="49" t="str">
        <v/>
      </c>
      <c r="P240" s="49" t="str">
        <v/>
      </c>
      <c r="Q240" s="49" t="str">
        <v/>
      </c>
      <c r="R240" s="49">
        <v>0</v>
      </c>
      <c r="S240" s="49"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64"/>
      <c r="U240" s="49" t="str">
        <v/>
      </c>
      <c r="V240" s="49">
        <v>0</v>
      </c>
      <c r="W240" s="49"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64"/>
      <c r="Y240" s="49" t="str">
        <v/>
      </c>
      <c r="Z240" s="49">
        <v>0</v>
      </c>
      <c r="AA240" s="49"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64"/>
      <c r="AC240" s="49" t="str">
        <v/>
      </c>
      <c r="AD240" s="49">
        <v>0</v>
      </c>
      <c r="AE240" s="49"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64"/>
      <c r="AG240" s="49" t="str">
        <v/>
      </c>
      <c r="AH240" s="49">
        <v>0</v>
      </c>
      <c r="AI240" s="49"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64"/>
      <c r="AK240" s="49" t="str">
        <v/>
      </c>
      <c r="AL240" s="49">
        <v>0</v>
      </c>
      <c r="AM240" s="49"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64"/>
    </row>
    <row r="241" spans="4:40" ht="20.100000000000001" customHeight="1" x14ac:dyDescent="0.2">
      <c r="D241" s="49">
        <v>0</v>
      </c>
      <c r="E241" s="49">
        <v>0</v>
      </c>
      <c r="F241" s="49"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
Scope3_Equations.VEERG_15_4_1_1__X_EmissionFactorFromPurchasedFertiliserComponents(AH241,AI241)+
Scope3_Equations.VEERG_15_4_1_1__X_EmissionFactorFromPurchasedFertiliserComponents(AL241,AM241)</f>
        <v>0</v>
      </c>
      <c r="G241" s="142" cm="1">
        <f t="array" ref="G241">Scope3_Equations.VEERG_15_4_1_1__1_EmissionsFromPurchasedFertiliser(E241,F241)</f>
        <v>0</v>
      </c>
      <c r="H241" s="49"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
Scope3_Equations.VEERG_15_4_1_1__2_EmissionsFromPurchasedFertiliserComponentsVariation(AH241, $E241,AI241)+
Scope3_Equations.VEERG_15_4_1_1__2_EmissionsFromPurchasedFertiliserComponentsVariation(AL241, $E241,AM241)</f>
        <v>0</v>
      </c>
      <c r="I241" s="64"/>
      <c r="J241" s="142" cm="1">
        <f t="array" ref="J241">Scope3_Equations.VEERG_15_4_1_1__1_EmissionsFromPurchasedFertiliser(E241,I241)</f>
        <v>0</v>
      </c>
      <c r="K241" s="142"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
Scope3_Equations.VEERG_15_4_1_1__2_EmissionsFromPurchasedFertiliserComponentsVariation(AH241, $E241,IF(AJ241,AJ241,AI241))+
Scope3_Equations.VEERG_15_4_1_1__2_EmissionsFromPurchasedFertiliserComponentsVariation(AL241, $E241,IF(AN241,AN241,AM241))</f>
        <v>0</v>
      </c>
      <c r="L241" s="74"/>
      <c r="M241" s="47"/>
      <c r="N241" s="74"/>
      <c r="O241" s="49" t="str">
        <v/>
      </c>
      <c r="P241" s="49" t="str">
        <v/>
      </c>
      <c r="Q241" s="49" t="str">
        <v/>
      </c>
      <c r="R241" s="49">
        <v>0</v>
      </c>
      <c r="S241" s="49"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64"/>
      <c r="U241" s="49" t="str">
        <v/>
      </c>
      <c r="V241" s="49">
        <v>0</v>
      </c>
      <c r="W241" s="49"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64"/>
      <c r="Y241" s="49" t="str">
        <v/>
      </c>
      <c r="Z241" s="49">
        <v>0</v>
      </c>
      <c r="AA241" s="49"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64"/>
      <c r="AC241" s="49" t="str">
        <v/>
      </c>
      <c r="AD241" s="49">
        <v>0</v>
      </c>
      <c r="AE241" s="49"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64"/>
      <c r="AG241" s="49" t="str">
        <v/>
      </c>
      <c r="AH241" s="49">
        <v>0</v>
      </c>
      <c r="AI241" s="49"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64"/>
      <c r="AK241" s="49" t="str">
        <v/>
      </c>
      <c r="AL241" s="49">
        <v>0</v>
      </c>
      <c r="AM241" s="49"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64"/>
    </row>
    <row r="242" spans="4:40" ht="20.100000000000001" customHeight="1" x14ac:dyDescent="0.2">
      <c r="D242" s="49">
        <v>0</v>
      </c>
      <c r="E242" s="49">
        <v>0</v>
      </c>
      <c r="F242" s="49"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
Scope3_Equations.VEERG_15_4_1_1__X_EmissionFactorFromPurchasedFertiliserComponents(AH242,AI242)+
Scope3_Equations.VEERG_15_4_1_1__X_EmissionFactorFromPurchasedFertiliserComponents(AL242,AM242)</f>
        <v>0</v>
      </c>
      <c r="G242" s="142" cm="1">
        <f t="array" ref="G242">Scope3_Equations.VEERG_15_4_1_1__1_EmissionsFromPurchasedFertiliser(E242,F242)</f>
        <v>0</v>
      </c>
      <c r="H242" s="49"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
Scope3_Equations.VEERG_15_4_1_1__2_EmissionsFromPurchasedFertiliserComponentsVariation(AH242, $E242,AI242)+
Scope3_Equations.VEERG_15_4_1_1__2_EmissionsFromPurchasedFertiliserComponentsVariation(AL242, $E242,AM242)</f>
        <v>0</v>
      </c>
      <c r="I242" s="64"/>
      <c r="J242" s="142" cm="1">
        <f t="array" ref="J242">Scope3_Equations.VEERG_15_4_1_1__1_EmissionsFromPurchasedFertiliser(E242,I242)</f>
        <v>0</v>
      </c>
      <c r="K242" s="142"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
Scope3_Equations.VEERG_15_4_1_1__2_EmissionsFromPurchasedFertiliserComponentsVariation(AH242, $E242,IF(AJ242,AJ242,AI242))+
Scope3_Equations.VEERG_15_4_1_1__2_EmissionsFromPurchasedFertiliserComponentsVariation(AL242, $E242,IF(AN242,AN242,AM242))</f>
        <v>0</v>
      </c>
      <c r="L242" s="74"/>
      <c r="M242" s="47"/>
      <c r="N242" s="74"/>
      <c r="O242" s="49" t="str">
        <v/>
      </c>
      <c r="P242" s="49" t="str">
        <v/>
      </c>
      <c r="Q242" s="49" t="str">
        <v/>
      </c>
      <c r="R242" s="49">
        <v>0</v>
      </c>
      <c r="S242" s="49"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64"/>
      <c r="U242" s="49" t="str">
        <v/>
      </c>
      <c r="V242" s="49">
        <v>0</v>
      </c>
      <c r="W242" s="49"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64"/>
      <c r="Y242" s="49" t="str">
        <v/>
      </c>
      <c r="Z242" s="49">
        <v>0</v>
      </c>
      <c r="AA242" s="49"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64"/>
      <c r="AC242" s="49" t="str">
        <v/>
      </c>
      <c r="AD242" s="49">
        <v>0</v>
      </c>
      <c r="AE242" s="49"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64"/>
      <c r="AG242" s="49" t="str">
        <v/>
      </c>
      <c r="AH242" s="49">
        <v>0</v>
      </c>
      <c r="AI242" s="49"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64"/>
      <c r="AK242" s="49" t="str">
        <v/>
      </c>
      <c r="AL242" s="49">
        <v>0</v>
      </c>
      <c r="AM242" s="49"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64"/>
    </row>
    <row r="243" spans="4:40" ht="20.100000000000001" customHeight="1" x14ac:dyDescent="0.2">
      <c r="D243" s="49">
        <v>0</v>
      </c>
      <c r="E243" s="49">
        <v>0</v>
      </c>
      <c r="F243" s="49"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
Scope3_Equations.VEERG_15_4_1_1__X_EmissionFactorFromPurchasedFertiliserComponents(AH243,AI243)+
Scope3_Equations.VEERG_15_4_1_1__X_EmissionFactorFromPurchasedFertiliserComponents(AL243,AM243)</f>
        <v>0</v>
      </c>
      <c r="G243" s="142" cm="1">
        <f t="array" ref="G243">Scope3_Equations.VEERG_15_4_1_1__1_EmissionsFromPurchasedFertiliser(E243,F243)</f>
        <v>0</v>
      </c>
      <c r="H243" s="49"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
Scope3_Equations.VEERG_15_4_1_1__2_EmissionsFromPurchasedFertiliserComponentsVariation(AH243, $E243,AI243)+
Scope3_Equations.VEERG_15_4_1_1__2_EmissionsFromPurchasedFertiliserComponentsVariation(AL243, $E243,AM243)</f>
        <v>0</v>
      </c>
      <c r="I243" s="64"/>
      <c r="J243" s="142" cm="1">
        <f t="array" ref="J243">Scope3_Equations.VEERG_15_4_1_1__1_EmissionsFromPurchasedFertiliser(E243,I243)</f>
        <v>0</v>
      </c>
      <c r="K243" s="142"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
Scope3_Equations.VEERG_15_4_1_1__2_EmissionsFromPurchasedFertiliserComponentsVariation(AH243, $E243,IF(AJ243,AJ243,AI243))+
Scope3_Equations.VEERG_15_4_1_1__2_EmissionsFromPurchasedFertiliserComponentsVariation(AL243, $E243,IF(AN243,AN243,AM243))</f>
        <v>0</v>
      </c>
      <c r="L243" s="74"/>
      <c r="M243" s="47"/>
      <c r="N243" s="74"/>
      <c r="O243" s="49" t="str">
        <v/>
      </c>
      <c r="P243" s="49" t="str">
        <v/>
      </c>
      <c r="Q243" s="49" t="str">
        <v/>
      </c>
      <c r="R243" s="49">
        <v>0</v>
      </c>
      <c r="S243" s="49"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64"/>
      <c r="U243" s="49" t="str">
        <v/>
      </c>
      <c r="V243" s="49">
        <v>0</v>
      </c>
      <c r="W243" s="49"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64"/>
      <c r="Y243" s="49" t="str">
        <v/>
      </c>
      <c r="Z243" s="49">
        <v>0</v>
      </c>
      <c r="AA243" s="49"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64"/>
      <c r="AC243" s="49" t="str">
        <v/>
      </c>
      <c r="AD243" s="49">
        <v>0</v>
      </c>
      <c r="AE243" s="49"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64"/>
      <c r="AG243" s="49" t="str">
        <v/>
      </c>
      <c r="AH243" s="49">
        <v>0</v>
      </c>
      <c r="AI243" s="49"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64"/>
      <c r="AK243" s="49" t="str">
        <v/>
      </c>
      <c r="AL243" s="49">
        <v>0</v>
      </c>
      <c r="AM243" s="49"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64"/>
    </row>
    <row r="244" spans="4:40" ht="20.100000000000001" customHeight="1" x14ac:dyDescent="0.2">
      <c r="D244" s="49">
        <v>0</v>
      </c>
      <c r="E244" s="49">
        <v>0</v>
      </c>
      <c r="F244" s="49"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
Scope3_Equations.VEERG_15_4_1_1__X_EmissionFactorFromPurchasedFertiliserComponents(AH244,AI244)+
Scope3_Equations.VEERG_15_4_1_1__X_EmissionFactorFromPurchasedFertiliserComponents(AL244,AM244)</f>
        <v>0</v>
      </c>
      <c r="G244" s="142" cm="1">
        <f t="array" ref="G244">Scope3_Equations.VEERG_15_4_1_1__1_EmissionsFromPurchasedFertiliser(E244,F244)</f>
        <v>0</v>
      </c>
      <c r="H244" s="49"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
Scope3_Equations.VEERG_15_4_1_1__2_EmissionsFromPurchasedFertiliserComponentsVariation(AH244, $E244,AI244)+
Scope3_Equations.VEERG_15_4_1_1__2_EmissionsFromPurchasedFertiliserComponentsVariation(AL244, $E244,AM244)</f>
        <v>0</v>
      </c>
      <c r="I244" s="64"/>
      <c r="J244" s="142" cm="1">
        <f t="array" ref="J244">Scope3_Equations.VEERG_15_4_1_1__1_EmissionsFromPurchasedFertiliser(E244,I244)</f>
        <v>0</v>
      </c>
      <c r="K244" s="142"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
Scope3_Equations.VEERG_15_4_1_1__2_EmissionsFromPurchasedFertiliserComponentsVariation(AH244, $E244,IF(AJ244,AJ244,AI244))+
Scope3_Equations.VEERG_15_4_1_1__2_EmissionsFromPurchasedFertiliserComponentsVariation(AL244, $E244,IF(AN244,AN244,AM244))</f>
        <v>0</v>
      </c>
      <c r="L244" s="74"/>
      <c r="M244" s="47"/>
      <c r="N244" s="74"/>
      <c r="O244" s="49" t="str">
        <v/>
      </c>
      <c r="P244" s="49" t="str">
        <v/>
      </c>
      <c r="Q244" s="49" t="str">
        <v/>
      </c>
      <c r="R244" s="49">
        <v>0</v>
      </c>
      <c r="S244" s="49"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64"/>
      <c r="U244" s="49" t="str">
        <v/>
      </c>
      <c r="V244" s="49">
        <v>0</v>
      </c>
      <c r="W244" s="49"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64"/>
      <c r="Y244" s="49" t="str">
        <v/>
      </c>
      <c r="Z244" s="49">
        <v>0</v>
      </c>
      <c r="AA244" s="49"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64"/>
      <c r="AC244" s="49" t="str">
        <v/>
      </c>
      <c r="AD244" s="49">
        <v>0</v>
      </c>
      <c r="AE244" s="49"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64"/>
      <c r="AG244" s="49" t="str">
        <v/>
      </c>
      <c r="AH244" s="49">
        <v>0</v>
      </c>
      <c r="AI244" s="49"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64"/>
      <c r="AK244" s="49" t="str">
        <v/>
      </c>
      <c r="AL244" s="49">
        <v>0</v>
      </c>
      <c r="AM244" s="49"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64"/>
    </row>
    <row r="245" spans="4:40" ht="20.100000000000001" customHeight="1" x14ac:dyDescent="0.2">
      <c r="D245" s="49">
        <v>0</v>
      </c>
      <c r="E245" s="49">
        <v>0</v>
      </c>
      <c r="F245" s="49"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
Scope3_Equations.VEERG_15_4_1_1__X_EmissionFactorFromPurchasedFertiliserComponents(AH245,AI245)+
Scope3_Equations.VEERG_15_4_1_1__X_EmissionFactorFromPurchasedFertiliserComponents(AL245,AM245)</f>
        <v>0</v>
      </c>
      <c r="G245" s="142" cm="1">
        <f t="array" ref="G245">Scope3_Equations.VEERG_15_4_1_1__1_EmissionsFromPurchasedFertiliser(E245,F245)</f>
        <v>0</v>
      </c>
      <c r="H245" s="49"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
Scope3_Equations.VEERG_15_4_1_1__2_EmissionsFromPurchasedFertiliserComponentsVariation(AH245, $E245,AI245)+
Scope3_Equations.VEERG_15_4_1_1__2_EmissionsFromPurchasedFertiliserComponentsVariation(AL245, $E245,AM245)</f>
        <v>0</v>
      </c>
      <c r="I245" s="64"/>
      <c r="J245" s="142" cm="1">
        <f t="array" ref="J245">Scope3_Equations.VEERG_15_4_1_1__1_EmissionsFromPurchasedFertiliser(E245,I245)</f>
        <v>0</v>
      </c>
      <c r="K245" s="142"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
Scope3_Equations.VEERG_15_4_1_1__2_EmissionsFromPurchasedFertiliserComponentsVariation(AH245, $E245,IF(AJ245,AJ245,AI245))+
Scope3_Equations.VEERG_15_4_1_1__2_EmissionsFromPurchasedFertiliserComponentsVariation(AL245, $E245,IF(AN245,AN245,AM245))</f>
        <v>0</v>
      </c>
      <c r="L245" s="74"/>
      <c r="M245" s="47"/>
      <c r="N245" s="74"/>
      <c r="O245" s="49" t="str">
        <v/>
      </c>
      <c r="P245" s="49" t="str">
        <v/>
      </c>
      <c r="Q245" s="49" t="str">
        <v/>
      </c>
      <c r="R245" s="49">
        <v>0</v>
      </c>
      <c r="S245" s="49"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64"/>
      <c r="U245" s="49" t="str">
        <v/>
      </c>
      <c r="V245" s="49">
        <v>0</v>
      </c>
      <c r="W245" s="49"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64"/>
      <c r="Y245" s="49" t="str">
        <v/>
      </c>
      <c r="Z245" s="49">
        <v>0</v>
      </c>
      <c r="AA245" s="49"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64"/>
      <c r="AC245" s="49" t="str">
        <v/>
      </c>
      <c r="AD245" s="49">
        <v>0</v>
      </c>
      <c r="AE245" s="49"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64"/>
      <c r="AG245" s="49" t="str">
        <v/>
      </c>
      <c r="AH245" s="49">
        <v>0</v>
      </c>
      <c r="AI245" s="49"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64"/>
      <c r="AK245" s="49" t="str">
        <v/>
      </c>
      <c r="AL245" s="49">
        <v>0</v>
      </c>
      <c r="AM245" s="49"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64"/>
    </row>
    <row r="247" spans="4:40" ht="20.100000000000001" customHeight="1" x14ac:dyDescent="0.2">
      <c r="D247" s="135" t="s">
        <v>650</v>
      </c>
    </row>
    <row r="249" spans="4:40" ht="20.100000000000001" customHeight="1" x14ac:dyDescent="0.2">
      <c r="D249" s="86" t="s">
        <v>665</v>
      </c>
      <c r="E249" s="101"/>
      <c r="F249" s="87"/>
    </row>
    <row r="251" spans="4:40" ht="20.100000000000001" customHeight="1" x14ac:dyDescent="0.2">
      <c r="D251" s="46" t="s">
        <v>399</v>
      </c>
      <c r="E251" s="46" t="s">
        <v>352</v>
      </c>
      <c r="F251" s="57" t="s">
        <v>663</v>
      </c>
      <c r="G251" s="57" t="s">
        <v>647</v>
      </c>
      <c r="H251" s="57" t="s">
        <v>646</v>
      </c>
      <c r="I251" s="46" t="s">
        <v>664</v>
      </c>
      <c r="J251" s="57" t="s">
        <v>648</v>
      </c>
      <c r="K251" s="57" t="s">
        <v>649</v>
      </c>
      <c r="L251" s="46" t="s">
        <v>624</v>
      </c>
      <c r="M251" s="46" t="s">
        <v>625</v>
      </c>
      <c r="N251" s="46" t="s">
        <v>626</v>
      </c>
      <c r="O251" s="57" t="s">
        <v>169</v>
      </c>
      <c r="P251" s="57" t="s">
        <v>170</v>
      </c>
      <c r="Q251" s="57" t="s">
        <v>171</v>
      </c>
      <c r="R251" s="57" t="s">
        <v>172</v>
      </c>
      <c r="S251" s="57" t="s">
        <v>651</v>
      </c>
      <c r="T251" s="46" t="s">
        <v>652</v>
      </c>
      <c r="U251" s="57" t="s">
        <v>173</v>
      </c>
      <c r="V251" s="57" t="s">
        <v>174</v>
      </c>
      <c r="W251" s="57" t="s">
        <v>653</v>
      </c>
      <c r="X251" s="46" t="s">
        <v>654</v>
      </c>
      <c r="Y251" s="57" t="s">
        <v>175</v>
      </c>
      <c r="Z251" s="57" t="s">
        <v>176</v>
      </c>
      <c r="AA251" s="57" t="s">
        <v>655</v>
      </c>
      <c r="AB251" s="46" t="s">
        <v>656</v>
      </c>
      <c r="AC251" s="57" t="s">
        <v>177</v>
      </c>
      <c r="AD251" s="57" t="s">
        <v>178</v>
      </c>
      <c r="AE251" s="57" t="s">
        <v>657</v>
      </c>
      <c r="AF251" s="46" t="s">
        <v>658</v>
      </c>
    </row>
    <row r="252" spans="4:40" ht="20.100000000000001" customHeight="1" x14ac:dyDescent="0.2">
      <c r="D252" s="49" t="str" cm="1">
        <f t="array" ref="D252:D261">IFERROR(INDEX(Table_Input_InorganicFertiliser_Custom[Custom blend name], _xlfn.SEQUENCE(10)), "")</f>
        <v>My first custom blend</v>
      </c>
      <c r="E252" s="49" cm="1">
        <f t="array" ref="E252:E261">IFERROR(INDEX(Table_Input_InorganicFertiliser_Custom[Total applied (kg)], _xlfn.SEQUENCE(10)), 0)</f>
        <v>10000</v>
      </c>
      <c r="F252" s="49" cm="1">
        <f t="array" ref="F252">Scope3_Equations.VEERG_15_4_1_1__X_EmissionFactorFromPurchasedFertiliserComponents(R252,S252)+
Scope3_Equations.VEERG_15_4_1_1__X_EmissionFactorFromPurchasedFertiliserComponents(V252,W252)+
Scope3_Equations.VEERG_15_4_1_1__X_EmissionFactorFromPurchasedFertiliserComponents(Z252,AA252)+
Scope3_Equations.VEERG_15_4_1_1__X_EmissionFactorFromPurchasedFertiliserComponents(AD252,AE252)</f>
        <v>1.7707999999999999</v>
      </c>
      <c r="G252" s="142" cm="1">
        <f t="array" ref="G252">Scope3_Equations.VEERG_15_4_1_1__1_EmissionsFromPurchasedFertiliser(E252,F252)</f>
        <v>17.708000000000002</v>
      </c>
      <c r="H252" s="49" cm="1">
        <f t="array" ref="H252">Scope3_Equations.VEERG_15_4_1_1__2_EmissionsFromPurchasedFertiliserComponentsVariation(R252, $E252,S252)+
Scope3_Equations.VEERG_15_4_1_1__2_EmissionsFromPurchasedFertiliserComponentsVariation(V252, $E252,W252)+
Scope3_Equations.VEERG_15_4_1_1__2_EmissionsFromPurchasedFertiliserComponentsVariation(Z252, $E252,AA252)+
Scope3_Equations.VEERG_15_4_1_1__2_EmissionsFromPurchasedFertiliserComponentsVariation(AD252, $E252,AE252)</f>
        <v>17.707999999999998</v>
      </c>
      <c r="I252" s="64">
        <v>0.4</v>
      </c>
      <c r="J252" s="142" cm="1">
        <f t="array" ref="J252">Scope3_Equations.VEERG_15_4_1_1__1_EmissionsFromPurchasedFertiliser(E252,I252)</f>
        <v>4</v>
      </c>
      <c r="K252" s="142" cm="1">
        <f t="array" ref="K252">Scope3_Equations.VEERG_15_4_1_1__2_EmissionsFromPurchasedFertiliserComponentsVariation(R252, $E252,IF(T252,T252,S252))+
Scope3_Equations.VEERG_15_4_1_1__2_EmissionsFromPurchasedFertiliserComponentsVariation(V252, $E252,IF(X252,X252,W252))+
Scope3_Equations.VEERG_15_4_1_1__2_EmissionsFromPurchasedFertiliserComponentsVariation(Z252, $E252,IF(AB252,AB252,AA252))+
Scope3_Equations.VEERG_15_4_1_1__2_EmissionsFromPurchasedFertiliserComponentsVariation(AD252, $E252,IF(AF252,AF252,AE252))</f>
        <v>16.8</v>
      </c>
      <c r="L252" s="74"/>
      <c r="M252" s="47"/>
      <c r="N252"/>
      <c r="O252" s="49" t="str" cm="1">
        <f t="array" ref="O252:O261">_xlfn.LET(_xlpm.v, INDEX(Table_Input_InorganicFertiliser_Custom[Urea source (Select)], _xlfn.SEQUENCE(10)), IFERROR(IF(_xlpm.v=0, "", _xlpm.v), ""))</f>
        <v/>
      </c>
      <c r="P252" s="49" t="str" cm="1">
        <f t="array" ref="P252:P261">_xlfn.LET(_xlpm.v, INDEX(Table_Input_InorganicFertiliser_Custom[Ammonia source (select)], _xlfn.SEQUENCE(10)), IFERROR(IF(_xlpm.v=0, "", _xlpm.v), ""))</f>
        <v/>
      </c>
      <c r="Q252" s="49" t="str" cm="1">
        <f t="array" ref="Q252:Q261">IFERROR(INDEX(Table_Input_InorganicFertiliser_Custom[Ingredient 1 (select)], _xlfn.SEQUENCE(10)), "")</f>
        <v>Calcium nitrate</v>
      </c>
      <c r="R252" s="49" cm="1">
        <f t="array" ref="R252:R261">IFERROR(INDEX(_xlfn.LET(_xlpm.result, Table_Input_InorganicFertiliser_Custom[Ingredient 1 percent], IF(_xlpm.result="", 0, _xlpm.result)), _xlfn.SEQUENCE(10)), 0)</f>
        <v>0.5</v>
      </c>
      <c r="S252" s="49"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0.75</v>
      </c>
      <c r="T252" s="64">
        <v>0.9</v>
      </c>
      <c r="U252" s="49" t="str" cm="1">
        <f t="array" ref="U252:U261">IFERROR(INDEX(Table_Input_InorganicFertiliser_Custom[Ingredient 2], _xlfn.SEQUENCE(10)), "")</f>
        <v>Zinc - Generic</v>
      </c>
      <c r="V252" s="49" cm="1">
        <f t="array" ref="V252:V261">IFERROR(INDEX(_xlfn.LET(_xlpm.result, Table_Input_InorganicFertiliser_Custom[Ingredient 2 percent], IF(_xlpm.result="", 0, _xlpm.result)), _xlfn.SEQUENCE(10)), 0)</f>
        <v>0.2</v>
      </c>
      <c r="W252" s="49"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4.82</v>
      </c>
      <c r="X252" s="64">
        <v>0.9</v>
      </c>
      <c r="Y252" s="49" t="str" cm="1">
        <f t="array" ref="Y252:Y261">IFERROR(INDEX(Table_Input_InorganicFertiliser_Custom[Ingredient 3], _xlfn.SEQUENCE(10)), "")</f>
        <v>Potassium - Generic</v>
      </c>
      <c r="Z252" s="49" cm="1">
        <f t="array" ref="Z252:Z261">IFERROR(INDEX(_xlfn.LET(_xlpm.result, Table_Input_InorganicFertiliser_Custom[Ingredient 3 percent], IF(_xlpm.result="", 0, _xlpm.result)), _xlfn.SEQUENCE(10)), 0)</f>
        <v>0.2</v>
      </c>
      <c r="AA252" s="49"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0.90900000000000003</v>
      </c>
      <c r="AB252" s="64">
        <v>4</v>
      </c>
      <c r="AC252" s="49" t="str" cm="1">
        <f t="array" ref="AC252:AC261">IFERROR(INDEX(Table_Input_InorganicFertiliser_Custom[Ingredient 4], _xlfn.SEQUENCE(10)), "")</f>
        <v>Sulfur - Generic</v>
      </c>
      <c r="AD252" s="49" cm="1">
        <f t="array" ref="AD252:AD261">IFERROR(INDEX(_xlfn.LET(_xlpm.result, Table_Input_InorganicFertiliser_Custom[Ingredient 4 percent], IF(_xlpm.result="", 0, _xlpm.result)), _xlfn.SEQUENCE(10)), 0)</f>
        <v>0.1</v>
      </c>
      <c r="AE252" s="49"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2.5</v>
      </c>
      <c r="AF252" s="64">
        <v>0</v>
      </c>
    </row>
    <row r="253" spans="4:40" ht="20.100000000000001" customHeight="1" x14ac:dyDescent="0.2">
      <c r="D253" s="49" t="str">
        <v>My second custom blend</v>
      </c>
      <c r="E253" s="49">
        <v>10000</v>
      </c>
      <c r="F253" s="49" cm="1">
        <f t="array" ref="F253">Scope3_Equations.VEERG_15_4_1_1__X_EmissionFactorFromPurchasedFertiliserComponents(R253,S253)+
Scope3_Equations.VEERG_15_4_1_1__X_EmissionFactorFromPurchasedFertiliserComponents(V253,W253)+
Scope3_Equations.VEERG_15_4_1_1__X_EmissionFactorFromPurchasedFertiliserComponents(Z253,AA253)+
Scope3_Equations.VEERG_15_4_1_1__X_EmissionFactorFromPurchasedFertiliserComponents(AD253,AE253)</f>
        <v>0.96799999999999997</v>
      </c>
      <c r="G253" s="142" cm="1">
        <f t="array" ref="G253">Scope3_Equations.VEERG_15_4_1_1__1_EmissionsFromPurchasedFertiliser(E253,F253)</f>
        <v>9.68</v>
      </c>
      <c r="H253" s="49" cm="1">
        <f t="array" ref="H253">Scope3_Equations.VEERG_15_4_1_1__2_EmissionsFromPurchasedFertiliserComponentsVariation(R253, $E253,S253)+
Scope3_Equations.VEERG_15_4_1_1__2_EmissionsFromPurchasedFertiliserComponentsVariation(V253, $E253,W253)+
Scope3_Equations.VEERG_15_4_1_1__2_EmissionsFromPurchasedFertiliserComponentsVariation(Z253, $E253,AA253)+
Scope3_Equations.VEERG_15_4_1_1__2_EmissionsFromPurchasedFertiliserComponentsVariation(AD253, $E253,AE253)</f>
        <v>9.68</v>
      </c>
      <c r="I253" s="64">
        <v>0.9</v>
      </c>
      <c r="J253" s="142" cm="1">
        <f t="array" ref="J253">Scope3_Equations.VEERG_15_4_1_1__1_EmissionsFromPurchasedFertiliser(E253,I253)</f>
        <v>9</v>
      </c>
      <c r="K253" s="142" cm="1">
        <f t="array" ref="K253">Scope3_Equations.VEERG_15_4_1_1__2_EmissionsFromPurchasedFertiliserComponentsVariation(R253, $E253,IF(T253,T253,S253))+
Scope3_Equations.VEERG_15_4_1_1__2_EmissionsFromPurchasedFertiliserComponentsVariation(V253, $E253,IF(X253,X253,W253))+
Scope3_Equations.VEERG_15_4_1_1__2_EmissionsFromPurchasedFertiliserComponentsVariation(Z253, $E253,IF(AB253,AB253,AA253))+
Scope3_Equations.VEERG_15_4_1_1__2_EmissionsFromPurchasedFertiliserComponentsVariation(AD253, $E253,IF(AF253,AF253,AE253))</f>
        <v>9.68</v>
      </c>
      <c r="L253" s="74"/>
      <c r="M253" s="47"/>
      <c r="N253" s="74"/>
      <c r="O253" s="225" t="str">
        <v/>
      </c>
      <c r="P253" s="225" t="str">
        <v/>
      </c>
      <c r="Q253" s="49" t="str">
        <v>Urea</v>
      </c>
      <c r="R253" s="49">
        <v>1</v>
      </c>
      <c r="S253" s="49"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0.96799999999999997</v>
      </c>
      <c r="T253" s="64"/>
      <c r="U253" s="49">
        <v>0</v>
      </c>
      <c r="V253" s="49">
        <v>0</v>
      </c>
      <c r="W253" s="49"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64"/>
      <c r="Y253" s="49">
        <v>0</v>
      </c>
      <c r="Z253" s="49">
        <v>0</v>
      </c>
      <c r="AA253" s="49"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64"/>
      <c r="AC253" s="49">
        <v>0</v>
      </c>
      <c r="AD253" s="49">
        <v>0</v>
      </c>
      <c r="AE253" s="49"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64"/>
    </row>
    <row r="254" spans="4:40" ht="20.100000000000001" customHeight="1" x14ac:dyDescent="0.2">
      <c r="D254" s="49" t="str">
        <v>My third custom blend</v>
      </c>
      <c r="E254" s="49">
        <v>10000</v>
      </c>
      <c r="F254" s="49" cm="1">
        <f t="array" ref="F254">Scope3_Equations.VEERG_15_4_1_1__X_EmissionFactorFromPurchasedFertiliserComponents(R254,S254)+
Scope3_Equations.VEERG_15_4_1_1__X_EmissionFactorFromPurchasedFertiliserComponents(V254,W254)+
Scope3_Equations.VEERG_15_4_1_1__X_EmissionFactorFromPurchasedFertiliserComponents(Z254,AA254)+
Scope3_Equations.VEERG_15_4_1_1__X_EmissionFactorFromPurchasedFertiliserComponents(AD254,AE254)</f>
        <v>1.1599999999999999</v>
      </c>
      <c r="G254" s="142" cm="1">
        <f t="array" ref="G254">Scope3_Equations.VEERG_15_4_1_1__1_EmissionsFromPurchasedFertiliser(E254,F254)</f>
        <v>11.6</v>
      </c>
      <c r="H254" s="49" cm="1">
        <f t="array" ref="H254">Scope3_Equations.VEERG_15_4_1_1__2_EmissionsFromPurchasedFertiliserComponentsVariation(R254, $E254,S254)+
Scope3_Equations.VEERG_15_4_1_1__2_EmissionsFromPurchasedFertiliserComponentsVariation(V254, $E254,W254)+
Scope3_Equations.VEERG_15_4_1_1__2_EmissionsFromPurchasedFertiliserComponentsVariation(Z254, $E254,AA254)+
Scope3_Equations.VEERG_15_4_1_1__2_EmissionsFromPurchasedFertiliserComponentsVariation(AD254, $E254,AE254)</f>
        <v>11.6</v>
      </c>
      <c r="I254" s="64">
        <v>0.4</v>
      </c>
      <c r="J254" s="142" cm="1">
        <f t="array" ref="J254">Scope3_Equations.VEERG_15_4_1_1__1_EmissionsFromPurchasedFertiliser(E254,I254)</f>
        <v>4</v>
      </c>
      <c r="K254" s="142" cm="1">
        <f t="array" ref="K254">Scope3_Equations.VEERG_15_4_1_1__2_EmissionsFromPurchasedFertiliserComponentsVariation(R254, $E254,IF(T254,T254,S254))+
Scope3_Equations.VEERG_15_4_1_1__2_EmissionsFromPurchasedFertiliserComponentsVariation(V254, $E254,IF(X254,X254,W254))+
Scope3_Equations.VEERG_15_4_1_1__2_EmissionsFromPurchasedFertiliserComponentsVariation(Z254, $E254,IF(AB254,AB254,AA254))+
Scope3_Equations.VEERG_15_4_1_1__2_EmissionsFromPurchasedFertiliserComponentsVariation(AD254, $E254,IF(AF254,AF254,AE254))</f>
        <v>11.6</v>
      </c>
      <c r="L254" s="74"/>
      <c r="M254" s="47"/>
      <c r="N254" s="74"/>
      <c r="O254" s="225" t="str">
        <v/>
      </c>
      <c r="P254" s="225" t="str">
        <v/>
      </c>
      <c r="Q254" s="49" t="str">
        <v>Ammonia</v>
      </c>
      <c r="R254" s="49">
        <v>0.5</v>
      </c>
      <c r="S254" s="49"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2.3199999999999998</v>
      </c>
      <c r="T254" s="64"/>
      <c r="U254" s="49">
        <v>0</v>
      </c>
      <c r="V254" s="49">
        <v>0</v>
      </c>
      <c r="W254" s="49"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64"/>
      <c r="Y254" s="49">
        <v>0</v>
      </c>
      <c r="Z254" s="49">
        <v>0</v>
      </c>
      <c r="AA254" s="49"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64"/>
      <c r="AC254" s="49">
        <v>0</v>
      </c>
      <c r="AD254" s="49">
        <v>0</v>
      </c>
      <c r="AE254" s="49"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64"/>
    </row>
    <row r="255" spans="4:40" ht="20.100000000000001" customHeight="1" x14ac:dyDescent="0.2">
      <c r="D255" s="49">
        <v>0</v>
      </c>
      <c r="E255" s="49">
        <v>0</v>
      </c>
      <c r="F255" s="49" cm="1">
        <f t="array" ref="F255">Scope3_Equations.VEERG_15_4_1_1__X_EmissionFactorFromPurchasedFertiliserComponents(R255,S255)+
Scope3_Equations.VEERG_15_4_1_1__X_EmissionFactorFromPurchasedFertiliserComponents(V255,W255)+
Scope3_Equations.VEERG_15_4_1_1__X_EmissionFactorFromPurchasedFertiliserComponents(Z255,AA255)+
Scope3_Equations.VEERG_15_4_1_1__X_EmissionFactorFromPurchasedFertiliserComponents(AD255,AE255)</f>
        <v>0</v>
      </c>
      <c r="G255" s="142" cm="1">
        <f t="array" ref="G255">Scope3_Equations.VEERG_15_4_1_1__1_EmissionsFromPurchasedFertiliser(E255,F255)</f>
        <v>0</v>
      </c>
      <c r="H255" s="49" cm="1">
        <f t="array" ref="H255">Scope3_Equations.VEERG_15_4_1_1__2_EmissionsFromPurchasedFertiliserComponentsVariation(R255, $E255,S255)+
Scope3_Equations.VEERG_15_4_1_1__2_EmissionsFromPurchasedFertiliserComponentsVariation(V255, $E255,W255)+
Scope3_Equations.VEERG_15_4_1_1__2_EmissionsFromPurchasedFertiliserComponentsVariation(Z255, $E255,AA255)+
Scope3_Equations.VEERG_15_4_1_1__2_EmissionsFromPurchasedFertiliserComponentsVariation(AD255, $E255,AE255)</f>
        <v>0</v>
      </c>
      <c r="I255" s="64"/>
      <c r="J255" s="142" cm="1">
        <f t="array" ref="J255">Scope3_Equations.VEERG_15_4_1_1__1_EmissionsFromPurchasedFertiliser(E255,I255)</f>
        <v>0</v>
      </c>
      <c r="K255" s="142" cm="1">
        <f t="array" ref="K255">Scope3_Equations.VEERG_15_4_1_1__2_EmissionsFromPurchasedFertiliserComponentsVariation(R255, $E255,IF(T255,T255,S255))+
Scope3_Equations.VEERG_15_4_1_1__2_EmissionsFromPurchasedFertiliserComponentsVariation(V255, $E255,IF(X255,X255,W255))+
Scope3_Equations.VEERG_15_4_1_1__2_EmissionsFromPurchasedFertiliserComponentsVariation(Z255, $E255,IF(AB255,AB255,AA255))+
Scope3_Equations.VEERG_15_4_1_1__2_EmissionsFromPurchasedFertiliserComponentsVariation(AD255, $E255,IF(AF255,AF255,AE255))</f>
        <v>0</v>
      </c>
      <c r="L255" s="74"/>
      <c r="M255" s="47"/>
      <c r="N255" s="74"/>
      <c r="O255" s="225" t="str">
        <v/>
      </c>
      <c r="P255" s="225" t="str">
        <v/>
      </c>
      <c r="Q255" s="49">
        <v>0</v>
      </c>
      <c r="R255" s="49">
        <v>0</v>
      </c>
      <c r="S255" s="49"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64"/>
      <c r="U255" s="49">
        <v>0</v>
      </c>
      <c r="V255" s="49">
        <v>0</v>
      </c>
      <c r="W255" s="49"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64"/>
      <c r="Y255" s="49">
        <v>0</v>
      </c>
      <c r="Z255" s="49">
        <v>0</v>
      </c>
      <c r="AA255" s="49"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64"/>
      <c r="AC255" s="49">
        <v>0</v>
      </c>
      <c r="AD255" s="49">
        <v>0</v>
      </c>
      <c r="AE255" s="49"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64"/>
    </row>
    <row r="256" spans="4:40" ht="20.100000000000001" customHeight="1" x14ac:dyDescent="0.2">
      <c r="D256" s="49">
        <v>0</v>
      </c>
      <c r="E256" s="49">
        <v>0</v>
      </c>
      <c r="F256" s="49" cm="1">
        <f t="array" ref="F256">Scope3_Equations.VEERG_15_4_1_1__X_EmissionFactorFromPurchasedFertiliserComponents(R256,S256)+
Scope3_Equations.VEERG_15_4_1_1__X_EmissionFactorFromPurchasedFertiliserComponents(V256,W256)+
Scope3_Equations.VEERG_15_4_1_1__X_EmissionFactorFromPurchasedFertiliserComponents(Z256,AA256)+
Scope3_Equations.VEERG_15_4_1_1__X_EmissionFactorFromPurchasedFertiliserComponents(AD256,AE256)</f>
        <v>0</v>
      </c>
      <c r="G256" s="142" cm="1">
        <f t="array" ref="G256">Scope3_Equations.VEERG_15_4_1_1__1_EmissionsFromPurchasedFertiliser(E256,F256)</f>
        <v>0</v>
      </c>
      <c r="H256" s="49" cm="1">
        <f t="array" ref="H256">Scope3_Equations.VEERG_15_4_1_1__2_EmissionsFromPurchasedFertiliserComponentsVariation(R256, $E256,S256)+
Scope3_Equations.VEERG_15_4_1_1__2_EmissionsFromPurchasedFertiliserComponentsVariation(V256, $E256,W256)+
Scope3_Equations.VEERG_15_4_1_1__2_EmissionsFromPurchasedFertiliserComponentsVariation(Z256, $E256,AA256)+
Scope3_Equations.VEERG_15_4_1_1__2_EmissionsFromPurchasedFertiliserComponentsVariation(AD256, $E256,AE256)</f>
        <v>0</v>
      </c>
      <c r="I256" s="64"/>
      <c r="J256" s="142" cm="1">
        <f t="array" ref="J256">Scope3_Equations.VEERG_15_4_1_1__1_EmissionsFromPurchasedFertiliser(E256,I256)</f>
        <v>0</v>
      </c>
      <c r="K256" s="142" cm="1">
        <f t="array" ref="K256">Scope3_Equations.VEERG_15_4_1_1__2_EmissionsFromPurchasedFertiliserComponentsVariation(R256, $E256,IF(T256,T256,S256))+
Scope3_Equations.VEERG_15_4_1_1__2_EmissionsFromPurchasedFertiliserComponentsVariation(V256, $E256,IF(X256,X256,W256))+
Scope3_Equations.VEERG_15_4_1_1__2_EmissionsFromPurchasedFertiliserComponentsVariation(Z256, $E256,IF(AB256,AB256,AA256))+
Scope3_Equations.VEERG_15_4_1_1__2_EmissionsFromPurchasedFertiliserComponentsVariation(AD256, $E256,IF(AF256,AF256,AE256))</f>
        <v>0</v>
      </c>
      <c r="L256" s="74"/>
      <c r="M256" s="47"/>
      <c r="N256" s="74"/>
      <c r="O256" s="225" t="str">
        <v/>
      </c>
      <c r="P256" s="225" t="str">
        <v/>
      </c>
      <c r="Q256" s="49">
        <v>0</v>
      </c>
      <c r="R256" s="49">
        <v>0</v>
      </c>
      <c r="S256" s="49"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64"/>
      <c r="U256" s="49">
        <v>0</v>
      </c>
      <c r="V256" s="49">
        <v>0</v>
      </c>
      <c r="W256" s="49"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64"/>
      <c r="Y256" s="49">
        <v>0</v>
      </c>
      <c r="Z256" s="49">
        <v>0</v>
      </c>
      <c r="AA256" s="49"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64"/>
      <c r="AC256" s="49">
        <v>0</v>
      </c>
      <c r="AD256" s="49">
        <v>0</v>
      </c>
      <c r="AE256" s="49"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64"/>
    </row>
    <row r="257" spans="3:41" ht="20.100000000000001" customHeight="1" x14ac:dyDescent="0.2">
      <c r="D257" s="49">
        <v>0</v>
      </c>
      <c r="E257" s="49">
        <v>0</v>
      </c>
      <c r="F257" s="49" cm="1">
        <f t="array" ref="F257">Scope3_Equations.VEERG_15_4_1_1__X_EmissionFactorFromPurchasedFertiliserComponents(R257,S257)+
Scope3_Equations.VEERG_15_4_1_1__X_EmissionFactorFromPurchasedFertiliserComponents(V257,W257)+
Scope3_Equations.VEERG_15_4_1_1__X_EmissionFactorFromPurchasedFertiliserComponents(Z257,AA257)+
Scope3_Equations.VEERG_15_4_1_1__X_EmissionFactorFromPurchasedFertiliserComponents(AD257,AE257)</f>
        <v>0</v>
      </c>
      <c r="G257" s="142" cm="1">
        <f t="array" ref="G257">Scope3_Equations.VEERG_15_4_1_1__1_EmissionsFromPurchasedFertiliser(E257,F257)</f>
        <v>0</v>
      </c>
      <c r="H257" s="49" cm="1">
        <f t="array" ref="H257">Scope3_Equations.VEERG_15_4_1_1__2_EmissionsFromPurchasedFertiliserComponentsVariation(R257, $E257,S257)+
Scope3_Equations.VEERG_15_4_1_1__2_EmissionsFromPurchasedFertiliserComponentsVariation(V257, $E257,W257)+
Scope3_Equations.VEERG_15_4_1_1__2_EmissionsFromPurchasedFertiliserComponentsVariation(Z257, $E257,AA257)+
Scope3_Equations.VEERG_15_4_1_1__2_EmissionsFromPurchasedFertiliserComponentsVariation(AD257, $E257,AE257)</f>
        <v>0</v>
      </c>
      <c r="I257" s="64"/>
      <c r="J257" s="142" cm="1">
        <f t="array" ref="J257">Scope3_Equations.VEERG_15_4_1_1__1_EmissionsFromPurchasedFertiliser(E257,I257)</f>
        <v>0</v>
      </c>
      <c r="K257" s="142" cm="1">
        <f t="array" ref="K257">Scope3_Equations.VEERG_15_4_1_1__2_EmissionsFromPurchasedFertiliserComponentsVariation(R257, $E257,IF(T257,T257,S257))+
Scope3_Equations.VEERG_15_4_1_1__2_EmissionsFromPurchasedFertiliserComponentsVariation(V257, $E257,IF(X257,X257,W257))+
Scope3_Equations.VEERG_15_4_1_1__2_EmissionsFromPurchasedFertiliserComponentsVariation(Z257, $E257,IF(AB257,AB257,AA257))+
Scope3_Equations.VEERG_15_4_1_1__2_EmissionsFromPurchasedFertiliserComponentsVariation(AD257, $E257,IF(AF257,AF257,AE257))</f>
        <v>0</v>
      </c>
      <c r="L257" s="74"/>
      <c r="M257" s="47"/>
      <c r="N257" s="74"/>
      <c r="O257" s="225" t="str">
        <v/>
      </c>
      <c r="P257" s="225" t="str">
        <v/>
      </c>
      <c r="Q257" s="49">
        <v>0</v>
      </c>
      <c r="R257" s="49">
        <v>0</v>
      </c>
      <c r="S257" s="49"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64"/>
      <c r="U257" s="49">
        <v>0</v>
      </c>
      <c r="V257" s="49">
        <v>0</v>
      </c>
      <c r="W257" s="49"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64"/>
      <c r="Y257" s="49">
        <v>0</v>
      </c>
      <c r="Z257" s="49">
        <v>0</v>
      </c>
      <c r="AA257" s="49"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64"/>
      <c r="AC257" s="49">
        <v>0</v>
      </c>
      <c r="AD257" s="49">
        <v>0</v>
      </c>
      <c r="AE257" s="49"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64"/>
    </row>
    <row r="258" spans="3:41" ht="20.100000000000001" customHeight="1" x14ac:dyDescent="0.2">
      <c r="D258" s="49">
        <v>0</v>
      </c>
      <c r="E258" s="49">
        <v>0</v>
      </c>
      <c r="F258" s="49" cm="1">
        <f t="array" ref="F258">Scope3_Equations.VEERG_15_4_1_1__X_EmissionFactorFromPurchasedFertiliserComponents(R258,S258)+
Scope3_Equations.VEERG_15_4_1_1__X_EmissionFactorFromPurchasedFertiliserComponents(V258,W258)+
Scope3_Equations.VEERG_15_4_1_1__X_EmissionFactorFromPurchasedFertiliserComponents(Z258,AA258)+
Scope3_Equations.VEERG_15_4_1_1__X_EmissionFactorFromPurchasedFertiliserComponents(AD258,AE258)</f>
        <v>0</v>
      </c>
      <c r="G258" s="142" cm="1">
        <f t="array" ref="G258">Scope3_Equations.VEERG_15_4_1_1__1_EmissionsFromPurchasedFertiliser(E258,F258)</f>
        <v>0</v>
      </c>
      <c r="H258" s="49" cm="1">
        <f t="array" ref="H258">Scope3_Equations.VEERG_15_4_1_1__2_EmissionsFromPurchasedFertiliserComponentsVariation(R258, $E258,S258)+
Scope3_Equations.VEERG_15_4_1_1__2_EmissionsFromPurchasedFertiliserComponentsVariation(V258, $E258,W258)+
Scope3_Equations.VEERG_15_4_1_1__2_EmissionsFromPurchasedFertiliserComponentsVariation(Z258, $E258,AA258)+
Scope3_Equations.VEERG_15_4_1_1__2_EmissionsFromPurchasedFertiliserComponentsVariation(AD258, $E258,AE258)</f>
        <v>0</v>
      </c>
      <c r="I258" s="64"/>
      <c r="J258" s="142" cm="1">
        <f t="array" ref="J258">Scope3_Equations.VEERG_15_4_1_1__1_EmissionsFromPurchasedFertiliser(E258,I258)</f>
        <v>0</v>
      </c>
      <c r="K258" s="142" cm="1">
        <f t="array" ref="K258">Scope3_Equations.VEERG_15_4_1_1__2_EmissionsFromPurchasedFertiliserComponentsVariation(R258, $E258,IF(T258,T258,S258))+
Scope3_Equations.VEERG_15_4_1_1__2_EmissionsFromPurchasedFertiliserComponentsVariation(V258, $E258,IF(X258,X258,W258))+
Scope3_Equations.VEERG_15_4_1_1__2_EmissionsFromPurchasedFertiliserComponentsVariation(Z258, $E258,IF(AB258,AB258,AA258))+
Scope3_Equations.VEERG_15_4_1_1__2_EmissionsFromPurchasedFertiliserComponentsVariation(AD258, $E258,IF(AF258,AF258,AE258))</f>
        <v>0</v>
      </c>
      <c r="L258" s="74"/>
      <c r="M258" s="47"/>
      <c r="N258" s="74"/>
      <c r="O258" s="225" t="str">
        <v/>
      </c>
      <c r="P258" s="225" t="str">
        <v/>
      </c>
      <c r="Q258" s="49">
        <v>0</v>
      </c>
      <c r="R258" s="49">
        <v>0</v>
      </c>
      <c r="S258" s="49"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64"/>
      <c r="U258" s="49">
        <v>0</v>
      </c>
      <c r="V258" s="49">
        <v>0</v>
      </c>
      <c r="W258" s="49"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64"/>
      <c r="Y258" s="49">
        <v>0</v>
      </c>
      <c r="Z258" s="49">
        <v>0</v>
      </c>
      <c r="AA258" s="49"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64"/>
      <c r="AC258" s="49">
        <v>0</v>
      </c>
      <c r="AD258" s="49">
        <v>0</v>
      </c>
      <c r="AE258" s="49"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64"/>
    </row>
    <row r="259" spans="3:41" ht="20.100000000000001" customHeight="1" x14ac:dyDescent="0.2">
      <c r="D259" s="49">
        <v>0</v>
      </c>
      <c r="E259" s="49">
        <v>0</v>
      </c>
      <c r="F259" s="49" cm="1">
        <f t="array" ref="F259">Scope3_Equations.VEERG_15_4_1_1__X_EmissionFactorFromPurchasedFertiliserComponents(R259,S259)+
Scope3_Equations.VEERG_15_4_1_1__X_EmissionFactorFromPurchasedFertiliserComponents(V259,W259)+
Scope3_Equations.VEERG_15_4_1_1__X_EmissionFactorFromPurchasedFertiliserComponents(Z259,AA259)+
Scope3_Equations.VEERG_15_4_1_1__X_EmissionFactorFromPurchasedFertiliserComponents(AD259,AE259)</f>
        <v>0</v>
      </c>
      <c r="G259" s="142" cm="1">
        <f t="array" ref="G259">Scope3_Equations.VEERG_15_4_1_1__1_EmissionsFromPurchasedFertiliser(E259,F259)</f>
        <v>0</v>
      </c>
      <c r="H259" s="49" cm="1">
        <f t="array" ref="H259">Scope3_Equations.VEERG_15_4_1_1__2_EmissionsFromPurchasedFertiliserComponentsVariation(R259, $E259,S259)+
Scope3_Equations.VEERG_15_4_1_1__2_EmissionsFromPurchasedFertiliserComponentsVariation(V259, $E259,W259)+
Scope3_Equations.VEERG_15_4_1_1__2_EmissionsFromPurchasedFertiliserComponentsVariation(Z259, $E259,AA259)+
Scope3_Equations.VEERG_15_4_1_1__2_EmissionsFromPurchasedFertiliserComponentsVariation(AD259, $E259,AE259)</f>
        <v>0</v>
      </c>
      <c r="I259" s="64"/>
      <c r="J259" s="142" cm="1">
        <f t="array" ref="J259">Scope3_Equations.VEERG_15_4_1_1__1_EmissionsFromPurchasedFertiliser(E259,I259)</f>
        <v>0</v>
      </c>
      <c r="K259" s="142" cm="1">
        <f t="array" ref="K259">Scope3_Equations.VEERG_15_4_1_1__2_EmissionsFromPurchasedFertiliserComponentsVariation(R259, $E259,IF(T259,T259,S259))+
Scope3_Equations.VEERG_15_4_1_1__2_EmissionsFromPurchasedFertiliserComponentsVariation(V259, $E259,IF(X259,X259,W259))+
Scope3_Equations.VEERG_15_4_1_1__2_EmissionsFromPurchasedFertiliserComponentsVariation(Z259, $E259,IF(AB259,AB259,AA259))+
Scope3_Equations.VEERG_15_4_1_1__2_EmissionsFromPurchasedFertiliserComponentsVariation(AD259, $E259,IF(AF259,AF259,AE259))</f>
        <v>0</v>
      </c>
      <c r="L259" s="74"/>
      <c r="M259" s="47"/>
      <c r="N259" s="74"/>
      <c r="O259" s="225" t="str">
        <v/>
      </c>
      <c r="P259" s="225" t="str">
        <v/>
      </c>
      <c r="Q259" s="49">
        <v>0</v>
      </c>
      <c r="R259" s="49">
        <v>0</v>
      </c>
      <c r="S259" s="49"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64"/>
      <c r="U259" s="49">
        <v>0</v>
      </c>
      <c r="V259" s="49">
        <v>0</v>
      </c>
      <c r="W259" s="49"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64"/>
      <c r="Y259" s="49">
        <v>0</v>
      </c>
      <c r="Z259" s="49">
        <v>0</v>
      </c>
      <c r="AA259" s="49"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64"/>
      <c r="AC259" s="49">
        <v>0</v>
      </c>
      <c r="AD259" s="49">
        <v>0</v>
      </c>
      <c r="AE259" s="49"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64"/>
    </row>
    <row r="260" spans="3:41" ht="20.100000000000001" customHeight="1" x14ac:dyDescent="0.2">
      <c r="D260" s="49">
        <v>0</v>
      </c>
      <c r="E260" s="49">
        <v>0</v>
      </c>
      <c r="F260" s="49" cm="1">
        <f t="array" ref="F260">Scope3_Equations.VEERG_15_4_1_1__X_EmissionFactorFromPurchasedFertiliserComponents(R260,S260)+
Scope3_Equations.VEERG_15_4_1_1__X_EmissionFactorFromPurchasedFertiliserComponents(V260,W260)+
Scope3_Equations.VEERG_15_4_1_1__X_EmissionFactorFromPurchasedFertiliserComponents(Z260,AA260)+
Scope3_Equations.VEERG_15_4_1_1__X_EmissionFactorFromPurchasedFertiliserComponents(AD260,AE260)</f>
        <v>0</v>
      </c>
      <c r="G260" s="142" cm="1">
        <f t="array" ref="G260">Scope3_Equations.VEERG_15_4_1_1__1_EmissionsFromPurchasedFertiliser(E260,F260)</f>
        <v>0</v>
      </c>
      <c r="H260" s="49" cm="1">
        <f t="array" ref="H260">Scope3_Equations.VEERG_15_4_1_1__2_EmissionsFromPurchasedFertiliserComponentsVariation(R260, $E260,S260)+
Scope3_Equations.VEERG_15_4_1_1__2_EmissionsFromPurchasedFertiliserComponentsVariation(V260, $E260,W260)+
Scope3_Equations.VEERG_15_4_1_1__2_EmissionsFromPurchasedFertiliserComponentsVariation(Z260, $E260,AA260)+
Scope3_Equations.VEERG_15_4_1_1__2_EmissionsFromPurchasedFertiliserComponentsVariation(AD260, $E260,AE260)</f>
        <v>0</v>
      </c>
      <c r="I260" s="64"/>
      <c r="J260" s="142" cm="1">
        <f t="array" ref="J260">Scope3_Equations.VEERG_15_4_1_1__1_EmissionsFromPurchasedFertiliser(E260,I260)</f>
        <v>0</v>
      </c>
      <c r="K260" s="142" cm="1">
        <f t="array" ref="K260">Scope3_Equations.VEERG_15_4_1_1__2_EmissionsFromPurchasedFertiliserComponentsVariation(R260, $E260,IF(T260,T260,S260))+
Scope3_Equations.VEERG_15_4_1_1__2_EmissionsFromPurchasedFertiliserComponentsVariation(V260, $E260,IF(X260,X260,W260))+
Scope3_Equations.VEERG_15_4_1_1__2_EmissionsFromPurchasedFertiliserComponentsVariation(Z260, $E260,IF(AB260,AB260,AA260))+
Scope3_Equations.VEERG_15_4_1_1__2_EmissionsFromPurchasedFertiliserComponentsVariation(AD260, $E260,IF(AF260,AF260,AE260))</f>
        <v>0</v>
      </c>
      <c r="L260" s="74"/>
      <c r="M260" s="47"/>
      <c r="N260" s="74"/>
      <c r="O260" s="225" t="str">
        <v/>
      </c>
      <c r="P260" s="225" t="str">
        <v/>
      </c>
      <c r="Q260" s="49">
        <v>0</v>
      </c>
      <c r="R260" s="49">
        <v>0</v>
      </c>
      <c r="S260" s="49"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64"/>
      <c r="U260" s="49">
        <v>0</v>
      </c>
      <c r="V260" s="49">
        <v>0</v>
      </c>
      <c r="W260" s="49"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64"/>
      <c r="Y260" s="49">
        <v>0</v>
      </c>
      <c r="Z260" s="49">
        <v>0</v>
      </c>
      <c r="AA260" s="49"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64"/>
      <c r="AC260" s="49">
        <v>0</v>
      </c>
      <c r="AD260" s="49">
        <v>0</v>
      </c>
      <c r="AE260" s="49"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64"/>
    </row>
    <row r="261" spans="3:41" ht="20.100000000000001" customHeight="1" x14ac:dyDescent="0.2">
      <c r="D261" s="49">
        <v>0</v>
      </c>
      <c r="E261" s="49">
        <v>0</v>
      </c>
      <c r="F261" s="49" cm="1">
        <f t="array" ref="F261">Scope3_Equations.VEERG_15_4_1_1__X_EmissionFactorFromPurchasedFertiliserComponents(R261,S261)+
Scope3_Equations.VEERG_15_4_1_1__X_EmissionFactorFromPurchasedFertiliserComponents(V261,W261)+
Scope3_Equations.VEERG_15_4_1_1__X_EmissionFactorFromPurchasedFertiliserComponents(Z261,AA261)+
Scope3_Equations.VEERG_15_4_1_1__X_EmissionFactorFromPurchasedFertiliserComponents(AD261,AE261)</f>
        <v>0</v>
      </c>
      <c r="G261" s="142" cm="1">
        <f t="array" ref="G261">Scope3_Equations.VEERG_15_4_1_1__1_EmissionsFromPurchasedFertiliser(E261,F261)</f>
        <v>0</v>
      </c>
      <c r="H261" s="49" cm="1">
        <f t="array" ref="H261">Scope3_Equations.VEERG_15_4_1_1__2_EmissionsFromPurchasedFertiliserComponentsVariation(R261, $E261,S261)+
Scope3_Equations.VEERG_15_4_1_1__2_EmissionsFromPurchasedFertiliserComponentsVariation(V261, $E261,W261)+
Scope3_Equations.VEERG_15_4_1_1__2_EmissionsFromPurchasedFertiliserComponentsVariation(Z261, $E261,AA261)+
Scope3_Equations.VEERG_15_4_1_1__2_EmissionsFromPurchasedFertiliserComponentsVariation(AD261, $E261,AE261)</f>
        <v>0</v>
      </c>
      <c r="I261" s="64"/>
      <c r="J261" s="142" cm="1">
        <f t="array" ref="J261">Scope3_Equations.VEERG_15_4_1_1__1_EmissionsFromPurchasedFertiliser(E261,I261)</f>
        <v>0</v>
      </c>
      <c r="K261" s="142" cm="1">
        <f t="array" ref="K261">Scope3_Equations.VEERG_15_4_1_1__2_EmissionsFromPurchasedFertiliserComponentsVariation(R261, $E261,IF(T261,T261,S261))+
Scope3_Equations.VEERG_15_4_1_1__2_EmissionsFromPurchasedFertiliserComponentsVariation(V261, $E261,IF(X261,X261,W261))+
Scope3_Equations.VEERG_15_4_1_1__2_EmissionsFromPurchasedFertiliserComponentsVariation(Z261, $E261,IF(AB261,AB261,AA261))+
Scope3_Equations.VEERG_15_4_1_1__2_EmissionsFromPurchasedFertiliserComponentsVariation(AD261, $E261,IF(AF261,AF261,AE261))</f>
        <v>0</v>
      </c>
      <c r="L261" s="74"/>
      <c r="M261" s="47"/>
      <c r="N261" s="74"/>
      <c r="O261" s="225" t="str">
        <v/>
      </c>
      <c r="P261" s="225" t="str">
        <v/>
      </c>
      <c r="Q261" s="49">
        <v>0</v>
      </c>
      <c r="R261" s="49">
        <v>0</v>
      </c>
      <c r="S261" s="49"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64"/>
      <c r="U261" s="49">
        <v>0</v>
      </c>
      <c r="V261" s="49">
        <v>0</v>
      </c>
      <c r="W261" s="49"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64"/>
      <c r="Y261" s="49">
        <v>0</v>
      </c>
      <c r="Z261" s="49">
        <v>0</v>
      </c>
      <c r="AA261" s="49"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64"/>
      <c r="AC261" s="49">
        <v>0</v>
      </c>
      <c r="AD261" s="49">
        <v>0</v>
      </c>
      <c r="AE261" s="49"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64"/>
    </row>
    <row r="263" spans="3:41" ht="20.100000000000001" customHeight="1" x14ac:dyDescent="0.2">
      <c r="D263" s="170" t="s">
        <v>666</v>
      </c>
      <c r="E263" s="168">
        <f>SUM(G236:G245)+SUM(G252:G261)</f>
        <v>66.611033519999992</v>
      </c>
      <c r="F263" s="169" t="str">
        <f>$E$170</f>
        <v>t CO2e</v>
      </c>
    </row>
    <row r="264" spans="3:41" ht="20.100000000000001" customHeight="1" x14ac:dyDescent="0.2">
      <c r="D264" s="170" t="s">
        <v>667</v>
      </c>
      <c r="E264" s="168">
        <f>SUM(J236:J245)+SUM(J252:J261)</f>
        <v>34</v>
      </c>
      <c r="F264" s="169" t="str">
        <f>$E$170</f>
        <v>t CO2e</v>
      </c>
    </row>
    <row r="266" spans="3:41" ht="20.100000000000001" customHeight="1" x14ac:dyDescent="0.2">
      <c r="D266" s="170" t="s">
        <v>668</v>
      </c>
      <c r="E266" s="168">
        <f>SUM(H236:H245)+SUM(H252:H261)</f>
        <v>66.611033520000007</v>
      </c>
      <c r="F266" s="169" t="str">
        <f>$E$170</f>
        <v>t CO2e</v>
      </c>
    </row>
    <row r="267" spans="3:41" ht="20.100000000000001" customHeight="1" x14ac:dyDescent="0.2">
      <c r="D267" s="170" t="s">
        <v>669</v>
      </c>
      <c r="E267" s="168">
        <f>SUM(K236:K245)+SUM(K252:K261)</f>
        <v>65.023033519999998</v>
      </c>
      <c r="F267" s="169" t="str">
        <f>$E$170</f>
        <v>t CO2e</v>
      </c>
    </row>
    <row r="270" spans="3:41" ht="20.100000000000001" customHeight="1" x14ac:dyDescent="0.2">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c r="AA270" s="89"/>
      <c r="AB270" s="89"/>
      <c r="AC270" s="89"/>
      <c r="AD270" s="89"/>
      <c r="AE270" s="89"/>
      <c r="AF270" s="89"/>
      <c r="AG270" s="89"/>
      <c r="AH270" s="89"/>
      <c r="AI270" s="89"/>
      <c r="AJ270" s="89"/>
      <c r="AK270" s="89"/>
      <c r="AL270" s="89"/>
      <c r="AM270" s="89"/>
      <c r="AN270" s="89"/>
      <c r="AO270" s="89"/>
    </row>
    <row r="271" spans="3:41" ht="20.100000000000001" customHeight="1" x14ac:dyDescent="0.2">
      <c r="D271" s="9" t="str" cm="1">
        <f t="array" ref="D271">Scope3_Equations.VEERG_15_5_1_1__1_EmissionsFromPurchasedAgrichemicals_Title()</f>
        <v>Total emissions from purchased agrichemicals</v>
      </c>
    </row>
    <row r="272" spans="3:41" ht="20.100000000000001" customHeight="1" x14ac:dyDescent="0.2">
      <c r="D272" s="11" t="str" cm="1">
        <f t="array" ref="D272">Scope3_Equations.VEERG_15_5_1_1__1_EmissionsFromPurchasedAgrichemicals_Source()</f>
        <v>VEERG 2026: 15.5.1.1, Equation (1)</v>
      </c>
    </row>
    <row r="273" spans="4:9" ht="20.100000000000001" customHeight="1" x14ac:dyDescent="0.2">
      <c r="D273" s="163" t="s">
        <v>621</v>
      </c>
      <c r="E273" s="163" t="str" cm="1">
        <f t="array" aca="1" ref="E273" ca="1">Common_InputFunctions.Utility_DisplayFunctionName(G285)</f>
        <v>=Scope3_Equations.VEERG_15_5_1_1__1_EmissionsFromPurchasedAgrichemicals</v>
      </c>
    </row>
    <row r="277" spans="4:9" ht="20.100000000000001" customHeight="1" x14ac:dyDescent="0.2">
      <c r="D277" s="27" t="s">
        <v>622</v>
      </c>
      <c r="E277" s="8" t="str" cm="1">
        <f t="array" ref="E277">Scope3_Equations.VEERG_15_5_1_1__1_EmissionsFromPurchasedAgrichemicals_Variable()</f>
        <v>E</v>
      </c>
    </row>
    <row r="278" spans="4:9" ht="20.100000000000001" customHeight="1" x14ac:dyDescent="0.2">
      <c r="D278" s="27" t="s">
        <v>97</v>
      </c>
      <c r="E278" s="13" t="str" cm="1">
        <f t="array" ref="E278">Scope3_Equations.VEERG_15_5_1_1__1_EmissionsFromPurchasedAgrichemicals_Unit()</f>
        <v>t CO2e</v>
      </c>
    </row>
    <row r="280" spans="4:9" ht="20.100000000000001" customHeight="1" x14ac:dyDescent="0.2">
      <c r="D280" s="158" t="str" cm="1">
        <f t="array" ref="D280:E282">_xlfn.CHOOSECOLS(Scope3_Equations.VEERG_15_5_1_1__1_EmissionsFromPurchasedAgrichemicals_Arguments(),1,2)</f>
        <v>Q_h</v>
      </c>
      <c r="E280" s="162" t="str">
        <v>quantity of active ingredients in agrichemical type h purchased and applied to soils</v>
      </c>
      <c r="F280" s="157"/>
      <c r="G280" s="158" t="str" cm="1">
        <f t="array" ref="G280:H282">_xlfn.CHOOSECOLS(Scope3_Equations.VEERG_15_5_1_1__1_EmissionsFromPurchasedAgrichemicals_Arguments(),3,4)</f>
        <v>kg ai</v>
      </c>
      <c r="H280" s="159" t="str">
        <v>Input</v>
      </c>
    </row>
    <row r="281" spans="4:9" ht="20.100000000000001" customHeight="1" x14ac:dyDescent="0.2">
      <c r="D281" s="158" t="str">
        <v>EF_h</v>
      </c>
      <c r="E281" s="162" t="str">
        <v>emission factor for purchased agrichemical active ingredient</v>
      </c>
      <c r="F281" s="157"/>
      <c r="G281" s="158" t="str">
        <v>kg CO2e/kg ai</v>
      </c>
      <c r="H281" s="160" t="str">
        <v>Constant</v>
      </c>
    </row>
    <row r="282" spans="4:9" ht="20.100000000000001" customHeight="1" x14ac:dyDescent="0.2">
      <c r="D282" s="158" t="str">
        <v>h</v>
      </c>
      <c r="E282" s="162" t="str">
        <v>agrichemical type</v>
      </c>
      <c r="F282" s="157"/>
      <c r="G282" s="158" t="str">
        <v/>
      </c>
      <c r="H282" s="159" t="str">
        <v>Input</v>
      </c>
    </row>
    <row r="284" spans="4:9" ht="20.100000000000001" customHeight="1" x14ac:dyDescent="0.2">
      <c r="D284" s="46" t="s">
        <v>675</v>
      </c>
      <c r="E284" s="46" t="s">
        <v>201</v>
      </c>
      <c r="F284" s="57" t="s">
        <v>676</v>
      </c>
      <c r="G284" s="57" t="s">
        <v>628</v>
      </c>
      <c r="H284" s="46" t="s">
        <v>677</v>
      </c>
      <c r="I284" s="57" t="s">
        <v>630</v>
      </c>
    </row>
    <row r="285" spans="4:9" ht="20.100000000000001" customHeight="1" x14ac:dyDescent="0.2">
      <c r="D285" s="49" t="str" cm="1">
        <f t="array" ref="D285:D296">Table_SourceData_Scope3_Pesticides[Product]</f>
        <v>2,4-D</v>
      </c>
      <c r="E285" s="49">
        <f>SUMIF(Table_Input_Pesticides[Active ingredient 1 (select)],D285,Table_Input_Pesticides[Total active ingredient 1 (kg)])+
SUMIF(Table_Input_Pesticides[Active ingredient 2 (select)],D285,Table_Input_Pesticides[Total active ingredient 2 (kg)])+
SUMIF(Table_Input_Pesticides[Active ingredient 3 (select)],D285,Table_Input_Pesticides[Total active ingredient 3 (kg)])</f>
        <v>100</v>
      </c>
      <c r="F285" s="49" cm="1">
        <f t="array" ref="F285">Common_InputFunctions.Utility_LookupValueInTableNumber(D285,Table_SourceData_Scope3_Pesticides[Product],Table_SourceData_Scope3_Pesticides[Emissions intensity])</f>
        <v>5.2</v>
      </c>
      <c r="G285" s="49" cm="1">
        <f t="array" ref="G285">Scope3_Equations.VEERG_15_5_1_1__1_EmissionsFromPurchasedAgrichemicals($E285,F285)</f>
        <v>0.52</v>
      </c>
      <c r="H285" s="64">
        <v>5</v>
      </c>
      <c r="I285" s="49" cm="1">
        <f t="array" ref="I285">Scope3_Equations.VEERG_15_5_1_1__1_EmissionsFromPurchasedAgrichemicals($E285,IF(H285,H285,F285))</f>
        <v>0.5</v>
      </c>
    </row>
    <row r="286" spans="4:9" ht="20.100000000000001" customHeight="1" x14ac:dyDescent="0.2">
      <c r="D286" s="49" t="str">
        <v>Atrazine</v>
      </c>
      <c r="E286" s="49">
        <f>SUMIF(Table_Input_Pesticides[Active ingredient 1 (select)],D286,Table_Input_Pesticides[Total active ingredient 1 (kg)])+
SUMIF(Table_Input_Pesticides[Active ingredient 2 (select)],D286,Table_Input_Pesticides[Total active ingredient 2 (kg)])+
SUMIF(Table_Input_Pesticides[Active ingredient 3 (select)],D286,Table_Input_Pesticides[Total active ingredient 3 (kg)])</f>
        <v>0</v>
      </c>
      <c r="F286" s="49" cm="1">
        <f t="array" ref="F286">Common_InputFunctions.Utility_LookupValueInTableNumber(D286,Table_SourceData_Scope3_Pesticides[Product],Table_SourceData_Scope3_Pesticides[Emissions intensity])</f>
        <v>8.3800000000000008</v>
      </c>
      <c r="G286" s="49" cm="1">
        <f t="array" ref="G286">Scope3_Equations.VEERG_15_5_1_1__1_EmissionsFromPurchasedAgrichemicals($E286,F286)</f>
        <v>0</v>
      </c>
      <c r="H286" s="64">
        <v>8</v>
      </c>
      <c r="I286" s="49" cm="1">
        <f t="array" ref="I286">Scope3_Equations.VEERG_15_5_1_1__1_EmissionsFromPurchasedAgrichemicals($E286,IF(H286,H286,F286))</f>
        <v>0</v>
      </c>
    </row>
    <row r="287" spans="4:9" ht="20.100000000000001" customHeight="1" x14ac:dyDescent="0.2">
      <c r="D287" s="49" t="str">
        <v>Diuron</v>
      </c>
      <c r="E287" s="49">
        <f>SUMIF(Table_Input_Pesticides[Active ingredient 1 (select)],D287,Table_Input_Pesticides[Total active ingredient 1 (kg)])+
SUMIF(Table_Input_Pesticides[Active ingredient 2 (select)],D287,Table_Input_Pesticides[Total active ingredient 2 (kg)])+
SUMIF(Table_Input_Pesticides[Active ingredient 3 (select)],D287,Table_Input_Pesticides[Total active ingredient 3 (kg)])</f>
        <v>0</v>
      </c>
      <c r="F287" s="49" cm="1">
        <f t="array" ref="F287">Common_InputFunctions.Utility_LookupValueInTableNumber(D287,Table_SourceData_Scope3_Pesticides[Product],Table_SourceData_Scope3_Pesticides[Emissions intensity])</f>
        <v>8.8000000000000007</v>
      </c>
      <c r="G287" s="49" cm="1">
        <f t="array" ref="G287">Scope3_Equations.VEERG_15_5_1_1__1_EmissionsFromPurchasedAgrichemicals($E287,F287)</f>
        <v>0</v>
      </c>
      <c r="H287" s="64"/>
      <c r="I287" s="49" cm="1">
        <f t="array" ref="I287">Scope3_Equations.VEERG_15_5_1_1__1_EmissionsFromPurchasedAgrichemicals($E287,IF(H287,H287,F287))</f>
        <v>0</v>
      </c>
    </row>
    <row r="288" spans="4:9" ht="20.100000000000001" customHeight="1" x14ac:dyDescent="0.2">
      <c r="D288" s="49" t="str">
        <v>Glyphosate</v>
      </c>
      <c r="E288" s="49">
        <f>SUMIF(Table_Input_Pesticides[Active ingredient 1 (select)],D288,Table_Input_Pesticides[Total active ingredient 1 (kg)])+
SUMIF(Table_Input_Pesticides[Active ingredient 2 (select)],D288,Table_Input_Pesticides[Total active ingredient 2 (kg)])+
SUMIF(Table_Input_Pesticides[Active ingredient 3 (select)],D288,Table_Input_Pesticides[Total active ingredient 3 (kg)])</f>
        <v>100</v>
      </c>
      <c r="F288" s="49" cm="1">
        <f t="array" ref="F288">Common_InputFunctions.Utility_LookupValueInTableNumber(D288,Table_SourceData_Scope3_Pesticides[Product],Table_SourceData_Scope3_Pesticides[Emissions intensity])</f>
        <v>10.3</v>
      </c>
      <c r="G288" s="49" cm="1">
        <f t="array" ref="G288">Scope3_Equations.VEERG_15_5_1_1__1_EmissionsFromPurchasedAgrichemicals($E288,F288)</f>
        <v>1.03</v>
      </c>
      <c r="H288" s="64"/>
      <c r="I288" s="49" cm="1">
        <f t="array" ref="I288">Scope3_Equations.VEERG_15_5_1_1__1_EmissionsFromPurchasedAgrichemicals($E288,IF(H288,H288,F288))</f>
        <v>1.03</v>
      </c>
    </row>
    <row r="289" spans="3:41" ht="20.100000000000001" customHeight="1" x14ac:dyDescent="0.2">
      <c r="D289" s="49" t="str">
        <v>Mancozeb</v>
      </c>
      <c r="E289" s="49">
        <f>SUMIF(Table_Input_Pesticides[Active ingredient 1 (select)],D289,Table_Input_Pesticides[Total active ingredient 1 (kg)])+
SUMIF(Table_Input_Pesticides[Active ingredient 2 (select)],D289,Table_Input_Pesticides[Total active ingredient 2 (kg)])+
SUMIF(Table_Input_Pesticides[Active ingredient 3 (select)],D289,Table_Input_Pesticides[Total active ingredient 3 (kg)])</f>
        <v>0</v>
      </c>
      <c r="F289" s="49" cm="1">
        <f t="array" ref="F289">Common_InputFunctions.Utility_LookupValueInTableNumber(D289,Table_SourceData_Scope3_Pesticides[Product],Table_SourceData_Scope3_Pesticides[Emissions intensity])</f>
        <v>4.55</v>
      </c>
      <c r="G289" s="49" cm="1">
        <f t="array" ref="G289">Scope3_Equations.VEERG_15_5_1_1__1_EmissionsFromPurchasedAgrichemicals($E289,F289)</f>
        <v>0</v>
      </c>
      <c r="H289" s="64"/>
      <c r="I289" s="49" cm="1">
        <f t="array" ref="I289">Scope3_Equations.VEERG_15_5_1_1__1_EmissionsFromPurchasedAgrichemicals($E289,IF(H289,H289,F289))</f>
        <v>0</v>
      </c>
    </row>
    <row r="290" spans="3:41" ht="20.100000000000001" customHeight="1" x14ac:dyDescent="0.2">
      <c r="D290" s="49" t="str">
        <v>MCPA</v>
      </c>
      <c r="E290" s="49">
        <f>SUMIF(Table_Input_Pesticides[Active ingredient 1 (select)],D290,Table_Input_Pesticides[Total active ingredient 1 (kg)])+
SUMIF(Table_Input_Pesticides[Active ingredient 2 (select)],D290,Table_Input_Pesticides[Total active ingredient 2 (kg)])+
SUMIF(Table_Input_Pesticides[Active ingredient 3 (select)],D290,Table_Input_Pesticides[Total active ingredient 3 (kg)])</f>
        <v>0</v>
      </c>
      <c r="F290" s="49" cm="1">
        <f t="array" ref="F290">Common_InputFunctions.Utility_LookupValueInTableNumber(D290,Table_SourceData_Scope3_Pesticides[Product],Table_SourceData_Scope3_Pesticides[Emissions intensity])</f>
        <v>5.6</v>
      </c>
      <c r="G290" s="49" cm="1">
        <f t="array" ref="G290">Scope3_Equations.VEERG_15_5_1_1__1_EmissionsFromPurchasedAgrichemicals($E290,F290)</f>
        <v>0</v>
      </c>
      <c r="H290" s="64"/>
      <c r="I290" s="49" cm="1">
        <f t="array" ref="I290">Scope3_Equations.VEERG_15_5_1_1__1_EmissionsFromPurchasedAgrichemicals($E290,IF(H290,H290,F290))</f>
        <v>0</v>
      </c>
    </row>
    <row r="291" spans="3:41" ht="20.100000000000001" customHeight="1" x14ac:dyDescent="0.2">
      <c r="D291" s="49" t="str">
        <v>Metolachlor</v>
      </c>
      <c r="E291" s="49">
        <f>SUMIF(Table_Input_Pesticides[Active ingredient 1 (select)],D291,Table_Input_Pesticides[Total active ingredient 1 (kg)])+
SUMIF(Table_Input_Pesticides[Active ingredient 2 (select)],D291,Table_Input_Pesticides[Total active ingredient 2 (kg)])+
SUMIF(Table_Input_Pesticides[Active ingredient 3 (select)],D291,Table_Input_Pesticides[Total active ingredient 3 (kg)])</f>
        <v>100</v>
      </c>
      <c r="F291" s="49" cm="1">
        <f t="array" ref="F291">Common_InputFunctions.Utility_LookupValueInTableNumber(D291,Table_SourceData_Scope3_Pesticides[Product],Table_SourceData_Scope3_Pesticides[Emissions intensity])</f>
        <v>8.06</v>
      </c>
      <c r="G291" s="49" cm="1">
        <f t="array" ref="G291">Scope3_Equations.VEERG_15_5_1_1__1_EmissionsFromPurchasedAgrichemicals($E291,F291)</f>
        <v>0.80600000000000005</v>
      </c>
      <c r="H291" s="64"/>
      <c r="I291" s="49" cm="1">
        <f t="array" ref="I291">Scope3_Equations.VEERG_15_5_1_1__1_EmissionsFromPurchasedAgrichemicals($E291,IF(H291,H291,F291))</f>
        <v>0.80600000000000005</v>
      </c>
    </row>
    <row r="292" spans="3:41" ht="20.100000000000001" customHeight="1" x14ac:dyDescent="0.2">
      <c r="D292" s="49" t="str">
        <v>Metsulfuron-methyl</v>
      </c>
      <c r="E292" s="49">
        <f>SUMIF(Table_Input_Pesticides[Active ingredient 1 (select)],D292,Table_Input_Pesticides[Total active ingredient 1 (kg)])+
SUMIF(Table_Input_Pesticides[Active ingredient 2 (select)],D292,Table_Input_Pesticides[Total active ingredient 2 (kg)])+
SUMIF(Table_Input_Pesticides[Active ingredient 3 (select)],D292,Table_Input_Pesticides[Total active ingredient 3 (kg)])</f>
        <v>0</v>
      </c>
      <c r="F292" s="49" cm="1">
        <f t="array" ref="F292">Common_InputFunctions.Utility_LookupValueInTableNumber(D292,Table_SourceData_Scope3_Pesticides[Product],Table_SourceData_Scope3_Pesticides[Emissions intensity])</f>
        <v>8.8000000000000007</v>
      </c>
      <c r="G292" s="49" cm="1">
        <f t="array" ref="G292">Scope3_Equations.VEERG_15_5_1_1__1_EmissionsFromPurchasedAgrichemicals($E292,F292)</f>
        <v>0</v>
      </c>
      <c r="H292" s="64"/>
      <c r="I292" s="49" cm="1">
        <f t="array" ref="I292">Scope3_Equations.VEERG_15_5_1_1__1_EmissionsFromPurchasedAgrichemicals($E292,IF(H292,H292,F292))</f>
        <v>0</v>
      </c>
    </row>
    <row r="293" spans="3:41" ht="20.100000000000001" customHeight="1" x14ac:dyDescent="0.2">
      <c r="D293" s="49" t="str">
        <v>Pesticides (generic)</v>
      </c>
      <c r="E293" s="49">
        <f>SUMIF(Table_Input_Pesticides[Active ingredient 1 (select)],D293,Table_Input_Pesticides[Total active ingredient 1 (kg)])+
SUMIF(Table_Input_Pesticides[Active ingredient 2 (select)],D293,Table_Input_Pesticides[Total active ingredient 2 (kg)])+
SUMIF(Table_Input_Pesticides[Active ingredient 3 (select)],D293,Table_Input_Pesticides[Total active ingredient 3 (kg)])</f>
        <v>400</v>
      </c>
      <c r="F293" s="49" cm="1">
        <f t="array" ref="F293">Common_InputFunctions.Utility_LookupValueInTableNumber(D293,Table_SourceData_Scope3_Pesticides[Product],Table_SourceData_Scope3_Pesticides[Emissions intensity])</f>
        <v>9.16</v>
      </c>
      <c r="G293" s="49" cm="1">
        <f t="array" ref="G293">Scope3_Equations.VEERG_15_5_1_1__1_EmissionsFromPurchasedAgrichemicals($E293,F293)</f>
        <v>3.6640000000000001</v>
      </c>
      <c r="H293" s="64"/>
      <c r="I293" s="49" cm="1">
        <f t="array" ref="I293">Scope3_Equations.VEERG_15_5_1_1__1_EmissionsFromPurchasedAgrichemicals($E293,IF(H293,H293,F293))</f>
        <v>3.6640000000000001</v>
      </c>
    </row>
    <row r="294" spans="3:41" ht="20.100000000000001" customHeight="1" x14ac:dyDescent="0.2">
      <c r="D294" s="49" t="str">
        <v>Tri-allate</v>
      </c>
      <c r="E294" s="49">
        <f>SUMIF(Table_Input_Pesticides[Active ingredient 1 (select)],D294,Table_Input_Pesticides[Total active ingredient 1 (kg)])+
SUMIF(Table_Input_Pesticides[Active ingredient 2 (select)],D294,Table_Input_Pesticides[Total active ingredient 2 (kg)])+
SUMIF(Table_Input_Pesticides[Active ingredient 3 (select)],D294,Table_Input_Pesticides[Total active ingredient 3 (kg)])</f>
        <v>0</v>
      </c>
      <c r="F294" s="49" cm="1">
        <f t="array" ref="F294">Common_InputFunctions.Utility_LookupValueInTableNumber(D294,Table_SourceData_Scope3_Pesticides[Product],Table_SourceData_Scope3_Pesticides[Emissions intensity])</f>
        <v>8.57</v>
      </c>
      <c r="G294" s="49" cm="1">
        <f t="array" ref="G294">Scope3_Equations.VEERG_15_5_1_1__1_EmissionsFromPurchasedAgrichemicals($E294,F294)</f>
        <v>0</v>
      </c>
      <c r="H294" s="64"/>
      <c r="I294" s="49" cm="1">
        <f t="array" ref="I294">Scope3_Equations.VEERG_15_5_1_1__1_EmissionsFromPurchasedAgrichemicals($E294,IF(H294,H294,F294))</f>
        <v>0</v>
      </c>
    </row>
    <row r="295" spans="3:41" ht="20.100000000000001" customHeight="1" x14ac:dyDescent="0.2">
      <c r="D295" s="49" t="str">
        <v>Tribenuron methyl</v>
      </c>
      <c r="E295" s="49">
        <f>SUMIF(Table_Input_Pesticides[Active ingredient 1 (select)],D295,Table_Input_Pesticides[Total active ingredient 1 (kg)])+
SUMIF(Table_Input_Pesticides[Active ingredient 2 (select)],D295,Table_Input_Pesticides[Total active ingredient 2 (kg)])+
SUMIF(Table_Input_Pesticides[Active ingredient 3 (select)],D295,Table_Input_Pesticides[Total active ingredient 3 (kg)])</f>
        <v>100</v>
      </c>
      <c r="F295" s="49" cm="1">
        <f t="array" ref="F295">Common_InputFunctions.Utility_LookupValueInTableNumber(D295,Table_SourceData_Scope3_Pesticides[Product],Table_SourceData_Scope3_Pesticides[Emissions intensity])</f>
        <v>8.8000000000000007</v>
      </c>
      <c r="G295" s="49" cm="1">
        <f t="array" ref="G295">Scope3_Equations.VEERG_15_5_1_1__1_EmissionsFromPurchasedAgrichemicals($E295,F295)</f>
        <v>0.88000000000000012</v>
      </c>
      <c r="H295" s="64"/>
      <c r="I295" s="49" cm="1">
        <f t="array" ref="I295">Scope3_Equations.VEERG_15_5_1_1__1_EmissionsFromPurchasedAgrichemicals($E295,IF(H295,H295,F295))</f>
        <v>0.88000000000000012</v>
      </c>
    </row>
    <row r="296" spans="3:41" ht="20.100000000000001" customHeight="1" x14ac:dyDescent="0.2">
      <c r="D296" s="49" t="str">
        <v>Trifluralin</v>
      </c>
      <c r="E296" s="49">
        <f>SUMIF(Table_Input_Pesticides[Active ingredient 1 (select)],D296,Table_Input_Pesticides[Total active ingredient 1 (kg)])+
SUMIF(Table_Input_Pesticides[Active ingredient 2 (select)],D296,Table_Input_Pesticides[Total active ingredient 2 (kg)])+
SUMIF(Table_Input_Pesticides[Active ingredient 3 (select)],D296,Table_Input_Pesticides[Total active ingredient 3 (kg)])</f>
        <v>100</v>
      </c>
      <c r="F296" s="49" cm="1">
        <f t="array" ref="F296">Common_InputFunctions.Utility_LookupValueInTableNumber(D296,Table_SourceData_Scope3_Pesticides[Product],Table_SourceData_Scope3_Pesticides[Emissions intensity])</f>
        <v>6.16</v>
      </c>
      <c r="G296" s="49" cm="1">
        <f t="array" ref="G296">Scope3_Equations.VEERG_15_5_1_1__1_EmissionsFromPurchasedAgrichemicals($E296,F296)</f>
        <v>0.61599999999999999</v>
      </c>
      <c r="H296" s="64"/>
      <c r="I296" s="49" cm="1">
        <f t="array" ref="I296">Scope3_Equations.VEERG_15_5_1_1__1_EmissionsFromPurchasedAgrichemicals($E296,IF(H296,H296,F296))</f>
        <v>0.61599999999999999</v>
      </c>
    </row>
    <row r="298" spans="3:41" ht="20.100000000000001" customHeight="1" x14ac:dyDescent="0.2">
      <c r="D298" s="170" t="s">
        <v>628</v>
      </c>
      <c r="E298" s="168">
        <f>SUM(G285:G296)</f>
        <v>7.5159999999999991</v>
      </c>
      <c r="F298" s="169" t="str">
        <f>$E$170</f>
        <v>t CO2e</v>
      </c>
    </row>
    <row r="299" spans="3:41" ht="20.100000000000001" customHeight="1" x14ac:dyDescent="0.2">
      <c r="D299" s="170" t="s">
        <v>630</v>
      </c>
      <c r="E299" s="168">
        <f>SUM(I285:I296)</f>
        <v>7.4959999999999996</v>
      </c>
      <c r="F299" s="169" t="str">
        <f>$E$170</f>
        <v>t CO2e</v>
      </c>
    </row>
    <row r="302" spans="3:41" ht="20.100000000000001" customHeight="1" x14ac:dyDescent="0.2">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c r="AA302" s="89"/>
      <c r="AB302" s="89"/>
      <c r="AC302" s="89"/>
      <c r="AD302" s="89"/>
      <c r="AE302" s="89"/>
      <c r="AF302" s="89"/>
      <c r="AG302" s="89"/>
      <c r="AH302" s="89"/>
      <c r="AI302" s="89"/>
      <c r="AJ302" s="89"/>
      <c r="AK302" s="89"/>
      <c r="AL302" s="89"/>
      <c r="AM302" s="89"/>
      <c r="AN302" s="89"/>
      <c r="AO302" s="89"/>
    </row>
    <row r="303" spans="3:41" ht="20.100000000000001" customHeight="1" x14ac:dyDescent="0.2">
      <c r="D303" s="9" t="str" cm="1">
        <f t="array" ref="D303">Scope3_Equations.VEERG_15_6_1_1__1_EmissionsFromPurchasedLime_Title()</f>
        <v>Embedded emissions for purchased lime</v>
      </c>
    </row>
    <row r="304" spans="3:41" ht="20.100000000000001" customHeight="1" x14ac:dyDescent="0.2">
      <c r="D304" s="11" t="str" cm="1">
        <f t="array" ref="D304">Scope3_Equations.VEERG_15_6_1_1__1_EmissionsFromPurchasedLime_Source()</f>
        <v>VEERG 2026: 15.6.1.1, Equation (1)</v>
      </c>
    </row>
    <row r="305" spans="4:13" ht="20.100000000000001" customHeight="1" x14ac:dyDescent="0.2">
      <c r="D305" s="163" t="s">
        <v>621</v>
      </c>
      <c r="E305" s="163" t="str" cm="1">
        <f t="array" aca="1" ref="E305" ca="1">Common_InputFunctions.Utility_DisplayFunctionName(I320)</f>
        <v>=Scope3_Equations.VEERG_15_6_1_1__1_EmissionsFromPurchasedLime</v>
      </c>
    </row>
    <row r="308" spans="4:13" ht="20.100000000000001" customHeight="1" x14ac:dyDescent="0.2">
      <c r="D308" s="27" t="s">
        <v>622</v>
      </c>
      <c r="E308" s="8" t="str" cm="1">
        <f t="array" ref="E308">Scope3_Equations.VEERG_15_6_1_1__1_EmissionsFromPurchasedLime_Variable()</f>
        <v>E</v>
      </c>
    </row>
    <row r="309" spans="4:13" ht="20.100000000000001" customHeight="1" x14ac:dyDescent="0.2">
      <c r="D309" s="27" t="s">
        <v>97</v>
      </c>
      <c r="E309" s="8" t="str" cm="1">
        <f t="array" ref="E309">Scope3_Equations.VEERG_15_6_1_1__1_EmissionsFromPurchasedLime_Unit()</f>
        <v>t CO2e</v>
      </c>
    </row>
    <row r="311" spans="4:13" ht="20.100000000000001" customHeight="1" x14ac:dyDescent="0.2">
      <c r="D311" s="158" t="str" cm="1">
        <f t="array" ref="D311:E312">_xlfn.CHOOSECOLS(Scope3_Equations.VEERG_15_6_1_1__1_EmissionsFromPurchasedLime_Arguments(),1,2)</f>
        <v>M_lime</v>
      </c>
      <c r="E311" s="158" t="str">
        <v>total quantity of lime applied to soils</v>
      </c>
      <c r="F311" s="158" t="str" cm="1">
        <f t="array" ref="F311:G312">_xlfn.CHOOSECOLS(Scope3_Equations.VEERG_15_6_1_1__1_EmissionsFromPurchasedLime_Arguments(),3,4)</f>
        <v>t</v>
      </c>
      <c r="G311" s="159" t="str">
        <v>Input</v>
      </c>
    </row>
    <row r="312" spans="4:13" ht="20.100000000000001" customHeight="1" x14ac:dyDescent="0.2">
      <c r="D312" s="158" t="str">
        <v>EF_l</v>
      </c>
      <c r="E312" s="158" t="str">
        <v>emission factor for purchased lime</v>
      </c>
      <c r="F312" s="158" t="str">
        <v>t CO2e/t</v>
      </c>
      <c r="G312" s="160" t="str">
        <v>Constant</v>
      </c>
    </row>
    <row r="314" spans="4:13" ht="20.100000000000001" customHeight="1" x14ac:dyDescent="0.2">
      <c r="E314" s="57" t="s">
        <v>405</v>
      </c>
      <c r="F314" s="46" t="s">
        <v>406</v>
      </c>
    </row>
    <row r="315" spans="4:13" ht="20.100000000000001" customHeight="1" x14ac:dyDescent="0.2">
      <c r="D315" s="8" t="s">
        <v>680</v>
      </c>
      <c r="E315" s="49" cm="1">
        <f t="array" ref="E315">Common_InputFunctions.Utility_LookupValueInTableNumber("Limestone (crushed)", Table_SourceData_Scope3_SoilAmeliorants[Product],Table_SourceData_Scope3_SoilAmeliorants[Emissions intensity])*10^-3</f>
        <v>4.85E-5</v>
      </c>
      <c r="F315" s="64">
        <v>4.0000000000000003E-5</v>
      </c>
      <c r="G315" s="63" t="str">
        <f>$F$312</f>
        <v>t CO2e/t</v>
      </c>
    </row>
    <row r="316" spans="4:13" ht="20.100000000000001" customHeight="1" x14ac:dyDescent="0.2">
      <c r="D316" s="8" t="s">
        <v>681</v>
      </c>
      <c r="E316" s="49" cm="1">
        <f t="array" ref="E316">Common_InputFunctions.Utility_LookupValueInTableNumber("Dolomite", Table_SourceData_Scope3_SoilAmeliorants[Product],Table_SourceData_Scope3_SoilAmeliorants[Emissions intensity])*10^-3</f>
        <v>6.5199999999999999E-5</v>
      </c>
      <c r="F316" s="64">
        <v>6.0000000000000002E-5</v>
      </c>
      <c r="G316" s="63"/>
    </row>
    <row r="317" spans="4:13" ht="20.100000000000001" customHeight="1" x14ac:dyDescent="0.2">
      <c r="D317" s="8" t="s">
        <v>682</v>
      </c>
      <c r="E317" s="49" cm="1">
        <f t="array" ref="E317">Common_InputFunctions.Utility_LookupValueInTableNumber("Gypsum", Table_SourceData_Scope3_SoilAmeliorants[Product],Table_SourceData_Scope3_SoilAmeliorants[Emissions intensity])*10^-3</f>
        <v>6.5199999999999999E-5</v>
      </c>
      <c r="F317" s="64">
        <v>6.0000000000000002E-5</v>
      </c>
      <c r="G317" s="63"/>
    </row>
    <row r="319" spans="4:13" ht="20.100000000000001" customHeight="1" x14ac:dyDescent="0.2">
      <c r="D319" s="46" t="s">
        <v>168</v>
      </c>
      <c r="E319" s="143" t="s">
        <v>678</v>
      </c>
      <c r="F319" s="46" t="s">
        <v>683</v>
      </c>
      <c r="G319" s="46" t="s">
        <v>684</v>
      </c>
      <c r="H319" s="46" t="s">
        <v>685</v>
      </c>
      <c r="I319" s="57" t="s">
        <v>628</v>
      </c>
      <c r="J319" s="57" t="s">
        <v>679</v>
      </c>
      <c r="K319" s="46" t="s">
        <v>624</v>
      </c>
      <c r="L319" s="46" t="s">
        <v>625</v>
      </c>
      <c r="M319" s="46" t="s">
        <v>626</v>
      </c>
    </row>
    <row r="320" spans="4:13" ht="20.100000000000001" customHeight="1" x14ac:dyDescent="0.2">
      <c r="D320" s="49" t="str" cm="1">
        <f t="array" ref="D320:D329">IFERROR(INDEX(Table_Input_Lime[Product], _xlfn.SEQUENCE(10)), "")</f>
        <v>Lime product 1</v>
      </c>
      <c r="E320" s="49" cm="1">
        <f t="array" ref="E320:E329">IFERROR(INDEX(Table_Input_Lime[Total amount applied (t)], _xlfn.SEQUENCE(10)), 0)</f>
        <v>100</v>
      </c>
      <c r="F320" s="49" cm="1">
        <f t="array" ref="F320:F329">IFERROR(INDEX(Table_Input_Lime[Percent Lime CaCO3], _xlfn.SEQUENCE(10)), 0)*E320</f>
        <v>80</v>
      </c>
      <c r="G320" s="49" cm="1">
        <f t="array" ref="G320:G329">IFERROR(INDEX(Table_Input_Lime[Percent Dolomite CaMg(CO3)2], _xlfn.SEQUENCE(10)), 0)*E320</f>
        <v>10</v>
      </c>
      <c r="H320" s="49" cm="1">
        <f t="array" ref="H320:H329">IFERROR(INDEX(Table_Input_Lime[Percent Gypsum], _xlfn.SEQUENCE(10)), 0)*E320</f>
        <v>10</v>
      </c>
      <c r="I320" s="142" cm="1">
        <f t="array" ref="I320">Scope3_Equations.VEERG_15_6_1_1__1_EmissionsFromPurchasedLime(F320,$E$315)+
Scope3_Equations.VEERG_15_6_1_1__1_EmissionsFromPurchasedLime(G320,$E$316)+
Scope3_Equations.VEERG_15_6_1_1__1_EmissionsFromPurchasedLime(H320,$E$317)</f>
        <v>5.1839999999999994E-3</v>
      </c>
      <c r="J320" s="142" cm="1">
        <f t="array" ref="J320">Scope3_Equations.VEERG_15_6_1_1__1_EmissionsFromPurchasedLime(F320,IF($F$315,$F$315,$E$315))+
Scope3_Equations.VEERG_15_6_1_1__1_EmissionsFromPurchasedLime(G320,IF($F$316,$F$316,$E$316))+
Scope3_Equations.VEERG_15_6_1_1__1_EmissionsFromPurchasedLime(H320,IF($F$317,$F$317,$E$317))</f>
        <v>4.4000000000000003E-3</v>
      </c>
      <c r="K320" s="74"/>
      <c r="L320" s="47"/>
      <c r="M320" s="74"/>
    </row>
    <row r="321" spans="3:41" ht="20.100000000000001" customHeight="1" x14ac:dyDescent="0.2">
      <c r="D321" s="49" t="str">
        <v>Lime product 2</v>
      </c>
      <c r="E321" s="49">
        <v>100</v>
      </c>
      <c r="F321" s="49">
        <v>100</v>
      </c>
      <c r="G321" s="49">
        <v>0</v>
      </c>
      <c r="H321" s="49">
        <v>0</v>
      </c>
      <c r="I321" s="142" cm="1">
        <f t="array" ref="I321">Scope3_Equations.VEERG_15_6_1_1__1_EmissionsFromPurchasedLime(F321,$E$315)+
Scope3_Equations.VEERG_15_6_1_1__1_EmissionsFromPurchasedLime(G321,$E$316)+
Scope3_Equations.VEERG_15_6_1_1__1_EmissionsFromPurchasedLime(H321,$E$317)</f>
        <v>4.8500000000000001E-3</v>
      </c>
      <c r="J321" s="142" cm="1">
        <f t="array" ref="J321">Scope3_Equations.VEERG_15_6_1_1__1_EmissionsFromPurchasedLime(F321,IF($F$315,$F$315,$E$315))+
Scope3_Equations.VEERG_15_6_1_1__1_EmissionsFromPurchasedLime(G321,IF($F$316,$F$316,$E$316))+
Scope3_Equations.VEERG_15_6_1_1__1_EmissionsFromPurchasedLime(H321,IF($F$317,$F$317,$E$317))</f>
        <v>4.0000000000000001E-3</v>
      </c>
      <c r="K321" s="74"/>
      <c r="L321" s="47"/>
      <c r="M321" s="74"/>
    </row>
    <row r="322" spans="3:41" ht="20.100000000000001" customHeight="1" x14ac:dyDescent="0.2">
      <c r="D322" s="49" t="str">
        <v>Lime product 3</v>
      </c>
      <c r="E322" s="49">
        <v>100</v>
      </c>
      <c r="F322" s="49">
        <v>0</v>
      </c>
      <c r="G322" s="49">
        <v>0</v>
      </c>
      <c r="H322" s="49">
        <v>100</v>
      </c>
      <c r="I322" s="142" cm="1">
        <f t="array" ref="I322">Scope3_Equations.VEERG_15_6_1_1__1_EmissionsFromPurchasedLime(F322,$E$315)+
Scope3_Equations.VEERG_15_6_1_1__1_EmissionsFromPurchasedLime(G322,$E$316)+
Scope3_Equations.VEERG_15_6_1_1__1_EmissionsFromPurchasedLime(H322,$E$317)</f>
        <v>6.5199999999999998E-3</v>
      </c>
      <c r="J322" s="142" cm="1">
        <f t="array" ref="J322">Scope3_Equations.VEERG_15_6_1_1__1_EmissionsFromPurchasedLime(F322,IF($F$315,$F$315,$E$315))+
Scope3_Equations.VEERG_15_6_1_1__1_EmissionsFromPurchasedLime(G322,IF($F$316,$F$316,$E$316))+
Scope3_Equations.VEERG_15_6_1_1__1_EmissionsFromPurchasedLime(H322,IF($F$317,$F$317,$E$317))</f>
        <v>6.0000000000000001E-3</v>
      </c>
      <c r="K322" s="74"/>
      <c r="L322" s="47"/>
      <c r="M322" s="74"/>
    </row>
    <row r="323" spans="3:41" ht="20.100000000000001" customHeight="1" x14ac:dyDescent="0.2">
      <c r="D323" s="49" t="str">
        <v/>
      </c>
      <c r="E323" s="49">
        <v>0</v>
      </c>
      <c r="F323" s="49">
        <v>0</v>
      </c>
      <c r="G323" s="49">
        <v>0</v>
      </c>
      <c r="H323" s="49">
        <v>0</v>
      </c>
      <c r="I323" s="142" cm="1">
        <f t="array" ref="I323">Scope3_Equations.VEERG_15_6_1_1__1_EmissionsFromPurchasedLime(F323,$E$315)+
Scope3_Equations.VEERG_15_6_1_1__1_EmissionsFromPurchasedLime(G323,$E$316)+
Scope3_Equations.VEERG_15_6_1_1__1_EmissionsFromPurchasedLime(H323,$E$317)</f>
        <v>0</v>
      </c>
      <c r="J323" s="142" cm="1">
        <f t="array" ref="J323">Scope3_Equations.VEERG_15_6_1_1__1_EmissionsFromPurchasedLime(F323,IF($F$315,$F$315,$E$315))+
Scope3_Equations.VEERG_15_6_1_1__1_EmissionsFromPurchasedLime(G323,IF($F$316,$F$316,$E$316))+
Scope3_Equations.VEERG_15_6_1_1__1_EmissionsFromPurchasedLime(H323,IF($F$317,$F$317,$E$317))</f>
        <v>0</v>
      </c>
      <c r="K323" s="74"/>
      <c r="L323" s="47"/>
      <c r="M323" s="74"/>
    </row>
    <row r="324" spans="3:41" ht="20.100000000000001" customHeight="1" x14ac:dyDescent="0.2">
      <c r="D324" s="49" t="str">
        <v/>
      </c>
      <c r="E324" s="49">
        <v>0</v>
      </c>
      <c r="F324" s="49">
        <v>0</v>
      </c>
      <c r="G324" s="49">
        <v>0</v>
      </c>
      <c r="H324" s="49">
        <v>0</v>
      </c>
      <c r="I324" s="142" cm="1">
        <f t="array" ref="I324">Scope3_Equations.VEERG_15_6_1_1__1_EmissionsFromPurchasedLime(F324,$E$315)+
Scope3_Equations.VEERG_15_6_1_1__1_EmissionsFromPurchasedLime(G324,$E$316)+
Scope3_Equations.VEERG_15_6_1_1__1_EmissionsFromPurchasedLime(H324,$E$317)</f>
        <v>0</v>
      </c>
      <c r="J324" s="142" cm="1">
        <f t="array" ref="J324">Scope3_Equations.VEERG_15_6_1_1__1_EmissionsFromPurchasedLime(F324,IF($F$315,$F$315,$E$315))+
Scope3_Equations.VEERG_15_6_1_1__1_EmissionsFromPurchasedLime(G324,IF($F$316,$F$316,$E$316))+
Scope3_Equations.VEERG_15_6_1_1__1_EmissionsFromPurchasedLime(H324,IF($F$317,$F$317,$E$317))</f>
        <v>0</v>
      </c>
      <c r="K324" s="74"/>
      <c r="L324" s="47"/>
      <c r="M324" s="74"/>
    </row>
    <row r="325" spans="3:41" ht="20.100000000000001" customHeight="1" x14ac:dyDescent="0.2">
      <c r="D325" s="49" t="str">
        <v/>
      </c>
      <c r="E325" s="49">
        <v>0</v>
      </c>
      <c r="F325" s="49">
        <v>0</v>
      </c>
      <c r="G325" s="49">
        <v>0</v>
      </c>
      <c r="H325" s="49">
        <v>0</v>
      </c>
      <c r="I325" s="142" cm="1">
        <f t="array" ref="I325">Scope3_Equations.VEERG_15_6_1_1__1_EmissionsFromPurchasedLime(F325,$E$315)+
Scope3_Equations.VEERG_15_6_1_1__1_EmissionsFromPurchasedLime(G325,$E$316)+
Scope3_Equations.VEERG_15_6_1_1__1_EmissionsFromPurchasedLime(H325,$E$317)</f>
        <v>0</v>
      </c>
      <c r="J325" s="142" cm="1">
        <f t="array" ref="J325">Scope3_Equations.VEERG_15_6_1_1__1_EmissionsFromPurchasedLime(F325,IF($F$315,$F$315,$E$315))+
Scope3_Equations.VEERG_15_6_1_1__1_EmissionsFromPurchasedLime(G325,IF($F$316,$F$316,$E$316))+
Scope3_Equations.VEERG_15_6_1_1__1_EmissionsFromPurchasedLime(H325,IF($F$317,$F$317,$E$317))</f>
        <v>0</v>
      </c>
      <c r="K325" s="74"/>
      <c r="L325" s="47"/>
      <c r="M325" s="74"/>
    </row>
    <row r="326" spans="3:41" ht="20.100000000000001" customHeight="1" x14ac:dyDescent="0.2">
      <c r="D326" s="49" t="str">
        <v/>
      </c>
      <c r="E326" s="49">
        <v>0</v>
      </c>
      <c r="F326" s="49">
        <v>0</v>
      </c>
      <c r="G326" s="49">
        <v>0</v>
      </c>
      <c r="H326" s="49">
        <v>0</v>
      </c>
      <c r="I326" s="142" cm="1">
        <f t="array" ref="I326">Scope3_Equations.VEERG_15_6_1_1__1_EmissionsFromPurchasedLime(F326,$E$315)+
Scope3_Equations.VEERG_15_6_1_1__1_EmissionsFromPurchasedLime(G326,$E$316)+
Scope3_Equations.VEERG_15_6_1_1__1_EmissionsFromPurchasedLime(H326,$E$317)</f>
        <v>0</v>
      </c>
      <c r="J326" s="142" cm="1">
        <f t="array" ref="J326">Scope3_Equations.VEERG_15_6_1_1__1_EmissionsFromPurchasedLime(F326,IF($F$315,$F$315,$E$315))+
Scope3_Equations.VEERG_15_6_1_1__1_EmissionsFromPurchasedLime(G326,IF($F$316,$F$316,$E$316))+
Scope3_Equations.VEERG_15_6_1_1__1_EmissionsFromPurchasedLime(H326,IF($F$317,$F$317,$E$317))</f>
        <v>0</v>
      </c>
      <c r="K326" s="74"/>
      <c r="L326" s="47"/>
      <c r="M326" s="74"/>
    </row>
    <row r="327" spans="3:41" ht="20.100000000000001" customHeight="1" x14ac:dyDescent="0.2">
      <c r="D327" s="49" t="str">
        <v/>
      </c>
      <c r="E327" s="49">
        <v>0</v>
      </c>
      <c r="F327" s="49">
        <v>0</v>
      </c>
      <c r="G327" s="49">
        <v>0</v>
      </c>
      <c r="H327" s="49">
        <v>0</v>
      </c>
      <c r="I327" s="142" cm="1">
        <f t="array" ref="I327">Scope3_Equations.VEERG_15_6_1_1__1_EmissionsFromPurchasedLime(F327,$E$315)+
Scope3_Equations.VEERG_15_6_1_1__1_EmissionsFromPurchasedLime(G327,$E$316)+
Scope3_Equations.VEERG_15_6_1_1__1_EmissionsFromPurchasedLime(H327,$E$317)</f>
        <v>0</v>
      </c>
      <c r="J327" s="142" cm="1">
        <f t="array" ref="J327">Scope3_Equations.VEERG_15_6_1_1__1_EmissionsFromPurchasedLime(F327,IF($F$315,$F$315,$E$315))+
Scope3_Equations.VEERG_15_6_1_1__1_EmissionsFromPurchasedLime(G327,IF($F$316,$F$316,$E$316))+
Scope3_Equations.VEERG_15_6_1_1__1_EmissionsFromPurchasedLime(H327,IF($F$317,$F$317,$E$317))</f>
        <v>0</v>
      </c>
      <c r="K327" s="74"/>
      <c r="L327" s="47"/>
      <c r="M327" s="74"/>
    </row>
    <row r="328" spans="3:41" ht="20.100000000000001" customHeight="1" x14ac:dyDescent="0.2">
      <c r="D328" s="49" t="str">
        <v/>
      </c>
      <c r="E328" s="49">
        <v>0</v>
      </c>
      <c r="F328" s="49">
        <v>0</v>
      </c>
      <c r="G328" s="49">
        <v>0</v>
      </c>
      <c r="H328" s="49">
        <v>0</v>
      </c>
      <c r="I328" s="142" cm="1">
        <f t="array" ref="I328">Scope3_Equations.VEERG_15_6_1_1__1_EmissionsFromPurchasedLime(F328,$E$315)+
Scope3_Equations.VEERG_15_6_1_1__1_EmissionsFromPurchasedLime(G328,$E$316)+
Scope3_Equations.VEERG_15_6_1_1__1_EmissionsFromPurchasedLime(H328,$E$317)</f>
        <v>0</v>
      </c>
      <c r="J328" s="142" cm="1">
        <f t="array" ref="J328">Scope3_Equations.VEERG_15_6_1_1__1_EmissionsFromPurchasedLime(F328,IF($F$315,$F$315,$E$315))+
Scope3_Equations.VEERG_15_6_1_1__1_EmissionsFromPurchasedLime(G328,IF($F$316,$F$316,$E$316))+
Scope3_Equations.VEERG_15_6_1_1__1_EmissionsFromPurchasedLime(H328,IF($F$317,$F$317,$E$317))</f>
        <v>0</v>
      </c>
      <c r="K328" s="74"/>
      <c r="L328" s="47"/>
      <c r="M328" s="74"/>
    </row>
    <row r="329" spans="3:41" ht="20.100000000000001" customHeight="1" x14ac:dyDescent="0.2">
      <c r="D329" s="49" t="str">
        <v/>
      </c>
      <c r="E329" s="49">
        <v>0</v>
      </c>
      <c r="F329" s="49">
        <v>0</v>
      </c>
      <c r="G329" s="49">
        <v>0</v>
      </c>
      <c r="H329" s="49">
        <v>0</v>
      </c>
      <c r="I329" s="142" cm="1">
        <f t="array" ref="I329">Scope3_Equations.VEERG_15_6_1_1__1_EmissionsFromPurchasedLime(F329,$E$315)+
Scope3_Equations.VEERG_15_6_1_1__1_EmissionsFromPurchasedLime(G329,$E$316)+
Scope3_Equations.VEERG_15_6_1_1__1_EmissionsFromPurchasedLime(H329,$E$317)</f>
        <v>0</v>
      </c>
      <c r="J329" s="142" cm="1">
        <f t="array" ref="J329">Scope3_Equations.VEERG_15_6_1_1__1_EmissionsFromPurchasedLime(F329,IF($F$315,$F$315,$E$315))+
Scope3_Equations.VEERG_15_6_1_1__1_EmissionsFromPurchasedLime(G329,IF($F$316,$F$316,$E$316))+
Scope3_Equations.VEERG_15_6_1_1__1_EmissionsFromPurchasedLime(H329,IF($F$317,$F$317,$E$317))</f>
        <v>0</v>
      </c>
      <c r="K329" s="74"/>
      <c r="L329" s="47"/>
      <c r="M329" s="74"/>
    </row>
    <row r="331" spans="3:41" ht="20.100000000000001" customHeight="1" x14ac:dyDescent="0.2">
      <c r="D331" s="170" t="s">
        <v>628</v>
      </c>
      <c r="E331" s="168">
        <f>SUM(I320:I329)</f>
        <v>1.6553999999999999E-2</v>
      </c>
      <c r="F331" s="169" t="str">
        <f>$E$170</f>
        <v>t CO2e</v>
      </c>
    </row>
    <row r="332" spans="3:41" ht="20.100000000000001" customHeight="1" x14ac:dyDescent="0.2">
      <c r="D332" s="170" t="s">
        <v>630</v>
      </c>
      <c r="E332" s="168">
        <f>SUM(J320:J329)</f>
        <v>1.4400000000000001E-2</v>
      </c>
      <c r="F332" s="169" t="str">
        <f>$E$170</f>
        <v>t CO2e</v>
      </c>
    </row>
    <row r="335" spans="3:41" ht="20.100000000000001" customHeight="1" x14ac:dyDescent="0.2">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c r="AA335" s="89"/>
      <c r="AB335" s="89"/>
      <c r="AC335" s="89"/>
      <c r="AD335" s="89"/>
      <c r="AE335" s="89"/>
      <c r="AF335" s="89"/>
      <c r="AG335" s="89"/>
      <c r="AH335" s="89"/>
      <c r="AI335" s="89"/>
      <c r="AJ335" s="89"/>
      <c r="AK335" s="89"/>
      <c r="AL335" s="89"/>
      <c r="AM335" s="89"/>
      <c r="AN335" s="89"/>
      <c r="AO335" s="89"/>
    </row>
    <row r="336" spans="3:41" ht="20.100000000000001" customHeight="1" x14ac:dyDescent="0.2">
      <c r="D336" s="9" t="str" cm="1">
        <f t="array" ref="D336">Scope3_Equations.VEERG_15_7_1_1__1_EmissionsFromPurchasedServices_Title()</f>
        <v>Emissions of purchased services and contractor operations</v>
      </c>
    </row>
    <row r="337" spans="4:15" ht="20.100000000000001" customHeight="1" x14ac:dyDescent="0.2">
      <c r="D337" s="11" t="str" cm="1">
        <f t="array" ref="D337">Scope3_Equations.VEERG_15_7_1_1__1_EmissionsFromPurchasedServices_Source()</f>
        <v>VEERG 2026: 15.7.1.1, Equation (1)</v>
      </c>
    </row>
    <row r="338" spans="4:15" ht="20.100000000000001" customHeight="1" x14ac:dyDescent="0.2">
      <c r="D338" s="163" t="s">
        <v>621</v>
      </c>
      <c r="E338" s="163" t="str" cm="1">
        <f t="array" aca="1" ref="E338" ca="1">Common_InputFunctions.Utility_DisplayFunctionName(K351)</f>
        <v>=Scope3_Equations.VEERG_15_7_1_1__1_EmissionsFromPurchasedServices</v>
      </c>
    </row>
    <row r="340" spans="4:15" ht="20.100000000000001" customHeight="1" x14ac:dyDescent="0.2">
      <c r="H340" s="8" t="s">
        <v>850</v>
      </c>
    </row>
    <row r="341" spans="4:15" ht="20.100000000000001" customHeight="1" x14ac:dyDescent="0.2">
      <c r="D341" s="27" t="s">
        <v>622</v>
      </c>
      <c r="E341" s="8" t="str" cm="1">
        <f t="array" ref="E341">Scope3_Equations.VEERG_15_7_1_1__1_EmissionsFromPurchasedServices_Variable()</f>
        <v>E</v>
      </c>
    </row>
    <row r="342" spans="4:15" ht="20.100000000000001" customHeight="1" x14ac:dyDescent="0.2">
      <c r="D342" s="27" t="s">
        <v>97</v>
      </c>
      <c r="E342" s="8" t="str" cm="1">
        <f t="array" ref="E342">Scope3_Equations.VEERG_15_7_1_1__1_EmissionsFromPurchasedServices_Unit()</f>
        <v>t CO2e</v>
      </c>
    </row>
    <row r="344" spans="4:15" ht="20.100000000000001" customHeight="1" x14ac:dyDescent="0.2">
      <c r="D344" s="158" t="str" cm="1">
        <f t="array" ref="D344:E346">_xlfn.CHOOSECOLS(Scope3_Equations.VEERG_15_7_1_1__1_EmissionsFromPurchasedServices_Arguments(),1,2)</f>
        <v>A_p</v>
      </c>
      <c r="E344" s="162" t="str">
        <v>activity data of the service that was purchased</v>
      </c>
      <c r="F344" s="157"/>
      <c r="G344" s="158" t="str" cm="1">
        <f t="array" ref="G344:H346">_xlfn.CHOOSECOLS(Scope3_Equations.VEERG_15_7_1_1__1_EmissionsFromPurchasedServices_Arguments(),3,4)</f>
        <v>ha or h</v>
      </c>
      <c r="H344" s="159" t="str">
        <v>Input</v>
      </c>
    </row>
    <row r="345" spans="4:15" ht="20.100000000000001" customHeight="1" x14ac:dyDescent="0.2">
      <c r="D345" s="158" t="str">
        <v>EF_p</v>
      </c>
      <c r="E345" s="162" t="str">
        <v>life cycle emission factor for the purchased service</v>
      </c>
      <c r="F345" s="157"/>
      <c r="G345" s="158" t="str">
        <v>kg CO2e/ha or kg CO2e/h</v>
      </c>
      <c r="H345" s="160" t="str">
        <v>Constant</v>
      </c>
    </row>
    <row r="346" spans="4:15" ht="20.100000000000001" customHeight="1" x14ac:dyDescent="0.2">
      <c r="D346" s="158" t="str">
        <v>p</v>
      </c>
      <c r="E346" s="162" t="str">
        <v>service type</v>
      </c>
      <c r="F346" s="157"/>
      <c r="G346" s="158" t="str">
        <v/>
      </c>
      <c r="H346" s="159" t="str">
        <v>Input</v>
      </c>
    </row>
    <row r="348" spans="4:15" ht="20.100000000000001" customHeight="1" x14ac:dyDescent="0.2">
      <c r="D348" s="12" t="s">
        <v>686</v>
      </c>
    </row>
    <row r="350" spans="4:15" ht="20.100000000000001" customHeight="1" x14ac:dyDescent="0.2">
      <c r="D350" s="46" t="s">
        <v>602</v>
      </c>
      <c r="E350" s="46" t="s">
        <v>611</v>
      </c>
      <c r="F350" s="46" t="s">
        <v>606</v>
      </c>
      <c r="G350" s="46" t="s">
        <v>126</v>
      </c>
      <c r="H350" s="57" t="s">
        <v>411</v>
      </c>
      <c r="I350" s="57" t="s">
        <v>349</v>
      </c>
      <c r="J350" s="46" t="s">
        <v>412</v>
      </c>
      <c r="K350" s="57" t="s">
        <v>350</v>
      </c>
      <c r="L350" s="57" t="s">
        <v>607</v>
      </c>
      <c r="M350" s="46" t="s">
        <v>624</v>
      </c>
      <c r="N350" s="46" t="s">
        <v>625</v>
      </c>
      <c r="O350" s="46" t="s">
        <v>626</v>
      </c>
    </row>
    <row r="351" spans="4:15" ht="20.100000000000001" customHeight="1" x14ac:dyDescent="0.2">
      <c r="D351" s="49" t="str" cm="1">
        <f t="array" ref="D351:D360">IFERROR(INDEX(Table_Input_ServicesAndContractors[Service provider / contractor], _xlfn.SEQUENCE(10)), "")</f>
        <v>Pete's Pickers</v>
      </c>
      <c r="E351" s="49" t="str" cm="1">
        <f t="array" ref="E351:E360">IFERROR(INDEX(Table_Input_ServicesAndContractors[Activity], _xlfn.SEQUENCE(10)), "")</f>
        <v>Fruit picking</v>
      </c>
      <c r="F351" s="49" cm="1">
        <f t="array" ref="F351:F360">IFERROR(INDEX(Table_Input_ServicesAndContractors[Total amount], _xlfn.SEQUENCE(10)), "")</f>
        <v>10000</v>
      </c>
      <c r="G351" s="49" t="str" cm="1">
        <f t="array" ref="G351:G360">IFERROR(INDEX(Table_Input_ServicesAndContractors[Amount unit], _xlfn.SEQUENCE(10)), "")</f>
        <v>Hour</v>
      </c>
      <c r="H351" s="49" t="s">
        <v>817</v>
      </c>
      <c r="I351" s="49" t="s">
        <v>817</v>
      </c>
      <c r="J351" s="64">
        <v>4</v>
      </c>
      <c r="K351" s="142" cm="1">
        <f t="array" ref="K351">Scope3_Equations.VEERG_15_7_1_1__1_EmissionsFromPurchasedServices(F351,J351)</f>
        <v>40</v>
      </c>
      <c r="L351" s="49" t="str">
        <f>"t CO2e / " &amp; G351</f>
        <v>t CO2e / Hour</v>
      </c>
      <c r="M351" s="74"/>
      <c r="N351" s="47"/>
      <c r="O351" s="74"/>
    </row>
    <row r="352" spans="4:15" ht="20.100000000000001" customHeight="1" x14ac:dyDescent="0.2">
      <c r="D352" s="49" t="str">
        <v>Harini's Harvesting Services Pty Ltd</v>
      </c>
      <c r="E352" s="49" t="str">
        <v>Wheat harvesting</v>
      </c>
      <c r="F352" s="49">
        <v>1000</v>
      </c>
      <c r="G352" s="49" t="str">
        <v>Hectare</v>
      </c>
      <c r="H352" s="49" t="s">
        <v>817</v>
      </c>
      <c r="I352" s="49" t="s">
        <v>817</v>
      </c>
      <c r="J352" s="64">
        <v>2</v>
      </c>
      <c r="K352" s="142" cm="1">
        <f t="array" ref="K352">Scope3_Equations.VEERG_15_7_1_1__1_EmissionsFromPurchasedServices(F352,J352)</f>
        <v>2</v>
      </c>
      <c r="L352" s="49" t="str">
        <f t="shared" ref="L352:L360" si="1">"t CO2e / " &amp; G352</f>
        <v>t CO2e / Hectare</v>
      </c>
      <c r="M352" s="74"/>
      <c r="N352" s="47"/>
      <c r="O352" s="74"/>
    </row>
    <row r="353" spans="3:41" ht="20.100000000000001" customHeight="1" x14ac:dyDescent="0.2">
      <c r="D353" s="49">
        <v>0</v>
      </c>
      <c r="E353" s="49">
        <v>0</v>
      </c>
      <c r="F353" s="49">
        <v>0</v>
      </c>
      <c r="G353" s="49">
        <v>0</v>
      </c>
      <c r="H353" s="49" t="s">
        <v>817</v>
      </c>
      <c r="I353" s="49" t="s">
        <v>817</v>
      </c>
      <c r="J353" s="64"/>
      <c r="K353" s="142" cm="1">
        <f t="array" ref="K353">Scope3_Equations.VEERG_15_7_1_1__1_EmissionsFromPurchasedServices(F353,J353)</f>
        <v>0</v>
      </c>
      <c r="L353" s="49" t="str">
        <f t="shared" si="1"/>
        <v>t CO2e / 0</v>
      </c>
      <c r="M353" s="74"/>
      <c r="N353" s="47"/>
      <c r="O353" s="74"/>
    </row>
    <row r="354" spans="3:41" ht="20.100000000000001" customHeight="1" x14ac:dyDescent="0.2">
      <c r="D354" s="49">
        <v>0</v>
      </c>
      <c r="E354" s="49">
        <v>0</v>
      </c>
      <c r="F354" s="49">
        <v>0</v>
      </c>
      <c r="G354" s="49">
        <v>0</v>
      </c>
      <c r="H354" s="49" t="s">
        <v>817</v>
      </c>
      <c r="I354" s="49" t="s">
        <v>817</v>
      </c>
      <c r="J354" s="64"/>
      <c r="K354" s="142" cm="1">
        <f t="array" ref="K354">Scope3_Equations.VEERG_15_7_1_1__1_EmissionsFromPurchasedServices(F354,J354)</f>
        <v>0</v>
      </c>
      <c r="L354" s="49" t="str">
        <f t="shared" si="1"/>
        <v>t CO2e / 0</v>
      </c>
      <c r="M354" s="74"/>
      <c r="N354" s="47"/>
      <c r="O354" s="74"/>
    </row>
    <row r="355" spans="3:41" ht="20.100000000000001" customHeight="1" x14ac:dyDescent="0.2">
      <c r="D355" s="49">
        <v>0</v>
      </c>
      <c r="E355" s="49">
        <v>0</v>
      </c>
      <c r="F355" s="49">
        <v>0</v>
      </c>
      <c r="G355" s="49">
        <v>0</v>
      </c>
      <c r="H355" s="49" t="s">
        <v>817</v>
      </c>
      <c r="I355" s="49" t="s">
        <v>817</v>
      </c>
      <c r="J355" s="64"/>
      <c r="K355" s="142" cm="1">
        <f t="array" ref="K355">Scope3_Equations.VEERG_15_7_1_1__1_EmissionsFromPurchasedServices(F355,J355)</f>
        <v>0</v>
      </c>
      <c r="L355" s="49" t="str">
        <f t="shared" si="1"/>
        <v>t CO2e / 0</v>
      </c>
      <c r="M355" s="74"/>
      <c r="N355" s="47"/>
      <c r="O355" s="74"/>
    </row>
    <row r="356" spans="3:41" ht="20.100000000000001" customHeight="1" x14ac:dyDescent="0.2">
      <c r="D356" s="49">
        <v>0</v>
      </c>
      <c r="E356" s="49">
        <v>0</v>
      </c>
      <c r="F356" s="49">
        <v>0</v>
      </c>
      <c r="G356" s="49">
        <v>0</v>
      </c>
      <c r="H356" s="49" t="s">
        <v>817</v>
      </c>
      <c r="I356" s="49" t="s">
        <v>817</v>
      </c>
      <c r="J356" s="64"/>
      <c r="K356" s="142" cm="1">
        <f t="array" ref="K356">Scope3_Equations.VEERG_15_7_1_1__1_EmissionsFromPurchasedServices(F356,J356)</f>
        <v>0</v>
      </c>
      <c r="L356" s="49" t="str">
        <f t="shared" si="1"/>
        <v>t CO2e / 0</v>
      </c>
      <c r="M356" s="74"/>
      <c r="N356" s="47"/>
      <c r="O356" s="74"/>
    </row>
    <row r="357" spans="3:41" ht="20.100000000000001" customHeight="1" x14ac:dyDescent="0.2">
      <c r="D357" s="49">
        <v>0</v>
      </c>
      <c r="E357" s="49">
        <v>0</v>
      </c>
      <c r="F357" s="49">
        <v>0</v>
      </c>
      <c r="G357" s="49">
        <v>0</v>
      </c>
      <c r="H357" s="49" t="s">
        <v>817</v>
      </c>
      <c r="I357" s="49" t="s">
        <v>817</v>
      </c>
      <c r="J357" s="64"/>
      <c r="K357" s="142" cm="1">
        <f t="array" ref="K357">Scope3_Equations.VEERG_15_7_1_1__1_EmissionsFromPurchasedServices(F357,J357)</f>
        <v>0</v>
      </c>
      <c r="L357" s="49" t="str">
        <f t="shared" si="1"/>
        <v>t CO2e / 0</v>
      </c>
      <c r="M357" s="74"/>
      <c r="N357" s="47"/>
      <c r="O357" s="74"/>
    </row>
    <row r="358" spans="3:41" ht="20.100000000000001" customHeight="1" x14ac:dyDescent="0.2">
      <c r="D358" s="49">
        <v>0</v>
      </c>
      <c r="E358" s="49">
        <v>0</v>
      </c>
      <c r="F358" s="49">
        <v>0</v>
      </c>
      <c r="G358" s="49">
        <v>0</v>
      </c>
      <c r="H358" s="49" t="s">
        <v>817</v>
      </c>
      <c r="I358" s="49" t="s">
        <v>817</v>
      </c>
      <c r="J358" s="64"/>
      <c r="K358" s="142" cm="1">
        <f t="array" ref="K358">Scope3_Equations.VEERG_15_7_1_1__1_EmissionsFromPurchasedServices(F358,J358)</f>
        <v>0</v>
      </c>
      <c r="L358" s="49" t="str">
        <f t="shared" si="1"/>
        <v>t CO2e / 0</v>
      </c>
      <c r="M358" s="74"/>
      <c r="N358" s="47"/>
      <c r="O358" s="74"/>
    </row>
    <row r="359" spans="3:41" ht="20.100000000000001" customHeight="1" x14ac:dyDescent="0.2">
      <c r="D359" s="49">
        <v>0</v>
      </c>
      <c r="E359" s="49">
        <v>0</v>
      </c>
      <c r="F359" s="49">
        <v>0</v>
      </c>
      <c r="G359" s="49">
        <v>0</v>
      </c>
      <c r="H359" s="49" t="s">
        <v>817</v>
      </c>
      <c r="I359" s="49" t="s">
        <v>817</v>
      </c>
      <c r="J359" s="64"/>
      <c r="K359" s="142" cm="1">
        <f t="array" ref="K359">Scope3_Equations.VEERG_15_7_1_1__1_EmissionsFromPurchasedServices(F359,J359)</f>
        <v>0</v>
      </c>
      <c r="L359" s="49" t="str">
        <f t="shared" si="1"/>
        <v>t CO2e / 0</v>
      </c>
      <c r="M359" s="74"/>
      <c r="N359" s="47"/>
      <c r="O359" s="74"/>
    </row>
    <row r="360" spans="3:41" ht="20.100000000000001" customHeight="1" x14ac:dyDescent="0.2">
      <c r="D360" s="49">
        <v>0</v>
      </c>
      <c r="E360" s="49">
        <v>0</v>
      </c>
      <c r="F360" s="49">
        <v>0</v>
      </c>
      <c r="G360" s="49">
        <v>0</v>
      </c>
      <c r="H360" s="49" t="s">
        <v>817</v>
      </c>
      <c r="I360" s="49" t="s">
        <v>817</v>
      </c>
      <c r="J360" s="64"/>
      <c r="K360" s="142" cm="1">
        <f t="array" ref="K360">Scope3_Equations.VEERG_15_7_1_1__1_EmissionsFromPurchasedServices(F360,J360)</f>
        <v>0</v>
      </c>
      <c r="L360" s="49" t="str">
        <f t="shared" si="1"/>
        <v>t CO2e / 0</v>
      </c>
      <c r="M360" s="74"/>
      <c r="N360" s="47"/>
      <c r="O360" s="74"/>
    </row>
    <row r="362" spans="3:41" ht="20.100000000000001" customHeight="1" x14ac:dyDescent="0.2">
      <c r="D362" s="170" t="s">
        <v>628</v>
      </c>
      <c r="E362" s="168" t="s">
        <v>817</v>
      </c>
      <c r="F362" s="169" t="str">
        <f>$E$170</f>
        <v>t CO2e</v>
      </c>
    </row>
    <row r="363" spans="3:41" ht="20.100000000000001" customHeight="1" x14ac:dyDescent="0.2">
      <c r="D363" s="170" t="s">
        <v>630</v>
      </c>
      <c r="E363" s="168">
        <f>SUM(K351:K360)</f>
        <v>42</v>
      </c>
      <c r="F363" s="169" t="str">
        <f>$E$170</f>
        <v>t CO2e</v>
      </c>
    </row>
    <row r="366" spans="3:41" ht="20.100000000000001" customHeight="1" x14ac:dyDescent="0.2">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c r="AA366" s="89"/>
      <c r="AB366" s="89"/>
      <c r="AC366" s="89"/>
      <c r="AD366" s="89"/>
      <c r="AE366" s="89"/>
      <c r="AF366" s="89"/>
      <c r="AG366" s="89"/>
      <c r="AH366" s="89"/>
      <c r="AI366" s="89"/>
      <c r="AJ366" s="89"/>
      <c r="AK366" s="89"/>
      <c r="AL366" s="89"/>
      <c r="AM366" s="89"/>
      <c r="AN366" s="89"/>
      <c r="AO366" s="89"/>
    </row>
    <row r="367" spans="3:41" ht="20.100000000000001" customHeight="1" x14ac:dyDescent="0.2">
      <c r="D367" s="9" t="str" cm="1">
        <f t="array" ref="D367">Scope3_Equations.VEERG_15_8_1_1__1_EmissionsFromPurchasedPackaging_Title()</f>
        <v>Embedded emissions from use of packaging materials</v>
      </c>
    </row>
    <row r="368" spans="3:41" ht="20.100000000000001" customHeight="1" x14ac:dyDescent="0.2">
      <c r="D368" s="11" t="str" cm="1">
        <f t="array" ref="D368">Scope3_Equations.VEERG_15_8_1_1__1_EmissionsFromPurchasedPackaging_Source()</f>
        <v>VEERG 2026: 15.8.1.1, Equation (1)</v>
      </c>
    </row>
    <row r="369" spans="4:13" ht="20.100000000000001" customHeight="1" x14ac:dyDescent="0.2">
      <c r="D369" s="12" t="str" cm="1">
        <f t="array" ref="D369">Scope3_Equations.VEERG_15_8_1_1__1_EmissionsFromPurchasedPackaging_Variation()</f>
        <v>VARIATION ON SOURCE: Changed unit of Q from 'units' to 'kg' as EF data is in kg.</v>
      </c>
    </row>
    <row r="370" spans="4:13" ht="20.100000000000001" customHeight="1" x14ac:dyDescent="0.2">
      <c r="D370" s="163" t="s">
        <v>621</v>
      </c>
      <c r="E370" s="163" t="str" cm="1">
        <f t="array" aca="1" ref="E370" ca="1">Common_InputFunctions.Utility_DisplayFunctionName(H382)</f>
        <v>=Scope3_Equations.VEERG_15_8_1_1__1_EmissionsFromPurchasedPackaging</v>
      </c>
    </row>
    <row r="374" spans="4:13" ht="20.100000000000001" customHeight="1" x14ac:dyDescent="0.2">
      <c r="D374" s="27" t="s">
        <v>622</v>
      </c>
      <c r="E374" s="8" t="str" cm="1">
        <f t="array" ref="E374">Scope3_Equations.VEERG_15_8_1_1__1_EmissionsFromPurchasedPackaging_Variable()</f>
        <v>E</v>
      </c>
    </row>
    <row r="375" spans="4:13" ht="20.100000000000001" customHeight="1" x14ac:dyDescent="0.2">
      <c r="D375" s="27" t="s">
        <v>97</v>
      </c>
      <c r="E375" s="13" t="str" cm="1">
        <f t="array" ref="E375">Scope3_Equations.VEERG_15_8_1_1__1_EmissionsFromPurchasedPackaging_Unit()</f>
        <v>t CO2e</v>
      </c>
    </row>
    <row r="377" spans="4:13" ht="20.100000000000001" customHeight="1" x14ac:dyDescent="0.2">
      <c r="D377" s="158" t="str" cm="1">
        <f t="array" ref="D377:E379">_xlfn.CHOOSECOLS(Scope3_Equations.VEERG_15_8_1_1__1_EmissionsFromPurchasedPackaging_Arguments(),1,2)</f>
        <v>Q_p</v>
      </c>
      <c r="E377" s="158" t="str">
        <v>units of packaging type p</v>
      </c>
      <c r="F377" s="158" t="str" cm="1">
        <f t="array" ref="F377:G379">_xlfn.CHOOSECOLS(Scope3_Equations.VEERG_15_8_1_1__1_EmissionsFromPurchasedPackaging_Arguments(),3,4)</f>
        <v>units</v>
      </c>
      <c r="G377" s="159" t="str">
        <v>Input</v>
      </c>
    </row>
    <row r="378" spans="4:13" ht="20.100000000000001" customHeight="1" x14ac:dyDescent="0.2">
      <c r="D378" s="158" t="str">
        <v>EF_p</v>
      </c>
      <c r="E378" s="158" t="str">
        <v>emission factor for packaging type p</v>
      </c>
      <c r="F378" s="158" t="str">
        <v>kg CO2e/unit</v>
      </c>
      <c r="G378" s="160" t="str">
        <v>Constant</v>
      </c>
    </row>
    <row r="379" spans="4:13" ht="20.100000000000001" customHeight="1" x14ac:dyDescent="0.2">
      <c r="D379" s="158" t="str">
        <v>p</v>
      </c>
      <c r="E379" s="158" t="str">
        <v>packaging type</v>
      </c>
      <c r="F379" s="158" t="str">
        <v/>
      </c>
      <c r="G379" s="159" t="str">
        <v>Input</v>
      </c>
    </row>
    <row r="381" spans="4:13" ht="20.100000000000001" customHeight="1" x14ac:dyDescent="0.2">
      <c r="D381" s="46" t="s">
        <v>357</v>
      </c>
      <c r="E381" s="143" t="s">
        <v>401</v>
      </c>
      <c r="F381" s="143" t="s">
        <v>687</v>
      </c>
      <c r="G381" s="57" t="s">
        <v>688</v>
      </c>
      <c r="H381" s="57" t="s">
        <v>628</v>
      </c>
      <c r="I381" s="46" t="s">
        <v>689</v>
      </c>
      <c r="J381" s="57" t="s">
        <v>630</v>
      </c>
      <c r="K381" s="46" t="s">
        <v>624</v>
      </c>
      <c r="L381" s="46" t="s">
        <v>625</v>
      </c>
      <c r="M381" s="46" t="s">
        <v>626</v>
      </c>
    </row>
    <row r="382" spans="4:13" ht="20.100000000000001" customHeight="1" x14ac:dyDescent="0.2">
      <c r="D382" s="49" t="str" cm="1">
        <f t="array" ref="D382:D391">IFERROR(INDEX(Table_Input_Packaging[Packaging name], _xlfn.SEQUENCE(10)), "")</f>
        <v>250g punnet</v>
      </c>
      <c r="E382" s="49" t="str" cm="1">
        <f t="array" ref="E382:E391">IFERROR(INDEX(Table_Input_Packaging[Primary material], _xlfn.SEQUENCE(10)), "")</f>
        <v>Plastic sheet HDPE</v>
      </c>
      <c r="F382" s="49" cm="1">
        <f t="array" ref="F382:F391">IFERROR(INDEX(Table_Input_Packaging[Total weight purchased (kg)], _xlfn.SEQUENCE(10)), "")</f>
        <v>2000</v>
      </c>
      <c r="G382" s="49" cm="1">
        <f t="array" ref="G382">Common_InputFunctions.Utility_LookupValueInTableNumber(E382,Table_SourceData_Scope3_Packaging[Product],Table_SourceData_Scope3_Packaging[Emissions intensity])</f>
        <v>3.72</v>
      </c>
      <c r="H382" s="142" cm="1">
        <f t="array" ref="H382">Scope3_Equations.VEERG_15_8_1_1__1_EmissionsFromPurchasedPackaging(F382,G382)</f>
        <v>7.44</v>
      </c>
      <c r="I382" s="64">
        <v>3</v>
      </c>
      <c r="J382" s="142" cm="1">
        <f t="array" ref="J382">Scope3_Equations.VEERG_15_8_1_1__1_EmissionsFromPurchasedPackaging(F382,IF(I382,I382,G382))</f>
        <v>6</v>
      </c>
      <c r="K382" s="74"/>
      <c r="L382" s="47"/>
      <c r="M382" s="74"/>
    </row>
    <row r="383" spans="4:13" ht="20.100000000000001" customHeight="1" x14ac:dyDescent="0.2">
      <c r="D383" s="49">
        <v>0</v>
      </c>
      <c r="E383" s="49">
        <v>0</v>
      </c>
      <c r="F383" s="49">
        <v>0</v>
      </c>
      <c r="G383" s="49" cm="1">
        <f t="array" ref="G383">Common_InputFunctions.Utility_LookupValueInTableNumber(E383,Table_SourceData_Scope3_Packaging[Product],Table_SourceData_Scope3_Packaging[Emissions intensity])</f>
        <v>0</v>
      </c>
      <c r="H383" s="142" cm="1">
        <f t="array" ref="H383">Scope3_Equations.VEERG_15_8_1_1__1_EmissionsFromPurchasedPackaging(F383,G383)</f>
        <v>0</v>
      </c>
      <c r="I383" s="64"/>
      <c r="J383" s="142" cm="1">
        <f t="array" ref="J383">Scope3_Equations.VEERG_15_8_1_1__1_EmissionsFromPurchasedPackaging(F383,IF(I383,I383,G383))</f>
        <v>0</v>
      </c>
      <c r="K383" s="74"/>
      <c r="L383" s="47"/>
      <c r="M383" s="74"/>
    </row>
    <row r="384" spans="4:13" ht="20.100000000000001" customHeight="1" x14ac:dyDescent="0.2">
      <c r="D384" s="49">
        <v>0</v>
      </c>
      <c r="E384" s="49">
        <v>0</v>
      </c>
      <c r="F384" s="49">
        <v>0</v>
      </c>
      <c r="G384" s="49" cm="1">
        <f t="array" ref="G384">Common_InputFunctions.Utility_LookupValueInTableNumber(E384,Table_SourceData_Scope3_Packaging[Product],Table_SourceData_Scope3_Packaging[Emissions intensity])</f>
        <v>0</v>
      </c>
      <c r="H384" s="142" cm="1">
        <f t="array" ref="H384">Scope3_Equations.VEERG_15_8_1_1__1_EmissionsFromPurchasedPackaging(F384,G384)</f>
        <v>0</v>
      </c>
      <c r="I384" s="64"/>
      <c r="J384" s="142" cm="1">
        <f t="array" ref="J384">Scope3_Equations.VEERG_15_8_1_1__1_EmissionsFromPurchasedPackaging(F384,IF(I384,I384,G384))</f>
        <v>0</v>
      </c>
      <c r="K384" s="74"/>
      <c r="L384" s="47"/>
      <c r="M384" s="74"/>
    </row>
    <row r="385" spans="3:41" ht="20.100000000000001" customHeight="1" x14ac:dyDescent="0.2">
      <c r="D385" s="49">
        <v>0</v>
      </c>
      <c r="E385" s="49">
        <v>0</v>
      </c>
      <c r="F385" s="49">
        <v>0</v>
      </c>
      <c r="G385" s="49" cm="1">
        <f t="array" ref="G385">Common_InputFunctions.Utility_LookupValueInTableNumber(E385,Table_SourceData_Scope3_Packaging[Product],Table_SourceData_Scope3_Packaging[Emissions intensity])</f>
        <v>0</v>
      </c>
      <c r="H385" s="142" cm="1">
        <f t="array" ref="H385">Scope3_Equations.VEERG_15_8_1_1__1_EmissionsFromPurchasedPackaging(F385,G385)</f>
        <v>0</v>
      </c>
      <c r="I385" s="64"/>
      <c r="J385" s="142" cm="1">
        <f t="array" ref="J385">Scope3_Equations.VEERG_15_8_1_1__1_EmissionsFromPurchasedPackaging(F385,IF(I385,I385,G385))</f>
        <v>0</v>
      </c>
      <c r="K385" s="74"/>
      <c r="L385" s="47"/>
      <c r="M385" s="74"/>
    </row>
    <row r="386" spans="3:41" ht="20.100000000000001" customHeight="1" x14ac:dyDescent="0.2">
      <c r="D386" s="49">
        <v>0</v>
      </c>
      <c r="E386" s="49">
        <v>0</v>
      </c>
      <c r="F386" s="49">
        <v>0</v>
      </c>
      <c r="G386" s="49" cm="1">
        <f t="array" ref="G386">Common_InputFunctions.Utility_LookupValueInTableNumber(E386,Table_SourceData_Scope3_Packaging[Product],Table_SourceData_Scope3_Packaging[Emissions intensity])</f>
        <v>0</v>
      </c>
      <c r="H386" s="142" cm="1">
        <f t="array" ref="H386">Scope3_Equations.VEERG_15_8_1_1__1_EmissionsFromPurchasedPackaging(F386,G386)</f>
        <v>0</v>
      </c>
      <c r="I386" s="64"/>
      <c r="J386" s="142" cm="1">
        <f t="array" ref="J386">Scope3_Equations.VEERG_15_8_1_1__1_EmissionsFromPurchasedPackaging(F386,IF(I386,I386,G386))</f>
        <v>0</v>
      </c>
      <c r="K386" s="74"/>
      <c r="L386" s="47"/>
      <c r="M386" s="74"/>
    </row>
    <row r="387" spans="3:41" ht="20.100000000000001" customHeight="1" x14ac:dyDescent="0.2">
      <c r="D387" s="49">
        <v>0</v>
      </c>
      <c r="E387" s="49">
        <v>0</v>
      </c>
      <c r="F387" s="49">
        <v>0</v>
      </c>
      <c r="G387" s="49" cm="1">
        <f t="array" ref="G387">Common_InputFunctions.Utility_LookupValueInTableNumber(E387,Table_SourceData_Scope3_Packaging[Product],Table_SourceData_Scope3_Packaging[Emissions intensity])</f>
        <v>0</v>
      </c>
      <c r="H387" s="142" cm="1">
        <f t="array" ref="H387">Scope3_Equations.VEERG_15_8_1_1__1_EmissionsFromPurchasedPackaging(F387,G387)</f>
        <v>0</v>
      </c>
      <c r="I387" s="64"/>
      <c r="J387" s="142" cm="1">
        <f t="array" ref="J387">Scope3_Equations.VEERG_15_8_1_1__1_EmissionsFromPurchasedPackaging(F387,IF(I387,I387,G387))</f>
        <v>0</v>
      </c>
      <c r="K387" s="74"/>
      <c r="L387" s="47"/>
      <c r="M387" s="74"/>
    </row>
    <row r="388" spans="3:41" ht="20.100000000000001" customHeight="1" x14ac:dyDescent="0.2">
      <c r="D388" s="49">
        <v>0</v>
      </c>
      <c r="E388" s="49">
        <v>0</v>
      </c>
      <c r="F388" s="49">
        <v>0</v>
      </c>
      <c r="G388" s="49" cm="1">
        <f t="array" ref="G388">Common_InputFunctions.Utility_LookupValueInTableNumber(E388,Table_SourceData_Scope3_Packaging[Product],Table_SourceData_Scope3_Packaging[Emissions intensity])</f>
        <v>0</v>
      </c>
      <c r="H388" s="142" cm="1">
        <f t="array" ref="H388">Scope3_Equations.VEERG_15_8_1_1__1_EmissionsFromPurchasedPackaging(F388,G388)</f>
        <v>0</v>
      </c>
      <c r="I388" s="64"/>
      <c r="J388" s="142" cm="1">
        <f t="array" ref="J388">Scope3_Equations.VEERG_15_8_1_1__1_EmissionsFromPurchasedPackaging(F388,IF(I388,I388,G388))</f>
        <v>0</v>
      </c>
      <c r="K388" s="74"/>
      <c r="L388" s="47"/>
      <c r="M388" s="74"/>
    </row>
    <row r="389" spans="3:41" ht="20.100000000000001" customHeight="1" x14ac:dyDescent="0.2">
      <c r="D389" s="49">
        <v>0</v>
      </c>
      <c r="E389" s="49">
        <v>0</v>
      </c>
      <c r="F389" s="49">
        <v>0</v>
      </c>
      <c r="G389" s="49" cm="1">
        <f t="array" ref="G389">Common_InputFunctions.Utility_LookupValueInTableNumber(E389,Table_SourceData_Scope3_Packaging[Product],Table_SourceData_Scope3_Packaging[Emissions intensity])</f>
        <v>0</v>
      </c>
      <c r="H389" s="142" cm="1">
        <f t="array" ref="H389">Scope3_Equations.VEERG_15_8_1_1__1_EmissionsFromPurchasedPackaging(F389,G389)</f>
        <v>0</v>
      </c>
      <c r="I389" s="64"/>
      <c r="J389" s="142" cm="1">
        <f t="array" ref="J389">Scope3_Equations.VEERG_15_8_1_1__1_EmissionsFromPurchasedPackaging(F389,IF(I389,I389,G389))</f>
        <v>0</v>
      </c>
      <c r="K389" s="74"/>
      <c r="L389" s="47"/>
      <c r="M389" s="74"/>
    </row>
    <row r="390" spans="3:41" ht="20.100000000000001" customHeight="1" x14ac:dyDescent="0.2">
      <c r="D390" s="49">
        <v>0</v>
      </c>
      <c r="E390" s="49">
        <v>0</v>
      </c>
      <c r="F390" s="49">
        <v>0</v>
      </c>
      <c r="G390" s="49" cm="1">
        <f t="array" ref="G390">Common_InputFunctions.Utility_LookupValueInTableNumber(E390,Table_SourceData_Scope3_Packaging[Product],Table_SourceData_Scope3_Packaging[Emissions intensity])</f>
        <v>0</v>
      </c>
      <c r="H390" s="142" cm="1">
        <f t="array" ref="H390">Scope3_Equations.VEERG_15_8_1_1__1_EmissionsFromPurchasedPackaging(F390,G390)</f>
        <v>0</v>
      </c>
      <c r="I390" s="64"/>
      <c r="J390" s="142" cm="1">
        <f t="array" ref="J390">Scope3_Equations.VEERG_15_8_1_1__1_EmissionsFromPurchasedPackaging(F390,IF(I390,I390,G390))</f>
        <v>0</v>
      </c>
      <c r="K390" s="74"/>
      <c r="L390" s="47"/>
      <c r="M390" s="74"/>
    </row>
    <row r="391" spans="3:41" ht="20.100000000000001" customHeight="1" x14ac:dyDescent="0.2">
      <c r="D391" s="49">
        <v>0</v>
      </c>
      <c r="E391" s="49">
        <v>0</v>
      </c>
      <c r="F391" s="49">
        <v>0</v>
      </c>
      <c r="G391" s="49" cm="1">
        <f t="array" ref="G391">Common_InputFunctions.Utility_LookupValueInTableNumber(E391,Table_SourceData_Scope3_Packaging[Product],Table_SourceData_Scope3_Packaging[Emissions intensity])</f>
        <v>0</v>
      </c>
      <c r="H391" s="142" cm="1">
        <f t="array" ref="H391">Scope3_Equations.VEERG_15_8_1_1__1_EmissionsFromPurchasedPackaging(F391,G391)</f>
        <v>0</v>
      </c>
      <c r="I391" s="64"/>
      <c r="J391" s="142" cm="1">
        <f t="array" ref="J391">Scope3_Equations.VEERG_15_8_1_1__1_EmissionsFromPurchasedPackaging(F391,IF(I391,I391,G391))</f>
        <v>0</v>
      </c>
      <c r="K391" s="74"/>
      <c r="L391" s="47"/>
      <c r="M391" s="74"/>
    </row>
    <row r="393" spans="3:41" ht="20.100000000000001" customHeight="1" x14ac:dyDescent="0.2">
      <c r="D393" s="170" t="s">
        <v>628</v>
      </c>
      <c r="E393" s="168">
        <f>SUM(H382:H391)</f>
        <v>7.44</v>
      </c>
      <c r="F393" s="169" t="str">
        <f>$E$170</f>
        <v>t CO2e</v>
      </c>
    </row>
    <row r="394" spans="3:41" ht="20.100000000000001" customHeight="1" x14ac:dyDescent="0.2">
      <c r="D394" s="170" t="s">
        <v>630</v>
      </c>
      <c r="E394" s="168">
        <f>SUM(J382:J391)</f>
        <v>6</v>
      </c>
      <c r="F394" s="169" t="str">
        <f>$E$170</f>
        <v>t CO2e</v>
      </c>
    </row>
    <row r="397" spans="3:41" ht="20.100000000000001" customHeight="1" x14ac:dyDescent="0.2">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c r="AA397" s="89"/>
      <c r="AB397" s="89"/>
      <c r="AC397" s="89"/>
      <c r="AD397" s="89"/>
      <c r="AE397" s="89"/>
      <c r="AF397" s="89"/>
      <c r="AG397" s="89"/>
      <c r="AH397" s="89"/>
      <c r="AI397" s="89"/>
      <c r="AJ397" s="89"/>
      <c r="AK397" s="89"/>
      <c r="AL397" s="89"/>
      <c r="AM397" s="89"/>
      <c r="AN397" s="89"/>
      <c r="AO397" s="89"/>
    </row>
    <row r="398" spans="3:41" ht="20.100000000000001" customHeight="1" x14ac:dyDescent="0.2">
      <c r="D398" s="9" t="str" cm="1">
        <f t="array" ref="D398">Scope3_Equations.VEERG_15_9_1_1__1_EmissionsFromPurchasedGrowMedia_Title()</f>
        <v>Embedded emissions from use of grow media products</v>
      </c>
    </row>
    <row r="399" spans="3:41" ht="20.100000000000001" customHeight="1" x14ac:dyDescent="0.2">
      <c r="D399" s="11" t="str" cm="1">
        <f t="array" ref="D399">Scope3_Equations.VEERG_15_9_1_1__1_EmissionsFromPurchasedGrowMedia_Source()</f>
        <v>VEERG 2026: 15.9.1.1, Equation (1)</v>
      </c>
    </row>
    <row r="400" spans="3:41" ht="20.100000000000001" customHeight="1" x14ac:dyDescent="0.2">
      <c r="D400" s="163" t="s">
        <v>621</v>
      </c>
      <c r="E400" s="163" t="str" cm="1">
        <f t="array" aca="1" ref="E400" ca="1">Common_InputFunctions.Utility_DisplayFunctionName(J414)</f>
        <v>=Scope3_Equations.VEERG_15_9_1_1__1_EmissionsFromPurchasedGrowMedia</v>
      </c>
    </row>
    <row r="403" spans="4:14" ht="20.100000000000001" customHeight="1" x14ac:dyDescent="0.2">
      <c r="G403" s="163"/>
    </row>
    <row r="404" spans="4:14" ht="20.100000000000001" customHeight="1" x14ac:dyDescent="0.2">
      <c r="D404" s="27" t="s">
        <v>622</v>
      </c>
      <c r="E404" s="8" t="str" cm="1">
        <f t="array" ref="E404">Scope3_Equations.VEERG_15_9_1_1__1_EmissionsFromPurchasedGrowMedia_Variable()</f>
        <v>E</v>
      </c>
    </row>
    <row r="405" spans="4:14" ht="20.100000000000001" customHeight="1" x14ac:dyDescent="0.2">
      <c r="D405" s="27" t="s">
        <v>97</v>
      </c>
      <c r="E405" s="8" t="str" cm="1">
        <f t="array" ref="E405">Scope3_Equations.VEERG_15_9_1_1__1_EmissionsFromPurchasedGrowMedia_Unit()</f>
        <v>t CO2e</v>
      </c>
    </row>
    <row r="407" spans="4:14" ht="20.100000000000001" customHeight="1" x14ac:dyDescent="0.2">
      <c r="D407" s="158" t="str" cm="1">
        <f t="array" ref="D407:E409">_xlfn.CHOOSECOLS(Scope3_Equations.VEERG_15_9_1_1__1_EmissionsFromPurchasedGrowMedia_Arguments(),1,2)</f>
        <v>Q_g</v>
      </c>
      <c r="E407" s="158" t="str">
        <v>total quantity of grow media type g</v>
      </c>
      <c r="F407" s="158" t="str" cm="1">
        <f t="array" ref="F407:G409">_xlfn.CHOOSECOLS(Scope3_Equations.VEERG_15_9_1_1__1_EmissionsFromPurchasedGrowMedia_Arguments(),3,4)</f>
        <v>kg or m3</v>
      </c>
      <c r="G407" s="159" t="str">
        <v>Input</v>
      </c>
    </row>
    <row r="408" spans="4:14" ht="20.100000000000001" customHeight="1" x14ac:dyDescent="0.2">
      <c r="D408" s="158" t="str">
        <v>EF_g</v>
      </c>
      <c r="E408" s="158" t="str">
        <v>emission factor for grow media type g</v>
      </c>
      <c r="F408" s="158" t="str">
        <v>kg CO2e/kg or kg CO2e/m3</v>
      </c>
      <c r="G408" s="160" t="str">
        <v>Constant</v>
      </c>
    </row>
    <row r="409" spans="4:14" ht="20.100000000000001" customHeight="1" x14ac:dyDescent="0.2">
      <c r="D409" s="158" t="str">
        <v>g</v>
      </c>
      <c r="E409" s="158" t="str">
        <v>grow media type</v>
      </c>
      <c r="F409" s="158" t="str">
        <v/>
      </c>
      <c r="G409" s="159" t="str">
        <v>Input</v>
      </c>
    </row>
    <row r="411" spans="4:14" ht="20.100000000000001" customHeight="1" x14ac:dyDescent="0.2">
      <c r="D411" s="12" t="s">
        <v>686</v>
      </c>
    </row>
    <row r="413" spans="4:14" ht="20.100000000000001" customHeight="1" x14ac:dyDescent="0.2">
      <c r="D413" s="46" t="s">
        <v>691</v>
      </c>
      <c r="E413" s="46" t="s">
        <v>606</v>
      </c>
      <c r="F413" s="46" t="s">
        <v>126</v>
      </c>
      <c r="G413" s="57" t="s">
        <v>411</v>
      </c>
      <c r="H413" s="57" t="s">
        <v>349</v>
      </c>
      <c r="I413" s="46" t="s">
        <v>412</v>
      </c>
      <c r="J413" s="57" t="s">
        <v>350</v>
      </c>
      <c r="K413" s="57" t="s">
        <v>607</v>
      </c>
      <c r="L413" s="46" t="s">
        <v>624</v>
      </c>
      <c r="M413" s="46" t="s">
        <v>625</v>
      </c>
      <c r="N413" s="46" t="s">
        <v>626</v>
      </c>
    </row>
    <row r="414" spans="4:14" ht="20.100000000000001" customHeight="1" x14ac:dyDescent="0.2">
      <c r="D414" s="49" t="str" cm="1">
        <f t="array" ref="D414:D423">IFERROR(INDEX(Table_Input_GrowMedia[Grow media type], _xlfn.SEQUENCE(10)), "")</f>
        <v>Coir</v>
      </c>
      <c r="E414" s="49" cm="1">
        <f t="array" ref="E414:E423">IFERROR(INDEX(Table_Input_GrowMedia[Total amount], _xlfn.SEQUENCE(10)), "")</f>
        <v>10000</v>
      </c>
      <c r="F414" s="49" t="str" cm="1">
        <f t="array" ref="F414:F423">IFERROR(INDEX(Table_Input_GrowMedia[Amount unit], _xlfn.SEQUENCE(10)), "")</f>
        <v>kg</v>
      </c>
      <c r="G414" s="49" t="s">
        <v>817</v>
      </c>
      <c r="H414" s="49" t="s">
        <v>817</v>
      </c>
      <c r="I414" s="64">
        <v>4</v>
      </c>
      <c r="J414" s="142" cm="1">
        <f t="array" ref="J414">Scope3_Equations.VEERG_15_9_1_1__1_EmissionsFromPurchasedGrowMedia(E414,I414)</f>
        <v>40</v>
      </c>
      <c r="K414" s="49" t="str">
        <f>"t CO2e / " &amp; F414</f>
        <v>t CO2e / kg</v>
      </c>
      <c r="L414" s="74"/>
      <c r="M414" s="47"/>
      <c r="N414" s="74"/>
    </row>
    <row r="415" spans="4:14" ht="20.100000000000001" customHeight="1" x14ac:dyDescent="0.2">
      <c r="D415" s="49" t="str">
        <v>Peat moss</v>
      </c>
      <c r="E415" s="49">
        <v>100</v>
      </c>
      <c r="F415" s="49" t="str">
        <v>m3</v>
      </c>
      <c r="G415" s="49" t="s">
        <v>817</v>
      </c>
      <c r="H415" s="49" t="s">
        <v>817</v>
      </c>
      <c r="I415" s="64">
        <v>2</v>
      </c>
      <c r="J415" s="142" cm="1">
        <f t="array" ref="J415">Scope3_Equations.VEERG_15_9_1_1__1_EmissionsFromPurchasedGrowMedia(E415,I415)</f>
        <v>0.2</v>
      </c>
      <c r="K415" s="49" t="str">
        <f t="shared" ref="K415:K423" si="2">"t CO2e / " &amp; F415</f>
        <v>t CO2e / m3</v>
      </c>
      <c r="L415" s="74"/>
      <c r="M415" s="47"/>
      <c r="N415" s="74"/>
    </row>
    <row r="416" spans="4:14" ht="20.100000000000001" customHeight="1" x14ac:dyDescent="0.2">
      <c r="D416" s="49" t="str">
        <v>tiny gravel</v>
      </c>
      <c r="E416" s="49">
        <v>10000</v>
      </c>
      <c r="F416" s="49" t="str">
        <v>kg</v>
      </c>
      <c r="G416" s="49" t="s">
        <v>817</v>
      </c>
      <c r="H416" s="49" t="s">
        <v>817</v>
      </c>
      <c r="I416" s="64"/>
      <c r="J416" s="142" cm="1">
        <f t="array" ref="J416">Scope3_Equations.VEERG_15_9_1_1__1_EmissionsFromPurchasedGrowMedia(E416,I416)</f>
        <v>0</v>
      </c>
      <c r="K416" s="49" t="str">
        <f t="shared" si="2"/>
        <v>t CO2e / kg</v>
      </c>
      <c r="L416" s="74"/>
      <c r="M416" s="47"/>
      <c r="N416" s="74"/>
    </row>
    <row r="417" spans="3:41" ht="20.100000000000001" customHeight="1" x14ac:dyDescent="0.2">
      <c r="D417" s="49">
        <v>0</v>
      </c>
      <c r="E417" s="49">
        <v>0</v>
      </c>
      <c r="F417" s="49">
        <v>0</v>
      </c>
      <c r="G417" s="49" t="s">
        <v>817</v>
      </c>
      <c r="H417" s="49" t="s">
        <v>817</v>
      </c>
      <c r="I417" s="64"/>
      <c r="J417" s="142" cm="1">
        <f t="array" ref="J417">Scope3_Equations.VEERG_15_9_1_1__1_EmissionsFromPurchasedGrowMedia(E417,I417)</f>
        <v>0</v>
      </c>
      <c r="K417" s="49" t="str">
        <f t="shared" si="2"/>
        <v>t CO2e / 0</v>
      </c>
      <c r="L417" s="74"/>
      <c r="M417" s="47"/>
      <c r="N417" s="74"/>
    </row>
    <row r="418" spans="3:41" ht="20.100000000000001" customHeight="1" x14ac:dyDescent="0.2">
      <c r="D418" s="49">
        <v>0</v>
      </c>
      <c r="E418" s="49">
        <v>0</v>
      </c>
      <c r="F418" s="49">
        <v>0</v>
      </c>
      <c r="G418" s="49" t="s">
        <v>817</v>
      </c>
      <c r="H418" s="49" t="s">
        <v>817</v>
      </c>
      <c r="I418" s="64"/>
      <c r="J418" s="142" cm="1">
        <f t="array" ref="J418">Scope3_Equations.VEERG_15_9_1_1__1_EmissionsFromPurchasedGrowMedia(E418,I418)</f>
        <v>0</v>
      </c>
      <c r="K418" s="49" t="str">
        <f t="shared" si="2"/>
        <v>t CO2e / 0</v>
      </c>
      <c r="L418" s="74"/>
      <c r="M418" s="47"/>
      <c r="N418" s="74"/>
    </row>
    <row r="419" spans="3:41" ht="20.100000000000001" customHeight="1" x14ac:dyDescent="0.2">
      <c r="D419" s="49">
        <v>0</v>
      </c>
      <c r="E419" s="49">
        <v>0</v>
      </c>
      <c r="F419" s="49">
        <v>0</v>
      </c>
      <c r="G419" s="49" t="s">
        <v>817</v>
      </c>
      <c r="H419" s="49" t="s">
        <v>817</v>
      </c>
      <c r="I419" s="64"/>
      <c r="J419" s="142" cm="1">
        <f t="array" ref="J419">Scope3_Equations.VEERG_15_9_1_1__1_EmissionsFromPurchasedGrowMedia(E419,I419)</f>
        <v>0</v>
      </c>
      <c r="K419" s="49" t="str">
        <f t="shared" si="2"/>
        <v>t CO2e / 0</v>
      </c>
      <c r="L419" s="74"/>
      <c r="M419" s="47"/>
      <c r="N419" s="74"/>
    </row>
    <row r="420" spans="3:41" ht="20.100000000000001" customHeight="1" x14ac:dyDescent="0.2">
      <c r="D420" s="49">
        <v>0</v>
      </c>
      <c r="E420" s="49">
        <v>0</v>
      </c>
      <c r="F420" s="49">
        <v>0</v>
      </c>
      <c r="G420" s="49" t="s">
        <v>817</v>
      </c>
      <c r="H420" s="49" t="s">
        <v>817</v>
      </c>
      <c r="I420" s="64"/>
      <c r="J420" s="142" cm="1">
        <f t="array" ref="J420">Scope3_Equations.VEERG_15_9_1_1__1_EmissionsFromPurchasedGrowMedia(E420,I420)</f>
        <v>0</v>
      </c>
      <c r="K420" s="49" t="str">
        <f t="shared" si="2"/>
        <v>t CO2e / 0</v>
      </c>
      <c r="L420" s="74"/>
      <c r="M420" s="47"/>
      <c r="N420" s="74"/>
    </row>
    <row r="421" spans="3:41" ht="20.100000000000001" customHeight="1" x14ac:dyDescent="0.2">
      <c r="D421" s="49">
        <v>0</v>
      </c>
      <c r="E421" s="49">
        <v>0</v>
      </c>
      <c r="F421" s="49">
        <v>0</v>
      </c>
      <c r="G421" s="49" t="s">
        <v>817</v>
      </c>
      <c r="H421" s="49" t="s">
        <v>817</v>
      </c>
      <c r="I421" s="64"/>
      <c r="J421" s="142" cm="1">
        <f t="array" ref="J421">Scope3_Equations.VEERG_15_9_1_1__1_EmissionsFromPurchasedGrowMedia(E421,I421)</f>
        <v>0</v>
      </c>
      <c r="K421" s="49" t="str">
        <f t="shared" si="2"/>
        <v>t CO2e / 0</v>
      </c>
      <c r="L421" s="74"/>
      <c r="M421" s="47"/>
      <c r="N421" s="74"/>
    </row>
    <row r="422" spans="3:41" ht="20.100000000000001" customHeight="1" x14ac:dyDescent="0.2">
      <c r="D422" s="49">
        <v>0</v>
      </c>
      <c r="E422" s="49">
        <v>0</v>
      </c>
      <c r="F422" s="49">
        <v>0</v>
      </c>
      <c r="G422" s="49" t="s">
        <v>817</v>
      </c>
      <c r="H422" s="49" t="s">
        <v>817</v>
      </c>
      <c r="I422" s="64"/>
      <c r="J422" s="142" cm="1">
        <f t="array" ref="J422">Scope3_Equations.VEERG_15_9_1_1__1_EmissionsFromPurchasedGrowMedia(E422,I422)</f>
        <v>0</v>
      </c>
      <c r="K422" s="49" t="str">
        <f t="shared" si="2"/>
        <v>t CO2e / 0</v>
      </c>
      <c r="L422" s="74"/>
      <c r="M422" s="47"/>
      <c r="N422" s="74"/>
    </row>
    <row r="423" spans="3:41" ht="20.100000000000001" customHeight="1" x14ac:dyDescent="0.2">
      <c r="D423" s="49">
        <v>0</v>
      </c>
      <c r="E423" s="49">
        <v>0</v>
      </c>
      <c r="F423" s="49">
        <v>0</v>
      </c>
      <c r="G423" s="49" t="s">
        <v>817</v>
      </c>
      <c r="H423" s="49" t="s">
        <v>817</v>
      </c>
      <c r="I423" s="64"/>
      <c r="J423" s="142" cm="1">
        <f t="array" ref="J423">Scope3_Equations.VEERG_15_9_1_1__1_EmissionsFromPurchasedGrowMedia(E423,I423)</f>
        <v>0</v>
      </c>
      <c r="K423" s="49" t="str">
        <f t="shared" si="2"/>
        <v>t CO2e / 0</v>
      </c>
      <c r="L423" s="74"/>
      <c r="M423" s="47"/>
      <c r="N423" s="74"/>
    </row>
    <row r="425" spans="3:41" ht="20.100000000000001" customHeight="1" x14ac:dyDescent="0.2">
      <c r="D425" s="170" t="s">
        <v>628</v>
      </c>
      <c r="E425" s="168" t="s">
        <v>817</v>
      </c>
      <c r="F425" s="169" t="str">
        <f>$E$170</f>
        <v>t CO2e</v>
      </c>
    </row>
    <row r="426" spans="3:41" ht="20.100000000000001" customHeight="1" x14ac:dyDescent="0.2">
      <c r="D426" s="170" t="s">
        <v>630</v>
      </c>
      <c r="E426" s="168">
        <f>SUM(J414:J423)</f>
        <v>40.200000000000003</v>
      </c>
      <c r="F426" s="169" t="str">
        <f>$E$170</f>
        <v>t CO2e</v>
      </c>
    </row>
    <row r="429" spans="3:41" ht="20.100000000000001" customHeight="1" x14ac:dyDescent="0.2">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c r="AA429" s="89"/>
      <c r="AB429" s="89"/>
      <c r="AC429" s="89"/>
      <c r="AD429" s="89"/>
      <c r="AE429" s="89"/>
      <c r="AF429" s="89"/>
      <c r="AG429" s="89"/>
      <c r="AH429" s="89"/>
      <c r="AI429" s="89"/>
      <c r="AJ429" s="89"/>
      <c r="AK429" s="89"/>
      <c r="AL429" s="89"/>
      <c r="AM429" s="89"/>
      <c r="AN429" s="89"/>
      <c r="AO429" s="89"/>
    </row>
    <row r="430" spans="3:41" ht="20.100000000000001" customHeight="1" x14ac:dyDescent="0.2">
      <c r="D430" s="9" t="str" cm="1">
        <f t="array" ref="D430">Scope3_Equations.VEERG_15_10_1_1__1_OtherPurchasedGoodsAndServices_Title()</f>
        <v>Other purchased goods and services generic estimate</v>
      </c>
    </row>
    <row r="431" spans="3:41" ht="20.100000000000001" customHeight="1" x14ac:dyDescent="0.2">
      <c r="D431" s="11" t="str" cm="1">
        <f t="array" ref="D431">Scope3_Equations.VEERG_15_10_1_1__1_OtherPurchasedGoodsAndServices_Source()</f>
        <v>VEERG 2026: 15.10, generic placeholder equation</v>
      </c>
    </row>
    <row r="432" spans="3:41" ht="20.100000000000001" customHeight="1" x14ac:dyDescent="0.2">
      <c r="D432" s="12" t="s">
        <v>699</v>
      </c>
    </row>
    <row r="433" spans="4:13" ht="20.100000000000001" customHeight="1" x14ac:dyDescent="0.2">
      <c r="D433" s="163" t="s">
        <v>621</v>
      </c>
      <c r="E433" s="163" t="str" cm="1">
        <f t="array" aca="1" ref="E433" ca="1">Common_InputFunctions.Utility_DisplayFunctionName(H445)</f>
        <v>=Scope3_Equations.VEERG_15_10_1_1__1_OtherPurchasedGoodsAndServices</v>
      </c>
    </row>
    <row r="436" spans="4:13" ht="20.100000000000001" customHeight="1" x14ac:dyDescent="0.2">
      <c r="D436" s="27" t="s">
        <v>622</v>
      </c>
      <c r="E436" s="8" t="str" cm="1">
        <f t="array" ref="E436">Scope3_Equations.VEERG_15_10_1_1__1_OtherPurchasedGoodsAndServices_Variable()</f>
        <v>emissions</v>
      </c>
    </row>
    <row r="437" spans="4:13" ht="20.100000000000001" customHeight="1" x14ac:dyDescent="0.2">
      <c r="D437" s="27" t="s">
        <v>97</v>
      </c>
      <c r="E437" s="13" t="str" cm="1">
        <f t="array" ref="E437">Scope3_Equations.VEERG_15_10_1_1__1_OtherPurchasedGoodsAndServices_Unit()</f>
        <v>t CO2e</v>
      </c>
    </row>
    <row r="439" spans="4:13" ht="20.100000000000001" customHeight="1" x14ac:dyDescent="0.2">
      <c r="D439" s="158" t="str" cm="1">
        <f t="array" ref="D439:E440">_xlfn.CHOOSECOLS(Scope3_Equations.VEERG_15_10_1_1__1_OtherPurchasedGoodsAndServices_Arguments(),1,2)</f>
        <v>activity_data</v>
      </c>
      <c r="E439" s="162" t="str">
        <v>measured activity for the purchased good or service</v>
      </c>
      <c r="F439" s="157"/>
      <c r="G439" s="158" t="str" cm="1">
        <f t="array" ref="G439:H440">_xlfn.CHOOSECOLS(Scope3_Equations.VEERG_15_10_1_1__1_OtherPurchasedGoodsAndServices_Arguments(),3,4)</f>
        <v>varies</v>
      </c>
      <c r="H439" s="159" t="str">
        <v>Input</v>
      </c>
    </row>
    <row r="440" spans="4:13" ht="20.100000000000001" customHeight="1" x14ac:dyDescent="0.2">
      <c r="D440" s="158" t="str">
        <v>emission_factor</v>
      </c>
      <c r="E440" s="162" t="str">
        <v>lifecycle emissions per unit of activity</v>
      </c>
      <c r="F440" s="157"/>
      <c r="G440" s="158" t="str">
        <v>varies</v>
      </c>
      <c r="H440" s="160" t="str">
        <v>Constant</v>
      </c>
    </row>
    <row r="442" spans="4:13" ht="20.100000000000001" customHeight="1" x14ac:dyDescent="0.2">
      <c r="D442" s="135" t="s">
        <v>371</v>
      </c>
    </row>
    <row r="444" spans="4:13" ht="20.100000000000001" customHeight="1" x14ac:dyDescent="0.2">
      <c r="D444" s="46" t="s">
        <v>357</v>
      </c>
      <c r="E444" s="143" t="s">
        <v>281</v>
      </c>
      <c r="F444" s="143" t="s">
        <v>373</v>
      </c>
      <c r="G444" s="57" t="s">
        <v>351</v>
      </c>
      <c r="H444" s="57" t="s">
        <v>628</v>
      </c>
      <c r="I444" s="46" t="s">
        <v>354</v>
      </c>
      <c r="J444" s="57" t="s">
        <v>630</v>
      </c>
      <c r="K444" s="46" t="s">
        <v>624</v>
      </c>
      <c r="L444" s="46" t="s">
        <v>625</v>
      </c>
      <c r="M444" s="46" t="s">
        <v>626</v>
      </c>
    </row>
    <row r="445" spans="4:13" ht="20.100000000000001" customHeight="1" x14ac:dyDescent="0.2">
      <c r="D445" s="49" t="str" cm="1">
        <f t="array" ref="D445:D454">IFERROR(INDEX(Table_Input_ChemicalsCleaning[Product name], _xlfn.SEQUENCE(10)), "")</f>
        <v>Acid kleen</v>
      </c>
      <c r="E445" s="49" t="str" cm="1">
        <f t="array" ref="E445:E454">IFERROR(INDEX(Table_Input_ChemicalsCleaning[Type (select)], _xlfn.SEQUENCE(10)), "")</f>
        <v>Phosphoric acid</v>
      </c>
      <c r="F445" s="49" cm="1">
        <f t="array" ref="F445:F454">IFERROR(INDEX(Table_Input_ChemicalsCleaning[Quantity purchased (kg)], _xlfn.SEQUENCE(10)), "")</f>
        <v>100</v>
      </c>
      <c r="G445" s="49" cm="1">
        <f t="array" ref="G445">Common_InputFunctions.Utility_LookupValueInTableNumber(E445,Table_SourceData_Scope3_ChemicalsCleaning[Product],Table_SourceData_Scope3_ChemicalsCleaning[Emissions intensity])</f>
        <v>0.90700000000000003</v>
      </c>
      <c r="H445" s="142" cm="1">
        <f t="array" ref="H445">Scope3_Equations.VEERG_15_10_1_1__1_OtherPurchasedGoodsAndServices(F445,G445*10^-3)</f>
        <v>9.0700000000000003E-2</v>
      </c>
      <c r="I445" s="64">
        <v>1.3</v>
      </c>
      <c r="J445" s="142" cm="1">
        <f t="array" ref="J445">Scope3_Equations.VEERG_15_10_1_1__1_OtherPurchasedGoodsAndServices(F445,IF(I445,I445,G445)*10^-3)</f>
        <v>0.13</v>
      </c>
      <c r="K445" s="74"/>
      <c r="L445" s="47"/>
      <c r="M445" s="74"/>
    </row>
    <row r="446" spans="4:13" ht="20.100000000000001" customHeight="1" x14ac:dyDescent="0.2">
      <c r="D446" s="49" t="str">
        <v>Kleen alk</v>
      </c>
      <c r="E446" s="49" t="str">
        <v>Alkaline cleaner</v>
      </c>
      <c r="F446" s="49">
        <v>100</v>
      </c>
      <c r="G446" s="49" cm="1">
        <f t="array" ref="G446">Common_InputFunctions.Utility_LookupValueInTableNumber(E446,Table_SourceData_Scope3_ChemicalsCleaning[Product],Table_SourceData_Scope3_ChemicalsCleaning[Emissions intensity])</f>
        <v>0.72199999999999998</v>
      </c>
      <c r="H446" s="142" cm="1">
        <f t="array" ref="H446">Scope3_Equations.VEERG_15_10_1_1__1_OtherPurchasedGoodsAndServices(F446,G446*10^-3)</f>
        <v>7.22E-2</v>
      </c>
      <c r="I446" s="64">
        <v>8</v>
      </c>
      <c r="J446" s="142" cm="1">
        <f t="array" ref="J446">Scope3_Equations.VEERG_15_10_1_1__1_OtherPurchasedGoodsAndServices(F446,IF(I446,I446,G446)*10^-3)</f>
        <v>0.8</v>
      </c>
      <c r="K446" s="74"/>
      <c r="L446" s="47"/>
      <c r="M446" s="74"/>
    </row>
    <row r="447" spans="4:13" ht="20.100000000000001" customHeight="1" x14ac:dyDescent="0.2">
      <c r="D447" s="49" t="str">
        <v>White king</v>
      </c>
      <c r="E447" s="49" t="str">
        <v>Bleach</v>
      </c>
      <c r="F447" s="49">
        <v>100</v>
      </c>
      <c r="G447" s="49" cm="1">
        <f t="array" ref="G447">Common_InputFunctions.Utility_LookupValueInTableNumber(E447,Table_SourceData_Scope3_ChemicalsCleaning[Product],Table_SourceData_Scope3_ChemicalsCleaning[Emissions intensity])</f>
        <v>0.80400000000000005</v>
      </c>
      <c r="H447" s="142" cm="1">
        <f t="array" ref="H447">Scope3_Equations.VEERG_15_10_1_1__1_OtherPurchasedGoodsAndServices(F447,G447*10^-3)</f>
        <v>8.0399999999999999E-2</v>
      </c>
      <c r="I447" s="64">
        <v>4</v>
      </c>
      <c r="J447" s="142" cm="1">
        <f t="array" ref="J447">Scope3_Equations.VEERG_15_10_1_1__1_OtherPurchasedGoodsAndServices(F447,IF(I447,I447,G447)*10^-3)</f>
        <v>0.4</v>
      </c>
      <c r="K447" s="74"/>
      <c r="L447" s="47"/>
      <c r="M447" s="74"/>
    </row>
    <row r="448" spans="4:13" ht="20.100000000000001" customHeight="1" x14ac:dyDescent="0.2">
      <c r="D448" s="49" t="str">
        <v>White king</v>
      </c>
      <c r="E448" s="49" t="str">
        <v>Bleach</v>
      </c>
      <c r="F448" s="49">
        <v>100</v>
      </c>
      <c r="G448" s="49" cm="1">
        <f t="array" ref="G448">Common_InputFunctions.Utility_LookupValueInTableNumber(E448,Table_SourceData_Scope3_ChemicalsCleaning[Product],Table_SourceData_Scope3_ChemicalsCleaning[Emissions intensity])</f>
        <v>0.80400000000000005</v>
      </c>
      <c r="H448" s="142" cm="1">
        <f t="array" ref="H448">Scope3_Equations.VEERG_15_10_1_1__1_OtherPurchasedGoodsAndServices(F448,G448*10^-3)</f>
        <v>8.0399999999999999E-2</v>
      </c>
      <c r="I448" s="64">
        <v>3</v>
      </c>
      <c r="J448" s="142" cm="1">
        <f t="array" ref="J448">Scope3_Equations.VEERG_15_10_1_1__1_OtherPurchasedGoodsAndServices(F448,IF(I448,I448,G448)*10^-3)</f>
        <v>0.3</v>
      </c>
      <c r="K448" s="74"/>
      <c r="L448" s="47"/>
      <c r="M448" s="74"/>
    </row>
    <row r="449" spans="4:13" ht="20.100000000000001" customHeight="1" x14ac:dyDescent="0.2">
      <c r="D449" s="49" t="str">
        <v>Acid kleen</v>
      </c>
      <c r="E449" s="49" t="str">
        <v>Phosphoric acid</v>
      </c>
      <c r="F449" s="49">
        <v>100</v>
      </c>
      <c r="G449" s="49" cm="1">
        <f t="array" ref="G449">Common_InputFunctions.Utility_LookupValueInTableNumber(E449,Table_SourceData_Scope3_ChemicalsCleaning[Product],Table_SourceData_Scope3_ChemicalsCleaning[Emissions intensity])</f>
        <v>0.90700000000000003</v>
      </c>
      <c r="H449" s="142" cm="1">
        <f t="array" ref="H449">Scope3_Equations.VEERG_15_10_1_1__1_OtherPurchasedGoodsAndServices(F449,G449*10^-3)</f>
        <v>9.0700000000000003E-2</v>
      </c>
      <c r="I449" s="64">
        <v>6</v>
      </c>
      <c r="J449" s="142" cm="1">
        <f t="array" ref="J449">Scope3_Equations.VEERG_15_10_1_1__1_OtherPurchasedGoodsAndServices(F449,IF(I449,I449,G449)*10^-3)</f>
        <v>0.6</v>
      </c>
      <c r="K449" s="74"/>
      <c r="L449" s="47"/>
      <c r="M449" s="74"/>
    </row>
    <row r="450" spans="4:13" ht="20.100000000000001" customHeight="1" x14ac:dyDescent="0.2">
      <c r="D450" s="49" t="str">
        <v>Acid kleen</v>
      </c>
      <c r="E450" s="49" t="str">
        <v>Phosphoric acid</v>
      </c>
      <c r="F450" s="49">
        <v>100</v>
      </c>
      <c r="G450" s="49" cm="1">
        <f t="array" ref="G450">Common_InputFunctions.Utility_LookupValueInTableNumber(E450,Table_SourceData_Scope3_ChemicalsCleaning[Product],Table_SourceData_Scope3_ChemicalsCleaning[Emissions intensity])</f>
        <v>0.90700000000000003</v>
      </c>
      <c r="H450" s="142" cm="1">
        <f t="array" ref="H450">Scope3_Equations.VEERG_15_10_1_1__1_OtherPurchasedGoodsAndServices(F450,G450*10^-3)</f>
        <v>9.0700000000000003E-2</v>
      </c>
      <c r="I450" s="64">
        <v>5</v>
      </c>
      <c r="J450" s="142" cm="1">
        <f t="array" ref="J450">Scope3_Equations.VEERG_15_10_1_1__1_OtherPurchasedGoodsAndServices(F450,IF(I450,I450,G450)*10^-3)</f>
        <v>0.5</v>
      </c>
      <c r="K450" s="74"/>
      <c r="L450" s="47"/>
      <c r="M450" s="74"/>
    </row>
    <row r="451" spans="4:13" ht="20.100000000000001" customHeight="1" x14ac:dyDescent="0.2">
      <c r="D451" s="49">
        <v>0</v>
      </c>
      <c r="E451" s="49">
        <v>0</v>
      </c>
      <c r="F451" s="49">
        <v>0</v>
      </c>
      <c r="G451" s="49" cm="1">
        <f t="array" ref="G451">Common_InputFunctions.Utility_LookupValueInTableNumber(E451,Table_SourceData_Scope3_ChemicalsCleaning[Product],Table_SourceData_Scope3_ChemicalsCleaning[Emissions intensity])</f>
        <v>0</v>
      </c>
      <c r="H451" s="142" cm="1">
        <f t="array" ref="H451">Scope3_Equations.VEERG_15_10_1_1__1_OtherPurchasedGoodsAndServices(F451,G451*10^-3)</f>
        <v>0</v>
      </c>
      <c r="I451" s="64"/>
      <c r="J451" s="142" cm="1">
        <f t="array" ref="J451">Scope3_Equations.VEERG_15_10_1_1__1_OtherPurchasedGoodsAndServices(F451,IF(I451,I451,G451)*10^-3)</f>
        <v>0</v>
      </c>
      <c r="K451" s="74"/>
      <c r="L451" s="47"/>
      <c r="M451" s="74"/>
    </row>
    <row r="452" spans="4:13" ht="20.100000000000001" customHeight="1" x14ac:dyDescent="0.2">
      <c r="D452" s="49">
        <v>0</v>
      </c>
      <c r="E452" s="49">
        <v>0</v>
      </c>
      <c r="F452" s="49">
        <v>0</v>
      </c>
      <c r="G452" s="49" cm="1">
        <f t="array" ref="G452">Common_InputFunctions.Utility_LookupValueInTableNumber(E452,Table_SourceData_Scope3_ChemicalsCleaning[Product],Table_SourceData_Scope3_ChemicalsCleaning[Emissions intensity])</f>
        <v>0</v>
      </c>
      <c r="H452" s="142" cm="1">
        <f t="array" ref="H452">Scope3_Equations.VEERG_15_10_1_1__1_OtherPurchasedGoodsAndServices(F452,G452*10^-3)</f>
        <v>0</v>
      </c>
      <c r="I452" s="64"/>
      <c r="J452" s="142" cm="1">
        <f t="array" ref="J452">Scope3_Equations.VEERG_15_10_1_1__1_OtherPurchasedGoodsAndServices(F452,IF(I452,I452,G452)*10^-3)</f>
        <v>0</v>
      </c>
      <c r="K452" s="74"/>
      <c r="L452" s="47"/>
      <c r="M452" s="74"/>
    </row>
    <row r="453" spans="4:13" ht="20.100000000000001" customHeight="1" x14ac:dyDescent="0.2">
      <c r="D453" s="49">
        <v>0</v>
      </c>
      <c r="E453" s="49">
        <v>0</v>
      </c>
      <c r="F453" s="49">
        <v>0</v>
      </c>
      <c r="G453" s="49" cm="1">
        <f t="array" ref="G453">Common_InputFunctions.Utility_LookupValueInTableNumber(E453,Table_SourceData_Scope3_ChemicalsCleaning[Product],Table_SourceData_Scope3_ChemicalsCleaning[Emissions intensity])</f>
        <v>0</v>
      </c>
      <c r="H453" s="142" cm="1">
        <f t="array" ref="H453">Scope3_Equations.VEERG_15_10_1_1__1_OtherPurchasedGoodsAndServices(F453,G453*10^-3)</f>
        <v>0</v>
      </c>
      <c r="I453" s="64"/>
      <c r="J453" s="142" cm="1">
        <f t="array" ref="J453">Scope3_Equations.VEERG_15_10_1_1__1_OtherPurchasedGoodsAndServices(F453,IF(I453,I453,G453)*10^-3)</f>
        <v>0</v>
      </c>
      <c r="K453" s="74"/>
      <c r="L453" s="47"/>
      <c r="M453" s="74"/>
    </row>
    <row r="454" spans="4:13" ht="20.100000000000001" customHeight="1" x14ac:dyDescent="0.2">
      <c r="D454" s="49">
        <v>0</v>
      </c>
      <c r="E454" s="49">
        <v>0</v>
      </c>
      <c r="F454" s="49">
        <v>0</v>
      </c>
      <c r="G454" s="49" cm="1">
        <f t="array" ref="G454">Common_InputFunctions.Utility_LookupValueInTableNumber(E454,Table_SourceData_Scope3_ChemicalsCleaning[Product],Table_SourceData_Scope3_ChemicalsCleaning[Emissions intensity])</f>
        <v>0</v>
      </c>
      <c r="H454" s="142" cm="1">
        <f t="array" ref="H454">Scope3_Equations.VEERG_15_10_1_1__1_OtherPurchasedGoodsAndServices(F454,G454*10^-3)</f>
        <v>0</v>
      </c>
      <c r="I454" s="64"/>
      <c r="J454" s="142" cm="1">
        <f t="array" ref="J454">Scope3_Equations.VEERG_15_10_1_1__1_OtherPurchasedGoodsAndServices(F454,IF(I454,I454,G454)*10^-3)</f>
        <v>0</v>
      </c>
      <c r="K454" s="74"/>
      <c r="L454" s="47"/>
      <c r="M454" s="74"/>
    </row>
    <row r="456" spans="4:13" ht="20.100000000000001" customHeight="1" x14ac:dyDescent="0.2">
      <c r="D456" s="170" t="s">
        <v>628</v>
      </c>
      <c r="E456" s="168">
        <f>SUM(H445:H454)</f>
        <v>0.50509999999999999</v>
      </c>
      <c r="F456" s="169" t="str">
        <f>$E$170</f>
        <v>t CO2e</v>
      </c>
    </row>
    <row r="457" spans="4:13" ht="20.100000000000001" customHeight="1" x14ac:dyDescent="0.2">
      <c r="D457" s="170" t="s">
        <v>630</v>
      </c>
      <c r="E457" s="168">
        <f>SUM(J445:J454)</f>
        <v>2.73</v>
      </c>
      <c r="F457" s="169" t="str">
        <f>$E$170</f>
        <v>t CO2e</v>
      </c>
    </row>
    <row r="460" spans="4:13" ht="20.100000000000001" customHeight="1" x14ac:dyDescent="0.2">
      <c r="D460" s="135" t="s">
        <v>372</v>
      </c>
    </row>
    <row r="462" spans="4:13" ht="20.100000000000001" customHeight="1" x14ac:dyDescent="0.2">
      <c r="D462" s="46" t="s">
        <v>357</v>
      </c>
      <c r="E462" s="143" t="s">
        <v>281</v>
      </c>
      <c r="F462" s="143" t="s">
        <v>370</v>
      </c>
      <c r="G462" s="57" t="s">
        <v>612</v>
      </c>
      <c r="H462" s="57" t="s">
        <v>628</v>
      </c>
      <c r="I462" s="46" t="s">
        <v>613</v>
      </c>
      <c r="J462" s="57" t="s">
        <v>630</v>
      </c>
      <c r="K462" s="46" t="s">
        <v>624</v>
      </c>
      <c r="L462" s="46" t="s">
        <v>625</v>
      </c>
      <c r="M462" s="46" t="s">
        <v>626</v>
      </c>
    </row>
    <row r="463" spans="4:13" ht="20.100000000000001" customHeight="1" x14ac:dyDescent="0.2">
      <c r="D463" s="49" t="str" cm="1">
        <f t="array" ref="D463:D472">IFERROR(INDEX(Table_Input_ChemicalsPharmacy[Product name], _xlfn.SEQUENCE(10)), "")</f>
        <v>Cow bug off</v>
      </c>
      <c r="E463" s="49" t="str" cm="1">
        <f t="array" ref="E463:E472">IFERROR(INDEX(Table_Input_ChemicalsPharmacy[Type (select)], _xlfn.SEQUENCE(10)), "")</f>
        <v>Parasite control for cattle (external), dipping</v>
      </c>
      <c r="F463" s="49" cm="1">
        <f t="array" ref="F463:F472">IFERROR(INDEX(Table_Input_ChemicalsCleaning[Quantity purchased (kg)], _xlfn.SEQUENCE(10)), "")</f>
        <v>100</v>
      </c>
      <c r="G463" s="49" cm="1">
        <f t="array" ref="G463">Common_InputFunctions.Utility_LookupValueInTableNumber(E463,Table_SourceData_Scope3_ChemicalsPharmacy[Product],Table_SourceData_Scope3_ChemicalsPharmacy[Emissions intensity])</f>
        <v>5.4699999999999999E-2</v>
      </c>
      <c r="H463" s="142" cm="1">
        <f t="array" ref="H463">Scope3_Equations.VEERG_15_10_1_1__1_OtherPurchasedGoodsAndServices(F463,G463*10^-3)</f>
        <v>5.47E-3</v>
      </c>
      <c r="I463" s="64">
        <v>0.05</v>
      </c>
      <c r="J463" s="142" cm="1">
        <f t="array" ref="J463">Scope3_Equations.VEERG_15_10_1_1__1_OtherPurchasedGoodsAndServices(F463,IF(I463,I463,G463)*10^-3)</f>
        <v>5.0000000000000001E-3</v>
      </c>
      <c r="K463" s="74"/>
      <c r="L463" s="47"/>
      <c r="M463" s="74"/>
    </row>
    <row r="464" spans="4:13" ht="20.100000000000001" customHeight="1" x14ac:dyDescent="0.2">
      <c r="D464" s="49" t="str">
        <v>Cow worm-away</v>
      </c>
      <c r="E464" s="49" t="str">
        <v>Parasite control for cattle (internal)</v>
      </c>
      <c r="F464" s="49">
        <v>100</v>
      </c>
      <c r="G464" s="49" cm="1">
        <f t="array" ref="G464">Common_InputFunctions.Utility_LookupValueInTableNumber(E464,Table_SourceData_Scope3_ChemicalsPharmacy[Product],Table_SourceData_Scope3_ChemicalsPharmacy[Emissions intensity])</f>
        <v>1.4200000000000001E-2</v>
      </c>
      <c r="H464" s="142" cm="1">
        <f t="array" ref="H464">Scope3_Equations.VEERG_15_10_1_1__1_OtherPurchasedGoodsAndServices(F464,G464*10^-3)</f>
        <v>1.42E-3</v>
      </c>
      <c r="I464" s="64">
        <v>0.01</v>
      </c>
      <c r="J464" s="142" cm="1">
        <f t="array" ref="J464">Scope3_Equations.VEERG_15_10_1_1__1_OtherPurchasedGoodsAndServices(F464,IF(I464,I464,G464)*10^-3)</f>
        <v>1E-3</v>
      </c>
      <c r="K464" s="74"/>
      <c r="L464" s="47"/>
      <c r="M464" s="74"/>
    </row>
    <row r="465" spans="4:13" ht="20.100000000000001" customHeight="1" x14ac:dyDescent="0.2">
      <c r="D465" s="49" t="str">
        <v>Sheep bug off</v>
      </c>
      <c r="E465" s="49" t="str">
        <v>Parasite control for sheep (external)</v>
      </c>
      <c r="F465" s="49">
        <v>100</v>
      </c>
      <c r="G465" s="49" cm="1">
        <f t="array" ref="G465">Common_InputFunctions.Utility_LookupValueInTableNumber(E465,Table_SourceData_Scope3_ChemicalsPharmacy[Product],Table_SourceData_Scope3_ChemicalsPharmacy[Emissions intensity])</f>
        <v>1.43E-2</v>
      </c>
      <c r="H465" s="142" cm="1">
        <f t="array" ref="H465">Scope3_Equations.VEERG_15_10_1_1__1_OtherPurchasedGoodsAndServices(F465,G465*10^-3)</f>
        <v>1.4300000000000001E-3</v>
      </c>
      <c r="I465" s="64">
        <v>0.01</v>
      </c>
      <c r="J465" s="142" cm="1">
        <f t="array" ref="J465">Scope3_Equations.VEERG_15_10_1_1__1_OtherPurchasedGoodsAndServices(F465,IF(I465,I465,G465)*10^-3)</f>
        <v>1E-3</v>
      </c>
      <c r="K465" s="74"/>
      <c r="L465" s="47"/>
      <c r="M465" s="74"/>
    </row>
    <row r="466" spans="4:13" ht="20.100000000000001" customHeight="1" x14ac:dyDescent="0.2">
      <c r="D466" s="49" t="str">
        <v>Sheep worm-away</v>
      </c>
      <c r="E466" s="49" t="str">
        <v>Parasite control for sheep (internal)</v>
      </c>
      <c r="F466" s="49">
        <v>100</v>
      </c>
      <c r="G466" s="49" cm="1">
        <f t="array" ref="G466">Common_InputFunctions.Utility_LookupValueInTableNumber(E466,Table_SourceData_Scope3_ChemicalsPharmacy[Product],Table_SourceData_Scope3_ChemicalsPharmacy[Emissions intensity])</f>
        <v>4.2599999999999999E-3</v>
      </c>
      <c r="H466" s="142" cm="1">
        <f t="array" ref="H466">Scope3_Equations.VEERG_15_10_1_1__1_OtherPurchasedGoodsAndServices(F466,G466*10^-3)</f>
        <v>4.26E-4</v>
      </c>
      <c r="I466" s="64">
        <v>4.0000000000000001E-3</v>
      </c>
      <c r="J466" s="142" cm="1">
        <f t="array" ref="J466">Scope3_Equations.VEERG_15_10_1_1__1_OtherPurchasedGoodsAndServices(F466,IF(I466,I466,G466)*10^-3)</f>
        <v>3.9999999999999996E-4</v>
      </c>
      <c r="K466" s="74"/>
      <c r="L466" s="47"/>
      <c r="M466" s="74"/>
    </row>
    <row r="467" spans="4:13" ht="20.100000000000001" customHeight="1" x14ac:dyDescent="0.2">
      <c r="D467" s="49" t="str">
        <v>Cow bug off</v>
      </c>
      <c r="E467" s="49" t="str">
        <v>Parasite control for cattle (external), dipping</v>
      </c>
      <c r="F467" s="49">
        <v>100</v>
      </c>
      <c r="G467" s="49" cm="1">
        <f t="array" ref="G467">Common_InputFunctions.Utility_LookupValueInTableNumber(E467,Table_SourceData_Scope3_ChemicalsPharmacy[Product],Table_SourceData_Scope3_ChemicalsPharmacy[Emissions intensity])</f>
        <v>5.4699999999999999E-2</v>
      </c>
      <c r="H467" s="142" cm="1">
        <f t="array" ref="H467">Scope3_Equations.VEERG_15_10_1_1__1_OtherPurchasedGoodsAndServices(F467,G467*10^-3)</f>
        <v>5.47E-3</v>
      </c>
      <c r="I467" s="64">
        <v>0.05</v>
      </c>
      <c r="J467" s="142" cm="1">
        <f t="array" ref="J467">Scope3_Equations.VEERG_15_10_1_1__1_OtherPurchasedGoodsAndServices(F467,IF(I467,I467,G467)*10^-3)</f>
        <v>5.0000000000000001E-3</v>
      </c>
      <c r="K467" s="74"/>
      <c r="L467" s="47"/>
      <c r="M467" s="74"/>
    </row>
    <row r="468" spans="4:13" ht="20.100000000000001" customHeight="1" x14ac:dyDescent="0.2">
      <c r="D468" s="49" t="str">
        <v>Cow worm-away</v>
      </c>
      <c r="E468" s="49" t="str">
        <v>Parasite control for cattle (internal)</v>
      </c>
      <c r="F468" s="49">
        <v>100</v>
      </c>
      <c r="G468" s="49" cm="1">
        <f t="array" ref="G468">Common_InputFunctions.Utility_LookupValueInTableNumber(E468,Table_SourceData_Scope3_ChemicalsPharmacy[Product],Table_SourceData_Scope3_ChemicalsPharmacy[Emissions intensity])</f>
        <v>1.4200000000000001E-2</v>
      </c>
      <c r="H468" s="142" cm="1">
        <f t="array" ref="H468">Scope3_Equations.VEERG_15_10_1_1__1_OtherPurchasedGoodsAndServices(F468,G468*10^-3)</f>
        <v>1.42E-3</v>
      </c>
      <c r="I468" s="64">
        <v>0.01</v>
      </c>
      <c r="J468" s="142" cm="1">
        <f t="array" ref="J468">Scope3_Equations.VEERG_15_10_1_1__1_OtherPurchasedGoodsAndServices(F468,IF(I468,I468,G468)*10^-3)</f>
        <v>1E-3</v>
      </c>
      <c r="K468" s="74"/>
      <c r="L468" s="47"/>
      <c r="M468" s="74"/>
    </row>
    <row r="469" spans="4:13" ht="20.100000000000001" customHeight="1" x14ac:dyDescent="0.2">
      <c r="D469" s="49">
        <v>0</v>
      </c>
      <c r="E469" s="49">
        <v>0</v>
      </c>
      <c r="F469" s="49">
        <v>0</v>
      </c>
      <c r="G469" s="49" cm="1">
        <f t="array" ref="G469">Common_InputFunctions.Utility_LookupValueInTableNumber(E469,Table_SourceData_Scope3_ChemicalsPharmacy[Product],Table_SourceData_Scope3_ChemicalsPharmacy[Emissions intensity])</f>
        <v>0</v>
      </c>
      <c r="H469" s="142" cm="1">
        <f t="array" ref="H469">Scope3_Equations.VEERG_15_10_1_1__1_OtherPurchasedGoodsAndServices(F469,G469*10^-3)</f>
        <v>0</v>
      </c>
      <c r="I469" s="64"/>
      <c r="J469" s="142" cm="1">
        <f t="array" ref="J469">Scope3_Equations.VEERG_15_10_1_1__1_OtherPurchasedGoodsAndServices(F469,IF(I469,I469,G469)*10^-3)</f>
        <v>0</v>
      </c>
      <c r="K469" s="74"/>
      <c r="L469" s="47"/>
      <c r="M469" s="74"/>
    </row>
    <row r="470" spans="4:13" ht="20.100000000000001" customHeight="1" x14ac:dyDescent="0.2">
      <c r="D470" s="49">
        <v>0</v>
      </c>
      <c r="E470" s="49">
        <v>0</v>
      </c>
      <c r="F470" s="49">
        <v>0</v>
      </c>
      <c r="G470" s="49" cm="1">
        <f t="array" ref="G470">Common_InputFunctions.Utility_LookupValueInTableNumber(E470,Table_SourceData_Scope3_ChemicalsPharmacy[Product],Table_SourceData_Scope3_ChemicalsPharmacy[Emissions intensity])</f>
        <v>0</v>
      </c>
      <c r="H470" s="142" cm="1">
        <f t="array" ref="H470">Scope3_Equations.VEERG_15_10_1_1__1_OtherPurchasedGoodsAndServices(F470,G470*10^-3)</f>
        <v>0</v>
      </c>
      <c r="I470" s="64"/>
      <c r="J470" s="142" cm="1">
        <f t="array" ref="J470">Scope3_Equations.VEERG_15_10_1_1__1_OtherPurchasedGoodsAndServices(F470,IF(I470,I470,G470)*10^-3)</f>
        <v>0</v>
      </c>
      <c r="K470" s="74"/>
      <c r="L470" s="47"/>
      <c r="M470" s="74"/>
    </row>
    <row r="471" spans="4:13" ht="20.100000000000001" customHeight="1" x14ac:dyDescent="0.2">
      <c r="D471" s="49">
        <v>0</v>
      </c>
      <c r="E471" s="49">
        <v>0</v>
      </c>
      <c r="F471" s="49">
        <v>0</v>
      </c>
      <c r="G471" s="49" cm="1">
        <f t="array" ref="G471">Common_InputFunctions.Utility_LookupValueInTableNumber(E471,Table_SourceData_Scope3_ChemicalsPharmacy[Product],Table_SourceData_Scope3_ChemicalsPharmacy[Emissions intensity])</f>
        <v>0</v>
      </c>
      <c r="H471" s="142" cm="1">
        <f t="array" ref="H471">Scope3_Equations.VEERG_15_10_1_1__1_OtherPurchasedGoodsAndServices(F471,G471*10^-3)</f>
        <v>0</v>
      </c>
      <c r="I471" s="64"/>
      <c r="J471" s="142" cm="1">
        <f t="array" ref="J471">Scope3_Equations.VEERG_15_10_1_1__1_OtherPurchasedGoodsAndServices(F471,IF(I471,I471,G471)*10^-3)</f>
        <v>0</v>
      </c>
      <c r="K471" s="74"/>
      <c r="L471" s="47"/>
      <c r="M471" s="74"/>
    </row>
    <row r="472" spans="4:13" ht="20.100000000000001" customHeight="1" x14ac:dyDescent="0.2">
      <c r="D472" s="49">
        <v>0</v>
      </c>
      <c r="E472" s="49">
        <v>0</v>
      </c>
      <c r="F472" s="49">
        <v>0</v>
      </c>
      <c r="G472" s="49" cm="1">
        <f t="array" ref="G472">Common_InputFunctions.Utility_LookupValueInTableNumber(E472,Table_SourceData_Scope3_ChemicalsPharmacy[Product],Table_SourceData_Scope3_ChemicalsPharmacy[Emissions intensity])</f>
        <v>0</v>
      </c>
      <c r="H472" s="142" cm="1">
        <f t="array" ref="H472">Scope3_Equations.VEERG_15_10_1_1__1_OtherPurchasedGoodsAndServices(F472,G472*10^-3)</f>
        <v>0</v>
      </c>
      <c r="I472" s="64"/>
      <c r="J472" s="142" cm="1">
        <f t="array" ref="J472">Scope3_Equations.VEERG_15_10_1_1__1_OtherPurchasedGoodsAndServices(F472,IF(I472,I472,G472)*10^-3)</f>
        <v>0</v>
      </c>
      <c r="K472" s="74"/>
      <c r="L472" s="47"/>
      <c r="M472" s="74"/>
    </row>
    <row r="474" spans="4:13" ht="20.100000000000001" customHeight="1" x14ac:dyDescent="0.2">
      <c r="D474" s="170" t="s">
        <v>628</v>
      </c>
      <c r="E474" s="168">
        <f>SUM(H463:H472)</f>
        <v>1.5636000000000001E-2</v>
      </c>
      <c r="F474" s="169" t="str">
        <f>$E$170</f>
        <v>t CO2e</v>
      </c>
    </row>
    <row r="475" spans="4:13" ht="20.100000000000001" customHeight="1" x14ac:dyDescent="0.2">
      <c r="D475" s="170" t="s">
        <v>630</v>
      </c>
      <c r="E475" s="168">
        <f>SUM(J463:J472)</f>
        <v>1.3400000000000002E-2</v>
      </c>
      <c r="F475" s="169" t="str">
        <f>$E$170</f>
        <v>t CO2e</v>
      </c>
    </row>
    <row r="478" spans="4:13" ht="20.100000000000001" customHeight="1" x14ac:dyDescent="0.2">
      <c r="D478" s="135" t="s">
        <v>407</v>
      </c>
    </row>
    <row r="480" spans="4:13" ht="20.100000000000001" customHeight="1" x14ac:dyDescent="0.2">
      <c r="D480" s="46" t="s">
        <v>168</v>
      </c>
      <c r="E480" s="46" t="s">
        <v>700</v>
      </c>
      <c r="F480" s="57" t="s">
        <v>612</v>
      </c>
      <c r="G480" s="57" t="s">
        <v>628</v>
      </c>
      <c r="H480" s="46" t="s">
        <v>613</v>
      </c>
      <c r="I480" s="57" t="s">
        <v>630</v>
      </c>
      <c r="J480" s="46" t="s">
        <v>624</v>
      </c>
      <c r="K480" s="46" t="s">
        <v>625</v>
      </c>
      <c r="L480" s="46" t="s">
        <v>626</v>
      </c>
    </row>
    <row r="481" spans="4:12" ht="20.100000000000001" customHeight="1" x14ac:dyDescent="0.2">
      <c r="D481" s="49" t="str">
        <f>'Input - Crop pasture farm input'!D23</f>
        <v>Barley grain (for seed)</v>
      </c>
      <c r="E481" s="49">
        <f>IFERROR(X_Cell_FarmInputs_Seed_BarleyGrain, 0)</f>
        <v>500</v>
      </c>
      <c r="F481" s="49" cm="1">
        <f t="array" ref="F481">Common_InputFunctions.Utility_LookupValueInTableNumber(D481,Table_SourceData_Scope3_Other[Product],Table_SourceData_Scope3_Other[Emissions intensity])</f>
        <v>0.23899999999999999</v>
      </c>
      <c r="G481" s="142" cm="1">
        <f t="array" ref="G481">Scope3_Equations.VEERG_15_10_1_1__1_OtherPurchasedGoodsAndServices(E481,F481*10^-3)</f>
        <v>0.1195</v>
      </c>
      <c r="H481" s="64">
        <v>0.2</v>
      </c>
      <c r="I481" s="142" cm="1">
        <f t="array" ref="I481">Scope3_Equations.VEERG_15_10_1_1__1_OtherPurchasedGoodsAndServices(E481,IF(H481,H481,F481)*10^-3)</f>
        <v>0.1</v>
      </c>
      <c r="J481" s="74"/>
      <c r="K481" s="47"/>
      <c r="L481" s="74"/>
    </row>
    <row r="482" spans="4:12" ht="20.100000000000001" customHeight="1" x14ac:dyDescent="0.2">
      <c r="D482" s="49" t="str">
        <f>'Input - Crop pasture farm input'!D24</f>
        <v>Maize grain (for seed)</v>
      </c>
      <c r="E482" s="49">
        <f>IFERROR(X_Cell_FarmInputs_Seed_MaizeGrain, 0)</f>
        <v>600</v>
      </c>
      <c r="F482" s="49" cm="1">
        <f t="array" ref="F482">Common_InputFunctions.Utility_LookupValueInTableNumber(D482,Table_SourceData_Scope3_Other[Product],Table_SourceData_Scope3_Other[Emissions intensity])</f>
        <v>0.18099999999999999</v>
      </c>
      <c r="G482" s="142" cm="1">
        <f t="array" ref="G482">Scope3_Equations.VEERG_15_10_1_1__1_OtherPurchasedGoodsAndServices(E482,F482*10^-3)</f>
        <v>0.1086</v>
      </c>
      <c r="H482" s="64"/>
      <c r="I482" s="142" cm="1">
        <f t="array" ref="I482">Scope3_Equations.VEERG_15_10_1_1__1_OtherPurchasedGoodsAndServices(E482,IF(H482,H482,F482)*10^-3)</f>
        <v>0.1086</v>
      </c>
      <c r="J482" s="74"/>
      <c r="K482" s="47"/>
      <c r="L482" s="74"/>
    </row>
    <row r="483" spans="4:12" ht="20.100000000000001" customHeight="1" x14ac:dyDescent="0.2">
      <c r="D483" s="49" t="str">
        <f>'Input - Crop pasture farm input'!D25</f>
        <v>Oat grain (for seed)</v>
      </c>
      <c r="E483" s="49">
        <f>IFERROR(X_Cell_FarmInputs_Seed_OatGrain, 0)</f>
        <v>700</v>
      </c>
      <c r="F483" s="49" cm="1">
        <f t="array" ref="F483">Common_InputFunctions.Utility_LookupValueInTableNumber(D483,Table_SourceData_Scope3_Other[Product],Table_SourceData_Scope3_Other[Emissions intensity])</f>
        <v>0.27</v>
      </c>
      <c r="G483" s="142" cm="1">
        <f t="array" ref="G483">Scope3_Equations.VEERG_15_10_1_1__1_OtherPurchasedGoodsAndServices(E483,F483*10^-3)</f>
        <v>0.189</v>
      </c>
      <c r="H483" s="64">
        <v>0.2</v>
      </c>
      <c r="I483" s="142" cm="1">
        <f t="array" ref="I483">Scope3_Equations.VEERG_15_10_1_1__1_OtherPurchasedGoodsAndServices(E483,IF(H483,H483,F483)*10^-3)</f>
        <v>0.14000000000000001</v>
      </c>
      <c r="J483" s="74"/>
      <c r="K483" s="47"/>
      <c r="L483" s="74"/>
    </row>
    <row r="484" spans="4:12" ht="20.100000000000001" customHeight="1" x14ac:dyDescent="0.2">
      <c r="D484" s="49" t="str">
        <f>'Input - Crop pasture farm input'!D26</f>
        <v>Sorghum grain (for seed)</v>
      </c>
      <c r="E484" s="49">
        <f>IFERROR(X_Cell_FarmInputs_Seed_SorghumGrain, 0)</f>
        <v>800</v>
      </c>
      <c r="F484" s="49" cm="1">
        <f t="array" ref="F484">Common_InputFunctions.Utility_LookupValueInTableNumber(D484,Table_SourceData_Scope3_Other[Product],Table_SourceData_Scope3_Other[Emissions intensity])</f>
        <v>0.23200000000000001</v>
      </c>
      <c r="G484" s="142" cm="1">
        <f t="array" ref="G484">Scope3_Equations.VEERG_15_10_1_1__1_OtherPurchasedGoodsAndServices(E484,F484*10^-3)</f>
        <v>0.18560000000000001</v>
      </c>
      <c r="H484" s="64"/>
      <c r="I484" s="142" cm="1">
        <f t="array" ref="I484">Scope3_Equations.VEERG_15_10_1_1__1_OtherPurchasedGoodsAndServices(E484,IF(H484,H484,F484)*10^-3)</f>
        <v>0.18560000000000001</v>
      </c>
      <c r="J484" s="74"/>
      <c r="K484" s="47"/>
      <c r="L484" s="74"/>
    </row>
    <row r="485" spans="4:12" ht="20.100000000000001" customHeight="1" x14ac:dyDescent="0.2">
      <c r="D485" s="49" t="str">
        <f>'Input - Crop pasture farm input'!D27</f>
        <v>Wheat grain (for seed)</v>
      </c>
      <c r="E485" s="49">
        <f>IFERROR(X_Cell_FarmInputs_Seed_WheatGrain, 0)</f>
        <v>900</v>
      </c>
      <c r="F485" s="49" cm="1">
        <f t="array" ref="F485">Common_InputFunctions.Utility_LookupValueInTableNumber(D485,Table_SourceData_Scope3_Other[Product],Table_SourceData_Scope3_Other[Emissions intensity])</f>
        <v>0.26800000000000002</v>
      </c>
      <c r="G485" s="142" cm="1">
        <f t="array" ref="G485">Scope3_Equations.VEERG_15_10_1_1__1_OtherPurchasedGoodsAndServices(E485,F485*10^-3)</f>
        <v>0.2412</v>
      </c>
      <c r="H485" s="64">
        <v>0.2</v>
      </c>
      <c r="I485" s="142" cm="1">
        <f t="array" ref="I485">Scope3_Equations.VEERG_15_10_1_1__1_OtherPurchasedGoodsAndServices(E485,IF(H485,H485,F485)*10^-3)</f>
        <v>0.18000000000000002</v>
      </c>
      <c r="J485" s="74"/>
      <c r="K485" s="47"/>
      <c r="L485" s="74"/>
    </row>
    <row r="487" spans="4:12" ht="20.100000000000001" customHeight="1" x14ac:dyDescent="0.2">
      <c r="D487" s="170" t="s">
        <v>628</v>
      </c>
      <c r="E487" s="168">
        <f>SUM(G481:G485)</f>
        <v>0.84389999999999998</v>
      </c>
      <c r="F487" s="169" t="str">
        <f>$E$170</f>
        <v>t CO2e</v>
      </c>
    </row>
    <row r="488" spans="4:12" ht="20.100000000000001" customHeight="1" x14ac:dyDescent="0.2">
      <c r="D488" s="170" t="s">
        <v>630</v>
      </c>
      <c r="E488" s="168">
        <f>SUM(I481:I485)</f>
        <v>0.71420000000000006</v>
      </c>
      <c r="F488" s="169" t="str">
        <f>$E$170</f>
        <v>t CO2e</v>
      </c>
    </row>
    <row r="491" spans="4:12" ht="20.100000000000001" customHeight="1" x14ac:dyDescent="0.2">
      <c r="D491" s="135" t="s">
        <v>701</v>
      </c>
    </row>
    <row r="493" spans="4:12" ht="20.100000000000001" customHeight="1" x14ac:dyDescent="0.2">
      <c r="D493" s="46" t="s">
        <v>168</v>
      </c>
      <c r="E493" s="46" t="s">
        <v>700</v>
      </c>
      <c r="F493" s="57" t="s">
        <v>612</v>
      </c>
      <c r="G493" s="57" t="s">
        <v>628</v>
      </c>
      <c r="H493" s="46" t="s">
        <v>613</v>
      </c>
      <c r="I493" s="57" t="s">
        <v>630</v>
      </c>
      <c r="J493" s="46" t="s">
        <v>624</v>
      </c>
      <c r="K493" s="46" t="s">
        <v>625</v>
      </c>
      <c r="L493" s="46" t="s">
        <v>626</v>
      </c>
    </row>
    <row r="494" spans="4:12" ht="20.100000000000001" customHeight="1" x14ac:dyDescent="0.2">
      <c r="D494" s="49" t="str">
        <f>'Input - Livestock farm Inputs'!D47</f>
        <v>Animal ear tags (large)</v>
      </c>
      <c r="E494" s="49">
        <f>IFERROR(X_Cell_FarmInputs_Misc_AnimalEarTagsLarge, 0)</f>
        <v>100</v>
      </c>
      <c r="F494" s="49" cm="1">
        <f t="array" ref="F494">Common_InputFunctions.Utility_LookupValueInTableNumber(D494,Table_SourceData_Scope3_Other[Product],Table_SourceData_Scope3_Other[Emissions intensity])</f>
        <v>4.24E-2</v>
      </c>
      <c r="G494" s="142" cm="1">
        <f t="array" ref="G494">Scope3_Equations.VEERG_15_10_1_1__1_OtherPurchasedGoodsAndServices(E494,F494*10^-3)</f>
        <v>4.2399999999999998E-3</v>
      </c>
      <c r="H494" s="64">
        <v>0.2</v>
      </c>
      <c r="I494" s="142" cm="1">
        <f t="array" ref="I494">Scope3_Equations.VEERG_15_10_1_1__1_OtherPurchasedGoodsAndServices(E494,IF(H494,H494,F494)*10^-3)</f>
        <v>0.02</v>
      </c>
      <c r="J494" s="74"/>
      <c r="K494" s="47"/>
      <c r="L494" s="74"/>
    </row>
    <row r="495" spans="4:12" ht="20.100000000000001" customHeight="1" x14ac:dyDescent="0.2">
      <c r="D495" s="49" t="str">
        <f>'Input - Livestock farm Inputs'!D48</f>
        <v>Animal ear tags (small)</v>
      </c>
      <c r="E495" s="49">
        <f>IFERROR(X_Cell_FarmInputs_Misc_AnimalEarTagsSmall, 0)</f>
        <v>200</v>
      </c>
      <c r="F495" s="49" cm="1">
        <f t="array" ref="F495">Common_InputFunctions.Utility_LookupValueInTableNumber(D495,Table_SourceData_Scope3_Other[Product],Table_SourceData_Scope3_Other[Emissions intensity])</f>
        <v>2.93E-2</v>
      </c>
      <c r="G495" s="142" cm="1">
        <f t="array" ref="G495">Scope3_Equations.VEERG_15_10_1_1__1_OtherPurchasedGoodsAndServices(E495,F495*10^-3)</f>
        <v>5.8599999999999998E-3</v>
      </c>
      <c r="H495" s="64"/>
      <c r="I495" s="142" cm="1">
        <f t="array" ref="I495">Scope3_Equations.VEERG_15_10_1_1__1_OtherPurchasedGoodsAndServices(E495,IF(H495,H495,F495)*10^-3)</f>
        <v>5.8599999999999998E-3</v>
      </c>
      <c r="J495" s="74"/>
      <c r="K495" s="47"/>
      <c r="L495" s="74"/>
    </row>
    <row r="496" spans="4:12" ht="20.100000000000001" customHeight="1" x14ac:dyDescent="0.2">
      <c r="D496" s="49" t="str">
        <f>'Input - Hort farm Inputs'!D5</f>
        <v>Nylon netting</v>
      </c>
      <c r="E496" s="49">
        <f>IFERROR(X_Cell_FarmInputs_Misc_NylonNetting, 0)</f>
        <v>300</v>
      </c>
      <c r="F496" s="49" cm="1">
        <f t="array" ref="F496">Common_InputFunctions.Utility_LookupValueInTableNumber(D496,Table_SourceData_Scope3_Other[Product],Table_SourceData_Scope3_Other[Emissions intensity])</f>
        <v>9.81</v>
      </c>
      <c r="G496" s="142" cm="1">
        <f t="array" ref="G496">Scope3_Equations.VEERG_15_10_1_1__1_OtherPurchasedGoodsAndServices(E496,F496*10^-3)</f>
        <v>2.9430000000000005</v>
      </c>
      <c r="H496" s="64">
        <v>0.2</v>
      </c>
      <c r="I496" s="142" cm="1">
        <f t="array" ref="I496">Scope3_Equations.VEERG_15_10_1_1__1_OtherPurchasedGoodsAndServices(E496,IF(H496,H496,F496)*10^-3)</f>
        <v>6.0000000000000005E-2</v>
      </c>
      <c r="J496" s="74"/>
      <c r="K496" s="47"/>
      <c r="L496" s="74"/>
    </row>
    <row r="498" spans="4:14" ht="20.100000000000001" customHeight="1" x14ac:dyDescent="0.2">
      <c r="D498" s="170" t="s">
        <v>628</v>
      </c>
      <c r="E498" s="168">
        <f>SUM(G494:G496)</f>
        <v>2.9531000000000005</v>
      </c>
      <c r="F498" s="169" t="str">
        <f>$E$170</f>
        <v>t CO2e</v>
      </c>
    </row>
    <row r="499" spans="4:14" ht="20.100000000000001" customHeight="1" x14ac:dyDescent="0.2">
      <c r="D499" s="170" t="s">
        <v>630</v>
      </c>
      <c r="E499" s="168">
        <f>SUM(I494:I496)</f>
        <v>8.5860000000000006E-2</v>
      </c>
      <c r="F499" s="169" t="str">
        <f>$E$170</f>
        <v>t CO2e</v>
      </c>
    </row>
    <row r="502" spans="4:14" ht="20.100000000000001" customHeight="1" x14ac:dyDescent="0.2">
      <c r="D502" s="135" t="s">
        <v>702</v>
      </c>
    </row>
    <row r="504" spans="4:14" ht="20.100000000000001" customHeight="1" x14ac:dyDescent="0.2">
      <c r="D504" s="46" t="s">
        <v>168</v>
      </c>
      <c r="E504" s="46" t="s">
        <v>594</v>
      </c>
      <c r="F504" s="46" t="s">
        <v>126</v>
      </c>
      <c r="G504" s="57" t="s">
        <v>411</v>
      </c>
      <c r="H504" s="57" t="s">
        <v>349</v>
      </c>
      <c r="I504" s="46" t="s">
        <v>412</v>
      </c>
      <c r="J504" s="46" t="s">
        <v>697</v>
      </c>
      <c r="K504" s="57" t="s">
        <v>350</v>
      </c>
      <c r="L504" s="46" t="s">
        <v>624</v>
      </c>
      <c r="M504" s="46" t="s">
        <v>625</v>
      </c>
      <c r="N504" s="46" t="s">
        <v>626</v>
      </c>
    </row>
    <row r="505" spans="4:14" ht="20.100000000000001" customHeight="1" x14ac:dyDescent="0.2">
      <c r="D505" s="49" t="str" cm="1">
        <f t="array" ref="D505:D514">IFERROR(INDEX(Table_Input_UncategorisedProductsServices[Product / service name], _xlfn.SEQUENCE(10)), "")</f>
        <v>Something</v>
      </c>
      <c r="E505" s="49" cm="1">
        <f t="array" ref="E505:E514">IFERROR(INDEX(Table_Input_UncategorisedProductsServices[Amount], _xlfn.SEQUENCE(10)), "")</f>
        <v>1000</v>
      </c>
      <c r="F505" s="49" t="str" cm="1">
        <f t="array" ref="F505:F514">IFERROR(INDEX(Table_Input_UncategorisedProductsServices[Amount unit], _xlfn.SEQUENCE(10)), "")</f>
        <v>kg</v>
      </c>
      <c r="G505" s="49" t="s">
        <v>817</v>
      </c>
      <c r="H505" s="49" t="s">
        <v>817</v>
      </c>
      <c r="I505" s="64">
        <v>4</v>
      </c>
      <c r="J505" s="47" t="s">
        <v>698</v>
      </c>
      <c r="K505" s="142" cm="1">
        <f t="array" ref="K505">Scope3_Equations.VEERG_15_10_1_1__1_OtherPurchasedGoodsAndServices(E505,IF(J505="kg / amount unit", I505*10^-3, I505))</f>
        <v>4000</v>
      </c>
      <c r="L505" s="74"/>
      <c r="M505" s="47"/>
      <c r="N505" s="74"/>
    </row>
    <row r="506" spans="4:14" ht="20.100000000000001" customHeight="1" x14ac:dyDescent="0.2">
      <c r="D506" s="49">
        <v>0</v>
      </c>
      <c r="E506" s="49">
        <v>0</v>
      </c>
      <c r="F506" s="49">
        <v>0</v>
      </c>
      <c r="G506" s="49" t="s">
        <v>817</v>
      </c>
      <c r="H506" s="49" t="s">
        <v>817</v>
      </c>
      <c r="I506" s="64">
        <v>2</v>
      </c>
      <c r="J506" s="47" t="s">
        <v>698</v>
      </c>
      <c r="K506" s="142" cm="1">
        <f t="array" ref="K506">Scope3_Equations.VEERG_15_10_1_1__1_OtherPurchasedGoodsAndServices(E506,IF(J506="kg / amount unit", I506*10^-3, I506))</f>
        <v>0</v>
      </c>
      <c r="L506" s="74"/>
      <c r="M506" s="47"/>
      <c r="N506" s="74"/>
    </row>
    <row r="507" spans="4:14" ht="20.100000000000001" customHeight="1" x14ac:dyDescent="0.2">
      <c r="D507" s="49">
        <v>0</v>
      </c>
      <c r="E507" s="49">
        <v>0</v>
      </c>
      <c r="F507" s="49">
        <v>0</v>
      </c>
      <c r="G507" s="49" t="s">
        <v>817</v>
      </c>
      <c r="H507" s="49" t="s">
        <v>817</v>
      </c>
      <c r="I507" s="64"/>
      <c r="J507" s="47"/>
      <c r="K507" s="142" cm="1">
        <f t="array" ref="K507">Scope3_Equations.VEERG_15_10_1_1__1_OtherPurchasedGoodsAndServices(E507,IF(J507="kg / amount unit", I507*10^-3, I507))</f>
        <v>0</v>
      </c>
      <c r="L507" s="74"/>
      <c r="M507" s="47"/>
      <c r="N507" s="74"/>
    </row>
    <row r="508" spans="4:14" ht="20.100000000000001" customHeight="1" x14ac:dyDescent="0.2">
      <c r="D508" s="49">
        <v>0</v>
      </c>
      <c r="E508" s="49">
        <v>0</v>
      </c>
      <c r="F508" s="49">
        <v>0</v>
      </c>
      <c r="G508" s="49" t="s">
        <v>817</v>
      </c>
      <c r="H508" s="49" t="s">
        <v>817</v>
      </c>
      <c r="I508" s="64"/>
      <c r="J508" s="47"/>
      <c r="K508" s="142" cm="1">
        <f t="array" ref="K508">Scope3_Equations.VEERG_15_10_1_1__1_OtherPurchasedGoodsAndServices(E508,IF(J508="kg / amount unit", I508*10^-3, I508))</f>
        <v>0</v>
      </c>
      <c r="L508" s="74"/>
      <c r="M508" s="47"/>
      <c r="N508" s="74"/>
    </row>
    <row r="509" spans="4:14" ht="20.100000000000001" customHeight="1" x14ac:dyDescent="0.2">
      <c r="D509" s="49">
        <v>0</v>
      </c>
      <c r="E509" s="49">
        <v>0</v>
      </c>
      <c r="F509" s="49">
        <v>0</v>
      </c>
      <c r="G509" s="49" t="s">
        <v>817</v>
      </c>
      <c r="H509" s="49" t="s">
        <v>817</v>
      </c>
      <c r="I509" s="64"/>
      <c r="J509" s="47"/>
      <c r="K509" s="142" cm="1">
        <f t="array" ref="K509">Scope3_Equations.VEERG_15_10_1_1__1_OtherPurchasedGoodsAndServices(E509,IF(J509="kg / amount unit", I509*10^-3, I509))</f>
        <v>0</v>
      </c>
      <c r="L509" s="74"/>
      <c r="M509" s="47"/>
      <c r="N509" s="74"/>
    </row>
    <row r="510" spans="4:14" ht="20.100000000000001" customHeight="1" x14ac:dyDescent="0.2">
      <c r="D510" s="49">
        <v>0</v>
      </c>
      <c r="E510" s="49">
        <v>0</v>
      </c>
      <c r="F510" s="49">
        <v>0</v>
      </c>
      <c r="G510" s="49" t="s">
        <v>817</v>
      </c>
      <c r="H510" s="49" t="s">
        <v>817</v>
      </c>
      <c r="I510" s="64"/>
      <c r="J510" s="47"/>
      <c r="K510" s="142" cm="1">
        <f t="array" ref="K510">Scope3_Equations.VEERG_15_10_1_1__1_OtherPurchasedGoodsAndServices(E510,IF(J510="kg / amount unit", I510*10^-3, I510))</f>
        <v>0</v>
      </c>
      <c r="L510" s="74"/>
      <c r="M510" s="47"/>
      <c r="N510" s="74"/>
    </row>
    <row r="511" spans="4:14" ht="20.100000000000001" customHeight="1" x14ac:dyDescent="0.2">
      <c r="D511" s="49">
        <v>0</v>
      </c>
      <c r="E511" s="49">
        <v>0</v>
      </c>
      <c r="F511" s="49">
        <v>0</v>
      </c>
      <c r="G511" s="49" t="s">
        <v>817</v>
      </c>
      <c r="H511" s="49" t="s">
        <v>817</v>
      </c>
      <c r="I511" s="64"/>
      <c r="J511" s="47"/>
      <c r="K511" s="142" cm="1">
        <f t="array" ref="K511">Scope3_Equations.VEERG_15_10_1_1__1_OtherPurchasedGoodsAndServices(E511,IF(J511="kg / amount unit", I511*10^-3, I511))</f>
        <v>0</v>
      </c>
      <c r="L511" s="74"/>
      <c r="M511" s="47"/>
      <c r="N511" s="74"/>
    </row>
    <row r="512" spans="4:14" ht="20.100000000000001" customHeight="1" x14ac:dyDescent="0.2">
      <c r="D512" s="49">
        <v>0</v>
      </c>
      <c r="E512" s="49">
        <v>0</v>
      </c>
      <c r="F512" s="49">
        <v>0</v>
      </c>
      <c r="G512" s="49" t="s">
        <v>817</v>
      </c>
      <c r="H512" s="49" t="s">
        <v>817</v>
      </c>
      <c r="I512" s="64"/>
      <c r="J512" s="47"/>
      <c r="K512" s="142" cm="1">
        <f t="array" ref="K512">Scope3_Equations.VEERG_15_10_1_1__1_OtherPurchasedGoodsAndServices(E512,IF(J512="kg / amount unit", I512*10^-3, I512))</f>
        <v>0</v>
      </c>
      <c r="L512" s="74"/>
      <c r="M512" s="47"/>
      <c r="N512" s="74"/>
    </row>
    <row r="513" spans="3:41" ht="20.100000000000001" customHeight="1" x14ac:dyDescent="0.2">
      <c r="D513" s="49">
        <v>0</v>
      </c>
      <c r="E513" s="49">
        <v>0</v>
      </c>
      <c r="F513" s="49">
        <v>0</v>
      </c>
      <c r="G513" s="49" t="s">
        <v>817</v>
      </c>
      <c r="H513" s="49" t="s">
        <v>817</v>
      </c>
      <c r="I513" s="64"/>
      <c r="J513" s="47"/>
      <c r="K513" s="142" cm="1">
        <f t="array" ref="K513">Scope3_Equations.VEERG_15_10_1_1__1_OtherPurchasedGoodsAndServices(E513,IF(J513="kg / amount unit", I513*10^-3, I513))</f>
        <v>0</v>
      </c>
      <c r="L513" s="74"/>
      <c r="M513" s="47"/>
      <c r="N513" s="74"/>
    </row>
    <row r="514" spans="3:41" ht="20.100000000000001" customHeight="1" x14ac:dyDescent="0.2">
      <c r="D514" s="49">
        <v>0</v>
      </c>
      <c r="E514" s="49">
        <v>0</v>
      </c>
      <c r="F514" s="49">
        <v>0</v>
      </c>
      <c r="G514" s="49" t="s">
        <v>817</v>
      </c>
      <c r="H514" s="49" t="s">
        <v>817</v>
      </c>
      <c r="I514" s="64"/>
      <c r="J514" s="47"/>
      <c r="K514" s="142" cm="1">
        <f t="array" ref="K514">Scope3_Equations.VEERG_15_10_1_1__1_OtherPurchasedGoodsAndServices(E514,IF(J514="kg / amount unit", I514*10^-3, I514))</f>
        <v>0</v>
      </c>
      <c r="L514" s="74"/>
      <c r="M514" s="47"/>
      <c r="N514" s="74"/>
    </row>
    <row r="516" spans="3:41" ht="20.100000000000001" customHeight="1" x14ac:dyDescent="0.2">
      <c r="D516" s="170" t="s">
        <v>628</v>
      </c>
      <c r="E516" s="168" t="s">
        <v>817</v>
      </c>
      <c r="F516" s="169" t="str">
        <f>$E$170</f>
        <v>t CO2e</v>
      </c>
    </row>
    <row r="517" spans="3:41" ht="20.100000000000001" customHeight="1" x14ac:dyDescent="0.2">
      <c r="D517" s="170" t="s">
        <v>630</v>
      </c>
      <c r="E517" s="168">
        <f>SUM(K505:K514)</f>
        <v>4000</v>
      </c>
      <c r="F517" s="169" t="str">
        <f>$E$170</f>
        <v>t CO2e</v>
      </c>
    </row>
    <row r="520" spans="3:41" ht="20.100000000000001" customHeight="1" x14ac:dyDescent="0.2">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c r="AA520" s="89"/>
      <c r="AB520" s="89"/>
      <c r="AC520" s="89"/>
      <c r="AD520" s="89"/>
      <c r="AE520" s="89"/>
      <c r="AF520" s="89"/>
      <c r="AG520" s="89"/>
      <c r="AH520" s="89"/>
      <c r="AI520" s="89"/>
      <c r="AJ520" s="89"/>
      <c r="AK520" s="89"/>
      <c r="AL520" s="89"/>
      <c r="AM520" s="89"/>
      <c r="AN520" s="89"/>
      <c r="AO520" s="89"/>
    </row>
    <row r="521" spans="3:41" ht="20.100000000000001" customHeight="1" x14ac:dyDescent="0.2">
      <c r="D521" s="9" t="str" cm="1">
        <f t="array" ref="D521">Scope3_Equations.VEERG_15_11_1_1__1_TotalUpstreamEmissionsFromFuel_Title()</f>
        <v>Total upstream emissions from scope 1 fuel consumption</v>
      </c>
    </row>
    <row r="522" spans="3:41" ht="20.100000000000001" customHeight="1" x14ac:dyDescent="0.2">
      <c r="D522" s="11" t="str" cm="1">
        <f t="array" ref="D522">Scope3_Equations.VEERG_15_11_1_1__1_TotalUpstreamEmissionsFromFuel_Source()</f>
        <v>VEERG 2026: 15.11.1.1, Equation (1)</v>
      </c>
    </row>
    <row r="523" spans="3:41" ht="20.100000000000001" customHeight="1" x14ac:dyDescent="0.2">
      <c r="D523" s="163" t="s">
        <v>621</v>
      </c>
      <c r="E523" s="163" t="str">
        <f ca="1">Common_InputFunctions.Utility_DisplayFunctionName(VEERG_15_11_1_1__1_TotalUpstreamEmissionsFromFuel_Result)</f>
        <v>=Scope3_Equations.VEERG_15_11_1_1__1_TotalUpstreamEmissionsFromFuel</v>
      </c>
    </row>
    <row r="527" spans="3:41" ht="20.100000000000001" customHeight="1" x14ac:dyDescent="0.2">
      <c r="D527" s="27" t="s">
        <v>622</v>
      </c>
      <c r="E527" s="8" t="str" cm="1">
        <f t="array" ref="E527">Scope3_Equations.VEERG_15_11_1_1__1_TotalUpstreamEmissionsFromFuel_Variable()</f>
        <v>E</v>
      </c>
    </row>
    <row r="528" spans="3:41" ht="20.100000000000001" customHeight="1" x14ac:dyDescent="0.2">
      <c r="D528" s="27" t="s">
        <v>97</v>
      </c>
      <c r="E528" s="13" t="str" cm="1">
        <f t="array" ref="E528">Scope3_Equations.VEERG_15_11_1_1__1_TotalUpstreamEmissionsFromFuel_Unit()</f>
        <v>t CO2e</v>
      </c>
    </row>
    <row r="530" spans="3:41" ht="20.100000000000001" customHeight="1" x14ac:dyDescent="0.2">
      <c r="D530" s="158" t="str" cm="1">
        <f t="array" ref="D530:E531">_xlfn.CHOOSECOLS(Scope3_Equations.VEERG_15_11_1_1__1_TotalUpstreamEmissionsFromFuel_Arguments(),1,2)</f>
        <v>E_WTTtransq</v>
      </c>
      <c r="E530" s="162" t="str">
        <v>upstream emissions from scope 1 transport fuel use</v>
      </c>
      <c r="F530" s="157"/>
      <c r="G530" s="158" t="str" cm="1">
        <f t="array" ref="G530:H531">_xlfn.CHOOSECOLS(Scope3_Equations.VEERG_15_11_1_1__1_TotalUpstreamEmissionsFromFuel_Arguments(),3,4)</f>
        <v>t CO2e</v>
      </c>
      <c r="H530" s="160" t="str">
        <v>Calculated by 15.11.1.1 (2)</v>
      </c>
      <c r="I530" s="158">
        <f>VEERG_8_1_1_1__1_FuelCombustionTransport_Result</f>
        <v>0.13355600000000001</v>
      </c>
    </row>
    <row r="531" spans="3:41" ht="20.100000000000001" customHeight="1" x14ac:dyDescent="0.2">
      <c r="D531" s="158" t="str">
        <v>E_WTTSCq</v>
      </c>
      <c r="E531" s="162" t="str">
        <v>upstream emissions from scope 1 stationary combustion fuel use</v>
      </c>
      <c r="F531" s="157"/>
      <c r="G531" s="158" t="str">
        <v>t CO2e</v>
      </c>
      <c r="H531" s="160" t="str">
        <v>Calculated by 15.11.1.1 (3)</v>
      </c>
      <c r="I531" s="158">
        <f>VEERG_8_2_1_1__1_FuelCombustionStationary_Result</f>
        <v>2.6200000000000004E-3</v>
      </c>
    </row>
    <row r="533" spans="3:41" ht="20.100000000000001" customHeight="1" x14ac:dyDescent="0.2">
      <c r="D533" s="170" t="s">
        <v>736</v>
      </c>
      <c r="E533" s="168" cm="1">
        <f t="array" ref="E533">Scope3_Equations.VEERG_15_11_1_1__1_TotalUpstreamEmissionsFromFuel(I530,I531)</f>
        <v>0.13617600000000002</v>
      </c>
      <c r="F533" s="169" t="str">
        <f>$E$170</f>
        <v>t CO2e</v>
      </c>
    </row>
    <row r="535" spans="3:41" ht="20.100000000000001" customHeight="1" x14ac:dyDescent="0.2">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c r="AA535" s="89"/>
      <c r="AB535" s="89"/>
      <c r="AC535" s="89"/>
      <c r="AD535" s="89"/>
      <c r="AE535" s="89"/>
      <c r="AF535" s="89"/>
      <c r="AG535" s="89"/>
      <c r="AH535" s="89"/>
      <c r="AI535" s="89"/>
      <c r="AJ535" s="89"/>
      <c r="AK535" s="89"/>
      <c r="AL535" s="89"/>
      <c r="AM535" s="89"/>
      <c r="AN535" s="89"/>
      <c r="AO535" s="89"/>
    </row>
    <row r="536" spans="3:41" ht="20.100000000000001" customHeight="1" x14ac:dyDescent="0.2">
      <c r="D536" s="9" t="str" cm="1">
        <f t="array" ref="D536">Scope3_Equations.VEERG_15_12_1_1__1_UpstreamPurchasedElectricityLocationBased_Title()</f>
        <v>Scope 3 emissions from purchased electricity location based</v>
      </c>
    </row>
    <row r="537" spans="3:41" ht="20.100000000000001" customHeight="1" x14ac:dyDescent="0.2">
      <c r="D537" s="11" t="str" cm="1">
        <f t="array" ref="D537">Scope3_Equations.VEERG_15_12_1_1__1_UpstreamPurchasedElectricityLocationBased_Source()</f>
        <v>VEERG 2026: 15.12.1.1, Equation (1)</v>
      </c>
    </row>
    <row r="538" spans="3:41" ht="20.100000000000001" customHeight="1" x14ac:dyDescent="0.2">
      <c r="D538" s="163" t="s">
        <v>621</v>
      </c>
      <c r="E538" s="163" t="str">
        <f ca="1">Common_InputFunctions.Utility_DisplayFunctionName(VEERG_15_12_1_1__1_UpstreamPurchasedElectricityLocationBased_Result)</f>
        <v>=Scope3_Equations.VEERG_15_12_1_1__1_UpstreamPurchasedElectricityLocationBased</v>
      </c>
    </row>
    <row r="541" spans="3:41" ht="20.100000000000001" customHeight="1" x14ac:dyDescent="0.2">
      <c r="D541" s="27" t="s">
        <v>622</v>
      </c>
      <c r="E541" s="8" t="str" cm="1">
        <f t="array" ref="E541">Scope3_Equations.VEERG_15_12_1_1__1_UpstreamPurchasedElectricityLocationBased_Variable()</f>
        <v>E_3elec</v>
      </c>
    </row>
    <row r="542" spans="3:41" ht="20.100000000000001" customHeight="1" x14ac:dyDescent="0.2">
      <c r="D542" s="27" t="s">
        <v>97</v>
      </c>
      <c r="E542" s="8" t="str" cm="1">
        <f t="array" ref="E542">Scope3_Equations.VEERG_15_12_1_1__1_UpstreamPurchasedElectricityLocationBased_Unit()</f>
        <v>t CO2e</v>
      </c>
    </row>
    <row r="544" spans="3:41" ht="20.100000000000001" customHeight="1" x14ac:dyDescent="0.2">
      <c r="D544" s="158" t="str" cm="1">
        <f t="array" ref="D544:E546">_xlfn.CHOOSECOLS(Scope3_Equations.VEERG_15_12_1_1__1_UpstreamPurchasedElectricityLocationBased_Arguments(),1,2)</f>
        <v>Q_elec</v>
      </c>
      <c r="E544" s="158" t="str">
        <v>amount of electricity purchased from the grid</v>
      </c>
      <c r="F544" s="158"/>
      <c r="G544" s="158" t="str" cm="1">
        <f t="array" ref="G544:H546">_xlfn.CHOOSECOLS(Scope3_Equations.VEERG_15_12_1_1__1_UpstreamPurchasedElectricityLocationBased_Arguments(),3,4)</f>
        <v>kWh</v>
      </c>
      <c r="H544" s="159" t="str">
        <v>Input</v>
      </c>
      <c r="I544" s="162">
        <f>X_Cell_Electricity_Location_AmountPurchasedInkWh</f>
        <v>500</v>
      </c>
      <c r="J544" s="157"/>
    </row>
    <row r="545" spans="3:41" ht="20.100000000000001" customHeight="1" x14ac:dyDescent="0.2">
      <c r="D545" s="158" t="str">
        <v>EF_3elec</v>
      </c>
      <c r="E545" s="158" t="str">
        <v>scope 3 emission factor for purchased electricity</v>
      </c>
      <c r="F545" s="158"/>
      <c r="G545" s="158" t="str">
        <v>kg CO2e/kWh</v>
      </c>
      <c r="H545" s="160" t="str">
        <v>Constant</v>
      </c>
      <c r="I545" s="162" cm="1">
        <f t="array" ref="I545">Common_InputFunctions.Utility_LookupValueInTableNumber(I546,Table_SourceData_ElectricityEFs[State, Territory or grid description],Table_SourceData_ElectricityEFs[Scope 3 Emission Factors (kg CO2-e/kWh)])</f>
        <v>0.06</v>
      </c>
      <c r="J545" s="157"/>
    </row>
    <row r="546" spans="3:41" ht="20.100000000000001" customHeight="1" x14ac:dyDescent="0.2">
      <c r="D546" s="158" t="str">
        <v>g</v>
      </c>
      <c r="E546" s="162" t="str">
        <v>grid electricity was purchased from</v>
      </c>
      <c r="F546" s="157"/>
      <c r="G546" s="158" t="str">
        <v/>
      </c>
      <c r="H546" s="159" t="str">
        <v>Input</v>
      </c>
      <c r="I546" s="162" t="str">
        <f>X_Cell_Electricity_Location_GridElectricityPurchasedFrom</f>
        <v>Western Australia - South West Interconnected System (SWIS)</v>
      </c>
      <c r="J546" s="157"/>
    </row>
    <row r="548" spans="3:41" ht="20.100000000000001" customHeight="1" x14ac:dyDescent="0.2">
      <c r="D548" s="170" t="s">
        <v>737</v>
      </c>
      <c r="E548" s="168" cm="1">
        <f t="array" ref="E548">Scope3_Equations.VEERG_15_12_1_1__1_UpstreamPurchasedElectricityLocationBased(I544,I545)</f>
        <v>0.03</v>
      </c>
      <c r="F548" s="169" t="str">
        <f>$E$170</f>
        <v>t CO2e</v>
      </c>
    </row>
    <row r="551" spans="3:41" ht="20.100000000000001" customHeight="1" x14ac:dyDescent="0.2">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c r="AA551" s="89"/>
      <c r="AB551" s="89"/>
      <c r="AC551" s="89"/>
      <c r="AD551" s="89"/>
      <c r="AE551" s="89"/>
      <c r="AF551" s="89"/>
      <c r="AG551" s="89"/>
      <c r="AH551" s="89"/>
      <c r="AI551" s="89"/>
      <c r="AJ551" s="89"/>
      <c r="AK551" s="89"/>
      <c r="AL551" s="89"/>
      <c r="AM551" s="89"/>
      <c r="AN551" s="89"/>
      <c r="AO551" s="89"/>
    </row>
    <row r="552" spans="3:41" ht="20.100000000000001" customHeight="1" x14ac:dyDescent="0.2">
      <c r="D552" s="9" t="str" cm="1">
        <f t="array" ref="D552">Scope3_Equations.VEERG_15_12_1_2__1_UpstreamPurchasedElectricityMarketBased_Title()</f>
        <v>Scope 3 emissions from purchased electricity market based</v>
      </c>
    </row>
    <row r="553" spans="3:41" ht="20.100000000000001" customHeight="1" x14ac:dyDescent="0.2">
      <c r="D553" s="11" t="str" cm="1">
        <f t="array" ref="D553">Scope3_Equations.VEERG_15_12_1_2__1_UpstreamPurchasedElectricityMarketBased_Source()</f>
        <v>VEERG 2026: 15.12.1.2, Equation (1)</v>
      </c>
    </row>
    <row r="554" spans="3:41" ht="20.100000000000001" customHeight="1" x14ac:dyDescent="0.2">
      <c r="D554" s="12" t="str" cm="1">
        <f t="array" ref="D554">Scope3_Equations.VEERG_15_12_1_2__1_UpstreamPurchasedElectricityMarketBased_Variation()</f>
        <v>VARIATION ON SOURCE: In order to convert megawatt hours to kilowatt hours, the REC_surrendered and REC_onsite variables are multiplied by 10^3 instead of 10^-3.</v>
      </c>
    </row>
    <row r="555" spans="3:41" ht="20.100000000000001" customHeight="1" x14ac:dyDescent="0.2">
      <c r="D555" s="163" t="s">
        <v>621</v>
      </c>
      <c r="E555" s="163" t="str">
        <f ca="1">Common_InputFunctions.Utility_DisplayFunctionName(VEERG_15_12_1_2__1_UpstreamPurchasedElectricityMarketBasedVariation_Result)</f>
        <v>=Scope3_Equations.VEERG_15_12_1_2__1_UpstreamPurchasedElectricityMarketBasedVariation</v>
      </c>
    </row>
    <row r="559" spans="3:41" ht="20.100000000000001" customHeight="1" x14ac:dyDescent="0.2">
      <c r="D559" s="27" t="s">
        <v>622</v>
      </c>
      <c r="E559" s="8" t="str" cm="1">
        <f t="array" ref="E559">Scope3_Equations.VEERG_15_12_1_2__1_UpstreamPurchasedElectricityMarketBased_Variable()</f>
        <v>E_3elec</v>
      </c>
    </row>
    <row r="560" spans="3:41" ht="20.100000000000001" customHeight="1" x14ac:dyDescent="0.2">
      <c r="D560" s="27" t="s">
        <v>97</v>
      </c>
      <c r="E560" s="8" t="str" cm="1">
        <f t="array" ref="E560">Scope3_Equations.VEERG_15_12_1_2__1_UpstreamPurchasedElectricityMarketBased_Unit()</f>
        <v>t CO2e</v>
      </c>
    </row>
    <row r="562" spans="3:41" ht="20.100000000000001" customHeight="1" x14ac:dyDescent="0.2">
      <c r="D562" s="158" t="str" cm="1">
        <f t="array" ref="D562:E568">_xlfn.CHOOSECOLS(Scope3_Equations.VEERG_15_12_1_2__1_UpstreamPurchasedElectricityMarketBased_Arguments(),1,2)</f>
        <v>Q_elec</v>
      </c>
      <c r="E562" s="162" t="str">
        <v>amount of electricity purchased from the grid</v>
      </c>
      <c r="F562" s="157"/>
      <c r="G562" s="158" t="str" cm="1">
        <f t="array" ref="G562:H568">_xlfn.CHOOSECOLS(Scope3_Equations.VEERG_15_12_1_2__1_UpstreamPurchasedElectricityMarketBased_Arguments(),3,4)</f>
        <v>kWh</v>
      </c>
      <c r="H562" s="159" t="str">
        <v>Input</v>
      </c>
      <c r="I562" s="195">
        <f>X_Cell_Electricity_Market_AmountPurchasedExcludingGreenPower</f>
        <v>30000</v>
      </c>
    </row>
    <row r="563" spans="3:41" ht="20.100000000000001" customHeight="1" x14ac:dyDescent="0.2">
      <c r="D563" s="158" t="str">
        <v>RPP</v>
      </c>
      <c r="E563" s="162" t="str">
        <v>renewable power percentage under LRET for the applicable period</v>
      </c>
      <c r="F563" s="157"/>
      <c r="G563" s="158" t="str">
        <v>fraction</v>
      </c>
      <c r="H563" s="159" t="str">
        <v>Input</v>
      </c>
      <c r="I563" s="194">
        <f>X_Cell_Electricity_Market_RenewablePowerPercentage</f>
        <v>0.1</v>
      </c>
    </row>
    <row r="564" spans="3:41" ht="20.100000000000001" customHeight="1" x14ac:dyDescent="0.2">
      <c r="D564" s="158" t="str">
        <v>JRPP</v>
      </c>
      <c r="E564" s="162" t="str">
        <v>jurisdictional renewable power percentage for the applicable period</v>
      </c>
      <c r="F564" s="157"/>
      <c r="G564" s="158" t="str">
        <v>fraction</v>
      </c>
      <c r="H564" s="159" t="str">
        <v>Input</v>
      </c>
      <c r="I564" s="194">
        <f>X_Cell_Electricity_Market_JurisdictionalRenewablePowerPercentage</f>
        <v>0.1</v>
      </c>
    </row>
    <row r="565" spans="3:41" ht="20.100000000000001" customHeight="1" x14ac:dyDescent="0.2">
      <c r="D565" s="158" t="str">
        <v>REC_surrendered</v>
      </c>
      <c r="E565" s="162" t="str">
        <v>eligible renewable energy certificates voluntarily surrendered</v>
      </c>
      <c r="F565" s="157"/>
      <c r="G565" s="158" t="str">
        <v>MWh</v>
      </c>
      <c r="H565" s="159" t="str">
        <v>Input</v>
      </c>
      <c r="I565" s="158">
        <f>(X_Cell_Electricity_Market_AmountPurchasedGreenPower*10^-3)+X_Cell_TotalElegibleVoluntarilySurrenderedRECs</f>
        <v>20</v>
      </c>
    </row>
    <row r="566" spans="3:41" ht="20.100000000000001" customHeight="1" x14ac:dyDescent="0.2">
      <c r="D566" s="158" t="str">
        <v>REC_onsite</v>
      </c>
      <c r="E566" s="162" t="str">
        <v>eligible renewable energy certificates issued for onsite generated electricity</v>
      </c>
      <c r="F566" s="157"/>
      <c r="G566" s="158" t="str">
        <v>MWh</v>
      </c>
      <c r="H566" s="159" t="str">
        <v>Input</v>
      </c>
      <c r="I566" s="158">
        <f>X_Cell_TotalElegibleRECsForElectricityProducedOnSite</f>
        <v>11</v>
      </c>
    </row>
    <row r="567" spans="3:41" ht="20.100000000000001" customHeight="1" x14ac:dyDescent="0.2">
      <c r="D567" s="158" t="str">
        <v>EF_RMF3elec</v>
      </c>
      <c r="E567" s="162" t="str">
        <v>scope 3 residual mix emission factor for electricity</v>
      </c>
      <c r="F567" s="157"/>
      <c r="G567" s="158" t="str">
        <v>kg CO2e/kWh</v>
      </c>
      <c r="H567" s="160" t="str">
        <v>Constant</v>
      </c>
      <c r="I567" s="158" cm="1">
        <f t="array" ref="I567">Table_SourceData_ElectricityEFsMarketBased[Scope 3 EF (kg CO2-e/kWh)]</f>
        <v>0.1</v>
      </c>
    </row>
    <row r="568" spans="3:41" ht="20.100000000000001" customHeight="1" x14ac:dyDescent="0.2">
      <c r="D568" s="158" t="str">
        <v>i</v>
      </c>
      <c r="E568" s="162" t="str">
        <v>state</v>
      </c>
      <c r="F568" s="157"/>
      <c r="G568" s="158" t="str">
        <v/>
      </c>
      <c r="H568" s="159" t="str">
        <v>Input</v>
      </c>
      <c r="I568" s="158" t="str">
        <f>X_Cell_Site_State</f>
        <v>ACT</v>
      </c>
    </row>
    <row r="570" spans="3:41" ht="20.100000000000001" customHeight="1" x14ac:dyDescent="0.2">
      <c r="D570" s="170" t="s">
        <v>737</v>
      </c>
      <c r="E570" s="168" cm="1">
        <f t="array" ref="E570">Scope3_Equations.VEERG_15_12_1_2__1_UpstreamPurchasedElectricityMarketBasedVariation(I562,I563,I564,I565,I566,I567)</f>
        <v>1.5</v>
      </c>
      <c r="F570" s="169" t="str">
        <f>$E$170</f>
        <v>t CO2e</v>
      </c>
    </row>
    <row r="573" spans="3:41" ht="20.100000000000001" customHeight="1" x14ac:dyDescent="0.2">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c r="AA573" s="89"/>
      <c r="AB573" s="89"/>
      <c r="AC573" s="89"/>
      <c r="AD573" s="89"/>
      <c r="AE573" s="89"/>
      <c r="AF573" s="89"/>
      <c r="AG573" s="89"/>
      <c r="AH573" s="89"/>
      <c r="AI573" s="89"/>
      <c r="AJ573" s="89"/>
      <c r="AK573" s="89"/>
      <c r="AL573" s="89"/>
      <c r="AM573" s="89"/>
      <c r="AN573" s="89"/>
      <c r="AO573" s="89"/>
    </row>
    <row r="574" spans="3:41" ht="20.100000000000001" customHeight="1" x14ac:dyDescent="0.2">
      <c r="D574" s="9" t="str" cm="1">
        <f t="array" ref="D574">Scope3_Equations.VEERG_15_13_1_1__1_EmissionsFromManureSentOffSite_Title()</f>
        <v>Emissions from manure sent off site applied to soils in another farming system or enterprise</v>
      </c>
    </row>
    <row r="575" spans="3:41" ht="20.100000000000001" customHeight="1" x14ac:dyDescent="0.2">
      <c r="D575" s="11" t="str" cm="1">
        <f t="array" ref="D575">Scope3_Equations.VEERG_15_13_1_1__1_EmissionsFromManureSentOffSite_Source()</f>
        <v>VEERG 2026: 15.13.1.1, Equation (1)</v>
      </c>
    </row>
    <row r="576" spans="3:41" ht="20.100000000000001" customHeight="1" x14ac:dyDescent="0.2">
      <c r="D576" s="163" t="s">
        <v>621</v>
      </c>
      <c r="E576" s="163" t="str" cm="1">
        <f t="array" aca="1" ref="E576" ca="1">Common_InputFunctions.Utility_DisplayFunctionName(E588)</f>
        <v>=Scope3_Equations.VEERG_15_13_1_1__1_EmissionsFromManureSentOffSite</v>
      </c>
    </row>
    <row r="579" spans="4:18" ht="20.100000000000001" customHeight="1" x14ac:dyDescent="0.2">
      <c r="D579" s="27" t="s">
        <v>622</v>
      </c>
      <c r="E579" s="8" t="str" cm="1">
        <f t="array" ref="E579">Scope3_Equations.VEERG_15_13_1_1__1_EmissionsFromManureSentOffSite_Variable()</f>
        <v>E</v>
      </c>
    </row>
    <row r="580" spans="4:18" ht="20.100000000000001" customHeight="1" x14ac:dyDescent="0.2">
      <c r="D580" s="27" t="s">
        <v>97</v>
      </c>
      <c r="E580" s="13" t="str" cm="1">
        <f t="array" ref="E580">Scope3_Equations.VEERG_15_13_1_1__1_EmissionsFromManureSentOffSite_Unit()</f>
        <v>t N2O</v>
      </c>
    </row>
    <row r="582" spans="4:18" ht="20.100000000000001" customHeight="1" x14ac:dyDescent="0.2">
      <c r="D582" s="7" t="s">
        <v>405</v>
      </c>
      <c r="L582" s="7" t="s">
        <v>406</v>
      </c>
    </row>
    <row r="584" spans="4:18" ht="20.100000000000001" customHeight="1" x14ac:dyDescent="0.2">
      <c r="D584" s="158" t="str" cm="1">
        <f t="array" ref="D584:E586">_xlfn.CHOOSECOLS(Scope3_Equations.VEERG_15_13_1_1__1_EmissionsFromManureSentOffSite_Arguments(),1,2)</f>
        <v>E_N2O</v>
      </c>
      <c r="E584" s="162" t="str">
        <v>direct nitrous oxide emissions from application of manure to soils outside of scope 1 boundary</v>
      </c>
      <c r="F584" s="196"/>
      <c r="G584" s="157"/>
      <c r="H584" s="158" t="str" cm="1">
        <f t="array" ref="H584:I586">_xlfn.CHOOSECOLS(Scope3_Equations.VEERG_15_13_1_1__1_EmissionsFromManureSentOffSite_Arguments(),3,4)</f>
        <v>t N2O</v>
      </c>
      <c r="I584" s="160" t="str">
        <v>Calculated</v>
      </c>
      <c r="J584" s="158">
        <f>IFERROR(VEERG_5_2_1_1__1_OrganicFertiliserApplicationN2OEmissions_Result_Method1, 0)</f>
        <v>7.8571428571428577E-3</v>
      </c>
      <c r="L584" s="158" t="str" cm="1">
        <f t="array" ref="L584:M586">_xlfn.CHOOSECOLS(Scope3_Equations.VEERG_15_13_1_1__1_EmissionsFromManureSentOffSite_Arguments(),1,2)</f>
        <v>E_N2O</v>
      </c>
      <c r="M584" s="162" t="str">
        <v>direct nitrous oxide emissions from application of manure to soils outside of scope 1 boundary</v>
      </c>
      <c r="N584" s="196"/>
      <c r="O584" s="157"/>
      <c r="P584" s="158" t="str" cm="1">
        <f t="array" ref="P584:Q586">_xlfn.CHOOSECOLS(Scope3_Equations.VEERG_15_13_1_1__1_EmissionsFromManureSentOffSite_Arguments(),3,4)</f>
        <v>t N2O</v>
      </c>
      <c r="Q584" s="160" t="str">
        <v>Calculated</v>
      </c>
      <c r="R584" s="158">
        <f>IFERROR(VEERG_5_2_1_1__1_OrganicFertiliserApplicationN2OEmissions_Result_Method2, 0)</f>
        <v>1.5714285714285715E-2</v>
      </c>
    </row>
    <row r="585" spans="4:18" ht="20.100000000000001" customHeight="1" x14ac:dyDescent="0.2">
      <c r="D585" s="158" t="str">
        <v>E_ad</v>
      </c>
      <c r="E585" s="162" t="str">
        <v>nitrous oxide emissions from atmospheric deposition of manure to soils</v>
      </c>
      <c r="F585" s="196"/>
      <c r="G585" s="157"/>
      <c r="H585" s="158" t="str">
        <v>t N2O</v>
      </c>
      <c r="I585" s="160" t="str">
        <v>Calculated</v>
      </c>
      <c r="J585" s="158">
        <f>IFERROR(VEERG_5_4_1_3__1_OrganicFertiliserAtmosphericDepositionN2OEmissions_Result_Method1, 0)</f>
        <v>2.31E-3</v>
      </c>
      <c r="L585" s="158" t="str">
        <v>E_ad</v>
      </c>
      <c r="M585" s="162" t="str">
        <v>nitrous oxide emissions from atmospheric deposition of manure to soils</v>
      </c>
      <c r="N585" s="196"/>
      <c r="O585" s="157"/>
      <c r="P585" s="158" t="str">
        <v>t N2O</v>
      </c>
      <c r="Q585" s="160" t="str">
        <v>Calculated</v>
      </c>
      <c r="R585" s="158">
        <f>IFERROR(VEERG_5_4_1_3__1_OrganicFertiliserAtmosphericDepositionN2OEmissions_Result_Method2, 0)</f>
        <v>4.62E-3</v>
      </c>
    </row>
    <row r="586" spans="4:18" ht="20.100000000000001" customHeight="1" x14ac:dyDescent="0.2">
      <c r="D586" s="158" t="str">
        <v>E_leach</v>
      </c>
      <c r="E586" s="162" t="str">
        <v>nitrous oxide emissions from nitrogen leaching and runoff of manure to soils</v>
      </c>
      <c r="F586" s="196"/>
      <c r="G586" s="157"/>
      <c r="H586" s="158" t="str">
        <v>t N2O</v>
      </c>
      <c r="I586" s="160" t="str">
        <v>Calculated</v>
      </c>
      <c r="J586" s="158">
        <f>IFERROR(VEERG_5_5_1_1__1_FertiliserLeachingAndRunoffN2OEmissions_Result_Method1, 0)</f>
        <v>4.1485714285714277E-3</v>
      </c>
      <c r="L586" s="158" t="str">
        <v>E_leach</v>
      </c>
      <c r="M586" s="162" t="str">
        <v>nitrous oxide emissions from nitrogen leaching and runoff of manure to soils</v>
      </c>
      <c r="N586" s="196"/>
      <c r="O586" s="157"/>
      <c r="P586" s="158" t="str">
        <v>t N2O</v>
      </c>
      <c r="Q586" s="160" t="str">
        <v>Calculated</v>
      </c>
      <c r="R586" s="158">
        <f>IFERROR(VEERG_5_5_1_1__1_FertiliserLeachingAndRunoffN2OEmissions_Result_Method2, 0)</f>
        <v>8.2971428571428554E-3</v>
      </c>
    </row>
    <row r="588" spans="4:18" ht="20.100000000000001" customHeight="1" x14ac:dyDescent="0.2">
      <c r="D588" s="170" t="s">
        <v>737</v>
      </c>
      <c r="E588" s="168" cm="1">
        <f t="array" ref="E588">Scope3_Equations.VEERG_15_13_1_1__1_EmissionsFromManureSentOffSite(J584,J585,J586)</f>
        <v>1.4315714285714286E-2</v>
      </c>
      <c r="F588" s="169" t="str">
        <f>$E$580</f>
        <v>t N2O</v>
      </c>
      <c r="L588" s="170" t="s">
        <v>737</v>
      </c>
      <c r="M588" s="168" cm="1">
        <f t="array" ref="M588">Scope3_Equations.VEERG_15_13_1_1__1_EmissionsFromManureSentOffSite(R584,R585,R586)</f>
        <v>2.8631428571428572E-2</v>
      </c>
      <c r="N588" s="169" t="str">
        <f>$E$580</f>
        <v>t N2O</v>
      </c>
    </row>
    <row r="590" spans="4:18" ht="20.100000000000001" customHeight="1" x14ac:dyDescent="0.2">
      <c r="D590" s="197" t="str" cm="1">
        <f t="array" ref="D590:E591">Common_Equations.Common_ConvertN2OToCO2e_Arguments()</f>
        <v>EN2O</v>
      </c>
      <c r="E590" s="198" t="str">
        <v>Nitrous oxide emissions (t N2O)</v>
      </c>
      <c r="F590" s="199"/>
      <c r="G590" s="49">
        <f>E588</f>
        <v>1.4315714285714286E-2</v>
      </c>
      <c r="L590" s="197" t="str" cm="1">
        <f t="array" ref="L590:M591">Common_Equations.Common_ConvertN2OToCO2e_Arguments()</f>
        <v>EN2O</v>
      </c>
      <c r="M590" s="198" t="str">
        <v>Nitrous oxide emissions (t N2O)</v>
      </c>
      <c r="N590" s="199"/>
      <c r="O590" s="49">
        <f>M588</f>
        <v>2.8631428571428572E-2</v>
      </c>
    </row>
    <row r="591" spans="4:18" ht="20.100000000000001" customHeight="1" x14ac:dyDescent="0.2">
      <c r="D591" s="197" t="str">
        <v>GWPN2O</v>
      </c>
      <c r="E591" s="198" t="str">
        <v>Global warming potential for nitrous oxide (t CO2-e / t N2O)</v>
      </c>
      <c r="F591" s="199"/>
      <c r="G591" s="49">
        <f>Common_InputFunctions.Utility_LookupValueInTableNumber("N2O",Table_GWPData[Gas],Table_GWPData[CO2-e factor])</f>
        <v>265</v>
      </c>
      <c r="L591" s="197" t="str">
        <v>GWPN2O</v>
      </c>
      <c r="M591" s="198" t="str">
        <v>Global warming potential for nitrous oxide (t CO2-e / t N2O)</v>
      </c>
      <c r="N591" s="199"/>
      <c r="O591" s="49">
        <f>Common_InputFunctions.Utility_LookupValueInTableNumber("N2O",Table_GWPData[Gas],Table_GWPData[CO2-e factor])</f>
        <v>265</v>
      </c>
    </row>
    <row r="593" spans="3:41" ht="20.100000000000001" customHeight="1" x14ac:dyDescent="0.2">
      <c r="D593" s="89" t="s">
        <v>742</v>
      </c>
      <c r="E593" s="89" cm="1">
        <f t="array" ref="E593">Common_Equations.Common_ConvertN2OToCO2e(G590,G591)</f>
        <v>3.7936642857142857</v>
      </c>
      <c r="F593" s="166" t="str" cm="1">
        <f t="array" ref="F593">Common_Equations.Common_ConvertN2OToCO2e_Unit()</f>
        <v>t CO2e</v>
      </c>
      <c r="L593" s="89" t="s">
        <v>742</v>
      </c>
      <c r="M593" s="89" cm="1">
        <f t="array" ref="M593">Common_Equations.Common_ConvertN2OToCO2e(O590,O591)</f>
        <v>7.5873285714285714</v>
      </c>
      <c r="N593" s="166" t="str" cm="1">
        <f t="array" ref="N593">Common_Equations.Common_ConvertN2OToCO2e_Unit()</f>
        <v>t CO2e</v>
      </c>
    </row>
    <row r="596" spans="3:41" ht="20.100000000000001" customHeight="1" x14ac:dyDescent="0.2">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c r="AA596" s="89"/>
      <c r="AB596" s="89"/>
      <c r="AC596" s="89"/>
      <c r="AD596" s="89"/>
      <c r="AE596" s="89"/>
      <c r="AF596" s="89"/>
      <c r="AG596" s="89"/>
      <c r="AH596" s="89"/>
      <c r="AI596" s="89"/>
      <c r="AJ596" s="89"/>
      <c r="AK596" s="89"/>
      <c r="AL596" s="89"/>
      <c r="AM596" s="89"/>
      <c r="AN596" s="89"/>
      <c r="AO596" s="89"/>
    </row>
    <row r="597" spans="3:41" ht="20.100000000000001" customHeight="1" x14ac:dyDescent="0.2">
      <c r="D597" s="9" t="str" cm="1">
        <f t="array" ref="D597">Scope3_Equations.VEERG_15_13_1_3__1_EmissionsFromSolidWasteTreatmentFacility_Title()</f>
        <v>Emissions from solid waste sent to a treatment facility</v>
      </c>
    </row>
    <row r="598" spans="3:41" ht="20.100000000000001" customHeight="1" x14ac:dyDescent="0.2">
      <c r="D598" s="11" t="str" cm="1">
        <f t="array" ref="D598">Scope3_Equations.VEERG_15_13_1_3__1_EmissionsFromSolidWasteTreatmentFacility_Source()</f>
        <v>VEERG 2026: 15.13.1.3</v>
      </c>
    </row>
    <row r="600" spans="3:41" ht="20.100000000000001" customHeight="1" x14ac:dyDescent="0.2">
      <c r="D600" s="27" t="s">
        <v>622</v>
      </c>
      <c r="E600" s="8" t="str" cm="1">
        <f t="array" ref="E600">Scope3_Equations.VEERG_15_13_1_3__1_EmissionsFromSolidWasteTreatmentFacility_Variable()</f>
        <v>E</v>
      </c>
    </row>
    <row r="601" spans="3:41" ht="20.100000000000001" customHeight="1" x14ac:dyDescent="0.2">
      <c r="D601" s="27" t="s">
        <v>97</v>
      </c>
      <c r="E601" s="13" t="str" cm="1">
        <f t="array" ref="E601">Scope3_Equations.VEERG_15_13_1_3__1_EmissionsFromSolidWasteTreatmentFacility_Unit()</f>
        <v>t CO2e</v>
      </c>
    </row>
    <row r="603" spans="3:41" ht="20.100000000000001" customHeight="1" x14ac:dyDescent="0.2">
      <c r="D603" s="170" t="s">
        <v>737</v>
      </c>
      <c r="E603" s="168">
        <f>VEERG_10_1_1_1__1_EmissionsFromWasteManagement_Scope3_Result_Method1</f>
        <v>330.84210000000002</v>
      </c>
      <c r="F603" s="169" t="str">
        <f>E601</f>
        <v>t CO2e</v>
      </c>
    </row>
    <row r="606" spans="3:41" ht="20.100000000000001" customHeight="1" x14ac:dyDescent="0.2">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c r="AA606" s="89"/>
      <c r="AB606" s="89"/>
      <c r="AC606" s="89"/>
      <c r="AD606" s="89"/>
      <c r="AE606" s="89"/>
      <c r="AF606" s="89"/>
      <c r="AG606" s="89"/>
      <c r="AH606" s="89"/>
      <c r="AI606" s="89"/>
      <c r="AJ606" s="89"/>
      <c r="AK606" s="89"/>
      <c r="AL606" s="89"/>
      <c r="AM606" s="89"/>
      <c r="AN606" s="89"/>
      <c r="AO606" s="89"/>
    </row>
    <row r="607" spans="3:41" ht="20.100000000000001" customHeight="1" x14ac:dyDescent="0.2">
      <c r="D607" s="9" t="str" cm="1">
        <f t="array" ref="D607">Scope3_Equations.VEERG_15_14_1_1__1_EmbeddedEmissionsFromUpstreamFreight_Title()</f>
        <v>Embedded emissions from upstream freight</v>
      </c>
    </row>
    <row r="608" spans="3:41" ht="20.100000000000001" customHeight="1" x14ac:dyDescent="0.2">
      <c r="D608" s="11" t="str" cm="1">
        <f t="array" ref="D608">Scope3_Equations.VEERG_15_14_1_1__1_EmbeddedEmissionsFromUpstreamFreight_Source()</f>
        <v>VEERG 2026: 15.14.1.1, Equation (1)</v>
      </c>
    </row>
    <row r="609" spans="4:13" ht="20.100000000000001" customHeight="1" x14ac:dyDescent="0.2">
      <c r="D609" s="163" t="s">
        <v>621</v>
      </c>
      <c r="E609" s="163" t="str" cm="1">
        <f t="array" aca="1" ref="E609" ca="1">Common_InputFunctions.Utility_DisplayFunctionName(J624)</f>
        <v>=Scope3_Equations.VEERG_15_14_1_1__1_EmbeddedEmissionsFromUpstreamFreight</v>
      </c>
    </row>
    <row r="613" spans="4:13" ht="20.100000000000001" customHeight="1" x14ac:dyDescent="0.2">
      <c r="D613" s="27" t="s">
        <v>622</v>
      </c>
      <c r="E613" s="8" t="str" cm="1">
        <f t="array" ref="E613">Scope3_Equations.VEERG_15_14_1_1__1_EmbeddedEmissionsFromUpstreamFreight_Variable()</f>
        <v>E</v>
      </c>
    </row>
    <row r="614" spans="4:13" ht="20.100000000000001" customHeight="1" x14ac:dyDescent="0.2">
      <c r="D614" s="27" t="s">
        <v>97</v>
      </c>
      <c r="E614" s="13" t="str" cm="1">
        <f t="array" ref="E614">Scope3_Equations.VEERG_15_14_1_1__1_EmbeddedEmissionsFromUpstreamFreight_Unit()</f>
        <v>t CO2e</v>
      </c>
    </row>
    <row r="616" spans="4:13" ht="20.100000000000001" customHeight="1" x14ac:dyDescent="0.2">
      <c r="D616" s="158" t="str" cm="1">
        <f t="array" ref="D616:E619">_xlfn.CHOOSECOLS(Scope3_Equations.VEERG_15_14_1_1__1_EmbeddedEmissionsFromUpstreamFreight_Arguments(),1,2)</f>
        <v>W_f</v>
      </c>
      <c r="E616" s="162" t="str">
        <v>total mass of goods transported per freight type f</v>
      </c>
      <c r="F616" s="157"/>
      <c r="G616" s="158" t="str" cm="1">
        <f t="array" ref="G616:H619">_xlfn.CHOOSECOLS(Scope3_Equations.VEERG_15_14_1_1__1_EmbeddedEmissionsFromUpstreamFreight_Arguments(),3,4)</f>
        <v>t</v>
      </c>
      <c r="H616" s="159" t="str">
        <v>Input</v>
      </c>
    </row>
    <row r="617" spans="4:13" ht="20.100000000000001" customHeight="1" x14ac:dyDescent="0.2">
      <c r="D617" s="158" t="str">
        <v>D_f</v>
      </c>
      <c r="E617" s="162" t="str">
        <v>total distance transported per freight type f</v>
      </c>
      <c r="F617" s="157"/>
      <c r="G617" s="158" t="str">
        <v>km</v>
      </c>
      <c r="H617" s="159" t="str">
        <v>Input</v>
      </c>
    </row>
    <row r="618" spans="4:13" ht="20.100000000000001" customHeight="1" x14ac:dyDescent="0.2">
      <c r="D618" s="158" t="str">
        <v>EF_f</v>
      </c>
      <c r="E618" s="162" t="str">
        <v>emission factor for freight type f</v>
      </c>
      <c r="F618" s="157"/>
      <c r="G618" s="158" t="str">
        <v>t CO2e/(t km)</v>
      </c>
      <c r="H618" s="160" t="str">
        <v>Constant</v>
      </c>
    </row>
    <row r="619" spans="4:13" ht="20.100000000000001" customHeight="1" x14ac:dyDescent="0.2">
      <c r="D619" s="158" t="str">
        <v>f</v>
      </c>
      <c r="E619" s="162" t="str">
        <v>freight type</v>
      </c>
      <c r="F619" s="157"/>
      <c r="G619" s="158" t="str">
        <v/>
      </c>
      <c r="H619" s="159" t="str">
        <v>Input</v>
      </c>
    </row>
    <row r="621" spans="4:13" ht="20.100000000000001" customHeight="1" x14ac:dyDescent="0.2">
      <c r="D621" s="135" t="s">
        <v>801</v>
      </c>
    </row>
    <row r="623" spans="4:13" ht="20.100000000000001" customHeight="1" x14ac:dyDescent="0.2">
      <c r="D623" s="46" t="s">
        <v>802</v>
      </c>
      <c r="E623" s="46" t="s">
        <v>814</v>
      </c>
      <c r="F623" s="46" t="s">
        <v>815</v>
      </c>
      <c r="G623" s="57" t="s">
        <v>816</v>
      </c>
      <c r="H623" s="57" t="s">
        <v>628</v>
      </c>
      <c r="I623" s="46" t="s">
        <v>664</v>
      </c>
      <c r="J623" s="57" t="s">
        <v>630</v>
      </c>
      <c r="K623" s="46" t="s">
        <v>624</v>
      </c>
      <c r="L623" s="46" t="s">
        <v>625</v>
      </c>
      <c r="M623" s="46" t="s">
        <v>626</v>
      </c>
    </row>
    <row r="624" spans="4:13" ht="20.100000000000001" customHeight="1" x14ac:dyDescent="0.2">
      <c r="D624" s="49" t="str" cm="1">
        <f t="array" ref="D624:D633">IFERROR(INDEX(Table_Input_FreightIncoming[Route name], _xlfn.SEQUENCE(10)), "")</f>
        <v>Melbourne depot to farm depot weekly</v>
      </c>
      <c r="E624" s="49" cm="1">
        <f t="array" ref="E624:E633">IFERROR(INDEX(Table_Input_FreightIncoming[Average weight of freight per trip (t)], _xlfn.SEQUENCE(10)), "")</f>
        <v>10</v>
      </c>
      <c r="F624" s="49" cm="1">
        <f t="array" ref="F624:F633">IFERROR(INDEX(Table_Input_FreightIncoming[Route distance (km)], _xlfn.SEQUENCE(10))*INDEX(Table_Input_FreightIncoming[Number of trips taken], _xlfn.SEQUENCE(10)), "")</f>
        <v>51272</v>
      </c>
      <c r="G624" s="49" t="s">
        <v>817</v>
      </c>
      <c r="H624" s="49" t="s">
        <v>817</v>
      </c>
      <c r="I624" s="64">
        <v>0.25</v>
      </c>
      <c r="J624" s="49" cm="1">
        <f t="array" ref="J624">Scope3_Equations.VEERG_15_14_1_1__1_EmbeddedEmissionsFromUpstreamFreight(E624,F624,I624)</f>
        <v>128180</v>
      </c>
      <c r="K624" s="74"/>
      <c r="L624" s="47"/>
      <c r="M624" s="74"/>
    </row>
    <row r="625" spans="4:13" ht="20.100000000000001" customHeight="1" x14ac:dyDescent="0.2">
      <c r="D625" s="49" t="str">
        <v>Fertiliser supplier to farm</v>
      </c>
      <c r="E625" s="49">
        <v>10</v>
      </c>
      <c r="F625" s="49">
        <v>390</v>
      </c>
      <c r="G625" s="49" t="s">
        <v>817</v>
      </c>
      <c r="H625" s="49" t="s">
        <v>817</v>
      </c>
      <c r="I625" s="64">
        <v>0.25</v>
      </c>
      <c r="J625" s="49" cm="1">
        <f t="array" ref="J625">Scope3_Equations.VEERG_15_14_1_1__1_EmbeddedEmissionsFromUpstreamFreight(E625,F625,I625)</f>
        <v>975</v>
      </c>
      <c r="K625" s="74"/>
      <c r="L625" s="47"/>
      <c r="M625" s="74"/>
    </row>
    <row r="626" spans="4:13" ht="20.100000000000001" customHeight="1" x14ac:dyDescent="0.2">
      <c r="D626" s="49">
        <v>0</v>
      </c>
      <c r="E626" s="49">
        <v>0</v>
      </c>
      <c r="F626" s="49">
        <v>0</v>
      </c>
      <c r="G626" s="49" t="s">
        <v>817</v>
      </c>
      <c r="H626" s="49" t="s">
        <v>817</v>
      </c>
      <c r="I626" s="64"/>
      <c r="J626" s="49" cm="1">
        <f t="array" ref="J626">Scope3_Equations.VEERG_15_14_1_1__1_EmbeddedEmissionsFromUpstreamFreight(E626,F626,I626)</f>
        <v>0</v>
      </c>
      <c r="K626" s="74"/>
      <c r="L626" s="47"/>
      <c r="M626" s="74"/>
    </row>
    <row r="627" spans="4:13" ht="20.100000000000001" customHeight="1" x14ac:dyDescent="0.2">
      <c r="D627" s="49">
        <v>0</v>
      </c>
      <c r="E627" s="49">
        <v>0</v>
      </c>
      <c r="F627" s="49">
        <v>0</v>
      </c>
      <c r="G627" s="49" t="s">
        <v>817</v>
      </c>
      <c r="H627" s="49" t="s">
        <v>817</v>
      </c>
      <c r="I627" s="64"/>
      <c r="J627" s="49" cm="1">
        <f t="array" ref="J627">Scope3_Equations.VEERG_15_14_1_1__1_EmbeddedEmissionsFromUpstreamFreight(E627,F627,I627)</f>
        <v>0</v>
      </c>
      <c r="K627" s="74"/>
      <c r="L627" s="47"/>
      <c r="M627" s="74"/>
    </row>
    <row r="628" spans="4:13" ht="20.100000000000001" customHeight="1" x14ac:dyDescent="0.2">
      <c r="D628" s="49">
        <v>0</v>
      </c>
      <c r="E628" s="49">
        <v>0</v>
      </c>
      <c r="F628" s="49">
        <v>0</v>
      </c>
      <c r="G628" s="49" t="s">
        <v>817</v>
      </c>
      <c r="H628" s="49" t="s">
        <v>817</v>
      </c>
      <c r="I628" s="64"/>
      <c r="J628" s="49" cm="1">
        <f t="array" ref="J628">Scope3_Equations.VEERG_15_14_1_1__1_EmbeddedEmissionsFromUpstreamFreight(E628,F628,I628)</f>
        <v>0</v>
      </c>
      <c r="K628" s="74"/>
      <c r="L628" s="47"/>
      <c r="M628" s="74"/>
    </row>
    <row r="629" spans="4:13" ht="20.100000000000001" customHeight="1" x14ac:dyDescent="0.2">
      <c r="D629" s="49">
        <v>0</v>
      </c>
      <c r="E629" s="49">
        <v>0</v>
      </c>
      <c r="F629" s="49">
        <v>0</v>
      </c>
      <c r="G629" s="49" t="s">
        <v>817</v>
      </c>
      <c r="H629" s="49" t="s">
        <v>817</v>
      </c>
      <c r="I629" s="64"/>
      <c r="J629" s="49" cm="1">
        <f t="array" ref="J629">Scope3_Equations.VEERG_15_14_1_1__1_EmbeddedEmissionsFromUpstreamFreight(E629,F629,I629)</f>
        <v>0</v>
      </c>
      <c r="K629" s="74"/>
      <c r="L629" s="47"/>
      <c r="M629" s="74"/>
    </row>
    <row r="630" spans="4:13" ht="20.100000000000001" customHeight="1" x14ac:dyDescent="0.2">
      <c r="D630" s="49">
        <v>0</v>
      </c>
      <c r="E630" s="49">
        <v>0</v>
      </c>
      <c r="F630" s="49">
        <v>0</v>
      </c>
      <c r="G630" s="49" t="s">
        <v>817</v>
      </c>
      <c r="H630" s="49" t="s">
        <v>817</v>
      </c>
      <c r="I630" s="64"/>
      <c r="J630" s="49" cm="1">
        <f t="array" ref="J630">Scope3_Equations.VEERG_15_14_1_1__1_EmbeddedEmissionsFromUpstreamFreight(E630,F630,I630)</f>
        <v>0</v>
      </c>
      <c r="K630" s="74"/>
      <c r="L630" s="47"/>
      <c r="M630" s="74"/>
    </row>
    <row r="631" spans="4:13" ht="20.100000000000001" customHeight="1" x14ac:dyDescent="0.2">
      <c r="D631" s="49">
        <v>0</v>
      </c>
      <c r="E631" s="49">
        <v>0</v>
      </c>
      <c r="F631" s="49">
        <v>0</v>
      </c>
      <c r="G631" s="49" t="s">
        <v>817</v>
      </c>
      <c r="H631" s="49" t="s">
        <v>817</v>
      </c>
      <c r="I631" s="64"/>
      <c r="J631" s="49" cm="1">
        <f t="array" ref="J631">Scope3_Equations.VEERG_15_14_1_1__1_EmbeddedEmissionsFromUpstreamFreight(E631,F631,I631)</f>
        <v>0</v>
      </c>
      <c r="K631" s="74"/>
      <c r="L631" s="47"/>
      <c r="M631" s="74"/>
    </row>
    <row r="632" spans="4:13" ht="20.100000000000001" customHeight="1" x14ac:dyDescent="0.2">
      <c r="D632" s="49">
        <v>0</v>
      </c>
      <c r="E632" s="49">
        <v>0</v>
      </c>
      <c r="F632" s="49">
        <v>0</v>
      </c>
      <c r="G632" s="49" t="s">
        <v>817</v>
      </c>
      <c r="H632" s="49" t="s">
        <v>817</v>
      </c>
      <c r="I632" s="64"/>
      <c r="J632" s="49" cm="1">
        <f t="array" ref="J632">Scope3_Equations.VEERG_15_14_1_1__1_EmbeddedEmissionsFromUpstreamFreight(E632,F632,I632)</f>
        <v>0</v>
      </c>
      <c r="K632" s="74"/>
      <c r="L632" s="47"/>
      <c r="M632" s="74"/>
    </row>
    <row r="633" spans="4:13" ht="20.100000000000001" customHeight="1" x14ac:dyDescent="0.2">
      <c r="D633" s="49">
        <v>0</v>
      </c>
      <c r="E633" s="49">
        <v>0</v>
      </c>
      <c r="F633" s="49">
        <v>0</v>
      </c>
      <c r="G633" s="49" t="s">
        <v>817</v>
      </c>
      <c r="H633" s="49" t="s">
        <v>817</v>
      </c>
      <c r="I633" s="64"/>
      <c r="J633" s="49" cm="1">
        <f t="array" ref="J633">Scope3_Equations.VEERG_15_14_1_1__1_EmbeddedEmissionsFromUpstreamFreight(E633,F633,I633)</f>
        <v>0</v>
      </c>
      <c r="K633" s="74"/>
      <c r="L633" s="47"/>
      <c r="M633" s="74"/>
    </row>
    <row r="635" spans="4:13" ht="20.100000000000001" customHeight="1" x14ac:dyDescent="0.2">
      <c r="D635" s="165" t="s">
        <v>820</v>
      </c>
      <c r="E635" s="89" t="s">
        <v>817</v>
      </c>
      <c r="F635" s="166" t="str">
        <f>$E$105</f>
        <v>t CO2e</v>
      </c>
    </row>
    <row r="636" spans="4:13" ht="20.100000000000001" customHeight="1" x14ac:dyDescent="0.2">
      <c r="D636" s="165" t="s">
        <v>821</v>
      </c>
      <c r="E636" s="89">
        <f>SUM(J624:J633)</f>
        <v>129155</v>
      </c>
      <c r="F636" s="166" t="str">
        <f>$E$105</f>
        <v>t CO2e</v>
      </c>
    </row>
    <row r="639" spans="4:13" ht="20.100000000000001" customHeight="1" x14ac:dyDescent="0.2">
      <c r="D639" s="135" t="s">
        <v>809</v>
      </c>
    </row>
    <row r="641" spans="4:13" ht="20.100000000000001" customHeight="1" x14ac:dyDescent="0.2">
      <c r="D641" s="46" t="s">
        <v>802</v>
      </c>
      <c r="E641" s="46" t="s">
        <v>814</v>
      </c>
      <c r="F641" s="46" t="s">
        <v>815</v>
      </c>
      <c r="G641" s="57" t="s">
        <v>816</v>
      </c>
      <c r="H641" s="57" t="s">
        <v>628</v>
      </c>
      <c r="I641" s="46" t="s">
        <v>664</v>
      </c>
      <c r="J641" s="57" t="s">
        <v>630</v>
      </c>
      <c r="K641" s="46" t="s">
        <v>624</v>
      </c>
      <c r="L641" s="46" t="s">
        <v>625</v>
      </c>
      <c r="M641" s="46" t="s">
        <v>626</v>
      </c>
    </row>
    <row r="642" spans="4:13" ht="20.100000000000001" customHeight="1" x14ac:dyDescent="0.2">
      <c r="D642" s="49" t="str" cm="1">
        <f t="array" ref="D642:D651">IFERROR(INDEX(Table_Input_FreightOutgoing[Route name], _xlfn.SEQUENCE(10)), "")</f>
        <v>Farm to bulk handler</v>
      </c>
      <c r="E642" s="49" cm="1">
        <f t="array" ref="E642:E651">IFERROR(INDEX(Table_Input_FreightOutgoing[Average weight of freight per trip (t)], _xlfn.SEQUENCE(10)), "")</f>
        <v>20</v>
      </c>
      <c r="F642" s="49" cm="1">
        <f t="array" ref="F642:F651">IFERROR(INDEX(Table_Input_FreightOutgoing[Route distance (km)], _xlfn.SEQUENCE(10))*INDEX(Table_Input_FreightOutgoing[Number of trips taken], _xlfn.SEQUENCE(10)), "")</f>
        <v>3380</v>
      </c>
      <c r="G642" s="49" t="s">
        <v>817</v>
      </c>
      <c r="H642" s="49" t="s">
        <v>817</v>
      </c>
      <c r="I642" s="64">
        <v>0.25</v>
      </c>
      <c r="J642" s="49" cm="1">
        <f t="array" ref="J642">Scope3_Equations.VEERG_15_14_1_1__1_EmbeddedEmissionsFromUpstreamFreight(E642,F642,I642)</f>
        <v>16900</v>
      </c>
      <c r="K642" s="74"/>
      <c r="L642" s="47"/>
      <c r="M642" s="74"/>
    </row>
    <row r="643" spans="4:13" ht="20.100000000000001" customHeight="1" x14ac:dyDescent="0.2">
      <c r="D643" s="49">
        <v>0</v>
      </c>
      <c r="E643" s="49">
        <v>0</v>
      </c>
      <c r="F643" s="49">
        <v>0</v>
      </c>
      <c r="G643" s="49" t="s">
        <v>817</v>
      </c>
      <c r="H643" s="49" t="s">
        <v>817</v>
      </c>
      <c r="I643" s="64"/>
      <c r="J643" s="49" cm="1">
        <f t="array" ref="J643">Scope3_Equations.VEERG_15_14_1_1__1_EmbeddedEmissionsFromUpstreamFreight(E643,F643,I643)</f>
        <v>0</v>
      </c>
      <c r="K643" s="74"/>
      <c r="L643" s="47"/>
      <c r="M643" s="74"/>
    </row>
    <row r="644" spans="4:13" ht="20.100000000000001" customHeight="1" x14ac:dyDescent="0.2">
      <c r="D644" s="49">
        <v>0</v>
      </c>
      <c r="E644" s="49">
        <v>0</v>
      </c>
      <c r="F644" s="49">
        <v>0</v>
      </c>
      <c r="G644" s="49" t="s">
        <v>817</v>
      </c>
      <c r="H644" s="49" t="s">
        <v>817</v>
      </c>
      <c r="I644" s="64"/>
      <c r="J644" s="49" cm="1">
        <f t="array" ref="J644">Scope3_Equations.VEERG_15_14_1_1__1_EmbeddedEmissionsFromUpstreamFreight(E644,F644,I644)</f>
        <v>0</v>
      </c>
      <c r="K644" s="74"/>
      <c r="L644" s="47"/>
      <c r="M644" s="74"/>
    </row>
    <row r="645" spans="4:13" ht="20.100000000000001" customHeight="1" x14ac:dyDescent="0.2">
      <c r="D645" s="49">
        <v>0</v>
      </c>
      <c r="E645" s="49">
        <v>0</v>
      </c>
      <c r="F645" s="49">
        <v>0</v>
      </c>
      <c r="G645" s="49" t="s">
        <v>817</v>
      </c>
      <c r="H645" s="49" t="s">
        <v>817</v>
      </c>
      <c r="I645" s="64"/>
      <c r="J645" s="49" cm="1">
        <f t="array" ref="J645">Scope3_Equations.VEERG_15_14_1_1__1_EmbeddedEmissionsFromUpstreamFreight(E645,F645,I645)</f>
        <v>0</v>
      </c>
      <c r="K645" s="74"/>
      <c r="L645" s="47"/>
      <c r="M645" s="74"/>
    </row>
    <row r="646" spans="4:13" ht="20.100000000000001" customHeight="1" x14ac:dyDescent="0.2">
      <c r="D646" s="49">
        <v>0</v>
      </c>
      <c r="E646" s="49">
        <v>0</v>
      </c>
      <c r="F646" s="49">
        <v>0</v>
      </c>
      <c r="G646" s="49" t="s">
        <v>817</v>
      </c>
      <c r="H646" s="49" t="s">
        <v>817</v>
      </c>
      <c r="I646" s="64"/>
      <c r="J646" s="49" cm="1">
        <f t="array" ref="J646">Scope3_Equations.VEERG_15_14_1_1__1_EmbeddedEmissionsFromUpstreamFreight(E646,F646,I646)</f>
        <v>0</v>
      </c>
      <c r="K646" s="74"/>
      <c r="L646" s="47"/>
      <c r="M646" s="74"/>
    </row>
    <row r="647" spans="4:13" ht="20.100000000000001" customHeight="1" x14ac:dyDescent="0.2">
      <c r="D647" s="49">
        <v>0</v>
      </c>
      <c r="E647" s="49">
        <v>0</v>
      </c>
      <c r="F647" s="49">
        <v>0</v>
      </c>
      <c r="G647" s="49" t="s">
        <v>817</v>
      </c>
      <c r="H647" s="49" t="s">
        <v>817</v>
      </c>
      <c r="I647" s="64"/>
      <c r="J647" s="49" cm="1">
        <f t="array" ref="J647">Scope3_Equations.VEERG_15_14_1_1__1_EmbeddedEmissionsFromUpstreamFreight(E647,F647,I647)</f>
        <v>0</v>
      </c>
      <c r="K647" s="74"/>
      <c r="L647" s="47"/>
      <c r="M647" s="74"/>
    </row>
    <row r="648" spans="4:13" ht="20.100000000000001" customHeight="1" x14ac:dyDescent="0.2">
      <c r="D648" s="49">
        <v>0</v>
      </c>
      <c r="E648" s="49">
        <v>0</v>
      </c>
      <c r="F648" s="49">
        <v>0</v>
      </c>
      <c r="G648" s="49" t="s">
        <v>817</v>
      </c>
      <c r="H648" s="49" t="s">
        <v>817</v>
      </c>
      <c r="I648" s="64"/>
      <c r="J648" s="49" cm="1">
        <f t="array" ref="J648">Scope3_Equations.VEERG_15_14_1_1__1_EmbeddedEmissionsFromUpstreamFreight(E648,F648,I648)</f>
        <v>0</v>
      </c>
      <c r="K648" s="74"/>
      <c r="L648" s="47"/>
      <c r="M648" s="74"/>
    </row>
    <row r="649" spans="4:13" ht="20.100000000000001" customHeight="1" x14ac:dyDescent="0.2">
      <c r="D649" s="49">
        <v>0</v>
      </c>
      <c r="E649" s="49">
        <v>0</v>
      </c>
      <c r="F649" s="49">
        <v>0</v>
      </c>
      <c r="G649" s="49" t="s">
        <v>817</v>
      </c>
      <c r="H649" s="49" t="s">
        <v>817</v>
      </c>
      <c r="I649" s="64"/>
      <c r="J649" s="49" cm="1">
        <f t="array" ref="J649">Scope3_Equations.VEERG_15_14_1_1__1_EmbeddedEmissionsFromUpstreamFreight(E649,F649,I649)</f>
        <v>0</v>
      </c>
      <c r="K649" s="74"/>
      <c r="L649" s="47"/>
      <c r="M649" s="74"/>
    </row>
    <row r="650" spans="4:13" ht="20.100000000000001" customHeight="1" x14ac:dyDescent="0.2">
      <c r="D650" s="49">
        <v>0</v>
      </c>
      <c r="E650" s="49">
        <v>0</v>
      </c>
      <c r="F650" s="49">
        <v>0</v>
      </c>
      <c r="G650" s="49" t="s">
        <v>817</v>
      </c>
      <c r="H650" s="49" t="s">
        <v>817</v>
      </c>
      <c r="I650" s="64"/>
      <c r="J650" s="49" cm="1">
        <f t="array" ref="J650">Scope3_Equations.VEERG_15_14_1_1__1_EmbeddedEmissionsFromUpstreamFreight(E650,F650,I650)</f>
        <v>0</v>
      </c>
      <c r="K650" s="74"/>
      <c r="L650" s="47"/>
      <c r="M650" s="74"/>
    </row>
    <row r="651" spans="4:13" ht="20.100000000000001" customHeight="1" x14ac:dyDescent="0.2">
      <c r="D651" s="49">
        <v>0</v>
      </c>
      <c r="E651" s="49">
        <v>0</v>
      </c>
      <c r="F651" s="49">
        <v>0</v>
      </c>
      <c r="G651" s="49" t="s">
        <v>817</v>
      </c>
      <c r="H651" s="49" t="s">
        <v>817</v>
      </c>
      <c r="I651" s="64"/>
      <c r="J651" s="49" cm="1">
        <f t="array" ref="J651">Scope3_Equations.VEERG_15_14_1_1__1_EmbeddedEmissionsFromUpstreamFreight(E651,F651,I651)</f>
        <v>0</v>
      </c>
      <c r="K651" s="74"/>
      <c r="L651" s="47"/>
      <c r="M651" s="74"/>
    </row>
    <row r="653" spans="4:13" ht="20.100000000000001" customHeight="1" x14ac:dyDescent="0.2">
      <c r="D653" s="165" t="s">
        <v>818</v>
      </c>
      <c r="E653" s="89" t="s">
        <v>817</v>
      </c>
      <c r="F653" s="166" t="str">
        <f>$E$105</f>
        <v>t CO2e</v>
      </c>
    </row>
    <row r="654" spans="4:13" ht="20.100000000000001" customHeight="1" x14ac:dyDescent="0.2">
      <c r="D654" s="165" t="s">
        <v>819</v>
      </c>
      <c r="E654" s="89">
        <f>SUM(J642:J651)</f>
        <v>16900</v>
      </c>
      <c r="F654" s="166" t="str">
        <f>$E$105</f>
        <v>t CO2e</v>
      </c>
    </row>
    <row r="656" spans="4:13" ht="20.100000000000001" customHeight="1" x14ac:dyDescent="0.2">
      <c r="D656" s="167" t="s">
        <v>628</v>
      </c>
      <c r="E656" s="168" t="s">
        <v>817</v>
      </c>
      <c r="F656" s="169" t="str">
        <f>$E$105</f>
        <v>t CO2e</v>
      </c>
    </row>
    <row r="657" spans="4:6" ht="20.100000000000001" customHeight="1" x14ac:dyDescent="0.2">
      <c r="D657" s="167" t="s">
        <v>630</v>
      </c>
      <c r="E657" s="168">
        <f>VEERG_15_14_1_1__1_EmbeddedEmissionsFromUpstreamFreight_Incoming_Result_Method2+VEERG_15_14_1_1__1_EmbeddedEmissionsFromUpstreamFreight_Outgoing_Result_Method2</f>
        <v>146055</v>
      </c>
      <c r="F657" s="169" t="str">
        <f>$E$105</f>
        <v>t CO2e</v>
      </c>
    </row>
  </sheetData>
  <dataValidations disablePrompts="1" count="2">
    <dataValidation type="list" allowBlank="1" showInputMessage="1" showErrorMessage="1" sqref="L42:L51 L61:L70 L79:L88 L445:L454 L463:L472 K120:K129 L382:L391 K137:K140 K177:K179 O23:O32 M236:M246 L320:L329 K288:K297 N351:N360 M505:M514 M252:M266 M414:M423 K481:K485 K494:K498 L624:L633 L642:L651" xr:uid="{A98F9A2A-5979-48D5-8578-50210547ED4A}">
      <formula1>INDIRECT("Table_SourceData_DataScores_Scope3[Data source]")</formula1>
    </dataValidation>
    <dataValidation type="list" allowBlank="1" showInputMessage="1" showErrorMessage="1" sqref="J505:J514"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771E9-F2D0-4292-ABFB-027E6AD3AAA9}">
  <sheetPr>
    <tabColor theme="9" tint="-0.249977111117893"/>
  </sheetPr>
  <dimension ref="A1:L342"/>
  <sheetViews>
    <sheetView showGridLines="0" topLeftCell="A3" zoomScaleNormal="100" workbookViewId="0">
      <selection activeCell="A22" sqref="A22"/>
    </sheetView>
  </sheetViews>
  <sheetFormatPr defaultRowHeight="20.100000000000001" customHeight="1" x14ac:dyDescent="0.2"/>
  <cols>
    <col min="1" max="1" width="26.85546875" customWidth="1"/>
    <col min="2" max="2" width="4.140625" customWidth="1"/>
    <col min="3" max="3" width="4.140625" style="8" customWidth="1"/>
    <col min="4" max="4" width="40.42578125" style="8" customWidth="1"/>
    <col min="5" max="11" width="26.85546875" style="8" customWidth="1"/>
    <col min="12" max="12" width="4.140625" style="8" customWidth="1"/>
  </cols>
  <sheetData>
    <row r="1" spans="1:12" s="1" customFormat="1" ht="30" customHeight="1" x14ac:dyDescent="0.35">
      <c r="A1" s="37" t="e" vm="1">
        <v>#VALUE!</v>
      </c>
      <c r="C1" s="1" t="s">
        <v>786</v>
      </c>
    </row>
    <row r="2" spans="1:12" s="2" customFormat="1" ht="20.100000000000001" customHeight="1" x14ac:dyDescent="0.2">
      <c r="A2"/>
    </row>
    <row r="3" spans="1:12" ht="20.100000000000001" customHeight="1" x14ac:dyDescent="0.2">
      <c r="A3" s="16" t="str">
        <f>HYPERLINK("#'Overview'!A1", "Overview")</f>
        <v>Overview</v>
      </c>
      <c r="C3" s="5"/>
      <c r="D3" s="5" t="s">
        <v>405</v>
      </c>
      <c r="E3" s="5"/>
      <c r="F3" s="5"/>
      <c r="G3" s="5"/>
      <c r="H3" s="5"/>
      <c r="I3" s="5"/>
      <c r="J3" s="5"/>
      <c r="K3" s="5"/>
      <c r="L3" s="5"/>
    </row>
    <row r="4" spans="1:12" ht="20.100000000000001" customHeight="1" x14ac:dyDescent="0.2">
      <c r="A4" s="16" t="str">
        <f>HYPERLINK("#'Results'!A1", "Results")</f>
        <v>Results</v>
      </c>
    </row>
    <row r="5" spans="1:12" ht="20.100000000000001" customHeight="1" x14ac:dyDescent="0.2">
      <c r="D5" s="9" t="str" cm="1">
        <f t="array" ref="D5">WasteSolid_Equations.VEERG_10_1_1_1__2_MassOfWasteFromVolume_Title()</f>
        <v>Mass of waste from waste volume</v>
      </c>
    </row>
    <row r="6" spans="1:12" ht="20.100000000000001" customHeight="1" x14ac:dyDescent="0.2">
      <c r="D6" s="11" t="str" cm="1">
        <f t="array" ref="D6">WasteSolid_Equations.VEERG_10_1_1_1__2_MassOfWasteFromVolume_Source()</f>
        <v>VEERG 2026: 10.1.1.1, Equation (2)</v>
      </c>
    </row>
    <row r="7" spans="1:12" ht="20.100000000000001" customHeight="1" x14ac:dyDescent="0.2">
      <c r="A7" s="19" t="s">
        <v>67</v>
      </c>
      <c r="D7" s="163" t="s">
        <v>621</v>
      </c>
      <c r="E7" s="163" t="str" cm="1">
        <f t="array" aca="1" ref="E7" ca="1">Common_InputFunctions.Utility_DisplayFunctionName(I21)</f>
        <v>=WasteSolid_Equations.VEERG_10_1_1_1__2_MassOfWasteFromVolume</v>
      </c>
    </row>
    <row r="8" spans="1:12" ht="20.100000000000001" customHeight="1" x14ac:dyDescent="0.2">
      <c r="A8" s="16" t="str">
        <f>HYPERLINK("#'Input - Site'!A1", "Site")</f>
        <v>Site</v>
      </c>
    </row>
    <row r="9" spans="1:12" ht="20.100000000000001" customHeight="1" x14ac:dyDescent="0.2">
      <c r="A9" s="16" t="str">
        <f>HYPERLINK("#'Input - Fuel'!A1", "Fuel")</f>
        <v>Fuel</v>
      </c>
    </row>
    <row r="10" spans="1:12" ht="20.100000000000001" customHeight="1" x14ac:dyDescent="0.2">
      <c r="A10" s="16" t="str">
        <f>HYPERLINK("#'Input - Fertiliser'!A1", "Fertiliser")</f>
        <v>Fertiliser</v>
      </c>
      <c r="D10" s="27" t="s">
        <v>622</v>
      </c>
      <c r="E10" s="8" t="str" cm="1">
        <f t="array" ref="E10">WasteSolid_Equations.VEERG_10_1_1_1__2_MassOfWasteFromVolume_Variable()</f>
        <v>Q_wt</v>
      </c>
    </row>
    <row r="11" spans="1:12" ht="20.100000000000001" customHeight="1" x14ac:dyDescent="0.2">
      <c r="A11" s="16" t="str">
        <f>HYPERLINK("#'Input - Farm Inputs'!A1", "Farm Inputs")</f>
        <v>Farm Inputs</v>
      </c>
      <c r="D11" s="27" t="s">
        <v>97</v>
      </c>
      <c r="E11" s="13" t="str" cm="1">
        <f t="array" ref="E11">WasteSolid_Equations.VEERG_10_1_1_1__2_MassOfWasteFromVolume_Unit()</f>
        <v>t</v>
      </c>
    </row>
    <row r="12" spans="1:12" ht="20.100000000000001" customHeight="1" x14ac:dyDescent="0.2">
      <c r="A12" s="16" t="str">
        <f>HYPERLINK("#'Input - Livestock purchases'!A1", "Livestock purchases")</f>
        <v>Livestock purchases</v>
      </c>
    </row>
    <row r="13" spans="1:12" ht="20.100000000000001" customHeight="1" x14ac:dyDescent="0.2">
      <c r="A13" s="16" t="str">
        <f>HYPERLINK("#'Input - Freight'!A1", "Freight")</f>
        <v>Freight</v>
      </c>
      <c r="D13" s="158" t="str" cm="1">
        <f t="array" ref="D13:E16">_xlfn.CHOOSECOLS(WasteSolid_Equations.VEERG_10_1_1_1__2_MassOfWasteFromVolume_Arguments(),1,2)</f>
        <v>V_wt</v>
      </c>
      <c r="E13" s="162" t="str">
        <v>volume of solid waste type w being sent to treatment facility t</v>
      </c>
      <c r="F13" s="157"/>
      <c r="G13" s="158" t="str" cm="1">
        <f t="array" ref="G13:H16">_xlfn.CHOOSECOLS(WasteSolid_Equations.VEERG_10_1_1_1__2_MassOfWasteFromVolume_Arguments(),3,4)</f>
        <v>m3</v>
      </c>
      <c r="H13" s="159" t="str">
        <v>Input</v>
      </c>
      <c r="I13" s="161" t="str" cm="1">
        <f t="array" aca="1" ref="I13" ca="1">HYPERLINK(Common_InputFunctions.Utility_SourceHyperlink($D$18),$D$18)</f>
        <v>Table_V_w_t_onsite</v>
      </c>
      <c r="J13" s="161" t="str" cm="1">
        <f t="array" aca="1" ref="J13" ca="1">HYPERLINK(Common_InputFunctions.Utility_SourceHyperlink($D$56),$D$56)</f>
        <v>Table_V_w_t_offsite</v>
      </c>
    </row>
    <row r="14" spans="1:12" ht="20.100000000000001" customHeight="1" x14ac:dyDescent="0.2">
      <c r="A14" s="16" t="str">
        <f>HYPERLINK("#'Input - Solid waste'!A1", "Solid waste")</f>
        <v>Solid waste</v>
      </c>
      <c r="D14" s="158" t="str">
        <v>VTM_w</v>
      </c>
      <c r="E14" s="162" t="str">
        <v>conversion factor of volume to mass for waste type w</v>
      </c>
      <c r="F14" s="157"/>
      <c r="G14" s="158" t="str">
        <v>t/m3</v>
      </c>
      <c r="H14" s="160" t="str">
        <v>Constant</v>
      </c>
      <c r="I14" s="161" t="str" cm="1">
        <f t="array" aca="1" ref="I14" ca="1">HYPERLINK(Common_InputFunctions.Utility_SourceHyperlink($D$18),$D$18)</f>
        <v>Table_V_w_t_onsite</v>
      </c>
      <c r="J14" s="161" t="str" cm="1">
        <f t="array" aca="1" ref="J14" ca="1">HYPERLINK(Common_InputFunctions.Utility_SourceHyperlink($D$56),$D$56)</f>
        <v>Table_V_w_t_offsite</v>
      </c>
    </row>
    <row r="15" spans="1:12" ht="20.100000000000001" customHeight="1" x14ac:dyDescent="0.2">
      <c r="A15" s="16" t="str">
        <f>HYPERLINK("#'Input - Manure sent off-site'!A1", "Manure sent off-site")</f>
        <v>Manure sent off-site</v>
      </c>
      <c r="D15" s="158" t="str">
        <v>w</v>
      </c>
      <c r="E15" s="162" t="str">
        <v>waste type</v>
      </c>
      <c r="F15" s="157"/>
      <c r="G15" s="158" t="str">
        <v/>
      </c>
      <c r="H15" s="159" t="str">
        <v>Input</v>
      </c>
      <c r="I15" s="161" t="str" cm="1">
        <f t="array" aca="1" ref="I15" ca="1">HYPERLINK(Common_InputFunctions.Utility_SourceHyperlink($D$18),$D$18)</f>
        <v>Table_V_w_t_onsite</v>
      </c>
      <c r="J15" s="161" t="str" cm="1">
        <f t="array" aca="1" ref="J15" ca="1">HYPERLINK(Common_InputFunctions.Utility_SourceHyperlink($D$56),$D$56)</f>
        <v>Table_V_w_t_offsite</v>
      </c>
    </row>
    <row r="16" spans="1:12" ht="20.100000000000001" customHeight="1" x14ac:dyDescent="0.2">
      <c r="A16" s="16" t="str">
        <f>HYPERLINK("#'Input - Electricity'!A1", "Electricity")</f>
        <v>Electricity</v>
      </c>
      <c r="D16" s="158" t="str">
        <v>t</v>
      </c>
      <c r="E16" s="162" t="str">
        <v>treatment facility</v>
      </c>
      <c r="F16" s="157"/>
      <c r="G16" s="158" t="str">
        <v/>
      </c>
      <c r="H16" s="159" t="str">
        <v>Input</v>
      </c>
      <c r="I16" s="161" t="str" cm="1">
        <f t="array" aca="1" ref="I16" ca="1">HYPERLINK(Common_InputFunctions.Utility_SourceHyperlink($D$18),$D$18)</f>
        <v>Table_V_w_t_onsite</v>
      </c>
      <c r="J16" s="161" t="str" cm="1">
        <f t="array" aca="1" ref="J16" ca="1">HYPERLINK(Common_InputFunctions.Utility_SourceHyperlink($D$56),$D$56)</f>
        <v>Table_V_w_t_offsite</v>
      </c>
    </row>
    <row r="18" spans="1:9" ht="20.100000000000001" customHeight="1" x14ac:dyDescent="0.2">
      <c r="D18" s="55" t="s">
        <v>787</v>
      </c>
    </row>
    <row r="19" spans="1:9" ht="20.100000000000001" customHeight="1" x14ac:dyDescent="0.2">
      <c r="A19" s="21" t="s">
        <v>77</v>
      </c>
      <c r="D19" s="56" t="s">
        <v>788</v>
      </c>
    </row>
    <row r="20" spans="1:9" ht="20.100000000000001" customHeight="1" x14ac:dyDescent="0.2">
      <c r="A20" s="16" t="str">
        <f>HYPERLINK("#'15 Scope 3'!A1", "15 Scope 3")</f>
        <v>15 Scope 3</v>
      </c>
      <c r="D20" s="46" t="s">
        <v>789</v>
      </c>
      <c r="E20" s="46" t="s">
        <v>790</v>
      </c>
      <c r="F20" s="46"/>
      <c r="G20" s="46" t="s">
        <v>791</v>
      </c>
      <c r="H20" s="57" t="s">
        <v>792</v>
      </c>
      <c r="I20" s="57" t="s">
        <v>793</v>
      </c>
    </row>
    <row r="21" spans="1:9" ht="20.100000000000001" customHeight="1" x14ac:dyDescent="0.2">
      <c r="A21" s="171" t="str">
        <f>HYPERLINK("#'10.1.1-2 Solid waste treatment'!A1", "10.1.1-2 Solid waste treatment")</f>
        <v>10.1.1-2 Solid waste treatment</v>
      </c>
      <c r="D21" s="158" t="str" cm="1">
        <f t="array" ref="D21:D54">Table_SourceData_WasteSolid_WasteTreatmentEFs[Treatment type t]</f>
        <v>Landfill</v>
      </c>
      <c r="E21" s="162" t="str" cm="1">
        <f t="array" ref="E21:E54">Table_SourceData_WasteSolid_WasteTreatmentEFs[Waste type w]</f>
        <v>Food waste (including animal carcasses, spoiled animal feed or crop)</v>
      </c>
      <c r="F21" s="200"/>
      <c r="G21" s="49"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0</v>
      </c>
      <c r="H21" s="49" cm="1">
        <f t="array" ref="H21">Common_InputFunctions.Utility_LookupValueInTableNumber(E21,Table_SourceData_WasteSolid_VolumeToMassConversion[Waste type w],Table_SourceData_WasteSolid_VolumeToMassConversion[VTMw])</f>
        <v>0.5</v>
      </c>
      <c r="I21" s="49" cm="1">
        <f t="array" ref="I21">WasteSolid_Equations.VEERG_10_1_1_1__2_MassOfWasteFromVolume(G21,H21)</f>
        <v>0</v>
      </c>
    </row>
    <row r="22" spans="1:9" ht="20.100000000000001" customHeight="1" x14ac:dyDescent="0.2">
      <c r="A22" s="16" t="str">
        <f>HYPERLINK("#'Calcs - Manure sent off-site'!A1", "Calcs - Manure sent off-site")</f>
        <v>Calcs - Manure sent off-site</v>
      </c>
      <c r="D22" s="158" t="str">
        <v>Landfill</v>
      </c>
      <c r="E22" s="162" t="str">
        <v>Paper and cardboard</v>
      </c>
      <c r="F22" s="200"/>
      <c r="G22" s="49"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0</v>
      </c>
      <c r="H22" s="49" cm="1">
        <f t="array" ref="H22">Common_InputFunctions.Utility_LookupValueInTableNumber(E22,Table_SourceData_WasteSolid_VolumeToMassConversion[Waste type w],Table_SourceData_WasteSolid_VolumeToMassConversion[VTMw])</f>
        <v>0.09</v>
      </c>
      <c r="I22" s="49" cm="1">
        <f t="array" ref="I22">WasteSolid_Equations.VEERG_10_1_1_1__2_MassOfWasteFromVolume(G22,H22)</f>
        <v>0</v>
      </c>
    </row>
    <row r="23" spans="1:9" ht="20.100000000000001" customHeight="1" x14ac:dyDescent="0.2">
      <c r="A23" s="16" t="str">
        <f>HYPERLINK("#'8.1.1.1-2 Transport fuel'!A1", "8.1.1.1-2 Transport fuel")</f>
        <v>8.1.1.1-2 Transport fuel</v>
      </c>
      <c r="D23" s="158" t="str">
        <v>Landfill</v>
      </c>
      <c r="E23" s="162" t="str">
        <v>Green waste (including crop residues or prunings)</v>
      </c>
      <c r="F23" s="200"/>
      <c r="G23" s="49"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0</v>
      </c>
      <c r="H23" s="49" cm="1">
        <f t="array" ref="H23">Common_InputFunctions.Utility_LookupValueInTableNumber(E23,Table_SourceData_WasteSolid_VolumeToMassConversion[Waste type w],Table_SourceData_WasteSolid_VolumeToMassConversion[VTMw])</f>
        <v>0.24</v>
      </c>
      <c r="I23" s="49" cm="1">
        <f t="array" ref="I23">WasteSolid_Equations.VEERG_10_1_1_1__2_MassOfWasteFromVolume(G23,H23)</f>
        <v>0</v>
      </c>
    </row>
    <row r="24" spans="1:9" ht="20.100000000000001" customHeight="1" x14ac:dyDescent="0.2">
      <c r="A24" s="16" t="str">
        <f>HYPERLINK("#'8.2.1.1-2 Stationary fuel'!A1", "8.2.1.1-2 Stationary fuel")</f>
        <v>8.2.1.1-2 Stationary fuel</v>
      </c>
      <c r="D24" s="158" t="str">
        <v>Landfill</v>
      </c>
      <c r="E24" s="162" t="str">
        <v>Wood</v>
      </c>
      <c r="F24" s="200"/>
      <c r="G24" s="49"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49" cm="1">
        <f t="array" ref="H24">Common_InputFunctions.Utility_LookupValueInTableNumber(E24,Table_SourceData_WasteSolid_VolumeToMassConversion[Waste type w],Table_SourceData_WasteSolid_VolumeToMassConversion[VTMw])</f>
        <v>0.15</v>
      </c>
      <c r="I24" s="49" cm="1">
        <f t="array" ref="I24">WasteSolid_Equations.VEERG_10_1_1_1__2_MassOfWasteFromVolume(G24,H24)</f>
        <v>0</v>
      </c>
    </row>
    <row r="25" spans="1:9" ht="20.100000000000001" customHeight="1" x14ac:dyDescent="0.2">
      <c r="D25" s="158" t="str">
        <v>Landfill</v>
      </c>
      <c r="E25" s="162" t="str">
        <v>Textiles</v>
      </c>
      <c r="F25" s="200"/>
      <c r="G25" s="49"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49" cm="1">
        <f t="array" ref="H25">Common_InputFunctions.Utility_LookupValueInTableNumber(E25,Table_SourceData_WasteSolid_VolumeToMassConversion[Waste type w],Table_SourceData_WasteSolid_VolumeToMassConversion[VTMw])</f>
        <v>0.14000000000000001</v>
      </c>
      <c r="I25" s="49" cm="1">
        <f t="array" ref="I25">WasteSolid_Equations.VEERG_10_1_1_1__2_MassOfWasteFromVolume(G25,H25)</f>
        <v>0</v>
      </c>
    </row>
    <row r="26" spans="1:9" ht="20.100000000000001" customHeight="1" x14ac:dyDescent="0.2">
      <c r="D26" s="158" t="str">
        <v>Landfill</v>
      </c>
      <c r="E26" s="162" t="str">
        <v>Sludge</v>
      </c>
      <c r="F26" s="200"/>
      <c r="G26" s="49"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49" cm="1">
        <f t="array" ref="H26">Common_InputFunctions.Utility_LookupValueInTableNumber(E26,Table_SourceData_WasteSolid_VolumeToMassConversion[Waste type w],Table_SourceData_WasteSolid_VolumeToMassConversion[VTMw])</f>
        <v>0.72</v>
      </c>
      <c r="I26" s="49" cm="1">
        <f t="array" ref="I26">WasteSolid_Equations.VEERG_10_1_1_1__2_MassOfWasteFromVolume(G26,H26)</f>
        <v>0</v>
      </c>
    </row>
    <row r="27" spans="1:9" ht="20.100000000000001" customHeight="1" x14ac:dyDescent="0.2">
      <c r="A27" s="213" t="s">
        <v>78</v>
      </c>
      <c r="D27" s="158" t="str">
        <v>Landfill</v>
      </c>
      <c r="E27" s="162" t="str">
        <v>Rubber and leather</v>
      </c>
      <c r="F27" s="200"/>
      <c r="G27" s="49"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49" cm="1">
        <f t="array" ref="H27">Common_InputFunctions.Utility_LookupValueInTableNumber(E27,Table_SourceData_WasteSolid_VolumeToMassConversion[Waste type w],Table_SourceData_WasteSolid_VolumeToMassConversion[VTMw])</f>
        <v>0.14000000000000001</v>
      </c>
      <c r="I27" s="49" cm="1">
        <f t="array" ref="I27">WasteSolid_Equations.VEERG_10_1_1_1__2_MassOfWasteFromVolume(G27,H27)</f>
        <v>0</v>
      </c>
    </row>
    <row r="28" spans="1:9" ht="20.100000000000001" customHeight="1" x14ac:dyDescent="0.2">
      <c r="A28" s="16" t="str">
        <f>HYPERLINK("#'Constants - Scope 3'!A1", "Constants - Scope 3")</f>
        <v>Constants - Scope 3</v>
      </c>
      <c r="D28" s="158" t="str">
        <v>Landfill</v>
      </c>
      <c r="E28" s="162" t="str">
        <v>Inert waste (including concrete, metal, plastic or glass)</v>
      </c>
      <c r="F28" s="200"/>
      <c r="G28" s="49"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49" cm="1">
        <f t="array" ref="H28">Common_InputFunctions.Utility_LookupValueInTableNumber(E28,Table_SourceData_WasteSolid_VolumeToMassConversion[Waste type w],Table_SourceData_WasteSolid_VolumeToMassConversion[VTMw])</f>
        <v>0.42</v>
      </c>
      <c r="I28" s="49" cm="1">
        <f t="array" ref="I28">WasteSolid_Equations.VEERG_10_1_1_1__2_MassOfWasteFromVolume(G28,H28)</f>
        <v>0</v>
      </c>
    </row>
    <row r="29" spans="1:9" ht="20.100000000000001" customHeight="1" x14ac:dyDescent="0.2">
      <c r="A29" s="16" t="str">
        <f>HYPERLINK("#'Constants - Solid Waste'!A1", "Constants - Solid Waste")</f>
        <v>Constants - Solid Waste</v>
      </c>
      <c r="D29" s="158" t="str">
        <v>Landfill</v>
      </c>
      <c r="E29" s="162" t="str">
        <v>Municipal solid waste</v>
      </c>
      <c r="F29" s="200"/>
      <c r="G29" s="49"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49" cm="1">
        <f t="array" ref="H29">Common_InputFunctions.Utility_LookupValueInTableNumber(E29,Table_SourceData_WasteSolid_VolumeToMassConversion[Waste type w],Table_SourceData_WasteSolid_VolumeToMassConversion[VTMw])</f>
        <v>0.36</v>
      </c>
      <c r="I29" s="49" cm="1">
        <f t="array" ref="I29">WasteSolid_Equations.VEERG_10_1_1_1__2_MassOfWasteFromVolume(G29,H29)</f>
        <v>0</v>
      </c>
    </row>
    <row r="30" spans="1:9" ht="20.100000000000001" customHeight="1" x14ac:dyDescent="0.2">
      <c r="A30" s="16" t="str">
        <f>HYPERLINK("#'Constants - Fuel'!A1", "Constants - Fuel")</f>
        <v>Constants - Fuel</v>
      </c>
      <c r="D30" s="158" t="str">
        <v>Landfill</v>
      </c>
      <c r="E30" s="162" t="str">
        <v>Commercial and industrial waste</v>
      </c>
      <c r="F30" s="200"/>
      <c r="G30" s="49"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49" cm="1">
        <f t="array" ref="H30">Common_InputFunctions.Utility_LookupValueInTableNumber(E30,Table_SourceData_WasteSolid_VolumeToMassConversion[Waste type w],Table_SourceData_WasteSolid_VolumeToMassConversion[VTMw])</f>
        <v>0.33</v>
      </c>
      <c r="I30" s="49" cm="1">
        <f t="array" ref="I30">WasteSolid_Equations.VEERG_10_1_1_1__2_MassOfWasteFromVolume(G30,H30)</f>
        <v>0</v>
      </c>
    </row>
    <row r="31" spans="1:9" ht="20.100000000000001" customHeight="1" x14ac:dyDescent="0.2">
      <c r="A31" s="16" t="str">
        <f>HYPERLINK("#'Constants - Poultry'!A1", "Constants - Poultry")</f>
        <v>Constants - Poultry</v>
      </c>
      <c r="D31" s="158" t="str">
        <v>Landfill</v>
      </c>
      <c r="E31" s="162" t="str">
        <v>Construction and demolition waste</v>
      </c>
      <c r="F31" s="200"/>
      <c r="G31" s="49"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49" cm="1">
        <f t="array" ref="H31">Common_InputFunctions.Utility_LookupValueInTableNumber(E31,Table_SourceData_WasteSolid_VolumeToMassConversion[Waste type w],Table_SourceData_WasteSolid_VolumeToMassConversion[VTMw])</f>
        <v>0.39</v>
      </c>
      <c r="I31" s="49" cm="1">
        <f t="array" ref="I31">WasteSolid_Equations.VEERG_10_1_1_1__2_MassOfWasteFromVolume(G31,H31)</f>
        <v>0</v>
      </c>
    </row>
    <row r="32" spans="1:9" ht="20.100000000000001" customHeight="1" x14ac:dyDescent="0.2">
      <c r="A32" s="16" t="str">
        <f>HYPERLINK("#'Constants - Swine'!A1", "Constants - Swine")</f>
        <v>Constants - Swine</v>
      </c>
      <c r="D32" s="158" t="str">
        <v>Incineration</v>
      </c>
      <c r="E32" s="162" t="str">
        <v>Food waste, green waste, wood, sludge</v>
      </c>
      <c r="F32" s="200"/>
      <c r="G32" s="49" t="s">
        <v>839</v>
      </c>
      <c r="H32" s="49" t="s">
        <v>839</v>
      </c>
      <c r="I32" s="49" t="s">
        <v>839</v>
      </c>
    </row>
    <row r="33" spans="1:9" ht="20.100000000000001" customHeight="1" x14ac:dyDescent="0.2">
      <c r="A33" s="16" t="str">
        <f>HYPERLINK("#'Constants - Dairy'!A1", "Constants - Dairy")</f>
        <v>Constants - Dairy</v>
      </c>
      <c r="D33" s="158" t="str">
        <v>Incineration</v>
      </c>
      <c r="E33" s="162" t="str">
        <v>Food waste (including animal carcasses, spoiled animal feed or crop)</v>
      </c>
      <c r="F33" s="200"/>
      <c r="G33" s="49"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49" cm="1">
        <f t="array" ref="H33">Common_InputFunctions.Utility_LookupValueInTableNumber(E33,Table_SourceData_WasteSolid_VolumeToMassConversion[Waste type w],Table_SourceData_WasteSolid_VolumeToMassConversion[VTMw])</f>
        <v>0.5</v>
      </c>
      <c r="I33" s="49" cm="1">
        <f t="array" ref="I33">WasteSolid_Equations.VEERG_10_1_1_1__2_MassOfWasteFromVolume(G33,H33)</f>
        <v>0</v>
      </c>
    </row>
    <row r="34" spans="1:9" ht="20.100000000000001" customHeight="1" x14ac:dyDescent="0.2">
      <c r="A34" s="16" t="str">
        <f>HYPERLINK("#'Constants - Pasture Beef'!A1", "Constants - Pasture Beef")</f>
        <v>Constants - Pasture Beef</v>
      </c>
      <c r="D34" s="158" t="str">
        <v>Incineration</v>
      </c>
      <c r="E34" s="162" t="str">
        <v>Green waste (including crop residues or prunings)</v>
      </c>
      <c r="F34" s="200"/>
      <c r="G34" s="49"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0</v>
      </c>
      <c r="H34" s="49" cm="1">
        <f t="array" ref="H34">Common_InputFunctions.Utility_LookupValueInTableNumber(E34,Table_SourceData_WasteSolid_VolumeToMassConversion[Waste type w],Table_SourceData_WasteSolid_VolumeToMassConversion[VTMw])</f>
        <v>0.24</v>
      </c>
      <c r="I34" s="49" cm="1">
        <f t="array" ref="I34">WasteSolid_Equations.VEERG_10_1_1_1__2_MassOfWasteFromVolume(G34,H34)</f>
        <v>0</v>
      </c>
    </row>
    <row r="35" spans="1:9" ht="20.100000000000001" customHeight="1" x14ac:dyDescent="0.2">
      <c r="A35" s="16" t="str">
        <f>HYPERLINK("#'Constants - Common Livestock'!A1", "Constants - Common Livestock")</f>
        <v>Constants - Common Livestock</v>
      </c>
      <c r="D35" s="158" t="str">
        <v>Incineration</v>
      </c>
      <c r="E35" s="162" t="str">
        <v>Wood</v>
      </c>
      <c r="F35" s="200"/>
      <c r="G35" s="49"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49" cm="1">
        <f t="array" ref="H35">Common_InputFunctions.Utility_LookupValueInTableNumber(E35,Table_SourceData_WasteSolid_VolumeToMassConversion[Waste type w],Table_SourceData_WasteSolid_VolumeToMassConversion[VTMw])</f>
        <v>0.15</v>
      </c>
      <c r="I35" s="49" cm="1">
        <f t="array" ref="I35">WasteSolid_Equations.VEERG_10_1_1_1__2_MassOfWasteFromVolume(G35,H35)</f>
        <v>0</v>
      </c>
    </row>
    <row r="36" spans="1:9" ht="20.100000000000001" customHeight="1" x14ac:dyDescent="0.2">
      <c r="A36" s="16" t="str">
        <f>HYPERLINK("#'Constants - Fertiliser'!A1", "Constants - Fertiliser")</f>
        <v>Constants - Fertiliser</v>
      </c>
      <c r="D36" s="158" t="str">
        <v>Incineration</v>
      </c>
      <c r="E36" s="162" t="str">
        <v>Sludge</v>
      </c>
      <c r="F36" s="200"/>
      <c r="G36" s="49"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49" cm="1">
        <f t="array" ref="H36">Common_InputFunctions.Utility_LookupValueInTableNumber(E36,Table_SourceData_WasteSolid_VolumeToMassConversion[Waste type w],Table_SourceData_WasteSolid_VolumeToMassConversion[VTMw])</f>
        <v>0.72</v>
      </c>
      <c r="I36" s="49" cm="1">
        <f t="array" ref="I36">WasteSolid_Equations.VEERG_10_1_1_1__2_MassOfWasteFromVolume(G36,H36)</f>
        <v>0</v>
      </c>
    </row>
    <row r="37" spans="1:9" ht="20.100000000000001" customHeight="1" x14ac:dyDescent="0.2">
      <c r="A37" s="16" t="str">
        <f>HYPERLINK("#'Constants - Electricity'!A1", "Constants - Electricity")</f>
        <v>Constants - Electricity</v>
      </c>
      <c r="D37" s="158" t="str">
        <v>Incineration</v>
      </c>
      <c r="E37" s="162" t="str">
        <v>Paper and cardboard</v>
      </c>
      <c r="F37" s="200"/>
      <c r="G37" s="49"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0</v>
      </c>
      <c r="H37" s="49" cm="1">
        <f t="array" ref="H37">Common_InputFunctions.Utility_LookupValueInTableNumber(E37,Table_SourceData_WasteSolid_VolumeToMassConversion[Waste type w],Table_SourceData_WasteSolid_VolumeToMassConversion[VTMw])</f>
        <v>0.09</v>
      </c>
      <c r="I37" s="49" cm="1">
        <f t="array" ref="I37">WasteSolid_Equations.VEERG_10_1_1_1__2_MassOfWasteFromVolume(G37,H37)</f>
        <v>0</v>
      </c>
    </row>
    <row r="38" spans="1:9" ht="20.100000000000001" customHeight="1" x14ac:dyDescent="0.2">
      <c r="A38" s="16" t="str">
        <f>HYPERLINK("#'Constants - Common'!A1", "Constants - Common")</f>
        <v>Constants - Common</v>
      </c>
      <c r="D38" s="158" t="str">
        <v>Incineration</v>
      </c>
      <c r="E38" s="162" t="str">
        <v>Textiles</v>
      </c>
      <c r="F38" s="200"/>
      <c r="G38" s="49"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49" cm="1">
        <f t="array" ref="H38">Common_InputFunctions.Utility_LookupValueInTableNumber(E38,Table_SourceData_WasteSolid_VolumeToMassConversion[Waste type w],Table_SourceData_WasteSolid_VolumeToMassConversion[VTMw])</f>
        <v>0.14000000000000001</v>
      </c>
      <c r="I38" s="49" cm="1">
        <f t="array" ref="I38">WasteSolid_Equations.VEERG_10_1_1_1__2_MassOfWasteFromVolume(G38,H38)</f>
        <v>0</v>
      </c>
    </row>
    <row r="39" spans="1:9" ht="20.100000000000001" customHeight="1" x14ac:dyDescent="0.2">
      <c r="D39" s="158" t="str">
        <v>Incineration</v>
      </c>
      <c r="E39" s="162" t="str">
        <v>Rubber and leather</v>
      </c>
      <c r="F39" s="200"/>
      <c r="G39" s="49"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49" cm="1">
        <f t="array" ref="H39">Common_InputFunctions.Utility_LookupValueInTableNumber(E39,Table_SourceData_WasteSolid_VolumeToMassConversion[Waste type w],Table_SourceData_WasteSolid_VolumeToMassConversion[VTMw])</f>
        <v>0.14000000000000001</v>
      </c>
      <c r="I39" s="49" cm="1">
        <f t="array" ref="I39">WasteSolid_Equations.VEERG_10_1_1_1__2_MassOfWasteFromVolume(G39,H39)</f>
        <v>0</v>
      </c>
    </row>
    <row r="40" spans="1:9" ht="20.100000000000001" customHeight="1" x14ac:dyDescent="0.2">
      <c r="D40" s="158" t="str">
        <v>Incineration</v>
      </c>
      <c r="E40" s="158" t="str">
        <v>Inert waste (including concrete, metal, plastic or glass)</v>
      </c>
      <c r="F40" s="158"/>
      <c r="G40" s="49"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49" cm="1">
        <f t="array" ref="H40">Common_InputFunctions.Utility_LookupValueInTableNumber(E40,Table_SourceData_WasteSolid_VolumeToMassConversion[Waste type w],Table_SourceData_WasteSolid_VolumeToMassConversion[VTMw])</f>
        <v>0.42</v>
      </c>
      <c r="I40" s="49" cm="1">
        <f t="array" ref="I40">WasteSolid_Equations.VEERG_10_1_1_1__2_MassOfWasteFromVolume(G40,H40)</f>
        <v>0</v>
      </c>
    </row>
    <row r="41" spans="1:9" ht="20.100000000000001" customHeight="1" x14ac:dyDescent="0.2">
      <c r="D41" s="158" t="str">
        <v>Incineration</v>
      </c>
      <c r="E41" s="162" t="str">
        <v>Municipal solid waste</v>
      </c>
      <c r="F41" s="157"/>
      <c r="G41" s="49"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49" cm="1">
        <f t="array" ref="H41">Common_InputFunctions.Utility_LookupValueInTableNumber(E41,Table_SourceData_WasteSolid_VolumeToMassConversion[Waste type w],Table_SourceData_WasteSolid_VolumeToMassConversion[VTMw])</f>
        <v>0.36</v>
      </c>
      <c r="I41" s="49" cm="1">
        <f t="array" ref="I41">WasteSolid_Equations.VEERG_10_1_1_1__2_MassOfWasteFromVolume(G41,H41)</f>
        <v>0</v>
      </c>
    </row>
    <row r="42" spans="1:9" ht="20.100000000000001" customHeight="1" x14ac:dyDescent="0.2">
      <c r="D42" s="158" t="str">
        <v>Incineration</v>
      </c>
      <c r="E42" s="162" t="str">
        <v>Commercial and industrial waste</v>
      </c>
      <c r="F42" s="157"/>
      <c r="G42" s="49"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49" cm="1">
        <f t="array" ref="H42">Common_InputFunctions.Utility_LookupValueInTableNumber(E42,Table_SourceData_WasteSolid_VolumeToMassConversion[Waste type w],Table_SourceData_WasteSolid_VolumeToMassConversion[VTMw])</f>
        <v>0.33</v>
      </c>
      <c r="I42" s="49" cm="1">
        <f t="array" ref="I42">WasteSolid_Equations.VEERG_10_1_1_1__2_MassOfWasteFromVolume(G42,H42)</f>
        <v>0</v>
      </c>
    </row>
    <row r="43" spans="1:9" ht="20.100000000000001" customHeight="1" x14ac:dyDescent="0.2">
      <c r="D43" s="158" t="str">
        <v>Composting</v>
      </c>
      <c r="E43" s="162" t="str">
        <v>All organic waste</v>
      </c>
      <c r="F43" s="157"/>
      <c r="G43" s="49" t="s">
        <v>839</v>
      </c>
      <c r="H43" s="49" t="s">
        <v>839</v>
      </c>
      <c r="I43" s="49" t="s">
        <v>839</v>
      </c>
    </row>
    <row r="44" spans="1:9" ht="20.100000000000001" customHeight="1" x14ac:dyDescent="0.2">
      <c r="D44" s="158" t="str">
        <v>Composting</v>
      </c>
      <c r="E44" s="162" t="str">
        <v>Food waste (including animal carcasses, spoiled animal feed or crop)</v>
      </c>
      <c r="F44" s="157"/>
      <c r="G44" s="49"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0</v>
      </c>
      <c r="H44" s="49" cm="1">
        <f t="array" ref="H44">Common_InputFunctions.Utility_LookupValueInTableNumber(E44,Table_SourceData_WasteSolid_VolumeToMassConversion[Waste type w],Table_SourceData_WasteSolid_VolumeToMassConversion[VTMw])</f>
        <v>0.5</v>
      </c>
      <c r="I44" s="49" cm="1">
        <f t="array" ref="I44">WasteSolid_Equations.VEERG_10_1_1_1__2_MassOfWasteFromVolume(G44,H44)</f>
        <v>0</v>
      </c>
    </row>
    <row r="45" spans="1:9" ht="20.100000000000001" customHeight="1" x14ac:dyDescent="0.2">
      <c r="D45" s="158" t="str">
        <v>Composting</v>
      </c>
      <c r="E45" s="162" t="str">
        <v>Green waste (including crop residues or prunings)</v>
      </c>
      <c r="F45" s="157"/>
      <c r="G45" s="49"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49" cm="1">
        <f t="array" ref="H45">Common_InputFunctions.Utility_LookupValueInTableNumber(E45,Table_SourceData_WasteSolid_VolumeToMassConversion[Waste type w],Table_SourceData_WasteSolid_VolumeToMassConversion[VTMw])</f>
        <v>0.24</v>
      </c>
      <c r="I45" s="49" cm="1">
        <f t="array" ref="I45">WasteSolid_Equations.VEERG_10_1_1_1__2_MassOfWasteFromVolume(G45,H45)</f>
        <v>0</v>
      </c>
    </row>
    <row r="46" spans="1:9" ht="20.100000000000001" customHeight="1" x14ac:dyDescent="0.2">
      <c r="D46" s="158" t="str">
        <v>Composting</v>
      </c>
      <c r="E46" s="162" t="str">
        <v>Wood</v>
      </c>
      <c r="F46" s="157"/>
      <c r="G46" s="49"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49" cm="1">
        <f t="array" ref="H46">Common_InputFunctions.Utility_LookupValueInTableNumber(E46,Table_SourceData_WasteSolid_VolumeToMassConversion[Waste type w],Table_SourceData_WasteSolid_VolumeToMassConversion[VTMw])</f>
        <v>0.15</v>
      </c>
      <c r="I46" s="49" cm="1">
        <f t="array" ref="I46">WasteSolid_Equations.VEERG_10_1_1_1__2_MassOfWasteFromVolume(G46,H46)</f>
        <v>0</v>
      </c>
    </row>
    <row r="47" spans="1:9" ht="20.100000000000001" customHeight="1" x14ac:dyDescent="0.2">
      <c r="D47" s="158" t="str">
        <v>Composting</v>
      </c>
      <c r="E47" s="162" t="str">
        <v>Sludge</v>
      </c>
      <c r="F47" s="157"/>
      <c r="G47" s="49"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49" cm="1">
        <f t="array" ref="H47">Common_InputFunctions.Utility_LookupValueInTableNumber(E47,Table_SourceData_WasteSolid_VolumeToMassConversion[Waste type w],Table_SourceData_WasteSolid_VolumeToMassConversion[VTMw])</f>
        <v>0.72</v>
      </c>
      <c r="I47" s="49" cm="1">
        <f t="array" ref="I47">WasteSolid_Equations.VEERG_10_1_1_1__2_MassOfWasteFromVolume(G47,H47)</f>
        <v>0</v>
      </c>
    </row>
    <row r="48" spans="1:9" ht="20.100000000000001" customHeight="1" x14ac:dyDescent="0.2">
      <c r="D48" s="158" t="str">
        <v>Composting</v>
      </c>
      <c r="E48" s="162" t="str">
        <v>Paper and cardboard</v>
      </c>
      <c r="F48" s="157"/>
      <c r="G48" s="49"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0</v>
      </c>
      <c r="H48" s="49" cm="1">
        <f t="array" ref="H48">Common_InputFunctions.Utility_LookupValueInTableNumber(E48,Table_SourceData_WasteSolid_VolumeToMassConversion[Waste type w],Table_SourceData_WasteSolid_VolumeToMassConversion[VTMw])</f>
        <v>0.09</v>
      </c>
      <c r="I48" s="49" cm="1">
        <f t="array" ref="I48">WasteSolid_Equations.VEERG_10_1_1_1__2_MassOfWasteFromVolume(G48,H48)</f>
        <v>0</v>
      </c>
    </row>
    <row r="49" spans="4:9" ht="20.100000000000001" customHeight="1" x14ac:dyDescent="0.2">
      <c r="D49" s="158" t="str">
        <v>Anaerobic digestion</v>
      </c>
      <c r="E49" s="162" t="str">
        <v>All organic waste</v>
      </c>
      <c r="F49" s="157"/>
      <c r="G49" s="49" t="s">
        <v>839</v>
      </c>
      <c r="H49" s="49" t="s">
        <v>839</v>
      </c>
      <c r="I49" s="49" t="s">
        <v>839</v>
      </c>
    </row>
    <row r="50" spans="4:9" ht="20.100000000000001" customHeight="1" x14ac:dyDescent="0.2">
      <c r="D50" s="158" t="str">
        <v>Anaerobic digestion</v>
      </c>
      <c r="E50" s="162" t="str">
        <v>Food waste (including animal carcasses, spoiled animal feed or crop)</v>
      </c>
      <c r="F50" s="157"/>
      <c r="G50" s="49"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49" cm="1">
        <f t="array" ref="H50">Common_InputFunctions.Utility_LookupValueInTableNumber(E50,Table_SourceData_WasteSolid_VolumeToMassConversion[Waste type w],Table_SourceData_WasteSolid_VolumeToMassConversion[VTMw])</f>
        <v>0.5</v>
      </c>
      <c r="I50" s="49" cm="1">
        <f t="array" ref="I50">WasteSolid_Equations.VEERG_10_1_1_1__2_MassOfWasteFromVolume(G50,H50)</f>
        <v>0</v>
      </c>
    </row>
    <row r="51" spans="4:9" ht="20.100000000000001" customHeight="1" x14ac:dyDescent="0.2">
      <c r="D51" s="158" t="str">
        <v>Anaerobic digestion</v>
      </c>
      <c r="E51" s="162" t="str">
        <v>Green waste (including crop residues or prunings)</v>
      </c>
      <c r="F51" s="157"/>
      <c r="G51" s="49"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49" cm="1">
        <f t="array" ref="H51">Common_InputFunctions.Utility_LookupValueInTableNumber(E51,Table_SourceData_WasteSolid_VolumeToMassConversion[Waste type w],Table_SourceData_WasteSolid_VolumeToMassConversion[VTMw])</f>
        <v>0.24</v>
      </c>
      <c r="I51" s="49" cm="1">
        <f t="array" ref="I51">WasteSolid_Equations.VEERG_10_1_1_1__2_MassOfWasteFromVolume(G51,H51)</f>
        <v>0</v>
      </c>
    </row>
    <row r="52" spans="4:9" ht="20.100000000000001" customHeight="1" x14ac:dyDescent="0.2">
      <c r="D52" s="158" t="str">
        <v>Anaerobic digestion</v>
      </c>
      <c r="E52" s="162" t="str">
        <v>Wood</v>
      </c>
      <c r="F52" s="157"/>
      <c r="G52" s="49"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49" cm="1">
        <f t="array" ref="H52">Common_InputFunctions.Utility_LookupValueInTableNumber(E52,Table_SourceData_WasteSolid_VolumeToMassConversion[Waste type w],Table_SourceData_WasteSolid_VolumeToMassConversion[VTMw])</f>
        <v>0.15</v>
      </c>
      <c r="I52" s="49" cm="1">
        <f t="array" ref="I52">WasteSolid_Equations.VEERG_10_1_1_1__2_MassOfWasteFromVolume(G52,H52)</f>
        <v>0</v>
      </c>
    </row>
    <row r="53" spans="4:9" ht="20.100000000000001" customHeight="1" x14ac:dyDescent="0.2">
      <c r="D53" s="158" t="str">
        <v>Anaerobic digestion</v>
      </c>
      <c r="E53" s="162" t="str">
        <v>Sludge</v>
      </c>
      <c r="F53" s="157"/>
      <c r="G53" s="49"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49" cm="1">
        <f t="array" ref="H53">Common_InputFunctions.Utility_LookupValueInTableNumber(E53,Table_SourceData_WasteSolid_VolumeToMassConversion[Waste type w],Table_SourceData_WasteSolid_VolumeToMassConversion[VTMw])</f>
        <v>0.72</v>
      </c>
      <c r="I53" s="49" cm="1">
        <f t="array" ref="I53">WasteSolid_Equations.VEERG_10_1_1_1__2_MassOfWasteFromVolume(G53,H53)</f>
        <v>0</v>
      </c>
    </row>
    <row r="54" spans="4:9" ht="20.100000000000001" customHeight="1" x14ac:dyDescent="0.2">
      <c r="D54" s="158" t="str">
        <v>Anaerobic digestion</v>
      </c>
      <c r="E54" s="162" t="str">
        <v>Paper and cardboard</v>
      </c>
      <c r="F54" s="157"/>
      <c r="G54" s="49"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49" cm="1">
        <f t="array" ref="H54">Common_InputFunctions.Utility_LookupValueInTableNumber(E54,Table_SourceData_WasteSolid_VolumeToMassConversion[Waste type w],Table_SourceData_WasteSolid_VolumeToMassConversion[VTMw])</f>
        <v>0.09</v>
      </c>
      <c r="I54" s="49" cm="1">
        <f t="array" ref="I54">WasteSolid_Equations.VEERG_10_1_1_1__2_MassOfWasteFromVolume(G54,H54)</f>
        <v>0</v>
      </c>
    </row>
    <row r="56" spans="4:9" ht="20.100000000000001" customHeight="1" x14ac:dyDescent="0.2">
      <c r="D56" s="55" t="s">
        <v>794</v>
      </c>
    </row>
    <row r="57" spans="4:9" ht="20.100000000000001" customHeight="1" x14ac:dyDescent="0.2">
      <c r="D57" s="56" t="s">
        <v>795</v>
      </c>
    </row>
    <row r="58" spans="4:9" ht="20.100000000000001" customHeight="1" x14ac:dyDescent="0.2">
      <c r="D58" s="46" t="s">
        <v>789</v>
      </c>
      <c r="E58" s="46" t="s">
        <v>790</v>
      </c>
      <c r="F58" s="46"/>
      <c r="G58" s="46" t="s">
        <v>791</v>
      </c>
      <c r="H58" s="57" t="s">
        <v>792</v>
      </c>
      <c r="I58" s="57" t="s">
        <v>793</v>
      </c>
    </row>
    <row r="59" spans="4:9" ht="20.100000000000001" customHeight="1" x14ac:dyDescent="0.2">
      <c r="D59" s="158" t="str" cm="1">
        <f t="array" ref="D59:D92">Table_SourceData_WasteSolid_WasteTreatmentEFs[Treatment type t]</f>
        <v>Landfill</v>
      </c>
      <c r="E59" s="162" t="str" cm="1">
        <f t="array" ref="E59:E92">Table_SourceData_WasteSolid_WasteTreatmentEFs[Waste type w]</f>
        <v>Food waste (including animal carcasses, spoiled animal feed or crop)</v>
      </c>
      <c r="F59" s="200"/>
      <c r="G59" s="49"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100</v>
      </c>
      <c r="H59" s="49" cm="1">
        <f t="array" ref="H59">Common_InputFunctions.Utility_LookupValueInTableNumber(E59,Table_SourceData_WasteSolid_VolumeToMassConversion[Waste type w],Table_SourceData_WasteSolid_VolumeToMassConversion[VTMw])</f>
        <v>0.5</v>
      </c>
      <c r="I59" s="49" cm="1">
        <f t="array" ref="I59">WasteSolid_Equations.VEERG_10_1_1_1__2_MassOfWasteFromVolume(G59,H59)</f>
        <v>50</v>
      </c>
    </row>
    <row r="60" spans="4:9" ht="20.100000000000001" customHeight="1" x14ac:dyDescent="0.2">
      <c r="D60" s="158" t="str">
        <v>Landfill</v>
      </c>
      <c r="E60" s="162" t="str">
        <v>Paper and cardboard</v>
      </c>
      <c r="F60" s="200"/>
      <c r="G60" s="49"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0</v>
      </c>
      <c r="H60" s="49" cm="1">
        <f t="array" ref="H60">Common_InputFunctions.Utility_LookupValueInTableNumber(E60,Table_SourceData_WasteSolid_VolumeToMassConversion[Waste type w],Table_SourceData_WasteSolid_VolumeToMassConversion[VTMw])</f>
        <v>0.09</v>
      </c>
      <c r="I60" s="49" cm="1">
        <f t="array" ref="I60">WasteSolid_Equations.VEERG_10_1_1_1__2_MassOfWasteFromVolume(G60,H60)</f>
        <v>0</v>
      </c>
    </row>
    <row r="61" spans="4:9" ht="20.100000000000001" customHeight="1" x14ac:dyDescent="0.2">
      <c r="D61" s="158" t="str">
        <v>Landfill</v>
      </c>
      <c r="E61" s="162" t="str">
        <v>Green waste (including crop residues or prunings)</v>
      </c>
      <c r="F61" s="200"/>
      <c r="G61" s="49"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0</v>
      </c>
      <c r="H61" s="49" cm="1">
        <f t="array" ref="H61">Common_InputFunctions.Utility_LookupValueInTableNumber(E61,Table_SourceData_WasteSolid_VolumeToMassConversion[Waste type w],Table_SourceData_WasteSolid_VolumeToMassConversion[VTMw])</f>
        <v>0.24</v>
      </c>
      <c r="I61" s="49" cm="1">
        <f t="array" ref="I61">WasteSolid_Equations.VEERG_10_1_1_1__2_MassOfWasteFromVolume(G61,H61)</f>
        <v>0</v>
      </c>
    </row>
    <row r="62" spans="4:9" ht="20.100000000000001" customHeight="1" x14ac:dyDescent="0.2">
      <c r="D62" s="158" t="str">
        <v>Landfill</v>
      </c>
      <c r="E62" s="162" t="str">
        <v>Wood</v>
      </c>
      <c r="F62" s="200"/>
      <c r="G62" s="49"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49" cm="1">
        <f t="array" ref="H62">Common_InputFunctions.Utility_LookupValueInTableNumber(E62,Table_SourceData_WasteSolid_VolumeToMassConversion[Waste type w],Table_SourceData_WasteSolid_VolumeToMassConversion[VTMw])</f>
        <v>0.15</v>
      </c>
      <c r="I62" s="49" cm="1">
        <f t="array" ref="I62">WasteSolid_Equations.VEERG_10_1_1_1__2_MassOfWasteFromVolume(G62,H62)</f>
        <v>0</v>
      </c>
    </row>
    <row r="63" spans="4:9" ht="20.100000000000001" customHeight="1" x14ac:dyDescent="0.2">
      <c r="D63" s="158" t="str">
        <v>Landfill</v>
      </c>
      <c r="E63" s="162" t="str">
        <v>Textiles</v>
      </c>
      <c r="F63" s="200"/>
      <c r="G63" s="49"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50</v>
      </c>
      <c r="H63" s="49" cm="1">
        <f t="array" ref="H63">Common_InputFunctions.Utility_LookupValueInTableNumber(E63,Table_SourceData_WasteSolid_VolumeToMassConversion[Waste type w],Table_SourceData_WasteSolid_VolumeToMassConversion[VTMw])</f>
        <v>0.14000000000000001</v>
      </c>
      <c r="I63" s="49" cm="1">
        <f t="array" ref="I63">WasteSolid_Equations.VEERG_10_1_1_1__2_MassOfWasteFromVolume(G63,H63)</f>
        <v>7.0000000000000009</v>
      </c>
    </row>
    <row r="64" spans="4:9" ht="20.100000000000001" customHeight="1" x14ac:dyDescent="0.2">
      <c r="D64" s="158" t="str">
        <v>Landfill</v>
      </c>
      <c r="E64" s="162" t="str">
        <v>Sludge</v>
      </c>
      <c r="F64" s="200"/>
      <c r="G64" s="49"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49" cm="1">
        <f t="array" ref="H64">Common_InputFunctions.Utility_LookupValueInTableNumber(E64,Table_SourceData_WasteSolid_VolumeToMassConversion[Waste type w],Table_SourceData_WasteSolid_VolumeToMassConversion[VTMw])</f>
        <v>0.72</v>
      </c>
      <c r="I64" s="49" cm="1">
        <f t="array" ref="I64">WasteSolid_Equations.VEERG_10_1_1_1__2_MassOfWasteFromVolume(G64,H64)</f>
        <v>0</v>
      </c>
    </row>
    <row r="65" spans="4:9" ht="20.100000000000001" customHeight="1" x14ac:dyDescent="0.2">
      <c r="D65" s="158" t="str">
        <v>Landfill</v>
      </c>
      <c r="E65" s="162" t="str">
        <v>Rubber and leather</v>
      </c>
      <c r="F65" s="200"/>
      <c r="G65" s="49"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49" cm="1">
        <f t="array" ref="H65">Common_InputFunctions.Utility_LookupValueInTableNumber(E65,Table_SourceData_WasteSolid_VolumeToMassConversion[Waste type w],Table_SourceData_WasteSolid_VolumeToMassConversion[VTMw])</f>
        <v>0.14000000000000001</v>
      </c>
      <c r="I65" s="49" cm="1">
        <f t="array" ref="I65">WasteSolid_Equations.VEERG_10_1_1_1__2_MassOfWasteFromVolume(G65,H65)</f>
        <v>0</v>
      </c>
    </row>
    <row r="66" spans="4:9" ht="20.100000000000001" customHeight="1" x14ac:dyDescent="0.2">
      <c r="D66" s="158" t="str">
        <v>Landfill</v>
      </c>
      <c r="E66" s="162" t="str">
        <v>Inert waste (including concrete, metal, plastic or glass)</v>
      </c>
      <c r="F66" s="200"/>
      <c r="G66" s="49"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49" cm="1">
        <f t="array" ref="H66">Common_InputFunctions.Utility_LookupValueInTableNumber(E66,Table_SourceData_WasteSolid_VolumeToMassConversion[Waste type w],Table_SourceData_WasteSolid_VolumeToMassConversion[VTMw])</f>
        <v>0.42</v>
      </c>
      <c r="I66" s="49" cm="1">
        <f t="array" ref="I66">WasteSolid_Equations.VEERG_10_1_1_1__2_MassOfWasteFromVolume(G66,H66)</f>
        <v>0</v>
      </c>
    </row>
    <row r="67" spans="4:9" ht="20.100000000000001" customHeight="1" x14ac:dyDescent="0.2">
      <c r="D67" s="158" t="str">
        <v>Landfill</v>
      </c>
      <c r="E67" s="162" t="str">
        <v>Municipal solid waste</v>
      </c>
      <c r="F67" s="200"/>
      <c r="G67" s="49"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49" cm="1">
        <f t="array" ref="H67">Common_InputFunctions.Utility_LookupValueInTableNumber(E67,Table_SourceData_WasteSolid_VolumeToMassConversion[Waste type w],Table_SourceData_WasteSolid_VolumeToMassConversion[VTMw])</f>
        <v>0.36</v>
      </c>
      <c r="I67" s="49" cm="1">
        <f t="array" ref="I67">WasteSolid_Equations.VEERG_10_1_1_1__2_MassOfWasteFromVolume(G67,H67)</f>
        <v>0</v>
      </c>
    </row>
    <row r="68" spans="4:9" ht="20.100000000000001" customHeight="1" x14ac:dyDescent="0.2">
      <c r="D68" s="158" t="str">
        <v>Landfill</v>
      </c>
      <c r="E68" s="162" t="str">
        <v>Commercial and industrial waste</v>
      </c>
      <c r="F68" s="200"/>
      <c r="G68" s="49"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49" cm="1">
        <f t="array" ref="H68">Common_InputFunctions.Utility_LookupValueInTableNumber(E68,Table_SourceData_WasteSolid_VolumeToMassConversion[Waste type w],Table_SourceData_WasteSolid_VolumeToMassConversion[VTMw])</f>
        <v>0.33</v>
      </c>
      <c r="I68" s="49" cm="1">
        <f t="array" ref="I68">WasteSolid_Equations.VEERG_10_1_1_1__2_MassOfWasteFromVolume(G68,H68)</f>
        <v>0</v>
      </c>
    </row>
    <row r="69" spans="4:9" ht="20.100000000000001" customHeight="1" x14ac:dyDescent="0.2">
      <c r="D69" s="158" t="str">
        <v>Landfill</v>
      </c>
      <c r="E69" s="162" t="str">
        <v>Construction and demolition waste</v>
      </c>
      <c r="F69" s="200"/>
      <c r="G69" s="49"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49" cm="1">
        <f t="array" ref="H69">Common_InputFunctions.Utility_LookupValueInTableNumber(E69,Table_SourceData_WasteSolid_VolumeToMassConversion[Waste type w],Table_SourceData_WasteSolid_VolumeToMassConversion[VTMw])</f>
        <v>0.39</v>
      </c>
      <c r="I69" s="49" cm="1">
        <f t="array" ref="I69">WasteSolid_Equations.VEERG_10_1_1_1__2_MassOfWasteFromVolume(G69,H69)</f>
        <v>0</v>
      </c>
    </row>
    <row r="70" spans="4:9" ht="20.100000000000001" customHeight="1" x14ac:dyDescent="0.2">
      <c r="D70" s="158" t="str">
        <v>Incineration</v>
      </c>
      <c r="E70" s="162" t="str">
        <v>Food waste, green waste, wood, sludge</v>
      </c>
      <c r="F70" s="200"/>
      <c r="G70" s="49" t="s">
        <v>839</v>
      </c>
      <c r="H70" s="49" t="s">
        <v>839</v>
      </c>
      <c r="I70" s="49" t="s">
        <v>839</v>
      </c>
    </row>
    <row r="71" spans="4:9" ht="20.100000000000001" customHeight="1" x14ac:dyDescent="0.2">
      <c r="D71" s="158" t="str">
        <v>Incineration</v>
      </c>
      <c r="E71" s="162" t="str">
        <v>Food waste (including animal carcasses, spoiled animal feed or crop)</v>
      </c>
      <c r="F71" s="200"/>
      <c r="G71" s="49"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49" cm="1">
        <f t="array" ref="H71">Common_InputFunctions.Utility_LookupValueInTableNumber(E71,Table_SourceData_WasteSolid_VolumeToMassConversion[Waste type w],Table_SourceData_WasteSolid_VolumeToMassConversion[VTMw])</f>
        <v>0.5</v>
      </c>
      <c r="I71" s="49" cm="1">
        <f t="array" ref="I71">WasteSolid_Equations.VEERG_10_1_1_1__2_MassOfWasteFromVolume(G71,H71)</f>
        <v>0</v>
      </c>
    </row>
    <row r="72" spans="4:9" ht="20.100000000000001" customHeight="1" x14ac:dyDescent="0.2">
      <c r="D72" s="158" t="str">
        <v>Incineration</v>
      </c>
      <c r="E72" s="162" t="str">
        <v>Green waste (including crop residues or prunings)</v>
      </c>
      <c r="F72" s="200"/>
      <c r="G72" s="49"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0</v>
      </c>
      <c r="H72" s="49" cm="1">
        <f t="array" ref="H72">Common_InputFunctions.Utility_LookupValueInTableNumber(E72,Table_SourceData_WasteSolid_VolumeToMassConversion[Waste type w],Table_SourceData_WasteSolid_VolumeToMassConversion[VTMw])</f>
        <v>0.24</v>
      </c>
      <c r="I72" s="49" cm="1">
        <f t="array" ref="I72">WasteSolid_Equations.VEERG_10_1_1_1__2_MassOfWasteFromVolume(G72,H72)</f>
        <v>0</v>
      </c>
    </row>
    <row r="73" spans="4:9" ht="20.100000000000001" customHeight="1" x14ac:dyDescent="0.2">
      <c r="D73" s="158" t="str">
        <v>Incineration</v>
      </c>
      <c r="E73" s="162" t="str">
        <v>Wood</v>
      </c>
      <c r="F73" s="200"/>
      <c r="G73" s="49"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49" cm="1">
        <f t="array" ref="H73">Common_InputFunctions.Utility_LookupValueInTableNumber(E73,Table_SourceData_WasteSolid_VolumeToMassConversion[Waste type w],Table_SourceData_WasteSolid_VolumeToMassConversion[VTMw])</f>
        <v>0.15</v>
      </c>
      <c r="I73" s="49" cm="1">
        <f t="array" ref="I73">WasteSolid_Equations.VEERG_10_1_1_1__2_MassOfWasteFromVolume(G73,H73)</f>
        <v>0</v>
      </c>
    </row>
    <row r="74" spans="4:9" ht="20.100000000000001" customHeight="1" x14ac:dyDescent="0.2">
      <c r="D74" s="158" t="str">
        <v>Incineration</v>
      </c>
      <c r="E74" s="162" t="str">
        <v>Sludge</v>
      </c>
      <c r="F74" s="200"/>
      <c r="G74" s="49"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49" cm="1">
        <f t="array" ref="H74">Common_InputFunctions.Utility_LookupValueInTableNumber(E74,Table_SourceData_WasteSolid_VolumeToMassConversion[Waste type w],Table_SourceData_WasteSolid_VolumeToMassConversion[VTMw])</f>
        <v>0.72</v>
      </c>
      <c r="I74" s="49" cm="1">
        <f t="array" ref="I74">WasteSolid_Equations.VEERG_10_1_1_1__2_MassOfWasteFromVolume(G74,H74)</f>
        <v>0</v>
      </c>
    </row>
    <row r="75" spans="4:9" ht="20.100000000000001" customHeight="1" x14ac:dyDescent="0.2">
      <c r="D75" s="158" t="str">
        <v>Incineration</v>
      </c>
      <c r="E75" s="162" t="str">
        <v>Paper and cardboard</v>
      </c>
      <c r="F75" s="200"/>
      <c r="G75" s="49"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100</v>
      </c>
      <c r="H75" s="49" cm="1">
        <f t="array" ref="H75">Common_InputFunctions.Utility_LookupValueInTableNumber(E75,Table_SourceData_WasteSolid_VolumeToMassConversion[Waste type w],Table_SourceData_WasteSolid_VolumeToMassConversion[VTMw])</f>
        <v>0.09</v>
      </c>
      <c r="I75" s="49" cm="1">
        <f t="array" ref="I75">WasteSolid_Equations.VEERG_10_1_1_1__2_MassOfWasteFromVolume(G75,H75)</f>
        <v>9</v>
      </c>
    </row>
    <row r="76" spans="4:9" ht="20.100000000000001" customHeight="1" x14ac:dyDescent="0.2">
      <c r="D76" s="158" t="str">
        <v>Incineration</v>
      </c>
      <c r="E76" s="162" t="str">
        <v>Textiles</v>
      </c>
      <c r="F76" s="200"/>
      <c r="G76" s="49"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49" cm="1">
        <f t="array" ref="H76">Common_InputFunctions.Utility_LookupValueInTableNumber(E76,Table_SourceData_WasteSolid_VolumeToMassConversion[Waste type w],Table_SourceData_WasteSolid_VolumeToMassConversion[VTMw])</f>
        <v>0.14000000000000001</v>
      </c>
      <c r="I76" s="49" cm="1">
        <f t="array" ref="I76">WasteSolid_Equations.VEERG_10_1_1_1__2_MassOfWasteFromVolume(G76,H76)</f>
        <v>0</v>
      </c>
    </row>
    <row r="77" spans="4:9" ht="20.100000000000001" customHeight="1" x14ac:dyDescent="0.2">
      <c r="D77" s="158" t="str">
        <v>Incineration</v>
      </c>
      <c r="E77" s="162" t="str">
        <v>Rubber and leather</v>
      </c>
      <c r="F77" s="200"/>
      <c r="G77" s="49"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49" cm="1">
        <f t="array" ref="H77">Common_InputFunctions.Utility_LookupValueInTableNumber(E77,Table_SourceData_WasteSolid_VolumeToMassConversion[Waste type w],Table_SourceData_WasteSolid_VolumeToMassConversion[VTMw])</f>
        <v>0.14000000000000001</v>
      </c>
      <c r="I77" s="49" cm="1">
        <f t="array" ref="I77">WasteSolid_Equations.VEERG_10_1_1_1__2_MassOfWasteFromVolume(G77,H77)</f>
        <v>0</v>
      </c>
    </row>
    <row r="78" spans="4:9" ht="20.100000000000001" customHeight="1" x14ac:dyDescent="0.2">
      <c r="D78" s="158" t="str">
        <v>Incineration</v>
      </c>
      <c r="E78" s="162" t="str">
        <v>Inert waste (including concrete, metal, plastic or glass)</v>
      </c>
      <c r="F78" s="200"/>
      <c r="G78" s="49"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49" cm="1">
        <f t="array" ref="H78">Common_InputFunctions.Utility_LookupValueInTableNumber(E78,Table_SourceData_WasteSolid_VolumeToMassConversion[Waste type w],Table_SourceData_WasteSolid_VolumeToMassConversion[VTMw])</f>
        <v>0.42</v>
      </c>
      <c r="I78" s="49" cm="1">
        <f t="array" ref="I78">WasteSolid_Equations.VEERG_10_1_1_1__2_MassOfWasteFromVolume(G78,H78)</f>
        <v>0</v>
      </c>
    </row>
    <row r="79" spans="4:9" ht="20.100000000000001" customHeight="1" x14ac:dyDescent="0.2">
      <c r="D79" s="158" t="str">
        <v>Incineration</v>
      </c>
      <c r="E79" s="162" t="str">
        <v>Municipal solid waste</v>
      </c>
      <c r="F79" s="157"/>
      <c r="G79" s="49"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49" cm="1">
        <f t="array" ref="H79">Common_InputFunctions.Utility_LookupValueInTableNumber(E79,Table_SourceData_WasteSolid_VolumeToMassConversion[Waste type w],Table_SourceData_WasteSolid_VolumeToMassConversion[VTMw])</f>
        <v>0.36</v>
      </c>
      <c r="I79" s="49" cm="1">
        <f t="array" ref="I79">WasteSolid_Equations.VEERG_10_1_1_1__2_MassOfWasteFromVolume(G79,H79)</f>
        <v>0</v>
      </c>
    </row>
    <row r="80" spans="4:9" ht="20.100000000000001" customHeight="1" x14ac:dyDescent="0.2">
      <c r="D80" s="158" t="str">
        <v>Incineration</v>
      </c>
      <c r="E80" s="162" t="str">
        <v>Commercial and industrial waste</v>
      </c>
      <c r="F80" s="157"/>
      <c r="G80" s="49"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49" cm="1">
        <f t="array" ref="H80">Common_InputFunctions.Utility_LookupValueInTableNumber(E80,Table_SourceData_WasteSolid_VolumeToMassConversion[Waste type w],Table_SourceData_WasteSolid_VolumeToMassConversion[VTMw])</f>
        <v>0.33</v>
      </c>
      <c r="I80" s="49" cm="1">
        <f t="array" ref="I80">WasteSolid_Equations.VEERG_10_1_1_1__2_MassOfWasteFromVolume(G80,H80)</f>
        <v>0</v>
      </c>
    </row>
    <row r="81" spans="3:12" ht="20.100000000000001" customHeight="1" x14ac:dyDescent="0.2">
      <c r="D81" s="158" t="str">
        <v>Composting</v>
      </c>
      <c r="E81" s="162" t="str">
        <v>All organic waste</v>
      </c>
      <c r="F81" s="157"/>
      <c r="G81" s="49" t="s">
        <v>839</v>
      </c>
      <c r="H81" s="49" t="s">
        <v>839</v>
      </c>
      <c r="I81" s="49" t="s">
        <v>839</v>
      </c>
    </row>
    <row r="82" spans="3:12" ht="20.100000000000001" customHeight="1" x14ac:dyDescent="0.2">
      <c r="D82" s="158" t="str">
        <v>Composting</v>
      </c>
      <c r="E82" s="162" t="str">
        <v>Food waste (including animal carcasses, spoiled animal feed or crop)</v>
      </c>
      <c r="F82" s="157"/>
      <c r="G82" s="49"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49" cm="1">
        <f t="array" ref="H82">Common_InputFunctions.Utility_LookupValueInTableNumber(E82,Table_SourceData_WasteSolid_VolumeToMassConversion[Waste type w],Table_SourceData_WasteSolid_VolumeToMassConversion[VTMw])</f>
        <v>0.5</v>
      </c>
      <c r="I82" s="49" cm="1">
        <f t="array" ref="I82">WasteSolid_Equations.VEERG_10_1_1_1__2_MassOfWasteFromVolume(G82,H82)</f>
        <v>0</v>
      </c>
    </row>
    <row r="83" spans="3:12" ht="20.100000000000001" customHeight="1" x14ac:dyDescent="0.2">
      <c r="D83" s="158" t="str">
        <v>Composting</v>
      </c>
      <c r="E83" s="162" t="str">
        <v>Green waste (including crop residues or prunings)</v>
      </c>
      <c r="F83" s="157"/>
      <c r="G83" s="49"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49" cm="1">
        <f t="array" ref="H83">Common_InputFunctions.Utility_LookupValueInTableNumber(E83,Table_SourceData_WasteSolid_VolumeToMassConversion[Waste type w],Table_SourceData_WasteSolid_VolumeToMassConversion[VTMw])</f>
        <v>0.24</v>
      </c>
      <c r="I83" s="49" cm="1">
        <f t="array" ref="I83">WasteSolid_Equations.VEERG_10_1_1_1__2_MassOfWasteFromVolume(G83,H83)</f>
        <v>0</v>
      </c>
    </row>
    <row r="84" spans="3:12" ht="20.100000000000001" customHeight="1" x14ac:dyDescent="0.2">
      <c r="D84" s="158" t="str">
        <v>Composting</v>
      </c>
      <c r="E84" s="162" t="str">
        <v>Wood</v>
      </c>
      <c r="F84" s="157"/>
      <c r="G84" s="49"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49" cm="1">
        <f t="array" ref="H84">Common_InputFunctions.Utility_LookupValueInTableNumber(E84,Table_SourceData_WasteSolid_VolumeToMassConversion[Waste type w],Table_SourceData_WasteSolid_VolumeToMassConversion[VTMw])</f>
        <v>0.15</v>
      </c>
      <c r="I84" s="49" cm="1">
        <f t="array" ref="I84">WasteSolid_Equations.VEERG_10_1_1_1__2_MassOfWasteFromVolume(G84,H84)</f>
        <v>0</v>
      </c>
    </row>
    <row r="85" spans="3:12" ht="20.100000000000001" customHeight="1" x14ac:dyDescent="0.2">
      <c r="D85" s="158" t="str">
        <v>Composting</v>
      </c>
      <c r="E85" s="162" t="str">
        <v>Sludge</v>
      </c>
      <c r="F85" s="157"/>
      <c r="G85" s="49"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49" cm="1">
        <f t="array" ref="H85">Common_InputFunctions.Utility_LookupValueInTableNumber(E85,Table_SourceData_WasteSolid_VolumeToMassConversion[Waste type w],Table_SourceData_WasteSolid_VolumeToMassConversion[VTMw])</f>
        <v>0.72</v>
      </c>
      <c r="I85" s="49" cm="1">
        <f t="array" ref="I85">WasteSolid_Equations.VEERG_10_1_1_1__2_MassOfWasteFromVolume(G85,H85)</f>
        <v>0</v>
      </c>
    </row>
    <row r="86" spans="3:12" ht="20.100000000000001" customHeight="1" x14ac:dyDescent="0.2">
      <c r="D86" s="158" t="str">
        <v>Composting</v>
      </c>
      <c r="E86" s="162" t="str">
        <v>Paper and cardboard</v>
      </c>
      <c r="F86" s="157"/>
      <c r="G86" s="49"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49" cm="1">
        <f t="array" ref="H86">Common_InputFunctions.Utility_LookupValueInTableNumber(E86,Table_SourceData_WasteSolid_VolumeToMassConversion[Waste type w],Table_SourceData_WasteSolid_VolumeToMassConversion[VTMw])</f>
        <v>0.09</v>
      </c>
      <c r="I86" s="49" cm="1">
        <f t="array" ref="I86">WasteSolid_Equations.VEERG_10_1_1_1__2_MassOfWasteFromVolume(G86,H86)</f>
        <v>0</v>
      </c>
    </row>
    <row r="87" spans="3:12" ht="20.100000000000001" customHeight="1" x14ac:dyDescent="0.2">
      <c r="D87" s="158" t="str">
        <v>Anaerobic digestion</v>
      </c>
      <c r="E87" s="162" t="str">
        <v>All organic waste</v>
      </c>
      <c r="F87" s="157"/>
      <c r="G87" s="49" t="s">
        <v>839</v>
      </c>
      <c r="H87" s="49" t="s">
        <v>839</v>
      </c>
      <c r="I87" s="49" t="s">
        <v>839</v>
      </c>
    </row>
    <row r="88" spans="3:12" ht="20.100000000000001" customHeight="1" x14ac:dyDescent="0.2">
      <c r="D88" s="158" t="str">
        <v>Anaerobic digestion</v>
      </c>
      <c r="E88" s="162" t="str">
        <v>Food waste (including animal carcasses, spoiled animal feed or crop)</v>
      </c>
      <c r="F88" s="157"/>
      <c r="G88" s="49"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49" cm="1">
        <f t="array" ref="H88">Common_InputFunctions.Utility_LookupValueInTableNumber(E88,Table_SourceData_WasteSolid_VolumeToMassConversion[Waste type w],Table_SourceData_WasteSolid_VolumeToMassConversion[VTMw])</f>
        <v>0.5</v>
      </c>
      <c r="I88" s="49" cm="1">
        <f t="array" ref="I88">WasteSolid_Equations.VEERG_10_1_1_1__2_MassOfWasteFromVolume(G88,H88)</f>
        <v>0</v>
      </c>
    </row>
    <row r="89" spans="3:12" ht="20.100000000000001" customHeight="1" x14ac:dyDescent="0.2">
      <c r="D89" s="158" t="str">
        <v>Anaerobic digestion</v>
      </c>
      <c r="E89" s="162" t="str">
        <v>Green waste (including crop residues or prunings)</v>
      </c>
      <c r="F89" s="157"/>
      <c r="G89" s="49"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49" cm="1">
        <f t="array" ref="H89">Common_InputFunctions.Utility_LookupValueInTableNumber(E89,Table_SourceData_WasteSolid_VolumeToMassConversion[Waste type w],Table_SourceData_WasteSolid_VolumeToMassConversion[VTMw])</f>
        <v>0.24</v>
      </c>
      <c r="I89" s="49" cm="1">
        <f t="array" ref="I89">WasteSolid_Equations.VEERG_10_1_1_1__2_MassOfWasteFromVolume(G89,H89)</f>
        <v>0</v>
      </c>
    </row>
    <row r="90" spans="3:12" ht="20.100000000000001" customHeight="1" x14ac:dyDescent="0.2">
      <c r="D90" s="158" t="str">
        <v>Anaerobic digestion</v>
      </c>
      <c r="E90" s="162" t="str">
        <v>Wood</v>
      </c>
      <c r="F90" s="157"/>
      <c r="G90" s="49"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49" cm="1">
        <f t="array" ref="H90">Common_InputFunctions.Utility_LookupValueInTableNumber(E90,Table_SourceData_WasteSolid_VolumeToMassConversion[Waste type w],Table_SourceData_WasteSolid_VolumeToMassConversion[VTMw])</f>
        <v>0.15</v>
      </c>
      <c r="I90" s="49" cm="1">
        <f t="array" ref="I90">WasteSolid_Equations.VEERG_10_1_1_1__2_MassOfWasteFromVolume(G90,H90)</f>
        <v>0</v>
      </c>
    </row>
    <row r="91" spans="3:12" ht="20.100000000000001" customHeight="1" x14ac:dyDescent="0.2">
      <c r="D91" s="158" t="str">
        <v>Anaerobic digestion</v>
      </c>
      <c r="E91" s="162" t="str">
        <v>Sludge</v>
      </c>
      <c r="F91" s="157"/>
      <c r="G91" s="49"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49" cm="1">
        <f t="array" ref="H91">Common_InputFunctions.Utility_LookupValueInTableNumber(E91,Table_SourceData_WasteSolid_VolumeToMassConversion[Waste type w],Table_SourceData_WasteSolid_VolumeToMassConversion[VTMw])</f>
        <v>0.72</v>
      </c>
      <c r="I91" s="49" cm="1">
        <f t="array" ref="I91">WasteSolid_Equations.VEERG_10_1_1_1__2_MassOfWasteFromVolume(G91,H91)</f>
        <v>0</v>
      </c>
    </row>
    <row r="92" spans="3:12" ht="20.100000000000001" customHeight="1" x14ac:dyDescent="0.2">
      <c r="D92" s="158" t="str">
        <v>Anaerobic digestion</v>
      </c>
      <c r="E92" s="162" t="str">
        <v>Paper and cardboard</v>
      </c>
      <c r="F92" s="157"/>
      <c r="G92" s="49"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49" cm="1">
        <f t="array" ref="H92">Common_InputFunctions.Utility_LookupValueInTableNumber(E92,Table_SourceData_WasteSolid_VolumeToMassConversion[Waste type w],Table_SourceData_WasteSolid_VolumeToMassConversion[VTMw])</f>
        <v>0.09</v>
      </c>
      <c r="I92" s="49" cm="1">
        <f t="array" ref="I92">WasteSolid_Equations.VEERG_10_1_1_1__2_MassOfWasteFromVolume(G92,H92)</f>
        <v>0</v>
      </c>
    </row>
    <row r="95" spans="3:12" ht="20.100000000000001" customHeight="1" x14ac:dyDescent="0.2">
      <c r="C95" s="89"/>
      <c r="D95" s="89"/>
      <c r="E95" s="89"/>
      <c r="F95" s="89"/>
      <c r="G95" s="89"/>
      <c r="H95" s="89"/>
      <c r="I95" s="89"/>
      <c r="J95" s="89"/>
      <c r="K95" s="89"/>
      <c r="L95" s="89"/>
    </row>
    <row r="96" spans="3:12" ht="20.100000000000001" customHeight="1" x14ac:dyDescent="0.2">
      <c r="D96" s="9" t="str" cm="1">
        <f t="array" ref="D96">WasteSolid_Equations.VEERG_10_1_1_1__1_EmissionsFromWasteManagement_Title()</f>
        <v>Emissions from waste management by greenhouse gas</v>
      </c>
    </row>
    <row r="97" spans="4:9" ht="20.100000000000001" customHeight="1" x14ac:dyDescent="0.2">
      <c r="D97" s="11" t="str" cm="1">
        <f t="array" ref="D97">WasteSolid_Equations.VEERG_10_1_1_1__1_EmissionsFromWasteManagement_Source()</f>
        <v>VEERG 2026: 10.1.1.1, Equation (1)</v>
      </c>
    </row>
    <row r="98" spans="4:9" ht="20.100000000000001" customHeight="1" x14ac:dyDescent="0.2">
      <c r="D98" s="12" t="str" cm="1">
        <f t="array" ref="D98">WasteSolid_Equations.VEERG_10_1_1_1__1_EmissionsFromWasteManagement_Variation()</f>
        <v>VARIATION ON SOURCE: Added Q_volwt and Q_masswt variables to clearly track input or calculated Q values</v>
      </c>
    </row>
    <row r="99" spans="4:9" ht="20.100000000000001" customHeight="1" x14ac:dyDescent="0.2">
      <c r="D99" s="163" t="s">
        <v>621</v>
      </c>
      <c r="E99" s="163" t="str" cm="1">
        <f t="array" aca="1" ref="E99" ca="1">Common_InputFunctions.Utility_DisplayFunctionName(K116)</f>
        <v>=WasteSolid_Equations.VEERG_10_1_1_1__1_EmissionsFromWasteManagement</v>
      </c>
    </row>
    <row r="102" spans="4:9" ht="20.100000000000001" customHeight="1" x14ac:dyDescent="0.2">
      <c r="D102" s="27" t="s">
        <v>622</v>
      </c>
      <c r="E102" s="8" t="str" cm="1">
        <f t="array" ref="E102">WasteSolid_Equations.VEERG_10_1_1_1__1_EmissionsFromWasteManagement_Variable()</f>
        <v>E_g</v>
      </c>
    </row>
    <row r="103" spans="4:9" ht="20.100000000000001" customHeight="1" x14ac:dyDescent="0.2">
      <c r="D103" s="27" t="s">
        <v>97</v>
      </c>
      <c r="E103" s="13" t="str" cm="1">
        <f t="array" ref="E103">WasteSolid_Equations.VEERG_10_1_1_1__1_EmissionsFromWasteManagement_Unit()</f>
        <v>t CO2e</v>
      </c>
    </row>
    <row r="105" spans="4:9" ht="20.100000000000001" customHeight="1" x14ac:dyDescent="0.2">
      <c r="D105" s="158" t="str" cm="1">
        <f t="array" ref="D105:E111">_xlfn.CHOOSECOLS(WasteSolid_Equations.VEERG_10_1_1_1__1_EmissionsFromWasteManagement_Arguments(),1,2)</f>
        <v>Q_wt</v>
      </c>
      <c r="E105" s="162" t="str">
        <v>quantity of solid waste of type w being sent to treatment facility t, on a wet weight basis</v>
      </c>
      <c r="F105" s="196"/>
      <c r="G105" s="157"/>
      <c r="H105" s="158" t="str" cm="1">
        <f t="array" ref="H105:I111">_xlfn.CHOOSECOLS(WasteSolid_Equations.VEERG_10_1_1_1__1_EmissionsFromWasteManagement_Arguments(),3,4)</f>
        <v>t</v>
      </c>
      <c r="I105" s="160" t="str">
        <v>Sum of Q_volwt and Q_masswt</v>
      </c>
    </row>
    <row r="106" spans="4:9" ht="20.100000000000001" customHeight="1" x14ac:dyDescent="0.2">
      <c r="D106" s="158" t="str">
        <v>EF_wtg</v>
      </c>
      <c r="E106" s="162" t="str">
        <v>emission factor for greenhouse gas g for the management of waste at treatment facility t</v>
      </c>
      <c r="F106" s="196"/>
      <c r="G106" s="157"/>
      <c r="H106" s="158" t="str">
        <v>t CO2e/t</v>
      </c>
      <c r="I106" s="160" t="str">
        <v>Constant</v>
      </c>
    </row>
    <row r="107" spans="4:9" ht="20.100000000000001" customHeight="1" x14ac:dyDescent="0.2">
      <c r="D107" s="158" t="str">
        <v>w</v>
      </c>
      <c r="E107" s="162" t="str">
        <v>waste type</v>
      </c>
      <c r="F107" s="196"/>
      <c r="G107" s="157"/>
      <c r="H107" s="158" t="str">
        <v/>
      </c>
      <c r="I107" s="159" t="str">
        <v>Input</v>
      </c>
    </row>
    <row r="108" spans="4:9" ht="20.100000000000001" customHeight="1" x14ac:dyDescent="0.2">
      <c r="D108" s="158" t="str">
        <v>t</v>
      </c>
      <c r="E108" s="162" t="str">
        <v>treatment facility</v>
      </c>
      <c r="F108" s="196"/>
      <c r="G108" s="157"/>
      <c r="H108" s="158" t="str">
        <v/>
      </c>
      <c r="I108" s="159" t="str">
        <v>Input</v>
      </c>
    </row>
    <row r="109" spans="4:9" ht="20.100000000000001" customHeight="1" x14ac:dyDescent="0.2">
      <c r="D109" s="158" t="str">
        <v>g</v>
      </c>
      <c r="E109" s="162" t="str">
        <v>greenhouse gas</v>
      </c>
      <c r="F109" s="196"/>
      <c r="G109" s="157"/>
      <c r="H109" s="158" t="str">
        <v/>
      </c>
      <c r="I109" s="159" t="str">
        <v>Input</v>
      </c>
    </row>
    <row r="110" spans="4:9" ht="20.100000000000001" customHeight="1" x14ac:dyDescent="0.2">
      <c r="D110" s="158" t="str">
        <v>Q_volwt</v>
      </c>
      <c r="E110" s="162" t="str">
        <v>quantity of sold waste input as volume and converted to tonnes</v>
      </c>
      <c r="F110" s="196"/>
      <c r="G110" s="157"/>
      <c r="H110" s="158" t="str">
        <v>tonnes</v>
      </c>
      <c r="I110" s="160" t="str">
        <v>Calculated from 10.1.1.1 (2)</v>
      </c>
    </row>
    <row r="111" spans="4:9" ht="20.100000000000001" customHeight="1" x14ac:dyDescent="0.2">
      <c r="D111" s="158" t="str">
        <v>Q_masswt</v>
      </c>
      <c r="E111" s="162" t="str">
        <v>quantity of solid waste input as mass</v>
      </c>
      <c r="F111" s="196"/>
      <c r="G111" s="157"/>
      <c r="H111" s="158" t="str">
        <v>tonnes</v>
      </c>
      <c r="I111" s="159" t="str">
        <v>Input</v>
      </c>
    </row>
    <row r="113" spans="4:11" ht="20.100000000000001" customHeight="1" x14ac:dyDescent="0.2">
      <c r="D113" s="55" t="s">
        <v>796</v>
      </c>
    </row>
    <row r="114" spans="4:11" ht="20.100000000000001" customHeight="1" x14ac:dyDescent="0.2">
      <c r="D114" s="56" t="s">
        <v>797</v>
      </c>
    </row>
    <row r="115" spans="4:11" ht="20.100000000000001" customHeight="1" x14ac:dyDescent="0.2">
      <c r="D115" s="46" t="s">
        <v>789</v>
      </c>
      <c r="E115" s="46" t="s">
        <v>790</v>
      </c>
      <c r="F115" s="46"/>
      <c r="G115" s="46" t="s">
        <v>840</v>
      </c>
      <c r="H115" s="57" t="s">
        <v>841</v>
      </c>
      <c r="I115" s="57" t="s">
        <v>793</v>
      </c>
      <c r="J115" s="57" t="s">
        <v>842</v>
      </c>
      <c r="K115" s="57" t="s">
        <v>843</v>
      </c>
    </row>
    <row r="116" spans="4:11" ht="20.100000000000001" customHeight="1" x14ac:dyDescent="0.2">
      <c r="D116" s="158" t="str" cm="1">
        <f t="array" ref="D116:D149">Table_SourceData_WasteSolid_WasteTreatmentEFs[Treatment type t]</f>
        <v>Landfill</v>
      </c>
      <c r="E116" s="162" t="str" cm="1">
        <f t="array" ref="E116:E149">Table_SourceData_WasteSolid_WasteTreatmentEFs[Waste type w]</f>
        <v>Food waste (including animal carcasses, spoiled animal feed or crop)</v>
      </c>
      <c r="F116" s="200"/>
      <c r="G116" s="49"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0</v>
      </c>
      <c r="H116" s="49">
        <f t="shared" ref="H116:H149" si="0">I21</f>
        <v>0</v>
      </c>
      <c r="I116" s="49">
        <f>G116+H116</f>
        <v>0</v>
      </c>
      <c r="J116" s="49" cm="1">
        <f t="array" ref="J116">Common_InputFunctions.Utility_LookupValueInTableTwoColumns(D116,E116,Table_SourceData_WasteSolid_WasteTreatmentEFs[Treatment type t],Table_SourceData_WasteSolid_WasteTreatmentEFs[Waste type w],Table_SourceData_WasteSolid_WasteTreatmentEFs[EFwt])</f>
        <v>2.1</v>
      </c>
      <c r="K116" s="49" cm="1">
        <f t="array" ref="K116">WasteSolid_Equations.VEERG_10_1_1_1__1_EmissionsFromWasteManagement(I116, J116)</f>
        <v>0</v>
      </c>
    </row>
    <row r="117" spans="4:11" ht="20.100000000000001" customHeight="1" x14ac:dyDescent="0.2">
      <c r="D117" s="158" t="str">
        <v>Landfill</v>
      </c>
      <c r="E117" s="162" t="str">
        <v>Paper and cardboard</v>
      </c>
      <c r="F117" s="200"/>
      <c r="G117" s="49"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0</v>
      </c>
      <c r="H117" s="49">
        <f t="shared" si="0"/>
        <v>0</v>
      </c>
      <c r="I117" s="49">
        <f t="shared" ref="I117:I126" si="1">G117+H117</f>
        <v>0</v>
      </c>
      <c r="J117" s="49" cm="1">
        <f t="array" ref="J117">Common_InputFunctions.Utility_LookupValueInTableTwoColumns(D117,E117,Table_SourceData_WasteSolid_WasteTreatmentEFs[Treatment type t],Table_SourceData_WasteSolid_WasteTreatmentEFs[Waste type w],Table_SourceData_WasteSolid_WasteTreatmentEFs[EFwt])</f>
        <v>3.3</v>
      </c>
      <c r="K117" s="49" cm="1">
        <f t="array" ref="K117">WasteSolid_Equations.VEERG_10_1_1_1__1_EmissionsFromWasteManagement(I117, J117)</f>
        <v>0</v>
      </c>
    </row>
    <row r="118" spans="4:11" ht="20.100000000000001" customHeight="1" x14ac:dyDescent="0.2">
      <c r="D118" s="158" t="str">
        <v>Landfill</v>
      </c>
      <c r="E118" s="162" t="str">
        <v>Green waste (including crop residues or prunings)</v>
      </c>
      <c r="F118" s="200"/>
      <c r="G118" s="49"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0</v>
      </c>
      <c r="H118" s="49">
        <f t="shared" si="0"/>
        <v>0</v>
      </c>
      <c r="I118" s="49">
        <f t="shared" si="1"/>
        <v>0</v>
      </c>
      <c r="J118" s="49" cm="1">
        <f t="array" ref="J118">Common_InputFunctions.Utility_LookupValueInTableTwoColumns(D118,E118,Table_SourceData_WasteSolid_WasteTreatmentEFs[Treatment type t],Table_SourceData_WasteSolid_WasteTreatmentEFs[Waste type w],Table_SourceData_WasteSolid_WasteTreatmentEFs[EFwt])</f>
        <v>1.6</v>
      </c>
      <c r="K118" s="49" cm="1">
        <f t="array" ref="K118">WasteSolid_Equations.VEERG_10_1_1_1__1_EmissionsFromWasteManagement(I118, J118)</f>
        <v>0</v>
      </c>
    </row>
    <row r="119" spans="4:11" ht="20.100000000000001" customHeight="1" x14ac:dyDescent="0.2">
      <c r="D119" s="158" t="str">
        <v>Landfill</v>
      </c>
      <c r="E119" s="162" t="str">
        <v>Wood</v>
      </c>
      <c r="F119" s="200"/>
      <c r="G119" s="49"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49">
        <f t="shared" si="0"/>
        <v>0</v>
      </c>
      <c r="I119" s="49">
        <f t="shared" si="1"/>
        <v>0</v>
      </c>
      <c r="J119" s="49" cm="1">
        <f t="array" ref="J119">Common_InputFunctions.Utility_LookupValueInTableTwoColumns(D119,E119,Table_SourceData_WasteSolid_WasteTreatmentEFs[Treatment type t],Table_SourceData_WasteSolid_WasteTreatmentEFs[Waste type w],Table_SourceData_WasteSolid_WasteTreatmentEFs[EFwt])</f>
        <v>0.7</v>
      </c>
      <c r="K119" s="49" cm="1">
        <f t="array" ref="K119">WasteSolid_Equations.VEERG_10_1_1_1__1_EmissionsFromWasteManagement(I119, J119)</f>
        <v>0</v>
      </c>
    </row>
    <row r="120" spans="4:11" ht="20.100000000000001" customHeight="1" x14ac:dyDescent="0.2">
      <c r="D120" s="158" t="str">
        <v>Landfill</v>
      </c>
      <c r="E120" s="162" t="str">
        <v>Textiles</v>
      </c>
      <c r="F120" s="200"/>
      <c r="G120" s="49"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49">
        <f t="shared" si="0"/>
        <v>0</v>
      </c>
      <c r="I120" s="49">
        <f t="shared" si="1"/>
        <v>0</v>
      </c>
      <c r="J120" s="49" cm="1">
        <f t="array" ref="J120">Common_InputFunctions.Utility_LookupValueInTableTwoColumns(D120,E120,Table_SourceData_WasteSolid_WasteTreatmentEFs[Treatment type t],Table_SourceData_WasteSolid_WasteTreatmentEFs[Waste type w],Table_SourceData_WasteSolid_WasteTreatmentEFs[EFwt])</f>
        <v>2</v>
      </c>
      <c r="K120" s="49" cm="1">
        <f t="array" ref="K120">WasteSolid_Equations.VEERG_10_1_1_1__1_EmissionsFromWasteManagement(I120, J120)</f>
        <v>0</v>
      </c>
    </row>
    <row r="121" spans="4:11" ht="20.100000000000001" customHeight="1" x14ac:dyDescent="0.2">
      <c r="D121" s="158" t="str">
        <v>Landfill</v>
      </c>
      <c r="E121" s="162" t="str">
        <v>Sludge</v>
      </c>
      <c r="F121" s="200"/>
      <c r="G121" s="49"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49">
        <f t="shared" si="0"/>
        <v>0</v>
      </c>
      <c r="I121" s="49">
        <f t="shared" si="1"/>
        <v>0</v>
      </c>
      <c r="J121" s="49" cm="1">
        <f t="array" ref="J121">Common_InputFunctions.Utility_LookupValueInTableTwoColumns(D121,E121,Table_SourceData_WasteSolid_WasteTreatmentEFs[Treatment type t],Table_SourceData_WasteSolid_WasteTreatmentEFs[Waste type w],Table_SourceData_WasteSolid_WasteTreatmentEFs[EFwt])</f>
        <v>0.4</v>
      </c>
      <c r="K121" s="49" cm="1">
        <f t="array" ref="K121">WasteSolid_Equations.VEERG_10_1_1_1__1_EmissionsFromWasteManagement(I121, J121)</f>
        <v>0</v>
      </c>
    </row>
    <row r="122" spans="4:11" ht="20.100000000000001" customHeight="1" x14ac:dyDescent="0.2">
      <c r="D122" s="158" t="str">
        <v>Landfill</v>
      </c>
      <c r="E122" s="162" t="str">
        <v>Rubber and leather</v>
      </c>
      <c r="F122" s="200"/>
      <c r="G122" s="49"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49">
        <f t="shared" si="0"/>
        <v>0</v>
      </c>
      <c r="I122" s="49">
        <f t="shared" si="1"/>
        <v>0</v>
      </c>
      <c r="J122" s="49" cm="1">
        <f t="array" ref="J122">Common_InputFunctions.Utility_LookupValueInTableTwoColumns(D122,E122,Table_SourceData_WasteSolid_WasteTreatmentEFs[Treatment type t],Table_SourceData_WasteSolid_WasteTreatmentEFs[Waste type w],Table_SourceData_WasteSolid_WasteTreatmentEFs[EFwt])</f>
        <v>3.3</v>
      </c>
      <c r="K122" s="49" cm="1">
        <f t="array" ref="K122">WasteSolid_Equations.VEERG_10_1_1_1__1_EmissionsFromWasteManagement(I122, J122)</f>
        <v>0</v>
      </c>
    </row>
    <row r="123" spans="4:11" ht="20.100000000000001" customHeight="1" x14ac:dyDescent="0.2">
      <c r="D123" s="158" t="str">
        <v>Landfill</v>
      </c>
      <c r="E123" s="162" t="str">
        <v>Inert waste (including concrete, metal, plastic or glass)</v>
      </c>
      <c r="F123" s="200"/>
      <c r="G123" s="49"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49">
        <f t="shared" si="0"/>
        <v>0</v>
      </c>
      <c r="I123" s="49">
        <f t="shared" si="1"/>
        <v>0</v>
      </c>
      <c r="J123" s="49" cm="1">
        <f t="array" ref="J123">Common_InputFunctions.Utility_LookupValueInTableTwoColumns(D123,E123,Table_SourceData_WasteSolid_WasteTreatmentEFs[Treatment type t],Table_SourceData_WasteSolid_WasteTreatmentEFs[Waste type w],Table_SourceData_WasteSolid_WasteTreatmentEFs[EFwt])</f>
        <v>0</v>
      </c>
      <c r="K123" s="49" cm="1">
        <f t="array" ref="K123">WasteSolid_Equations.VEERG_10_1_1_1__1_EmissionsFromWasteManagement(I123, J123)</f>
        <v>0</v>
      </c>
    </row>
    <row r="124" spans="4:11" ht="20.100000000000001" customHeight="1" x14ac:dyDescent="0.2">
      <c r="D124" s="158" t="str">
        <v>Landfill</v>
      </c>
      <c r="E124" s="162" t="str">
        <v>Municipal solid waste</v>
      </c>
      <c r="F124" s="200"/>
      <c r="G124" s="49"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49">
        <f t="shared" si="0"/>
        <v>0</v>
      </c>
      <c r="I124" s="49">
        <f t="shared" si="1"/>
        <v>0</v>
      </c>
      <c r="J124" s="49" cm="1">
        <f t="array" ref="J124">Common_InputFunctions.Utility_LookupValueInTableTwoColumns(D124,E124,Table_SourceData_WasteSolid_WasteTreatmentEFs[Treatment type t],Table_SourceData_WasteSolid_WasteTreatmentEFs[Waste type w],Table_SourceData_WasteSolid_WasteTreatmentEFs[EFwt])</f>
        <v>1.6</v>
      </c>
      <c r="K124" s="49" cm="1">
        <f t="array" ref="K124">WasteSolid_Equations.VEERG_10_1_1_1__1_EmissionsFromWasteManagement(I124, J124)</f>
        <v>0</v>
      </c>
    </row>
    <row r="125" spans="4:11" ht="20.100000000000001" customHeight="1" x14ac:dyDescent="0.2">
      <c r="D125" s="158" t="str">
        <v>Landfill</v>
      </c>
      <c r="E125" s="162" t="str">
        <v>Commercial and industrial waste</v>
      </c>
      <c r="F125" s="200"/>
      <c r="G125" s="49"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49">
        <f t="shared" si="0"/>
        <v>0</v>
      </c>
      <c r="I125" s="49">
        <f t="shared" si="1"/>
        <v>0</v>
      </c>
      <c r="J125" s="49" cm="1">
        <f t="array" ref="J125">Common_InputFunctions.Utility_LookupValueInTableTwoColumns(D125,E125,Table_SourceData_WasteSolid_WasteTreatmentEFs[Treatment type t],Table_SourceData_WasteSolid_WasteTreatmentEFs[Waste type w],Table_SourceData_WasteSolid_WasteTreatmentEFs[EFwt])</f>
        <v>1.3</v>
      </c>
      <c r="K125" s="49" cm="1">
        <f t="array" ref="K125">WasteSolid_Equations.VEERG_10_1_1_1__1_EmissionsFromWasteManagement(I125, J125)</f>
        <v>0</v>
      </c>
    </row>
    <row r="126" spans="4:11" ht="20.100000000000001" customHeight="1" x14ac:dyDescent="0.2">
      <c r="D126" s="158" t="str">
        <v>Landfill</v>
      </c>
      <c r="E126" s="162" t="str">
        <v>Construction and demolition waste</v>
      </c>
      <c r="F126" s="200"/>
      <c r="G126" s="49"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49">
        <f t="shared" si="0"/>
        <v>0</v>
      </c>
      <c r="I126" s="49">
        <f t="shared" si="1"/>
        <v>0</v>
      </c>
      <c r="J126" s="49" cm="1">
        <f t="array" ref="J126">Common_InputFunctions.Utility_LookupValueInTableTwoColumns(D126,E126,Table_SourceData_WasteSolid_WasteTreatmentEFs[Treatment type t],Table_SourceData_WasteSolid_WasteTreatmentEFs[Waste type w],Table_SourceData_WasteSolid_WasteTreatmentEFs[EFwt])</f>
        <v>0.2</v>
      </c>
      <c r="K126" s="49" cm="1">
        <f t="array" ref="K126">WasteSolid_Equations.VEERG_10_1_1_1__1_EmissionsFromWasteManagement(I126, J126)</f>
        <v>0</v>
      </c>
    </row>
    <row r="127" spans="4:11" ht="20.100000000000001" customHeight="1" x14ac:dyDescent="0.2">
      <c r="D127" s="158" t="str">
        <v>Incineration</v>
      </c>
      <c r="E127" s="162" t="str">
        <v>Food waste, green waste, wood, sludge</v>
      </c>
      <c r="F127" s="200"/>
      <c r="G127" s="49" t="s">
        <v>839</v>
      </c>
      <c r="H127" s="49" t="str">
        <f t="shared" si="0"/>
        <v>Not used</v>
      </c>
      <c r="I127" s="49">
        <f>SUM(G128:G131)+SUM(H128:H131)</f>
        <v>0</v>
      </c>
      <c r="J127" s="49" cm="1">
        <f t="array" ref="J127">Common_InputFunctions.Utility_LookupValueInTableTwoColumns(D127,E127,Table_SourceData_WasteSolid_WasteTreatmentEFs[Treatment type t],Table_SourceData_WasteSolid_WasteTreatmentEFs[Waste type w],Table_SourceData_WasteSolid_WasteTreatmentEFs[EFwt])</f>
        <v>0</v>
      </c>
      <c r="K127" s="49" cm="1">
        <f t="array" ref="K127">WasteSolid_Equations.VEERG_10_1_1_1__1_EmissionsFromWasteManagement(I127, J127)</f>
        <v>0</v>
      </c>
    </row>
    <row r="128" spans="4:11" ht="20.100000000000001" customHeight="1" x14ac:dyDescent="0.2">
      <c r="D128" s="158" t="str">
        <v>Incineration</v>
      </c>
      <c r="E128" s="162" t="str">
        <v>Food waste (including animal carcasses, spoiled animal feed or crop)</v>
      </c>
      <c r="F128" s="200"/>
      <c r="G128" s="49"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49">
        <f t="shared" si="0"/>
        <v>0</v>
      </c>
      <c r="I128" s="49" t="s">
        <v>844</v>
      </c>
      <c r="J128" s="49" t="s">
        <v>839</v>
      </c>
      <c r="K128" s="49" t="s">
        <v>839</v>
      </c>
    </row>
    <row r="129" spans="4:11" ht="20.100000000000001" customHeight="1" x14ac:dyDescent="0.2">
      <c r="D129" s="158" t="str">
        <v>Incineration</v>
      </c>
      <c r="E129" s="162" t="str">
        <v>Green waste (including crop residues or prunings)</v>
      </c>
      <c r="F129" s="200"/>
      <c r="G129" s="49"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0</v>
      </c>
      <c r="H129" s="49">
        <f t="shared" si="0"/>
        <v>0</v>
      </c>
      <c r="I129" s="49" t="s">
        <v>844</v>
      </c>
      <c r="J129" s="49" t="s">
        <v>839</v>
      </c>
      <c r="K129" s="49" t="s">
        <v>839</v>
      </c>
    </row>
    <row r="130" spans="4:11" ht="20.100000000000001" customHeight="1" x14ac:dyDescent="0.2">
      <c r="D130" s="158" t="str">
        <v>Incineration</v>
      </c>
      <c r="E130" s="162" t="str">
        <v>Wood</v>
      </c>
      <c r="F130" s="200"/>
      <c r="G130" s="49"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49">
        <f t="shared" si="0"/>
        <v>0</v>
      </c>
      <c r="I130" s="49" t="s">
        <v>844</v>
      </c>
      <c r="J130" s="49" t="s">
        <v>839</v>
      </c>
      <c r="K130" s="49" t="s">
        <v>839</v>
      </c>
    </row>
    <row r="131" spans="4:11" ht="20.100000000000001" customHeight="1" x14ac:dyDescent="0.2">
      <c r="D131" s="158" t="str">
        <v>Incineration</v>
      </c>
      <c r="E131" s="162" t="str">
        <v>Sludge</v>
      </c>
      <c r="F131" s="200"/>
      <c r="G131" s="49"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49">
        <f t="shared" si="0"/>
        <v>0</v>
      </c>
      <c r="I131" s="49" t="s">
        <v>844</v>
      </c>
      <c r="J131" s="49" t="s">
        <v>839</v>
      </c>
      <c r="K131" s="49" t="s">
        <v>839</v>
      </c>
    </row>
    <row r="132" spans="4:11" ht="20.100000000000001" customHeight="1" x14ac:dyDescent="0.2">
      <c r="D132" s="158" t="str">
        <v>Incineration</v>
      </c>
      <c r="E132" s="162" t="str">
        <v>Paper and cardboard</v>
      </c>
      <c r="F132" s="200"/>
      <c r="G132" s="49"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0</v>
      </c>
      <c r="H132" s="49">
        <f t="shared" si="0"/>
        <v>0</v>
      </c>
      <c r="I132" s="49">
        <f t="shared" ref="I132:I137" si="2">G132+H132</f>
        <v>0</v>
      </c>
      <c r="J132" s="49"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49" cm="1">
        <f t="array" ref="K132">WasteSolid_Equations.VEERG_10_1_1_1__1_EmissionsFromWasteManagement(I132, J132)</f>
        <v>0</v>
      </c>
    </row>
    <row r="133" spans="4:11" ht="20.100000000000001" customHeight="1" x14ac:dyDescent="0.2">
      <c r="D133" s="158" t="str">
        <v>Incineration</v>
      </c>
      <c r="E133" s="162" t="str">
        <v>Textiles</v>
      </c>
      <c r="F133" s="200"/>
      <c r="G133" s="49"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49">
        <f t="shared" si="0"/>
        <v>0</v>
      </c>
      <c r="I133" s="49">
        <f t="shared" si="2"/>
        <v>0</v>
      </c>
      <c r="J133" s="49"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49" cm="1">
        <f t="array" ref="K133">WasteSolid_Equations.VEERG_10_1_1_1__1_EmissionsFromWasteManagement(I133, J133)</f>
        <v>0</v>
      </c>
    </row>
    <row r="134" spans="4:11" ht="20.100000000000001" customHeight="1" x14ac:dyDescent="0.2">
      <c r="D134" s="158" t="str">
        <v>Incineration</v>
      </c>
      <c r="E134" s="162" t="str">
        <v>Rubber and leather</v>
      </c>
      <c r="F134" s="200"/>
      <c r="G134" s="49"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49">
        <f t="shared" si="0"/>
        <v>0</v>
      </c>
      <c r="I134" s="49">
        <f t="shared" si="2"/>
        <v>0</v>
      </c>
      <c r="J134" s="49" cm="1">
        <f t="array" ref="J134">Common_InputFunctions.Utility_LookupValueInTableTwoColumns(D134,E134,Table_SourceData_WasteSolid_WasteTreatmentEFs[Treatment type t],Table_SourceData_WasteSolid_WasteTreatmentEFs[Waste type w],Table_SourceData_WasteSolid_WasteTreatmentEFs[EFwt])</f>
        <v>0.4919</v>
      </c>
      <c r="K134" s="49" cm="1">
        <f t="array" ref="K134">WasteSolid_Equations.VEERG_10_1_1_1__1_EmissionsFromWasteManagement(I134, J134)</f>
        <v>0</v>
      </c>
    </row>
    <row r="135" spans="4:11" ht="20.100000000000001" customHeight="1" x14ac:dyDescent="0.2">
      <c r="D135" s="158" t="str">
        <v>Incineration</v>
      </c>
      <c r="E135" s="162" t="str">
        <v>Inert waste (including concrete, metal, plastic or glass)</v>
      </c>
      <c r="F135" s="200"/>
      <c r="G135" s="49"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49">
        <f t="shared" si="0"/>
        <v>0</v>
      </c>
      <c r="I135" s="49">
        <f t="shared" si="2"/>
        <v>0</v>
      </c>
      <c r="J135" s="49" cm="1">
        <f t="array" ref="J135">Common_InputFunctions.Utility_LookupValueInTableTwoColumns(D135,E135,Table_SourceData_WasteSolid_WasteTreatmentEFs[Treatment type t],Table_SourceData_WasteSolid_WasteTreatmentEFs[Waste type w],Table_SourceData_WasteSolid_WasteTreatmentEFs[EFwt])</f>
        <v>0.11</v>
      </c>
      <c r="K135" s="49" cm="1">
        <f t="array" ref="K135">WasteSolid_Equations.VEERG_10_1_1_1__1_EmissionsFromWasteManagement(I135, J135)</f>
        <v>0</v>
      </c>
    </row>
    <row r="136" spans="4:11" ht="20.100000000000001" customHeight="1" x14ac:dyDescent="0.2">
      <c r="D136" s="158" t="str">
        <v>Incineration</v>
      </c>
      <c r="E136" s="162" t="str">
        <v>Municipal solid waste</v>
      </c>
      <c r="F136" s="157"/>
      <c r="G136" s="49"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49">
        <f t="shared" si="0"/>
        <v>0</v>
      </c>
      <c r="I136" s="49">
        <f t="shared" si="2"/>
        <v>0</v>
      </c>
      <c r="J136" s="49"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49" cm="1">
        <f t="array" ref="K136">WasteSolid_Equations.VEERG_10_1_1_1__1_EmissionsFromWasteManagement(I136, J136)</f>
        <v>0</v>
      </c>
    </row>
    <row r="137" spans="4:11" ht="20.100000000000001" customHeight="1" x14ac:dyDescent="0.2">
      <c r="D137" s="158" t="str">
        <v>Incineration</v>
      </c>
      <c r="E137" s="162" t="str">
        <v>Commercial and industrial waste</v>
      </c>
      <c r="F137" s="157"/>
      <c r="G137" s="49"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49">
        <f t="shared" si="0"/>
        <v>0</v>
      </c>
      <c r="I137" s="49">
        <f t="shared" si="2"/>
        <v>0</v>
      </c>
      <c r="J137" s="49" cm="1">
        <f t="array" ref="J137">Common_InputFunctions.Utility_LookupValueInTableTwoColumns(D137,E137,Table_SourceData_WasteSolid_WasteTreatmentEFs[Treatment type t],Table_SourceData_WasteSolid_WasteTreatmentEFs[Waste type w],Table_SourceData_WasteSolid_WasteTreatmentEFs[EFwt])</f>
        <v>1.649</v>
      </c>
      <c r="K137" s="49" cm="1">
        <f t="array" ref="K137">WasteSolid_Equations.VEERG_10_1_1_1__1_EmissionsFromWasteManagement(I137, J137)</f>
        <v>0</v>
      </c>
    </row>
    <row r="138" spans="4:11" ht="20.100000000000001" customHeight="1" x14ac:dyDescent="0.2">
      <c r="D138" s="158" t="str">
        <v>Composting</v>
      </c>
      <c r="E138" s="162" t="str">
        <v>All organic waste</v>
      </c>
      <c r="F138" s="157"/>
      <c r="G138" s="49" t="s">
        <v>839</v>
      </c>
      <c r="H138" s="49" t="str">
        <f t="shared" si="0"/>
        <v>Not used</v>
      </c>
      <c r="I138" s="49">
        <f>SUM(G139:G143)+SUM(H139:H143)</f>
        <v>0</v>
      </c>
      <c r="J138" s="49"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49" cm="1">
        <f t="array" ref="K138">WasteSolid_Equations.VEERG_10_1_1_1__1_EmissionsFromWasteManagement(I138, J138)</f>
        <v>0</v>
      </c>
    </row>
    <row r="139" spans="4:11" ht="20.100000000000001" customHeight="1" x14ac:dyDescent="0.2">
      <c r="D139" s="158" t="str">
        <v>Composting</v>
      </c>
      <c r="E139" s="162" t="str">
        <v>Food waste (including animal carcasses, spoiled animal feed or crop)</v>
      </c>
      <c r="F139" s="157"/>
      <c r="G139" s="49"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49">
        <f t="shared" si="0"/>
        <v>0</v>
      </c>
      <c r="I139" s="49" t="s">
        <v>844</v>
      </c>
      <c r="J139" s="49" t="s">
        <v>839</v>
      </c>
      <c r="K139" s="49" t="s">
        <v>839</v>
      </c>
    </row>
    <row r="140" spans="4:11" ht="20.100000000000001" customHeight="1" x14ac:dyDescent="0.2">
      <c r="D140" s="158" t="str">
        <v>Composting</v>
      </c>
      <c r="E140" s="162" t="str">
        <v>Green waste (including crop residues or prunings)</v>
      </c>
      <c r="F140" s="157"/>
      <c r="G140" s="49"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49">
        <f t="shared" si="0"/>
        <v>0</v>
      </c>
      <c r="I140" s="49" t="s">
        <v>844</v>
      </c>
      <c r="J140" s="49" t="s">
        <v>839</v>
      </c>
      <c r="K140" s="49" t="s">
        <v>839</v>
      </c>
    </row>
    <row r="141" spans="4:11" ht="20.100000000000001" customHeight="1" x14ac:dyDescent="0.2">
      <c r="D141" s="158" t="str">
        <v>Composting</v>
      </c>
      <c r="E141" s="162" t="str">
        <v>Wood</v>
      </c>
      <c r="F141" s="157"/>
      <c r="G141" s="49"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49">
        <f t="shared" si="0"/>
        <v>0</v>
      </c>
      <c r="I141" s="49" t="s">
        <v>844</v>
      </c>
      <c r="J141" s="49" t="s">
        <v>839</v>
      </c>
      <c r="K141" s="49" t="s">
        <v>839</v>
      </c>
    </row>
    <row r="142" spans="4:11" ht="20.100000000000001" customHeight="1" x14ac:dyDescent="0.2">
      <c r="D142" s="158" t="str">
        <v>Composting</v>
      </c>
      <c r="E142" s="162" t="str">
        <v>Sludge</v>
      </c>
      <c r="F142" s="157"/>
      <c r="G142" s="49"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49">
        <f t="shared" si="0"/>
        <v>0</v>
      </c>
      <c r="I142" s="49" t="s">
        <v>844</v>
      </c>
      <c r="J142" s="49" t="s">
        <v>839</v>
      </c>
      <c r="K142" s="49" t="s">
        <v>839</v>
      </c>
    </row>
    <row r="143" spans="4:11" ht="20.100000000000001" customHeight="1" x14ac:dyDescent="0.2">
      <c r="D143" s="158" t="str">
        <v>Composting</v>
      </c>
      <c r="E143" s="162" t="str">
        <v>Paper and cardboard</v>
      </c>
      <c r="F143" s="157"/>
      <c r="G143" s="49"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49">
        <f t="shared" si="0"/>
        <v>0</v>
      </c>
      <c r="I143" s="49" t="s">
        <v>844</v>
      </c>
      <c r="J143" s="49" t="s">
        <v>839</v>
      </c>
      <c r="K143" s="49" t="s">
        <v>839</v>
      </c>
    </row>
    <row r="144" spans="4:11" ht="20.100000000000001" customHeight="1" x14ac:dyDescent="0.2">
      <c r="D144" s="158" t="str">
        <v>Anaerobic digestion</v>
      </c>
      <c r="E144" s="162" t="str">
        <v>All organic waste</v>
      </c>
      <c r="F144" s="157"/>
      <c r="G144" s="49" t="s">
        <v>839</v>
      </c>
      <c r="H144" s="49" t="str">
        <f t="shared" si="0"/>
        <v>Not used</v>
      </c>
      <c r="I144" s="49">
        <f>SUM(G145:G149)+SUM(H145:H149)</f>
        <v>0</v>
      </c>
      <c r="J144" s="49"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49" cm="1">
        <f t="array" ref="K144">WasteSolid_Equations.VEERG_10_1_1_1__1_EmissionsFromWasteManagement(I144, J144)</f>
        <v>0</v>
      </c>
    </row>
    <row r="145" spans="4:11" ht="20.100000000000001" customHeight="1" x14ac:dyDescent="0.2">
      <c r="D145" s="158" t="str">
        <v>Anaerobic digestion</v>
      </c>
      <c r="E145" s="162" t="str">
        <v>Food waste (including animal carcasses, spoiled animal feed or crop)</v>
      </c>
      <c r="F145" s="157"/>
      <c r="G145" s="49"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49">
        <f t="shared" si="0"/>
        <v>0</v>
      </c>
      <c r="I145" s="49" t="s">
        <v>844</v>
      </c>
      <c r="J145" s="49" t="s">
        <v>839</v>
      </c>
      <c r="K145" s="49" t="s">
        <v>839</v>
      </c>
    </row>
    <row r="146" spans="4:11" ht="20.100000000000001" customHeight="1" x14ac:dyDescent="0.2">
      <c r="D146" s="158" t="str">
        <v>Anaerobic digestion</v>
      </c>
      <c r="E146" s="162" t="str">
        <v>Green waste (including crop residues or prunings)</v>
      </c>
      <c r="F146" s="157"/>
      <c r="G146" s="49"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49">
        <f t="shared" si="0"/>
        <v>0</v>
      </c>
      <c r="I146" s="49" t="s">
        <v>844</v>
      </c>
      <c r="J146" s="49" t="s">
        <v>839</v>
      </c>
      <c r="K146" s="49" t="s">
        <v>839</v>
      </c>
    </row>
    <row r="147" spans="4:11" ht="20.100000000000001" customHeight="1" x14ac:dyDescent="0.2">
      <c r="D147" s="158" t="str">
        <v>Anaerobic digestion</v>
      </c>
      <c r="E147" s="162" t="str">
        <v>Wood</v>
      </c>
      <c r="F147" s="157"/>
      <c r="G147" s="49"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49">
        <f t="shared" si="0"/>
        <v>0</v>
      </c>
      <c r="I147" s="49" t="s">
        <v>844</v>
      </c>
      <c r="J147" s="49" t="s">
        <v>839</v>
      </c>
      <c r="K147" s="49" t="s">
        <v>839</v>
      </c>
    </row>
    <row r="148" spans="4:11" ht="20.100000000000001" customHeight="1" x14ac:dyDescent="0.2">
      <c r="D148" s="158" t="str">
        <v>Anaerobic digestion</v>
      </c>
      <c r="E148" s="162" t="str">
        <v>Sludge</v>
      </c>
      <c r="F148" s="157"/>
      <c r="G148" s="49"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49">
        <f t="shared" si="0"/>
        <v>0</v>
      </c>
      <c r="I148" s="49" t="s">
        <v>844</v>
      </c>
      <c r="J148" s="49" t="s">
        <v>839</v>
      </c>
      <c r="K148" s="49" t="s">
        <v>839</v>
      </c>
    </row>
    <row r="149" spans="4:11" ht="20.100000000000001" customHeight="1" x14ac:dyDescent="0.2">
      <c r="D149" s="158" t="str">
        <v>Anaerobic digestion</v>
      </c>
      <c r="E149" s="162" t="str">
        <v>Paper and cardboard</v>
      </c>
      <c r="F149" s="157"/>
      <c r="G149" s="49"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49">
        <f t="shared" si="0"/>
        <v>0</v>
      </c>
      <c r="I149" s="49" t="s">
        <v>844</v>
      </c>
      <c r="J149" s="49" t="s">
        <v>839</v>
      </c>
      <c r="K149" s="49" t="s">
        <v>839</v>
      </c>
    </row>
    <row r="151" spans="4:11" ht="20.100000000000001" customHeight="1" x14ac:dyDescent="0.2">
      <c r="D151" s="167" t="s">
        <v>798</v>
      </c>
      <c r="E151" s="168">
        <f>SUM(K116:K149)</f>
        <v>0</v>
      </c>
      <c r="F151" s="169" t="str">
        <f>$E$103</f>
        <v>t CO2e</v>
      </c>
    </row>
    <row r="154" spans="4:11" ht="20.100000000000001" customHeight="1" x14ac:dyDescent="0.2">
      <c r="D154" s="55" t="s">
        <v>799</v>
      </c>
    </row>
    <row r="155" spans="4:11" ht="20.100000000000001" customHeight="1" x14ac:dyDescent="0.2">
      <c r="D155" s="56" t="s">
        <v>800</v>
      </c>
    </row>
    <row r="156" spans="4:11" ht="20.100000000000001" customHeight="1" x14ac:dyDescent="0.2">
      <c r="D156" s="46" t="s">
        <v>789</v>
      </c>
      <c r="E156" s="46" t="s">
        <v>790</v>
      </c>
      <c r="F156" s="46"/>
      <c r="G156" s="46" t="s">
        <v>840</v>
      </c>
      <c r="H156" s="57" t="s">
        <v>841</v>
      </c>
      <c r="I156" s="57" t="s">
        <v>793</v>
      </c>
      <c r="J156" s="57" t="s">
        <v>842</v>
      </c>
      <c r="K156" s="57" t="s">
        <v>843</v>
      </c>
    </row>
    <row r="157" spans="4:11" ht="20.100000000000001" customHeight="1" x14ac:dyDescent="0.2">
      <c r="D157" s="158" t="str" cm="1">
        <f t="array" ref="D157:D190">Table_SourceData_WasteSolid_WasteTreatmentEFs[Treatment type t]</f>
        <v>Landfill</v>
      </c>
      <c r="E157" s="162" t="str" cm="1">
        <f t="array" ref="E157:E190">Table_SourceData_WasteSolid_WasteTreatmentEFs[Waste type w]</f>
        <v>Food waste (including animal carcasses, spoiled animal feed or crop)</v>
      </c>
      <c r="F157" s="200"/>
      <c r="G157" s="49"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100</v>
      </c>
      <c r="H157" s="49">
        <f t="shared" ref="H157:H190" si="3">I59</f>
        <v>50</v>
      </c>
      <c r="I157" s="49">
        <f>G157+H157</f>
        <v>150</v>
      </c>
      <c r="J157" s="49" cm="1">
        <f t="array" ref="J157">Common_InputFunctions.Utility_LookupValueInTableTwoColumns(D157,E157,Table_SourceData_WasteSolid_WasteTreatmentEFs[Treatment type t],Table_SourceData_WasteSolid_WasteTreatmentEFs[Waste type w],Table_SourceData_WasteSolid_WasteTreatmentEFs[EFwt])</f>
        <v>2.1</v>
      </c>
      <c r="K157" s="49" cm="1">
        <f t="array" ref="K157">WasteSolid_Equations.VEERG_10_1_1_1__1_EmissionsFromWasteManagement(I157, J157)</f>
        <v>315</v>
      </c>
    </row>
    <row r="158" spans="4:11" ht="20.100000000000001" customHeight="1" x14ac:dyDescent="0.2">
      <c r="D158" s="158" t="str">
        <v>Landfill</v>
      </c>
      <c r="E158" s="162" t="str">
        <v>Paper and cardboard</v>
      </c>
      <c r="F158" s="200"/>
      <c r="G158" s="49"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0</v>
      </c>
      <c r="H158" s="49">
        <f t="shared" si="3"/>
        <v>0</v>
      </c>
      <c r="I158" s="49">
        <f t="shared" ref="I158:I167" si="4">G158+H158</f>
        <v>0</v>
      </c>
      <c r="J158" s="49" cm="1">
        <f t="array" ref="J158">Common_InputFunctions.Utility_LookupValueInTableTwoColumns(D158,E158,Table_SourceData_WasteSolid_WasteTreatmentEFs[Treatment type t],Table_SourceData_WasteSolid_WasteTreatmentEFs[Waste type w],Table_SourceData_WasteSolid_WasteTreatmentEFs[EFwt])</f>
        <v>3.3</v>
      </c>
      <c r="K158" s="49" cm="1">
        <f t="array" ref="K158">WasteSolid_Equations.VEERG_10_1_1_1__1_EmissionsFromWasteManagement(I158, J158)</f>
        <v>0</v>
      </c>
    </row>
    <row r="159" spans="4:11" ht="20.100000000000001" customHeight="1" x14ac:dyDescent="0.2">
      <c r="D159" s="158" t="str">
        <v>Landfill</v>
      </c>
      <c r="E159" s="162" t="str">
        <v>Green waste (including crop residues or prunings)</v>
      </c>
      <c r="F159" s="200"/>
      <c r="G159" s="49"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0</v>
      </c>
      <c r="H159" s="49">
        <f t="shared" si="3"/>
        <v>0</v>
      </c>
      <c r="I159" s="49">
        <f t="shared" si="4"/>
        <v>0</v>
      </c>
      <c r="J159" s="49" cm="1">
        <f t="array" ref="J159">Common_InputFunctions.Utility_LookupValueInTableTwoColumns(D159,E159,Table_SourceData_WasteSolid_WasteTreatmentEFs[Treatment type t],Table_SourceData_WasteSolid_WasteTreatmentEFs[Waste type w],Table_SourceData_WasteSolid_WasteTreatmentEFs[EFwt])</f>
        <v>1.6</v>
      </c>
      <c r="K159" s="49" cm="1">
        <f t="array" ref="K159">WasteSolid_Equations.VEERG_10_1_1_1__1_EmissionsFromWasteManagement(I159, J159)</f>
        <v>0</v>
      </c>
    </row>
    <row r="160" spans="4:11" ht="20.100000000000001" customHeight="1" x14ac:dyDescent="0.2">
      <c r="D160" s="158" t="str">
        <v>Landfill</v>
      </c>
      <c r="E160" s="162" t="str">
        <v>Wood</v>
      </c>
      <c r="F160" s="200"/>
      <c r="G160" s="49"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49">
        <f t="shared" si="3"/>
        <v>0</v>
      </c>
      <c r="I160" s="49">
        <f t="shared" si="4"/>
        <v>0</v>
      </c>
      <c r="J160" s="49" cm="1">
        <f t="array" ref="J160">Common_InputFunctions.Utility_LookupValueInTableTwoColumns(D160,E160,Table_SourceData_WasteSolid_WasteTreatmentEFs[Treatment type t],Table_SourceData_WasteSolid_WasteTreatmentEFs[Waste type w],Table_SourceData_WasteSolid_WasteTreatmentEFs[EFwt])</f>
        <v>0.7</v>
      </c>
      <c r="K160" s="49" cm="1">
        <f t="array" ref="K160">WasteSolid_Equations.VEERG_10_1_1_1__1_EmissionsFromWasteManagement(I160, J160)</f>
        <v>0</v>
      </c>
    </row>
    <row r="161" spans="4:11" ht="20.100000000000001" customHeight="1" x14ac:dyDescent="0.2">
      <c r="D161" s="158" t="str">
        <v>Landfill</v>
      </c>
      <c r="E161" s="162" t="str">
        <v>Textiles</v>
      </c>
      <c r="F161" s="200"/>
      <c r="G161" s="49"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49">
        <f t="shared" si="3"/>
        <v>7.0000000000000009</v>
      </c>
      <c r="I161" s="49">
        <f t="shared" si="4"/>
        <v>7.0000000000000009</v>
      </c>
      <c r="J161" s="49" cm="1">
        <f t="array" ref="J161">Common_InputFunctions.Utility_LookupValueInTableTwoColumns(D161,E161,Table_SourceData_WasteSolid_WasteTreatmentEFs[Treatment type t],Table_SourceData_WasteSolid_WasteTreatmentEFs[Waste type w],Table_SourceData_WasteSolid_WasteTreatmentEFs[EFwt])</f>
        <v>2</v>
      </c>
      <c r="K161" s="49" cm="1">
        <f t="array" ref="K161">WasteSolid_Equations.VEERG_10_1_1_1__1_EmissionsFromWasteManagement(I161, J161)</f>
        <v>14.000000000000002</v>
      </c>
    </row>
    <row r="162" spans="4:11" ht="20.100000000000001" customHeight="1" x14ac:dyDescent="0.2">
      <c r="D162" s="158" t="str">
        <v>Landfill</v>
      </c>
      <c r="E162" s="162" t="str">
        <v>Sludge</v>
      </c>
      <c r="F162" s="200"/>
      <c r="G162" s="49"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49">
        <f t="shared" si="3"/>
        <v>0</v>
      </c>
      <c r="I162" s="49">
        <f t="shared" si="4"/>
        <v>0</v>
      </c>
      <c r="J162" s="49" cm="1">
        <f t="array" ref="J162">Common_InputFunctions.Utility_LookupValueInTableTwoColumns(D162,E162,Table_SourceData_WasteSolid_WasteTreatmentEFs[Treatment type t],Table_SourceData_WasteSolid_WasteTreatmentEFs[Waste type w],Table_SourceData_WasteSolid_WasteTreatmentEFs[EFwt])</f>
        <v>0.4</v>
      </c>
      <c r="K162" s="49" cm="1">
        <f t="array" ref="K162">WasteSolid_Equations.VEERG_10_1_1_1__1_EmissionsFromWasteManagement(I162, J162)</f>
        <v>0</v>
      </c>
    </row>
    <row r="163" spans="4:11" ht="20.100000000000001" customHeight="1" x14ac:dyDescent="0.2">
      <c r="D163" s="158" t="str">
        <v>Landfill</v>
      </c>
      <c r="E163" s="162" t="str">
        <v>Rubber and leather</v>
      </c>
      <c r="F163" s="200"/>
      <c r="G163" s="49"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49">
        <f t="shared" si="3"/>
        <v>0</v>
      </c>
      <c r="I163" s="49">
        <f t="shared" si="4"/>
        <v>0</v>
      </c>
      <c r="J163" s="49" cm="1">
        <f t="array" ref="J163">Common_InputFunctions.Utility_LookupValueInTableTwoColumns(D163,E163,Table_SourceData_WasteSolid_WasteTreatmentEFs[Treatment type t],Table_SourceData_WasteSolid_WasteTreatmentEFs[Waste type w],Table_SourceData_WasteSolid_WasteTreatmentEFs[EFwt])</f>
        <v>3.3</v>
      </c>
      <c r="K163" s="49" cm="1">
        <f t="array" ref="K163">WasteSolid_Equations.VEERG_10_1_1_1__1_EmissionsFromWasteManagement(I163, J163)</f>
        <v>0</v>
      </c>
    </row>
    <row r="164" spans="4:11" ht="20.100000000000001" customHeight="1" x14ac:dyDescent="0.2">
      <c r="D164" s="158" t="str">
        <v>Landfill</v>
      </c>
      <c r="E164" s="162" t="str">
        <v>Inert waste (including concrete, metal, plastic or glass)</v>
      </c>
      <c r="F164" s="200"/>
      <c r="G164" s="49"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49">
        <f t="shared" si="3"/>
        <v>0</v>
      </c>
      <c r="I164" s="49">
        <f t="shared" si="4"/>
        <v>0</v>
      </c>
      <c r="J164" s="49" cm="1">
        <f t="array" ref="J164">Common_InputFunctions.Utility_LookupValueInTableTwoColumns(D164,E164,Table_SourceData_WasteSolid_WasteTreatmentEFs[Treatment type t],Table_SourceData_WasteSolid_WasteTreatmentEFs[Waste type w],Table_SourceData_WasteSolid_WasteTreatmentEFs[EFwt])</f>
        <v>0</v>
      </c>
      <c r="K164" s="49" cm="1">
        <f t="array" ref="K164">WasteSolid_Equations.VEERG_10_1_1_1__1_EmissionsFromWasteManagement(I164, J164)</f>
        <v>0</v>
      </c>
    </row>
    <row r="165" spans="4:11" ht="20.100000000000001" customHeight="1" x14ac:dyDescent="0.2">
      <c r="D165" s="158" t="str">
        <v>Landfill</v>
      </c>
      <c r="E165" s="162" t="str">
        <v>Municipal solid waste</v>
      </c>
      <c r="F165" s="200"/>
      <c r="G165" s="49"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49">
        <f t="shared" si="3"/>
        <v>0</v>
      </c>
      <c r="I165" s="49">
        <f t="shared" si="4"/>
        <v>0</v>
      </c>
      <c r="J165" s="49" cm="1">
        <f t="array" ref="J165">Common_InputFunctions.Utility_LookupValueInTableTwoColumns(D165,E165,Table_SourceData_WasteSolid_WasteTreatmentEFs[Treatment type t],Table_SourceData_WasteSolid_WasteTreatmentEFs[Waste type w],Table_SourceData_WasteSolid_WasteTreatmentEFs[EFwt])</f>
        <v>1.6</v>
      </c>
      <c r="K165" s="49" cm="1">
        <f t="array" ref="K165">WasteSolid_Equations.VEERG_10_1_1_1__1_EmissionsFromWasteManagement(I165, J165)</f>
        <v>0</v>
      </c>
    </row>
    <row r="166" spans="4:11" ht="20.100000000000001" customHeight="1" x14ac:dyDescent="0.2">
      <c r="D166" s="158" t="str">
        <v>Landfill</v>
      </c>
      <c r="E166" s="162" t="str">
        <v>Commercial and industrial waste</v>
      </c>
      <c r="F166" s="200"/>
      <c r="G166" s="49"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49">
        <f t="shared" si="3"/>
        <v>0</v>
      </c>
      <c r="I166" s="49">
        <f t="shared" si="4"/>
        <v>0</v>
      </c>
      <c r="J166" s="49" cm="1">
        <f t="array" ref="J166">Common_InputFunctions.Utility_LookupValueInTableTwoColumns(D166,E166,Table_SourceData_WasteSolid_WasteTreatmentEFs[Treatment type t],Table_SourceData_WasteSolid_WasteTreatmentEFs[Waste type w],Table_SourceData_WasteSolid_WasteTreatmentEFs[EFwt])</f>
        <v>1.3</v>
      </c>
      <c r="K166" s="49" cm="1">
        <f t="array" ref="K166">WasteSolid_Equations.VEERG_10_1_1_1__1_EmissionsFromWasteManagement(I166, J166)</f>
        <v>0</v>
      </c>
    </row>
    <row r="167" spans="4:11" ht="20.100000000000001" customHeight="1" x14ac:dyDescent="0.2">
      <c r="D167" s="158" t="str">
        <v>Landfill</v>
      </c>
      <c r="E167" s="162" t="str">
        <v>Construction and demolition waste</v>
      </c>
      <c r="F167" s="200"/>
      <c r="G167" s="49"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49">
        <f t="shared" si="3"/>
        <v>0</v>
      </c>
      <c r="I167" s="49">
        <f t="shared" si="4"/>
        <v>0</v>
      </c>
      <c r="J167" s="49" cm="1">
        <f t="array" ref="J167">Common_InputFunctions.Utility_LookupValueInTableTwoColumns(D167,E167,Table_SourceData_WasteSolid_WasteTreatmentEFs[Treatment type t],Table_SourceData_WasteSolid_WasteTreatmentEFs[Waste type w],Table_SourceData_WasteSolid_WasteTreatmentEFs[EFwt])</f>
        <v>0.2</v>
      </c>
      <c r="K167" s="49" cm="1">
        <f t="array" ref="K167">WasteSolid_Equations.VEERG_10_1_1_1__1_EmissionsFromWasteManagement(I167, J167)</f>
        <v>0</v>
      </c>
    </row>
    <row r="168" spans="4:11" ht="20.100000000000001" customHeight="1" x14ac:dyDescent="0.2">
      <c r="D168" s="158" t="str">
        <v>Incineration</v>
      </c>
      <c r="E168" s="162" t="str">
        <v>Food waste, green waste, wood, sludge</v>
      </c>
      <c r="F168" s="200"/>
      <c r="G168" s="49" t="s">
        <v>839</v>
      </c>
      <c r="H168" s="49" t="str">
        <f t="shared" si="3"/>
        <v>Not used</v>
      </c>
      <c r="I168" s="49">
        <f>SUM(G169:G172)+SUM(H169:H172)</f>
        <v>0</v>
      </c>
      <c r="J168" s="49" cm="1">
        <f t="array" ref="J168">Common_InputFunctions.Utility_LookupValueInTableTwoColumns(D168,E168,Table_SourceData_WasteSolid_WasteTreatmentEFs[Treatment type t],Table_SourceData_WasteSolid_WasteTreatmentEFs[Waste type w],Table_SourceData_WasteSolid_WasteTreatmentEFs[EFwt])</f>
        <v>0</v>
      </c>
      <c r="K168" s="49" cm="1">
        <f t="array" ref="K168">WasteSolid_Equations.VEERG_10_1_1_1__1_EmissionsFromWasteManagement(I168, J168)</f>
        <v>0</v>
      </c>
    </row>
    <row r="169" spans="4:11" ht="20.100000000000001" customHeight="1" x14ac:dyDescent="0.2">
      <c r="D169" s="158" t="str">
        <v>Incineration</v>
      </c>
      <c r="E169" s="162" t="str">
        <v>Food waste (including animal carcasses, spoiled animal feed or crop)</v>
      </c>
      <c r="F169" s="200"/>
      <c r="G169" s="49"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49">
        <f t="shared" si="3"/>
        <v>0</v>
      </c>
      <c r="I169" s="49" t="s">
        <v>844</v>
      </c>
      <c r="J169" s="49" t="s">
        <v>839</v>
      </c>
      <c r="K169" s="49" t="s">
        <v>839</v>
      </c>
    </row>
    <row r="170" spans="4:11" ht="20.100000000000001" customHeight="1" x14ac:dyDescent="0.2">
      <c r="D170" s="158" t="str">
        <v>Incineration</v>
      </c>
      <c r="E170" s="162" t="str">
        <v>Green waste (including crop residues or prunings)</v>
      </c>
      <c r="F170" s="200"/>
      <c r="G170" s="49"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0</v>
      </c>
      <c r="H170" s="49">
        <f t="shared" si="3"/>
        <v>0</v>
      </c>
      <c r="I170" s="49" t="s">
        <v>844</v>
      </c>
      <c r="J170" s="49" t="s">
        <v>839</v>
      </c>
      <c r="K170" s="49" t="s">
        <v>839</v>
      </c>
    </row>
    <row r="171" spans="4:11" ht="20.100000000000001" customHeight="1" x14ac:dyDescent="0.2">
      <c r="D171" s="158" t="str">
        <v>Incineration</v>
      </c>
      <c r="E171" s="162" t="str">
        <v>Wood</v>
      </c>
      <c r="F171" s="200"/>
      <c r="G171" s="49"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49">
        <f t="shared" si="3"/>
        <v>0</v>
      </c>
      <c r="I171" s="49" t="s">
        <v>844</v>
      </c>
      <c r="J171" s="49" t="s">
        <v>839</v>
      </c>
      <c r="K171" s="49" t="s">
        <v>839</v>
      </c>
    </row>
    <row r="172" spans="4:11" ht="20.100000000000001" customHeight="1" x14ac:dyDescent="0.2">
      <c r="D172" s="158" t="str">
        <v>Incineration</v>
      </c>
      <c r="E172" s="162" t="str">
        <v>Sludge</v>
      </c>
      <c r="F172" s="200"/>
      <c r="G172" s="49"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49">
        <f t="shared" si="3"/>
        <v>0</v>
      </c>
      <c r="I172" s="49" t="s">
        <v>844</v>
      </c>
      <c r="J172" s="49" t="s">
        <v>839</v>
      </c>
      <c r="K172" s="49" t="s">
        <v>839</v>
      </c>
    </row>
    <row r="173" spans="4:11" ht="20.100000000000001" customHeight="1" x14ac:dyDescent="0.2">
      <c r="D173" s="158" t="str">
        <v>Incineration</v>
      </c>
      <c r="E173" s="162" t="str">
        <v>Paper and cardboard</v>
      </c>
      <c r="F173" s="200"/>
      <c r="G173" s="49"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100</v>
      </c>
      <c r="H173" s="49">
        <f t="shared" si="3"/>
        <v>9</v>
      </c>
      <c r="I173" s="49">
        <f t="shared" ref="I173:I178" si="5">G173+H173</f>
        <v>109</v>
      </c>
      <c r="J173" s="49"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49" cm="1">
        <f t="array" ref="K173">WasteSolid_Equations.VEERG_10_1_1_1__1_EmissionsFromWasteManagement(I173, J173)</f>
        <v>1.8420999999999998</v>
      </c>
    </row>
    <row r="174" spans="4:11" ht="20.100000000000001" customHeight="1" x14ac:dyDescent="0.2">
      <c r="D174" s="158" t="str">
        <v>Incineration</v>
      </c>
      <c r="E174" s="162" t="str">
        <v>Textiles</v>
      </c>
      <c r="F174" s="200"/>
      <c r="G174" s="49"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49">
        <f t="shared" si="3"/>
        <v>0</v>
      </c>
      <c r="I174" s="49">
        <f t="shared" si="5"/>
        <v>0</v>
      </c>
      <c r="J174" s="49"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49" cm="1">
        <f t="array" ref="K174">WasteSolid_Equations.VEERG_10_1_1_1__1_EmissionsFromWasteManagement(I174, J174)</f>
        <v>0</v>
      </c>
    </row>
    <row r="175" spans="4:11" ht="20.100000000000001" customHeight="1" x14ac:dyDescent="0.2">
      <c r="D175" s="158" t="str">
        <v>Incineration</v>
      </c>
      <c r="E175" s="162" t="str">
        <v>Rubber and leather</v>
      </c>
      <c r="F175" s="200"/>
      <c r="G175" s="49"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49">
        <f t="shared" si="3"/>
        <v>0</v>
      </c>
      <c r="I175" s="49">
        <f t="shared" si="5"/>
        <v>0</v>
      </c>
      <c r="J175" s="49" cm="1">
        <f t="array" ref="J175">Common_InputFunctions.Utility_LookupValueInTableTwoColumns(D175,E175,Table_SourceData_WasteSolid_WasteTreatmentEFs[Treatment type t],Table_SourceData_WasteSolid_WasteTreatmentEFs[Waste type w],Table_SourceData_WasteSolid_WasteTreatmentEFs[EFwt])</f>
        <v>0.4919</v>
      </c>
      <c r="K175" s="49" cm="1">
        <f t="array" ref="K175">WasteSolid_Equations.VEERG_10_1_1_1__1_EmissionsFromWasteManagement(I175, J175)</f>
        <v>0</v>
      </c>
    </row>
    <row r="176" spans="4:11" ht="20.100000000000001" customHeight="1" x14ac:dyDescent="0.2">
      <c r="D176" s="158" t="str">
        <v>Incineration</v>
      </c>
      <c r="E176" s="162" t="str">
        <v>Inert waste (including concrete, metal, plastic or glass)</v>
      </c>
      <c r="F176" s="200"/>
      <c r="G176" s="49"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49">
        <f t="shared" si="3"/>
        <v>0</v>
      </c>
      <c r="I176" s="49">
        <f t="shared" si="5"/>
        <v>0</v>
      </c>
      <c r="J176" s="49" cm="1">
        <f t="array" ref="J176">Common_InputFunctions.Utility_LookupValueInTableTwoColumns(D176,E176,Table_SourceData_WasteSolid_WasteTreatmentEFs[Treatment type t],Table_SourceData_WasteSolid_WasteTreatmentEFs[Waste type w],Table_SourceData_WasteSolid_WasteTreatmentEFs[EFwt])</f>
        <v>0.11</v>
      </c>
      <c r="K176" s="49" cm="1">
        <f t="array" ref="K176">WasteSolid_Equations.VEERG_10_1_1_1__1_EmissionsFromWasteManagement(I176, J176)</f>
        <v>0</v>
      </c>
    </row>
    <row r="177" spans="4:11" ht="20.100000000000001" customHeight="1" x14ac:dyDescent="0.2">
      <c r="D177" s="158" t="str">
        <v>Incineration</v>
      </c>
      <c r="E177" s="162" t="str">
        <v>Municipal solid waste</v>
      </c>
      <c r="F177" s="157"/>
      <c r="G177" s="49"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49">
        <f t="shared" si="3"/>
        <v>0</v>
      </c>
      <c r="I177" s="49">
        <f t="shared" si="5"/>
        <v>0</v>
      </c>
      <c r="J177" s="49"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49" cm="1">
        <f t="array" ref="K177">WasteSolid_Equations.VEERG_10_1_1_1__1_EmissionsFromWasteManagement(I177, J177)</f>
        <v>0</v>
      </c>
    </row>
    <row r="178" spans="4:11" ht="20.100000000000001" customHeight="1" x14ac:dyDescent="0.2">
      <c r="D178" s="158" t="str">
        <v>Incineration</v>
      </c>
      <c r="E178" s="162" t="str">
        <v>Commercial and industrial waste</v>
      </c>
      <c r="F178" s="157"/>
      <c r="G178" s="49"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49">
        <f t="shared" si="3"/>
        <v>0</v>
      </c>
      <c r="I178" s="49">
        <f t="shared" si="5"/>
        <v>0</v>
      </c>
      <c r="J178" s="49" cm="1">
        <f t="array" ref="J178">Common_InputFunctions.Utility_LookupValueInTableTwoColumns(D178,E178,Table_SourceData_WasteSolid_WasteTreatmentEFs[Treatment type t],Table_SourceData_WasteSolid_WasteTreatmentEFs[Waste type w],Table_SourceData_WasteSolid_WasteTreatmentEFs[EFwt])</f>
        <v>1.649</v>
      </c>
      <c r="K178" s="49" cm="1">
        <f t="array" ref="K178">WasteSolid_Equations.VEERG_10_1_1_1__1_EmissionsFromWasteManagement(I178, J178)</f>
        <v>0</v>
      </c>
    </row>
    <row r="179" spans="4:11" ht="20.100000000000001" customHeight="1" x14ac:dyDescent="0.2">
      <c r="D179" s="158" t="str">
        <v>Composting</v>
      </c>
      <c r="E179" s="162" t="str">
        <v>All organic waste</v>
      </c>
      <c r="F179" s="157"/>
      <c r="G179" s="49" t="s">
        <v>839</v>
      </c>
      <c r="H179" s="49" t="str">
        <f t="shared" si="3"/>
        <v>Not used</v>
      </c>
      <c r="I179" s="49">
        <f>SUM(G180:G184)+SUM(H180:H184)</f>
        <v>0</v>
      </c>
      <c r="J179" s="49"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49" cm="1">
        <f t="array" ref="K179">WasteSolid_Equations.VEERG_10_1_1_1__1_EmissionsFromWasteManagement(I179, J179)</f>
        <v>0</v>
      </c>
    </row>
    <row r="180" spans="4:11" ht="20.100000000000001" customHeight="1" x14ac:dyDescent="0.2">
      <c r="D180" s="158" t="str">
        <v>Composting</v>
      </c>
      <c r="E180" s="162" t="str">
        <v>Food waste (including animal carcasses, spoiled animal feed or crop)</v>
      </c>
      <c r="F180" s="157"/>
      <c r="G180" s="49"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0</v>
      </c>
      <c r="H180" s="49">
        <f t="shared" si="3"/>
        <v>0</v>
      </c>
      <c r="I180" s="49" t="s">
        <v>844</v>
      </c>
      <c r="J180" s="49" t="s">
        <v>839</v>
      </c>
      <c r="K180" s="49" t="s">
        <v>839</v>
      </c>
    </row>
    <row r="181" spans="4:11" ht="20.100000000000001" customHeight="1" x14ac:dyDescent="0.2">
      <c r="D181" s="158" t="str">
        <v>Composting</v>
      </c>
      <c r="E181" s="162" t="str">
        <v>Green waste (including crop residues or prunings)</v>
      </c>
      <c r="F181" s="157"/>
      <c r="G181" s="49"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49">
        <f t="shared" si="3"/>
        <v>0</v>
      </c>
      <c r="I181" s="49" t="s">
        <v>844</v>
      </c>
      <c r="J181" s="49" t="s">
        <v>839</v>
      </c>
      <c r="K181" s="49" t="s">
        <v>839</v>
      </c>
    </row>
    <row r="182" spans="4:11" ht="20.100000000000001" customHeight="1" x14ac:dyDescent="0.2">
      <c r="D182" s="158" t="str">
        <v>Composting</v>
      </c>
      <c r="E182" s="162" t="str">
        <v>Wood</v>
      </c>
      <c r="F182" s="157"/>
      <c r="G182" s="49"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49">
        <f t="shared" si="3"/>
        <v>0</v>
      </c>
      <c r="I182" s="49" t="s">
        <v>844</v>
      </c>
      <c r="J182" s="49" t="s">
        <v>839</v>
      </c>
      <c r="K182" s="49" t="s">
        <v>839</v>
      </c>
    </row>
    <row r="183" spans="4:11" ht="20.100000000000001" customHeight="1" x14ac:dyDescent="0.2">
      <c r="D183" s="158" t="str">
        <v>Composting</v>
      </c>
      <c r="E183" s="162" t="str">
        <v>Sludge</v>
      </c>
      <c r="F183" s="157"/>
      <c r="G183" s="49"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49">
        <f t="shared" si="3"/>
        <v>0</v>
      </c>
      <c r="I183" s="49" t="s">
        <v>844</v>
      </c>
      <c r="J183" s="49" t="s">
        <v>839</v>
      </c>
      <c r="K183" s="49" t="s">
        <v>839</v>
      </c>
    </row>
    <row r="184" spans="4:11" ht="20.100000000000001" customHeight="1" x14ac:dyDescent="0.2">
      <c r="D184" s="158" t="str">
        <v>Composting</v>
      </c>
      <c r="E184" s="162" t="str">
        <v>Paper and cardboard</v>
      </c>
      <c r="F184" s="157"/>
      <c r="G184" s="49"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0</v>
      </c>
      <c r="H184" s="49">
        <f t="shared" si="3"/>
        <v>0</v>
      </c>
      <c r="I184" s="49" t="s">
        <v>844</v>
      </c>
      <c r="J184" s="49" t="s">
        <v>839</v>
      </c>
      <c r="K184" s="49" t="s">
        <v>839</v>
      </c>
    </row>
    <row r="185" spans="4:11" ht="20.100000000000001" customHeight="1" x14ac:dyDescent="0.2">
      <c r="D185" s="158" t="str">
        <v>Anaerobic digestion</v>
      </c>
      <c r="E185" s="162" t="str">
        <v>All organic waste</v>
      </c>
      <c r="F185" s="157"/>
      <c r="G185" s="49" t="s">
        <v>839</v>
      </c>
      <c r="H185" s="49" t="str">
        <f t="shared" si="3"/>
        <v>Not used</v>
      </c>
      <c r="I185" s="49">
        <f>SUM(G186:G190)+SUM(H186:H190)</f>
        <v>0</v>
      </c>
      <c r="J185" s="49"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49" cm="1">
        <f t="array" ref="K185">WasteSolid_Equations.VEERG_10_1_1_1__1_EmissionsFromWasteManagement(I185, J185)</f>
        <v>0</v>
      </c>
    </row>
    <row r="186" spans="4:11" ht="20.100000000000001" customHeight="1" x14ac:dyDescent="0.2">
      <c r="D186" s="158" t="str">
        <v>Anaerobic digestion</v>
      </c>
      <c r="E186" s="162" t="str">
        <v>Food waste (including animal carcasses, spoiled animal feed or crop)</v>
      </c>
      <c r="F186" s="157"/>
      <c r="G186" s="49"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49">
        <f t="shared" si="3"/>
        <v>0</v>
      </c>
      <c r="I186" s="49" t="s">
        <v>844</v>
      </c>
      <c r="J186" s="49" t="s">
        <v>839</v>
      </c>
      <c r="K186" s="49" t="s">
        <v>839</v>
      </c>
    </row>
    <row r="187" spans="4:11" ht="20.100000000000001" customHeight="1" x14ac:dyDescent="0.2">
      <c r="D187" s="158" t="str">
        <v>Anaerobic digestion</v>
      </c>
      <c r="E187" s="162" t="str">
        <v>Green waste (including crop residues or prunings)</v>
      </c>
      <c r="F187" s="157"/>
      <c r="G187" s="49"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49">
        <f t="shared" si="3"/>
        <v>0</v>
      </c>
      <c r="I187" s="49" t="s">
        <v>844</v>
      </c>
      <c r="J187" s="49" t="s">
        <v>839</v>
      </c>
      <c r="K187" s="49" t="s">
        <v>839</v>
      </c>
    </row>
    <row r="188" spans="4:11" ht="20.100000000000001" customHeight="1" x14ac:dyDescent="0.2">
      <c r="D188" s="158" t="str">
        <v>Anaerobic digestion</v>
      </c>
      <c r="E188" s="162" t="str">
        <v>Wood</v>
      </c>
      <c r="F188" s="157"/>
      <c r="G188" s="49"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49">
        <f t="shared" si="3"/>
        <v>0</v>
      </c>
      <c r="I188" s="49" t="s">
        <v>844</v>
      </c>
      <c r="J188" s="49" t="s">
        <v>839</v>
      </c>
      <c r="K188" s="49" t="s">
        <v>839</v>
      </c>
    </row>
    <row r="189" spans="4:11" ht="20.100000000000001" customHeight="1" x14ac:dyDescent="0.2">
      <c r="D189" s="158" t="str">
        <v>Anaerobic digestion</v>
      </c>
      <c r="E189" s="162" t="str">
        <v>Sludge</v>
      </c>
      <c r="F189" s="157"/>
      <c r="G189" s="49"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49">
        <f t="shared" si="3"/>
        <v>0</v>
      </c>
      <c r="I189" s="49" t="s">
        <v>844</v>
      </c>
      <c r="J189" s="49" t="s">
        <v>839</v>
      </c>
      <c r="K189" s="49" t="s">
        <v>839</v>
      </c>
    </row>
    <row r="190" spans="4:11" ht="20.100000000000001" customHeight="1" x14ac:dyDescent="0.2">
      <c r="D190" s="158" t="str">
        <v>Anaerobic digestion</v>
      </c>
      <c r="E190" s="162" t="str">
        <v>Paper and cardboard</v>
      </c>
      <c r="F190" s="157"/>
      <c r="G190" s="49"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49">
        <f t="shared" si="3"/>
        <v>0</v>
      </c>
      <c r="I190" s="49" t="s">
        <v>844</v>
      </c>
      <c r="J190" s="49" t="s">
        <v>839</v>
      </c>
      <c r="K190" s="49" t="s">
        <v>839</v>
      </c>
    </row>
    <row r="192" spans="4:11" ht="20.100000000000001" customHeight="1" x14ac:dyDescent="0.2">
      <c r="D192" s="167" t="s">
        <v>798</v>
      </c>
      <c r="E192" s="168">
        <f>SUM(K157:K190)</f>
        <v>330.84210000000002</v>
      </c>
      <c r="F192" s="169" t="str">
        <f>$E$103</f>
        <v>t CO2e</v>
      </c>
    </row>
    <row r="341" spans="8:8" ht="20.100000000000001" customHeight="1" x14ac:dyDescent="0.2">
      <c r="H341" s="138"/>
    </row>
    <row r="342" spans="8:8" ht="20.100000000000001" customHeight="1" x14ac:dyDescent="0.2">
      <c r="H342" s="138"/>
    </row>
  </sheetData>
  <dataValidations count="1">
    <dataValidation operator="equal" allowBlank="1" showInputMessage="1" showErrorMessage="1" sqref="E269 E228" xr:uid="{83680300-44BD-466D-B6B3-6E099F639BF7}"/>
  </dataValidation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A1:U90"/>
  <sheetViews>
    <sheetView showGridLines="0" zoomScaleNormal="100" workbookViewId="0">
      <selection activeCell="A23" sqref="A23"/>
    </sheetView>
  </sheetViews>
  <sheetFormatPr defaultRowHeight="20.100000000000001" customHeight="1" x14ac:dyDescent="0.2"/>
  <cols>
    <col min="1" max="1" width="30.5703125" customWidth="1"/>
    <col min="2" max="2" width="4.5703125" customWidth="1"/>
    <col min="3" max="3" width="4.5703125" style="8" customWidth="1"/>
    <col min="4" max="10" width="30.5703125" style="8" customWidth="1"/>
    <col min="11" max="11" width="4.5703125" style="8" customWidth="1"/>
    <col min="12" max="12" width="4.5703125" customWidth="1"/>
    <col min="13" max="13" width="4.5703125" style="8" customWidth="1"/>
    <col min="14" max="20" width="30.5703125" style="8" customWidth="1"/>
    <col min="21" max="21" width="4.5703125" style="8" customWidth="1"/>
  </cols>
  <sheetData>
    <row r="1" spans="1:21" ht="30" customHeight="1" x14ac:dyDescent="0.35">
      <c r="A1" s="37" t="e" vm="1">
        <v>#VALUE!</v>
      </c>
      <c r="C1" s="1" t="s">
        <v>849</v>
      </c>
      <c r="D1" s="1"/>
      <c r="E1" s="1"/>
      <c r="F1" s="1"/>
      <c r="G1" s="1"/>
      <c r="H1" s="1"/>
      <c r="I1" s="1"/>
      <c r="J1" s="1"/>
      <c r="K1" s="1"/>
      <c r="M1" s="1"/>
      <c r="N1" s="1"/>
      <c r="O1" s="1"/>
      <c r="P1" s="1"/>
      <c r="Q1" s="1"/>
      <c r="R1" s="1"/>
      <c r="S1" s="1"/>
      <c r="T1" s="1"/>
      <c r="U1" s="1"/>
    </row>
    <row r="2" spans="1:21" ht="20.100000000000001" customHeight="1" x14ac:dyDescent="0.2">
      <c r="C2" s="2"/>
      <c r="D2" s="2"/>
      <c r="E2" s="2"/>
      <c r="F2" s="2"/>
      <c r="G2" s="2"/>
      <c r="H2" s="2"/>
      <c r="I2" s="2"/>
      <c r="J2" s="2"/>
      <c r="K2" s="2"/>
      <c r="M2" s="2"/>
      <c r="N2" s="2"/>
      <c r="O2" s="2"/>
      <c r="P2" s="2"/>
      <c r="Q2" s="2"/>
      <c r="R2" s="2"/>
      <c r="S2" s="2"/>
      <c r="T2" s="2"/>
      <c r="U2" s="2"/>
    </row>
    <row r="3" spans="1:21" ht="20.100000000000001" customHeight="1" x14ac:dyDescent="0.2">
      <c r="A3" s="16" t="str">
        <f>HYPERLINK("#'Overview'!A1", "Overview")</f>
        <v>Overview</v>
      </c>
      <c r="C3" s="5"/>
      <c r="D3" s="5" t="s">
        <v>405</v>
      </c>
      <c r="E3" s="5"/>
      <c r="F3" s="5"/>
      <c r="G3" s="5"/>
      <c r="H3" s="5"/>
      <c r="I3" s="5"/>
      <c r="J3" s="5"/>
      <c r="K3" s="5"/>
      <c r="M3" s="5"/>
      <c r="N3" s="5" t="s">
        <v>406</v>
      </c>
      <c r="O3" s="5"/>
      <c r="P3" s="5"/>
      <c r="Q3" s="5"/>
      <c r="R3" s="5"/>
      <c r="S3" s="5"/>
      <c r="T3" s="5"/>
      <c r="U3" s="5"/>
    </row>
    <row r="4" spans="1:21" ht="20.100000000000001" customHeight="1" x14ac:dyDescent="0.2">
      <c r="A4" s="16" t="str">
        <f>HYPERLINK("#'Results'!A1", "Results")</f>
        <v>Results</v>
      </c>
    </row>
    <row r="5" spans="1:21" ht="20.100000000000001" customHeight="1" x14ac:dyDescent="0.2">
      <c r="D5" s="9" t="str" cm="1">
        <f t="array" ref="D5">Fertiliser_Equations_OrganicN2O.VEERG_5_2_1_1__1_OrganicFertiliserApplicationN2OEmissions_Title()</f>
        <v>Nitrous oxide emissions from the application of all organic fertiliser types f to all production systems j</v>
      </c>
      <c r="N5" s="9"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
      <c r="D6" s="11" t="str" cm="1">
        <f t="array" ref="D6">Fertiliser_Equations_OrganicN2O.VEERG_5_2_1_1__1_OrganicFertiliserApplicationN2OEmissions_Source()</f>
        <v>VEERG 2026: 5.2.1.1, Equation (1)</v>
      </c>
      <c r="N6" s="11" t="str" cm="1">
        <f t="array" ref="N6">Fertiliser_Equations_OrganicN2O.VEERG_5_2_1_1__1_OrganicFertiliserApplicationN2OEmissions_Source()</f>
        <v>VEERG 2026: 5.2.1.1, Equation (1)</v>
      </c>
    </row>
    <row r="7" spans="1:21" ht="20.100000000000001" customHeight="1" x14ac:dyDescent="0.2">
      <c r="A7" s="19" t="s">
        <v>67</v>
      </c>
      <c r="D7" s="163" t="s">
        <v>621</v>
      </c>
      <c r="E7" s="163" t="str">
        <f ca="1">Common_InputFunctions.Utility_DisplayFunctionName(VEERG_5_2_1_1__1_OrganicFertiliserApplicationN2OEmissions_Result_Method1)</f>
        <v>=Fertiliser_Equations_OrganicN2O.VEERG_5_2_1_1__1_OrganicFertiliserApplicationN2OEmissions</v>
      </c>
      <c r="N7" s="163" t="s">
        <v>621</v>
      </c>
      <c r="O7" s="163" t="str">
        <f ca="1">Common_InputFunctions.Utility_DisplayFunctionName(VEERG_5_2_1_1__1_OrganicFertiliserApplicationN2OEmissions_Result_Method2)</f>
        <v>=Fertiliser_Equations_OrganicN2O.VEERG_5_2_1_1__1_OrganicFertiliserApplicationN2OEmissions</v>
      </c>
    </row>
    <row r="8" spans="1:21" ht="20.100000000000001" customHeight="1" x14ac:dyDescent="0.2">
      <c r="A8" s="16" t="str">
        <f>HYPERLINK("#'Input - Site'!A1", "Site")</f>
        <v>Site</v>
      </c>
    </row>
    <row r="9" spans="1:21" ht="20.100000000000001" customHeight="1" x14ac:dyDescent="0.2">
      <c r="A9" s="16" t="str">
        <f>HYPERLINK("#'Input - Fuel'!A1", "Fuel")</f>
        <v>Fuel</v>
      </c>
    </row>
    <row r="10" spans="1:21" ht="20.100000000000001" customHeight="1" x14ac:dyDescent="0.2">
      <c r="A10" s="16" t="str">
        <f>HYPERLINK("#'Input - Fertiliser'!A1", "Fertiliser")</f>
        <v>Fertiliser</v>
      </c>
      <c r="D10" s="27" t="s">
        <v>622</v>
      </c>
      <c r="E10" s="8" t="str" cm="1">
        <f t="array" ref="E10">Fertiliser_Equations_OrganicN2O.VEERG_5_2_1_1__1_OrganicFertiliserApplicationN2OEmissions_Variable()</f>
        <v>E_N2O</v>
      </c>
      <c r="N10" s="27" t="s">
        <v>622</v>
      </c>
      <c r="O10" s="8" t="str" cm="1">
        <f t="array" ref="O10">Fertiliser_Equations_OrganicN2O.VEERG_5_2_1_1__1_OrganicFertiliserApplicationN2OEmissions_Variable()</f>
        <v>E_N2O</v>
      </c>
    </row>
    <row r="11" spans="1:21" ht="20.100000000000001" customHeight="1" x14ac:dyDescent="0.2">
      <c r="A11" s="16" t="str">
        <f>HYPERLINK("#'Input - Farm Inputs'!A1", "Farm Inputs")</f>
        <v>Farm Inputs</v>
      </c>
      <c r="D11" s="27" t="s">
        <v>97</v>
      </c>
      <c r="E11" s="13" t="str" cm="1">
        <f t="array" ref="E11">Fertiliser_Equations_OrganicN2O.VEERG_5_2_1_1__1_OrganicFertiliserApplicationN2OEmissions_Unit()</f>
        <v>t N2O</v>
      </c>
      <c r="N11" s="27" t="s">
        <v>97</v>
      </c>
      <c r="O11" s="13" t="str" cm="1">
        <f t="array" ref="O11">Fertiliser_Equations_OrganicN2O.VEERG_5_2_1_1__1_OrganicFertiliserApplicationN2OEmissions_Unit()</f>
        <v>t N2O</v>
      </c>
    </row>
    <row r="12" spans="1:21" ht="20.100000000000001" customHeight="1" x14ac:dyDescent="0.2">
      <c r="A12" s="16" t="str">
        <f>HYPERLINK("#'Input - Livestock purchases'!A1", "Livestock purchases")</f>
        <v>Livestock purchases</v>
      </c>
    </row>
    <row r="13" spans="1:21" ht="20.100000000000001" customHeight="1" x14ac:dyDescent="0.2">
      <c r="A13" s="16" t="str">
        <f>HYPERLINK("#'Input - Freight'!A1", "Freight")</f>
        <v>Freight</v>
      </c>
      <c r="D13" s="158" t="str" cm="1">
        <f t="array" ref="D13:E17">_xlfn.CHOOSECOLS(Fertiliser_Equations_OrganicN2O.VEERG_5_2_1_1__1_OrganicFertiliserApplicationN2OEmissions_Arguments(), 1, 2)</f>
        <v>MNSoil_jf</v>
      </c>
      <c r="E13" s="162" t="str">
        <v>mass of nitrogen in organic fertiliser type f applied to production system j</v>
      </c>
      <c r="F13" s="196"/>
      <c r="G13" s="157"/>
      <c r="H13" s="158" t="str" cm="1">
        <f t="array" ref="H13:I17">_xlfn.CHOOSECOLS(Fertiliser_Equations_OrganicN2O.VEERG_5_2_1_1__1_OrganicFertiliserApplicationN2OEmissions_Arguments(), 3,4)</f>
        <v>kg N</v>
      </c>
      <c r="I13" s="160" t="str">
        <v>Calculated from 5.2.1.1 (2)</v>
      </c>
      <c r="J13" s="158">
        <f>X_Cell_ManureSentOffsite_MassNitrogenManure_Method1</f>
        <v>1000</v>
      </c>
      <c r="N13" s="158" t="str" cm="1">
        <f t="array" ref="N13:O17">_xlfn.CHOOSECOLS(Fertiliser_Equations_OrganicN2O.VEERG_5_2_1_1__1_OrganicFertiliserApplicationN2OEmissions_Arguments(), 1, 2)</f>
        <v>MNSoil_jf</v>
      </c>
      <c r="O13" s="162" t="str">
        <v>mass of nitrogen in organic fertiliser type f applied to production system j</v>
      </c>
      <c r="P13" s="196"/>
      <c r="Q13" s="157"/>
      <c r="R13" s="158" t="str" cm="1">
        <f t="array" ref="R13:S17">_xlfn.CHOOSECOLS(Fertiliser_Equations_OrganicN2O.VEERG_5_2_1_1__1_OrganicFertiliserApplicationN2OEmissions_Arguments(), 3,4)</f>
        <v>kg N</v>
      </c>
      <c r="S13" s="160" t="str">
        <v>Calculated from 5.2.1.1 (2)</v>
      </c>
      <c r="T13" s="158">
        <f>X_Cell_ManureSentOffsite_MassNitrogenManure_Method2</f>
        <v>2000</v>
      </c>
    </row>
    <row r="14" spans="1:21" ht="20.100000000000001" customHeight="1" x14ac:dyDescent="0.2">
      <c r="A14" s="16" t="str">
        <f>HYPERLINK("#'Input - Solid waste'!A1", "Solid waste")</f>
        <v>Solid waste</v>
      </c>
      <c r="D14" s="158" t="str">
        <v>EF_N2Oi</v>
      </c>
      <c r="E14" s="162" t="str">
        <v>emission factor for direct nitrous oxide emissions from organic fertiliser applied to soils and aquatic systems in climate zone i</v>
      </c>
      <c r="F14" s="196"/>
      <c r="G14" s="157"/>
      <c r="H14" s="158" t="str">
        <v>kg N2O-N/kg N</v>
      </c>
      <c r="I14" s="160" t="str">
        <v>Lookup</v>
      </c>
      <c r="J14" s="158">
        <f>Common_InputFunctions.Utility_LookupValueInTableNumber(J17, Table_SourceData_Common_EFOrganicFertCropResidues[Climate Zone],Table_SourceData_Common_EFOrganicFertCropResidues[EFNi &amp; EFN2Oi])</f>
        <v>5.0000000000000001E-3</v>
      </c>
      <c r="N14" s="158" t="str">
        <v>EF_N2Oi</v>
      </c>
      <c r="O14" s="162" t="str">
        <v>emission factor for direct nitrous oxide emissions from organic fertiliser applied to soils and aquatic systems in climate zone i</v>
      </c>
      <c r="P14" s="196"/>
      <c r="Q14" s="157"/>
      <c r="R14" s="158" t="str">
        <v>kg N2O-N/kg N</v>
      </c>
      <c r="S14" s="160" t="str">
        <v>Lookup</v>
      </c>
      <c r="T14" s="158"/>
    </row>
    <row r="15" spans="1:21" ht="20.100000000000001" customHeight="1" x14ac:dyDescent="0.2">
      <c r="A15" s="16" t="str">
        <f>HYPERLINK("#'Input - Manure sent off-site'!A1", "Manure sent off-site")</f>
        <v>Manure sent off-site</v>
      </c>
      <c r="D15" s="158" t="str">
        <v>C_N2O</v>
      </c>
      <c r="E15" s="162" t="str">
        <v>factor to convert elemental mass of nitrous oxide to molecular mass</v>
      </c>
      <c r="F15" s="196"/>
      <c r="G15" s="157"/>
      <c r="H15" s="158" t="str">
        <v/>
      </c>
      <c r="I15" s="160" t="str">
        <v>Constant</v>
      </c>
      <c r="J15" s="158">
        <f>Common_InputFunctions.Utility_LookupValueInTableNumber("N2O",Table_GasToMolecularConversionFactor[Gas],Table_GasToMolecularConversionFactor[Conversion factor combined])</f>
        <v>1.5714285714285714</v>
      </c>
      <c r="N15" s="158" t="str">
        <v>C_N2O</v>
      </c>
      <c r="O15" s="162" t="str">
        <v>factor to convert elemental mass of nitrous oxide to molecular mass</v>
      </c>
      <c r="P15" s="196"/>
      <c r="Q15" s="157"/>
      <c r="R15" s="158" t="str">
        <v/>
      </c>
      <c r="S15" s="160" t="str">
        <v>Constant</v>
      </c>
      <c r="T15" s="158"/>
    </row>
    <row r="16" spans="1:21" ht="20.100000000000001" customHeight="1" x14ac:dyDescent="0.2">
      <c r="A16" s="16" t="str">
        <f>HYPERLINK("#'Input - Electricity'!A1", "Electricity")</f>
        <v>Electricity</v>
      </c>
      <c r="D16" s="158" t="str">
        <v>j</v>
      </c>
      <c r="E16" s="162" t="str">
        <v>Production system</v>
      </c>
      <c r="F16" s="196"/>
      <c r="G16" s="157"/>
      <c r="H16" s="158" t="str">
        <v/>
      </c>
      <c r="I16" s="159" t="str">
        <v>Input</v>
      </c>
      <c r="J16" s="158" t="str">
        <f>X_Cell_ManureSentOffsite_ManureProductionSystem</f>
        <v>Crop</v>
      </c>
      <c r="N16" s="158" t="str">
        <v>j</v>
      </c>
      <c r="O16" s="162" t="str">
        <v>Production system</v>
      </c>
      <c r="P16" s="196"/>
      <c r="Q16" s="157"/>
      <c r="R16" s="158" t="str">
        <v/>
      </c>
      <c r="S16" s="159" t="str">
        <v>Input</v>
      </c>
      <c r="T16" s="158"/>
    </row>
    <row r="17" spans="1:20" ht="20.100000000000001" customHeight="1" x14ac:dyDescent="0.2">
      <c r="D17" s="158" t="str">
        <v>i</v>
      </c>
      <c r="E17" s="162" t="str">
        <v>Wet or dry climate zone</v>
      </c>
      <c r="F17" s="196"/>
      <c r="G17" s="157"/>
      <c r="H17" s="158" t="str">
        <v/>
      </c>
      <c r="I17" s="159" t="str">
        <v>Input</v>
      </c>
      <c r="J17" s="158" t="str">
        <f>X_Cell_Site_WetOrDryClimateZone</f>
        <v>Dry climate zone</v>
      </c>
      <c r="N17" s="158" t="str">
        <v>i</v>
      </c>
      <c r="O17" s="162" t="str">
        <v>Wet or dry climate zone</v>
      </c>
      <c r="P17" s="196"/>
      <c r="Q17" s="157"/>
      <c r="R17" s="158" t="str">
        <v/>
      </c>
      <c r="S17" s="159" t="str">
        <v>Input</v>
      </c>
      <c r="T17" s="158"/>
    </row>
    <row r="19" spans="1:20" ht="20.100000000000001" customHeight="1" x14ac:dyDescent="0.2">
      <c r="A19" s="21" t="s">
        <v>77</v>
      </c>
      <c r="D19" s="167" t="s">
        <v>741</v>
      </c>
      <c r="E19" s="168" cm="1">
        <f t="array" ref="E19">Fertiliser_Equations_OrganicN2O.VEERG_5_2_1_1__1_OrganicFertiliserApplicationN2OEmissions(J13,J14,J15)</f>
        <v>7.8571428571428577E-3</v>
      </c>
      <c r="F19" s="169" t="str">
        <f>$E$11</f>
        <v>t N2O</v>
      </c>
      <c r="N19" s="167" t="s">
        <v>741</v>
      </c>
      <c r="O19" s="168" cm="1">
        <f t="array" ref="O19">Fertiliser_Equations_OrganicN2O.VEERG_5_2_1_1__1_OrganicFertiliserApplicationN2OEmissions(T13,J14,J15)</f>
        <v>1.5714285714285715E-2</v>
      </c>
      <c r="P19" s="169" t="str">
        <f>$E$11</f>
        <v>t N2O</v>
      </c>
    </row>
    <row r="20" spans="1:20" ht="20.100000000000001" customHeight="1" x14ac:dyDescent="0.2">
      <c r="A20" s="16" t="str">
        <f>HYPERLINK("#'15 Scope 3'!A1", "15 Scope 3")</f>
        <v>15 Scope 3</v>
      </c>
    </row>
    <row r="21" spans="1:20" ht="20.100000000000001" customHeight="1" x14ac:dyDescent="0.2">
      <c r="A21" s="16" t="str">
        <f>HYPERLINK("#'10.1.1-2 Solid waste treatment'!A1", "10.1.1-2 Solid waste treatment")</f>
        <v>10.1.1-2 Solid waste treatment</v>
      </c>
    </row>
    <row r="22" spans="1:20" ht="20.100000000000001" customHeight="1" x14ac:dyDescent="0.2">
      <c r="A22" s="171" t="str">
        <f>HYPERLINK("#'Calcs - Manure sent off-site'!A1", "Calcs - Manure sent off-site")</f>
        <v>Calcs - Manure sent off-site</v>
      </c>
    </row>
    <row r="23" spans="1:20" ht="20.100000000000001" customHeight="1" x14ac:dyDescent="0.2">
      <c r="A23" s="16" t="str">
        <f>HYPERLINK("#'8.1.1.1-2 Transport fuel'!A1", "8.1.1.1-2 Transport fuel")</f>
        <v>8.1.1.1-2 Transport fuel</v>
      </c>
    </row>
    <row r="24" spans="1:20" ht="20.100000000000001" customHeight="1" x14ac:dyDescent="0.2">
      <c r="A24" s="16" t="str">
        <f>HYPERLINK("#'8.2.1.1-2 Stationary fuel'!A1", "8.2.1.1-2 Stationary fuel")</f>
        <v>8.2.1.1-2 Stationary fuel</v>
      </c>
      <c r="D24" s="9" t="str" cm="1">
        <f t="array" ref="D24">Fertiliser_Equations_AtmosphericDeposition.VEERG_5_4_1_3__2_MassOfNitrogenVolatilisedFromOrganicFertiliser_Title()</f>
        <v>Mass of nitrogen volatilised from organic fertiliser applied to production system</v>
      </c>
      <c r="N24" s="9"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
      <c r="D25" s="11" t="str" cm="1">
        <f t="array" ref="D25">Fertiliser_Equations_AtmosphericDeposition.VEERG_5_4_1_3__2_MassOfNitrogenVolatilisedFromOrganicFertiliser_Source()</f>
        <v>VEERG 2026: 5.4.1.3, Equation (2)</v>
      </c>
      <c r="N25" s="11" t="str" cm="1">
        <f t="array" ref="N25">Fertiliser_Equations_AtmosphericDeposition.VEERG_5_4_1_3__2_MassOfNitrogenVolatilisedFromOrganicFertiliser_Source()</f>
        <v>VEERG 2026: 5.4.1.3, Equation (2)</v>
      </c>
    </row>
    <row r="26" spans="1:20" ht="20.100000000000001" customHeight="1" x14ac:dyDescent="0.2">
      <c r="D26" s="163" t="s">
        <v>621</v>
      </c>
      <c r="E26" s="163" t="str" cm="1">
        <f t="array" aca="1" ref="E26" ca="1">Common_InputFunctions.Utility_DisplayFunctionName(E35)</f>
        <v>=Fertiliser_Equations_AtmosphericDeposition.VEERG_5_4_1_3__2_MassOfNitrogenVolatilisedFromOrganicFertiliser</v>
      </c>
      <c r="N26" s="163" t="s">
        <v>621</v>
      </c>
      <c r="O26" s="163" t="str" cm="1">
        <f t="array" aca="1" ref="O26" ca="1">Common_InputFunctions.Utility_DisplayFunctionName(O35)</f>
        <v>=Fertiliser_Equations_AtmosphericDeposition.VEERG_5_4_1_3__2_MassOfNitrogenVolatilisedFromOrganicFertiliser</v>
      </c>
    </row>
    <row r="27" spans="1:20" ht="20.100000000000001" customHeight="1" x14ac:dyDescent="0.2">
      <c r="A27" s="213" t="s">
        <v>78</v>
      </c>
    </row>
    <row r="28" spans="1:20" ht="20.100000000000001" customHeight="1" x14ac:dyDescent="0.2">
      <c r="A28" s="16" t="str">
        <f>HYPERLINK("#'Constants - Scope 3'!A1", "Constants - Scope 3")</f>
        <v>Constants - Scope 3</v>
      </c>
    </row>
    <row r="29" spans="1:20" ht="20.100000000000001" customHeight="1" x14ac:dyDescent="0.2">
      <c r="A29" s="16" t="str">
        <f>HYPERLINK("#'Constants - Solid Waste'!A1", "Constants - Solid Waste")</f>
        <v>Constants - Solid Waste</v>
      </c>
      <c r="D29" s="27" t="s">
        <v>622</v>
      </c>
      <c r="E29" s="8" t="str" cm="1">
        <f t="array" ref="E29">Fertiliser_Equations_AtmosphericDeposition.VEERG_5_4_1_3__2_MassOfNitrogenVolatilisedFromOrganicFertiliser_Variable()</f>
        <v>M_volorganicjf</v>
      </c>
      <c r="N29" s="27" t="s">
        <v>622</v>
      </c>
      <c r="O29" s="8" t="str" cm="1">
        <f t="array" ref="O29">Fertiliser_Equations_AtmosphericDeposition.VEERG_5_4_1_3__2_MassOfNitrogenVolatilisedFromOrganicFertiliser_Variable()</f>
        <v>M_volorganicjf</v>
      </c>
    </row>
    <row r="30" spans="1:20" ht="20.100000000000001" customHeight="1" x14ac:dyDescent="0.2">
      <c r="A30" s="16" t="str">
        <f>HYPERLINK("#'Constants - Fuel'!A1", "Constants - Fuel")</f>
        <v>Constants - Fuel</v>
      </c>
      <c r="D30" s="27" t="s">
        <v>97</v>
      </c>
      <c r="E30" s="13" t="str" cm="1">
        <f t="array" ref="E30">Fertiliser_Equations_AtmosphericDeposition.VEERG_5_4_1_3__2_MassOfNitrogenVolatilisedFromOrganicFertiliser_Unit()</f>
        <v>kg N</v>
      </c>
      <c r="N30" s="27" t="s">
        <v>97</v>
      </c>
      <c r="O30" s="13" t="str" cm="1">
        <f t="array" ref="O30">Fertiliser_Equations_AtmosphericDeposition.VEERG_5_4_1_3__2_MassOfNitrogenVolatilisedFromOrganicFertiliser_Unit()</f>
        <v>kg N</v>
      </c>
    </row>
    <row r="31" spans="1:20" ht="20.100000000000001" customHeight="1" x14ac:dyDescent="0.2">
      <c r="A31" s="16" t="str">
        <f>HYPERLINK("#'Constants - Poultry'!A1", "Constants - Poultry")</f>
        <v>Constants - Poultry</v>
      </c>
    </row>
    <row r="32" spans="1:20" ht="20.100000000000001" customHeight="1" x14ac:dyDescent="0.2">
      <c r="A32" s="16" t="str">
        <f>HYPERLINK("#'Constants - Swine'!A1", "Constants - Swine")</f>
        <v>Constants - Swine</v>
      </c>
      <c r="D32" s="158" t="str" cm="1">
        <f t="array" ref="D32:E33">_xlfn.CHOOSECOLS(Fertiliser_Equations_AtmosphericDeposition.VEERG_5_4_1_3__2_MassOfNitrogenVolatilisedFromOrganicFertiliser_Arguments(), 1, 2)</f>
        <v>MNSoil_jf</v>
      </c>
      <c r="E32" s="158" t="str">
        <v>mass of nitrogen in organic fertiliser type f applied to production system j</v>
      </c>
      <c r="F32" s="158"/>
      <c r="G32" s="158" t="str" cm="1">
        <f t="array" ref="G32:H33">_xlfn.CHOOSECOLS(Fertiliser_Equations_AtmosphericDeposition.VEERG_5_4_1_3__2_MassOfNitrogenVolatilisedFromOrganicFertiliser_Arguments(), 3,4)</f>
        <v>kg N</v>
      </c>
      <c r="H32" s="160" t="str">
        <v>Calculated from 5.2.1.1 (2)</v>
      </c>
      <c r="I32" s="158">
        <f>X_Cell_ManureSentOffsite_MassNitrogenManure_Method1</f>
        <v>1000</v>
      </c>
      <c r="N32" s="158" t="str" cm="1">
        <f t="array" ref="N32:O33">_xlfn.CHOOSECOLS(Fertiliser_Equations_AtmosphericDeposition.VEERG_5_4_1_3__2_MassOfNitrogenVolatilisedFromOrganicFertiliser_Arguments(), 1, 2)</f>
        <v>MNSoil_jf</v>
      </c>
      <c r="O32" s="158" t="str">
        <v>mass of nitrogen in organic fertiliser type f applied to production system j</v>
      </c>
      <c r="P32" s="158"/>
      <c r="Q32" s="158" t="str" cm="1">
        <f t="array" ref="Q32:R33">_xlfn.CHOOSECOLS(Fertiliser_Equations_AtmosphericDeposition.VEERG_5_4_1_3__2_MassOfNitrogenVolatilisedFromOrganicFertiliser_Arguments(), 3,4)</f>
        <v>kg N</v>
      </c>
      <c r="R32" s="160" t="str">
        <v>Calculated from 5.2.1.1 (2)</v>
      </c>
      <c r="S32" s="158">
        <f>X_Cell_ManureSentOffsite_MassNitrogenManure_Method2</f>
        <v>2000</v>
      </c>
    </row>
    <row r="33" spans="1:19" ht="20.100000000000001" customHeight="1" x14ac:dyDescent="0.2">
      <c r="A33" s="16" t="str">
        <f>HYPERLINK("#'Constants - Dairy'!A1", "Constants - Dairy")</f>
        <v>Constants - Dairy</v>
      </c>
      <c r="D33" s="158" t="str">
        <v>FracGASM_soil</v>
      </c>
      <c r="E33" s="158" t="str">
        <v>fraction of organic fertiliser N that volatilises</v>
      </c>
      <c r="F33" s="158"/>
      <c r="G33" s="158" t="str">
        <v>(kg NH3-N + NOx-N)/kg N</v>
      </c>
      <c r="H33" s="160" t="str">
        <v>Constant</v>
      </c>
      <c r="I33" s="158">
        <f>Fertiliser_FracGASMSoil_Data</f>
        <v>0.21</v>
      </c>
      <c r="N33" s="158" t="str">
        <v>FracGASM_soil</v>
      </c>
      <c r="O33" s="158" t="str">
        <v>fraction of organic fertiliser N that volatilises</v>
      </c>
      <c r="P33" s="158"/>
      <c r="Q33" s="158" t="str">
        <v>(kg NH3-N + NOx-N)/kg N</v>
      </c>
      <c r="R33" s="160" t="str">
        <v>Constant</v>
      </c>
      <c r="S33" s="158"/>
    </row>
    <row r="34" spans="1:19" ht="20.100000000000001" customHeight="1" x14ac:dyDescent="0.2">
      <c r="A34" s="16" t="str">
        <f>HYPERLINK("#'Constants - Pasture Beef'!A1", "Constants - Pasture Beef")</f>
        <v>Constants - Pasture Beef</v>
      </c>
    </row>
    <row r="35" spans="1:19" ht="20.100000000000001" customHeight="1" x14ac:dyDescent="0.2">
      <c r="A35" s="16" t="str">
        <f>HYPERLINK("#'Constants - Common Livestock'!A1", "Constants - Common Livestock")</f>
        <v>Constants - Common Livestock</v>
      </c>
      <c r="D35" s="165" t="s">
        <v>743</v>
      </c>
      <c r="E35" s="89" cm="1">
        <f t="array" ref="E35">Fertiliser_Equations_AtmosphericDeposition.VEERG_5_4_1_3__2_MassOfNitrogenVolatilisedFromOrganicFertiliser(I32,I33)</f>
        <v>210</v>
      </c>
      <c r="F35" s="166" t="str">
        <f>E30</f>
        <v>kg N</v>
      </c>
      <c r="N35" s="165" t="s">
        <v>743</v>
      </c>
      <c r="O35" s="89" cm="1">
        <f t="array" ref="O35">Fertiliser_Equations_AtmosphericDeposition.VEERG_5_4_1_3__2_MassOfNitrogenVolatilisedFromOrganicFertiliser(S32,I33)</f>
        <v>420</v>
      </c>
      <c r="P35" s="166" t="str">
        <f>O30</f>
        <v>kg N</v>
      </c>
    </row>
    <row r="36" spans="1:19" ht="20.100000000000001" customHeight="1" x14ac:dyDescent="0.2">
      <c r="A36" s="16" t="str">
        <f>HYPERLINK("#'Constants - Fertiliser'!A1", "Constants - Fertiliser")</f>
        <v>Constants - Fertiliser</v>
      </c>
    </row>
    <row r="37" spans="1:19" ht="20.100000000000001" customHeight="1" x14ac:dyDescent="0.2">
      <c r="A37" s="16" t="str">
        <f>HYPERLINK("#'Constants - Electricity'!A1", "Constants - Electricity")</f>
        <v>Constants - Electricity</v>
      </c>
    </row>
    <row r="38" spans="1:19" ht="20.100000000000001" customHeight="1" x14ac:dyDescent="0.2">
      <c r="A38" s="16" t="str">
        <f>HYPERLINK("#'Constants - Common'!A1", "Constants - Common")</f>
        <v>Constants - Common</v>
      </c>
    </row>
    <row r="40" spans="1:19" ht="20.100000000000001" customHeight="1" x14ac:dyDescent="0.2">
      <c r="D40" s="9" t="str" cm="1">
        <f t="array" ref="D40">Fertiliser_Equations_AtmosphericDeposition.VEERG_5_4_1_3__1_OrganicFertiliserAtmosphericDepositionN2OEmissions_Title()</f>
        <v>Nitrous oxide emissions from atmospheric deposition of all organic fertiliser types f and all production systems j</v>
      </c>
      <c r="N40" s="9"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
      <c r="D41" s="11" t="str" cm="1">
        <f t="array" ref="D41">Fertiliser_Equations_AtmosphericDeposition.VEERG_5_4_1_3__1_OrganicFertiliserAtmosphericDepositionN2OEmissions_Source()</f>
        <v>VEERG 2026: 5.4.1.3, Equation (1)</v>
      </c>
      <c r="N41" s="11" t="str" cm="1">
        <f t="array" ref="N41">Fertiliser_Equations_AtmosphericDeposition.VEERG_5_4_1_3__1_OrganicFertiliserAtmosphericDepositionN2OEmissions_Source()</f>
        <v>VEERG 2026: 5.4.1.3, Equation (1)</v>
      </c>
    </row>
    <row r="42" spans="1:19" ht="20.100000000000001" customHeight="1" x14ac:dyDescent="0.2">
      <c r="D42" s="163" t="s">
        <v>621</v>
      </c>
      <c r="E42" s="163" t="str">
        <f ca="1">Common_InputFunctions.Utility_DisplayFunctionName(VEERG_5_4_1_3__1_OrganicFertiliserAtmosphericDepositionN2OEmissions_Result_Method1)</f>
        <v>=Fertiliser_Equations_AtmosphericDeposition.VEERG_5_4_1_3__1_OrganicFertiliserAtmosphericDepositionN2OEmissions</v>
      </c>
      <c r="N42" s="163" t="s">
        <v>621</v>
      </c>
      <c r="O42" s="163" t="str">
        <f ca="1">Common_InputFunctions.Utility_DisplayFunctionName(VEERG_5_4_1_3__1_OrganicFertiliserAtmosphericDepositionN2OEmissions_Result_Method2)</f>
        <v>=Fertiliser_Equations_AtmosphericDeposition.VEERG_5_4_1_3__1_OrganicFertiliserAtmosphericDepositionN2OEmissions</v>
      </c>
    </row>
    <row r="45" spans="1:19" ht="20.100000000000001" customHeight="1" x14ac:dyDescent="0.2">
      <c r="D45" s="27" t="s">
        <v>622</v>
      </c>
      <c r="E45" s="8" t="str" cm="1">
        <f t="array" ref="E45">Fertiliser_Equations_AtmosphericDeposition.VEERG_5_4_1_3__1_OrganicFertiliserAtmosphericDepositionN2OEmissions_Variable()</f>
        <v>E_adorganic</v>
      </c>
      <c r="N45" s="27" t="s">
        <v>622</v>
      </c>
      <c r="O45" s="8" t="str" cm="1">
        <f t="array" ref="O45">Fertiliser_Equations_AtmosphericDeposition.VEERG_5_4_1_3__1_OrganicFertiliserAtmosphericDepositionN2OEmissions_Variable()</f>
        <v>E_adorganic</v>
      </c>
    </row>
    <row r="46" spans="1:19" ht="20.100000000000001" customHeight="1" x14ac:dyDescent="0.2">
      <c r="D46" s="27" t="s">
        <v>97</v>
      </c>
      <c r="E46" s="13" t="str" cm="1">
        <f t="array" ref="E46">Fertiliser_Equations_AtmosphericDeposition.VEERG_5_4_1_3__1_OrganicFertiliserAtmosphericDepositionN2OEmissions_Unit()</f>
        <v>t N2O</v>
      </c>
      <c r="N46" s="27" t="s">
        <v>97</v>
      </c>
      <c r="O46" s="13" t="str" cm="1">
        <f t="array" ref="O46">Fertiliser_Equations_AtmosphericDeposition.VEERG_5_4_1_3__1_OrganicFertiliserAtmosphericDepositionN2OEmissions_Unit()</f>
        <v>t N2O</v>
      </c>
    </row>
    <row r="48" spans="1:19" ht="20.100000000000001" customHeight="1" x14ac:dyDescent="0.2">
      <c r="D48" s="158" t="str" cm="1">
        <f t="array" ref="D48:E53">_xlfn.CHOOSECOLS(Fertiliser_Equations_AtmosphericDeposition.VEERG_5_4_1_3__1_OrganicFertiliserAtmosphericDepositionN2OEmissions_Arguments(), 1, 2)</f>
        <v>M_volorganicjf</v>
      </c>
      <c r="E48" s="162" t="str">
        <v>mass of nitrogen volatilised from organic fertiliser applied to production system</v>
      </c>
      <c r="F48" s="157"/>
      <c r="G48" s="158" t="str" cm="1">
        <f t="array" ref="G48:H53">_xlfn.CHOOSECOLS(Fertiliser_Equations_AtmosphericDeposition.VEERG_5_4_1_3__1_OrganicFertiliserAtmosphericDepositionN2OEmissions_Arguments(), 3,4)</f>
        <v>kg N</v>
      </c>
      <c r="H48" s="160" t="str">
        <v>Calculated from 5.4.1.3 (2)</v>
      </c>
      <c r="I48" s="158">
        <f>E35</f>
        <v>210</v>
      </c>
      <c r="N48" s="158" t="str" cm="1">
        <f t="array" ref="N48:O53">_xlfn.CHOOSECOLS(Fertiliser_Equations_AtmosphericDeposition.VEERG_5_4_1_3__1_OrganicFertiliserAtmosphericDepositionN2OEmissions_Arguments(), 1, 2)</f>
        <v>M_volorganicjf</v>
      </c>
      <c r="O48" s="162" t="str">
        <v>mass of nitrogen volatilised from organic fertiliser applied to production system</v>
      </c>
      <c r="P48" s="157"/>
      <c r="Q48" s="158" t="str" cm="1">
        <f t="array" ref="Q48:R53">_xlfn.CHOOSECOLS(Fertiliser_Equations_AtmosphericDeposition.VEERG_5_4_1_3__1_OrganicFertiliserAtmosphericDepositionN2OEmissions_Arguments(), 3,4)</f>
        <v>kg N</v>
      </c>
      <c r="R48" s="160" t="str">
        <v>Calculated from 5.4.1.3 (2)</v>
      </c>
      <c r="S48" s="158">
        <f>O35</f>
        <v>420</v>
      </c>
    </row>
    <row r="49" spans="4:19" ht="20.100000000000001" customHeight="1" x14ac:dyDescent="0.2">
      <c r="D49" s="158" t="str">
        <v>EF_N2Oj</v>
      </c>
      <c r="E49" s="162" t="str">
        <v>emission factor for atmospheric deposition in production system j</v>
      </c>
      <c r="F49" s="157"/>
      <c r="G49" s="158" t="str">
        <v>kg N2O-N/kg N</v>
      </c>
      <c r="H49" s="160" t="str">
        <v>Constant</v>
      </c>
      <c r="I49" s="158">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58" t="str">
        <v>EF_N2Oj</v>
      </c>
      <c r="O49" s="162" t="str">
        <v>emission factor for atmospheric deposition in production system j</v>
      </c>
      <c r="P49" s="157"/>
      <c r="Q49" s="158" t="str">
        <v>kg N2O-N/kg N</v>
      </c>
      <c r="R49" s="160" t="str">
        <v>Constant</v>
      </c>
      <c r="S49" s="158"/>
    </row>
    <row r="50" spans="4:19" ht="20.100000000000001" customHeight="1" x14ac:dyDescent="0.2">
      <c r="D50" s="158" t="str">
        <v>C_N2O</v>
      </c>
      <c r="E50" s="162" t="str">
        <v>factor to convert elemental mass of nitrous oxide to molecular mass</v>
      </c>
      <c r="F50" s="157"/>
      <c r="G50" s="158" t="str">
        <v/>
      </c>
      <c r="H50" s="160" t="str">
        <v>Constant</v>
      </c>
      <c r="I50" s="197">
        <f>Common_InputFunctions.Utility_LookupValueInTableNumber("N2O",Table_GasToMolecularConversionFactor[Gas],Table_GasToMolecularConversionFactor[Conversion factor combined])</f>
        <v>1.5714285714285714</v>
      </c>
      <c r="N50" s="158" t="str">
        <v>C_N2O</v>
      </c>
      <c r="O50" s="162" t="str">
        <v>factor to convert elemental mass of nitrous oxide to molecular mass</v>
      </c>
      <c r="P50" s="157"/>
      <c r="Q50" s="158" t="str">
        <v/>
      </c>
      <c r="R50" s="160" t="str">
        <v>Constant</v>
      </c>
      <c r="S50" s="197"/>
    </row>
    <row r="51" spans="4:19" ht="20.100000000000001" customHeight="1" x14ac:dyDescent="0.2">
      <c r="D51" s="158" t="str">
        <v>j</v>
      </c>
      <c r="E51" s="162" t="str">
        <v>Production system</v>
      </c>
      <c r="F51" s="157"/>
      <c r="G51" s="158" t="str">
        <v/>
      </c>
      <c r="H51" s="159" t="str">
        <v>Input</v>
      </c>
      <c r="I51" s="158" t="str">
        <f>IF(ISBLANK(X_Cell_ManureSentOffsite_ManureProductionSystem), "Pasture", X_Cell_ManureSentOffsite_ManureProductionSystem)</f>
        <v>Crop</v>
      </c>
      <c r="N51" s="158" t="str">
        <v>j</v>
      </c>
      <c r="O51" s="162" t="str">
        <v>Production system</v>
      </c>
      <c r="P51" s="157"/>
      <c r="Q51" s="158" t="str">
        <v/>
      </c>
      <c r="R51" s="159" t="str">
        <v>Input</v>
      </c>
      <c r="S51" s="158"/>
    </row>
    <row r="52" spans="4:19" ht="20.100000000000001" customHeight="1" x14ac:dyDescent="0.2">
      <c r="D52" s="158" t="str">
        <v>ir</v>
      </c>
      <c r="E52" s="162" t="str">
        <v>irrigation method</v>
      </c>
      <c r="F52" s="157"/>
      <c r="G52" s="158" t="str">
        <v/>
      </c>
      <c r="H52" s="159" t="str">
        <v>Input</v>
      </c>
      <c r="I52" s="158" t="str">
        <f>IF(ISBLANK(X_Cell_ManureSentOffsite_ManureIrrigationMethod), "Not irrigated", X_Cell_ManureSentOffsite_ManureIrrigationMethod)</f>
        <v>Sprinkler irrigation</v>
      </c>
      <c r="N52" s="158" t="str">
        <v>ir</v>
      </c>
      <c r="O52" s="162" t="str">
        <v>irrigation method</v>
      </c>
      <c r="P52" s="157"/>
      <c r="Q52" s="158" t="str">
        <v/>
      </c>
      <c r="R52" s="159" t="str">
        <v>Input</v>
      </c>
      <c r="S52" s="158"/>
    </row>
    <row r="53" spans="4:19" ht="20.100000000000001" customHeight="1" x14ac:dyDescent="0.2">
      <c r="D53" s="158" t="str">
        <v>r</v>
      </c>
      <c r="E53" s="162" t="str">
        <v>rainfall region</v>
      </c>
      <c r="F53" s="157"/>
      <c r="G53" s="158" t="str">
        <v/>
      </c>
      <c r="H53" s="159" t="str">
        <v>Input</v>
      </c>
      <c r="I53" s="158" t="str">
        <f>IF(ISBLANK(X_Cell_Site_RainfallZone), "Low rainfall", X_Cell_Site_RainfallZone)</f>
        <v>Low rainfall</v>
      </c>
      <c r="N53" s="158" t="str">
        <v>r</v>
      </c>
      <c r="O53" s="162" t="str">
        <v>rainfall region</v>
      </c>
      <c r="P53" s="157"/>
      <c r="Q53" s="158" t="str">
        <v/>
      </c>
      <c r="R53" s="159" t="str">
        <v>Input</v>
      </c>
      <c r="S53" s="158"/>
    </row>
    <row r="55" spans="4:19" ht="20.100000000000001" customHeight="1" x14ac:dyDescent="0.2">
      <c r="D55" s="167" t="s">
        <v>757</v>
      </c>
      <c r="E55" s="168" cm="1">
        <f t="array" ref="E55">Fertiliser_Equations_AtmosphericDeposition.VEERG_5_4_1_3__1_OrganicFertiliserAtmosphericDepositionN2OEmissions(I48,I49,I50)</f>
        <v>2.31E-3</v>
      </c>
      <c r="F55" s="169" t="str">
        <f>$E$46</f>
        <v>t N2O</v>
      </c>
      <c r="N55" s="167" t="s">
        <v>757</v>
      </c>
      <c r="O55" s="168" cm="1">
        <f t="array" ref="O55">Fertiliser_Equations_AtmosphericDeposition.VEERG_5_4_1_3__1_OrganicFertiliserAtmosphericDepositionN2OEmissions(S48,I49,I50)</f>
        <v>4.62E-3</v>
      </c>
      <c r="P55" s="169" t="str">
        <f>$E$46</f>
        <v>t N2O</v>
      </c>
    </row>
    <row r="59" spans="4:19" ht="20.100000000000001" customHeight="1" x14ac:dyDescent="0.2">
      <c r="D59" s="9" t="str" cm="1">
        <f t="array" ref="D59">Fertiliser_Equations_LeachingAndRunoff.VEERG_5_5_1_1__3_MassOfNitrogenLeachedFromOrganicFertiliser_Title()</f>
        <v>Mass of nitrogen lost through leaching and runoff from organic fertiliser application in production system j</v>
      </c>
      <c r="N59" s="9" t="str" cm="1">
        <f t="array" ref="N59">Fertiliser_Equations_LeachingAndRunoff.VEERG_5_5_1_1__3_MassOfNitrogenLeachedFromOrganicFertiliser_Title()</f>
        <v>Mass of nitrogen lost through leaching and runoff from organic fertiliser application in production system j</v>
      </c>
    </row>
    <row r="60" spans="4:19" ht="20.100000000000001" customHeight="1" x14ac:dyDescent="0.2">
      <c r="D60" s="11" t="str" cm="1">
        <f t="array" ref="D60">Fertiliser_Equations_LeachingAndRunoff.VEERG_5_5_1_1__3_MassOfNitrogenLeachedFromOrganicFertiliser_Source()</f>
        <v>VEERG 2026: 5.5, Equation (3)</v>
      </c>
      <c r="N60" s="11" t="str" cm="1">
        <f t="array" ref="N60">Fertiliser_Equations_LeachingAndRunoff.VEERG_5_5_1_1__3_MassOfNitrogenLeachedFromOrganicFertiliser_Source()</f>
        <v>VEERG 2026: 5.5, Equation (3)</v>
      </c>
    </row>
    <row r="61" spans="4:19" ht="20.100000000000001" customHeight="1" x14ac:dyDescent="0.2">
      <c r="D61" s="163" t="s">
        <v>621</v>
      </c>
      <c r="E61" s="163" t="str" cm="1">
        <f t="array" aca="1" ref="E61" ca="1">Common_InputFunctions.Utility_DisplayFunctionName(E74)</f>
        <v>=Fertiliser_Equations_LeachingAndRunoff.VEERG_5_5_1_1__3_MassOfNitrogenLeachedFromOrganicFertiliser</v>
      </c>
      <c r="N61" s="163" t="s">
        <v>621</v>
      </c>
      <c r="O61" s="163" t="str" cm="1">
        <f t="array" aca="1" ref="O61" ca="1">Common_InputFunctions.Utility_DisplayFunctionName(O74)</f>
        <v>=Fertiliser_Equations_LeachingAndRunoff.VEERG_5_5_1_1__3_MassOfNitrogenLeachedFromOrganicFertiliser</v>
      </c>
    </row>
    <row r="64" spans="4:19" ht="20.100000000000001" customHeight="1" x14ac:dyDescent="0.2">
      <c r="D64" s="27" t="s">
        <v>622</v>
      </c>
      <c r="E64" s="8" t="str" cm="1">
        <f t="array" ref="E64">Fertiliser_Equations_LeachingAndRunoff.VEERG_5_5_1_1__3_MassOfNitrogenLeachedFromOrganicFertiliser_Variable()</f>
        <v>M_leachorganicj</v>
      </c>
      <c r="N64" s="27" t="s">
        <v>622</v>
      </c>
      <c r="O64" s="8" t="str" cm="1">
        <f t="array" ref="O64">Fertiliser_Equations_LeachingAndRunoff.VEERG_5_5_1_1__3_MassOfNitrogenLeachedFromOrganicFertiliser_Variable()</f>
        <v>M_leachorganicj</v>
      </c>
    </row>
    <row r="65" spans="4:19" ht="20.100000000000001" customHeight="1" x14ac:dyDescent="0.2">
      <c r="D65" s="27" t="s">
        <v>97</v>
      </c>
      <c r="E65" s="13" t="str" cm="1">
        <f t="array" ref="E65">Fertiliser_Equations_LeachingAndRunoff.VEERG_5_5_1_1__3_MassOfNitrogenLeachedFromOrganicFertiliser_Unit()</f>
        <v>kg N</v>
      </c>
      <c r="N65" s="27" t="s">
        <v>97</v>
      </c>
      <c r="O65" s="13" t="str" cm="1">
        <f t="array" ref="O65">Fertiliser_Equations_LeachingAndRunoff.VEERG_5_5_1_1__3_MassOfNitrogenLeachedFromOrganicFertiliser_Unit()</f>
        <v>kg N</v>
      </c>
    </row>
    <row r="67" spans="4:19" ht="20.100000000000001" customHeight="1" x14ac:dyDescent="0.2">
      <c r="D67" s="158" t="str" cm="1">
        <f t="array" ref="D67:E72">_xlfn.CHOOSECOLS(Fertiliser_Equations_LeachingAndRunoff.VEERG_5_5_1_1__3_MassOfNitrogenLeachedFromOrganicFertiliser_Arguments(), 1, 2)</f>
        <v>MNSoil_jf</v>
      </c>
      <c r="E67" s="162" t="str">
        <v>mass of nitrogen in organic fertiliser</v>
      </c>
      <c r="F67" s="157"/>
      <c r="G67" s="158" t="str" cm="1">
        <f t="array" ref="G67:H72">_xlfn.CHOOSECOLS(Fertiliser_Equations_LeachingAndRunoff.VEERG_5_5_1_1__3_MassOfNitrogenLeachedFromOrganicFertiliser_Arguments(), 3,4)</f>
        <v>kg N</v>
      </c>
      <c r="H67" s="160" t="str">
        <v>Calculated from 5.2.1.1 (2)</v>
      </c>
      <c r="I67" s="158">
        <f>X_Cell_ManureSentOffsite_MassNitrogenManure_Method1</f>
        <v>1000</v>
      </c>
      <c r="N67" s="158" t="str" cm="1">
        <f t="array" ref="N67:O72">_xlfn.CHOOSECOLS(Fertiliser_Equations_LeachingAndRunoff.VEERG_5_5_1_1__3_MassOfNitrogenLeachedFromOrganicFertiliser_Arguments(), 1, 2)</f>
        <v>MNSoil_jf</v>
      </c>
      <c r="O67" s="162" t="str">
        <v>mass of nitrogen in organic fertiliser</v>
      </c>
      <c r="P67" s="157"/>
      <c r="Q67" s="158" t="str" cm="1">
        <f t="array" ref="Q67:R72">_xlfn.CHOOSECOLS(Fertiliser_Equations_LeachingAndRunoff.VEERG_5_5_1_1__3_MassOfNitrogenLeachedFromOrganicFertiliser_Arguments(), 3,4)</f>
        <v>kg N</v>
      </c>
      <c r="R67" s="160" t="str">
        <v>Calculated from 5.2.1.1 (2)</v>
      </c>
      <c r="S67" s="158">
        <f>X_Cell_ManureSentOffsite_MassNitrogenManure_Method2</f>
        <v>2000</v>
      </c>
    </row>
    <row r="68" spans="4:19" ht="20.100000000000001" customHeight="1" x14ac:dyDescent="0.2">
      <c r="D68" s="158" t="str">
        <v>FracWETj</v>
      </c>
      <c r="E68" s="162" t="str">
        <v>fraction of N available for leaching and runoff</v>
      </c>
      <c r="F68" s="157"/>
      <c r="G68" s="158" t="str">
        <v>fraction</v>
      </c>
      <c r="H68" s="160" t="str">
        <v>Constant</v>
      </c>
      <c r="I68" s="158">
        <f>Common_InputFunctions.CommonCropping_GetFracWET(I70,I72,Table_SourceData_FracWET[Is in leaching zone],Table_SourceData_FracWET[FracWET],Table_SourceData_FracWETIrrigation[Irrigation type i],Table_SourceData_FracWETIrrigation[FracWET])</f>
        <v>1</v>
      </c>
      <c r="N68" s="158" t="str">
        <v>FracWETj</v>
      </c>
      <c r="O68" s="162" t="str">
        <v>fraction of N available for leaching and runoff</v>
      </c>
      <c r="P68" s="157"/>
      <c r="Q68" s="158" t="str">
        <v>fraction</v>
      </c>
      <c r="R68" s="160" t="str">
        <v>Constant</v>
      </c>
      <c r="S68" s="158"/>
    </row>
    <row r="69" spans="4:19" ht="20.100000000000001" customHeight="1" x14ac:dyDescent="0.2">
      <c r="D69" s="158" t="str">
        <v>FracLEACH</v>
      </c>
      <c r="E69" s="162" t="str">
        <v>fraction of N that is lost through leaching and runoff</v>
      </c>
      <c r="F69" s="157"/>
      <c r="G69" s="158" t="str">
        <v>fraction</v>
      </c>
      <c r="H69" s="160" t="str">
        <v>Constant</v>
      </c>
      <c r="I69" s="158">
        <f>Fertiliser_FracLEACH_Data</f>
        <v>0.24</v>
      </c>
      <c r="N69" s="158" t="str">
        <v>FracLEACH</v>
      </c>
      <c r="O69" s="162" t="str">
        <v>fraction of N that is lost through leaching and runoff</v>
      </c>
      <c r="P69" s="157"/>
      <c r="Q69" s="158" t="str">
        <v>fraction</v>
      </c>
      <c r="R69" s="160" t="str">
        <v>Constant</v>
      </c>
      <c r="S69" s="158"/>
    </row>
    <row r="70" spans="4:19" ht="20.100000000000001" customHeight="1" x14ac:dyDescent="0.2">
      <c r="D70" s="158" t="str">
        <v>z</v>
      </c>
      <c r="E70" s="162" t="str">
        <v>location in leaching zone</v>
      </c>
      <c r="F70" s="157"/>
      <c r="G70" s="158" t="str">
        <v/>
      </c>
      <c r="H70" s="159" t="str">
        <v>Input</v>
      </c>
      <c r="I70" s="158" t="str">
        <f>X_Cell_Site_LeachingZone</f>
        <v>NO - Not in leaching zone</v>
      </c>
      <c r="N70" s="158" t="str">
        <v>z</v>
      </c>
      <c r="O70" s="162" t="str">
        <v>location in leaching zone</v>
      </c>
      <c r="P70" s="157"/>
      <c r="Q70" s="158" t="str">
        <v/>
      </c>
      <c r="R70" s="159" t="str">
        <v>Input</v>
      </c>
      <c r="S70" s="158"/>
    </row>
    <row r="71" spans="4:19" ht="20.100000000000001" customHeight="1" x14ac:dyDescent="0.2">
      <c r="D71" s="158" t="str">
        <v>j</v>
      </c>
      <c r="E71" s="162" t="str">
        <v>production system</v>
      </c>
      <c r="F71" s="157"/>
      <c r="G71" s="158" t="str">
        <v/>
      </c>
      <c r="H71" s="159" t="str">
        <v>Input</v>
      </c>
      <c r="I71" s="158" t="str">
        <f>IF(ISBLANK(X_Cell_ManureSentOffsite_ManureProductionSystem), "Pasture", X_Cell_ManureSentOffsite_ManureProductionSystem)</f>
        <v>Crop</v>
      </c>
      <c r="N71" s="158" t="str">
        <v>j</v>
      </c>
      <c r="O71" s="162" t="str">
        <v>production system</v>
      </c>
      <c r="P71" s="157"/>
      <c r="Q71" s="158" t="str">
        <v/>
      </c>
      <c r="R71" s="159" t="str">
        <v>Input</v>
      </c>
      <c r="S71" s="158"/>
    </row>
    <row r="72" spans="4:19" ht="20.100000000000001" customHeight="1" x14ac:dyDescent="0.2">
      <c r="D72" s="158" t="str">
        <v>ir</v>
      </c>
      <c r="E72" s="162" t="str">
        <v>irrigation method</v>
      </c>
      <c r="F72" s="157"/>
      <c r="G72" s="158" t="str">
        <v/>
      </c>
      <c r="H72" s="159" t="str">
        <v>Input</v>
      </c>
      <c r="I72" s="158" t="str">
        <f>IF(ISBLANK(X_Cell_ManureSentOffsite_ManureIrrigationMethod), "Not irrigated", X_Cell_ManureSentOffsite_ManureIrrigationMethod)</f>
        <v>Sprinkler irrigation</v>
      </c>
      <c r="N72" s="158" t="str">
        <v>ir</v>
      </c>
      <c r="O72" s="162" t="str">
        <v>irrigation method</v>
      </c>
      <c r="P72" s="157"/>
      <c r="Q72" s="158" t="str">
        <v/>
      </c>
      <c r="R72" s="159" t="str">
        <v>Input</v>
      </c>
      <c r="S72" s="158"/>
    </row>
    <row r="74" spans="4:19" ht="20.100000000000001" customHeight="1" x14ac:dyDescent="0.2">
      <c r="D74" s="165" t="s">
        <v>758</v>
      </c>
      <c r="E74" s="89" cm="1">
        <f t="array" ref="E74">Fertiliser_Equations_LeachingAndRunoff.VEERG_5_5_1_1__3_MassOfNitrogenLeachedFromOrganicFertiliser(I67,I68,I69)</f>
        <v>240</v>
      </c>
      <c r="F74" s="166" t="str">
        <f>$E$65</f>
        <v>kg N</v>
      </c>
      <c r="N74" s="165" t="s">
        <v>758</v>
      </c>
      <c r="O74" s="89" cm="1">
        <f t="array" ref="O74">Fertiliser_Equations_LeachingAndRunoff.VEERG_5_5_1_1__3_MassOfNitrogenLeachedFromOrganicFertiliser(S67,I68,I69)</f>
        <v>480</v>
      </c>
      <c r="P74" s="166" t="str">
        <f>$E$65</f>
        <v>kg N</v>
      </c>
    </row>
    <row r="77" spans="4:19" ht="20.100000000000001" customHeight="1" x14ac:dyDescent="0.2">
      <c r="D77" s="9" t="str" cm="1">
        <f t="array" ref="D77">Fertiliser_Equations_LeachingAndRunoff.VEERG_5_5_1_1__1_FertiliserLeachingAndRunoffN2OEmissions_Title()</f>
        <v>Nitrous oxide emissions from nitrogen leaching and runoff from the application of all fertilisers across all production systems j</v>
      </c>
      <c r="N77" s="9" t="str" cm="1">
        <f t="array" ref="N77">Fertiliser_Equations_LeachingAndRunoff.VEERG_5_5_1_1__1_FertiliserLeachingAndRunoffN2OEmissions_Title()</f>
        <v>Nitrous oxide emissions from nitrogen leaching and runoff from the application of all fertilisers across all production systems j</v>
      </c>
    </row>
    <row r="78" spans="4:19" ht="20.100000000000001" customHeight="1" x14ac:dyDescent="0.2">
      <c r="D78" s="11" t="str" cm="1">
        <f t="array" ref="D78">Fertiliser_Equations_LeachingAndRunoff.VEERG_5_5_1_1__1_FertiliserLeachingAndRunoffN2OEmissions_Source()</f>
        <v>VEERG 2026: 5.5, Equation (1)</v>
      </c>
      <c r="N78" s="11" t="str" cm="1">
        <f t="array" ref="N78">Fertiliser_Equations_LeachingAndRunoff.VEERG_5_5_1_1__1_FertiliserLeachingAndRunoffN2OEmissions_Source()</f>
        <v>VEERG 2026: 5.5, Equation (1)</v>
      </c>
    </row>
    <row r="79" spans="4:19" ht="20.100000000000001" customHeight="1" x14ac:dyDescent="0.2">
      <c r="D79" s="163" t="s">
        <v>621</v>
      </c>
      <c r="E79" s="163" t="str">
        <f ca="1">Common_InputFunctions.Utility_DisplayFunctionName(VEERG_5_5_1_1__1_FertiliserLeachingAndRunoffN2OEmissions_Result_Method1)</f>
        <v>=Fertiliser_Equations_LeachingAndRunoff.VEERG_5_5_1_1__1_FertiliserLeachingAndRunoffN2OEmissions</v>
      </c>
      <c r="N79" s="163" t="s">
        <v>621</v>
      </c>
      <c r="O79" s="163" t="str">
        <f ca="1">Common_InputFunctions.Utility_DisplayFunctionName(VEERG_5_5_1_1__1_FertiliserLeachingAndRunoffN2OEmissions_Result_Method2)</f>
        <v>=Fertiliser_Equations_LeachingAndRunoff.VEERG_5_5_1_1__1_FertiliserLeachingAndRunoffN2OEmissions</v>
      </c>
    </row>
    <row r="82" spans="4:20" ht="20.100000000000001" customHeight="1" x14ac:dyDescent="0.2">
      <c r="D82" s="27" t="s">
        <v>622</v>
      </c>
      <c r="E82" s="8" t="str" cm="1">
        <f t="array" ref="E82">Fertiliser_Equations_LeachingAndRunoff.VEERG_5_5_1_1__1_FertiliserLeachingAndRunoffN2OEmissions_Variable()</f>
        <v>E_fertleach</v>
      </c>
      <c r="N82" s="27" t="s">
        <v>622</v>
      </c>
      <c r="O82" s="8" t="str" cm="1">
        <f t="array" ref="O82">Fertiliser_Equations_LeachingAndRunoff.VEERG_5_5_1_1__1_FertiliserLeachingAndRunoffN2OEmissions_Variable()</f>
        <v>E_fertleach</v>
      </c>
    </row>
    <row r="83" spans="4:20" ht="20.100000000000001" customHeight="1" x14ac:dyDescent="0.2">
      <c r="D83" s="27" t="s">
        <v>97</v>
      </c>
      <c r="E83" s="13" t="str" cm="1">
        <f t="array" ref="E83">Fertiliser_Equations_LeachingAndRunoff.VEERG_5_5_1_1__1_FertiliserLeachingAndRunoffN2OEmissions_Unit()</f>
        <v>t N2O</v>
      </c>
      <c r="N83" s="27" t="s">
        <v>97</v>
      </c>
      <c r="O83" s="13" t="str" cm="1">
        <f t="array" ref="O83">Fertiliser_Equations_LeachingAndRunoff.VEERG_5_5_1_1__1_FertiliserLeachingAndRunoffN2OEmissions_Unit()</f>
        <v>t N2O</v>
      </c>
    </row>
    <row r="85" spans="4:20" ht="20.100000000000001" customHeight="1" x14ac:dyDescent="0.2">
      <c r="D85" s="158" t="str" cm="1">
        <f t="array" ref="D85:E88">_xlfn.CHOOSECOLS(Fertiliser_Equations_LeachingAndRunoff.VEERG_5_5_1_1__1_FertiliserLeachingAndRunoffN2OEmissions_Arguments(), 1, 2)</f>
        <v>M_leachinorganicj</v>
      </c>
      <c r="E85" s="162" t="str">
        <v>mass of nitrogen lost through leaching and runoff from inorganic fertiliser application in production system j</v>
      </c>
      <c r="F85" s="196"/>
      <c r="G85" s="157"/>
      <c r="H85" s="158" t="str" cm="1">
        <f t="array" ref="H85:I88">_xlfn.CHOOSECOLS(Fertiliser_Equations_LeachingAndRunoff.VEERG_5_5_1_1__1_FertiliserLeachingAndRunoffN2OEmissions_Arguments(), 3,4)</f>
        <v>kg N</v>
      </c>
      <c r="I85" s="160" t="str">
        <v>Calculated from 5.5.1.1 (2)</v>
      </c>
      <c r="J85" s="158">
        <v>0</v>
      </c>
      <c r="N85" s="158" t="str" cm="1">
        <f t="array" ref="N85:O88">_xlfn.CHOOSECOLS(Fertiliser_Equations_LeachingAndRunoff.VEERG_5_5_1_1__1_FertiliserLeachingAndRunoffN2OEmissions_Arguments(), 1, 2)</f>
        <v>M_leachinorganicj</v>
      </c>
      <c r="O85" s="162" t="str">
        <v>mass of nitrogen lost through leaching and runoff from inorganic fertiliser application in production system j</v>
      </c>
      <c r="P85" s="196"/>
      <c r="Q85" s="157"/>
      <c r="R85" s="158" t="str" cm="1">
        <f t="array" ref="R85:S88">_xlfn.CHOOSECOLS(Fertiliser_Equations_LeachingAndRunoff.VEERG_5_5_1_1__1_FertiliserLeachingAndRunoffN2OEmissions_Arguments(), 3,4)</f>
        <v>kg N</v>
      </c>
      <c r="S85" s="160" t="str">
        <v>Calculated from 5.5.1.1 (2)</v>
      </c>
      <c r="T85" s="158"/>
    </row>
    <row r="86" spans="4:20" ht="20.100000000000001" customHeight="1" x14ac:dyDescent="0.2">
      <c r="D86" s="158" t="str">
        <v>M_leachorganicj</v>
      </c>
      <c r="E86" s="162" t="str">
        <v>mass of nitrogen lost through leaching and runoff from organic fertiliser application</v>
      </c>
      <c r="F86" s="196"/>
      <c r="G86" s="157"/>
      <c r="H86" s="158" t="str">
        <v>kg N</v>
      </c>
      <c r="I86" s="160" t="str">
        <v>Calculated from 5.5.1.1 (3)</v>
      </c>
      <c r="J86" s="158">
        <f>E74</f>
        <v>240</v>
      </c>
      <c r="N86" s="158" t="str">
        <v>M_leachorganicj</v>
      </c>
      <c r="O86" s="162" t="str">
        <v>mass of nitrogen lost through leaching and runoff from organic fertiliser application</v>
      </c>
      <c r="P86" s="196"/>
      <c r="Q86" s="157"/>
      <c r="R86" s="158" t="str">
        <v>kg N</v>
      </c>
      <c r="S86" s="160" t="str">
        <v>Calculated from 5.5.1.1 (3)</v>
      </c>
      <c r="T86" s="158">
        <f>O74</f>
        <v>480</v>
      </c>
    </row>
    <row r="87" spans="4:20" ht="20.100000000000001" customHeight="1" x14ac:dyDescent="0.2">
      <c r="D87" s="158" t="str">
        <v>EF_leach</v>
      </c>
      <c r="E87" s="162" t="str">
        <v>emission factor for nitrogen leaching and runoff</v>
      </c>
      <c r="F87" s="196"/>
      <c r="G87" s="157"/>
      <c r="H87" s="158" t="str">
        <v>kg N2O-N/kg N</v>
      </c>
      <c r="I87" s="160" t="str">
        <v>Constant</v>
      </c>
      <c r="J87" s="158">
        <f>Fertiliser_EFLeach_Data</f>
        <v>1.0999999999999999E-2</v>
      </c>
      <c r="N87" s="158" t="str">
        <v>EF_leach</v>
      </c>
      <c r="O87" s="162" t="str">
        <v>emission factor for nitrogen leaching and runoff</v>
      </c>
      <c r="P87" s="196"/>
      <c r="Q87" s="157"/>
      <c r="R87" s="158" t="str">
        <v>kg N2O-N/kg N</v>
      </c>
      <c r="S87" s="160" t="str">
        <v>Constant</v>
      </c>
      <c r="T87" s="158"/>
    </row>
    <row r="88" spans="4:20" ht="20.100000000000001" customHeight="1" x14ac:dyDescent="0.2">
      <c r="D88" s="158" t="str">
        <v>C_N2O</v>
      </c>
      <c r="E88" s="162" t="str">
        <v>factor to convert elemental mass of nitrous oxide to molecular mass</v>
      </c>
      <c r="F88" s="196"/>
      <c r="G88" s="157"/>
      <c r="H88" s="158" t="str">
        <v/>
      </c>
      <c r="I88" s="160" t="str">
        <v>Constant</v>
      </c>
      <c r="J88" s="197">
        <f>Common_InputFunctions.Utility_LookupValueInTableNumber("N2O",Table_GasToMolecularConversionFactor[Gas],Table_GasToMolecularConversionFactor[Conversion factor combined])</f>
        <v>1.5714285714285714</v>
      </c>
      <c r="N88" s="158" t="str">
        <v>C_N2O</v>
      </c>
      <c r="O88" s="162" t="str">
        <v>factor to convert elemental mass of nitrous oxide to molecular mass</v>
      </c>
      <c r="P88" s="196"/>
      <c r="Q88" s="157"/>
      <c r="R88" s="158" t="str">
        <v/>
      </c>
      <c r="S88" s="160" t="str">
        <v>Constant</v>
      </c>
      <c r="T88" s="197"/>
    </row>
    <row r="90" spans="4:20" ht="20.100000000000001" customHeight="1" x14ac:dyDescent="0.2">
      <c r="D90" s="167" t="s">
        <v>759</v>
      </c>
      <c r="E90" s="168" cm="1">
        <f t="array" ref="E90">Fertiliser_Equations_LeachingAndRunoff.VEERG_5_5_1_1__1_FertiliserLeachingAndRunoffN2OEmissions(J85,J86,J87,J88)</f>
        <v>4.1485714285714277E-3</v>
      </c>
      <c r="F90" s="169" t="str">
        <f>$E$83</f>
        <v>t N2O</v>
      </c>
      <c r="N90" s="167" t="s">
        <v>759</v>
      </c>
      <c r="O90" s="168" cm="1">
        <f t="array" ref="O90">Fertiliser_Equations_LeachingAndRunoff.VEERG_5_5_1_1__1_FertiliserLeachingAndRunoffN2OEmissions(J85,T86,J87,J88)</f>
        <v>8.2971428571428554E-3</v>
      </c>
      <c r="P90" s="169" t="str">
        <f>$E$83</f>
        <v>t N2O</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4927A-1FDA-4D09-8931-48DC362E8215}">
  <sheetPr>
    <tabColor theme="9" tint="-0.249977111117893"/>
  </sheetPr>
  <dimension ref="A1:R342"/>
  <sheetViews>
    <sheetView showGridLines="0" zoomScaleNormal="100" workbookViewId="0">
      <selection activeCell="A31" sqref="A31"/>
    </sheetView>
  </sheetViews>
  <sheetFormatPr defaultColWidth="9" defaultRowHeight="20.100000000000001" customHeight="1" x14ac:dyDescent="0.25"/>
  <cols>
    <col min="1" max="1" width="26.85546875" style="3" customWidth="1"/>
    <col min="2" max="2" width="4.140625" style="3" customWidth="1"/>
    <col min="3" max="3" width="4.140625" style="8" customWidth="1"/>
    <col min="4" max="4" width="40.42578125" style="8" customWidth="1"/>
    <col min="5" max="17" width="26.85546875" style="8" customWidth="1"/>
    <col min="18" max="18" width="4.140625" style="8" customWidth="1"/>
    <col min="19" max="16384" width="9" style="3"/>
  </cols>
  <sheetData>
    <row r="1" spans="1:18" s="1" customFormat="1" ht="30" customHeight="1" x14ac:dyDescent="0.35">
      <c r="A1" s="37" t="e" vm="1">
        <v>#VALUE!</v>
      </c>
      <c r="C1" s="1" t="s">
        <v>705</v>
      </c>
    </row>
    <row r="2" spans="1:18" s="2" customFormat="1" ht="20.100000000000001" customHeight="1" x14ac:dyDescent="0.2">
      <c r="A2"/>
    </row>
    <row r="3" spans="1:18" ht="20.100000000000001" customHeight="1" x14ac:dyDescent="0.25">
      <c r="A3" s="16" t="str">
        <f>HYPERLINK("#'Overview'!A1", "Overview")</f>
        <v>Overview</v>
      </c>
      <c r="C3" s="5"/>
      <c r="D3" s="5" t="s">
        <v>405</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63" t="s">
        <v>621</v>
      </c>
      <c r="E7" s="163" t="str" cm="1">
        <f t="array" aca="1" ref="E7" ca="1">Common_InputFunctions.Utility_DisplayFunctionName(N25)</f>
        <v>=Fuel_Equations.VEERG_8_1_1_1__1_FuelCombustionTransport</v>
      </c>
      <c r="K7" s="163" t="s">
        <v>621</v>
      </c>
      <c r="L7" s="163"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Site'!A1", "Site")</f>
        <v>Site</v>
      </c>
      <c r="E8" s="163"/>
      <c r="L8" s="163"/>
      <c r="O8" s="17"/>
      <c r="P8" s="17"/>
      <c r="Q8" s="17"/>
    </row>
    <row r="9" spans="1:18" ht="20.100000000000001" customHeight="1" x14ac:dyDescent="0.25">
      <c r="A9" s="16" t="str">
        <f>HYPERLINK("#'Input - Fuel'!A1", "Fuel")</f>
        <v>Fuel</v>
      </c>
      <c r="G9" s="11"/>
      <c r="O9" s="17"/>
      <c r="P9" s="17"/>
      <c r="Q9" s="17"/>
    </row>
    <row r="10" spans="1:18" ht="20.100000000000001" customHeight="1" x14ac:dyDescent="0.25">
      <c r="A10" s="16" t="str">
        <f>HYPERLINK("#'Input - Fertiliser'!A1", "Fertiliser")</f>
        <v>Fertiliser</v>
      </c>
      <c r="O10" s="17"/>
      <c r="P10" s="17"/>
      <c r="Q10" s="17"/>
    </row>
    <row r="11" spans="1:18" ht="20.100000000000001" customHeight="1" x14ac:dyDescent="0.25">
      <c r="A11" s="16" t="str">
        <f>HYPERLINK("#'Input - Farm Inputs'!A1", "Farm Inputs")</f>
        <v>Farm Inputs</v>
      </c>
      <c r="D11" s="27" t="s">
        <v>622</v>
      </c>
      <c r="E11" s="8" t="str" cm="1">
        <f t="array" ref="E11">Fuel_Equations.VEERG_8_1_1_1__1_FuelCombustionTransport_Variable()</f>
        <v>E_g</v>
      </c>
      <c r="K11" s="27" t="s">
        <v>622</v>
      </c>
      <c r="L11" s="8" t="str" cm="1">
        <f t="array" ref="L11">Scope3_Equations.VEERG_15_11_1_1__2_UpstreamTransportFuelEmissions_Variable()</f>
        <v>E_WTTtransq</v>
      </c>
      <c r="O11" s="17"/>
      <c r="P11" s="17"/>
      <c r="Q11" s="17"/>
    </row>
    <row r="12" spans="1:18" ht="20.100000000000001" customHeight="1" x14ac:dyDescent="0.25">
      <c r="A12" s="16" t="str">
        <f>HYPERLINK("#'Input - Livestock purchases'!A1", "Livestock purchases")</f>
        <v>Livestock purchases</v>
      </c>
      <c r="D12" s="27" t="s">
        <v>97</v>
      </c>
      <c r="E12" s="13" t="str" cm="1">
        <f t="array" ref="E12">Fuel_Equations.VEERG_8_1_1_1__1_FuelCombustionTransport_Unit()</f>
        <v>t CO2-e</v>
      </c>
      <c r="K12" s="27" t="s">
        <v>97</v>
      </c>
      <c r="L12" s="13" t="str" cm="1">
        <f t="array" ref="L12">Scope3_Equations.VEERG_15_11_1_1__2_UpstreamTransportFuelEmissions_Unit()</f>
        <v>t CO2e</v>
      </c>
    </row>
    <row r="13" spans="1:18" ht="20.100000000000001" customHeight="1" x14ac:dyDescent="0.25">
      <c r="A13" s="16" t="str">
        <f>HYPERLINK("#'Input - Freight'!A1", "Freight")</f>
        <v>Freight</v>
      </c>
    </row>
    <row r="14" spans="1:18" ht="20.100000000000001" customHeight="1" x14ac:dyDescent="0.25">
      <c r="A14" s="16" t="str">
        <f>HYPERLINK("#'Input - Solid waste'!A1", "Solid waste")</f>
        <v>Solid waste</v>
      </c>
      <c r="D14" s="158" t="str" cm="1">
        <f t="array" ref="D14:E20">_xlfn.CHOOSECOLS(Fuel_Equations.VEERG_8_1_1_1__1_FuelCombustionTransport_Arguments(), 1,2)</f>
        <v>Q_Transtq</v>
      </c>
      <c r="E14" s="162" t="str">
        <v>Amount of fuel type q combusted for transport energy purposes</v>
      </c>
      <c r="F14" s="157"/>
      <c r="G14" s="158" t="str" cm="1">
        <f t="array" ref="G14:H20">_xlfn.CHOOSECOLS(Fuel_Equations.VEERG_8_1_1_1__1_FuelCombustionTransport_Arguments(), 3,4)</f>
        <v>Varies based on fuel type: kL, m3, GJ</v>
      </c>
      <c r="H14" s="159" t="str">
        <v>Input</v>
      </c>
      <c r="I14" s="161" t="str" cm="1">
        <f t="array" aca="1" ref="I14" ca="1">HYPERLINK(Common_InputFunctions.Utility_SourceHyperlink($D$22), $D$22)</f>
        <v>Table_E_g</v>
      </c>
      <c r="K14" s="158" t="str" cm="1">
        <f t="array" ref="K14:L16">_xlfn.CHOOSECOLS(Scope3_Equations.VEERG_15_11_1_1__2_UpstreamTransportFuelEmissions_Arguments(),1,2)</f>
        <v>Q_Transq</v>
      </c>
      <c r="L14" s="158" t="str">
        <v>amount of fuel q combusted for transport energy purposes</v>
      </c>
      <c r="M14" s="158"/>
      <c r="N14" s="158" t="str" cm="1">
        <f t="array" ref="N14:O16">_xlfn.CHOOSECOLS(Scope3_Equations.VEERG_15_11_1_1__2_UpstreamTransportFuelEmissions_Arguments(),3,4)</f>
        <v>kL</v>
      </c>
      <c r="O14" s="159" t="str">
        <v>Input</v>
      </c>
      <c r="P14" s="161" t="str" cm="1">
        <f t="array" aca="1" ref="P14" ca="1">HYPERLINK(Common_InputFunctions.Utility_SourceHyperlink($D$22), $D$22)</f>
        <v>Table_E_g</v>
      </c>
      <c r="Q14" s="17"/>
    </row>
    <row r="15" spans="1:18" ht="20.100000000000001" customHeight="1" x14ac:dyDescent="0.25">
      <c r="A15" s="16" t="str">
        <f>HYPERLINK("#'Input - Manure sent off-site'!A1", "Manure sent off-site")</f>
        <v>Manure sent off-site</v>
      </c>
      <c r="D15" s="158" t="str">
        <v>EC_Transq</v>
      </c>
      <c r="E15" s="162" t="str">
        <v>Energy content factor for transport energy purposes</v>
      </c>
      <c r="F15" s="157"/>
      <c r="G15" s="158" t="str">
        <v>GJ / unit of fuel</v>
      </c>
      <c r="H15" s="160" t="str">
        <v>Constant</v>
      </c>
      <c r="I15" s="161" t="str" cm="1">
        <f t="array" aca="1" ref="I15" ca="1">HYPERLINK(Common_InputFunctions.Utility_SourceHyperlink($D$22), $D$22)</f>
        <v>Table_E_g</v>
      </c>
      <c r="K15" s="158" t="str">
        <v>EC_Transq</v>
      </c>
      <c r="L15" s="158" t="str">
        <v>energy content factor for transport energy purposes</v>
      </c>
      <c r="M15" s="158"/>
      <c r="N15" s="158" t="str">
        <v>GJ/kL or GJ/m3</v>
      </c>
      <c r="O15" s="160" t="str">
        <v>Constant</v>
      </c>
      <c r="P15" s="161" t="str" cm="1">
        <f t="array" aca="1" ref="P15" ca="1">HYPERLINK(Common_InputFunctions.Utility_SourceHyperlink($D$22), $D$22)</f>
        <v>Table_E_g</v>
      </c>
      <c r="Q15" s="17"/>
    </row>
    <row r="16" spans="1:18" ht="20.100000000000001" customHeight="1" x14ac:dyDescent="0.25">
      <c r="A16" s="16" t="str">
        <f>HYPERLINK("#'Input - Electricity'!A1", "Electricity")</f>
        <v>Electricity</v>
      </c>
      <c r="D16" s="158" t="str">
        <v>EF_Trans1tqg</v>
      </c>
      <c r="E16" s="162" t="str">
        <v>Scope 1 emission factor for transport energy purposes for each greenhouse gas</v>
      </c>
      <c r="F16" s="157"/>
      <c r="G16" s="158" t="str">
        <v>kg CO2e / GJ</v>
      </c>
      <c r="H16" s="160" t="str">
        <v>Constant</v>
      </c>
      <c r="I16" s="161" t="str" cm="1">
        <f t="array" aca="1" ref="I16" ca="1">HYPERLINK(Common_InputFunctions.Utility_SourceHyperlink($D$22), $D$22)</f>
        <v>Table_E_g</v>
      </c>
      <c r="K16" s="158" t="str">
        <v>EF_Trans3q</v>
      </c>
      <c r="L16" s="158" t="str">
        <v>scope 3 emission factor for transport energy purposes</v>
      </c>
      <c r="M16" s="158"/>
      <c r="N16" s="158" t="str">
        <v>kg CO2e/GJ</v>
      </c>
      <c r="O16" s="160" t="str">
        <v>Constant</v>
      </c>
      <c r="P16" s="161" t="str" cm="1">
        <f t="array" aca="1" ref="P16" ca="1">HYPERLINK(Common_InputFunctions.Utility_SourceHyperlink($D$22), $D$22)</f>
        <v>Table_E_g</v>
      </c>
      <c r="Q16" s="17"/>
    </row>
    <row r="17" spans="1:17" ht="20.100000000000001" customHeight="1" x14ac:dyDescent="0.25">
      <c r="A17"/>
      <c r="D17" s="158" t="str">
        <v>q</v>
      </c>
      <c r="E17" s="162" t="str">
        <v>Fuel type</v>
      </c>
      <c r="F17" s="157"/>
      <c r="G17" s="158" t="str">
        <v/>
      </c>
      <c r="H17" s="160" t="str">
        <v>Constant</v>
      </c>
      <c r="I17" s="161"/>
      <c r="J17" s="17"/>
      <c r="P17" s="17"/>
      <c r="Q17" s="17"/>
    </row>
    <row r="18" spans="1:17" ht="20.100000000000001" customHeight="1" x14ac:dyDescent="0.25">
      <c r="A18"/>
      <c r="D18" s="158" t="str">
        <v>Trans</v>
      </c>
      <c r="E18" s="162" t="str">
        <v>Transport combustion</v>
      </c>
      <c r="F18" s="157"/>
      <c r="G18" s="158" t="str">
        <v/>
      </c>
      <c r="H18" s="160" t="str">
        <v>Constant</v>
      </c>
      <c r="I18" s="161"/>
      <c r="J18" s="17"/>
      <c r="L18" s="17"/>
      <c r="M18" s="17"/>
      <c r="N18" s="17"/>
      <c r="O18" s="17"/>
      <c r="P18" s="17"/>
      <c r="Q18" s="17"/>
    </row>
    <row r="19" spans="1:17" ht="20.100000000000001" customHeight="1" x14ac:dyDescent="0.25">
      <c r="A19" s="21" t="s">
        <v>77</v>
      </c>
      <c r="D19" s="158" t="str">
        <v>g</v>
      </c>
      <c r="E19" s="162" t="str">
        <v>Greenhouse gas</v>
      </c>
      <c r="F19" s="157"/>
      <c r="G19" s="158" t="str">
        <v/>
      </c>
      <c r="H19" s="160" t="str">
        <v>Constant</v>
      </c>
      <c r="I19" s="161"/>
      <c r="J19" s="17"/>
      <c r="L19" s="17"/>
      <c r="M19" s="17"/>
      <c r="N19" s="17"/>
      <c r="O19" s="17"/>
      <c r="P19" s="17"/>
      <c r="Q19" s="17"/>
    </row>
    <row r="20" spans="1:17" ht="20.100000000000001" customHeight="1" x14ac:dyDescent="0.25">
      <c r="A20" s="16" t="str">
        <f>HYPERLINK("#'15 Scope 3'!A1", "15 Scope 3")</f>
        <v>15 Scope 3</v>
      </c>
      <c r="D20" s="158" t="str">
        <v>1</v>
      </c>
      <c r="E20" s="162" t="str">
        <v>Scope 1</v>
      </c>
      <c r="F20" s="157"/>
      <c r="G20" s="158" t="str">
        <v/>
      </c>
      <c r="H20" s="160" t="str">
        <v>Constant</v>
      </c>
      <c r="I20" s="161"/>
      <c r="J20" s="17"/>
      <c r="L20" s="17"/>
      <c r="M20" s="17"/>
      <c r="N20" s="17"/>
      <c r="O20" s="17"/>
      <c r="P20" s="17"/>
      <c r="Q20" s="17"/>
    </row>
    <row r="21" spans="1:17" ht="20.100000000000001" customHeight="1" x14ac:dyDescent="0.25">
      <c r="A21" s="16" t="str">
        <f>HYPERLINK("#'10.1.1-2 Solid waste treatment'!A1", "10.1.1-2 Solid waste treatment")</f>
        <v>10.1.1-2 Solid waste treatment</v>
      </c>
      <c r="O21" s="17"/>
      <c r="P21" s="17"/>
      <c r="Q21" s="17"/>
    </row>
    <row r="22" spans="1:17" ht="20.100000000000001" customHeight="1" x14ac:dyDescent="0.25">
      <c r="A22" s="16" t="str">
        <f>HYPERLINK("#'Calcs - Manure sent off-site'!A1", "Calcs - Manure sent off-site")</f>
        <v>Calcs - Manure sent off-site</v>
      </c>
      <c r="D22" s="55" t="s">
        <v>129</v>
      </c>
    </row>
    <row r="23" spans="1:17" ht="20.100000000000001" customHeight="1" x14ac:dyDescent="0.25">
      <c r="A23" s="171" t="str">
        <f>HYPERLINK("#'8.1.1.1-2 Transport fuel'!A1", "8.1.1.1-2 Transport fuel")</f>
        <v>8.1.1.1-2 Transport fuel</v>
      </c>
      <c r="D23" s="56" t="s">
        <v>130</v>
      </c>
    </row>
    <row r="24" spans="1:17" ht="20.100000000000001" customHeight="1" x14ac:dyDescent="0.25">
      <c r="A24" s="16" t="str">
        <f>HYPERLINK("#'8.2.1.1-2 Stationary fuel'!A1", "8.2.1.1-2 Stationary fuel")</f>
        <v>8.2.1.1-2 Stationary fuel</v>
      </c>
      <c r="D24" s="57" t="s">
        <v>131</v>
      </c>
      <c r="E24" s="57" t="s">
        <v>132</v>
      </c>
      <c r="F24" s="57" t="s">
        <v>133</v>
      </c>
      <c r="G24" s="57" t="s">
        <v>706</v>
      </c>
      <c r="H24" s="57" t="s">
        <v>707</v>
      </c>
      <c r="I24" s="57" t="s">
        <v>708</v>
      </c>
      <c r="J24" s="57" t="s">
        <v>709</v>
      </c>
      <c r="K24" s="57" t="s">
        <v>710</v>
      </c>
      <c r="L24" s="46" t="s">
        <v>711</v>
      </c>
      <c r="M24" s="57" t="s">
        <v>712</v>
      </c>
      <c r="N24" s="57" t="s">
        <v>713</v>
      </c>
      <c r="O24" s="57" t="s">
        <v>714</v>
      </c>
      <c r="P24" s="57" t="s">
        <v>715</v>
      </c>
      <c r="Q24" s="57" t="s">
        <v>716</v>
      </c>
    </row>
    <row r="25" spans="1:17" ht="20.100000000000001" customHeight="1" x14ac:dyDescent="0.25">
      <c r="A25"/>
      <c r="D25" s="7" t="str">
        <f>Table_FuelTypesPerUse[[#Headers],[Cars and light commercial vehicles]]</f>
        <v>Cars and light commercial vehicles</v>
      </c>
      <c r="E25" s="58" t="str">
        <f>'Constants - Fuel'!$E$10</f>
        <v>Gasoline</v>
      </c>
      <c r="F25" s="58" t="str">
        <f>'Constants - Fuel'!G131</f>
        <v>Petrol</v>
      </c>
      <c r="G25" s="49" cm="1">
        <f t="array" ref="G25">IFERROR(_xlfn.XLOOKUP(1, (Table_Fuel_EFs_Transport[Fuel combusted]=$E25)*(Table_Fuel_EFs_Transport[Transport type]=$D$25), Table_Fuel_EFs_Transport[Energy Content Factor (GJ per unit of fuel)]), 0)</f>
        <v>34.200000000000003</v>
      </c>
      <c r="H25" s="49" cm="1">
        <f t="array" ref="H25">IFERROR(_xlfn.XLOOKUP(1, (Table_Fuel_EFs_Transport[Fuel combusted]=$E25)*(Table_Fuel_EFs_Transport[Transport type]=$D$25), Table_Fuel_EFs_Transport[Scope 1 Emission Factor (kg CO2 - e / GJ) CO2]), 0)</f>
        <v>67.400000000000006</v>
      </c>
      <c r="I25" s="49" cm="1">
        <f t="array" ref="I25">IFERROR(_xlfn.XLOOKUP(1, (Table_Fuel_EFs_Transport[Fuel combusted]=$E25)*(Table_Fuel_EFs_Transport[Transport type]=$D$25), Table_Fuel_EFs_Transport[Scope 1 Emission Factor (kg CO2 - e / GJ) CH4]), 0)</f>
        <v>0.02</v>
      </c>
      <c r="J25" s="49" cm="1">
        <f t="array" ref="J25">IFERROR(_xlfn.XLOOKUP(1, (Table_Fuel_EFs_Transport[Fuel combusted]=$E25)*(Table_Fuel_EFs_Transport[Transport type]=$D$25), Table_Fuel_EFs_Transport[Scope 1 Emission Factor (kg CO2 - e / GJ) N2O]), 0)</f>
        <v>0.2</v>
      </c>
      <c r="K25" s="49" cm="1">
        <f t="array" ref="K25">IFERROR(_xlfn.XLOOKUP(1, (Table_Fuel_EFs_Transport[Fuel combusted]=$E25)*(Table_Fuel_EFs_Transport[Transport type]=$D$25), Table_Fuel_EFs_Transport[Scope 3 Emission Factor (kg CO2 - e / GJ)]), 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173" cm="1">
        <f t="array" ref="N25">Fuel_Equations.VEERG_8_1_1_1__1_FuelCombustionTransport($L25,$G25,$H25)</f>
        <v>0</v>
      </c>
      <c r="O25" s="173" cm="1">
        <f t="array" ref="O25">Fuel_Equations.VEERG_8_1_1_1__1_FuelCombustionTransport($L25,$G25,$I25)</f>
        <v>0</v>
      </c>
      <c r="P25" s="173" cm="1">
        <f t="array" ref="P25">Fuel_Equations.VEERG_8_1_1_1__1_FuelCombustionTransport($L25,$G25,$J25)</f>
        <v>0</v>
      </c>
      <c r="Q25" s="173" cm="1">
        <f t="array" ref="Q25">Scope3_Equations.VEERG_15_11_1_1__2_UpstreamTransportFuelEmissions(L25,G25,K25)</f>
        <v>0</v>
      </c>
    </row>
    <row r="26" spans="1:17" ht="20.100000000000001" customHeight="1" x14ac:dyDescent="0.25">
      <c r="A26"/>
      <c r="D26" s="59" t="str">
        <f t="shared" ref="D26:D32" si="0">$D$25</f>
        <v>Cars and light commercial vehicles</v>
      </c>
      <c r="E26" s="58" t="str">
        <f>'Constants - Fuel'!$E$11</f>
        <v>Diesel oil</v>
      </c>
      <c r="F26" s="58" t="str">
        <f>'Constants - Fuel'!G132</f>
        <v>Diesel</v>
      </c>
      <c r="G26" s="49" cm="1">
        <f t="array" ref="G26">IFERROR(_xlfn.XLOOKUP(1, (Table_Fuel_EFs_Transport[Fuel combusted]=$E26)*(Table_Fuel_EFs_Transport[Transport type]=$D$25), Table_Fuel_EFs_Transport[Energy Content Factor (GJ per unit of fuel)]), 0)</f>
        <v>38.6</v>
      </c>
      <c r="H26" s="49" cm="1">
        <f t="array" ref="H26">IFERROR(_xlfn.XLOOKUP(1, (Table_Fuel_EFs_Transport[Fuel combusted]=$E26)*(Table_Fuel_EFs_Transport[Transport type]=$D$25), Table_Fuel_EFs_Transport[Scope 1 Emission Factor (kg CO2 - e / GJ) CO2]), 0)</f>
        <v>69.900000000000006</v>
      </c>
      <c r="I26" s="49" cm="1">
        <f t="array" ref="I26">IFERROR(_xlfn.XLOOKUP(1, (Table_Fuel_EFs_Transport[Fuel combusted]=$E26)*(Table_Fuel_EFs_Transport[Transport type]=$D$25), Table_Fuel_EFs_Transport[Scope 1 Emission Factor (kg CO2 - e / GJ) CH4]), 0)</f>
        <v>0.01</v>
      </c>
      <c r="J26" s="49" cm="1">
        <f t="array" ref="J26">IFERROR(_xlfn.XLOOKUP(1, (Table_Fuel_EFs_Transport[Fuel combusted]=$E26)*(Table_Fuel_EFs_Transport[Transport type]=$D$25), Table_Fuel_EFs_Transport[Scope 1 Emission Factor (kg CO2 - e / GJ) N2O]), 0)</f>
        <v>0.5</v>
      </c>
      <c r="K26" s="49" cm="1">
        <f t="array" ref="K26">IFERROR(_xlfn.XLOOKUP(1, (Table_Fuel_EFs_Transport[Fuel combusted]=$E26)*(Table_Fuel_EFs_Transport[Transport type]=$D$25), Table_Fuel_EFs_Transport[Scope 3 Emission Factor (kg CO2 - e / GJ)]), 0)</f>
        <v>17.3</v>
      </c>
      <c r="L26" s="172" cm="1">
        <f t="array" ref="L26">Fuel_InputFunctions.Fuel_TotalConsumption(Table_Input_Fuel[Amount consumed], Table_Input_Fuel[Fuel use (select)], D26, Table_Input_Fuel[Fuel type (select)],F26)</f>
        <v>0.1</v>
      </c>
      <c r="M26" s="172" t="str" cm="1">
        <f t="array" ref="M26">Common_InputFunctions.Utility_LookupValueInTable(F26,Table_FuelTypes_Units[Fuel type],Table_FuelTypes_Units[Unit])</f>
        <v>kL</v>
      </c>
      <c r="N26" s="173" cm="1">
        <f t="array" ref="N26">Fuel_Equations.VEERG_8_1_1_1__1_FuelCombustionTransport($L26,$G26,$H26)</f>
        <v>0.26981400000000005</v>
      </c>
      <c r="O26" s="173" cm="1">
        <f t="array" ref="O26">Fuel_Equations.VEERG_8_1_1_1__1_FuelCombustionTransport($L26,$G26,$I26)</f>
        <v>3.8600000000000003E-5</v>
      </c>
      <c r="P26" s="173" cm="1">
        <f t="array" ref="P26">Fuel_Equations.VEERG_8_1_1_1__1_FuelCombustionTransport($L26,$G26,$J26)</f>
        <v>1.9300000000000003E-3</v>
      </c>
      <c r="Q26" s="173" cm="1">
        <f t="array" ref="Q26">Scope3_Equations.VEERG_15_11_1_1__2_UpstreamTransportFuelEmissions(L26,G26,K26)</f>
        <v>6.6778000000000004E-2</v>
      </c>
    </row>
    <row r="27" spans="1:17" ht="20.100000000000001" customHeight="1" x14ac:dyDescent="0.25">
      <c r="A27" s="213" t="s">
        <v>78</v>
      </c>
      <c r="D27" s="59" t="str">
        <f t="shared" si="0"/>
        <v>Cars and light commercial vehicles</v>
      </c>
      <c r="E27" s="58" t="str">
        <f>'Constants - Fuel'!$E$12</f>
        <v>Liquefied petroleum gas (LPG)</v>
      </c>
      <c r="F27" s="58" t="str">
        <f>'Constants - Fuel'!G133</f>
        <v>Liquefied petroleum gas (LPG)</v>
      </c>
      <c r="G27" s="49" cm="1">
        <f t="array" ref="G27">IFERROR(_xlfn.XLOOKUP(1, (Table_Fuel_EFs_Transport[Fuel combusted]=$E27)*(Table_Fuel_EFs_Transport[Transport type]=$D$25), Table_Fuel_EFs_Transport[Energy Content Factor (GJ per unit of fuel)]), 0)</f>
        <v>26.2</v>
      </c>
      <c r="H27" s="49" cm="1">
        <f t="array" ref="H27">IFERROR(_xlfn.XLOOKUP(1, (Table_Fuel_EFs_Transport[Fuel combusted]=$E27)*(Table_Fuel_EFs_Transport[Transport type]=$D$25), Table_Fuel_EFs_Transport[Scope 1 Emission Factor (kg CO2 - e / GJ) CO2]), 0)</f>
        <v>60.2</v>
      </c>
      <c r="I27" s="49" cm="1">
        <f t="array" ref="I27">IFERROR(_xlfn.XLOOKUP(1, (Table_Fuel_EFs_Transport[Fuel combusted]=$E27)*(Table_Fuel_EFs_Transport[Transport type]=$D$25), Table_Fuel_EFs_Transport[Scope 1 Emission Factor (kg CO2 - e / GJ) CH4]), 0)</f>
        <v>0.5</v>
      </c>
      <c r="J27" s="49" cm="1">
        <f t="array" ref="J27">IFERROR(_xlfn.XLOOKUP(1, (Table_Fuel_EFs_Transport[Fuel combusted]=$E27)*(Table_Fuel_EFs_Transport[Transport type]=$D$25), Table_Fuel_EFs_Transport[Scope 1 Emission Factor (kg CO2 - e / GJ) N2O]), 0)</f>
        <v>0.3</v>
      </c>
      <c r="K27" s="49" cm="1">
        <f t="array" ref="K27">IFERROR(_xlfn.XLOOKUP(1, (Table_Fuel_EFs_Transport[Fuel combusted]=$E27)*(Table_Fuel_EFs_Transport[Transport type]=$D$25), Table_Fuel_EFs_Transport[Scope 3 Emission Factor (kg CO2 - e / GJ)]), 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173" cm="1">
        <f t="array" ref="N27">Fuel_Equations.VEERG_8_1_1_1__1_FuelCombustionTransport($L27,$G27,$H27)</f>
        <v>0</v>
      </c>
      <c r="O27" s="173" cm="1">
        <f t="array" ref="O27">Fuel_Equations.VEERG_8_1_1_1__1_FuelCombustionTransport($L27,$G27,$I27)</f>
        <v>0</v>
      </c>
      <c r="P27" s="173" cm="1">
        <f t="array" ref="P27">Fuel_Equations.VEERG_8_1_1_1__1_FuelCombustionTransport($L27,$G27,$J27)</f>
        <v>0</v>
      </c>
      <c r="Q27" s="173" cm="1">
        <f t="array" ref="Q27">Scope3_Equations.VEERG_15_11_1_1__2_UpstreamTransportFuelEmissions(L27,G27,K27)</f>
        <v>0</v>
      </c>
    </row>
    <row r="28" spans="1:17" ht="20.100000000000001" customHeight="1" x14ac:dyDescent="0.25">
      <c r="A28" s="16" t="str">
        <f>HYPERLINK("#'Constants - Scope 3'!A1", "Constants - Scope 3")</f>
        <v>Constants - Scope 3</v>
      </c>
      <c r="D28" s="59" t="str">
        <f t="shared" si="0"/>
        <v>Cars and light commercial vehicles</v>
      </c>
      <c r="E28" s="58" t="str">
        <f>'Constants - Fuel'!$E$13</f>
        <v>Fuel oil</v>
      </c>
      <c r="F28" s="58" t="str">
        <f>'Constants - Fuel'!G134</f>
        <v>Fuel oil</v>
      </c>
      <c r="G28" s="49" cm="1">
        <f t="array" ref="G28">IFERROR(_xlfn.XLOOKUP(1, (Table_Fuel_EFs_Transport[Fuel combusted]=$E28)*(Table_Fuel_EFs_Transport[Transport type]=$D$25), Table_Fuel_EFs_Transport[Energy Content Factor (GJ per unit of fuel)]), 0)</f>
        <v>39.700000000000003</v>
      </c>
      <c r="H28" s="49" cm="1">
        <f t="array" ref="H28">IFERROR(_xlfn.XLOOKUP(1, (Table_Fuel_EFs_Transport[Fuel combusted]=$E28)*(Table_Fuel_EFs_Transport[Transport type]=$D$25), Table_Fuel_EFs_Transport[Scope 1 Emission Factor (kg CO2 - e / GJ) CO2]), 0)</f>
        <v>73.599999999999994</v>
      </c>
      <c r="I28" s="49" cm="1">
        <f t="array" ref="I28">IFERROR(_xlfn.XLOOKUP(1, (Table_Fuel_EFs_Transport[Fuel combusted]=$E28)*(Table_Fuel_EFs_Transport[Transport type]=$D$25), Table_Fuel_EFs_Transport[Scope 1 Emission Factor (kg CO2 - e / GJ) CH4]), 0)</f>
        <v>0.08</v>
      </c>
      <c r="J28" s="49" cm="1">
        <f t="array" ref="J28">IFERROR(_xlfn.XLOOKUP(1, (Table_Fuel_EFs_Transport[Fuel combusted]=$E28)*(Table_Fuel_EFs_Transport[Transport type]=$D$25), Table_Fuel_EFs_Transport[Scope 1 Emission Factor (kg CO2 - e / GJ) N2O]), 0)</f>
        <v>0.5</v>
      </c>
      <c r="K28" s="49" cm="1">
        <f t="array" ref="K28">IFERROR(_xlfn.XLOOKUP(1, (Table_Fuel_EFs_Transport[Fuel combusted]=$E28)*(Table_Fuel_EFs_Transport[Transport type]=$D$25), Table_Fuel_EFs_Transport[Scope 3 Emission Factor (kg CO2 - e / GJ)]), 0)</f>
        <v>18</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173" cm="1">
        <f t="array" ref="N28">Fuel_Equations.VEERG_8_1_1_1__1_FuelCombustionTransport($L28,$G28,$H28)</f>
        <v>0</v>
      </c>
      <c r="O28" s="173" cm="1">
        <f t="array" ref="O28">Fuel_Equations.VEERG_8_1_1_1__1_FuelCombustionTransport($L28,$G28,$I28)</f>
        <v>0</v>
      </c>
      <c r="P28" s="173" cm="1">
        <f t="array" ref="P28">Fuel_Equations.VEERG_8_1_1_1__1_FuelCombustionTransport($L28,$G28,$J28)</f>
        <v>0</v>
      </c>
      <c r="Q28" s="173" cm="1">
        <f t="array" ref="Q28">Scope3_Equations.VEERG_15_11_1_1__2_UpstreamTransportFuelEmissions(L28,G28,K28)</f>
        <v>0</v>
      </c>
    </row>
    <row r="29" spans="1:17" ht="20.100000000000001" customHeight="1" x14ac:dyDescent="0.25">
      <c r="A29" s="16" t="str">
        <f>HYPERLINK("#'Constants - Solid Waste'!A1", "Constants - Solid Waste")</f>
        <v>Constants - Solid Waste</v>
      </c>
      <c r="D29" s="59" t="str">
        <f t="shared" si="0"/>
        <v>Cars and light commercial vehicles</v>
      </c>
      <c r="E29" s="58" t="str">
        <f>'Constants - Fuel'!$E$14</f>
        <v>Ethanol</v>
      </c>
      <c r="F29" s="58" t="str">
        <f>'Constants - Fuel'!G135</f>
        <v>Ethanol</v>
      </c>
      <c r="G29" s="49" cm="1">
        <f t="array" ref="G29">IFERROR(_xlfn.XLOOKUP(1, (Table_Fuel_EFs_Transport[Fuel combusted]=$E29)*(Table_Fuel_EFs_Transport[Transport type]=$D$25), Table_Fuel_EFs_Transport[Energy Content Factor (GJ per unit of fuel)]), 0)</f>
        <v>23.4</v>
      </c>
      <c r="H29" s="49" cm="1">
        <f t="array" ref="H29">IFERROR(_xlfn.XLOOKUP(1, (Table_Fuel_EFs_Transport[Fuel combusted]=$E29)*(Table_Fuel_EFs_Transport[Transport type]=$D$25), Table_Fuel_EFs_Transport[Scope 1 Emission Factor (kg CO2 - e / GJ) CO2]), 0)</f>
        <v>0</v>
      </c>
      <c r="I29" s="49" cm="1">
        <f t="array" ref="I29">IFERROR(_xlfn.XLOOKUP(1, (Table_Fuel_EFs_Transport[Fuel combusted]=$E29)*(Table_Fuel_EFs_Transport[Transport type]=$D$25), Table_Fuel_EFs_Transport[Scope 1 Emission Factor (kg CO2 - e / GJ) CH4]), 0)</f>
        <v>0.2</v>
      </c>
      <c r="J29" s="49" cm="1">
        <f t="array" ref="J29">IFERROR(_xlfn.XLOOKUP(1, (Table_Fuel_EFs_Transport[Fuel combusted]=$E29)*(Table_Fuel_EFs_Transport[Transport type]=$D$25), Table_Fuel_EFs_Transport[Scope 1 Emission Factor (kg CO2 - e / GJ) N2O]), 0)</f>
        <v>0.2</v>
      </c>
      <c r="K29" s="49" t="str" cm="1">
        <f t="array" ref="K29">IFERROR(_xlfn.XLOOKUP(1, (Table_Fuel_EFs_Transport[Fuel combusted]=$E29)*(Table_Fuel_EFs_Transport[Transport type]=$D$25), Table_Fuel_EFs_Transport[Scope 3 Emission Factor (kg CO2 - e / GJ)]), 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173" cm="1">
        <f t="array" ref="N29">Fuel_Equations.VEERG_8_1_1_1__1_FuelCombustionTransport($L29,$G29,$H29)</f>
        <v>0</v>
      </c>
      <c r="O29" s="173" cm="1">
        <f t="array" ref="O29">Fuel_Equations.VEERG_8_1_1_1__1_FuelCombustionTransport($L29,$G29,$I29)</f>
        <v>0</v>
      </c>
      <c r="P29" s="173" cm="1">
        <f t="array" ref="P29">Fuel_Equations.VEERG_8_1_1_1__1_FuelCombustionTransport($L29,$G29,$J29)</f>
        <v>0</v>
      </c>
      <c r="Q29" s="173" cm="1">
        <f t="array" ref="Q29">Scope3_Equations.VEERG_15_11_1_1__2_UpstreamTransportFuelEmissions(L29,G29,IF(ISNUMBER(K29),K29,0))</f>
        <v>0</v>
      </c>
    </row>
    <row r="30" spans="1:17" ht="20.100000000000001" customHeight="1" x14ac:dyDescent="0.25">
      <c r="A30" s="16" t="str">
        <f>HYPERLINK("#'Constants - Fuel'!A1", "Constants - Fuel")</f>
        <v>Constants - Fuel</v>
      </c>
      <c r="D30" s="59" t="str">
        <f t="shared" si="0"/>
        <v>Cars and light commercial vehicles</v>
      </c>
      <c r="E30" s="58" t="str">
        <f>'Constants - Fuel'!$E$15</f>
        <v>Biodiesel</v>
      </c>
      <c r="F30" s="58" t="str">
        <f>'Constants - Fuel'!G136</f>
        <v>Biodiesel</v>
      </c>
      <c r="G30" s="49" cm="1">
        <f t="array" ref="G30">IFERROR(_xlfn.XLOOKUP(1, (Table_Fuel_EFs_Transport[Fuel combusted]=$E30)*(Table_Fuel_EFs_Transport[Transport type]=$D$25), Table_Fuel_EFs_Transport[Energy Content Factor (GJ per unit of fuel)]), 0)</f>
        <v>34.6</v>
      </c>
      <c r="H30" s="49" cm="1">
        <f t="array" ref="H30">IFERROR(_xlfn.XLOOKUP(1, (Table_Fuel_EFs_Transport[Fuel combusted]=$E30)*(Table_Fuel_EFs_Transport[Transport type]=$D$25), Table_Fuel_EFs_Transport[Scope 1 Emission Factor (kg CO2 - e / GJ) CO2]), 0)</f>
        <v>0</v>
      </c>
      <c r="I30" s="49" cm="1">
        <f t="array" ref="I30">IFERROR(_xlfn.XLOOKUP(1, (Table_Fuel_EFs_Transport[Fuel combusted]=$E30)*(Table_Fuel_EFs_Transport[Transport type]=$D$25), Table_Fuel_EFs_Transport[Scope 1 Emission Factor (kg CO2 - e / GJ) CH4]), 0)</f>
        <v>0.8</v>
      </c>
      <c r="J30" s="49" cm="1">
        <f t="array" ref="J30">IFERROR(_xlfn.XLOOKUP(1, (Table_Fuel_EFs_Transport[Fuel combusted]=$E30)*(Table_Fuel_EFs_Transport[Transport type]=$D$25), Table_Fuel_EFs_Transport[Scope 1 Emission Factor (kg CO2 - e / GJ) N2O]), 0)</f>
        <v>1.7</v>
      </c>
      <c r="K30" s="49" t="str" cm="1">
        <f t="array" ref="K30">IFERROR(_xlfn.XLOOKUP(1, (Table_Fuel_EFs_Transport[Fuel combusted]=$E30)*(Table_Fuel_EFs_Transport[Transport type]=$D$25), Table_Fuel_EFs_Transport[Scope 3 Emission Factor (kg CO2 - e / GJ)]), 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173" cm="1">
        <f t="array" ref="N30">Fuel_Equations.VEERG_8_1_1_1__1_FuelCombustionTransport($L30,$G30,$H30)</f>
        <v>0</v>
      </c>
      <c r="O30" s="173" cm="1">
        <f t="array" ref="O30">Fuel_Equations.VEERG_8_1_1_1__1_FuelCombustionTransport($L30,$G30,$I30)</f>
        <v>0</v>
      </c>
      <c r="P30" s="173" cm="1">
        <f t="array" ref="P30">Fuel_Equations.VEERG_8_1_1_1__1_FuelCombustionTransport($L30,$G30,$J30)</f>
        <v>0</v>
      </c>
      <c r="Q30" s="173" cm="1">
        <f t="array" ref="Q30">Scope3_Equations.VEERG_15_11_1_1__2_UpstreamTransportFuelEmissions(L30,G30,IF(ISNUMBER(K30),K30,0))</f>
        <v>0</v>
      </c>
    </row>
    <row r="31" spans="1:17" ht="20.100000000000001" customHeight="1" x14ac:dyDescent="0.25">
      <c r="A31" s="16" t="str">
        <f>HYPERLINK("#'Constants - Poultry'!A1", "Constants - Poultry")</f>
        <v>Constants - Poultry</v>
      </c>
      <c r="D31" s="59" t="str">
        <f t="shared" si="0"/>
        <v>Cars and light commercial vehicles</v>
      </c>
      <c r="E31" s="58" t="str">
        <f>'Constants - Fuel'!$E$16</f>
        <v>Renewable diesel</v>
      </c>
      <c r="F31" s="58" t="str">
        <f>'Constants - Fuel'!G137</f>
        <v>Renewable diesel</v>
      </c>
      <c r="G31" s="49" cm="1">
        <f t="array" ref="G31">IFERROR(_xlfn.XLOOKUP(1, (Table_Fuel_EFs_Transport[Fuel combusted]=$E31)*(Table_Fuel_EFs_Transport[Transport type]=$D$25), Table_Fuel_EFs_Transport[Energy Content Factor (GJ per unit of fuel)]), 0)</f>
        <v>38.6</v>
      </c>
      <c r="H31" s="49" cm="1">
        <f t="array" ref="H31">IFERROR(_xlfn.XLOOKUP(1, (Table_Fuel_EFs_Transport[Fuel combusted]=$E31)*(Table_Fuel_EFs_Transport[Transport type]=$D$25), Table_Fuel_EFs_Transport[Scope 1 Emission Factor (kg CO2 - e / GJ) CO2]), 0)</f>
        <v>0</v>
      </c>
      <c r="I31" s="49" cm="1">
        <f t="array" ref="I31">IFERROR(_xlfn.XLOOKUP(1, (Table_Fuel_EFs_Transport[Fuel combusted]=$E31)*(Table_Fuel_EFs_Transport[Transport type]=$D$25), Table_Fuel_EFs_Transport[Scope 1 Emission Factor (kg CO2 - e / GJ) CH4]), 0)</f>
        <v>0.01</v>
      </c>
      <c r="J31" s="49" cm="1">
        <f t="array" ref="J31">IFERROR(_xlfn.XLOOKUP(1, (Table_Fuel_EFs_Transport[Fuel combusted]=$E31)*(Table_Fuel_EFs_Transport[Transport type]=$D$25), Table_Fuel_EFs_Transport[Scope 1 Emission Factor (kg CO2 - e / GJ) N2O]), 0)</f>
        <v>0.5</v>
      </c>
      <c r="K31" s="49" t="str" cm="1">
        <f t="array" ref="K31">IFERROR(_xlfn.XLOOKUP(1, (Table_Fuel_EFs_Transport[Fuel combusted]=$E31)*(Table_Fuel_EFs_Transport[Transport type]=$D$25), Table_Fuel_EFs_Transport[Scope 3 Emission Factor (kg CO2 - e / GJ)]), 0)</f>
        <v>NE</v>
      </c>
      <c r="L31" s="172" cm="1">
        <f t="array" ref="L31">Fuel_InputFunctions.Fuel_TotalConsumption(Table_Input_Fuel[Amount consumed], Table_Input_Fuel[Fuel use (select)], D31, Table_Input_Fuel[Fuel type (select)],F31)</f>
        <v>0</v>
      </c>
      <c r="M31" s="172" t="str" cm="1">
        <f t="array" ref="M31">Common_InputFunctions.Utility_LookupValueInTable(F31,Table_FuelTypes_Units[Fuel type],Table_FuelTypes_Units[Unit])</f>
        <v>kL</v>
      </c>
      <c r="N31" s="173" cm="1">
        <f t="array" ref="N31">Fuel_Equations.VEERG_8_1_1_1__1_FuelCombustionTransport($L31,$G31,$H31)</f>
        <v>0</v>
      </c>
      <c r="O31" s="173" cm="1">
        <f t="array" ref="O31">Fuel_Equations.VEERG_8_1_1_1__1_FuelCombustionTransport($L31,$G31,$I31)</f>
        <v>0</v>
      </c>
      <c r="P31" s="173" cm="1">
        <f t="array" ref="P31">Fuel_Equations.VEERG_8_1_1_1__1_FuelCombustionTransport($L31,$G31,$J31)</f>
        <v>0</v>
      </c>
      <c r="Q31" s="173" cm="1">
        <f t="array" ref="Q31">Scope3_Equations.VEERG_15_11_1_1__2_UpstreamTransportFuelEmissions(L31,G31,IF(ISNUMBER(K31),K31,0))</f>
        <v>0</v>
      </c>
    </row>
    <row r="32" spans="1:17" ht="20.100000000000001" customHeight="1" x14ac:dyDescent="0.25">
      <c r="A32" s="16" t="str">
        <f>HYPERLINK("#'Constants - Swine'!A1", "Constants - Swine")</f>
        <v>Constants - Swine</v>
      </c>
      <c r="D32" s="59" t="str">
        <f t="shared" si="0"/>
        <v>Cars and light commercial vehicles</v>
      </c>
      <c r="E32" s="58" t="str">
        <f>'Constants - Fuel'!$E$17</f>
        <v>Other biofuels</v>
      </c>
      <c r="F32" s="58" t="str">
        <f>'Constants - Fuel'!G138</f>
        <v>Other biofuels</v>
      </c>
      <c r="G32" s="49" cm="1">
        <f t="array" ref="G32">IFERROR(_xlfn.XLOOKUP(1, (Table_Fuel_EFs_Transport[Fuel combusted]=$E32)*(Table_Fuel_EFs_Transport[Transport type]=$D$25), Table_Fuel_EFs_Transport[Energy Content Factor (GJ per unit of fuel)]), 0)</f>
        <v>23.4</v>
      </c>
      <c r="H32" s="49" cm="1">
        <f t="array" ref="H32">IFERROR(_xlfn.XLOOKUP(1, (Table_Fuel_EFs_Transport[Fuel combusted]=$E32)*(Table_Fuel_EFs_Transport[Transport type]=$D$25), Table_Fuel_EFs_Transport[Scope 1 Emission Factor (kg CO2 - e / GJ) CO2]), 0)</f>
        <v>0</v>
      </c>
      <c r="I32" s="49" cm="1">
        <f t="array" ref="I32">IFERROR(_xlfn.XLOOKUP(1, (Table_Fuel_EFs_Transport[Fuel combusted]=$E32)*(Table_Fuel_EFs_Transport[Transport type]=$D$25), Table_Fuel_EFs_Transport[Scope 1 Emission Factor (kg CO2 - e / GJ) CH4]), 0)</f>
        <v>0.8</v>
      </c>
      <c r="J32" s="49" cm="1">
        <f t="array" ref="J32">IFERROR(_xlfn.XLOOKUP(1, (Table_Fuel_EFs_Transport[Fuel combusted]=$E32)*(Table_Fuel_EFs_Transport[Transport type]=$D$25), Table_Fuel_EFs_Transport[Scope 1 Emission Factor (kg CO2 - e / GJ) N2O]), 0)</f>
        <v>1.7</v>
      </c>
      <c r="K32" s="152" t="str" cm="1">
        <f t="array" ref="K32">IFERROR(_xlfn.XLOOKUP(1, (Table_Fuel_EFs_Transport[Fuel combusted]=$E32)*(Table_Fuel_EFs_Transport[Transport type]=$D$25), Table_Fuel_EFs_Transport[Scope 3 Emission Factor (kg CO2 - e / GJ)]), 0)</f>
        <v>NE</v>
      </c>
      <c r="L32" s="174" cm="1">
        <f t="array" ref="L32">Fuel_InputFunctions.Fuel_TotalConsumption(Table_Input_Fuel[Amount consumed], Table_Input_Fuel[Fuel use (select)], D32, Table_Input_Fuel[Fuel type (select)],F32)</f>
        <v>0</v>
      </c>
      <c r="M32" s="172" t="str" cm="1">
        <f t="array" ref="M32">Common_InputFunctions.Utility_LookupValueInTable(F32,Table_FuelTypes_Units[Fuel type],Table_FuelTypes_Units[Unit])</f>
        <v>kL</v>
      </c>
      <c r="N32" s="175" cm="1">
        <f t="array" ref="N32">Fuel_Equations.VEERG_8_1_1_1__1_FuelCombustionTransport($L32,$G32,$H32)</f>
        <v>0</v>
      </c>
      <c r="O32" s="175" cm="1">
        <f t="array" ref="O32">Fuel_Equations.VEERG_8_1_1_1__1_FuelCombustionTransport($L32,$G32,$I32)</f>
        <v>0</v>
      </c>
      <c r="P32" s="175" cm="1">
        <f t="array" ref="P32">Fuel_Equations.VEERG_8_1_1_1__1_FuelCombustionTransport($L32,$G32,$J32)</f>
        <v>0</v>
      </c>
      <c r="Q32" s="173" cm="1">
        <f t="array" ref="Q32">Scope3_Equations.VEERG_15_11_1_1__2_UpstreamTransportFuelEmissions(L32,G32,IF(ISNUMBER(K32),K32,0))</f>
        <v>0</v>
      </c>
    </row>
    <row r="33" spans="1:17" ht="20.100000000000001" customHeight="1" x14ac:dyDescent="0.25">
      <c r="A33" s="16" t="str">
        <f>HYPERLINK("#'Constants - Dairy'!A1", "Constants - Dairy")</f>
        <v>Constants - Dairy</v>
      </c>
      <c r="D33" s="60" t="str">
        <f>Table_FuelTypesPerUse[[#Headers],[Off-road Agriculture and forestry equipment]]</f>
        <v>Off-road Agriculture and forestry equipment</v>
      </c>
      <c r="E33" s="61" t="str">
        <f>'Constants - Fuel'!$E$11</f>
        <v>Diesel oil</v>
      </c>
      <c r="F33" s="61" t="str">
        <f>'Constants - Fuel'!H131</f>
        <v>Diesel</v>
      </c>
      <c r="G33" s="176" cm="1">
        <f t="array" ref="G33">IFERROR(_xlfn.XLOOKUP(1, (Table_Fuel_EFs_Transport[Fuel combusted]=$E33)*(Table_Fuel_EFs_Transport[Transport type]=$D$33), Table_Fuel_EFs_Transport[Energy Content Factor (GJ per unit of fuel)]), 0)</f>
        <v>38.6</v>
      </c>
      <c r="H33" s="176" cm="1">
        <f t="array" ref="H33">IFERROR(_xlfn.XLOOKUP(1, (Table_Fuel_EFs_Transport[Fuel combusted]=$E33)*(Table_Fuel_EFs_Transport[Transport type]=$D$33), Table_Fuel_EFs_Transport[Scope 1 Emission Factor (kg CO2 - e / GJ) CO2]), 0)</f>
        <v>69.900000000000006</v>
      </c>
      <c r="I33" s="176" cm="1">
        <f t="array" ref="I33">IFERROR(_xlfn.XLOOKUP(1, (Table_Fuel_EFs_Transport[Fuel combusted]=$E33)*(Table_Fuel_EFs_Transport[Transport type]=$D$33), Table_Fuel_EFs_Transport[Scope 1 Emission Factor (kg CO2 - e / GJ) CH4]), 0)</f>
        <v>0.3</v>
      </c>
      <c r="J33" s="176" cm="1">
        <f t="array" ref="J33">IFERROR(_xlfn.XLOOKUP(1, (Table_Fuel_EFs_Transport[Fuel combusted]=$E33)*(Table_Fuel_EFs_Transport[Transport type]=$D$33), Table_Fuel_EFs_Transport[Scope 1 Emission Factor (kg CO2 - e / GJ) N2O]), 0)</f>
        <v>0.5</v>
      </c>
      <c r="K33" s="177" cm="1">
        <f t="array" ref="K33">IFERROR(_xlfn.XLOOKUP(1, (Table_Fuel_EFs_Transport[Fuel combusted]=$E33)*(Table_Fuel_EFs_Transport[Transport type]=$D$25), Table_Fuel_EFs_Transport[Scope 3 Emission Factor (kg CO2 - e / GJ)]), 0)</f>
        <v>17.3</v>
      </c>
      <c r="L33" s="178" cm="1">
        <f t="array" ref="L33">Fuel_InputFunctions.Fuel_TotalConsumption(Table_Input_Fuel[Amount consumed], Table_Input_Fuel[Fuel use (select)], D33, Table_Input_Fuel[Fuel type (select)],F33)</f>
        <v>0</v>
      </c>
      <c r="M33" s="179" t="str" cm="1">
        <f t="array" ref="M33">Common_InputFunctions.Utility_LookupValueInTable(F33,Table_FuelTypes_Units[Fuel type],Table_FuelTypes_Units[Unit])</f>
        <v>kL</v>
      </c>
      <c r="N33" s="180" cm="1">
        <f t="array" ref="N33">Fuel_Equations.VEERG_8_1_1_1__1_FuelCombustionTransport($L33,$G33,$H33)</f>
        <v>0</v>
      </c>
      <c r="O33" s="180" cm="1">
        <f t="array" ref="O33">Fuel_Equations.VEERG_8_1_1_1__1_FuelCombustionTransport($L33,$G33,$I33)</f>
        <v>0</v>
      </c>
      <c r="P33" s="180" cm="1">
        <f t="array" ref="P33">Fuel_Equations.VEERG_8_1_1_1__1_FuelCombustionTransport($L33,$G33,$J33)</f>
        <v>0</v>
      </c>
      <c r="Q33" s="181" cm="1">
        <f t="array" ref="Q33">Scope3_Equations.VEERG_15_11_1_1__2_UpstreamTransportFuelEmissions(L33,G33,K33)</f>
        <v>0</v>
      </c>
    </row>
    <row r="34" spans="1:17" ht="20.100000000000001" customHeight="1" x14ac:dyDescent="0.25">
      <c r="A34" s="16" t="str">
        <f>HYPERLINK("#'Constants - Pasture Beef'!A1", "Constants - Pasture Beef")</f>
        <v>Constants - Pasture Beef</v>
      </c>
      <c r="D34" s="60" t="str">
        <f>Table_FuelTypesPerUse[[#Headers],[Aviation]]</f>
        <v>Aviation</v>
      </c>
      <c r="E34" s="61" t="str">
        <f>'Constants - Fuel'!$E$28</f>
        <v>Gasoline for use as fuel in an aircraft</v>
      </c>
      <c r="F34" s="61" t="str">
        <f>'Constants - Fuel'!$F$131</f>
        <v>Avgas</v>
      </c>
      <c r="G34" s="182" cm="1">
        <f t="array" ref="G34">IFERROR(_xlfn.XLOOKUP(1, (Table_Fuel_EFs_Transport[Fuel combusted]=$E34)*(Table_Fuel_EFs_Transport[Transport type]=$D$34), Table_Fuel_EFs_Transport[Energy Content Factor (GJ per unit of fuel)]), 0)</f>
        <v>33.1</v>
      </c>
      <c r="H34" s="182" cm="1">
        <f t="array" ref="H34">IFERROR(_xlfn.XLOOKUP(1, (Table_Fuel_EFs_Transport[Fuel combusted]=$E34)*(Table_Fuel_EFs_Transport[Transport type]=$D$34), Table_Fuel_EFs_Transport[Scope 1 Emission Factor (kg CO2 - e / GJ) CO2]), 0)</f>
        <v>67</v>
      </c>
      <c r="I34" s="182" cm="1">
        <f t="array" ref="I34">IFERROR(_xlfn.XLOOKUP(1, (Table_Fuel_EFs_Transport[Fuel combusted]=$E34)*(Table_Fuel_EFs_Transport[Transport type]=$D$34), Table_Fuel_EFs_Transport[Scope 1 Emission Factor (kg CO2 - e / GJ) CH4]), 0)</f>
        <v>0.06</v>
      </c>
      <c r="J34" s="182" cm="1">
        <f t="array" ref="J34">IFERROR(_xlfn.XLOOKUP(1, (Table_Fuel_EFs_Transport[Fuel combusted]=$E34)*(Table_Fuel_EFs_Transport[Transport type]=$D$34), Table_Fuel_EFs_Transport[Scope 1 Emission Factor (kg CO2 - e / GJ) N2O]), 0)</f>
        <v>0.6</v>
      </c>
      <c r="K34" s="182" cm="1">
        <f t="array" ref="K34">IFERROR(_xlfn.XLOOKUP(1, (Table_Fuel_EFs_Transport[Fuel combusted]=$E34)*(Table_Fuel_EFs_Transport[Transport type]=$D$25), Table_Fuel_EFs_Transport[Scope 3 Emission Factor (kg CO2 - e / GJ)]), 0)</f>
        <v>0</v>
      </c>
      <c r="L34" s="179" cm="1">
        <f t="array" ref="L34">Fuel_InputFunctions.Fuel_TotalConsumption(Table_Input_Fuel[Amount consumed], Table_Input_Fuel[Fuel use (select)], D34, Table_Input_Fuel[Fuel type (select)],F34)</f>
        <v>0.1</v>
      </c>
      <c r="M34" s="179" t="str" cm="1">
        <f t="array" ref="M34">Common_InputFunctions.Utility_LookupValueInTable(F34,Table_FuelTypes_Units[Fuel type],Table_FuelTypes_Units[Unit])</f>
        <v>kL</v>
      </c>
      <c r="N34" s="180" cm="1">
        <f t="array" ref="N34">Fuel_Equations.VEERG_8_1_1_1__1_FuelCombustionTransport($L34,$G34,$H34)</f>
        <v>0.22177000000000005</v>
      </c>
      <c r="O34" s="180" cm="1">
        <f t="array" ref="O34">Fuel_Equations.VEERG_8_1_1_1__1_FuelCombustionTransport($L34,$G34,$I34)</f>
        <v>1.9860000000000003E-4</v>
      </c>
      <c r="P34" s="180" cm="1">
        <f t="array" ref="P34">Fuel_Equations.VEERG_8_1_1_1__1_FuelCombustionTransport($L34,$G34,$J34)</f>
        <v>1.9860000000000004E-3</v>
      </c>
      <c r="Q34" s="180" cm="1">
        <f t="array" ref="Q34">Scope3_Equations.VEERG_15_11_1_1__2_UpstreamTransportFuelEmissions(L34,G34,K34)</f>
        <v>0</v>
      </c>
    </row>
    <row r="35" spans="1:17" ht="20.100000000000001" customHeight="1" x14ac:dyDescent="0.25">
      <c r="A35" s="16" t="str">
        <f>HYPERLINK("#'Constants - Common Livestock'!A1", "Constants - Common Livestock")</f>
        <v>Constants - Common Livestock</v>
      </c>
      <c r="D35" s="59" t="str">
        <f>$D$34</f>
        <v>Aviation</v>
      </c>
      <c r="E35" s="58" t="str">
        <f>'Constants - Fuel'!$E$29</f>
        <v>Kerosene for use as fuel in an aircraft</v>
      </c>
      <c r="F35" s="58" t="str">
        <f>'Constants - Fuel'!$F$132</f>
        <v>Jet A1, Jet B</v>
      </c>
      <c r="G35" s="49" cm="1">
        <f t="array" ref="G35">IFERROR(_xlfn.XLOOKUP(1, (Table_Fuel_EFs_Transport[Fuel combusted]=$E35)*(Table_Fuel_EFs_Transport[Transport type]=$D$34), Table_Fuel_EFs_Transport[Energy Content Factor (GJ per unit of fuel)]), 0)</f>
        <v>36.799999999999997</v>
      </c>
      <c r="H35" s="49" cm="1">
        <f t="array" ref="H35">IFERROR(_xlfn.XLOOKUP(1, (Table_Fuel_EFs_Transport[Fuel combusted]=$E35)*(Table_Fuel_EFs_Transport[Transport type]=$D$34), Table_Fuel_EFs_Transport[Scope 1 Emission Factor (kg CO2 - e / GJ) CO2]), 0)</f>
        <v>69.599999999999994</v>
      </c>
      <c r="I35" s="49" cm="1">
        <f t="array" ref="I35">IFERROR(_xlfn.XLOOKUP(1, (Table_Fuel_EFs_Transport[Fuel combusted]=$E35)*(Table_Fuel_EFs_Transport[Transport type]=$D$34), Table_Fuel_EFs_Transport[Scope 1 Emission Factor (kg CO2 - e / GJ) CH4]), 0)</f>
        <v>0.01</v>
      </c>
      <c r="J35" s="49" cm="1">
        <f t="array" ref="J35">IFERROR(_xlfn.XLOOKUP(1, (Table_Fuel_EFs_Transport[Fuel combusted]=$E35)*(Table_Fuel_EFs_Transport[Transport type]=$D$34), Table_Fuel_EFs_Transport[Scope 1 Emission Factor (kg CO2 - e / GJ) N2O]), 0)</f>
        <v>0.6</v>
      </c>
      <c r="K35" s="49" cm="1">
        <f t="array" ref="K35">IFERROR(_xlfn.XLOOKUP(1, (Table_Fuel_EFs_Transport[Fuel combusted]=$E35)*(Table_Fuel_EFs_Transport[Transport type]=$D$25), Table_Fuel_EFs_Transport[Scope 3 Emission Factor (kg CO2 - e / GJ)]), 0)</f>
        <v>0</v>
      </c>
      <c r="L35" s="172" cm="1">
        <f t="array" ref="L35">Fuel_InputFunctions.Fuel_TotalConsumption(Table_Input_Fuel[Amount consumed], Table_Input_Fuel[Fuel use (select)], D35, Table_Input_Fuel[Fuel type (select)],F35)</f>
        <v>0</v>
      </c>
      <c r="M35" s="172" t="str" cm="1">
        <f t="array" ref="M35">Common_InputFunctions.Utility_LookupValueInTable(F35,Table_FuelTypes_Units[Fuel type],Table_FuelTypes_Units[Unit])</f>
        <v>kL</v>
      </c>
      <c r="N35" s="173" cm="1">
        <f t="array" ref="N35">Fuel_Equations.VEERG_8_1_1_1__1_FuelCombustionTransport($L35,$G35,$H35)</f>
        <v>0</v>
      </c>
      <c r="O35" s="173" cm="1">
        <f t="array" ref="O35">Fuel_Equations.VEERG_8_1_1_1__1_FuelCombustionTransport($L35,$G35,$I35)</f>
        <v>0</v>
      </c>
      <c r="P35" s="173" cm="1">
        <f t="array" ref="P35">Fuel_Equations.VEERG_8_1_1_1__1_FuelCombustionTransport($L35,$G35,$J35)</f>
        <v>0</v>
      </c>
      <c r="Q35" s="173" cm="1">
        <f t="array" ref="Q35">Scope3_Equations.VEERG_15_11_1_1__2_UpstreamTransportFuelEmissions(L35,G35,K35)</f>
        <v>0</v>
      </c>
    </row>
    <row r="36" spans="1:17" ht="20.100000000000001" customHeight="1" x14ac:dyDescent="0.25">
      <c r="A36" s="16" t="str">
        <f>HYPERLINK("#'Constants - Fertiliser'!A1", "Constants - Fertiliser")</f>
        <v>Constants - Fertiliser</v>
      </c>
      <c r="D36" s="59" t="str">
        <f>$D$34</f>
        <v>Aviation</v>
      </c>
      <c r="E36" s="58" t="str">
        <f>'Constants - Fuel'!$E$30</f>
        <v>Renewable aviation kerosene</v>
      </c>
      <c r="F36" s="58" t="str">
        <f>'Constants - Fuel'!$F$133</f>
        <v>Renewable aviation kerosene</v>
      </c>
      <c r="G36" s="152" cm="1">
        <f t="array" ref="G36">IFERROR(_xlfn.XLOOKUP(1, (Table_Fuel_EFs_Transport[Fuel combusted]=$E36)*(Table_Fuel_EFs_Transport[Transport type]=$D$34), Table_Fuel_EFs_Transport[Energy Content Factor (GJ per unit of fuel)]), 0)</f>
        <v>36.799999999999997</v>
      </c>
      <c r="H36" s="152" cm="1">
        <f t="array" ref="H36">IFERROR(_xlfn.XLOOKUP(1, (Table_Fuel_EFs_Transport[Fuel combusted]=$E36)*(Table_Fuel_EFs_Transport[Transport type]=$D$34), Table_Fuel_EFs_Transport[Scope 1 Emission Factor (kg CO2 - e / GJ) CO2]), 0)</f>
        <v>0</v>
      </c>
      <c r="I36" s="152" cm="1">
        <f t="array" ref="I36">IFERROR(_xlfn.XLOOKUP(1, (Table_Fuel_EFs_Transport[Fuel combusted]=$E36)*(Table_Fuel_EFs_Transport[Transport type]=$D$34), Table_Fuel_EFs_Transport[Scope 1 Emission Factor (kg CO2 - e / GJ) CH4]), 0)</f>
        <v>0.01</v>
      </c>
      <c r="J36" s="152" cm="1">
        <f t="array" ref="J36">IFERROR(_xlfn.XLOOKUP(1, (Table_Fuel_EFs_Transport[Fuel combusted]=$E36)*(Table_Fuel_EFs_Transport[Transport type]=$D$34), Table_Fuel_EFs_Transport[Scope 1 Emission Factor (kg CO2 - e / GJ) N2O]), 0)</f>
        <v>0.6</v>
      </c>
      <c r="K36" s="152" cm="1">
        <f t="array" ref="K36">IFERROR(_xlfn.XLOOKUP(1, (Table_Fuel_EFs_Transport[Fuel combusted]=$E36)*(Table_Fuel_EFs_Transport[Transport type]=$D$25), Table_Fuel_EFs_Transport[Scope 3 Emission Factor (kg CO2 - e / GJ)]), 0)</f>
        <v>0</v>
      </c>
      <c r="L36" s="174" cm="1">
        <f t="array" ref="L36">Fuel_InputFunctions.Fuel_TotalConsumption(Table_Input_Fuel[Amount consumed], Table_Input_Fuel[Fuel use (select)], D36, Table_Input_Fuel[Fuel type (select)],F36)</f>
        <v>0</v>
      </c>
      <c r="M36" s="172" t="str" cm="1">
        <f t="array" ref="M36">Common_InputFunctions.Utility_LookupValueInTable(F36,Table_FuelTypes_Units[Fuel type],Table_FuelTypes_Units[Unit])</f>
        <v>kL</v>
      </c>
      <c r="N36" s="173" cm="1">
        <f t="array" ref="N36">Fuel_Equations.VEERG_8_1_1_1__1_FuelCombustionTransport($L36,$G36,$H36)</f>
        <v>0</v>
      </c>
      <c r="O36" s="173" cm="1">
        <f t="array" ref="O36">Fuel_Equations.VEERG_8_1_1_1__1_FuelCombustionTransport($L36,$G36,$I36)</f>
        <v>0</v>
      </c>
      <c r="P36" s="173" cm="1">
        <f t="array" ref="P36">Fuel_Equations.VEERG_8_1_1_1__1_FuelCombustionTransport($L36,$G36,$J36)</f>
        <v>0</v>
      </c>
      <c r="Q36" s="175" cm="1">
        <f t="array" ref="Q36">Scope3_Equations.VEERG_15_11_1_1__2_UpstreamTransportFuelEmissions(L36,G36,K36)</f>
        <v>0</v>
      </c>
    </row>
    <row r="37" spans="1:17" ht="20.100000000000001" customHeight="1" x14ac:dyDescent="0.25">
      <c r="A37" s="16" t="str">
        <f>HYPERLINK("#'Constants - Electricity'!A1", "Constants - Electricity")</f>
        <v>Constants - Electricity</v>
      </c>
      <c r="D37" s="60" t="str">
        <f>Table_FuelTypesPerUse[[#Headers],[Vessels]]</f>
        <v>Vessels</v>
      </c>
      <c r="E37" s="61" t="str">
        <f>'Constants - Fuel'!$E$10</f>
        <v>Gasoline</v>
      </c>
      <c r="F37" s="61" t="str">
        <f>'Constants - Fuel'!$I$131</f>
        <v>Petrol</v>
      </c>
      <c r="G37" s="182" cm="1">
        <f t="array" ref="G37">IFERROR(_xlfn.XLOOKUP(1, (Table_Fuel_EFs_Transport[Fuel combusted]=$E37)*(Table_Fuel_EFs_Transport[Transport type]=$D$37), Table_Fuel_EFs_Transport[Energy Content Factor (GJ per unit of fuel)]), 0)</f>
        <v>34.200000000000003</v>
      </c>
      <c r="H37" s="182" cm="1">
        <f t="array" ref="H37">IFERROR(_xlfn.XLOOKUP(1, (Table_Fuel_EFs_Transport[Fuel combusted]=$E37)*(Table_Fuel_EFs_Transport[Transport type]=$D$37), Table_Fuel_EFs_Transport[Scope 1 Emission Factor (kg CO2 - e / GJ) CO2]), 0)</f>
        <v>67.400000000000006</v>
      </c>
      <c r="I37" s="182" cm="1">
        <f t="array" ref="I37">IFERROR(_xlfn.XLOOKUP(1, (Table_Fuel_EFs_Transport[Fuel combusted]=$E37)*(Table_Fuel_EFs_Transport[Transport type]=$D$37), Table_Fuel_EFs_Transport[Scope 1 Emission Factor (kg CO2 - e / GJ) CH4]), 0)</f>
        <v>10.1</v>
      </c>
      <c r="J37" s="182" cm="1">
        <f t="array" ref="J37">IFERROR(_xlfn.XLOOKUP(1, (Table_Fuel_EFs_Transport[Fuel combusted]=$E37)*(Table_Fuel_EFs_Transport[Transport type]=$D$37), Table_Fuel_EFs_Transport[Scope 1 Emission Factor (kg CO2 - e / GJ) N2O]), 0)</f>
        <v>0.3</v>
      </c>
      <c r="K37" s="182" cm="1">
        <f t="array" ref="K37">IFERROR(_xlfn.XLOOKUP(1, (Table_Fuel_EFs_Transport[Fuel combusted]=$E37)*(Table_Fuel_EFs_Transport[Transport type]=$D$25), Table_Fuel_EFs_Transport[Scope 3 Emission Factor (kg CO2 - e / GJ)]), 0)</f>
        <v>17.2</v>
      </c>
      <c r="L37" s="179" cm="1">
        <f t="array" ref="L37">Fuel_InputFunctions.Fuel_TotalConsumption(Table_Input_Fuel[Amount consumed], Table_Input_Fuel[Fuel use (select)], D37, Table_Input_Fuel[Fuel type (select)],F37)</f>
        <v>0</v>
      </c>
      <c r="M37" s="183" t="str" cm="1">
        <f t="array" ref="M37">Common_InputFunctions.Utility_LookupValueInTable(F37,Table_FuelTypes_Units[Fuel type],Table_FuelTypes_Units[Unit])</f>
        <v>kL</v>
      </c>
      <c r="N37" s="180" cm="1">
        <f t="array" ref="N37">Fuel_Equations.VEERG_8_1_1_1__1_FuelCombustionTransport($L37,$G37,$H37)</f>
        <v>0</v>
      </c>
      <c r="O37" s="180" cm="1">
        <f t="array" ref="O37">Fuel_Equations.VEERG_8_1_1_1__1_FuelCombustionTransport($L37,$G37,$I37)</f>
        <v>0</v>
      </c>
      <c r="P37" s="180" cm="1">
        <f t="array" ref="P37">Fuel_Equations.VEERG_8_1_1_1__1_FuelCombustionTransport($L37,$G37,$J37)</f>
        <v>0</v>
      </c>
      <c r="Q37" s="180" cm="1">
        <f t="array" ref="Q37">Scope3_Equations.VEERG_15_11_1_1__2_UpstreamTransportFuelEmissions(L37,G37,K37)</f>
        <v>0</v>
      </c>
    </row>
    <row r="38" spans="1:17" ht="20.100000000000001" customHeight="1" x14ac:dyDescent="0.25">
      <c r="A38" s="16" t="str">
        <f>HYPERLINK("#'Constants - Common'!A1", "Constants - Common")</f>
        <v>Constants - Common</v>
      </c>
      <c r="D38" s="59" t="str">
        <f>$D$37</f>
        <v>Vessels</v>
      </c>
      <c r="E38" s="58" t="str">
        <f>'Constants - Fuel'!$E$11</f>
        <v>Diesel oil</v>
      </c>
      <c r="F38" s="58" t="str">
        <f>'Constants - Fuel'!$I$132</f>
        <v>Diesel</v>
      </c>
      <c r="G38" s="49" cm="1">
        <f t="array" ref="G38">IFERROR(_xlfn.XLOOKUP(1, (Table_Fuel_EFs_Transport[Fuel combusted]=$E38)*(Table_Fuel_EFs_Transport[Transport type]=$D$37), Table_Fuel_EFs_Transport[Energy Content Factor (GJ per unit of fuel)]), 0)</f>
        <v>38.6</v>
      </c>
      <c r="H38" s="49" cm="1">
        <f t="array" ref="H38">IFERROR(_xlfn.XLOOKUP(1, (Table_Fuel_EFs_Transport[Fuel combusted]=$E38)*(Table_Fuel_EFs_Transport[Transport type]=$D$37), Table_Fuel_EFs_Transport[Scope 1 Emission Factor (kg CO2 - e / GJ) CO2]), 0)</f>
        <v>69.900000000000006</v>
      </c>
      <c r="I38" s="49" cm="1">
        <f t="array" ref="I38">IFERROR(_xlfn.XLOOKUP(1, (Table_Fuel_EFs_Transport[Fuel combusted]=$E38)*(Table_Fuel_EFs_Transport[Transport type]=$D$37), Table_Fuel_EFs_Transport[Scope 1 Emission Factor (kg CO2 - e / GJ) CH4]), 0)</f>
        <v>0.2</v>
      </c>
      <c r="J38" s="49" cm="1">
        <f t="array" ref="J38">IFERROR(_xlfn.XLOOKUP(1, (Table_Fuel_EFs_Transport[Fuel combusted]=$E38)*(Table_Fuel_EFs_Transport[Transport type]=$D$37), Table_Fuel_EFs_Transport[Scope 1 Emission Factor (kg CO2 - e / GJ) N2O]), 0)</f>
        <v>0.5</v>
      </c>
      <c r="K38" s="49" cm="1">
        <f t="array" ref="K38">IFERROR(_xlfn.XLOOKUP(1, (Table_Fuel_EFs_Transport[Fuel combusted]=$E38)*(Table_Fuel_EFs_Transport[Transport type]=$D$25), Table_Fuel_EFs_Transport[Scope 3 Emission Factor (kg CO2 - e / GJ)]), 0)</f>
        <v>17.3</v>
      </c>
      <c r="L38" s="172" cm="1">
        <f t="array" ref="L38">Fuel_InputFunctions.Fuel_TotalConsumption(Table_Input_Fuel[Amount consumed], Table_Input_Fuel[Fuel use (select)], D38, Table_Input_Fuel[Fuel type (select)],F38)</f>
        <v>0.1</v>
      </c>
      <c r="M38" s="172" t="str" cm="1">
        <f t="array" ref="M38">Common_InputFunctions.Utility_LookupValueInTable(F38,Table_FuelTypes_Units[Fuel type],Table_FuelTypes_Units[Unit])</f>
        <v>kL</v>
      </c>
      <c r="N38" s="173" cm="1">
        <f t="array" ref="N38">Fuel_Equations.VEERG_8_1_1_1__1_FuelCombustionTransport($L38,$G38,$H38)</f>
        <v>0.26981400000000005</v>
      </c>
      <c r="O38" s="173" cm="1">
        <f t="array" ref="O38">Fuel_Equations.VEERG_8_1_1_1__1_FuelCombustionTransport($L38,$G38,$I38)</f>
        <v>7.7200000000000012E-4</v>
      </c>
      <c r="P38" s="173" cm="1">
        <f t="array" ref="P38">Fuel_Equations.VEERG_8_1_1_1__1_FuelCombustionTransport($L38,$G38,$J38)</f>
        <v>1.9300000000000003E-3</v>
      </c>
      <c r="Q38" s="173" cm="1">
        <f t="array" ref="Q38">Scope3_Equations.VEERG_15_11_1_1__2_UpstreamTransportFuelEmissions(L38,G38,K38)</f>
        <v>6.6778000000000004E-2</v>
      </c>
    </row>
    <row r="39" spans="1:17" ht="20.100000000000001" customHeight="1" x14ac:dyDescent="0.25">
      <c r="A39"/>
      <c r="D39" s="59" t="str">
        <f>$D$37</f>
        <v>Vessels</v>
      </c>
      <c r="E39" s="58" t="str">
        <f>'Constants - Fuel'!E33</f>
        <v>Fuel Oil</v>
      </c>
      <c r="F39" s="58" t="str">
        <f>'Constants - Fuel'!$I$133</f>
        <v>Fuel oil</v>
      </c>
      <c r="G39" s="49" cm="1">
        <f t="array" ref="G39">IFERROR(_xlfn.XLOOKUP(1, (Table_Fuel_EFs_Transport[Fuel combusted]=$E39)*(Table_Fuel_EFs_Transport[Transport type]=$D$37), Table_Fuel_EFs_Transport[Energy Content Factor (GJ per unit of fuel)]), 0)</f>
        <v>39.700000000000003</v>
      </c>
      <c r="H39" s="49" cm="1">
        <f t="array" ref="H39">IFERROR(_xlfn.XLOOKUP(1, (Table_Fuel_EFs_Transport[Fuel combusted]=$E39)*(Table_Fuel_EFs_Transport[Transport type]=$D$37), Table_Fuel_EFs_Transport[Scope 1 Emission Factor (kg CO2 - e / GJ) CO2]), 0)</f>
        <v>73.599999999999994</v>
      </c>
      <c r="I39" s="49" cm="1">
        <f t="array" ref="I39">IFERROR(_xlfn.XLOOKUP(1, (Table_Fuel_EFs_Transport[Fuel combusted]=$E39)*(Table_Fuel_EFs_Transport[Transport type]=$D$37), Table_Fuel_EFs_Transport[Scope 1 Emission Factor (kg CO2 - e / GJ) CH4]), 0)</f>
        <v>0.2</v>
      </c>
      <c r="J39" s="49" cm="1">
        <f t="array" ref="J39">IFERROR(_xlfn.XLOOKUP(1, (Table_Fuel_EFs_Transport[Fuel combusted]=$E39)*(Table_Fuel_EFs_Transport[Transport type]=$D$37), Table_Fuel_EFs_Transport[Scope 1 Emission Factor (kg CO2 - e / GJ) N2O]), 0)</f>
        <v>0.5</v>
      </c>
      <c r="K39" s="49" cm="1">
        <f t="array" ref="K39">IFERROR(_xlfn.XLOOKUP(1, (Table_Fuel_EFs_Transport[Fuel combusted]=$E39)*(Table_Fuel_EFs_Transport[Transport type]=$D$25), Table_Fuel_EFs_Transport[Scope 3 Emission Factor (kg CO2 - e / GJ)]), 0)</f>
        <v>18</v>
      </c>
      <c r="L39" s="172" cm="1">
        <f t="array" ref="L39">Fuel_InputFunctions.Fuel_TotalConsumption(Table_Input_Fuel[Amount consumed], Table_Input_Fuel[Fuel use (select)], D39, Table_Input_Fuel[Fuel type (select)],F39)</f>
        <v>0</v>
      </c>
      <c r="M39" s="172" t="str" cm="1">
        <f t="array" ref="M39">Common_InputFunctions.Utility_LookupValueInTable(F39,Table_FuelTypes_Units[Fuel type],Table_FuelTypes_Units[Unit])</f>
        <v>kL</v>
      </c>
      <c r="N39" s="173" cm="1">
        <f t="array" ref="N39">Fuel_Equations.VEERG_8_1_1_1__1_FuelCombustionTransport($L39,$G39,$H39)</f>
        <v>0</v>
      </c>
      <c r="O39" s="173" cm="1">
        <f t="array" ref="O39">Fuel_Equations.VEERG_8_1_1_1__1_FuelCombustionTransport($L39,$G39,$I39)</f>
        <v>0</v>
      </c>
      <c r="P39" s="173" cm="1">
        <f t="array" ref="P39">Fuel_Equations.VEERG_8_1_1_1__1_FuelCombustionTransport($L39,$G39,$J39)</f>
        <v>0</v>
      </c>
      <c r="Q39" s="173" cm="1">
        <f t="array" ref="Q39">Scope3_Equations.VEERG_15_11_1_1__2_UpstreamTransportFuelEmissions(L39,G39,K39)</f>
        <v>0</v>
      </c>
    </row>
    <row r="40" spans="1:17" ht="20.100000000000001" customHeight="1" x14ac:dyDescent="0.25">
      <c r="A40"/>
      <c r="H40" s="17"/>
      <c r="I40" s="17"/>
      <c r="J40" s="17"/>
      <c r="L40" s="17"/>
      <c r="M40" s="17"/>
      <c r="N40" s="17"/>
      <c r="O40" s="17"/>
      <c r="P40" s="17"/>
      <c r="Q40" s="17"/>
    </row>
    <row r="41" spans="1:17" ht="20.100000000000001" customHeight="1" x14ac:dyDescent="0.25">
      <c r="A41"/>
      <c r="H41" s="17"/>
      <c r="I41" s="17"/>
      <c r="J41" s="17"/>
      <c r="L41" s="17"/>
      <c r="M41" s="17"/>
      <c r="N41" s="17"/>
      <c r="O41" s="17"/>
      <c r="P41" s="17"/>
      <c r="Q41" s="17"/>
    </row>
    <row r="42" spans="1:17" ht="20.100000000000001" customHeight="1" x14ac:dyDescent="0.25">
      <c r="A42"/>
      <c r="D42" s="184" t="str">
        <f>"Total scope 1 - " &amp; D25</f>
        <v>Total scope 1 - Cars and light commercial vehicles</v>
      </c>
      <c r="E42" s="185"/>
      <c r="F42" s="186"/>
    </row>
    <row r="43" spans="1:17" ht="20.100000000000001" customHeight="1" x14ac:dyDescent="0.25">
      <c r="A43"/>
      <c r="D43" s="7" t="s">
        <v>717</v>
      </c>
      <c r="E43" s="187">
        <f>SUM(N25:N32)</f>
        <v>0.26981400000000005</v>
      </c>
      <c r="F43" s="63" t="str">
        <f>$E$12</f>
        <v>t CO2-e</v>
      </c>
    </row>
    <row r="44" spans="1:17" ht="20.100000000000001" customHeight="1" x14ac:dyDescent="0.25">
      <c r="A44"/>
      <c r="D44" s="7" t="s">
        <v>718</v>
      </c>
      <c r="E44" s="187">
        <f>SUM(O25:O32)</f>
        <v>3.8600000000000003E-5</v>
      </c>
      <c r="F44" s="63" t="str">
        <f t="shared" ref="F44:F46" si="1">$E$12</f>
        <v>t CO2-e</v>
      </c>
    </row>
    <row r="45" spans="1:17" ht="20.100000000000001" customHeight="1" x14ac:dyDescent="0.25">
      <c r="A45"/>
      <c r="D45" s="7" t="s">
        <v>719</v>
      </c>
      <c r="E45" s="187">
        <f>SUM(P25:P32)</f>
        <v>1.9300000000000003E-3</v>
      </c>
      <c r="F45" s="63" t="str">
        <f t="shared" si="1"/>
        <v>t CO2-e</v>
      </c>
    </row>
    <row r="46" spans="1:17" ht="20.100000000000001" customHeight="1" x14ac:dyDescent="0.25">
      <c r="A46"/>
      <c r="D46" s="7" t="s">
        <v>720</v>
      </c>
      <c r="E46" s="187">
        <f>SUM(Q25:Q32)</f>
        <v>6.6778000000000004E-2</v>
      </c>
      <c r="F46" s="63" t="str">
        <f t="shared" si="1"/>
        <v>t CO2-e</v>
      </c>
    </row>
    <row r="47" spans="1:17" ht="20.100000000000001" customHeight="1" x14ac:dyDescent="0.25">
      <c r="A47"/>
      <c r="D47" s="17"/>
      <c r="E47" s="17"/>
      <c r="F47" s="17"/>
    </row>
    <row r="48" spans="1:17" ht="20.100000000000001" customHeight="1" x14ac:dyDescent="0.25">
      <c r="A48"/>
      <c r="D48" s="184" t="str">
        <f>"Total scope 1 - " &amp; D33</f>
        <v>Total scope 1 - Off-road Agriculture and forestry equipment</v>
      </c>
      <c r="E48" s="188"/>
      <c r="F48" s="186"/>
      <c r="H48" s="17"/>
      <c r="I48" s="17"/>
      <c r="J48" s="17"/>
      <c r="L48" s="17"/>
      <c r="M48" s="17"/>
      <c r="N48" s="17"/>
      <c r="O48" s="17"/>
      <c r="P48" s="17"/>
      <c r="Q48" s="17"/>
    </row>
    <row r="49" spans="1:17" ht="20.100000000000001" customHeight="1" x14ac:dyDescent="0.25">
      <c r="A49"/>
      <c r="D49" s="7" t="s">
        <v>717</v>
      </c>
      <c r="E49" s="187">
        <f>SUM(N33:N33)</f>
        <v>0</v>
      </c>
      <c r="F49" s="63" t="str">
        <f t="shared" ref="F49:F52" si="2">$E$12</f>
        <v>t CO2-e</v>
      </c>
      <c r="H49" s="17"/>
      <c r="I49" s="17"/>
      <c r="J49" s="17"/>
      <c r="L49" s="17"/>
      <c r="M49" s="17"/>
      <c r="N49" s="17"/>
      <c r="O49" s="17"/>
      <c r="P49" s="17"/>
      <c r="Q49" s="17"/>
    </row>
    <row r="50" spans="1:17" ht="20.100000000000001" customHeight="1" x14ac:dyDescent="0.25">
      <c r="A50"/>
      <c r="D50" s="7" t="s">
        <v>718</v>
      </c>
      <c r="E50" s="187">
        <f>SUM(O33:O33)</f>
        <v>0</v>
      </c>
      <c r="F50" s="63" t="str">
        <f t="shared" si="2"/>
        <v>t CO2-e</v>
      </c>
      <c r="H50" s="17"/>
      <c r="I50" s="17"/>
      <c r="J50" s="17"/>
      <c r="L50" s="17"/>
      <c r="M50" s="17"/>
      <c r="N50" s="17"/>
      <c r="O50" s="17"/>
      <c r="P50" s="17"/>
      <c r="Q50" s="17"/>
    </row>
    <row r="51" spans="1:17" ht="20.100000000000001" customHeight="1" x14ac:dyDescent="0.25">
      <c r="A51"/>
      <c r="D51" s="7" t="s">
        <v>719</v>
      </c>
      <c r="E51" s="187">
        <f>SUM(P33:P33)</f>
        <v>0</v>
      </c>
      <c r="F51" s="63" t="str">
        <f t="shared" si="2"/>
        <v>t CO2-e</v>
      </c>
      <c r="H51" s="17"/>
      <c r="I51" s="17"/>
      <c r="J51" s="17"/>
      <c r="L51" s="17"/>
      <c r="M51" s="17"/>
      <c r="N51" s="17"/>
      <c r="O51" s="17"/>
      <c r="P51" s="17"/>
      <c r="Q51" s="17"/>
    </row>
    <row r="52" spans="1:17" ht="20.100000000000001" customHeight="1" x14ac:dyDescent="0.25">
      <c r="A52"/>
      <c r="D52" s="7" t="s">
        <v>720</v>
      </c>
      <c r="E52" s="187">
        <f>SUM(Q33)</f>
        <v>0</v>
      </c>
      <c r="F52" s="63" t="str">
        <f t="shared" si="2"/>
        <v>t CO2-e</v>
      </c>
      <c r="H52" s="17"/>
      <c r="I52" s="17"/>
      <c r="J52" s="17"/>
      <c r="L52" s="17"/>
      <c r="M52" s="17"/>
      <c r="N52" s="17"/>
      <c r="O52" s="17"/>
      <c r="P52" s="17"/>
      <c r="Q52" s="17"/>
    </row>
    <row r="53" spans="1:17" ht="20.100000000000001" customHeight="1" x14ac:dyDescent="0.25">
      <c r="A53"/>
      <c r="D53" s="17"/>
      <c r="E53" s="189"/>
      <c r="F53" s="17"/>
      <c r="G53" s="17"/>
      <c r="H53" s="17"/>
      <c r="I53" s="17"/>
      <c r="J53" s="17"/>
      <c r="L53" s="17"/>
      <c r="M53" s="17"/>
      <c r="N53" s="17"/>
      <c r="O53" s="17"/>
      <c r="P53" s="17"/>
      <c r="Q53" s="17"/>
    </row>
    <row r="54" spans="1:17" ht="20.100000000000001" customHeight="1" x14ac:dyDescent="0.25">
      <c r="A54"/>
      <c r="D54" s="184" t="str">
        <f>"Total scope 1 - " &amp; D34</f>
        <v>Total scope 1 - Aviation</v>
      </c>
      <c r="E54" s="188"/>
      <c r="F54" s="186"/>
      <c r="G54" s="17"/>
      <c r="H54" s="17"/>
      <c r="I54" s="17"/>
      <c r="J54" s="17"/>
      <c r="L54" s="17"/>
      <c r="M54" s="17"/>
      <c r="N54" s="17"/>
      <c r="O54" s="17"/>
      <c r="P54" s="17"/>
      <c r="Q54" s="17"/>
    </row>
    <row r="55" spans="1:17" ht="20.100000000000001" customHeight="1" x14ac:dyDescent="0.25">
      <c r="A55"/>
      <c r="D55" s="7" t="s">
        <v>717</v>
      </c>
      <c r="E55" s="187">
        <f>SUM(N34:N36)</f>
        <v>0.22177000000000005</v>
      </c>
      <c r="F55" s="63" t="str">
        <f t="shared" ref="F55:F58" si="3">$E$12</f>
        <v>t CO2-e</v>
      </c>
      <c r="G55" s="17"/>
      <c r="H55" s="17"/>
      <c r="I55" s="17"/>
      <c r="J55" s="17"/>
      <c r="L55" s="17"/>
      <c r="M55" s="17"/>
      <c r="N55" s="17"/>
      <c r="O55" s="17"/>
      <c r="P55" s="17"/>
      <c r="Q55" s="17"/>
    </row>
    <row r="56" spans="1:17" ht="20.100000000000001" customHeight="1" x14ac:dyDescent="0.25">
      <c r="A56"/>
      <c r="D56" s="7" t="s">
        <v>718</v>
      </c>
      <c r="E56" s="187">
        <f>SUM(O34:O36)</f>
        <v>1.9860000000000003E-4</v>
      </c>
      <c r="F56" s="63" t="str">
        <f t="shared" si="3"/>
        <v>t CO2-e</v>
      </c>
      <c r="G56" s="17"/>
      <c r="H56" s="17"/>
      <c r="I56" s="17"/>
      <c r="J56" s="17"/>
      <c r="L56" s="17"/>
      <c r="M56" s="17"/>
      <c r="N56" s="17"/>
      <c r="O56" s="17"/>
      <c r="P56" s="17"/>
      <c r="Q56" s="17"/>
    </row>
    <row r="57" spans="1:17" ht="20.100000000000001" customHeight="1" x14ac:dyDescent="0.25">
      <c r="A57"/>
      <c r="D57" s="7" t="s">
        <v>719</v>
      </c>
      <c r="E57" s="187">
        <f>SUM(P34:P36)</f>
        <v>1.9860000000000004E-3</v>
      </c>
      <c r="F57" s="63" t="str">
        <f t="shared" si="3"/>
        <v>t CO2-e</v>
      </c>
      <c r="G57" s="17"/>
      <c r="H57" s="17"/>
      <c r="I57" s="17"/>
      <c r="J57" s="17"/>
      <c r="L57" s="17"/>
      <c r="M57" s="17"/>
      <c r="N57" s="17"/>
      <c r="O57" s="17"/>
      <c r="P57" s="17"/>
      <c r="Q57" s="17"/>
    </row>
    <row r="58" spans="1:17" ht="20.100000000000001" customHeight="1" x14ac:dyDescent="0.25">
      <c r="A58"/>
      <c r="D58" s="7" t="s">
        <v>720</v>
      </c>
      <c r="E58" s="187">
        <f>SUM(Q34:Q36)</f>
        <v>0</v>
      </c>
      <c r="F58" s="63" t="str">
        <f t="shared" si="3"/>
        <v>t CO2-e</v>
      </c>
      <c r="G58" s="17"/>
      <c r="H58" s="17"/>
      <c r="I58" s="17"/>
      <c r="J58" s="17"/>
      <c r="L58" s="17"/>
      <c r="M58" s="17"/>
      <c r="N58" s="17"/>
      <c r="O58" s="17"/>
      <c r="P58" s="17"/>
      <c r="Q58" s="17"/>
    </row>
    <row r="59" spans="1:17" ht="20.100000000000001" customHeight="1" x14ac:dyDescent="0.25">
      <c r="A59"/>
      <c r="D59" s="17"/>
      <c r="E59" s="189"/>
      <c r="F59" s="17"/>
      <c r="G59" s="17"/>
      <c r="H59" s="17"/>
      <c r="I59" s="17"/>
      <c r="J59" s="17"/>
      <c r="L59" s="17"/>
      <c r="M59" s="17"/>
      <c r="N59" s="17"/>
      <c r="O59" s="17"/>
      <c r="P59" s="17"/>
      <c r="Q59" s="17"/>
    </row>
    <row r="60" spans="1:17" ht="20.100000000000001" customHeight="1" x14ac:dyDescent="0.25">
      <c r="A60"/>
      <c r="D60" s="184" t="str">
        <f>"Total scope 1 - " &amp; D37</f>
        <v>Total scope 1 - Vessels</v>
      </c>
      <c r="E60" s="188"/>
      <c r="F60" s="186"/>
      <c r="G60" s="17"/>
      <c r="H60" s="17"/>
      <c r="I60" s="17"/>
      <c r="J60" s="17"/>
      <c r="L60" s="17"/>
      <c r="M60" s="17"/>
      <c r="N60" s="17"/>
      <c r="O60" s="17"/>
      <c r="P60" s="17"/>
      <c r="Q60" s="17"/>
    </row>
    <row r="61" spans="1:17" ht="20.100000000000001" customHeight="1" x14ac:dyDescent="0.25">
      <c r="A61"/>
      <c r="D61" s="7" t="s">
        <v>717</v>
      </c>
      <c r="E61" s="187">
        <f>SUM(N37:N39)</f>
        <v>0.26981400000000005</v>
      </c>
      <c r="F61" s="63" t="str">
        <f t="shared" ref="F61:F64" si="4">$E$12</f>
        <v>t CO2-e</v>
      </c>
      <c r="G61" s="17"/>
      <c r="H61" s="17"/>
      <c r="I61" s="17"/>
      <c r="J61" s="17"/>
      <c r="L61" s="17"/>
      <c r="M61" s="17"/>
      <c r="N61" s="17"/>
      <c r="O61" s="17"/>
      <c r="P61" s="17"/>
      <c r="Q61" s="17"/>
    </row>
    <row r="62" spans="1:17" ht="20.100000000000001" customHeight="1" x14ac:dyDescent="0.25">
      <c r="A62"/>
      <c r="D62" s="7" t="s">
        <v>718</v>
      </c>
      <c r="E62" s="187">
        <f>SUM(O37:O39)</f>
        <v>7.7200000000000012E-4</v>
      </c>
      <c r="F62" s="63" t="str">
        <f t="shared" si="4"/>
        <v>t CO2-e</v>
      </c>
      <c r="G62" s="17"/>
      <c r="H62" s="17"/>
      <c r="I62" s="17"/>
      <c r="J62" s="17"/>
      <c r="L62" s="17"/>
      <c r="M62" s="17"/>
      <c r="N62" s="17"/>
      <c r="O62" s="17"/>
      <c r="P62" s="17"/>
      <c r="Q62" s="17"/>
    </row>
    <row r="63" spans="1:17" ht="20.100000000000001" customHeight="1" x14ac:dyDescent="0.25">
      <c r="A63"/>
      <c r="D63" s="7" t="s">
        <v>719</v>
      </c>
      <c r="E63" s="187">
        <f>SUM(P37:P39)</f>
        <v>1.9300000000000003E-3</v>
      </c>
      <c r="F63" s="63" t="str">
        <f t="shared" si="4"/>
        <v>t CO2-e</v>
      </c>
      <c r="G63" s="17"/>
      <c r="H63" s="17"/>
      <c r="I63" s="17"/>
      <c r="J63" s="17"/>
      <c r="L63" s="17"/>
      <c r="M63" s="17"/>
      <c r="N63" s="17"/>
      <c r="O63" s="17"/>
      <c r="P63" s="17"/>
      <c r="Q63" s="17"/>
    </row>
    <row r="64" spans="1:17" ht="20.100000000000001" customHeight="1" x14ac:dyDescent="0.25">
      <c r="A64"/>
      <c r="D64" s="7" t="s">
        <v>720</v>
      </c>
      <c r="E64" s="187">
        <f>SUM(Q37:Q39)</f>
        <v>6.6778000000000004E-2</v>
      </c>
      <c r="F64" s="63" t="str">
        <f t="shared" si="4"/>
        <v>t CO2-e</v>
      </c>
      <c r="G64" s="17"/>
      <c r="H64" s="17"/>
      <c r="I64" s="17"/>
      <c r="J64" s="17"/>
      <c r="L64" s="17"/>
      <c r="M64" s="17"/>
      <c r="N64" s="17"/>
      <c r="O64" s="17"/>
      <c r="P64" s="17"/>
      <c r="Q64" s="17"/>
    </row>
    <row r="65" spans="1:17" ht="20.100000000000001" customHeight="1" x14ac:dyDescent="0.25">
      <c r="A65"/>
      <c r="G65" s="17"/>
      <c r="H65" s="17"/>
      <c r="I65" s="17"/>
      <c r="J65" s="17"/>
      <c r="L65" s="17"/>
      <c r="M65" s="17"/>
      <c r="N65" s="17"/>
      <c r="O65" s="17"/>
      <c r="P65" s="17"/>
      <c r="Q65" s="17"/>
    </row>
    <row r="66" spans="1:17" ht="20.100000000000001" customHeight="1" x14ac:dyDescent="0.25">
      <c r="A66"/>
      <c r="D66" s="184" t="s">
        <v>721</v>
      </c>
      <c r="E66" s="190"/>
      <c r="F66" s="186"/>
      <c r="G66" s="17"/>
      <c r="H66" s="17"/>
      <c r="I66" s="17"/>
      <c r="J66" s="17"/>
      <c r="L66" s="17"/>
      <c r="M66" s="17"/>
      <c r="N66" s="17"/>
      <c r="O66" s="17"/>
      <c r="P66" s="17"/>
      <c r="Q66" s="17"/>
    </row>
    <row r="67" spans="1:17" ht="20.100000000000001" customHeight="1" x14ac:dyDescent="0.25">
      <c r="A67"/>
      <c r="D67" s="7" t="s">
        <v>717</v>
      </c>
      <c r="E67" s="187">
        <f>E43+E49+E55+E61</f>
        <v>0.76139800000000024</v>
      </c>
      <c r="F67" s="63" t="str">
        <f t="shared" ref="F67:F70" si="5">$E$12</f>
        <v>t CO2-e</v>
      </c>
      <c r="G67" s="17"/>
    </row>
    <row r="68" spans="1:17" ht="20.100000000000001" customHeight="1" x14ac:dyDescent="0.25">
      <c r="A68"/>
      <c r="D68" s="7" t="s">
        <v>718</v>
      </c>
      <c r="E68" s="187">
        <f t="shared" ref="E68:E70" si="6">E44+E50+E56+E62</f>
        <v>1.0092E-3</v>
      </c>
      <c r="F68" s="63" t="str">
        <f t="shared" si="5"/>
        <v>t CO2-e</v>
      </c>
      <c r="G68" s="17"/>
    </row>
    <row r="69" spans="1:17" ht="20.100000000000001" customHeight="1" x14ac:dyDescent="0.25">
      <c r="A69"/>
      <c r="D69" s="7" t="s">
        <v>719</v>
      </c>
      <c r="E69" s="187">
        <f t="shared" si="6"/>
        <v>5.8460000000000014E-3</v>
      </c>
      <c r="F69" s="63" t="str">
        <f t="shared" si="5"/>
        <v>t CO2-e</v>
      </c>
      <c r="G69" s="17"/>
    </row>
    <row r="70" spans="1:17" ht="20.100000000000001" customHeight="1" x14ac:dyDescent="0.25">
      <c r="A70"/>
      <c r="D70" s="7" t="s">
        <v>720</v>
      </c>
      <c r="E70" s="187">
        <f t="shared" si="6"/>
        <v>0.13355600000000001</v>
      </c>
      <c r="F70" s="63" t="str">
        <f t="shared" si="5"/>
        <v>t CO2-e</v>
      </c>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341" spans="8:8" ht="20.100000000000001" customHeight="1" x14ac:dyDescent="0.25">
      <c r="H341" s="14"/>
    </row>
    <row r="342" spans="8:8" ht="20.100000000000001" customHeight="1" x14ac:dyDescent="0.25">
      <c r="H342" s="14"/>
    </row>
  </sheetData>
  <dataValidations count="1">
    <dataValidation operator="equal" allowBlank="1" showInputMessage="1" showErrorMessage="1" sqref="N172:Q172 O150:Q150 E269 N166:Q166 O143:Q144 E228 O167:Q167 G132 I129:I133 F134:I134 F129:F132 H128:H132 G129 F148:I148 I149 F150:I150" xr:uid="{C752315A-B5E5-44EF-8A25-FDBF5DF9036B}"/>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55D5D-FEA3-44B0-9E5B-51CEC314728D}">
  <sheetPr>
    <tabColor theme="9" tint="-0.249977111117893"/>
  </sheetPr>
  <dimension ref="A1:R160"/>
  <sheetViews>
    <sheetView showGridLines="0" topLeftCell="A7" zoomScaleNormal="100" workbookViewId="0">
      <selection activeCell="A38" sqref="A38"/>
    </sheetView>
  </sheetViews>
  <sheetFormatPr defaultColWidth="9" defaultRowHeight="20.100000000000001" customHeight="1" x14ac:dyDescent="0.25"/>
  <cols>
    <col min="1" max="1" width="26.85546875" style="3" customWidth="1"/>
    <col min="2" max="2" width="4.140625" style="3" customWidth="1"/>
    <col min="3" max="3" width="4.140625" style="8" customWidth="1"/>
    <col min="4" max="4" width="35.42578125" style="8" customWidth="1"/>
    <col min="5" max="17" width="26.85546875" style="8" customWidth="1"/>
    <col min="18" max="18" width="4.140625" style="8" customWidth="1"/>
    <col min="19" max="16384" width="9" style="3"/>
  </cols>
  <sheetData>
    <row r="1" spans="1:18" s="1" customFormat="1" ht="30" customHeight="1" x14ac:dyDescent="0.35">
      <c r="A1" s="37" t="e" vm="1">
        <v>#VALUE!</v>
      </c>
      <c r="C1" s="1" t="s">
        <v>722</v>
      </c>
    </row>
    <row r="2" spans="1:18" s="2" customFormat="1" ht="20.100000000000001" customHeight="1" x14ac:dyDescent="0.2">
      <c r="A2"/>
    </row>
    <row r="3" spans="1:18" ht="20.100000000000001" customHeight="1" x14ac:dyDescent="0.25">
      <c r="A3" s="16" t="str">
        <f>HYPERLINK("#'Overview'!A1", "Overview")</f>
        <v>Overview</v>
      </c>
      <c r="C3" s="5"/>
      <c r="D3" s="5" t="s">
        <v>405</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63" t="s">
        <v>621</v>
      </c>
      <c r="E7" s="163"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Site'!A1", "Site")</f>
        <v>Site</v>
      </c>
      <c r="K8" s="163" t="s">
        <v>621</v>
      </c>
      <c r="L8" s="163" t="str" cm="1">
        <f t="array" aca="1" ref="L8" ca="1">Common_InputFunctions.Utility_DisplayFunctionName(Q25)</f>
        <v>=Fuel_Equations.VEERG_8_2_1_1__1_FuelCombustionStationary</v>
      </c>
      <c r="O8" s="17"/>
      <c r="P8" s="17"/>
      <c r="Q8" s="17"/>
      <c r="R8" s="17"/>
    </row>
    <row r="9" spans="1:18" ht="20.100000000000001" customHeight="1" x14ac:dyDescent="0.25">
      <c r="A9" s="16" t="str">
        <f>HYPERLINK("#'Input - Fuel'!A1", "Fuel")</f>
        <v>Fuel</v>
      </c>
      <c r="G9" s="11"/>
      <c r="O9" s="17"/>
      <c r="P9" s="17"/>
      <c r="Q9" s="17"/>
      <c r="R9" s="17"/>
    </row>
    <row r="10" spans="1:18" ht="20.100000000000001" customHeight="1" x14ac:dyDescent="0.25">
      <c r="A10" s="16" t="str">
        <f>HYPERLINK("#'Input - Fertiliser'!A1", "Fertiliser")</f>
        <v>Fertiliser</v>
      </c>
      <c r="O10" s="17"/>
      <c r="P10" s="17"/>
      <c r="Q10" s="17"/>
      <c r="R10" s="17"/>
    </row>
    <row r="11" spans="1:18" ht="20.100000000000001" customHeight="1" x14ac:dyDescent="0.25">
      <c r="A11" s="16" t="str">
        <f>HYPERLINK("#'Input - Farm Inputs'!A1", "Farm Inputs")</f>
        <v>Farm Inputs</v>
      </c>
      <c r="D11" s="27" t="s">
        <v>622</v>
      </c>
      <c r="E11" s="8" t="str" cm="1">
        <f t="array" ref="E11">Fuel_Equations.VEERG_8_2_1_1__1_FuelCombustionStationary_Variable()</f>
        <v>E_g</v>
      </c>
      <c r="K11" s="27" t="s">
        <v>622</v>
      </c>
      <c r="L11" s="8" t="str" cm="1">
        <f t="array" ref="L11">Scope3_Equations.VEERG_15_11_1_1__3_UpstreamStationaryFuelEmissions_Variable()</f>
        <v>E_WTTSCq</v>
      </c>
      <c r="O11" s="17"/>
      <c r="P11" s="17"/>
      <c r="Q11" s="17"/>
      <c r="R11" s="17"/>
    </row>
    <row r="12" spans="1:18" ht="20.100000000000001" customHeight="1" x14ac:dyDescent="0.25">
      <c r="A12" s="16" t="str">
        <f>HYPERLINK("#'Input - Livestock purchases'!A1", "Livestock purchases")</f>
        <v>Livestock purchases</v>
      </c>
      <c r="D12" s="27" t="s">
        <v>97</v>
      </c>
      <c r="E12" s="13" t="str" cm="1">
        <f t="array" ref="E12">Fuel_Equations.VEERG_8_2_1_1__1_FuelCombustionStationary_Unit()</f>
        <v>t CO2-e</v>
      </c>
      <c r="K12" s="27" t="s">
        <v>97</v>
      </c>
      <c r="L12" s="13" t="str" cm="1">
        <f t="array" ref="L12">Scope3_Equations.VEERG_15_11_1_1__3_UpstreamStationaryFuelEmissions_Unit()</f>
        <v>t CO2e</v>
      </c>
    </row>
    <row r="13" spans="1:18" ht="20.100000000000001" customHeight="1" x14ac:dyDescent="0.25">
      <c r="A13" s="16" t="str">
        <f>HYPERLINK("#'Input - Freight'!A1", "Freight")</f>
        <v>Freight</v>
      </c>
    </row>
    <row r="14" spans="1:18" ht="20.100000000000001" customHeight="1" x14ac:dyDescent="0.25">
      <c r="A14" s="16" t="str">
        <f>HYPERLINK("#'Input - Solid waste'!A1", "Solid waste")</f>
        <v>Solid waste</v>
      </c>
      <c r="D14" s="158" t="str" cm="1">
        <f t="array" ref="D14:E20">_xlfn.CHOOSECOLS(Fuel_Equations.VEERG_8_2_1_1__1_FuelCombustionStationary_Arguments(), 1,2)</f>
        <v>Q_SCq</v>
      </c>
      <c r="E14" s="162" t="str">
        <v>Amount of fuel type q used for stationary combustion operations</v>
      </c>
      <c r="F14" s="157"/>
      <c r="G14" s="158" t="str" cm="1">
        <f t="array" ref="G14:H20">_xlfn.CHOOSECOLS(Fuel_Equations.VEERG_8_2_1_1__1_FuelCombustionStationary_Arguments(), 3,4)</f>
        <v>Varies based on fuel type: kL, m3, GJ</v>
      </c>
      <c r="H14" s="159" t="str">
        <v>Input</v>
      </c>
      <c r="I14" s="161" t="str" cm="1">
        <f t="array" aca="1" ref="I14" ca="1">HYPERLINK(Common_InputFunctions.Utility_SourceHyperlink($D$22), $D$22)</f>
        <v>Table_E_g</v>
      </c>
      <c r="K14" s="158" t="str" cm="1">
        <f t="array" ref="K14:L18">_xlfn.CHOOSECOLS(Scope3_Equations.VEERG_15_11_1_1__3_UpstreamStationaryFuelEmissions_Arguments(),1,2)</f>
        <v>Q_SCq</v>
      </c>
      <c r="L14" s="158" t="str">
        <v>amount of fuel q used for stationary combustion operations</v>
      </c>
      <c r="M14" s="158"/>
      <c r="N14" s="158" t="str" cm="1">
        <f t="array" ref="N14:O18">_xlfn.CHOOSECOLS(Scope3_Equations.VEERG_15_11_1_1__3_UpstreamStationaryFuelEmissions_Arguments(),3,4)</f>
        <v>kL</v>
      </c>
      <c r="O14" s="159" t="str">
        <v>Input</v>
      </c>
      <c r="P14" s="161" t="str" cm="1">
        <f t="array" aca="1" ref="P14" ca="1">HYPERLINK(Common_InputFunctions.Utility_SourceHyperlink($D$22), $D$22)</f>
        <v>Table_E_g</v>
      </c>
      <c r="Q14" s="17"/>
    </row>
    <row r="15" spans="1:18" ht="20.100000000000001" customHeight="1" x14ac:dyDescent="0.25">
      <c r="A15" s="16" t="str">
        <f>HYPERLINK("#'Input - Manure sent off-site'!A1", "Manure sent off-site")</f>
        <v>Manure sent off-site</v>
      </c>
      <c r="D15" s="158" t="str">
        <v>EC_SCq</v>
      </c>
      <c r="E15" s="162" t="str">
        <v>Energy content factor for stationary combustion operations</v>
      </c>
      <c r="F15" s="157"/>
      <c r="G15" s="158" t="str">
        <v>GJ / unit of fuel</v>
      </c>
      <c r="H15" s="160" t="str">
        <v>Constant</v>
      </c>
      <c r="I15" s="161" t="str" cm="1">
        <f t="array" aca="1" ref="I15" ca="1">HYPERLINK(Common_InputFunctions.Utility_SourceHyperlink($D$22), $D$22)</f>
        <v>Table_E_g</v>
      </c>
      <c r="K15" s="158" t="str">
        <v>EC_SCq</v>
      </c>
      <c r="L15" s="158" t="str">
        <v>energy content factor for stationary combustion operations</v>
      </c>
      <c r="M15" s="158"/>
      <c r="N15" s="158" t="str">
        <v>GJ/kL</v>
      </c>
      <c r="O15" s="160" t="str">
        <v>Constant</v>
      </c>
      <c r="P15" s="161" t="str" cm="1">
        <f t="array" aca="1" ref="P15" ca="1">HYPERLINK(Common_InputFunctions.Utility_SourceHyperlink($D$22), $D$22)</f>
        <v>Table_E_g</v>
      </c>
      <c r="Q15" s="17"/>
    </row>
    <row r="16" spans="1:18" ht="20.100000000000001" customHeight="1" x14ac:dyDescent="0.25">
      <c r="A16" s="16" t="str">
        <f>HYPERLINK("#'Input - Electricity'!A1", "Electricity")</f>
        <v>Electricity</v>
      </c>
      <c r="D16" s="158" t="str">
        <v>EF_SC1qg</v>
      </c>
      <c r="E16" s="162" t="str">
        <v>Scope 1 emission factor for stationary combustion for each greenhouse gas</v>
      </c>
      <c r="F16" s="157"/>
      <c r="G16" s="158" t="str">
        <v>kg CO2e / GJ</v>
      </c>
      <c r="H16" s="160" t="str">
        <v>Constant</v>
      </c>
      <c r="I16" s="161" t="str" cm="1">
        <f t="array" aca="1" ref="I16" ca="1">HYPERLINK(Common_InputFunctions.Utility_SourceHyperlink($D$22), $D$22)</f>
        <v>Table_E_g</v>
      </c>
      <c r="K16" s="158" t="str">
        <v>EF_SC3q</v>
      </c>
      <c r="L16" s="158" t="str">
        <v>scope 3 emission factor for stationary combustion operations</v>
      </c>
      <c r="M16" s="158"/>
      <c r="N16" s="158" t="str">
        <v>kg CO2e/GJ</v>
      </c>
      <c r="O16" s="160" t="str">
        <v>Constant</v>
      </c>
      <c r="P16" s="161" t="str" cm="1">
        <f t="array" aca="1" ref="P16" ca="1">HYPERLINK(Common_InputFunctions.Utility_SourceHyperlink($D$22), $D$22)</f>
        <v>Table_E_g</v>
      </c>
      <c r="Q16" s="17"/>
    </row>
    <row r="17" spans="1:17" ht="20.100000000000001" customHeight="1" x14ac:dyDescent="0.25">
      <c r="A17"/>
      <c r="D17" s="158" t="str">
        <v>q</v>
      </c>
      <c r="E17" s="162" t="str">
        <v>Fuel type</v>
      </c>
      <c r="F17" s="157"/>
      <c r="G17" s="158" t="str">
        <v/>
      </c>
      <c r="H17" s="160" t="str">
        <v>Constant</v>
      </c>
      <c r="I17" s="161"/>
      <c r="J17" s="17"/>
      <c r="K17" s="158" t="str">
        <v>i</v>
      </c>
      <c r="L17" s="162" t="str">
        <v>state</v>
      </c>
      <c r="M17" s="157"/>
      <c r="N17" s="158" t="str">
        <v/>
      </c>
      <c r="O17" s="159" t="str">
        <v>Input</v>
      </c>
      <c r="P17" s="158" t="str">
        <f>X_Cell_Site_State</f>
        <v>ACT</v>
      </c>
      <c r="Q17" s="17"/>
    </row>
    <row r="18" spans="1:17" ht="20.100000000000001" customHeight="1" x14ac:dyDescent="0.25">
      <c r="A18"/>
      <c r="D18" s="158" t="str">
        <v>SC</v>
      </c>
      <c r="E18" s="162" t="str">
        <v>Stationary combustion</v>
      </c>
      <c r="F18" s="157"/>
      <c r="G18" s="158" t="str">
        <v/>
      </c>
      <c r="H18" s="160" t="str">
        <v>Constant</v>
      </c>
      <c r="I18" s="161"/>
      <c r="J18" s="17"/>
      <c r="K18" s="158" t="str">
        <v>m</v>
      </c>
      <c r="L18" s="162" t="str">
        <v>metropolitan/non-metropolitan location</v>
      </c>
      <c r="M18" s="157"/>
      <c r="N18" s="158" t="str">
        <v/>
      </c>
      <c r="O18" s="159" t="str">
        <v>Input</v>
      </c>
      <c r="P18" s="158" t="str">
        <f>X_Cell_Fuel_IsMetroLocation</f>
        <v>Metro</v>
      </c>
      <c r="Q18" s="17"/>
    </row>
    <row r="19" spans="1:17" ht="20.100000000000001" customHeight="1" x14ac:dyDescent="0.25">
      <c r="A19" s="21" t="s">
        <v>77</v>
      </c>
      <c r="D19" s="158" t="str">
        <v>g</v>
      </c>
      <c r="E19" s="162" t="str">
        <v>Greenhouse gas</v>
      </c>
      <c r="F19" s="157"/>
      <c r="G19" s="158" t="str">
        <v/>
      </c>
      <c r="H19" s="160" t="str">
        <v>Constant</v>
      </c>
      <c r="I19" s="161"/>
      <c r="J19" s="17"/>
      <c r="L19" s="17"/>
      <c r="N19" s="17"/>
      <c r="O19" s="17"/>
      <c r="P19" s="17"/>
      <c r="Q19" s="17"/>
    </row>
    <row r="20" spans="1:17" ht="20.100000000000001" customHeight="1" x14ac:dyDescent="0.25">
      <c r="A20" s="16" t="str">
        <f>HYPERLINK("#'15 Scope 3'!A1", "15 Scope 3")</f>
        <v>15 Scope 3</v>
      </c>
      <c r="D20" s="158" t="str">
        <v>1</v>
      </c>
      <c r="E20" s="162" t="str">
        <v>Scope 1</v>
      </c>
      <c r="F20" s="157"/>
      <c r="G20" s="158" t="str">
        <v/>
      </c>
      <c r="H20" s="160" t="str">
        <v>Constant</v>
      </c>
      <c r="I20" s="161"/>
      <c r="J20" s="17"/>
      <c r="L20" s="17"/>
      <c r="N20" s="17"/>
      <c r="O20" s="17"/>
      <c r="P20" s="17"/>
      <c r="Q20" s="17"/>
    </row>
    <row r="21" spans="1:17" ht="20.100000000000001" customHeight="1" x14ac:dyDescent="0.25">
      <c r="A21" s="16" t="str">
        <f>HYPERLINK("#'10.1.1-2 Solid waste treatment'!A1", "10.1.1-2 Solid waste treatment")</f>
        <v>10.1.1-2 Solid waste treatment</v>
      </c>
      <c r="O21" s="17"/>
      <c r="P21" s="17"/>
      <c r="Q21" s="17"/>
    </row>
    <row r="22" spans="1:17" ht="20.100000000000001" customHeight="1" x14ac:dyDescent="0.25">
      <c r="A22" s="16" t="str">
        <f>HYPERLINK("#'Calcs - Manure sent off-site'!A1", "Calcs - Manure sent off-site")</f>
        <v>Calcs - Manure sent off-site</v>
      </c>
      <c r="D22" s="55" t="s">
        <v>129</v>
      </c>
    </row>
    <row r="23" spans="1:17" ht="20.100000000000001" customHeight="1" x14ac:dyDescent="0.25">
      <c r="A23" s="16" t="str">
        <f>HYPERLINK("#'8.1.1.1-2 Transport fuel'!A1", "8.1.1.1-2 Transport fuel")</f>
        <v>8.1.1.1-2 Transport fuel</v>
      </c>
      <c r="D23" s="56" t="s">
        <v>723</v>
      </c>
    </row>
    <row r="24" spans="1:17" ht="20.100000000000001" customHeight="1" x14ac:dyDescent="0.25">
      <c r="A24" s="171" t="str">
        <f>HYPERLINK("#'8.2.1.1-2 Stationary fuel'!A1", "8.2.1.1-2 Stationary fuel")</f>
        <v>8.2.1.1-2 Stationary fuel</v>
      </c>
      <c r="D24" s="57" t="s">
        <v>131</v>
      </c>
      <c r="E24" s="57" t="s">
        <v>132</v>
      </c>
      <c r="F24" s="57" t="s">
        <v>133</v>
      </c>
      <c r="G24" s="57" t="s">
        <v>724</v>
      </c>
      <c r="H24" s="57" t="s">
        <v>725</v>
      </c>
      <c r="I24" s="57" t="s">
        <v>726</v>
      </c>
      <c r="J24" s="57" t="s">
        <v>727</v>
      </c>
      <c r="K24" s="57" t="s">
        <v>728</v>
      </c>
      <c r="L24" s="46" t="s">
        <v>729</v>
      </c>
      <c r="M24" s="57" t="s">
        <v>712</v>
      </c>
      <c r="N24" s="57" t="s">
        <v>713</v>
      </c>
      <c r="O24" s="57" t="s">
        <v>714</v>
      </c>
      <c r="P24" s="57" t="s">
        <v>715</v>
      </c>
      <c r="Q24" s="57" t="s">
        <v>730</v>
      </c>
    </row>
    <row r="25" spans="1:17" ht="20.100000000000001" customHeight="1" x14ac:dyDescent="0.25">
      <c r="A25"/>
      <c r="D25" s="7" t="str">
        <f>Table_FuelTypesPerUse[[#Headers],[Generators]]</f>
        <v>Generators</v>
      </c>
      <c r="E25" s="58" t="str">
        <f>'Constants - Fuel'!$D$58</f>
        <v>Automotive gasoline / petrol (other than for use as fuel in an aircraft)</v>
      </c>
      <c r="F25" s="58" t="str">
        <f>'Constants - Fuel'!D131</f>
        <v>Petrol</v>
      </c>
      <c r="G25" s="49">
        <f>IFERROR(_xlfn.XLOOKUP($E25, Table_Fuel_EFs_StationaryLiquid[Fuel combusted], Table_Fuel_EFs_StationaryLiquid[Energy Content Factor (GJ per unit of fuel)]),0)</f>
        <v>34.200000000000003</v>
      </c>
      <c r="H25" s="49">
        <f>IFERROR(_xlfn.XLOOKUP($E25, Table_Fuel_EFs_StationaryLiquid[Fuel combusted], Table_Fuel_EFs_StationaryLiquid[Scope 1 Emission Factor (kg CO2 - e / GJ) CO2]),0)</f>
        <v>67.400000000000006</v>
      </c>
      <c r="I25" s="49">
        <f>IFERROR(_xlfn.XLOOKUP($E25, Table_Fuel_EFs_StationaryLiquid[Fuel combusted], Table_Fuel_EFs_StationaryLiquid[Scope 1 Emission Factor (kg CO2 - e / GJ) CH4]),0)</f>
        <v>0.2</v>
      </c>
      <c r="J25" s="49">
        <f>IFERROR(_xlfn.XLOOKUP($E25, Table_Fuel_EFs_StationaryLiquid[Fuel combusted], Table_Fuel_EFs_StationaryLiquid[Scope 1 Emission Factor (kg CO2 - e / GJ) N2O]),0)</f>
        <v>0.2</v>
      </c>
      <c r="K25" s="49">
        <f>IFERROR(_xlfn.XLOOKUP($E25, Table_Fuel_EFs_StationaryLiquid[Fuel combusted], Table_Fuel_EFs_StationaryLiquid[Scope 3 Emission Factor (kg CO2 - e / GJ)]),0)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191" cm="1">
        <f t="array" ref="N25">Fuel_Equations.VEERG_8_2_1_1__1_FuelCombustionStationary($L25,$G25,H25)</f>
        <v>0</v>
      </c>
      <c r="O25" s="191" cm="1">
        <f t="array" ref="O25">Fuel_Equations.VEERG_8_2_1_1__1_FuelCombustionStationary($L25,$G25,I25)</f>
        <v>0</v>
      </c>
      <c r="P25" s="191" cm="1">
        <f t="array" ref="P25">Fuel_Equations.VEERG_8_2_1_1__1_FuelCombustionStationary($L25,$G25,J25)</f>
        <v>0</v>
      </c>
      <c r="Q25" s="191" cm="1">
        <f t="array" ref="Q25">Fuel_Equations.VEERG_8_2_1_1__1_FuelCombustionStationary($L25,$G25,IF(ISNUMBER(K25), K25, 0))</f>
        <v>0</v>
      </c>
    </row>
    <row r="26" spans="1:17" ht="20.100000000000001" customHeight="1" x14ac:dyDescent="0.25">
      <c r="A26"/>
      <c r="D26" s="59" t="str">
        <f t="shared" ref="D26:D31" si="0">$D$25</f>
        <v>Generators</v>
      </c>
      <c r="E26" s="58" t="str">
        <f>'Constants - Fuel'!$D$63</f>
        <v>Diesel oil</v>
      </c>
      <c r="F26" s="58" t="str">
        <f>'Constants - Fuel'!D132</f>
        <v>Diesel</v>
      </c>
      <c r="G26" s="49">
        <f>IFERROR(_xlfn.XLOOKUP($E26, Table_Fuel_EFs_StationaryLiquid[Fuel combusted], Table_Fuel_EFs_StationaryLiquid[Energy Content Factor (GJ per unit of fuel)]),0)</f>
        <v>38.6</v>
      </c>
      <c r="H26" s="49">
        <f>IFERROR(_xlfn.XLOOKUP($E26, Table_Fuel_EFs_StationaryLiquid[Fuel combusted], Table_Fuel_EFs_StationaryLiquid[Scope 1 Emission Factor (kg CO2 - e / GJ) CO2]),0)</f>
        <v>69.900000000000006</v>
      </c>
      <c r="I26" s="49">
        <f>IFERROR(_xlfn.XLOOKUP($E26, Table_Fuel_EFs_StationaryLiquid[Fuel combusted], Table_Fuel_EFs_StationaryLiquid[Scope 1 Emission Factor (kg CO2 - e / GJ) CH4]),0)</f>
        <v>0.1</v>
      </c>
      <c r="J26" s="49">
        <f>IFERROR(_xlfn.XLOOKUP($E26, Table_Fuel_EFs_StationaryLiquid[Fuel combusted], Table_Fuel_EFs_StationaryLiquid[Scope 1 Emission Factor (kg CO2 - e / GJ) N2O]),0)</f>
        <v>0.2</v>
      </c>
      <c r="K26" s="49">
        <f>IFERROR(_xlfn.XLOOKUP($E26, Table_Fuel_EFs_StationaryLiquid[Fuel combusted], Table_Fuel_EFs_StationaryLiquid[Scope 3 Emission Factor (kg CO2 - e / GJ)]),0)</f>
        <v>17.3</v>
      </c>
      <c r="L26" s="172" cm="1">
        <f t="array" ref="L26">Fuel_InputFunctions.Fuel_TotalConsumption(Table_Input_Fuel[Amount consumed], Table_Input_Fuel[Fuel use (select)], D26, Table_Input_Fuel[Fuel type (select)],F26)</f>
        <v>0</v>
      </c>
      <c r="M26" s="172" t="str" cm="1">
        <f t="array" ref="M26">Common_InputFunctions.Utility_LookupValueInTable(F26,Table_FuelTypes_Units[Fuel type],Table_FuelTypes_Units[Unit])</f>
        <v>kL</v>
      </c>
      <c r="N26" s="191" cm="1">
        <f t="array" ref="N26">Fuel_Equations.VEERG_8_2_1_1__1_FuelCombustionStationary($L26,$G26,H26)</f>
        <v>0</v>
      </c>
      <c r="O26" s="191" cm="1">
        <f t="array" ref="O26">Fuel_Equations.VEERG_8_2_1_1__1_FuelCombustionStationary($L26,$G26,I26)</f>
        <v>0</v>
      </c>
      <c r="P26" s="191" cm="1">
        <f t="array" ref="P26">Fuel_Equations.VEERG_8_2_1_1__1_FuelCombustionStationary($L26,$G26,J26)</f>
        <v>0</v>
      </c>
      <c r="Q26" s="191" cm="1">
        <f t="array" ref="Q26">Fuel_Equations.VEERG_8_2_1_1__1_FuelCombustionStationary($L26,$G26,IF(ISNUMBER(K26), K26, 0))</f>
        <v>0</v>
      </c>
    </row>
    <row r="27" spans="1:17" ht="20.100000000000001" customHeight="1" x14ac:dyDescent="0.25">
      <c r="A27" s="213" t="s">
        <v>78</v>
      </c>
      <c r="D27" s="59" t="str">
        <f t="shared" si="0"/>
        <v>Generators</v>
      </c>
      <c r="E27" s="58" t="str">
        <f>'Constants - Fuel'!$D$67</f>
        <v>Liquefied petroleum gas (LPG)</v>
      </c>
      <c r="F27" s="58" t="str">
        <f>'Constants - Fuel'!D133</f>
        <v>Liquefied petroleum gas (LPG)</v>
      </c>
      <c r="G27" s="49">
        <f>IFERROR(_xlfn.XLOOKUP($E27, Table_Fuel_EFs_StationaryLiquid[Fuel combusted], Table_Fuel_EFs_StationaryLiquid[Energy Content Factor (GJ per unit of fuel)]),0)</f>
        <v>25.7</v>
      </c>
      <c r="H27" s="49">
        <f>IFERROR(_xlfn.XLOOKUP($E27, Table_Fuel_EFs_StationaryLiquid[Fuel combusted], Table_Fuel_EFs_StationaryLiquid[Scope 1 Emission Factor (kg CO2 - e / GJ) CO2]),0)</f>
        <v>60.2</v>
      </c>
      <c r="I27" s="49">
        <f>IFERROR(_xlfn.XLOOKUP($E27, Table_Fuel_EFs_StationaryLiquid[Fuel combusted], Table_Fuel_EFs_StationaryLiquid[Scope 1 Emission Factor (kg CO2 - e / GJ) CH4]),0)</f>
        <v>0.2</v>
      </c>
      <c r="J27" s="49">
        <f>IFERROR(_xlfn.XLOOKUP($E27, Table_Fuel_EFs_StationaryLiquid[Fuel combusted], Table_Fuel_EFs_StationaryLiquid[Scope 1 Emission Factor (kg CO2 - e / GJ) N2O]),0)</f>
        <v>0.2</v>
      </c>
      <c r="K27" s="49">
        <f>IFERROR(_xlfn.XLOOKUP($E27, Table_Fuel_EFs_StationaryLiquid[Fuel combusted], Table_Fuel_EFs_StationaryLiquid[Scope 3 Emission Factor (kg CO2 - e / GJ)]),0)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191" cm="1">
        <f t="array" ref="N27">Fuel_Equations.VEERG_8_2_1_1__1_FuelCombustionStationary($L27,$G27,H27)</f>
        <v>0</v>
      </c>
      <c r="O27" s="191" cm="1">
        <f t="array" ref="O27">Fuel_Equations.VEERG_8_2_1_1__1_FuelCombustionStationary($L27,$G27,I27)</f>
        <v>0</v>
      </c>
      <c r="P27" s="191" cm="1">
        <f t="array" ref="P27">Fuel_Equations.VEERG_8_2_1_1__1_FuelCombustionStationary($L27,$G27,J27)</f>
        <v>0</v>
      </c>
      <c r="Q27" s="191" cm="1">
        <f t="array" ref="Q27">Fuel_Equations.VEERG_8_2_1_1__1_FuelCombustionStationary($L27,$G27,IF(ISNUMBER(K27), K27, 0))</f>
        <v>0</v>
      </c>
    </row>
    <row r="28" spans="1:17" ht="20.100000000000001" customHeight="1" x14ac:dyDescent="0.25">
      <c r="A28" s="16" t="str">
        <f>HYPERLINK("#'Constants - Scope 3'!A1", "Constants - Scope 3")</f>
        <v>Constants - Scope 3</v>
      </c>
      <c r="D28" s="59" t="str">
        <f t="shared" si="0"/>
        <v>Generators</v>
      </c>
      <c r="E28" s="58" t="str">
        <f>'Constants - Fuel'!$D$73</f>
        <v>Biodiesel</v>
      </c>
      <c r="F28" s="58" t="str">
        <f>'Constants - Fuel'!D134</f>
        <v>Biodiesel</v>
      </c>
      <c r="G28" s="49">
        <f>IFERROR(_xlfn.XLOOKUP($E28, Table_Fuel_EFs_StationaryLiquid[Fuel combusted], Table_Fuel_EFs_StationaryLiquid[Energy Content Factor (GJ per unit of fuel)]),0)</f>
        <v>34.6</v>
      </c>
      <c r="H28" s="49">
        <f>IFERROR(_xlfn.XLOOKUP($E28, Table_Fuel_EFs_StationaryLiquid[Fuel combusted], Table_Fuel_EFs_StationaryLiquid[Scope 1 Emission Factor (kg CO2 - e / GJ) CO2]),0)</f>
        <v>0</v>
      </c>
      <c r="I28" s="49">
        <f>IFERROR(_xlfn.XLOOKUP($E28, Table_Fuel_EFs_StationaryLiquid[Fuel combusted], Table_Fuel_EFs_StationaryLiquid[Scope 1 Emission Factor (kg CO2 - e / GJ) CH4]),0)</f>
        <v>0.08</v>
      </c>
      <c r="J28" s="49">
        <f>IFERROR(_xlfn.XLOOKUP($E28, Table_Fuel_EFs_StationaryLiquid[Fuel combusted], Table_Fuel_EFs_StationaryLiquid[Scope 1 Emission Factor (kg CO2 - e / GJ) N2O]),0)</f>
        <v>0.2</v>
      </c>
      <c r="K28" s="49" t="str">
        <f>IFERROR(_xlfn.XLOOKUP($E28, Table_Fuel_EFs_StationaryLiquid[Fuel combusted], Table_Fuel_EFs_StationaryLiquid[Scope 3 Emission Factor (kg CO2 - e / GJ)]),0)</f>
        <v>NE</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191" cm="1">
        <f t="array" ref="N28">Fuel_Equations.VEERG_8_2_1_1__1_FuelCombustionStationary($L28,$G28,H28)</f>
        <v>0</v>
      </c>
      <c r="O28" s="191" cm="1">
        <f t="array" ref="O28">Fuel_Equations.VEERG_8_2_1_1__1_FuelCombustionStationary($L28,$G28,I28)</f>
        <v>0</v>
      </c>
      <c r="P28" s="191" cm="1">
        <f t="array" ref="P28">Fuel_Equations.VEERG_8_2_1_1__1_FuelCombustionStationary($L28,$G28,J28)</f>
        <v>0</v>
      </c>
      <c r="Q28" s="191" cm="1">
        <f t="array" ref="Q28">Fuel_Equations.VEERG_8_2_1_1__1_FuelCombustionStationary($L28,$G28,IF(ISNUMBER(K28), K28, 0))</f>
        <v>0</v>
      </c>
    </row>
    <row r="29" spans="1:17" ht="20.100000000000001" customHeight="1" x14ac:dyDescent="0.25">
      <c r="A29" s="16" t="str">
        <f>HYPERLINK("#'Constants - Solid Waste'!A1", "Constants - Solid Waste")</f>
        <v>Constants - Solid Waste</v>
      </c>
      <c r="D29" s="59" t="str">
        <f t="shared" si="0"/>
        <v>Generators</v>
      </c>
      <c r="E29" s="58" t="str">
        <f>'Constants - Fuel'!$D$74</f>
        <v>Ethanol for use as a fuel in an internal combustion engine</v>
      </c>
      <c r="F29" s="58" t="str">
        <f>'Constants - Fuel'!D135</f>
        <v>Ethanol</v>
      </c>
      <c r="G29" s="49">
        <f>IFERROR(_xlfn.XLOOKUP($E29, Table_Fuel_EFs_StationaryLiquid[Fuel combusted], Table_Fuel_EFs_StationaryLiquid[Energy Content Factor (GJ per unit of fuel)]),0)</f>
        <v>23.4</v>
      </c>
      <c r="H29" s="49">
        <f>IFERROR(_xlfn.XLOOKUP($E29, Table_Fuel_EFs_StationaryLiquid[Fuel combusted], Table_Fuel_EFs_StationaryLiquid[Scope 1 Emission Factor (kg CO2 - e / GJ) CO2]),0)</f>
        <v>0</v>
      </c>
      <c r="I29" s="49">
        <f>IFERROR(_xlfn.XLOOKUP($E29, Table_Fuel_EFs_StationaryLiquid[Fuel combusted], Table_Fuel_EFs_StationaryLiquid[Scope 1 Emission Factor (kg CO2 - e / GJ) CH4]),0)</f>
        <v>0.08</v>
      </c>
      <c r="J29" s="49">
        <f>IFERROR(_xlfn.XLOOKUP($E29, Table_Fuel_EFs_StationaryLiquid[Fuel combusted], Table_Fuel_EFs_StationaryLiquid[Scope 1 Emission Factor (kg CO2 - e / GJ) N2O]),0)</f>
        <v>0.2</v>
      </c>
      <c r="K29" s="49" t="str">
        <f>IFERROR(_xlfn.XLOOKUP($E29, Table_Fuel_EFs_StationaryLiquid[Fuel combusted], Table_Fuel_EFs_StationaryLiquid[Scope 3 Emission Factor (kg CO2 - e / GJ)]),0)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191" cm="1">
        <f t="array" ref="N29">Fuel_Equations.VEERG_8_2_1_1__1_FuelCombustionStationary($L29,$G29,H29)</f>
        <v>0</v>
      </c>
      <c r="O29" s="191" cm="1">
        <f t="array" ref="O29">Fuel_Equations.VEERG_8_2_1_1__1_FuelCombustionStationary($L29,$G29,I29)</f>
        <v>0</v>
      </c>
      <c r="P29" s="191" cm="1">
        <f t="array" ref="P29">Fuel_Equations.VEERG_8_2_1_1__1_FuelCombustionStationary($L29,$G29,J29)</f>
        <v>0</v>
      </c>
      <c r="Q29" s="191" cm="1">
        <f t="array" ref="Q29">Fuel_Equations.VEERG_8_2_1_1__1_FuelCombustionStationary($L29,$G29,IF(ISNUMBER(K29), K29, 0))</f>
        <v>0</v>
      </c>
    </row>
    <row r="30" spans="1:17" ht="20.100000000000001" customHeight="1" x14ac:dyDescent="0.25">
      <c r="A30" s="16" t="str">
        <f>HYPERLINK("#'Constants - Fuel'!A1", "Constants - Fuel")</f>
        <v>Constants - Fuel</v>
      </c>
      <c r="D30" s="59" t="str">
        <f t="shared" si="0"/>
        <v>Generators</v>
      </c>
      <c r="E30" s="58" t="str">
        <f>'Constants - Fuel'!$D$75</f>
        <v>Biofuels other than those mentioned in the items above and below</v>
      </c>
      <c r="F30" s="58" t="str">
        <f>'Constants - Fuel'!D136</f>
        <v>Other biofuels</v>
      </c>
      <c r="G30" s="49">
        <f>IFERROR(_xlfn.XLOOKUP($E30, Table_Fuel_EFs_StationaryLiquid[Fuel combusted], Table_Fuel_EFs_StationaryLiquid[Energy Content Factor (GJ per unit of fuel)]),0)</f>
        <v>23.4</v>
      </c>
      <c r="H30" s="49">
        <f>IFERROR(_xlfn.XLOOKUP($E30, Table_Fuel_EFs_StationaryLiquid[Fuel combusted], Table_Fuel_EFs_StationaryLiquid[Scope 1 Emission Factor (kg CO2 - e / GJ) CO2]),0)</f>
        <v>0</v>
      </c>
      <c r="I30" s="49">
        <f>IFERROR(_xlfn.XLOOKUP($E30, Table_Fuel_EFs_StationaryLiquid[Fuel combusted], Table_Fuel_EFs_StationaryLiquid[Scope 1 Emission Factor (kg CO2 - e / GJ) CH4]),0)</f>
        <v>0.08</v>
      </c>
      <c r="J30" s="49">
        <f>IFERROR(_xlfn.XLOOKUP($E30, Table_Fuel_EFs_StationaryLiquid[Fuel combusted], Table_Fuel_EFs_StationaryLiquid[Scope 1 Emission Factor (kg CO2 - e / GJ) N2O]),0)</f>
        <v>0.2</v>
      </c>
      <c r="K30" s="49" t="str">
        <f>IFERROR(_xlfn.XLOOKUP($E30, Table_Fuel_EFs_StationaryLiquid[Fuel combusted], Table_Fuel_EFs_StationaryLiquid[Scope 3 Emission Factor (kg CO2 - e / GJ)]),0)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191" cm="1">
        <f t="array" ref="N30">Fuel_Equations.VEERG_8_2_1_1__1_FuelCombustionStationary($L30,$G30,H30)</f>
        <v>0</v>
      </c>
      <c r="O30" s="191" cm="1">
        <f t="array" ref="O30">Fuel_Equations.VEERG_8_2_1_1__1_FuelCombustionStationary($L30,$G30,I30)</f>
        <v>0</v>
      </c>
      <c r="P30" s="191" cm="1">
        <f t="array" ref="P30">Fuel_Equations.VEERG_8_2_1_1__1_FuelCombustionStationary($L30,$G30,J30)</f>
        <v>0</v>
      </c>
      <c r="Q30" s="191" cm="1">
        <f t="array" ref="Q30">Fuel_Equations.VEERG_8_2_1_1__1_FuelCombustionStationary($L30,$G30,IF(ISNUMBER(K30), K30, 0))</f>
        <v>0</v>
      </c>
    </row>
    <row r="31" spans="1:17" ht="20.100000000000001" customHeight="1" x14ac:dyDescent="0.25">
      <c r="A31" s="16" t="str">
        <f>HYPERLINK("#'Constants - Poultry'!A1", "Constants - Poultry")</f>
        <v>Constants - Poultry</v>
      </c>
      <c r="D31" s="59" t="str">
        <f t="shared" si="0"/>
        <v>Generators</v>
      </c>
      <c r="E31" s="58" t="str">
        <f>'Constants - Fuel'!$D$77</f>
        <v>Renewable diesel</v>
      </c>
      <c r="F31" s="58" t="str">
        <f>'Constants - Fuel'!D137</f>
        <v>Renewable diesel</v>
      </c>
      <c r="G31" s="152">
        <f>IFERROR(_xlfn.XLOOKUP($E31, Table_Fuel_EFs_StationaryLiquid[Fuel combusted], Table_Fuel_EFs_StationaryLiquid[Energy Content Factor (GJ per unit of fuel)]),0)</f>
        <v>38.6</v>
      </c>
      <c r="H31" s="152">
        <f>IFERROR(_xlfn.XLOOKUP($E31, Table_Fuel_EFs_StationaryLiquid[Fuel combusted], Table_Fuel_EFs_StationaryLiquid[Scope 1 Emission Factor (kg CO2 - e / GJ) CO2]),0)</f>
        <v>0</v>
      </c>
      <c r="I31" s="152">
        <f>IFERROR(_xlfn.XLOOKUP($E31, Table_Fuel_EFs_StationaryLiquid[Fuel combusted], Table_Fuel_EFs_StationaryLiquid[Scope 1 Emission Factor (kg CO2 - e / GJ) CH4]),0)</f>
        <v>0.1</v>
      </c>
      <c r="J31" s="152">
        <f>IFERROR(_xlfn.XLOOKUP($E31, Table_Fuel_EFs_StationaryLiquid[Fuel combusted], Table_Fuel_EFs_StationaryLiquid[Scope 1 Emission Factor (kg CO2 - e / GJ) N2O]),0)</f>
        <v>0.2</v>
      </c>
      <c r="K31" s="152" t="str">
        <f>IFERROR(_xlfn.XLOOKUP($E31, Table_Fuel_EFs_StationaryLiquid[Fuel combusted], Table_Fuel_EFs_StationaryLiquid[Scope 3 Emission Factor (kg CO2 - e / GJ)]),0)</f>
        <v>NE</v>
      </c>
      <c r="L31" s="174" cm="1">
        <f t="array" ref="L31">Fuel_InputFunctions.Fuel_TotalConsumption(Table_Input_Fuel[Amount consumed], Table_Input_Fuel[Fuel use (select)], D31, Table_Input_Fuel[Fuel type (select)],F31)</f>
        <v>0</v>
      </c>
      <c r="M31" s="174" t="str" cm="1">
        <f t="array" ref="M31">Common_InputFunctions.Utility_LookupValueInTable(F31,Table_FuelTypes_Units[Fuel type],Table_FuelTypes_Units[Unit])</f>
        <v>kL</v>
      </c>
      <c r="N31" s="192" cm="1">
        <f t="array" ref="N31">Fuel_Equations.VEERG_8_2_1_1__1_FuelCombustionStationary($L31,$G31,H31)</f>
        <v>0</v>
      </c>
      <c r="O31" s="192" cm="1">
        <f t="array" ref="O31">Fuel_Equations.VEERG_8_2_1_1__1_FuelCombustionStationary($L31,$G31,I31)</f>
        <v>0</v>
      </c>
      <c r="P31" s="192" cm="1">
        <f t="array" ref="P31">Fuel_Equations.VEERG_8_2_1_1__1_FuelCombustionStationary($L31,$G31,J31)</f>
        <v>0</v>
      </c>
      <c r="Q31" s="192" cm="1">
        <f t="array" ref="Q31">Fuel_Equations.VEERG_8_2_1_1__1_FuelCombustionStationary($L31,$G31,IF(ISNUMBER(K31), K31, 0))</f>
        <v>0</v>
      </c>
    </row>
    <row r="32" spans="1:17" ht="20.100000000000001" customHeight="1" x14ac:dyDescent="0.25">
      <c r="A32" s="16" t="str">
        <f>HYPERLINK("#'Constants - Swine'!A1", "Constants - Swine")</f>
        <v>Constants - Swine</v>
      </c>
      <c r="D32" s="60" t="str">
        <f>Table_FuelTypesPerUse[[#Headers],[Power standalone machinery or heating]]</f>
        <v>Power standalone machinery or heating</v>
      </c>
      <c r="E32" s="61" t="str">
        <f>'Constants - Fuel'!$D$58</f>
        <v>Automotive gasoline / petrol (other than for use as fuel in an aircraft)</v>
      </c>
      <c r="F32" s="61" t="str">
        <f>'Constants - Fuel'!E131</f>
        <v>Petrol</v>
      </c>
      <c r="G32" s="182">
        <f>IFERROR(_xlfn.XLOOKUP($E32, Table_Fuel_EFs_StationaryLiquid[Fuel combusted], Table_Fuel_EFs_StationaryLiquid[Energy Content Factor (GJ per unit of fuel)]),0)</f>
        <v>34.200000000000003</v>
      </c>
      <c r="H32" s="182">
        <f>IFERROR(_xlfn.XLOOKUP($E32, Table_Fuel_EFs_StationaryLiquid[Fuel combusted], Table_Fuel_EFs_StationaryLiquid[Scope 1 Emission Factor (kg CO2 - e / GJ) CO2]),0)</f>
        <v>67.400000000000006</v>
      </c>
      <c r="I32" s="182">
        <f>IFERROR(_xlfn.XLOOKUP($E32, Table_Fuel_EFs_StationaryLiquid[Fuel combusted], Table_Fuel_EFs_StationaryLiquid[Scope 1 Emission Factor (kg CO2 - e / GJ) CH4]),0)</f>
        <v>0.2</v>
      </c>
      <c r="J32" s="182">
        <f>IFERROR(_xlfn.XLOOKUP($E32, Table_Fuel_EFs_StationaryLiquid[Fuel combusted], Table_Fuel_EFs_StationaryLiquid[Scope 1 Emission Factor (kg CO2 - e / GJ) N2O]),0)</f>
        <v>0.2</v>
      </c>
      <c r="K32" s="182">
        <f>IFERROR(_xlfn.XLOOKUP($E32, Table_Fuel_EFs_StationaryLiquid[Fuel combusted], Table_Fuel_EFs_StationaryLiquid[Scope 3 Emission Factor (kg CO2 - e / GJ)]),0)</f>
        <v>17.2</v>
      </c>
      <c r="L32" s="178" cm="1">
        <f t="array" ref="L32">Fuel_InputFunctions.Fuel_TotalConsumption(Table_Input_Fuel[Amount consumed], Table_Input_Fuel[Fuel use (select)], D32, Table_Input_Fuel[Fuel type (select)],F32)</f>
        <v>0</v>
      </c>
      <c r="M32" s="179" t="str" cm="1">
        <f t="array" ref="M32">Common_InputFunctions.Utility_LookupValueInTable(F32,Table_FuelTypes_Units[Fuel type],Table_FuelTypes_Units[Unit])</f>
        <v>kL</v>
      </c>
      <c r="N32" s="193" cm="1">
        <f t="array" ref="N32">Fuel_Equations.VEERG_8_2_1_1__1_FuelCombustionStationary($L32,$G32,H32)</f>
        <v>0</v>
      </c>
      <c r="O32" s="193" cm="1">
        <f t="array" ref="O32">Fuel_Equations.VEERG_8_2_1_1__1_FuelCombustionStationary($L32,$G32,I32)</f>
        <v>0</v>
      </c>
      <c r="P32" s="193" cm="1">
        <f t="array" ref="P32">Fuel_Equations.VEERG_8_2_1_1__1_FuelCombustionStationary($L32,$G32,J32)</f>
        <v>0</v>
      </c>
      <c r="Q32" s="193" cm="1">
        <f t="array" ref="Q32">Fuel_Equations.VEERG_8_2_1_1__1_FuelCombustionStationary($L32,$G32,IF(ISNUMBER(K32), K32, 0))</f>
        <v>0</v>
      </c>
    </row>
    <row r="33" spans="1:17" ht="20.100000000000001" customHeight="1" x14ac:dyDescent="0.25">
      <c r="A33" s="16" t="str">
        <f>HYPERLINK("#'Constants - Dairy'!A1", "Constants - Dairy")</f>
        <v>Constants - Dairy</v>
      </c>
      <c r="D33" s="59" t="str">
        <f t="shared" ref="D33:D40" si="1">$D$32</f>
        <v>Power standalone machinery or heating</v>
      </c>
      <c r="E33" s="58" t="str">
        <f>'Constants - Fuel'!$D$63</f>
        <v>Diesel oil</v>
      </c>
      <c r="F33" s="58" t="str">
        <f>'Constants - Fuel'!E132</f>
        <v>Diesel</v>
      </c>
      <c r="G33" s="49">
        <f>IFERROR(_xlfn.XLOOKUP($E33, Table_Fuel_EFs_StationaryLiquid[Fuel combusted], Table_Fuel_EFs_StationaryLiquid[Energy Content Factor (GJ per unit of fuel)]),0)</f>
        <v>38.6</v>
      </c>
      <c r="H33" s="49">
        <f>IFERROR(_xlfn.XLOOKUP($E33, Table_Fuel_EFs_StationaryLiquid[Fuel combusted], Table_Fuel_EFs_StationaryLiquid[Scope 1 Emission Factor (kg CO2 - e / GJ) CO2]),0)</f>
        <v>69.900000000000006</v>
      </c>
      <c r="I33" s="49">
        <f>IFERROR(_xlfn.XLOOKUP($E33, Table_Fuel_EFs_StationaryLiquid[Fuel combusted], Table_Fuel_EFs_StationaryLiquid[Scope 1 Emission Factor (kg CO2 - e / GJ) CH4]),0)</f>
        <v>0.1</v>
      </c>
      <c r="J33" s="49">
        <f>IFERROR(_xlfn.XLOOKUP($E33, Table_Fuel_EFs_StationaryLiquid[Fuel combusted], Table_Fuel_EFs_StationaryLiquid[Scope 1 Emission Factor (kg CO2 - e / GJ) N2O]),0)</f>
        <v>0.2</v>
      </c>
      <c r="K33" s="49">
        <f>IFERROR(_xlfn.XLOOKUP($E33, Table_Fuel_EFs_StationaryLiquid[Fuel combusted], Table_Fuel_EFs_StationaryLiquid[Scope 3 Emission Factor (kg CO2 - e / GJ)]),0)</f>
        <v>17.3</v>
      </c>
      <c r="L33" s="49" cm="1">
        <f t="array" ref="L33">Fuel_InputFunctions.Fuel_TotalConsumption(Table_Input_Fuel[Amount consumed], Table_Input_Fuel[Fuel use (select)], D33, Table_Input_Fuel[Fuel type (select)],F33)</f>
        <v>0</v>
      </c>
      <c r="M33" s="49" t="str" cm="1">
        <f t="array" ref="M33">Common_InputFunctions.Utility_LookupValueInTable(F33,Table_FuelTypes_Units[Fuel type],Table_FuelTypes_Units[Unit])</f>
        <v>kL</v>
      </c>
      <c r="N33" s="191" cm="1">
        <f t="array" ref="N33">Fuel_Equations.VEERG_8_2_1_1__1_FuelCombustionStationary($L33,$G33,H33)</f>
        <v>0</v>
      </c>
      <c r="O33" s="191" cm="1">
        <f t="array" ref="O33">Fuel_Equations.VEERG_8_2_1_1__1_FuelCombustionStationary($L33,$G33,I33)</f>
        <v>0</v>
      </c>
      <c r="P33" s="191" cm="1">
        <f t="array" ref="P33">Fuel_Equations.VEERG_8_2_1_1__1_FuelCombustionStationary($L33,$G33,J33)</f>
        <v>0</v>
      </c>
      <c r="Q33" s="191" cm="1">
        <f t="array" ref="Q33">Fuel_Equations.VEERG_8_2_1_1__1_FuelCombustionStationary($L33,$G33,IF(ISNUMBER(K33), K33, 0))</f>
        <v>0</v>
      </c>
    </row>
    <row r="34" spans="1:17" ht="20.100000000000001" customHeight="1" x14ac:dyDescent="0.25">
      <c r="A34" s="16" t="str">
        <f>HYPERLINK("#'Constants - Pasture Beef'!A1", "Constants - Pasture Beef")</f>
        <v>Constants - Pasture Beef</v>
      </c>
      <c r="D34" s="59" t="str">
        <f t="shared" si="1"/>
        <v>Power standalone machinery or heating</v>
      </c>
      <c r="E34" s="58" t="str">
        <f>'Constants - Fuel'!$D$67</f>
        <v>Liquefied petroleum gas (LPG)</v>
      </c>
      <c r="F34" s="58" t="str">
        <f>'Constants - Fuel'!E133</f>
        <v>Liquefied petroleum gas (LPG)</v>
      </c>
      <c r="G34" s="49">
        <f>IFERROR(_xlfn.XLOOKUP($E34, Table_Fuel_EFs_StationaryLiquid[Fuel combusted], Table_Fuel_EFs_StationaryLiquid[Energy Content Factor (GJ per unit of fuel)]),0)</f>
        <v>25.7</v>
      </c>
      <c r="H34" s="49">
        <f>IFERROR(_xlfn.XLOOKUP($E34, Table_Fuel_EFs_StationaryLiquid[Fuel combusted], Table_Fuel_EFs_StationaryLiquid[Scope 1 Emission Factor (kg CO2 - e / GJ) CO2]),0)</f>
        <v>60.2</v>
      </c>
      <c r="I34" s="49">
        <f>IFERROR(_xlfn.XLOOKUP($E34, Table_Fuel_EFs_StationaryLiquid[Fuel combusted], Table_Fuel_EFs_StationaryLiquid[Scope 1 Emission Factor (kg CO2 - e / GJ) CH4]),0)</f>
        <v>0.2</v>
      </c>
      <c r="J34" s="49">
        <f>IFERROR(_xlfn.XLOOKUP($E34, Table_Fuel_EFs_StationaryLiquid[Fuel combusted], Table_Fuel_EFs_StationaryLiquid[Scope 1 Emission Factor (kg CO2 - e / GJ) N2O]),0)</f>
        <v>0.2</v>
      </c>
      <c r="K34" s="49">
        <f>IFERROR(_xlfn.XLOOKUP($E34, Table_Fuel_EFs_StationaryLiquid[Fuel combusted], Table_Fuel_EFs_StationaryLiquid[Scope 3 Emission Factor (kg CO2 - e / GJ)]),0)</f>
        <v>20.2</v>
      </c>
      <c r="L34" s="49" cm="1">
        <f t="array" ref="L34">Fuel_InputFunctions.Fuel_TotalConsumption(Table_Input_Fuel[Amount consumed], Table_Input_Fuel[Fuel use (select)], D34, Table_Input_Fuel[Fuel type (select)],F34)</f>
        <v>0</v>
      </c>
      <c r="M34" s="49" t="str" cm="1">
        <f t="array" ref="M34">Common_InputFunctions.Utility_LookupValueInTable(F34,Table_FuelTypes_Units[Fuel type],Table_FuelTypes_Units[Unit])</f>
        <v>kL</v>
      </c>
      <c r="N34" s="191" cm="1">
        <f t="array" ref="N34">Fuel_Equations.VEERG_8_2_1_1__1_FuelCombustionStationary($L34,$G34,H34)</f>
        <v>0</v>
      </c>
      <c r="O34" s="191" cm="1">
        <f t="array" ref="O34">Fuel_Equations.VEERG_8_2_1_1__1_FuelCombustionStationary($L34,$G34,I34)</f>
        <v>0</v>
      </c>
      <c r="P34" s="191" cm="1">
        <f t="array" ref="P34">Fuel_Equations.VEERG_8_2_1_1__1_FuelCombustionStationary($L34,$G34,J34)</f>
        <v>0</v>
      </c>
      <c r="Q34" s="191" cm="1">
        <f t="array" ref="Q34">Fuel_Equations.VEERG_8_2_1_1__1_FuelCombustionStationary($L34,$G34,IF(ISNUMBER(K34), K34, 0))</f>
        <v>0</v>
      </c>
    </row>
    <row r="35" spans="1:17" ht="20.100000000000001" customHeight="1" x14ac:dyDescent="0.25">
      <c r="A35" s="16" t="str">
        <f>HYPERLINK("#'Constants - Common Livestock'!A1", "Constants - Common Livestock")</f>
        <v>Constants - Common Livestock</v>
      </c>
      <c r="D35" s="59" t="str">
        <f t="shared" si="1"/>
        <v>Power standalone machinery or heating</v>
      </c>
      <c r="E35" s="58" t="str">
        <f>'Constants - Fuel'!$D$73</f>
        <v>Biodiesel</v>
      </c>
      <c r="F35" s="58" t="str">
        <f>'Constants - Fuel'!E134</f>
        <v>Biodiesel</v>
      </c>
      <c r="G35" s="49">
        <f>IFERROR(_xlfn.XLOOKUP($E35, Table_Fuel_EFs_StationaryLiquid[Fuel combusted], Table_Fuel_EFs_StationaryLiquid[Energy Content Factor (GJ per unit of fuel)]),0)</f>
        <v>34.6</v>
      </c>
      <c r="H35" s="49">
        <f>IFERROR(_xlfn.XLOOKUP($E35, Table_Fuel_EFs_StationaryLiquid[Fuel combusted], Table_Fuel_EFs_StationaryLiquid[Scope 1 Emission Factor (kg CO2 - e / GJ) CO2]),0)</f>
        <v>0</v>
      </c>
      <c r="I35" s="49">
        <f>IFERROR(_xlfn.XLOOKUP($E35, Table_Fuel_EFs_StationaryLiquid[Fuel combusted], Table_Fuel_EFs_StationaryLiquid[Scope 1 Emission Factor (kg CO2 - e / GJ) CH4]),0)</f>
        <v>0.08</v>
      </c>
      <c r="J35" s="49">
        <f>IFERROR(_xlfn.XLOOKUP($E35, Table_Fuel_EFs_StationaryLiquid[Fuel combusted], Table_Fuel_EFs_StationaryLiquid[Scope 1 Emission Factor (kg CO2 - e / GJ) N2O]),0)</f>
        <v>0.2</v>
      </c>
      <c r="K35" s="49" t="str">
        <f>IFERROR(_xlfn.XLOOKUP($E35, Table_Fuel_EFs_StationaryLiquid[Fuel combusted], Table_Fuel_EFs_StationaryLiquid[Scope 3 Emission Factor (kg CO2 - e / GJ)]),0)</f>
        <v>NE</v>
      </c>
      <c r="L35" s="49" cm="1">
        <f t="array" ref="L35">Fuel_InputFunctions.Fuel_TotalConsumption(Table_Input_Fuel[Amount consumed], Table_Input_Fuel[Fuel use (select)], D35, Table_Input_Fuel[Fuel type (select)],F35)</f>
        <v>0</v>
      </c>
      <c r="M35" s="49" t="str" cm="1">
        <f t="array" ref="M35">Common_InputFunctions.Utility_LookupValueInTable(F35,Table_FuelTypes_Units[Fuel type],Table_FuelTypes_Units[Unit])</f>
        <v>kL</v>
      </c>
      <c r="N35" s="191" cm="1">
        <f t="array" ref="N35">Fuel_Equations.VEERG_8_2_1_1__1_FuelCombustionStationary($L35,$G35,H35)</f>
        <v>0</v>
      </c>
      <c r="O35" s="191" cm="1">
        <f t="array" ref="O35">Fuel_Equations.VEERG_8_2_1_1__1_FuelCombustionStationary($L35,$G35,I35)</f>
        <v>0</v>
      </c>
      <c r="P35" s="191" cm="1">
        <f t="array" ref="P35">Fuel_Equations.VEERG_8_2_1_1__1_FuelCombustionStationary($L35,$G35,J35)</f>
        <v>0</v>
      </c>
      <c r="Q35" s="191" cm="1">
        <f t="array" ref="Q35">Fuel_Equations.VEERG_8_2_1_1__1_FuelCombustionStationary($L35,$G35,IF(ISNUMBER(K35), K35, 0))</f>
        <v>0</v>
      </c>
    </row>
    <row r="36" spans="1:17" ht="20.100000000000001" customHeight="1" x14ac:dyDescent="0.25">
      <c r="A36" s="16" t="str">
        <f>HYPERLINK("#'Constants - Fertiliser'!A1", "Constants - Fertiliser")</f>
        <v>Constants - Fertiliser</v>
      </c>
      <c r="D36" s="59" t="str">
        <f t="shared" si="1"/>
        <v>Power standalone machinery or heating</v>
      </c>
      <c r="E36" s="58" t="str">
        <f>'Constants - Fuel'!$D$74</f>
        <v>Ethanol for use as a fuel in an internal combustion engine</v>
      </c>
      <c r="F36" s="58" t="str">
        <f>'Constants - Fuel'!E135</f>
        <v>Ethanol</v>
      </c>
      <c r="G36" s="49">
        <f>IFERROR(_xlfn.XLOOKUP($E36, Table_Fuel_EFs_StationaryLiquid[Fuel combusted], Table_Fuel_EFs_StationaryLiquid[Energy Content Factor (GJ per unit of fuel)]),0)</f>
        <v>23.4</v>
      </c>
      <c r="H36" s="49">
        <f>IFERROR(_xlfn.XLOOKUP($E36, Table_Fuel_EFs_StationaryLiquid[Fuel combusted], Table_Fuel_EFs_StationaryLiquid[Scope 1 Emission Factor (kg CO2 - e / GJ) CO2]),0)</f>
        <v>0</v>
      </c>
      <c r="I36" s="49">
        <f>IFERROR(_xlfn.XLOOKUP($E36, Table_Fuel_EFs_StationaryLiquid[Fuel combusted], Table_Fuel_EFs_StationaryLiquid[Scope 1 Emission Factor (kg CO2 - e / GJ) CH4]),0)</f>
        <v>0.08</v>
      </c>
      <c r="J36" s="49">
        <f>IFERROR(_xlfn.XLOOKUP($E36, Table_Fuel_EFs_StationaryLiquid[Fuel combusted], Table_Fuel_EFs_StationaryLiquid[Scope 1 Emission Factor (kg CO2 - e / GJ) N2O]),0)</f>
        <v>0.2</v>
      </c>
      <c r="K36" s="49" t="str">
        <f>IFERROR(_xlfn.XLOOKUP($E36, Table_Fuel_EFs_StationaryLiquid[Fuel combusted], Table_Fuel_EFs_StationaryLiquid[Scope 3 Emission Factor (kg CO2 - e / GJ)]),0)</f>
        <v>NE</v>
      </c>
      <c r="L36" s="49" cm="1">
        <f t="array" ref="L36">Fuel_InputFunctions.Fuel_TotalConsumption(Table_Input_Fuel[Amount consumed], Table_Input_Fuel[Fuel use (select)], D36, Table_Input_Fuel[Fuel type (select)],F36)</f>
        <v>0</v>
      </c>
      <c r="M36" s="49" t="str" cm="1">
        <f t="array" ref="M36">Common_InputFunctions.Utility_LookupValueInTable(F36,Table_FuelTypes_Units[Fuel type],Table_FuelTypes_Units[Unit])</f>
        <v>kL</v>
      </c>
      <c r="N36" s="191" cm="1">
        <f t="array" ref="N36">Fuel_Equations.VEERG_8_2_1_1__1_FuelCombustionStationary($L36,$G36,H36)</f>
        <v>0</v>
      </c>
      <c r="O36" s="191" cm="1">
        <f t="array" ref="O36">Fuel_Equations.VEERG_8_2_1_1__1_FuelCombustionStationary($L36,$G36,I36)</f>
        <v>0</v>
      </c>
      <c r="P36" s="191" cm="1">
        <f t="array" ref="P36">Fuel_Equations.VEERG_8_2_1_1__1_FuelCombustionStationary($L36,$G36,J36)</f>
        <v>0</v>
      </c>
      <c r="Q36" s="191" cm="1">
        <f t="array" ref="Q36">Fuel_Equations.VEERG_8_2_1_1__1_FuelCombustionStationary($L36,$G36,IF(ISNUMBER(K36), K36, 0))</f>
        <v>0</v>
      </c>
    </row>
    <row r="37" spans="1:17" ht="20.100000000000001" customHeight="1" x14ac:dyDescent="0.25">
      <c r="A37" s="16" t="str">
        <f>HYPERLINK("#'Constants - Electricity'!A1", "Constants - Electricity")</f>
        <v>Constants - Electricity</v>
      </c>
      <c r="D37" s="59" t="str">
        <f t="shared" si="1"/>
        <v>Power standalone machinery or heating</v>
      </c>
      <c r="E37" s="58" t="str">
        <f>'Constants - Fuel'!$D$75</f>
        <v>Biofuels other than those mentioned in the items above and below</v>
      </c>
      <c r="F37" s="58" t="str">
        <f>'Constants - Fuel'!E136</f>
        <v>Other biofuels</v>
      </c>
      <c r="G37" s="49">
        <f>IFERROR(_xlfn.XLOOKUP($E37, Table_Fuel_EFs_StationaryLiquid[Fuel combusted], Table_Fuel_EFs_StationaryLiquid[Energy Content Factor (GJ per unit of fuel)]),0)</f>
        <v>23.4</v>
      </c>
      <c r="H37" s="49">
        <f>IFERROR(_xlfn.XLOOKUP($E37, Table_Fuel_EFs_StationaryLiquid[Fuel combusted], Table_Fuel_EFs_StationaryLiquid[Scope 1 Emission Factor (kg CO2 - e / GJ) CO2]),0)</f>
        <v>0</v>
      </c>
      <c r="I37" s="49">
        <f>IFERROR(_xlfn.XLOOKUP($E37, Table_Fuel_EFs_StationaryLiquid[Fuel combusted], Table_Fuel_EFs_StationaryLiquid[Scope 1 Emission Factor (kg CO2 - e / GJ) CH4]),0)</f>
        <v>0.08</v>
      </c>
      <c r="J37" s="49">
        <f>IFERROR(_xlfn.XLOOKUP($E37, Table_Fuel_EFs_StationaryLiquid[Fuel combusted], Table_Fuel_EFs_StationaryLiquid[Scope 1 Emission Factor (kg CO2 - e / GJ) N2O]),0)</f>
        <v>0.2</v>
      </c>
      <c r="K37" s="49" t="str">
        <f>IFERROR(_xlfn.XLOOKUP($E37, Table_Fuel_EFs_StationaryLiquid[Fuel combusted], Table_Fuel_EFs_StationaryLiquid[Scope 3 Emission Factor (kg CO2 - e / GJ)]),0)</f>
        <v>NE</v>
      </c>
      <c r="L37" s="49" cm="1">
        <f t="array" ref="L37">Fuel_InputFunctions.Fuel_TotalConsumption(Table_Input_Fuel[Amount consumed], Table_Input_Fuel[Fuel use (select)], D37, Table_Input_Fuel[Fuel type (select)],F37)</f>
        <v>0</v>
      </c>
      <c r="M37" s="49" t="str" cm="1">
        <f t="array" ref="M37">Common_InputFunctions.Utility_LookupValueInTable(F37,Table_FuelTypes_Units[Fuel type],Table_FuelTypes_Units[Unit])</f>
        <v>kL</v>
      </c>
      <c r="N37" s="191" cm="1">
        <f t="array" ref="N37">Fuel_Equations.VEERG_8_2_1_1__1_FuelCombustionStationary($L37,$G37,H37)</f>
        <v>0</v>
      </c>
      <c r="O37" s="191" cm="1">
        <f t="array" ref="O37">Fuel_Equations.VEERG_8_2_1_1__1_FuelCombustionStationary($L37,$G37,I37)</f>
        <v>0</v>
      </c>
      <c r="P37" s="191" cm="1">
        <f t="array" ref="P37">Fuel_Equations.VEERG_8_2_1_1__1_FuelCombustionStationary($L37,$G37,J37)</f>
        <v>0</v>
      </c>
      <c r="Q37" s="191" cm="1">
        <f t="array" ref="Q37">Fuel_Equations.VEERG_8_2_1_1__1_FuelCombustionStationary($L37,$G37,IF(ISNUMBER(K37), K37, 0))</f>
        <v>0</v>
      </c>
    </row>
    <row r="38" spans="1:17" ht="20.100000000000001" customHeight="1" x14ac:dyDescent="0.25">
      <c r="A38" s="16" t="str">
        <f>HYPERLINK("#'Constants - Common'!A1", "Constants - Common")</f>
        <v>Constants - Common</v>
      </c>
      <c r="D38" s="59" t="str">
        <f t="shared" si="1"/>
        <v>Power standalone machinery or heating</v>
      </c>
      <c r="E38" s="58" t="str">
        <f>'Constants - Fuel'!$D$77</f>
        <v>Renewable diesel</v>
      </c>
      <c r="F38" s="58" t="str">
        <f>'Constants - Fuel'!E137</f>
        <v>Renewable diesel</v>
      </c>
      <c r="G38" s="49">
        <f>IFERROR(_xlfn.XLOOKUP($E38, Table_Fuel_EFs_StationaryLiquid[Fuel combusted], Table_Fuel_EFs_StationaryLiquid[Energy Content Factor (GJ per unit of fuel)]),0)</f>
        <v>38.6</v>
      </c>
      <c r="H38" s="49">
        <f>IFERROR(_xlfn.XLOOKUP($E38, Table_Fuel_EFs_StationaryLiquid[Fuel combusted], Table_Fuel_EFs_StationaryLiquid[Scope 1 Emission Factor (kg CO2 - e / GJ) CO2]),0)</f>
        <v>0</v>
      </c>
      <c r="I38" s="49">
        <f>IFERROR(_xlfn.XLOOKUP($E38, Table_Fuel_EFs_StationaryLiquid[Fuel combusted], Table_Fuel_EFs_StationaryLiquid[Scope 1 Emission Factor (kg CO2 - e / GJ) CH4]),0)</f>
        <v>0.1</v>
      </c>
      <c r="J38" s="49">
        <f>IFERROR(_xlfn.XLOOKUP($E38, Table_Fuel_EFs_StationaryLiquid[Fuel combusted], Table_Fuel_EFs_StationaryLiquid[Scope 1 Emission Factor (kg CO2 - e / GJ) N2O]),0)</f>
        <v>0.2</v>
      </c>
      <c r="K38" s="49" t="str">
        <f>IFERROR(_xlfn.XLOOKUP($E38, Table_Fuel_EFs_StationaryLiquid[Fuel combusted], Table_Fuel_EFs_StationaryLiquid[Scope 3 Emission Factor (kg CO2 - e / GJ)]),0)</f>
        <v>NE</v>
      </c>
      <c r="L38" s="49" cm="1">
        <f t="array" ref="L38">Fuel_InputFunctions.Fuel_TotalConsumption(Table_Input_Fuel[Amount consumed], Table_Input_Fuel[Fuel use (select)], D38, Table_Input_Fuel[Fuel type (select)],F38)</f>
        <v>0</v>
      </c>
      <c r="M38" s="49" t="str" cm="1">
        <f t="array" ref="M38">Common_InputFunctions.Utility_LookupValueInTable(F38,Table_FuelTypes_Units[Fuel type],Table_FuelTypes_Units[Unit])</f>
        <v>kL</v>
      </c>
      <c r="N38" s="191" cm="1">
        <f t="array" ref="N38">Fuel_Equations.VEERG_8_2_1_1__1_FuelCombustionStationary($L38,$G38,H38)</f>
        <v>0</v>
      </c>
      <c r="O38" s="191" cm="1">
        <f t="array" ref="O38">Fuel_Equations.VEERG_8_2_1_1__1_FuelCombustionStationary($L38,$G38,I38)</f>
        <v>0</v>
      </c>
      <c r="P38" s="191" cm="1">
        <f t="array" ref="P38">Fuel_Equations.VEERG_8_2_1_1__1_FuelCombustionStationary($L38,$G38,J38)</f>
        <v>0</v>
      </c>
      <c r="Q38" s="191" cm="1">
        <f t="array" ref="Q38">Fuel_Equations.VEERG_8_2_1_1__1_FuelCombustionStationary($L38,$G38,IF(ISNUMBER(K38), K38, 0))</f>
        <v>0</v>
      </c>
    </row>
    <row r="39" spans="1:17" ht="20.100000000000001" customHeight="1" x14ac:dyDescent="0.25">
      <c r="A39"/>
      <c r="D39" s="59" t="str">
        <f t="shared" si="1"/>
        <v>Power standalone machinery or heating</v>
      </c>
      <c r="E39" s="58" t="str">
        <f>'Constants - Fuel'!$D$103</f>
        <v>Natural gas distributed in a pipeline - Gigajoules</v>
      </c>
      <c r="F39" s="58" t="str">
        <f>'Constants - Fuel'!E138</f>
        <v>Natural gas (via pipeline) in GJ</v>
      </c>
      <c r="G39" s="49">
        <f>IFERROR(_xlfn.XLOOKUP($E39, Table_Fuel_EFs_StationaryGaseous[Fuel combusted], Table_Fuel_EFs_StationaryGaseous[Energy Content Factor (GJ per unit of fuel)]),0)</f>
        <v>1</v>
      </c>
      <c r="H39" s="49">
        <f>IFERROR(_xlfn.XLOOKUP($E39, Table_Fuel_EFs_StationaryGaseous[Fuel combusted], Table_Fuel_EFs_StationaryGaseous[Scope 1 Emission Factor (kg CO2 - e / GJ) CO2]),0)</f>
        <v>51.4</v>
      </c>
      <c r="I39" s="49">
        <f>IFERROR(_xlfn.XLOOKUP($E39, Table_Fuel_EFs_StationaryGaseous[Fuel combusted], Table_Fuel_EFs_StationaryGaseous[Scope 1 Emission Factor (kg CO2 - e / GJ) CH4]),0)</f>
        <v>0.1</v>
      </c>
      <c r="J39" s="49">
        <f>IFERROR(_xlfn.XLOOKUP($E39, Table_Fuel_EFs_StationaryGaseous[Fuel combusted], Table_Fuel_EFs_StationaryGaseous[Scope 1 Emission Factor (kg CO2 - e / GJ) N2O]),0)</f>
        <v>0.03</v>
      </c>
      <c r="K39" s="49" cm="1">
        <f t="array" ref="K39">IFERROR(Common_InputFunctions.Utility_LookupValueInTableOneColumnAndHeader($P$17,$P$18,Table_Fuel_EFs_StationaryGaseous34[State or territory],Table_Fuel_EFs_StationaryGaseous34[#Headers],Table_Fuel_EFs_StationaryGaseous34[]),0)</f>
        <v>13.1</v>
      </c>
      <c r="L39" s="172" cm="1">
        <f t="array" ref="L39">Fuel_InputFunctions.Fuel_TotalConsumption(Table_Input_Fuel[Amount consumed], Table_Input_Fuel[Fuel use (select)], D39, Table_Input_Fuel[Fuel type (select)],F39)</f>
        <v>0</v>
      </c>
      <c r="M39" s="172" t="str" cm="1">
        <f t="array" ref="M39">Common_InputFunctions.Utility_LookupValueInTable(F39,Table_FuelTypes_Units[Fuel type],Table_FuelTypes_Units[Unit])</f>
        <v>GJ</v>
      </c>
      <c r="N39" s="191" cm="1">
        <f t="array" ref="N39">Fuel_Equations.VEERG_8_2_1_1__1_FuelCombustionStationary($L39,$G39,H39)</f>
        <v>0</v>
      </c>
      <c r="O39" s="191" cm="1">
        <f t="array" ref="O39">Fuel_Equations.VEERG_8_2_1_1__1_FuelCombustionStationary($L39,$G39,I39)</f>
        <v>0</v>
      </c>
      <c r="P39" s="191" cm="1">
        <f t="array" ref="P39">Fuel_Equations.VEERG_8_2_1_1__1_FuelCombustionStationary($L39,$G39,J39)</f>
        <v>0</v>
      </c>
      <c r="Q39" s="191" cm="1">
        <f t="array" ref="Q39">Fuel_Equations.VEERG_8_2_1_1__1_FuelCombustionStationary($L39,$G39,IF(ISNUMBER(K39), K39, 0))</f>
        <v>0</v>
      </c>
    </row>
    <row r="40" spans="1:17" ht="20.100000000000001" customHeight="1" x14ac:dyDescent="0.25">
      <c r="A40"/>
      <c r="D40" s="59" t="str">
        <f t="shared" si="1"/>
        <v>Power standalone machinery or heating</v>
      </c>
      <c r="E40" s="58" t="str">
        <f>'Constants - Fuel'!$D$104</f>
        <v>Town gas - Gigajoules</v>
      </c>
      <c r="F40" s="58" t="str">
        <f>'Constants - Fuel'!E139</f>
        <v>Town gas in GJ</v>
      </c>
      <c r="G40" s="49">
        <f>IFERROR(_xlfn.XLOOKUP($E40, Table_Fuel_EFs_StationaryGaseous[Fuel combusted], Table_Fuel_EFs_StationaryGaseous[Energy Content Factor (GJ per unit of fuel)]),0)</f>
        <v>1</v>
      </c>
      <c r="H40" s="49">
        <f>IFERROR(_xlfn.XLOOKUP($E40, Table_Fuel_EFs_StationaryGaseous[Fuel combusted], Table_Fuel_EFs_StationaryGaseous[Scope 1 Emission Factor (kg CO2 - e / GJ) CO2]),0)</f>
        <v>60.2</v>
      </c>
      <c r="I40" s="49">
        <f>IFERROR(_xlfn.XLOOKUP($E40, Table_Fuel_EFs_StationaryGaseous[Fuel combusted], Table_Fuel_EFs_StationaryGaseous[Scope 1 Emission Factor (kg CO2 - e / GJ) CH4]),0)</f>
        <v>0.04</v>
      </c>
      <c r="J40" s="49">
        <f>IFERROR(_xlfn.XLOOKUP($E40, Table_Fuel_EFs_StationaryGaseous[Fuel combusted], Table_Fuel_EFs_StationaryGaseous[Scope 1 Emission Factor (kg CO2 - e / GJ) N2O]),0)</f>
        <v>0.03</v>
      </c>
      <c r="K40" s="49" cm="1">
        <f t="array" ref="K40">IFERROR(Common_InputFunctions.Utility_LookupValueInTableOneColumnAndHeader($P$17,$P$18,Table_Fuel_EFs_StationaryGaseous34[State or territory],Table_Fuel_EFs_StationaryGaseous34[#Headers],Table_Fuel_EFs_StationaryGaseous34[]),0)</f>
        <v>13.1</v>
      </c>
      <c r="L40" s="172" cm="1">
        <f t="array" ref="L40">Fuel_InputFunctions.Fuel_TotalConsumption(Table_Input_Fuel[Amount consumed], Table_Input_Fuel[Fuel use (select)], D40, Table_Input_Fuel[Fuel type (select)],F40)</f>
        <v>0.2</v>
      </c>
      <c r="M40" s="172" t="str" cm="1">
        <f t="array" ref="M40">Common_InputFunctions.Utility_LookupValueInTable(F40,Table_FuelTypes_Units[Fuel type],Table_FuelTypes_Units[Unit])</f>
        <v>GJ</v>
      </c>
      <c r="N40" s="191" cm="1">
        <f t="array" ref="N40">Fuel_Equations.VEERG_8_2_1_1__1_FuelCombustionStationary($L40,$G40,H40)</f>
        <v>1.204E-2</v>
      </c>
      <c r="O40" s="191" cm="1">
        <f t="array" ref="O40">Fuel_Equations.VEERG_8_2_1_1__1_FuelCombustionStationary($L40,$G40,I40)</f>
        <v>7.9999999999999996E-6</v>
      </c>
      <c r="P40" s="191" cm="1">
        <f t="array" ref="P40">Fuel_Equations.VEERG_8_2_1_1__1_FuelCombustionStationary($L40,$G40,J40)</f>
        <v>6.0000000000000002E-6</v>
      </c>
      <c r="Q40" s="191" cm="1">
        <f t="array" ref="Q40">Fuel_Equations.VEERG_8_2_1_1__1_FuelCombustionStationary($L40,$G40,IF(ISNUMBER(K40), K40, 0))</f>
        <v>2.6200000000000004E-3</v>
      </c>
    </row>
    <row r="41" spans="1:17" ht="20.100000000000001" customHeight="1" x14ac:dyDescent="0.25">
      <c r="A41"/>
    </row>
    <row r="42" spans="1:17" ht="20.100000000000001" customHeight="1" x14ac:dyDescent="0.25">
      <c r="A42"/>
      <c r="D42" s="184" t="str">
        <f>"Total scope 1 - " &amp; D25</f>
        <v>Total scope 1 - Generators</v>
      </c>
      <c r="E42" s="185"/>
      <c r="F42" s="186"/>
    </row>
    <row r="43" spans="1:17" ht="20.100000000000001" customHeight="1" x14ac:dyDescent="0.25">
      <c r="A43"/>
      <c r="D43" s="7" t="s">
        <v>717</v>
      </c>
      <c r="E43" s="187">
        <f>SUM(N25:N31)</f>
        <v>0</v>
      </c>
      <c r="F43" s="63" t="str">
        <f>$E$12</f>
        <v>t CO2-e</v>
      </c>
    </row>
    <row r="44" spans="1:17" ht="20.100000000000001" customHeight="1" x14ac:dyDescent="0.25">
      <c r="A44"/>
      <c r="D44" s="7" t="s">
        <v>718</v>
      </c>
      <c r="E44" s="187">
        <f>SUM(O25:O31)</f>
        <v>0</v>
      </c>
      <c r="F44" s="63" t="str">
        <f t="shared" ref="F44:F46" si="2">$E$12</f>
        <v>t CO2-e</v>
      </c>
    </row>
    <row r="45" spans="1:17" ht="20.100000000000001" customHeight="1" x14ac:dyDescent="0.25">
      <c r="A45"/>
      <c r="D45" s="7" t="s">
        <v>719</v>
      </c>
      <c r="E45" s="187">
        <f>SUM(P25:P31)</f>
        <v>0</v>
      </c>
      <c r="F45" s="63" t="str">
        <f t="shared" si="2"/>
        <v>t CO2-e</v>
      </c>
    </row>
    <row r="46" spans="1:17" ht="20.100000000000001" customHeight="1" x14ac:dyDescent="0.25">
      <c r="A46"/>
      <c r="D46" s="7" t="s">
        <v>720</v>
      </c>
      <c r="E46" s="187">
        <f>SUM(Q25:Q31)</f>
        <v>0</v>
      </c>
      <c r="F46" s="63" t="str">
        <f t="shared" si="2"/>
        <v>t CO2-e</v>
      </c>
    </row>
    <row r="47" spans="1:17" ht="20.100000000000001" customHeight="1" x14ac:dyDescent="0.25">
      <c r="A47"/>
      <c r="H47" s="17"/>
      <c r="I47" s="17"/>
      <c r="J47" s="17"/>
      <c r="L47" s="17"/>
      <c r="N47" s="17"/>
      <c r="O47" s="17"/>
      <c r="P47" s="17"/>
      <c r="Q47" s="17"/>
    </row>
    <row r="48" spans="1:17" ht="20.100000000000001" customHeight="1" x14ac:dyDescent="0.25">
      <c r="A48"/>
      <c r="D48" s="184" t="str">
        <f>"Total scope 1 - " &amp; D32</f>
        <v>Total scope 1 - Power standalone machinery or heating</v>
      </c>
      <c r="E48" s="188"/>
      <c r="F48" s="186"/>
      <c r="H48" s="17"/>
      <c r="I48" s="17"/>
      <c r="J48" s="17"/>
      <c r="L48" s="17"/>
      <c r="N48" s="17"/>
      <c r="O48" s="17"/>
      <c r="P48" s="17"/>
      <c r="Q48" s="17"/>
    </row>
    <row r="49" spans="1:17" ht="20.100000000000001" customHeight="1" x14ac:dyDescent="0.25">
      <c r="A49"/>
      <c r="D49" s="7" t="s">
        <v>717</v>
      </c>
      <c r="E49" s="187">
        <f>SUM(N32:N40)</f>
        <v>1.204E-2</v>
      </c>
      <c r="F49" s="63" t="str">
        <f t="shared" ref="F49:F52" si="3">$E$12</f>
        <v>t CO2-e</v>
      </c>
      <c r="H49" s="17"/>
      <c r="I49" s="17"/>
      <c r="J49" s="17"/>
      <c r="L49" s="17"/>
      <c r="N49" s="17"/>
      <c r="O49" s="17"/>
      <c r="P49" s="17"/>
      <c r="Q49" s="17"/>
    </row>
    <row r="50" spans="1:17" ht="20.100000000000001" customHeight="1" x14ac:dyDescent="0.25">
      <c r="A50"/>
      <c r="D50" s="7" t="s">
        <v>718</v>
      </c>
      <c r="E50" s="187">
        <f>SUM(O32:O40)</f>
        <v>7.9999999999999996E-6</v>
      </c>
      <c r="F50" s="63" t="str">
        <f t="shared" si="3"/>
        <v>t CO2-e</v>
      </c>
      <c r="H50" s="17"/>
      <c r="I50" s="17"/>
      <c r="J50" s="17"/>
      <c r="L50" s="17"/>
      <c r="N50" s="17"/>
      <c r="O50" s="17"/>
      <c r="P50" s="17"/>
      <c r="Q50" s="17"/>
    </row>
    <row r="51" spans="1:17" ht="20.100000000000001" customHeight="1" x14ac:dyDescent="0.25">
      <c r="A51"/>
      <c r="D51" s="7" t="s">
        <v>719</v>
      </c>
      <c r="E51" s="187">
        <f>SUM(P32:P40)</f>
        <v>6.0000000000000002E-6</v>
      </c>
      <c r="F51" s="63" t="str">
        <f t="shared" si="3"/>
        <v>t CO2-e</v>
      </c>
      <c r="H51" s="17"/>
      <c r="I51" s="17"/>
      <c r="J51" s="17"/>
      <c r="L51" s="17"/>
      <c r="N51" s="17"/>
      <c r="O51" s="17"/>
      <c r="P51" s="17"/>
      <c r="Q51" s="17"/>
    </row>
    <row r="52" spans="1:17" ht="20.100000000000001" customHeight="1" x14ac:dyDescent="0.25">
      <c r="A52"/>
      <c r="D52" s="7" t="s">
        <v>720</v>
      </c>
      <c r="E52" s="187">
        <f>SUM(Q32:Q40)</f>
        <v>2.6200000000000004E-3</v>
      </c>
      <c r="F52" s="63" t="str">
        <f t="shared" si="3"/>
        <v>t CO2-e</v>
      </c>
      <c r="G52" s="17"/>
      <c r="H52" s="17"/>
      <c r="I52" s="17"/>
      <c r="J52" s="17"/>
      <c r="L52" s="17"/>
      <c r="N52" s="17"/>
      <c r="O52" s="17"/>
      <c r="P52" s="17"/>
      <c r="Q52" s="17"/>
    </row>
    <row r="53" spans="1:17" ht="20.100000000000001" customHeight="1" x14ac:dyDescent="0.25">
      <c r="A53"/>
      <c r="G53" s="17"/>
      <c r="H53" s="17"/>
      <c r="I53" s="17"/>
      <c r="J53" s="17"/>
      <c r="L53" s="17"/>
      <c r="N53" s="17"/>
      <c r="O53" s="17"/>
      <c r="P53" s="17"/>
      <c r="Q53" s="17"/>
    </row>
    <row r="54" spans="1:17" ht="20.100000000000001" customHeight="1" x14ac:dyDescent="0.25">
      <c r="A54"/>
      <c r="D54" s="184" t="s">
        <v>731</v>
      </c>
      <c r="E54" s="188"/>
      <c r="F54" s="186"/>
      <c r="G54" s="17"/>
      <c r="H54" s="17"/>
      <c r="I54" s="17"/>
      <c r="J54" s="17"/>
      <c r="L54" s="17"/>
      <c r="N54" s="17"/>
      <c r="O54" s="17"/>
      <c r="P54" s="17"/>
      <c r="Q54" s="17"/>
    </row>
    <row r="55" spans="1:17" ht="20.100000000000001" customHeight="1" x14ac:dyDescent="0.25">
      <c r="A55"/>
      <c r="D55" s="7" t="s">
        <v>717</v>
      </c>
      <c r="E55" s="187">
        <f>E43+E49</f>
        <v>1.204E-2</v>
      </c>
      <c r="F55" s="63" t="str">
        <f t="shared" ref="F55:F58" si="4">$E$12</f>
        <v>t CO2-e</v>
      </c>
      <c r="G55" s="17"/>
      <c r="H55" s="17"/>
      <c r="I55" s="17"/>
      <c r="J55" s="17"/>
      <c r="L55" s="17"/>
      <c r="N55" s="17"/>
      <c r="O55" s="17"/>
      <c r="P55" s="17"/>
      <c r="Q55" s="17"/>
    </row>
    <row r="56" spans="1:17" ht="20.100000000000001" customHeight="1" x14ac:dyDescent="0.25">
      <c r="A56"/>
      <c r="D56" s="7" t="s">
        <v>718</v>
      </c>
      <c r="E56" s="187">
        <f>E44+E50</f>
        <v>7.9999999999999996E-6</v>
      </c>
      <c r="F56" s="63" t="str">
        <f t="shared" si="4"/>
        <v>t CO2-e</v>
      </c>
    </row>
    <row r="57" spans="1:17" ht="20.100000000000001" customHeight="1" x14ac:dyDescent="0.25">
      <c r="A57"/>
      <c r="D57" s="7" t="s">
        <v>719</v>
      </c>
      <c r="E57" s="187">
        <f>E45+E51</f>
        <v>6.0000000000000002E-6</v>
      </c>
      <c r="F57" s="63" t="str">
        <f t="shared" si="4"/>
        <v>t CO2-e</v>
      </c>
      <c r="G57" s="17"/>
      <c r="H57" s="17"/>
      <c r="I57" s="17"/>
      <c r="J57" s="17"/>
      <c r="L57" s="17"/>
      <c r="N57" s="17"/>
      <c r="O57" s="17"/>
      <c r="P57" s="17"/>
      <c r="Q57" s="17"/>
    </row>
    <row r="58" spans="1:17" ht="20.100000000000001" customHeight="1" x14ac:dyDescent="0.25">
      <c r="A58"/>
      <c r="D58" s="7" t="s">
        <v>720</v>
      </c>
      <c r="E58" s="187">
        <f>E46+E52</f>
        <v>2.6200000000000004E-3</v>
      </c>
      <c r="F58" s="63" t="str">
        <f t="shared" si="4"/>
        <v>t CO2-e</v>
      </c>
      <c r="G58" s="17"/>
      <c r="H58" s="17"/>
      <c r="I58" s="17"/>
      <c r="J58" s="17"/>
      <c r="L58" s="17"/>
      <c r="N58" s="17"/>
      <c r="O58" s="17"/>
      <c r="P58" s="17"/>
      <c r="Q58" s="17"/>
    </row>
    <row r="59" spans="1:17" ht="20.100000000000001" customHeight="1" x14ac:dyDescent="0.25">
      <c r="A59"/>
      <c r="G59" s="17"/>
      <c r="H59" s="17"/>
      <c r="I59" s="17"/>
      <c r="J59" s="17"/>
      <c r="L59" s="17"/>
      <c r="N59" s="17"/>
      <c r="O59" s="17"/>
      <c r="P59" s="17"/>
      <c r="Q59" s="17"/>
    </row>
    <row r="60" spans="1:17" ht="20.100000000000001" customHeight="1" x14ac:dyDescent="0.25">
      <c r="A60"/>
      <c r="G60" s="17"/>
      <c r="H60" s="17"/>
      <c r="I60" s="17"/>
      <c r="J60" s="17"/>
      <c r="L60" s="17"/>
      <c r="N60" s="17"/>
      <c r="O60" s="17"/>
      <c r="P60" s="17"/>
      <c r="Q60" s="17"/>
    </row>
    <row r="61" spans="1:17" ht="20.100000000000001" customHeight="1" x14ac:dyDescent="0.25">
      <c r="A61"/>
      <c r="G61" s="17"/>
      <c r="H61" s="17"/>
      <c r="I61" s="17"/>
      <c r="J61" s="17"/>
      <c r="L61" s="17"/>
      <c r="N61" s="17"/>
      <c r="O61" s="17"/>
      <c r="P61" s="17"/>
      <c r="Q61" s="17"/>
    </row>
    <row r="62" spans="1:17" ht="20.100000000000001" customHeight="1" x14ac:dyDescent="0.25">
      <c r="A62"/>
      <c r="G62" s="17"/>
      <c r="H62" s="17"/>
      <c r="I62" s="17"/>
      <c r="J62" s="17"/>
      <c r="L62" s="17"/>
      <c r="N62" s="17"/>
      <c r="O62" s="17"/>
      <c r="P62" s="17"/>
      <c r="Q62" s="17"/>
    </row>
    <row r="63" spans="1:17" ht="20.100000000000001" customHeight="1" x14ac:dyDescent="0.25">
      <c r="A63"/>
      <c r="G63" s="17"/>
      <c r="H63" s="17"/>
      <c r="I63" s="17"/>
      <c r="J63" s="17"/>
      <c r="L63" s="17"/>
      <c r="N63" s="17"/>
      <c r="O63" s="17"/>
      <c r="P63" s="17"/>
      <c r="Q63" s="17"/>
    </row>
    <row r="64" spans="1:17" ht="20.100000000000001" customHeight="1" x14ac:dyDescent="0.25">
      <c r="A64"/>
      <c r="G64" s="17"/>
      <c r="H64" s="17"/>
      <c r="I64" s="17"/>
      <c r="J64" s="17"/>
      <c r="L64" s="17"/>
      <c r="N64" s="17"/>
      <c r="O64" s="17"/>
      <c r="P64" s="17"/>
      <c r="Q64" s="17"/>
    </row>
    <row r="65" spans="1:17" ht="20.100000000000001" customHeight="1" x14ac:dyDescent="0.25">
      <c r="A65"/>
      <c r="G65" s="17"/>
      <c r="H65" s="17"/>
      <c r="I65" s="17"/>
      <c r="J65" s="17"/>
      <c r="L65" s="17"/>
      <c r="N65" s="17"/>
      <c r="O65" s="17"/>
      <c r="P65" s="17"/>
      <c r="Q65" s="17"/>
    </row>
    <row r="66" spans="1:17" ht="20.100000000000001" customHeight="1" x14ac:dyDescent="0.25">
      <c r="A66"/>
      <c r="G66" s="17"/>
      <c r="H66" s="17"/>
      <c r="I66" s="17"/>
      <c r="J66" s="17"/>
      <c r="L66" s="17"/>
      <c r="N66" s="17"/>
      <c r="O66" s="17"/>
      <c r="P66" s="17"/>
      <c r="Q66" s="17"/>
    </row>
    <row r="67" spans="1:17" ht="20.100000000000001" customHeight="1" x14ac:dyDescent="0.25">
      <c r="A67"/>
      <c r="G67" s="17"/>
    </row>
    <row r="68" spans="1:17" ht="20.100000000000001" customHeight="1" x14ac:dyDescent="0.25">
      <c r="A68"/>
      <c r="G68" s="17"/>
    </row>
    <row r="69" spans="1:17" ht="20.100000000000001" customHeight="1" x14ac:dyDescent="0.25">
      <c r="A69"/>
      <c r="G69" s="17"/>
    </row>
    <row r="70" spans="1:17" ht="20.100000000000001" customHeight="1" x14ac:dyDescent="0.25">
      <c r="A70"/>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A1:R247"/>
  <sheetViews>
    <sheetView showGridLines="0" topLeftCell="A216" zoomScaleNormal="100" workbookViewId="0">
      <selection activeCell="E243" sqref="E243:E247"/>
    </sheetView>
  </sheetViews>
  <sheetFormatPr defaultRowHeight="20.100000000000001" customHeight="1" x14ac:dyDescent="0.2"/>
  <cols>
    <col min="1" max="1" width="30.5703125" customWidth="1"/>
    <col min="2" max="2" width="4.5703125" customWidth="1"/>
    <col min="3" max="3" width="4.5703125" style="8" customWidth="1"/>
    <col min="4" max="17" width="30.5703125" style="8" customWidth="1"/>
  </cols>
  <sheetData>
    <row r="1" spans="1:17" ht="30" customHeight="1" x14ac:dyDescent="0.35">
      <c r="A1" s="37" t="e" vm="1">
        <v>#VALUE!</v>
      </c>
      <c r="C1"/>
      <c r="D1"/>
      <c r="E1"/>
      <c r="F1"/>
      <c r="G1"/>
      <c r="H1"/>
      <c r="I1"/>
      <c r="J1"/>
      <c r="K1"/>
      <c r="L1"/>
      <c r="M1"/>
      <c r="N1"/>
      <c r="O1"/>
      <c r="P1"/>
      <c r="Q1"/>
    </row>
    <row r="2" spans="1:17" ht="20.100000000000001" customHeight="1" x14ac:dyDescent="0.2">
      <c r="C2"/>
      <c r="D2"/>
      <c r="E2"/>
      <c r="F2"/>
      <c r="G2"/>
      <c r="H2"/>
      <c r="I2"/>
      <c r="J2"/>
      <c r="K2"/>
      <c r="L2"/>
      <c r="M2"/>
      <c r="N2"/>
      <c r="O2"/>
      <c r="P2"/>
      <c r="Q2"/>
    </row>
    <row r="3" spans="1:17" ht="20.100000000000001" customHeight="1" x14ac:dyDescent="0.2">
      <c r="A3" s="16" t="str">
        <f>HYPERLINK("#'Overview'!A1", "Overview")</f>
        <v>Overview</v>
      </c>
    </row>
    <row r="4" spans="1:17" ht="20.100000000000001" customHeight="1" x14ac:dyDescent="0.2">
      <c r="A4" s="16" t="str">
        <f>HYPERLINK("#'Results'!A1", "Results")</f>
        <v>Results</v>
      </c>
    </row>
    <row r="7" spans="1:17" ht="20.100000000000001" customHeight="1" x14ac:dyDescent="0.2">
      <c r="A7" s="19" t="s">
        <v>67</v>
      </c>
    </row>
    <row r="8" spans="1:17" ht="20.100000000000001" customHeight="1" x14ac:dyDescent="0.2">
      <c r="A8" s="16" t="str">
        <f>HYPERLINK("#'Input - Site'!A1", "Site")</f>
        <v>Site</v>
      </c>
    </row>
    <row r="9" spans="1:17" ht="20.100000000000001" customHeight="1" x14ac:dyDescent="0.2">
      <c r="A9" s="16" t="str">
        <f>HYPERLINK("#'Input - Fuel'!A1", "Fuel")</f>
        <v>Fuel</v>
      </c>
    </row>
    <row r="10" spans="1:17" ht="20.100000000000001" customHeight="1" x14ac:dyDescent="0.2">
      <c r="A10" s="16" t="str">
        <f>HYPERLINK("#'Input - Fertiliser'!A1", "Fertiliser")</f>
        <v>Fertiliser</v>
      </c>
    </row>
    <row r="11" spans="1:17" ht="20.100000000000001" customHeight="1" x14ac:dyDescent="0.2">
      <c r="A11" s="16" t="str">
        <f>HYPERLINK("#'Input - Farm Inputs'!A1", "Farm Inputs")</f>
        <v>Farm Inputs</v>
      </c>
    </row>
    <row r="12" spans="1:17" ht="20.100000000000001" customHeight="1" x14ac:dyDescent="0.2">
      <c r="A12" s="16" t="str">
        <f>HYPERLINK("#'Input - Livestock purchases'!A1", "Livestock purchases")</f>
        <v>Livestock purchases</v>
      </c>
    </row>
    <row r="13" spans="1:17" ht="20.100000000000001" customHeight="1" x14ac:dyDescent="0.2">
      <c r="A13" s="16" t="str">
        <f>HYPERLINK("#'Input - Freight'!A1", "Freight")</f>
        <v>Freight</v>
      </c>
    </row>
    <row r="14" spans="1:17" ht="20.100000000000001" customHeight="1" x14ac:dyDescent="0.2">
      <c r="A14" s="16" t="str">
        <f>HYPERLINK("#'Input - Solid waste'!A1", "Solid waste")</f>
        <v>Solid waste</v>
      </c>
    </row>
    <row r="15" spans="1:17" ht="20.100000000000001" customHeight="1" x14ac:dyDescent="0.2">
      <c r="A15" s="16" t="str">
        <f>HYPERLINK("#'Input - Manure sent off-site'!A1", "Manure sent off-site")</f>
        <v>Manure sent off-site</v>
      </c>
    </row>
    <row r="16" spans="1:17" ht="20.100000000000001" customHeight="1" x14ac:dyDescent="0.2">
      <c r="A16" s="16" t="str">
        <f>HYPERLINK("#'Input - Electricity'!A1", "Electricity")</f>
        <v>Electricity</v>
      </c>
    </row>
    <row r="19" spans="1:12" ht="20.100000000000001" customHeight="1" x14ac:dyDescent="0.2">
      <c r="A19" s="21" t="s">
        <v>77</v>
      </c>
    </row>
    <row r="20" spans="1:12" ht="20.100000000000001" customHeight="1" x14ac:dyDescent="0.2">
      <c r="A20" s="16" t="str">
        <f>HYPERLINK("#'15 Scope 3'!A1", "15 Scope 3")</f>
        <v>15 Scope 3</v>
      </c>
    </row>
    <row r="21" spans="1:12" ht="20.100000000000001" customHeight="1" x14ac:dyDescent="0.2">
      <c r="A21" s="16" t="str">
        <f>HYPERLINK("#'10.1.1-2 Solid waste treatment'!A1", "10.1.1-2 Solid waste treatment")</f>
        <v>10.1.1-2 Solid waste treatment</v>
      </c>
    </row>
    <row r="22" spans="1:12" ht="20.100000000000001" customHeight="1" x14ac:dyDescent="0.2">
      <c r="A22" s="16" t="str">
        <f>HYPERLINK("#'Calcs - Manure sent off-site'!A1", "Calcs - Manure sent off-site")</f>
        <v>Calcs - Manure sent off-site</v>
      </c>
    </row>
    <row r="23" spans="1:12" ht="20.100000000000001" customHeight="1" x14ac:dyDescent="0.2">
      <c r="A23" s="16" t="str">
        <f>HYPERLINK("#'8.1.1.1-2 Transport fuel'!A1", "8.1.1.1-2 Transport fuel")</f>
        <v>8.1.1.1-2 Transport fuel</v>
      </c>
    </row>
    <row r="24" spans="1:12" ht="20.100000000000001" customHeight="1" x14ac:dyDescent="0.2">
      <c r="A24" s="16" t="str">
        <f>HYPERLINK("#'8.2.1.1-2 Stationary fuel'!A1", "8.2.1.1-2 Stationary fuel")</f>
        <v>8.2.1.1-2 Stationary fuel</v>
      </c>
    </row>
    <row r="27" spans="1:12" ht="20.100000000000001" customHeight="1" x14ac:dyDescent="0.2">
      <c r="A27" s="213" t="s">
        <v>78</v>
      </c>
    </row>
    <row r="28" spans="1:12" ht="20.100000000000001" customHeight="1" x14ac:dyDescent="0.2">
      <c r="A28" s="23" t="str">
        <f>HYPERLINK("#'Constants - Scope 3'!A1", "Constants - Scope 3")</f>
        <v>Constants - Scope 3</v>
      </c>
    </row>
    <row r="29" spans="1:12" ht="20.100000000000001" customHeight="1" x14ac:dyDescent="0.2">
      <c r="A29" s="16" t="str">
        <f>HYPERLINK("#'Constants - Solid Waste'!A1", "Constants - Solid Waste")</f>
        <v>Constants - Solid Waste</v>
      </c>
    </row>
    <row r="30" spans="1:12" ht="20.100000000000001" customHeight="1" x14ac:dyDescent="0.2">
      <c r="A30" s="16" t="str">
        <f>HYPERLINK("#'Constants - Fuel'!A1", "Constants - Fuel")</f>
        <v>Constants - Fuel</v>
      </c>
    </row>
    <row r="31" spans="1:12" ht="20.100000000000001" customHeight="1" x14ac:dyDescent="0.2">
      <c r="A31" s="16" t="str">
        <f>HYPERLINK("#'Constants - Poultry'!A1", "Constants - Poultry")</f>
        <v>Constants - Poultry</v>
      </c>
    </row>
    <row r="32" spans="1:12" ht="20.100000000000001" customHeight="1" x14ac:dyDescent="0.2">
      <c r="A32" s="16" t="str">
        <f>HYPERLINK("#'Constants - Swine'!A1", "Constants - Swine")</f>
        <v>Constants - Swine</v>
      </c>
      <c r="D32" s="9" t="s">
        <v>355</v>
      </c>
      <c r="L32" s="8" t="s">
        <v>425</v>
      </c>
    </row>
    <row r="33" spans="1:13" ht="20.100000000000001" customHeight="1" x14ac:dyDescent="0.2">
      <c r="A33" s="16" t="str">
        <f>HYPERLINK("#'Constants - Dairy'!A1", "Constants - Dairy")</f>
        <v>Constants - Dairy</v>
      </c>
      <c r="D33" s="10" t="s">
        <v>312</v>
      </c>
      <c r="E33" s="10" t="s">
        <v>212</v>
      </c>
      <c r="F33" s="10" t="s">
        <v>313</v>
      </c>
      <c r="G33" s="10" t="s">
        <v>279</v>
      </c>
      <c r="H33" s="10" t="s">
        <v>913</v>
      </c>
      <c r="I33" s="10" t="s">
        <v>356</v>
      </c>
      <c r="J33" s="10" t="s">
        <v>140</v>
      </c>
      <c r="L33" s="10" t="s">
        <v>380</v>
      </c>
      <c r="M33" s="10" t="s">
        <v>508</v>
      </c>
    </row>
    <row r="34" spans="1:13" ht="20.100000000000001" customHeight="1" x14ac:dyDescent="0.2">
      <c r="A34" s="16" t="str">
        <f>HYPERLINK("#'Constants - Pasture Beef'!A1", "Constants - Pasture Beef")</f>
        <v>Constants - Pasture Beef</v>
      </c>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J34" s="10" t="s">
        <v>912</v>
      </c>
      <c r="L34" s="10" t="s">
        <v>308</v>
      </c>
      <c r="M34" s="10" t="s">
        <v>331</v>
      </c>
    </row>
    <row r="35" spans="1:13" ht="20.100000000000001" customHeight="1" x14ac:dyDescent="0.2">
      <c r="A35" s="16" t="str">
        <f>HYPERLINK("#'Constants - Common Livestock'!A1", "Constants - Common Livestock")</f>
        <v>Constants - Common Livestock</v>
      </c>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J35" s="10" t="s">
        <v>912</v>
      </c>
      <c r="L35" s="10" t="s">
        <v>331</v>
      </c>
      <c r="M35" s="10" t="s">
        <v>331</v>
      </c>
    </row>
    <row r="36" spans="1:13" ht="20.100000000000001" customHeight="1" x14ac:dyDescent="0.2">
      <c r="A36" s="16" t="str">
        <f>HYPERLINK("#'Constants - Fertiliser'!A1", "Constants - Fertiliser")</f>
        <v>Constants - Fertiliser</v>
      </c>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J36" s="10" t="s">
        <v>912</v>
      </c>
      <c r="L36" s="10" t="s">
        <v>386</v>
      </c>
      <c r="M36" s="10" t="s">
        <v>386</v>
      </c>
    </row>
    <row r="37" spans="1:13" ht="20.100000000000001" customHeight="1" x14ac:dyDescent="0.2">
      <c r="A37" s="16" t="str">
        <f>HYPERLINK("#'Constants - Electricity'!A1", "Constants - Electricity")</f>
        <v>Constants - Electricity</v>
      </c>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J37" s="10" t="s">
        <v>912</v>
      </c>
      <c r="L37" s="10" t="s">
        <v>384</v>
      </c>
      <c r="M37" s="10" t="s">
        <v>384</v>
      </c>
    </row>
    <row r="38" spans="1:13" ht="20.100000000000001" customHeight="1" x14ac:dyDescent="0.2">
      <c r="A38" s="16" t="str">
        <f>HYPERLINK("#'Constants - Common'!A1", "Constants - Common")</f>
        <v>Constants - Common</v>
      </c>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J38" s="10" t="s">
        <v>912</v>
      </c>
      <c r="L38" s="10" t="s">
        <v>337</v>
      </c>
      <c r="M38" s="10" t="s">
        <v>337</v>
      </c>
    </row>
    <row r="39" spans="1:13" ht="20.100000000000001" customHeight="1" x14ac:dyDescent="0.2">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J39" s="10" t="s">
        <v>912</v>
      </c>
      <c r="L39" s="10" t="s">
        <v>429</v>
      </c>
      <c r="M39" s="10" t="s">
        <v>338</v>
      </c>
    </row>
    <row r="40" spans="1:13" ht="20.100000000000001" customHeight="1" x14ac:dyDescent="0.2">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J40" s="10" t="s">
        <v>912</v>
      </c>
      <c r="L40" s="10" t="s">
        <v>428</v>
      </c>
      <c r="M40" s="10" t="s">
        <v>338</v>
      </c>
    </row>
    <row r="41" spans="1:13" ht="20.100000000000001" customHeight="1" x14ac:dyDescent="0.2">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J41" s="10" t="s">
        <v>912</v>
      </c>
      <c r="L41" s="10" t="s">
        <v>430</v>
      </c>
      <c r="M41" s="10" t="s">
        <v>338</v>
      </c>
    </row>
    <row r="42" spans="1:13" ht="20.100000000000001" customHeight="1" x14ac:dyDescent="0.2">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J42" s="10" t="s">
        <v>912</v>
      </c>
      <c r="L42" s="10" t="s">
        <v>431</v>
      </c>
      <c r="M42" s="10" t="s">
        <v>427</v>
      </c>
    </row>
    <row r="43" spans="1:13" ht="20.100000000000001" customHeight="1" x14ac:dyDescent="0.2">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J43" s="10" t="s">
        <v>912</v>
      </c>
      <c r="L43" s="10" t="s">
        <v>432</v>
      </c>
      <c r="M43" s="10" t="s">
        <v>427</v>
      </c>
    </row>
    <row r="44" spans="1:13" ht="20.100000000000001" customHeight="1" x14ac:dyDescent="0.2">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J44" s="10" t="s">
        <v>912</v>
      </c>
      <c r="L44" s="10" t="s">
        <v>433</v>
      </c>
      <c r="M44" s="10" t="s">
        <v>427</v>
      </c>
    </row>
    <row r="45" spans="1:13" ht="20.100000000000001" customHeight="1" x14ac:dyDescent="0.2">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J45" s="10" t="s">
        <v>912</v>
      </c>
      <c r="L45" s="10" t="s">
        <v>434</v>
      </c>
      <c r="M45" s="10" t="s">
        <v>332</v>
      </c>
    </row>
    <row r="46" spans="1:13" ht="20.100000000000001" customHeight="1" x14ac:dyDescent="0.2">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J46" s="10" t="s">
        <v>912</v>
      </c>
      <c r="L46" s="10" t="s">
        <v>435</v>
      </c>
      <c r="M46" s="10" t="s">
        <v>332</v>
      </c>
    </row>
    <row r="47" spans="1:13" ht="20.100000000000001" customHeight="1" x14ac:dyDescent="0.2">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J47" s="10" t="s">
        <v>912</v>
      </c>
      <c r="L47" s="10" t="s">
        <v>436</v>
      </c>
      <c r="M47" s="10" t="s">
        <v>332</v>
      </c>
    </row>
    <row r="48" spans="1:13" ht="20.100000000000001" customHeight="1" x14ac:dyDescent="0.2">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J48" s="10" t="s">
        <v>912</v>
      </c>
      <c r="L48" s="10" t="s">
        <v>437</v>
      </c>
      <c r="M48" s="10" t="s">
        <v>332</v>
      </c>
    </row>
    <row r="49" spans="4:13" ht="20.100000000000001" customHeight="1" x14ac:dyDescent="0.2">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J49" s="10" t="s">
        <v>912</v>
      </c>
      <c r="L49" s="8" t="s">
        <v>330</v>
      </c>
      <c r="M49" s="8" t="s">
        <v>330</v>
      </c>
    </row>
    <row r="50" spans="4:13" ht="20.100000000000001" customHeight="1" x14ac:dyDescent="0.2">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c r="J50" s="10" t="s">
        <v>912</v>
      </c>
    </row>
    <row r="51" spans="4:13" ht="20.100000000000001" customHeight="1" x14ac:dyDescent="0.2">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c r="J51" s="10" t="s">
        <v>912</v>
      </c>
    </row>
    <row r="52" spans="4:13" ht="20.100000000000001" customHeight="1" x14ac:dyDescent="0.2">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c r="J52" s="10" t="s">
        <v>912</v>
      </c>
    </row>
    <row r="53" spans="4:13" ht="20.100000000000001" customHeight="1" x14ac:dyDescent="0.2">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c r="J53" s="10" t="s">
        <v>912</v>
      </c>
    </row>
    <row r="54" spans="4:13" ht="20.100000000000001" customHeight="1" x14ac:dyDescent="0.2">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c r="J54" s="10" t="s">
        <v>912</v>
      </c>
    </row>
    <row r="55" spans="4:13" ht="20.100000000000001" customHeight="1" x14ac:dyDescent="0.2">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c r="J55" s="10" t="s">
        <v>912</v>
      </c>
    </row>
    <row r="56" spans="4:13" ht="20.100000000000001" customHeight="1" x14ac:dyDescent="0.2">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c r="J56" s="10" t="s">
        <v>912</v>
      </c>
    </row>
    <row r="57" spans="4:13" ht="20.100000000000001" customHeight="1" x14ac:dyDescent="0.2">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c r="J57" s="10" t="s">
        <v>912</v>
      </c>
    </row>
    <row r="58" spans="4:13" ht="20.100000000000001" customHeight="1" x14ac:dyDescent="0.2">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c r="J58" s="10" t="s">
        <v>912</v>
      </c>
    </row>
    <row r="59" spans="4:13" ht="20.100000000000001" customHeight="1" x14ac:dyDescent="0.2">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c r="J59" s="10" t="s">
        <v>912</v>
      </c>
    </row>
    <row r="60" spans="4:13" ht="20.100000000000001" customHeight="1" x14ac:dyDescent="0.2">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c r="J60" s="10" t="s">
        <v>912</v>
      </c>
    </row>
    <row r="61" spans="4:13" ht="20.100000000000001" customHeight="1" x14ac:dyDescent="0.2">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c r="J61" s="10" t="s">
        <v>912</v>
      </c>
    </row>
    <row r="62" spans="4:13" ht="20.100000000000001" customHeight="1" x14ac:dyDescent="0.2">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c r="J62" s="10" t="s">
        <v>912</v>
      </c>
    </row>
    <row r="63" spans="4:13" ht="20.100000000000001" customHeight="1" x14ac:dyDescent="0.2">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c r="J63" s="10" t="s">
        <v>912</v>
      </c>
    </row>
    <row r="64" spans="4:13" ht="20.100000000000001" customHeight="1" x14ac:dyDescent="0.2">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c r="J64" s="10" t="s">
        <v>912</v>
      </c>
    </row>
    <row r="65" spans="4:10" ht="20.100000000000001" customHeight="1" x14ac:dyDescent="0.2">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c r="J65" s="10" t="s">
        <v>912</v>
      </c>
    </row>
    <row r="66" spans="4:10" ht="20.100000000000001" customHeight="1" x14ac:dyDescent="0.2">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c r="J66" s="10" t="s">
        <v>912</v>
      </c>
    </row>
    <row r="67" spans="4:10" ht="20.100000000000001" customHeight="1" x14ac:dyDescent="0.2">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c r="J67" s="10" t="s">
        <v>912</v>
      </c>
    </row>
    <row r="68" spans="4:10" ht="20.100000000000001" customHeight="1" x14ac:dyDescent="0.2">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c r="J68" s="10" t="s">
        <v>912</v>
      </c>
    </row>
    <row r="69" spans="4:10" ht="20.100000000000001" customHeight="1" x14ac:dyDescent="0.2">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c r="J69" s="10" t="s">
        <v>912</v>
      </c>
    </row>
    <row r="70" spans="4:10" ht="20.100000000000001" customHeight="1" x14ac:dyDescent="0.2">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c r="J70" s="10" t="s">
        <v>912</v>
      </c>
    </row>
    <row r="71" spans="4:10" ht="20.100000000000001" customHeight="1" x14ac:dyDescent="0.2">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c r="J71" s="10" t="s">
        <v>912</v>
      </c>
    </row>
    <row r="72" spans="4:10" ht="20.100000000000001" customHeight="1" x14ac:dyDescent="0.2">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c r="J72" s="10" t="s">
        <v>912</v>
      </c>
    </row>
    <row r="73" spans="4:10" ht="20.100000000000001" customHeight="1" x14ac:dyDescent="0.2">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c r="J73" s="10" t="s">
        <v>912</v>
      </c>
    </row>
    <row r="74" spans="4:10" ht="20.100000000000001" customHeight="1" x14ac:dyDescent="0.2">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c r="J74" s="10" t="s">
        <v>912</v>
      </c>
    </row>
    <row r="76" spans="4:10" ht="20.100000000000001" customHeight="1" x14ac:dyDescent="0.2">
      <c r="D76" s="9" t="s">
        <v>358</v>
      </c>
    </row>
    <row r="77" spans="4:10" ht="20.100000000000001" customHeight="1" x14ac:dyDescent="0.2">
      <c r="D77" s="10" t="s">
        <v>312</v>
      </c>
      <c r="E77" s="10" t="s">
        <v>212</v>
      </c>
      <c r="F77" s="10" t="s">
        <v>313</v>
      </c>
      <c r="G77" s="10" t="s">
        <v>279</v>
      </c>
      <c r="H77" s="10" t="s">
        <v>913</v>
      </c>
      <c r="I77" s="10" t="s">
        <v>356</v>
      </c>
      <c r="J77" s="10" t="s">
        <v>140</v>
      </c>
    </row>
    <row r="78" spans="4:10" ht="20.100000000000001" customHeight="1" x14ac:dyDescent="0.2">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c r="J78" s="10" t="s">
        <v>912</v>
      </c>
    </row>
    <row r="79" spans="4:10" ht="20.100000000000001" customHeight="1" x14ac:dyDescent="0.2">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c r="J79" s="10" t="s">
        <v>912</v>
      </c>
    </row>
    <row r="80" spans="4:10" ht="20.100000000000001" customHeight="1" x14ac:dyDescent="0.2">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c r="J80" s="10" t="s">
        <v>912</v>
      </c>
    </row>
    <row r="82" spans="4:17" ht="20.100000000000001" customHeight="1" x14ac:dyDescent="0.2">
      <c r="D82" s="10" t="s">
        <v>312</v>
      </c>
      <c r="E82" s="10" t="s">
        <v>212</v>
      </c>
      <c r="F82" s="10" t="s">
        <v>313</v>
      </c>
      <c r="G82" s="10" t="s">
        <v>279</v>
      </c>
      <c r="H82" s="10" t="s">
        <v>913</v>
      </c>
      <c r="I82" s="10" t="s">
        <v>356</v>
      </c>
      <c r="J82" s="10" t="s">
        <v>140</v>
      </c>
    </row>
    <row r="83" spans="4:17" ht="20.100000000000001" customHeight="1" x14ac:dyDescent="0.2">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c r="J83" s="10" t="s">
        <v>912</v>
      </c>
    </row>
    <row r="84" spans="4:17" ht="20.100000000000001" customHeight="1" x14ac:dyDescent="0.2">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c r="J84" s="10" t="s">
        <v>912</v>
      </c>
    </row>
    <row r="85" spans="4:17" ht="20.100000000000001" customHeight="1" x14ac:dyDescent="0.2">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c r="J85" s="10" t="s">
        <v>912</v>
      </c>
    </row>
    <row r="86" spans="4:17" ht="20.100000000000001" customHeight="1" x14ac:dyDescent="0.2">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c r="J86" s="10" t="s">
        <v>912</v>
      </c>
    </row>
    <row r="88" spans="4:17" ht="20.100000000000001" customHeight="1" x14ac:dyDescent="0.2">
      <c r="D88" s="9" t="s">
        <v>359</v>
      </c>
    </row>
    <row r="89" spans="4:17" ht="20.100000000000001" customHeight="1" x14ac:dyDescent="0.2">
      <c r="D89" s="10" t="s">
        <v>312</v>
      </c>
      <c r="E89" s="10" t="s">
        <v>212</v>
      </c>
      <c r="F89" s="10" t="s">
        <v>313</v>
      </c>
      <c r="G89" s="10" t="s">
        <v>279</v>
      </c>
      <c r="H89" s="10" t="s">
        <v>913</v>
      </c>
      <c r="I89" s="10" t="s">
        <v>356</v>
      </c>
      <c r="J89" s="10" t="s">
        <v>140</v>
      </c>
      <c r="O89" s="10" t="s">
        <v>212</v>
      </c>
      <c r="P89" s="10" t="s">
        <v>380</v>
      </c>
      <c r="Q89" s="8" t="str">
        <f>"Table_ProductRegions_" &amp; SUBSTITUTE(SUBSTITUTE(SUBSTITUTE(SUBSTITUTE(O90, " ", ""), ",", ""), "(", ""), ")", "")</f>
        <v>Table_ProductRegions_Barleygrain</v>
      </c>
    </row>
    <row r="90" spans="4:17" ht="20.100000000000001" customHeight="1" x14ac:dyDescent="0.2">
      <c r="D90" s="10" t="str" cm="1">
        <f t="array" ref="D90">Common_InputFunctions.Utility_DisplayArrayInTable(Scope3_SourceData.Scope3_Feed_Data(), Table_SourceData_Scope3_Feed[[#Headers],[Category]], -1, 2)</f>
        <v>Grain</v>
      </c>
      <c r="E90" s="10" t="str" cm="1">
        <f t="array" ref="E90">Common_InputFunctions.Utility_DisplayArrayInTable(Scope3_SourceData.Scope3_Feed_Data(), Table_SourceData_Scope3_Feed[[#Headers],[Category]], -1, 2)</f>
        <v>Barley grain</v>
      </c>
      <c r="F90" s="10" t="str" cm="1">
        <f t="array" ref="F90">Common_InputFunctions.Utility_DisplayArrayInTable(Scope3_SourceData.Scope3_Feed_Data(), Table_SourceData_Scope3_Feed[[#Headers],[Category]], -1, 2)</f>
        <v>Australia</v>
      </c>
      <c r="G90" s="10" t="str" cm="1">
        <f t="array" ref="G90">Common_InputFunctions.Utility_DisplayArrayInTable(Scope3_SourceData.Scope3_Feed_Data(), Table_SourceData_Scope3_Feed[[#Headers],[Category]], -1, 2)</f>
        <v>kg</v>
      </c>
      <c r="H90" s="10" cm="1">
        <f t="array" ref="H90">Common_InputFunctions.Utility_DisplayArrayInTable(Scope3_SourceData.Scope3_Feed_Data(), Table_SourceData_Scope3_Feed[[#Headers],[Category]], -1, 2)</f>
        <v>0.23899999999999999</v>
      </c>
      <c r="I90" s="10" t="str" cm="1">
        <f t="array" ref="I90">Common_InputFunctions.Utility_DisplayArrayInTable(Scope3_SourceData.Scope3_Feed_Data(), Table_SourceData_Scope3_Feed[[#Headers],[Category]], -1, 2)</f>
        <v>at market</v>
      </c>
      <c r="J90" s="10" t="s">
        <v>912</v>
      </c>
      <c r="O90" s="10" t="str">
        <f>Table_SourceData_Scope3_Feed[[#This Row],[Product]]</f>
        <v>Barley grain</v>
      </c>
      <c r="P90" s="10" t="str">
        <f>Table_SourceData_Scope3_Feed[[#This Row],[Region of origin]]</f>
        <v>Australia</v>
      </c>
    </row>
    <row r="91" spans="4:17" ht="20.100000000000001" customHeight="1" x14ac:dyDescent="0.2">
      <c r="D91" s="10" t="str" cm="1">
        <f t="array" ref="D91">Common_InputFunctions.Utility_DisplayArrayInTable(Scope3_SourceData.Scope3_Feed_Data(), Table_SourceData_Scope3_Feed[[#Headers],[Category]], -1, 2)</f>
        <v>Grain</v>
      </c>
      <c r="E91" s="10" t="str" cm="1">
        <f t="array" ref="E91">Common_InputFunctions.Utility_DisplayArrayInTable(Scope3_SourceData.Scope3_Feed_Data(), Table_SourceData_Scope3_Feed[[#Headers],[Category]], -1, 2)</f>
        <v>Barley grain</v>
      </c>
      <c r="F91" s="10" t="str" cm="1">
        <f t="array" ref="F91">Common_InputFunctions.Utility_DisplayArrayInTable(Scope3_SourceData.Scope3_Feed_Data(), Table_SourceData_Scope3_Feed[[#Headers],[Category]], -1, 2)</f>
        <v>NSW</v>
      </c>
      <c r="G91" s="10" t="str" cm="1">
        <f t="array" ref="G91">Common_InputFunctions.Utility_DisplayArrayInTable(Scope3_SourceData.Scope3_Feed_Data(), Table_SourceData_Scope3_Feed[[#Headers],[Category]], -1, 2)</f>
        <v>kg</v>
      </c>
      <c r="H91" s="10" cm="1">
        <f t="array" ref="H91">Common_InputFunctions.Utility_DisplayArrayInTable(Scope3_SourceData.Scope3_Feed_Data(), Table_SourceData_Scope3_Feed[[#Headers],[Category]], -1, 2)</f>
        <v>0.25600000000000001</v>
      </c>
      <c r="I91" s="10" t="str" cm="1">
        <f t="array" ref="I91">Common_InputFunctions.Utility_DisplayArrayInTable(Scope3_SourceData.Scope3_Feed_Data(), Table_SourceData_Scope3_Feed[[#Headers],[Category]], -1, 2)</f>
        <v>at market</v>
      </c>
      <c r="J91" s="10" t="s">
        <v>912</v>
      </c>
      <c r="O91" s="10" t="str">
        <f>Table_SourceData_Scope3_Feed[[#This Row],[Product]]</f>
        <v>Barley grain</v>
      </c>
      <c r="P91" s="10" t="str">
        <f>Table_SourceData_Scope3_Feed[[#This Row],[Region of origin]]</f>
        <v>NSW</v>
      </c>
    </row>
    <row r="92" spans="4:17" ht="20.100000000000001" customHeight="1" x14ac:dyDescent="0.2">
      <c r="D92" s="10" t="str" cm="1">
        <f t="array" ref="D92">Common_InputFunctions.Utility_DisplayArrayInTable(Scope3_SourceData.Scope3_Feed_Data(), Table_SourceData_Scope3_Feed[[#Headers],[Category]], -1, 2)</f>
        <v>Grain</v>
      </c>
      <c r="E92" s="10" t="str" cm="1">
        <f t="array" ref="E92">Common_InputFunctions.Utility_DisplayArrayInTable(Scope3_SourceData.Scope3_Feed_Data(), Table_SourceData_Scope3_Feed[[#Headers],[Category]], -1, 2)</f>
        <v>Barley grain</v>
      </c>
      <c r="F92" s="10" t="str" cm="1">
        <f t="array" ref="F92">Common_InputFunctions.Utility_DisplayArrayInTable(Scope3_SourceData.Scope3_Feed_Data(), Table_SourceData_Scope3_Feed[[#Headers],[Category]], -1, 2)</f>
        <v>NT</v>
      </c>
      <c r="G92" s="10" t="str" cm="1">
        <f t="array" ref="G92">Common_InputFunctions.Utility_DisplayArrayInTable(Scope3_SourceData.Scope3_Feed_Data(), Table_SourceData_Scope3_Feed[[#Headers],[Category]], -1, 2)</f>
        <v>kg</v>
      </c>
      <c r="H92" s="10" cm="1">
        <f t="array" ref="H92">Common_InputFunctions.Utility_DisplayArrayInTable(Scope3_SourceData.Scope3_Feed_Data(), Table_SourceData_Scope3_Feed[[#Headers],[Category]], -1, 2)</f>
        <v>0.33200000000000002</v>
      </c>
      <c r="I92" s="10" t="str" cm="1">
        <f t="array" ref="I92">Common_InputFunctions.Utility_DisplayArrayInTable(Scope3_SourceData.Scope3_Feed_Data(), Table_SourceData_Scope3_Feed[[#Headers],[Category]], -1, 2)</f>
        <v>at market</v>
      </c>
      <c r="J92" s="10" t="s">
        <v>912</v>
      </c>
      <c r="O92" s="10" t="str">
        <f>Table_SourceData_Scope3_Feed[[#This Row],[Product]]</f>
        <v>Barley grain</v>
      </c>
      <c r="P92" s="10" t="str">
        <f>Table_SourceData_Scope3_Feed[[#This Row],[Region of origin]]</f>
        <v>NT</v>
      </c>
    </row>
    <row r="93" spans="4:17" ht="20.100000000000001" customHeight="1" x14ac:dyDescent="0.2">
      <c r="D93" s="10" t="str" cm="1">
        <f t="array" ref="D93">Common_InputFunctions.Utility_DisplayArrayInTable(Scope3_SourceData.Scope3_Feed_Data(), Table_SourceData_Scope3_Feed[[#Headers],[Category]], -1, 2)</f>
        <v>Grain</v>
      </c>
      <c r="E93" s="10" t="str" cm="1">
        <f t="array" ref="E93">Common_InputFunctions.Utility_DisplayArrayInTable(Scope3_SourceData.Scope3_Feed_Data(), Table_SourceData_Scope3_Feed[[#Headers],[Category]], -1, 2)</f>
        <v>Barley grain</v>
      </c>
      <c r="F93" s="10" t="str" cm="1">
        <f t="array" ref="F93">Common_InputFunctions.Utility_DisplayArrayInTable(Scope3_SourceData.Scope3_Feed_Data(), Table_SourceData_Scope3_Feed[[#Headers],[Category]], -1, 2)</f>
        <v>QLD</v>
      </c>
      <c r="G93" s="10" t="str" cm="1">
        <f t="array" ref="G93">Common_InputFunctions.Utility_DisplayArrayInTable(Scope3_SourceData.Scope3_Feed_Data(), Table_SourceData_Scope3_Feed[[#Headers],[Category]], -1, 2)</f>
        <v>kg</v>
      </c>
      <c r="H93" s="10" cm="1">
        <f t="array" ref="H93">Common_InputFunctions.Utility_DisplayArrayInTable(Scope3_SourceData.Scope3_Feed_Data(), Table_SourceData_Scope3_Feed[[#Headers],[Category]], -1, 2)</f>
        <v>0.26900000000000002</v>
      </c>
      <c r="I93" s="10" t="str" cm="1">
        <f t="array" ref="I93">Common_InputFunctions.Utility_DisplayArrayInTable(Scope3_SourceData.Scope3_Feed_Data(), Table_SourceData_Scope3_Feed[[#Headers],[Category]], -1, 2)</f>
        <v>at market</v>
      </c>
      <c r="J93" s="10" t="s">
        <v>912</v>
      </c>
      <c r="O93" s="10" t="str">
        <f>Table_SourceData_Scope3_Feed[[#This Row],[Product]]</f>
        <v>Barley grain</v>
      </c>
      <c r="P93" s="10" t="str">
        <f>Table_SourceData_Scope3_Feed[[#This Row],[Region of origin]]</f>
        <v>QLD</v>
      </c>
    </row>
    <row r="94" spans="4:17" ht="20.100000000000001" customHeight="1" x14ac:dyDescent="0.2">
      <c r="D94" s="10" t="str" cm="1">
        <f t="array" ref="D94">Common_InputFunctions.Utility_DisplayArrayInTable(Scope3_SourceData.Scope3_Feed_Data(), Table_SourceData_Scope3_Feed[[#Headers],[Category]], -1, 2)</f>
        <v>Grain</v>
      </c>
      <c r="E94" s="10" t="str" cm="1">
        <f t="array" ref="E94">Common_InputFunctions.Utility_DisplayArrayInTable(Scope3_SourceData.Scope3_Feed_Data(), Table_SourceData_Scope3_Feed[[#Headers],[Category]], -1, 2)</f>
        <v>Barley grain</v>
      </c>
      <c r="F94" s="10" t="str" cm="1">
        <f t="array" ref="F94">Common_InputFunctions.Utility_DisplayArrayInTable(Scope3_SourceData.Scope3_Feed_Data(), Table_SourceData_Scope3_Feed[[#Headers],[Category]], -1, 2)</f>
        <v>SA</v>
      </c>
      <c r="G94" s="10" t="str" cm="1">
        <f t="array" ref="G94">Common_InputFunctions.Utility_DisplayArrayInTable(Scope3_SourceData.Scope3_Feed_Data(), Table_SourceData_Scope3_Feed[[#Headers],[Category]], -1, 2)</f>
        <v>kg</v>
      </c>
      <c r="H94" s="10" cm="1">
        <f t="array" ref="H94">Common_InputFunctions.Utility_DisplayArrayInTable(Scope3_SourceData.Scope3_Feed_Data(), Table_SourceData_Scope3_Feed[[#Headers],[Category]], -1, 2)</f>
        <v>0.223</v>
      </c>
      <c r="I94" s="10" t="str" cm="1">
        <f t="array" ref="I94">Common_InputFunctions.Utility_DisplayArrayInTable(Scope3_SourceData.Scope3_Feed_Data(), Table_SourceData_Scope3_Feed[[#Headers],[Category]], -1, 2)</f>
        <v>at market</v>
      </c>
      <c r="J94" s="10" t="s">
        <v>912</v>
      </c>
      <c r="O94" s="10" t="str">
        <f>Table_SourceData_Scope3_Feed[[#This Row],[Product]]</f>
        <v>Barley grain</v>
      </c>
      <c r="P94" s="10" t="str">
        <f>Table_SourceData_Scope3_Feed[[#This Row],[Region of origin]]</f>
        <v>SA</v>
      </c>
    </row>
    <row r="95" spans="4:17" ht="20.100000000000001" customHeight="1" x14ac:dyDescent="0.2">
      <c r="D95" s="10" t="str" cm="1">
        <f t="array" ref="D95">Common_InputFunctions.Utility_DisplayArrayInTable(Scope3_SourceData.Scope3_Feed_Data(), Table_SourceData_Scope3_Feed[[#Headers],[Category]], -1, 2)</f>
        <v>Grain</v>
      </c>
      <c r="E95" s="10" t="str" cm="1">
        <f t="array" ref="E95">Common_InputFunctions.Utility_DisplayArrayInTable(Scope3_SourceData.Scope3_Feed_Data(), Table_SourceData_Scope3_Feed[[#Headers],[Category]], -1, 2)</f>
        <v>Barley grain</v>
      </c>
      <c r="F95" s="10" t="str" cm="1">
        <f t="array" ref="F95">Common_InputFunctions.Utility_DisplayArrayInTable(Scope3_SourceData.Scope3_Feed_Data(), Table_SourceData_Scope3_Feed[[#Headers],[Category]], -1, 2)</f>
        <v>TAS</v>
      </c>
      <c r="G95" s="10" t="str" cm="1">
        <f t="array" ref="G95">Common_InputFunctions.Utility_DisplayArrayInTable(Scope3_SourceData.Scope3_Feed_Data(), Table_SourceData_Scope3_Feed[[#Headers],[Category]], -1, 2)</f>
        <v>kg</v>
      </c>
      <c r="H95" s="10" cm="1">
        <f t="array" ref="H95">Common_InputFunctions.Utility_DisplayArrayInTable(Scope3_SourceData.Scope3_Feed_Data(), Table_SourceData_Scope3_Feed[[#Headers],[Category]], -1, 2)</f>
        <v>0.307</v>
      </c>
      <c r="I95" s="10" t="str" cm="1">
        <f t="array" ref="I95">Common_InputFunctions.Utility_DisplayArrayInTable(Scope3_SourceData.Scope3_Feed_Data(), Table_SourceData_Scope3_Feed[[#Headers],[Category]], -1, 2)</f>
        <v>at market</v>
      </c>
      <c r="J95" s="10" t="s">
        <v>912</v>
      </c>
      <c r="O95" s="10" t="str">
        <f>Table_SourceData_Scope3_Feed[[#This Row],[Product]]</f>
        <v>Barley grain</v>
      </c>
      <c r="P95" s="10" t="str">
        <f>Table_SourceData_Scope3_Feed[[#This Row],[Region of origin]]</f>
        <v>TAS</v>
      </c>
    </row>
    <row r="96" spans="4:17" ht="20.100000000000001" customHeight="1" x14ac:dyDescent="0.2">
      <c r="D96" s="10" t="str" cm="1">
        <f t="array" ref="D96">Common_InputFunctions.Utility_DisplayArrayInTable(Scope3_SourceData.Scope3_Feed_Data(), Table_SourceData_Scope3_Feed[[#Headers],[Category]], -1, 2)</f>
        <v>Grain</v>
      </c>
      <c r="E96" s="10" t="str" cm="1">
        <f t="array" ref="E96">Common_InputFunctions.Utility_DisplayArrayInTable(Scope3_SourceData.Scope3_Feed_Data(), Table_SourceData_Scope3_Feed[[#Headers],[Category]], -1, 2)</f>
        <v>Barley grain</v>
      </c>
      <c r="F96" s="10" t="str" cm="1">
        <f t="array" ref="F96">Common_InputFunctions.Utility_DisplayArrayInTable(Scope3_SourceData.Scope3_Feed_Data(), Table_SourceData_Scope3_Feed[[#Headers],[Category]], -1, 2)</f>
        <v>VIC</v>
      </c>
      <c r="G96" s="10" t="str" cm="1">
        <f t="array" ref="G96">Common_InputFunctions.Utility_DisplayArrayInTable(Scope3_SourceData.Scope3_Feed_Data(), Table_SourceData_Scope3_Feed[[#Headers],[Category]], -1, 2)</f>
        <v>kg</v>
      </c>
      <c r="H96" s="10" cm="1">
        <f t="array" ref="H96">Common_InputFunctions.Utility_DisplayArrayInTable(Scope3_SourceData.Scope3_Feed_Data(), Table_SourceData_Scope3_Feed[[#Headers],[Category]], -1, 2)</f>
        <v>0.24099999999999999</v>
      </c>
      <c r="I96" s="10" t="str" cm="1">
        <f t="array" ref="I96">Common_InputFunctions.Utility_DisplayArrayInTable(Scope3_SourceData.Scope3_Feed_Data(), Table_SourceData_Scope3_Feed[[#Headers],[Category]], -1, 2)</f>
        <v>at market</v>
      </c>
      <c r="J96" s="10" t="s">
        <v>912</v>
      </c>
      <c r="O96" s="10" t="str">
        <f>Table_SourceData_Scope3_Feed[[#This Row],[Product]]</f>
        <v>Barley grain</v>
      </c>
      <c r="P96" s="10" t="str">
        <f>Table_SourceData_Scope3_Feed[[#This Row],[Region of origin]]</f>
        <v>VIC</v>
      </c>
    </row>
    <row r="97" spans="4:17" ht="20.100000000000001" customHeight="1" x14ac:dyDescent="0.2">
      <c r="D97" s="10" t="str" cm="1">
        <f t="array" ref="D97">Common_InputFunctions.Utility_DisplayArrayInTable(Scope3_SourceData.Scope3_Feed_Data(), Table_SourceData_Scope3_Feed[[#Headers],[Category]], -1, 2)</f>
        <v>Grain</v>
      </c>
      <c r="E97" s="10" t="str" cm="1">
        <f t="array" ref="E97">Common_InputFunctions.Utility_DisplayArrayInTable(Scope3_SourceData.Scope3_Feed_Data(), Table_SourceData_Scope3_Feed[[#Headers],[Category]], -1, 2)</f>
        <v>Barley grain</v>
      </c>
      <c r="F97" s="10" t="str" cm="1">
        <f t="array" ref="F97">Common_InputFunctions.Utility_DisplayArrayInTable(Scope3_SourceData.Scope3_Feed_Data(), Table_SourceData_Scope3_Feed[[#Headers],[Category]], -1, 2)</f>
        <v>WA</v>
      </c>
      <c r="G97" s="10" t="str" cm="1">
        <f t="array" ref="G97">Common_InputFunctions.Utility_DisplayArrayInTable(Scope3_SourceData.Scope3_Feed_Data(), Table_SourceData_Scope3_Feed[[#Headers],[Category]], -1, 2)</f>
        <v>kg</v>
      </c>
      <c r="H97" s="10" cm="1">
        <f t="array" ref="H97">Common_InputFunctions.Utility_DisplayArrayInTable(Scope3_SourceData.Scope3_Feed_Data(), Table_SourceData_Scope3_Feed[[#Headers],[Category]], -1, 2)</f>
        <v>0.23599999999999999</v>
      </c>
      <c r="I97" s="10" t="str" cm="1">
        <f t="array" ref="I97">Common_InputFunctions.Utility_DisplayArrayInTable(Scope3_SourceData.Scope3_Feed_Data(), Table_SourceData_Scope3_Feed[[#Headers],[Category]], -1, 2)</f>
        <v>at market</v>
      </c>
      <c r="J97" s="10" t="s">
        <v>912</v>
      </c>
      <c r="L97" s="10" t="s">
        <v>212</v>
      </c>
      <c r="M97" s="10" t="s">
        <v>380</v>
      </c>
      <c r="N97" s="8" t="str">
        <f>"Table_ProductRegions_" &amp; SUBSTITUTE(SUBSTITUTE(SUBSTITUTE(SUBSTITUTE(L98, " ", ""), ",", ""), "(", ""), ")", "")</f>
        <v>Table_ProductRegions_Maizegrain</v>
      </c>
      <c r="O97" s="10" t="str">
        <f>Table_SourceData_Scope3_Feed[[#This Row],[Product]]</f>
        <v>Barley grain</v>
      </c>
      <c r="P97" s="10" t="str">
        <f>Table_SourceData_Scope3_Feed[[#This Row],[Region of origin]]</f>
        <v>WA</v>
      </c>
    </row>
    <row r="98" spans="4:17" ht="20.100000000000001" customHeight="1" x14ac:dyDescent="0.2">
      <c r="D98" s="10" t="str" cm="1">
        <f t="array" ref="D98">Common_InputFunctions.Utility_DisplayArrayInTable(Scope3_SourceData.Scope3_Feed_Data(), Table_SourceData_Scope3_Feed[[#Headers],[Category]], -1, 2)</f>
        <v>Grain</v>
      </c>
      <c r="E98" s="10" t="str" cm="1">
        <f t="array" ref="E98">Common_InputFunctions.Utility_DisplayArrayInTable(Scope3_SourceData.Scope3_Feed_Data(), Table_SourceData_Scope3_Feed[[#Headers],[Category]], -1, 2)</f>
        <v>Maize grain</v>
      </c>
      <c r="F98" s="10" t="str" cm="1">
        <f t="array" ref="F98">Common_InputFunctions.Utility_DisplayArrayInTable(Scope3_SourceData.Scope3_Feed_Data(), Table_SourceData_Scope3_Feed[[#Headers],[Category]], -1, 2)</f>
        <v>Australia</v>
      </c>
      <c r="G98" s="10" t="str" cm="1">
        <f t="array" ref="G98">Common_InputFunctions.Utility_DisplayArrayInTable(Scope3_SourceData.Scope3_Feed_Data(), Table_SourceData_Scope3_Feed[[#Headers],[Category]], -1, 2)</f>
        <v>kg</v>
      </c>
      <c r="H98" s="10" cm="1">
        <f t="array" ref="H98">Common_InputFunctions.Utility_DisplayArrayInTable(Scope3_SourceData.Scope3_Feed_Data(), Table_SourceData_Scope3_Feed[[#Headers],[Category]], -1, 2)</f>
        <v>0.18099999999999999</v>
      </c>
      <c r="I98" s="10" t="str" cm="1">
        <f t="array" ref="I98">Common_InputFunctions.Utility_DisplayArrayInTable(Scope3_SourceData.Scope3_Feed_Data(), Table_SourceData_Scope3_Feed[[#Headers],[Category]], -1, 2)</f>
        <v>at market</v>
      </c>
      <c r="J98" s="10" t="s">
        <v>912</v>
      </c>
      <c r="L98" s="10" t="str">
        <f>Table_SourceData_Scope3_Feed[[#This Row],[Product]]</f>
        <v>Maize grain</v>
      </c>
      <c r="M98" s="10" t="str">
        <f>Table_SourceData_Scope3_Feed[[#This Row],[Region of origin]]</f>
        <v>Australia</v>
      </c>
    </row>
    <row r="99" spans="4:17" ht="20.100000000000001" customHeight="1" x14ac:dyDescent="0.2">
      <c r="D99" s="10" t="str" cm="1">
        <f t="array" ref="D99">Common_InputFunctions.Utility_DisplayArrayInTable(Scope3_SourceData.Scope3_Feed_Data(), Table_SourceData_Scope3_Feed[[#Headers],[Category]], -1, 2)</f>
        <v>Grain</v>
      </c>
      <c r="E99" s="10" t="str" cm="1">
        <f t="array" ref="E99">Common_InputFunctions.Utility_DisplayArrayInTable(Scope3_SourceData.Scope3_Feed_Data(), Table_SourceData_Scope3_Feed[[#Headers],[Category]], -1, 2)</f>
        <v>Maize grain</v>
      </c>
      <c r="F99" s="10" t="str" cm="1">
        <f t="array" ref="F99">Common_InputFunctions.Utility_DisplayArrayInTable(Scope3_SourceData.Scope3_Feed_Data(), Table_SourceData_Scope3_Feed[[#Headers],[Category]], -1, 2)</f>
        <v>NSW</v>
      </c>
      <c r="G99" s="10" t="str" cm="1">
        <f t="array" ref="G99">Common_InputFunctions.Utility_DisplayArrayInTable(Scope3_SourceData.Scope3_Feed_Data(), Table_SourceData_Scope3_Feed[[#Headers],[Category]], -1, 2)</f>
        <v>kg</v>
      </c>
      <c r="H99" s="10" cm="1">
        <f t="array" ref="H99">Common_InputFunctions.Utility_DisplayArrayInTable(Scope3_SourceData.Scope3_Feed_Data(), Table_SourceData_Scope3_Feed[[#Headers],[Category]], -1, 2)</f>
        <v>0.16900000000000001</v>
      </c>
      <c r="I99" s="10" t="str" cm="1">
        <f t="array" ref="I99">Common_InputFunctions.Utility_DisplayArrayInTable(Scope3_SourceData.Scope3_Feed_Data(), Table_SourceData_Scope3_Feed[[#Headers],[Category]], -1, 2)</f>
        <v>at market</v>
      </c>
      <c r="J99" s="10" t="s">
        <v>912</v>
      </c>
      <c r="L99" s="10" t="str">
        <f>Table_SourceData_Scope3_Feed[[#This Row],[Product]]</f>
        <v>Maize grain</v>
      </c>
      <c r="M99" s="10" t="str">
        <f>Table_SourceData_Scope3_Feed[[#This Row],[Region of origin]]</f>
        <v>NSW</v>
      </c>
    </row>
    <row r="100" spans="4:17" ht="20.100000000000001" customHeight="1" x14ac:dyDescent="0.2">
      <c r="D100" s="10" t="str" cm="1">
        <f t="array" ref="D100">Common_InputFunctions.Utility_DisplayArrayInTable(Scope3_SourceData.Scope3_Feed_Data(), Table_SourceData_Scope3_Feed[[#Headers],[Category]], -1, 2)</f>
        <v>Grain</v>
      </c>
      <c r="E100" s="10" t="str" cm="1">
        <f t="array" ref="E100">Common_InputFunctions.Utility_DisplayArrayInTable(Scope3_SourceData.Scope3_Feed_Data(), Table_SourceData_Scope3_Feed[[#Headers],[Category]], -1, 2)</f>
        <v>Maize grain</v>
      </c>
      <c r="F100" s="10" t="str" cm="1">
        <f t="array" ref="F100">Common_InputFunctions.Utility_DisplayArrayInTable(Scope3_SourceData.Scope3_Feed_Data(), Table_SourceData_Scope3_Feed[[#Headers],[Category]], -1, 2)</f>
        <v>NT</v>
      </c>
      <c r="G100" s="10" t="str" cm="1">
        <f t="array" ref="G100">Common_InputFunctions.Utility_DisplayArrayInTable(Scope3_SourceData.Scope3_Feed_Data(), Table_SourceData_Scope3_Feed[[#Headers],[Category]], -1, 2)</f>
        <v>kg</v>
      </c>
      <c r="H100" s="10" cm="1">
        <f t="array" ref="H100">Common_InputFunctions.Utility_DisplayArrayInTable(Scope3_SourceData.Scope3_Feed_Data(), Table_SourceData_Scope3_Feed[[#Headers],[Category]], -1, 2)</f>
        <v>0.25600000000000001</v>
      </c>
      <c r="I100" s="10" t="str" cm="1">
        <f t="array" ref="I100">Common_InputFunctions.Utility_DisplayArrayInTable(Scope3_SourceData.Scope3_Feed_Data(), Table_SourceData_Scope3_Feed[[#Headers],[Category]], -1, 2)</f>
        <v>at market</v>
      </c>
      <c r="J100" s="10" t="s">
        <v>912</v>
      </c>
      <c r="L100" s="10" t="str">
        <f>Table_SourceData_Scope3_Feed[[#This Row],[Product]]</f>
        <v>Maize grain</v>
      </c>
      <c r="M100" s="10" t="str">
        <f>Table_SourceData_Scope3_Feed[[#This Row],[Region of origin]]</f>
        <v>NT</v>
      </c>
    </row>
    <row r="101" spans="4:17" ht="20.100000000000001" customHeight="1" x14ac:dyDescent="0.2">
      <c r="D101" s="10" t="str" cm="1">
        <f t="array" ref="D101">Common_InputFunctions.Utility_DisplayArrayInTable(Scope3_SourceData.Scope3_Feed_Data(), Table_SourceData_Scope3_Feed[[#Headers],[Category]], -1, 2)</f>
        <v>Grain</v>
      </c>
      <c r="E101" s="10" t="str" cm="1">
        <f t="array" ref="E101">Common_InputFunctions.Utility_DisplayArrayInTable(Scope3_SourceData.Scope3_Feed_Data(), Table_SourceData_Scope3_Feed[[#Headers],[Category]], -1, 2)</f>
        <v>Maize grain</v>
      </c>
      <c r="F101" s="10" t="str" cm="1">
        <f t="array" ref="F101">Common_InputFunctions.Utility_DisplayArrayInTable(Scope3_SourceData.Scope3_Feed_Data(), Table_SourceData_Scope3_Feed[[#Headers],[Category]], -1, 2)</f>
        <v>QLD</v>
      </c>
      <c r="G101" s="10" t="str" cm="1">
        <f t="array" ref="G101">Common_InputFunctions.Utility_DisplayArrayInTable(Scope3_SourceData.Scope3_Feed_Data(), Table_SourceData_Scope3_Feed[[#Headers],[Category]], -1, 2)</f>
        <v>kg</v>
      </c>
      <c r="H101" s="10" cm="1">
        <f t="array" ref="H101">Common_InputFunctions.Utility_DisplayArrayInTable(Scope3_SourceData.Scope3_Feed_Data(), Table_SourceData_Scope3_Feed[[#Headers],[Category]], -1, 2)</f>
        <v>0.186</v>
      </c>
      <c r="I101" s="10" t="str" cm="1">
        <f t="array" ref="I101">Common_InputFunctions.Utility_DisplayArrayInTable(Scope3_SourceData.Scope3_Feed_Data(), Table_SourceData_Scope3_Feed[[#Headers],[Category]], -1, 2)</f>
        <v>at market</v>
      </c>
      <c r="J101" s="10" t="s">
        <v>912</v>
      </c>
      <c r="L101" s="10" t="str">
        <f>Table_SourceData_Scope3_Feed[[#This Row],[Product]]</f>
        <v>Maize grain</v>
      </c>
      <c r="M101" s="10" t="str">
        <f>Table_SourceData_Scope3_Feed[[#This Row],[Region of origin]]</f>
        <v>QLD</v>
      </c>
    </row>
    <row r="102" spans="4:17" ht="20.100000000000001" customHeight="1" x14ac:dyDescent="0.2">
      <c r="D102" s="10" t="str" cm="1">
        <f t="array" ref="D102">Common_InputFunctions.Utility_DisplayArrayInTable(Scope3_SourceData.Scope3_Feed_Data(), Table_SourceData_Scope3_Feed[[#Headers],[Category]], -1, 2)</f>
        <v>Grain</v>
      </c>
      <c r="E102" s="10" t="str" cm="1">
        <f t="array" ref="E102">Common_InputFunctions.Utility_DisplayArrayInTable(Scope3_SourceData.Scope3_Feed_Data(), Table_SourceData_Scope3_Feed[[#Headers],[Category]], -1, 2)</f>
        <v>Maize grain</v>
      </c>
      <c r="F102" s="10" t="str" cm="1">
        <f t="array" ref="F102">Common_InputFunctions.Utility_DisplayArrayInTable(Scope3_SourceData.Scope3_Feed_Data(), Table_SourceData_Scope3_Feed[[#Headers],[Category]], -1, 2)</f>
        <v>SA</v>
      </c>
      <c r="G102" s="10" t="str" cm="1">
        <f t="array" ref="G102">Common_InputFunctions.Utility_DisplayArrayInTable(Scope3_SourceData.Scope3_Feed_Data(), Table_SourceData_Scope3_Feed[[#Headers],[Category]], -1, 2)</f>
        <v>kg</v>
      </c>
      <c r="H102" s="10" cm="1">
        <f t="array" ref="H102">Common_InputFunctions.Utility_DisplayArrayInTable(Scope3_SourceData.Scope3_Feed_Data(), Table_SourceData_Scope3_Feed[[#Headers],[Category]], -1, 2)</f>
        <v>0.17599999999999999</v>
      </c>
      <c r="I102" s="10" t="str" cm="1">
        <f t="array" ref="I102">Common_InputFunctions.Utility_DisplayArrayInTable(Scope3_SourceData.Scope3_Feed_Data(), Table_SourceData_Scope3_Feed[[#Headers],[Category]], -1, 2)</f>
        <v>at market</v>
      </c>
      <c r="J102" s="10" t="s">
        <v>912</v>
      </c>
      <c r="L102" s="10" t="str">
        <f>Table_SourceData_Scope3_Feed[[#This Row],[Product]]</f>
        <v>Maize grain</v>
      </c>
      <c r="M102" s="10" t="str">
        <f>Table_SourceData_Scope3_Feed[[#This Row],[Region of origin]]</f>
        <v>SA</v>
      </c>
    </row>
    <row r="103" spans="4:17" ht="20.100000000000001" customHeight="1" x14ac:dyDescent="0.2">
      <c r="D103" s="10" t="str" cm="1">
        <f t="array" ref="D103">Common_InputFunctions.Utility_DisplayArrayInTable(Scope3_SourceData.Scope3_Feed_Data(), Table_SourceData_Scope3_Feed[[#Headers],[Category]], -1, 2)</f>
        <v>Grain</v>
      </c>
      <c r="E103" s="10" t="str" cm="1">
        <f t="array" ref="E103">Common_InputFunctions.Utility_DisplayArrayInTable(Scope3_SourceData.Scope3_Feed_Data(), Table_SourceData_Scope3_Feed[[#Headers],[Category]], -1, 2)</f>
        <v>Maize grain</v>
      </c>
      <c r="F103" s="10" t="str" cm="1">
        <f t="array" ref="F103">Common_InputFunctions.Utility_DisplayArrayInTable(Scope3_SourceData.Scope3_Feed_Data(), Table_SourceData_Scope3_Feed[[#Headers],[Category]], -1, 2)</f>
        <v>VIC</v>
      </c>
      <c r="G103" s="10" t="str" cm="1">
        <f t="array" ref="G103">Common_InputFunctions.Utility_DisplayArrayInTable(Scope3_SourceData.Scope3_Feed_Data(), Table_SourceData_Scope3_Feed[[#Headers],[Category]], -1, 2)</f>
        <v>kg</v>
      </c>
      <c r="H103" s="10" cm="1">
        <f t="array" ref="H103">Common_InputFunctions.Utility_DisplayArrayInTable(Scope3_SourceData.Scope3_Feed_Data(), Table_SourceData_Scope3_Feed[[#Headers],[Category]], -1, 2)</f>
        <v>0.159</v>
      </c>
      <c r="I103" s="10" t="str" cm="1">
        <f t="array" ref="I103">Common_InputFunctions.Utility_DisplayArrayInTable(Scope3_SourceData.Scope3_Feed_Data(), Table_SourceData_Scope3_Feed[[#Headers],[Category]], -1, 2)</f>
        <v>at market</v>
      </c>
      <c r="J103" s="10" t="s">
        <v>912</v>
      </c>
      <c r="L103" s="10" t="str">
        <f>Table_SourceData_Scope3_Feed[[#This Row],[Product]]</f>
        <v>Maize grain</v>
      </c>
      <c r="M103" s="10" t="str">
        <f>Table_SourceData_Scope3_Feed[[#This Row],[Region of origin]]</f>
        <v>VIC</v>
      </c>
    </row>
    <row r="104" spans="4:17" ht="20.100000000000001" customHeight="1" x14ac:dyDescent="0.2">
      <c r="D104" s="10" t="str" cm="1">
        <f t="array" ref="D104">Common_InputFunctions.Utility_DisplayArrayInTable(Scope3_SourceData.Scope3_Feed_Data(), Table_SourceData_Scope3_Feed[[#Headers],[Category]], -1, 2)</f>
        <v>Grain</v>
      </c>
      <c r="E104" s="10" t="str" cm="1">
        <f t="array" ref="E104">Common_InputFunctions.Utility_DisplayArrayInTable(Scope3_SourceData.Scope3_Feed_Data(), Table_SourceData_Scope3_Feed[[#Headers],[Category]], -1, 2)</f>
        <v>Maize grain</v>
      </c>
      <c r="F104" s="10" t="str" cm="1">
        <f t="array" ref="F104">Common_InputFunctions.Utility_DisplayArrayInTable(Scope3_SourceData.Scope3_Feed_Data(), Table_SourceData_Scope3_Feed[[#Headers],[Category]], -1, 2)</f>
        <v>WA</v>
      </c>
      <c r="G104" s="10" t="str" cm="1">
        <f t="array" ref="G104">Common_InputFunctions.Utility_DisplayArrayInTable(Scope3_SourceData.Scope3_Feed_Data(), Table_SourceData_Scope3_Feed[[#Headers],[Category]], -1, 2)</f>
        <v>kg</v>
      </c>
      <c r="H104" s="10" cm="1">
        <f t="array" ref="H104">Common_InputFunctions.Utility_DisplayArrayInTable(Scope3_SourceData.Scope3_Feed_Data(), Table_SourceData_Scope3_Feed[[#Headers],[Category]], -1, 2)</f>
        <v>0.28499999999999998</v>
      </c>
      <c r="I104" s="10" t="str" cm="1">
        <f t="array" ref="I104">Common_InputFunctions.Utility_DisplayArrayInTable(Scope3_SourceData.Scope3_Feed_Data(), Table_SourceData_Scope3_Feed[[#Headers],[Category]], -1, 2)</f>
        <v>at market</v>
      </c>
      <c r="J104" s="10" t="s">
        <v>912</v>
      </c>
      <c r="L104" s="10" t="str">
        <f>Table_SourceData_Scope3_Feed[[#This Row],[Product]]</f>
        <v>Maize grain</v>
      </c>
      <c r="M104" s="10" t="str">
        <f>Table_SourceData_Scope3_Feed[[#This Row],[Region of origin]]</f>
        <v>WA</v>
      </c>
      <c r="O104" s="10" t="s">
        <v>212</v>
      </c>
      <c r="P104" s="10" t="s">
        <v>380</v>
      </c>
      <c r="Q104" s="8" t="str">
        <f>"Table_ProductRegions_" &amp; SUBSTITUTE(SUBSTITUTE(SUBSTITUTE(SUBSTITUTE(O105, " ", ""), ",", ""), "(", ""), ")", "")</f>
        <v>Table_ProductRegions_Sorghumgrain</v>
      </c>
    </row>
    <row r="105" spans="4:17" ht="20.100000000000001" customHeight="1" x14ac:dyDescent="0.2">
      <c r="D105" s="10" t="str" cm="1">
        <f t="array" ref="D105">Common_InputFunctions.Utility_DisplayArrayInTable(Scope3_SourceData.Scope3_Feed_Data(), Table_SourceData_Scope3_Feed[[#Headers],[Category]], -1, 2)</f>
        <v>Grain</v>
      </c>
      <c r="E105" s="10" t="str" cm="1">
        <f t="array" ref="E105">Common_InputFunctions.Utility_DisplayArrayInTable(Scope3_SourceData.Scope3_Feed_Data(), Table_SourceData_Scope3_Feed[[#Headers],[Category]], -1, 2)</f>
        <v>Sorghum grain</v>
      </c>
      <c r="F105" s="10" t="str" cm="1">
        <f t="array" ref="F105">Common_InputFunctions.Utility_DisplayArrayInTable(Scope3_SourceData.Scope3_Feed_Data(), Table_SourceData_Scope3_Feed[[#Headers],[Category]], -1, 2)</f>
        <v>Australia</v>
      </c>
      <c r="G105" s="10" t="str" cm="1">
        <f t="array" ref="G105">Common_InputFunctions.Utility_DisplayArrayInTable(Scope3_SourceData.Scope3_Feed_Data(), Table_SourceData_Scope3_Feed[[#Headers],[Category]], -1, 2)</f>
        <v>kg</v>
      </c>
      <c r="H105" s="10" cm="1">
        <f t="array" ref="H105">Common_InputFunctions.Utility_DisplayArrayInTable(Scope3_SourceData.Scope3_Feed_Data(), Table_SourceData_Scope3_Feed[[#Headers],[Category]], -1, 2)</f>
        <v>0.23200000000000001</v>
      </c>
      <c r="I105" s="10" t="str" cm="1">
        <f t="array" ref="I105">Common_InputFunctions.Utility_DisplayArrayInTable(Scope3_SourceData.Scope3_Feed_Data(), Table_SourceData_Scope3_Feed[[#Headers],[Category]], -1, 2)</f>
        <v>at market</v>
      </c>
      <c r="J105" s="10" t="s">
        <v>912</v>
      </c>
      <c r="O105" s="10" t="str">
        <f>Table_SourceData_Scope3_Feed[[#This Row],[Product]]</f>
        <v>Sorghum grain</v>
      </c>
      <c r="P105" s="10" t="str">
        <f>Table_SourceData_Scope3_Feed[[#This Row],[Region of origin]]</f>
        <v>Australia</v>
      </c>
    </row>
    <row r="106" spans="4:17" ht="20.100000000000001" customHeight="1" x14ac:dyDescent="0.2">
      <c r="D106" s="10" t="str" cm="1">
        <f t="array" ref="D106">Common_InputFunctions.Utility_DisplayArrayInTable(Scope3_SourceData.Scope3_Feed_Data(), Table_SourceData_Scope3_Feed[[#Headers],[Category]], -1, 2)</f>
        <v>Grain</v>
      </c>
      <c r="E106" s="10" t="str" cm="1">
        <f t="array" ref="E106">Common_InputFunctions.Utility_DisplayArrayInTable(Scope3_SourceData.Scope3_Feed_Data(), Table_SourceData_Scope3_Feed[[#Headers],[Category]], -1, 2)</f>
        <v>Sorghum grain</v>
      </c>
      <c r="F106" s="10" t="str" cm="1">
        <f t="array" ref="F106">Common_InputFunctions.Utility_DisplayArrayInTable(Scope3_SourceData.Scope3_Feed_Data(), Table_SourceData_Scope3_Feed[[#Headers],[Category]], -1, 2)</f>
        <v>NSW</v>
      </c>
      <c r="G106" s="10" t="str" cm="1">
        <f t="array" ref="G106">Common_InputFunctions.Utility_DisplayArrayInTable(Scope3_SourceData.Scope3_Feed_Data(), Table_SourceData_Scope3_Feed[[#Headers],[Category]], -1, 2)</f>
        <v>kg</v>
      </c>
      <c r="H106" s="10" cm="1">
        <f t="array" ref="H106">Common_InputFunctions.Utility_DisplayArrayInTable(Scope3_SourceData.Scope3_Feed_Data(), Table_SourceData_Scope3_Feed[[#Headers],[Category]], -1, 2)</f>
        <v>0.23200000000000001</v>
      </c>
      <c r="I106" s="10" t="str" cm="1">
        <f t="array" ref="I106">Common_InputFunctions.Utility_DisplayArrayInTable(Scope3_SourceData.Scope3_Feed_Data(), Table_SourceData_Scope3_Feed[[#Headers],[Category]], -1, 2)</f>
        <v>at market</v>
      </c>
      <c r="J106" s="10" t="s">
        <v>912</v>
      </c>
      <c r="O106" s="10" t="str">
        <f>Table_SourceData_Scope3_Feed[[#This Row],[Product]]</f>
        <v>Sorghum grain</v>
      </c>
      <c r="P106" s="10" t="str">
        <f>Table_SourceData_Scope3_Feed[[#This Row],[Region of origin]]</f>
        <v>NSW</v>
      </c>
    </row>
    <row r="107" spans="4:17" ht="20.100000000000001" customHeight="1" x14ac:dyDescent="0.2">
      <c r="D107" s="10" t="str" cm="1">
        <f t="array" ref="D107">Common_InputFunctions.Utility_DisplayArrayInTable(Scope3_SourceData.Scope3_Feed_Data(), Table_SourceData_Scope3_Feed[[#Headers],[Category]], -1, 2)</f>
        <v>Grain</v>
      </c>
      <c r="E107" s="10" t="str" cm="1">
        <f t="array" ref="E107">Common_InputFunctions.Utility_DisplayArrayInTable(Scope3_SourceData.Scope3_Feed_Data(), Table_SourceData_Scope3_Feed[[#Headers],[Category]], -1, 2)</f>
        <v>Sorghum grain</v>
      </c>
      <c r="F107" s="10" t="str" cm="1">
        <f t="array" ref="F107">Common_InputFunctions.Utility_DisplayArrayInTable(Scope3_SourceData.Scope3_Feed_Data(), Table_SourceData_Scope3_Feed[[#Headers],[Category]], -1, 2)</f>
        <v>QLD</v>
      </c>
      <c r="G107" s="10" t="str" cm="1">
        <f t="array" ref="G107">Common_InputFunctions.Utility_DisplayArrayInTable(Scope3_SourceData.Scope3_Feed_Data(), Table_SourceData_Scope3_Feed[[#Headers],[Category]], -1, 2)</f>
        <v>kg</v>
      </c>
      <c r="H107" s="10" cm="1">
        <f t="array" ref="H107">Common_InputFunctions.Utility_DisplayArrayInTable(Scope3_SourceData.Scope3_Feed_Data(), Table_SourceData_Scope3_Feed[[#Headers],[Category]], -1, 2)</f>
        <v>0.23100000000000001</v>
      </c>
      <c r="I107" s="10" t="str" cm="1">
        <f t="array" ref="I107">Common_InputFunctions.Utility_DisplayArrayInTable(Scope3_SourceData.Scope3_Feed_Data(), Table_SourceData_Scope3_Feed[[#Headers],[Category]], -1, 2)</f>
        <v>at market</v>
      </c>
      <c r="J107" s="10" t="s">
        <v>912</v>
      </c>
      <c r="O107" s="10" t="str">
        <f>Table_SourceData_Scope3_Feed[[#This Row],[Product]]</f>
        <v>Sorghum grain</v>
      </c>
      <c r="P107" s="10" t="str">
        <f>Table_SourceData_Scope3_Feed[[#This Row],[Region of origin]]</f>
        <v>QLD</v>
      </c>
    </row>
    <row r="108" spans="4:17" ht="20.100000000000001" customHeight="1" x14ac:dyDescent="0.2">
      <c r="D108" s="10" t="str" cm="1">
        <f t="array" ref="D108">Common_InputFunctions.Utility_DisplayArrayInTable(Scope3_SourceData.Scope3_Feed_Data(), Table_SourceData_Scope3_Feed[[#Headers],[Category]], -1, 2)</f>
        <v>Grain</v>
      </c>
      <c r="E108" s="10" t="str" cm="1">
        <f t="array" ref="E108">Common_InputFunctions.Utility_DisplayArrayInTable(Scope3_SourceData.Scope3_Feed_Data(), Table_SourceData_Scope3_Feed[[#Headers],[Category]], -1, 2)</f>
        <v>Sorghum grain</v>
      </c>
      <c r="F108" s="10" t="str" cm="1">
        <f t="array" ref="F108">Common_InputFunctions.Utility_DisplayArrayInTable(Scope3_SourceData.Scope3_Feed_Data(), Table_SourceData_Scope3_Feed[[#Headers],[Category]], -1, 2)</f>
        <v>SA</v>
      </c>
      <c r="G108" s="10" t="str" cm="1">
        <f t="array" ref="G108">Common_InputFunctions.Utility_DisplayArrayInTable(Scope3_SourceData.Scope3_Feed_Data(), Table_SourceData_Scope3_Feed[[#Headers],[Category]], -1, 2)</f>
        <v>kg</v>
      </c>
      <c r="H108" s="10" cm="1">
        <f t="array" ref="H108">Common_InputFunctions.Utility_DisplayArrayInTable(Scope3_SourceData.Scope3_Feed_Data(), Table_SourceData_Scope3_Feed[[#Headers],[Category]], -1, 2)</f>
        <v>0.218</v>
      </c>
      <c r="I108" s="10" t="str" cm="1">
        <f t="array" ref="I108">Common_InputFunctions.Utility_DisplayArrayInTable(Scope3_SourceData.Scope3_Feed_Data(), Table_SourceData_Scope3_Feed[[#Headers],[Category]], -1, 2)</f>
        <v>at market</v>
      </c>
      <c r="J108" s="10" t="s">
        <v>912</v>
      </c>
      <c r="O108" s="10" t="str">
        <f>Table_SourceData_Scope3_Feed[[#This Row],[Product]]</f>
        <v>Sorghum grain</v>
      </c>
      <c r="P108" s="10" t="str">
        <f>Table_SourceData_Scope3_Feed[[#This Row],[Region of origin]]</f>
        <v>SA</v>
      </c>
    </row>
    <row r="109" spans="4:17" ht="20.100000000000001" customHeight="1" x14ac:dyDescent="0.2">
      <c r="D109" s="10" t="str" cm="1">
        <f t="array" ref="D109">Common_InputFunctions.Utility_DisplayArrayInTable(Scope3_SourceData.Scope3_Feed_Data(), Table_SourceData_Scope3_Feed[[#Headers],[Category]], -1, 2)</f>
        <v>Grain</v>
      </c>
      <c r="E109" s="10" t="str" cm="1">
        <f t="array" ref="E109">Common_InputFunctions.Utility_DisplayArrayInTable(Scope3_SourceData.Scope3_Feed_Data(), Table_SourceData_Scope3_Feed[[#Headers],[Category]], -1, 2)</f>
        <v>Sorghum grain</v>
      </c>
      <c r="F109" s="10" t="str" cm="1">
        <f t="array" ref="F109">Common_InputFunctions.Utility_DisplayArrayInTable(Scope3_SourceData.Scope3_Feed_Data(), Table_SourceData_Scope3_Feed[[#Headers],[Category]], -1, 2)</f>
        <v>VIC</v>
      </c>
      <c r="G109" s="10" t="str" cm="1">
        <f t="array" ref="G109">Common_InputFunctions.Utility_DisplayArrayInTable(Scope3_SourceData.Scope3_Feed_Data(), Table_SourceData_Scope3_Feed[[#Headers],[Category]], -1, 2)</f>
        <v>kg</v>
      </c>
      <c r="H109" s="10" cm="1">
        <f t="array" ref="H109">Common_InputFunctions.Utility_DisplayArrayInTable(Scope3_SourceData.Scope3_Feed_Data(), Table_SourceData_Scope3_Feed[[#Headers],[Category]], -1, 2)</f>
        <v>0.246</v>
      </c>
      <c r="I109" s="10" t="str" cm="1">
        <f t="array" ref="I109">Common_InputFunctions.Utility_DisplayArrayInTable(Scope3_SourceData.Scope3_Feed_Data(), Table_SourceData_Scope3_Feed[[#Headers],[Category]], -1, 2)</f>
        <v>at market</v>
      </c>
      <c r="J109" s="10" t="s">
        <v>912</v>
      </c>
      <c r="L109" s="10" t="s">
        <v>212</v>
      </c>
      <c r="M109" s="10" t="s">
        <v>380</v>
      </c>
      <c r="N109" s="8" t="str">
        <f>"Table_ProductRegions_" &amp; SUBSTITUTE(SUBSTITUTE(SUBSTITUTE(SUBSTITUTE(L110, " ", ""), ",", ""), "(", ""), ")", "")</f>
        <v>Table_ProductRegions_Wheatgrain</v>
      </c>
      <c r="O109" s="10" t="str">
        <f>Table_SourceData_Scope3_Feed[[#This Row],[Product]]</f>
        <v>Sorghum grain</v>
      </c>
      <c r="P109" s="10" t="str">
        <f>Table_SourceData_Scope3_Feed[[#This Row],[Region of origin]]</f>
        <v>VIC</v>
      </c>
    </row>
    <row r="110" spans="4:17" ht="20.100000000000001" customHeight="1" x14ac:dyDescent="0.2">
      <c r="D110" s="10" t="str" cm="1">
        <f t="array" ref="D110">Common_InputFunctions.Utility_DisplayArrayInTable(Scope3_SourceData.Scope3_Feed_Data(), Table_SourceData_Scope3_Feed[[#Headers],[Category]], -1, 2)</f>
        <v>Grain</v>
      </c>
      <c r="E110" s="10" t="str" cm="1">
        <f t="array" ref="E110">Common_InputFunctions.Utility_DisplayArrayInTable(Scope3_SourceData.Scope3_Feed_Data(), Table_SourceData_Scope3_Feed[[#Headers],[Category]], -1, 2)</f>
        <v>Wheat grain</v>
      </c>
      <c r="F110" s="10" t="str" cm="1">
        <f t="array" ref="F110">Common_InputFunctions.Utility_DisplayArrayInTable(Scope3_SourceData.Scope3_Feed_Data(), Table_SourceData_Scope3_Feed[[#Headers],[Category]], -1, 2)</f>
        <v>Australia</v>
      </c>
      <c r="G110" s="10" t="str" cm="1">
        <f t="array" ref="G110">Common_InputFunctions.Utility_DisplayArrayInTable(Scope3_SourceData.Scope3_Feed_Data(), Table_SourceData_Scope3_Feed[[#Headers],[Category]], -1, 2)</f>
        <v>kg</v>
      </c>
      <c r="H110" s="10" cm="1">
        <f t="array" ref="H110">Common_InputFunctions.Utility_DisplayArrayInTable(Scope3_SourceData.Scope3_Feed_Data(), Table_SourceData_Scope3_Feed[[#Headers],[Category]], -1, 2)</f>
        <v>0.26800000000000002</v>
      </c>
      <c r="I110" s="10" t="str" cm="1">
        <f t="array" ref="I110">Common_InputFunctions.Utility_DisplayArrayInTable(Scope3_SourceData.Scope3_Feed_Data(), Table_SourceData_Scope3_Feed[[#Headers],[Category]], -1, 2)</f>
        <v>at market</v>
      </c>
      <c r="J110" s="10" t="s">
        <v>912</v>
      </c>
      <c r="L110" s="10" t="str">
        <f>Table_SourceData_Scope3_Feed[[#This Row],[Product]]</f>
        <v>Wheat grain</v>
      </c>
      <c r="M110" s="10" t="str">
        <f>Table_SourceData_Scope3_Feed[[#This Row],[Region of origin]]</f>
        <v>Australia</v>
      </c>
    </row>
    <row r="111" spans="4:17" ht="20.100000000000001" customHeight="1" x14ac:dyDescent="0.2">
      <c r="D111" s="10" t="str" cm="1">
        <f t="array" ref="D111">Common_InputFunctions.Utility_DisplayArrayInTable(Scope3_SourceData.Scope3_Feed_Data(), Table_SourceData_Scope3_Feed[[#Headers],[Category]], -1, 2)</f>
        <v>Grain</v>
      </c>
      <c r="E111" s="10" t="str" cm="1">
        <f t="array" ref="E111">Common_InputFunctions.Utility_DisplayArrayInTable(Scope3_SourceData.Scope3_Feed_Data(), Table_SourceData_Scope3_Feed[[#Headers],[Category]], -1, 2)</f>
        <v>Wheat grain</v>
      </c>
      <c r="F111" s="10" t="str" cm="1">
        <f t="array" ref="F111">Common_InputFunctions.Utility_DisplayArrayInTable(Scope3_SourceData.Scope3_Feed_Data(), Table_SourceData_Scope3_Feed[[#Headers],[Category]], -1, 2)</f>
        <v>NSW</v>
      </c>
      <c r="G111" s="10" t="str" cm="1">
        <f t="array" ref="G111">Common_InputFunctions.Utility_DisplayArrayInTable(Scope3_SourceData.Scope3_Feed_Data(), Table_SourceData_Scope3_Feed[[#Headers],[Category]], -1, 2)</f>
        <v>kg</v>
      </c>
      <c r="H111" s="10" cm="1">
        <f t="array" ref="H111">Common_InputFunctions.Utility_DisplayArrayInTable(Scope3_SourceData.Scope3_Feed_Data(), Table_SourceData_Scope3_Feed[[#Headers],[Category]], -1, 2)</f>
        <v>0.28199999999999997</v>
      </c>
      <c r="I111" s="10" t="str" cm="1">
        <f t="array" ref="I111">Common_InputFunctions.Utility_DisplayArrayInTable(Scope3_SourceData.Scope3_Feed_Data(), Table_SourceData_Scope3_Feed[[#Headers],[Category]], -1, 2)</f>
        <v>at market</v>
      </c>
      <c r="J111" s="10" t="s">
        <v>912</v>
      </c>
      <c r="L111" s="10" t="str">
        <f>Table_SourceData_Scope3_Feed[[#This Row],[Product]]</f>
        <v>Wheat grain</v>
      </c>
      <c r="M111" s="10" t="str">
        <f>Table_SourceData_Scope3_Feed[[#This Row],[Region of origin]]</f>
        <v>NSW</v>
      </c>
    </row>
    <row r="112" spans="4:17" ht="20.100000000000001" customHeight="1" x14ac:dyDescent="0.2">
      <c r="D112" s="10" t="str" cm="1">
        <f t="array" ref="D112">Common_InputFunctions.Utility_DisplayArrayInTable(Scope3_SourceData.Scope3_Feed_Data(), Table_SourceData_Scope3_Feed[[#Headers],[Category]], -1, 2)</f>
        <v>Grain</v>
      </c>
      <c r="E112" s="10" t="str" cm="1">
        <f t="array" ref="E112">Common_InputFunctions.Utility_DisplayArrayInTable(Scope3_SourceData.Scope3_Feed_Data(), Table_SourceData_Scope3_Feed[[#Headers],[Category]], -1, 2)</f>
        <v>Wheat grain</v>
      </c>
      <c r="F112" s="10" t="str" cm="1">
        <f t="array" ref="F112">Common_InputFunctions.Utility_DisplayArrayInTable(Scope3_SourceData.Scope3_Feed_Data(), Table_SourceData_Scope3_Feed[[#Headers],[Category]], -1, 2)</f>
        <v>NT</v>
      </c>
      <c r="G112" s="10" t="str" cm="1">
        <f t="array" ref="G112">Common_InputFunctions.Utility_DisplayArrayInTable(Scope3_SourceData.Scope3_Feed_Data(), Table_SourceData_Scope3_Feed[[#Headers],[Category]], -1, 2)</f>
        <v>kg</v>
      </c>
      <c r="H112" s="10" cm="1">
        <f t="array" ref="H112">Common_InputFunctions.Utility_DisplayArrayInTable(Scope3_SourceData.Scope3_Feed_Data(), Table_SourceData_Scope3_Feed[[#Headers],[Category]], -1, 2)</f>
        <v>0.38500000000000001</v>
      </c>
      <c r="I112" s="10" t="str" cm="1">
        <f t="array" ref="I112">Common_InputFunctions.Utility_DisplayArrayInTable(Scope3_SourceData.Scope3_Feed_Data(), Table_SourceData_Scope3_Feed[[#Headers],[Category]], -1, 2)</f>
        <v>at market</v>
      </c>
      <c r="J112" s="10" t="s">
        <v>912</v>
      </c>
      <c r="L112" s="10" t="str">
        <f>Table_SourceData_Scope3_Feed[[#This Row],[Product]]</f>
        <v>Wheat grain</v>
      </c>
      <c r="M112" s="10" t="str">
        <f>Table_SourceData_Scope3_Feed[[#This Row],[Region of origin]]</f>
        <v>NT</v>
      </c>
    </row>
    <row r="113" spans="4:17" ht="20.100000000000001" customHeight="1" x14ac:dyDescent="0.2">
      <c r="D113" s="10" t="str" cm="1">
        <f t="array" ref="D113">Common_InputFunctions.Utility_DisplayArrayInTable(Scope3_SourceData.Scope3_Feed_Data(), Table_SourceData_Scope3_Feed[[#Headers],[Category]], -1, 2)</f>
        <v>Grain</v>
      </c>
      <c r="E113" s="10" t="str" cm="1">
        <f t="array" ref="E113">Common_InputFunctions.Utility_DisplayArrayInTable(Scope3_SourceData.Scope3_Feed_Data(), Table_SourceData_Scope3_Feed[[#Headers],[Category]], -1, 2)</f>
        <v>Wheat grain</v>
      </c>
      <c r="F113" s="10" t="str" cm="1">
        <f t="array" ref="F113">Common_InputFunctions.Utility_DisplayArrayInTable(Scope3_SourceData.Scope3_Feed_Data(), Table_SourceData_Scope3_Feed[[#Headers],[Category]], -1, 2)</f>
        <v>QLD</v>
      </c>
      <c r="G113" s="10" t="str" cm="1">
        <f t="array" ref="G113">Common_InputFunctions.Utility_DisplayArrayInTable(Scope3_SourceData.Scope3_Feed_Data(), Table_SourceData_Scope3_Feed[[#Headers],[Category]], -1, 2)</f>
        <v>kg</v>
      </c>
      <c r="H113" s="10" cm="1">
        <f t="array" ref="H113">Common_InputFunctions.Utility_DisplayArrayInTable(Scope3_SourceData.Scope3_Feed_Data(), Table_SourceData_Scope3_Feed[[#Headers],[Category]], -1, 2)</f>
        <v>0.29599999999999999</v>
      </c>
      <c r="I113" s="10" t="str" cm="1">
        <f t="array" ref="I113">Common_InputFunctions.Utility_DisplayArrayInTable(Scope3_SourceData.Scope3_Feed_Data(), Table_SourceData_Scope3_Feed[[#Headers],[Category]], -1, 2)</f>
        <v>at market</v>
      </c>
      <c r="J113" s="10" t="s">
        <v>912</v>
      </c>
      <c r="L113" s="10" t="str">
        <f>Table_SourceData_Scope3_Feed[[#This Row],[Product]]</f>
        <v>Wheat grain</v>
      </c>
      <c r="M113" s="10" t="str">
        <f>Table_SourceData_Scope3_Feed[[#This Row],[Region of origin]]</f>
        <v>QLD</v>
      </c>
    </row>
    <row r="114" spans="4:17" ht="20.100000000000001" customHeight="1" x14ac:dyDescent="0.2">
      <c r="D114" s="10" t="str" cm="1">
        <f t="array" ref="D114">Common_InputFunctions.Utility_DisplayArrayInTable(Scope3_SourceData.Scope3_Feed_Data(), Table_SourceData_Scope3_Feed[[#Headers],[Category]], -1, 2)</f>
        <v>Grain</v>
      </c>
      <c r="E114" s="10" t="str" cm="1">
        <f t="array" ref="E114">Common_InputFunctions.Utility_DisplayArrayInTable(Scope3_SourceData.Scope3_Feed_Data(), Table_SourceData_Scope3_Feed[[#Headers],[Category]], -1, 2)</f>
        <v>Wheat grain</v>
      </c>
      <c r="F114" s="10" t="str" cm="1">
        <f t="array" ref="F114">Common_InputFunctions.Utility_DisplayArrayInTable(Scope3_SourceData.Scope3_Feed_Data(), Table_SourceData_Scope3_Feed[[#Headers],[Category]], -1, 2)</f>
        <v>SA</v>
      </c>
      <c r="G114" s="10" t="str" cm="1">
        <f t="array" ref="G114">Common_InputFunctions.Utility_DisplayArrayInTable(Scope3_SourceData.Scope3_Feed_Data(), Table_SourceData_Scope3_Feed[[#Headers],[Category]], -1, 2)</f>
        <v>kg</v>
      </c>
      <c r="H114" s="10" cm="1">
        <f t="array" ref="H114">Common_InputFunctions.Utility_DisplayArrayInTable(Scope3_SourceData.Scope3_Feed_Data(), Table_SourceData_Scope3_Feed[[#Headers],[Category]], -1, 2)</f>
        <v>0.24099999999999999</v>
      </c>
      <c r="I114" s="10" t="str" cm="1">
        <f t="array" ref="I114">Common_InputFunctions.Utility_DisplayArrayInTable(Scope3_SourceData.Scope3_Feed_Data(), Table_SourceData_Scope3_Feed[[#Headers],[Category]], -1, 2)</f>
        <v>at market</v>
      </c>
      <c r="J114" s="10" t="s">
        <v>912</v>
      </c>
      <c r="L114" s="10" t="str">
        <f>Table_SourceData_Scope3_Feed[[#This Row],[Product]]</f>
        <v>Wheat grain</v>
      </c>
      <c r="M114" s="10" t="str">
        <f>Table_SourceData_Scope3_Feed[[#This Row],[Region of origin]]</f>
        <v>SA</v>
      </c>
    </row>
    <row r="115" spans="4:17" ht="20.100000000000001" customHeight="1" x14ac:dyDescent="0.2">
      <c r="D115" s="10" t="str" cm="1">
        <f t="array" ref="D115">Common_InputFunctions.Utility_DisplayArrayInTable(Scope3_SourceData.Scope3_Feed_Data(), Table_SourceData_Scope3_Feed[[#Headers],[Category]], -1, 2)</f>
        <v>Grain</v>
      </c>
      <c r="E115" s="10" t="str" cm="1">
        <f t="array" ref="E115">Common_InputFunctions.Utility_DisplayArrayInTable(Scope3_SourceData.Scope3_Feed_Data(), Table_SourceData_Scope3_Feed[[#Headers],[Category]], -1, 2)</f>
        <v>Wheat grain</v>
      </c>
      <c r="F115" s="10" t="str" cm="1">
        <f t="array" ref="F115">Common_InputFunctions.Utility_DisplayArrayInTable(Scope3_SourceData.Scope3_Feed_Data(), Table_SourceData_Scope3_Feed[[#Headers],[Category]], -1, 2)</f>
        <v>TAS</v>
      </c>
      <c r="G115" s="10" t="str" cm="1">
        <f t="array" ref="G115">Common_InputFunctions.Utility_DisplayArrayInTable(Scope3_SourceData.Scope3_Feed_Data(), Table_SourceData_Scope3_Feed[[#Headers],[Category]], -1, 2)</f>
        <v>kg</v>
      </c>
      <c r="H115" s="10" cm="1">
        <f t="array" ref="H115">Common_InputFunctions.Utility_DisplayArrayInTable(Scope3_SourceData.Scope3_Feed_Data(), Table_SourceData_Scope3_Feed[[#Headers],[Category]], -1, 2)</f>
        <v>0.33800000000000002</v>
      </c>
      <c r="I115" s="10" t="str" cm="1">
        <f t="array" ref="I115">Common_InputFunctions.Utility_DisplayArrayInTable(Scope3_SourceData.Scope3_Feed_Data(), Table_SourceData_Scope3_Feed[[#Headers],[Category]], -1, 2)</f>
        <v>at market</v>
      </c>
      <c r="J115" s="10" t="s">
        <v>912</v>
      </c>
      <c r="L115" s="10" t="str">
        <f>Table_SourceData_Scope3_Feed[[#This Row],[Product]]</f>
        <v>Wheat grain</v>
      </c>
      <c r="M115" s="10" t="str">
        <f>Table_SourceData_Scope3_Feed[[#This Row],[Region of origin]]</f>
        <v>TAS</v>
      </c>
    </row>
    <row r="116" spans="4:17" ht="20.100000000000001" customHeight="1" x14ac:dyDescent="0.2">
      <c r="D116" s="10" t="str" cm="1">
        <f t="array" ref="D116">Common_InputFunctions.Utility_DisplayArrayInTable(Scope3_SourceData.Scope3_Feed_Data(), Table_SourceData_Scope3_Feed[[#Headers],[Category]], -1, 2)</f>
        <v>Grain</v>
      </c>
      <c r="E116" s="10" t="str" cm="1">
        <f t="array" ref="E116">Common_InputFunctions.Utility_DisplayArrayInTable(Scope3_SourceData.Scope3_Feed_Data(), Table_SourceData_Scope3_Feed[[#Headers],[Category]], -1, 2)</f>
        <v>Wheat grain</v>
      </c>
      <c r="F116" s="10" t="str" cm="1">
        <f t="array" ref="F116">Common_InputFunctions.Utility_DisplayArrayInTable(Scope3_SourceData.Scope3_Feed_Data(), Table_SourceData_Scope3_Feed[[#Headers],[Category]], -1, 2)</f>
        <v>VIC</v>
      </c>
      <c r="G116" s="10" t="str" cm="1">
        <f t="array" ref="G116">Common_InputFunctions.Utility_DisplayArrayInTable(Scope3_SourceData.Scope3_Feed_Data(), Table_SourceData_Scope3_Feed[[#Headers],[Category]], -1, 2)</f>
        <v>kg</v>
      </c>
      <c r="H116" s="10" cm="1">
        <f t="array" ref="H116">Common_InputFunctions.Utility_DisplayArrayInTable(Scope3_SourceData.Scope3_Feed_Data(), Table_SourceData_Scope3_Feed[[#Headers],[Category]], -1, 2)</f>
        <v>0.26600000000000001</v>
      </c>
      <c r="I116" s="10" t="str" cm="1">
        <f t="array" ref="I116">Common_InputFunctions.Utility_DisplayArrayInTable(Scope3_SourceData.Scope3_Feed_Data(), Table_SourceData_Scope3_Feed[[#Headers],[Category]], -1, 2)</f>
        <v>at market</v>
      </c>
      <c r="J116" s="10" t="s">
        <v>912</v>
      </c>
      <c r="L116" s="10" t="str">
        <f>Table_SourceData_Scope3_Feed[[#This Row],[Product]]</f>
        <v>Wheat grain</v>
      </c>
      <c r="M116" s="10" t="str">
        <f>Table_SourceData_Scope3_Feed[[#This Row],[Region of origin]]</f>
        <v>VIC</v>
      </c>
    </row>
    <row r="117" spans="4:17" ht="20.100000000000001" customHeight="1" x14ac:dyDescent="0.2">
      <c r="D117" s="10" t="str" cm="1">
        <f t="array" ref="D117">Common_InputFunctions.Utility_DisplayArrayInTable(Scope3_SourceData.Scope3_Feed_Data(), Table_SourceData_Scope3_Feed[[#Headers],[Category]], -1, 2)</f>
        <v>Grain</v>
      </c>
      <c r="E117" s="10" t="str" cm="1">
        <f t="array" ref="E117">Common_InputFunctions.Utility_DisplayArrayInTable(Scope3_SourceData.Scope3_Feed_Data(), Table_SourceData_Scope3_Feed[[#Headers],[Category]], -1, 2)</f>
        <v>Wheat grain</v>
      </c>
      <c r="F117" s="10" t="str" cm="1">
        <f t="array" ref="F117">Common_InputFunctions.Utility_DisplayArrayInTable(Scope3_SourceData.Scope3_Feed_Data(), Table_SourceData_Scope3_Feed[[#Headers],[Category]], -1, 2)</f>
        <v>WA</v>
      </c>
      <c r="G117" s="10" t="str" cm="1">
        <f t="array" ref="G117">Common_InputFunctions.Utility_DisplayArrayInTable(Scope3_SourceData.Scope3_Feed_Data(), Table_SourceData_Scope3_Feed[[#Headers],[Category]], -1, 2)</f>
        <v>kg</v>
      </c>
      <c r="H117" s="10" cm="1">
        <f t="array" ref="H117">Common_InputFunctions.Utility_DisplayArrayInTable(Scope3_SourceData.Scope3_Feed_Data(), Table_SourceData_Scope3_Feed[[#Headers],[Category]], -1, 2)</f>
        <v>0.26100000000000001</v>
      </c>
      <c r="I117" s="10" t="str" cm="1">
        <f t="array" ref="I117">Common_InputFunctions.Utility_DisplayArrayInTable(Scope3_SourceData.Scope3_Feed_Data(), Table_SourceData_Scope3_Feed[[#Headers],[Category]], -1, 2)</f>
        <v>at market</v>
      </c>
      <c r="J117" s="10" t="s">
        <v>912</v>
      </c>
      <c r="L117" s="10" t="str">
        <f>Table_SourceData_Scope3_Feed[[#This Row],[Product]]</f>
        <v>Wheat grain</v>
      </c>
      <c r="M117" s="10" t="str">
        <f>Table_SourceData_Scope3_Feed[[#This Row],[Region of origin]]</f>
        <v>WA</v>
      </c>
      <c r="O117" s="10" t="s">
        <v>212</v>
      </c>
      <c r="P117" s="10" t="s">
        <v>380</v>
      </c>
      <c r="Q117" s="8" t="str">
        <f>"Table_ProductRegions_" &amp; SUBSTITUTE(SUBSTITUTE(SUBSTITUTE(SUBSTITUTE(O118, " ", ""), ",", ""), "(", ""), ")", "")</f>
        <v>Table_ProductRegions_Cerealhay</v>
      </c>
    </row>
    <row r="118" spans="4:17" ht="20.100000000000001" customHeight="1" x14ac:dyDescent="0.2">
      <c r="D118" s="10" t="str" cm="1">
        <f t="array" ref="D118">Common_InputFunctions.Utility_DisplayArrayInTable(Scope3_SourceData.Scope3_Feed_Data(), Table_SourceData_Scope3_Feed[[#Headers],[Category]], -1, 2)</f>
        <v>Hay</v>
      </c>
      <c r="E118" s="10" t="str" cm="1">
        <f t="array" ref="E118">Common_InputFunctions.Utility_DisplayArrayInTable(Scope3_SourceData.Scope3_Feed_Data(), Table_SourceData_Scope3_Feed[[#Headers],[Category]], -1, 2)</f>
        <v>Cereal hay</v>
      </c>
      <c r="F118" s="10" t="str" cm="1">
        <f t="array" ref="F118">Common_InputFunctions.Utility_DisplayArrayInTable(Scope3_SourceData.Scope3_Feed_Data(), Table_SourceData_Scope3_Feed[[#Headers],[Category]], -1, 2)</f>
        <v>Australia</v>
      </c>
      <c r="G118" s="10" t="str" cm="1">
        <f t="array" ref="G118">Common_InputFunctions.Utility_DisplayArrayInTable(Scope3_SourceData.Scope3_Feed_Data(), Table_SourceData_Scope3_Feed[[#Headers],[Category]], -1, 2)</f>
        <v>kg</v>
      </c>
      <c r="H118" s="10" cm="1">
        <f t="array" ref="H118">Common_InputFunctions.Utility_DisplayArrayInTable(Scope3_SourceData.Scope3_Feed_Data(), Table_SourceData_Scope3_Feed[[#Headers],[Category]], -1, 2)</f>
        <v>0.11700000000000001</v>
      </c>
      <c r="I118" s="10" t="str" cm="1">
        <f t="array" ref="I118">Common_InputFunctions.Utility_DisplayArrayInTable(Scope3_SourceData.Scope3_Feed_Data(), Table_SourceData_Scope3_Feed[[#Headers],[Category]], -1, 2)</f>
        <v>at market</v>
      </c>
      <c r="J118" s="10" t="s">
        <v>912</v>
      </c>
      <c r="O118" s="10" t="str">
        <f>Table_SourceData_Scope3_Feed[[#This Row],[Product]]</f>
        <v>Cereal hay</v>
      </c>
      <c r="P118" s="10" t="str">
        <f>Table_SourceData_Scope3_Feed[[#This Row],[Region of origin]]</f>
        <v>Australia</v>
      </c>
    </row>
    <row r="119" spans="4:17" ht="20.100000000000001" customHeight="1" x14ac:dyDescent="0.2">
      <c r="D119" s="10" t="str" cm="1">
        <f t="array" ref="D119">Common_InputFunctions.Utility_DisplayArrayInTable(Scope3_SourceData.Scope3_Feed_Data(), Table_SourceData_Scope3_Feed[[#Headers],[Category]], -1, 2)</f>
        <v>Hay</v>
      </c>
      <c r="E119" s="10" t="str" cm="1">
        <f t="array" ref="E119">Common_InputFunctions.Utility_DisplayArrayInTable(Scope3_SourceData.Scope3_Feed_Data(), Table_SourceData_Scope3_Feed[[#Headers],[Category]], -1, 2)</f>
        <v>Cereal hay</v>
      </c>
      <c r="F119" s="10" t="str" cm="1">
        <f t="array" ref="F119">Common_InputFunctions.Utility_DisplayArrayInTable(Scope3_SourceData.Scope3_Feed_Data(), Table_SourceData_Scope3_Feed[[#Headers],[Category]], -1, 2)</f>
        <v>NSW</v>
      </c>
      <c r="G119" s="10" t="str" cm="1">
        <f t="array" ref="G119">Common_InputFunctions.Utility_DisplayArrayInTable(Scope3_SourceData.Scope3_Feed_Data(), Table_SourceData_Scope3_Feed[[#Headers],[Category]], -1, 2)</f>
        <v>kg</v>
      </c>
      <c r="H119" s="10" cm="1">
        <f t="array" ref="H119">Common_InputFunctions.Utility_DisplayArrayInTable(Scope3_SourceData.Scope3_Feed_Data(), Table_SourceData_Scope3_Feed[[#Headers],[Category]], -1, 2)</f>
        <v>0.11600000000000001</v>
      </c>
      <c r="I119" s="10" t="str" cm="1">
        <f t="array" ref="I119">Common_InputFunctions.Utility_DisplayArrayInTable(Scope3_SourceData.Scope3_Feed_Data(), Table_SourceData_Scope3_Feed[[#Headers],[Category]], -1, 2)</f>
        <v>at market</v>
      </c>
      <c r="J119" s="10" t="s">
        <v>912</v>
      </c>
      <c r="O119" s="10" t="str">
        <f>Table_SourceData_Scope3_Feed[[#This Row],[Product]]</f>
        <v>Cereal hay</v>
      </c>
      <c r="P119" s="10" t="str">
        <f>Table_SourceData_Scope3_Feed[[#This Row],[Region of origin]]</f>
        <v>NSW</v>
      </c>
    </row>
    <row r="120" spans="4:17" ht="20.100000000000001" customHeight="1" x14ac:dyDescent="0.2">
      <c r="D120" s="10" t="str" cm="1">
        <f t="array" ref="D120">Common_InputFunctions.Utility_DisplayArrayInTable(Scope3_SourceData.Scope3_Feed_Data(), Table_SourceData_Scope3_Feed[[#Headers],[Category]], -1, 2)</f>
        <v>Hay</v>
      </c>
      <c r="E120" s="10" t="str" cm="1">
        <f t="array" ref="E120">Common_InputFunctions.Utility_DisplayArrayInTable(Scope3_SourceData.Scope3_Feed_Data(), Table_SourceData_Scope3_Feed[[#Headers],[Category]], -1, 2)</f>
        <v>Cereal hay</v>
      </c>
      <c r="F120" s="10" t="str" cm="1">
        <f t="array" ref="F120">Common_InputFunctions.Utility_DisplayArrayInTable(Scope3_SourceData.Scope3_Feed_Data(), Table_SourceData_Scope3_Feed[[#Headers],[Category]], -1, 2)</f>
        <v>QLD</v>
      </c>
      <c r="G120" s="10" t="str" cm="1">
        <f t="array" ref="G120">Common_InputFunctions.Utility_DisplayArrayInTable(Scope3_SourceData.Scope3_Feed_Data(), Table_SourceData_Scope3_Feed[[#Headers],[Category]], -1, 2)</f>
        <v>kg</v>
      </c>
      <c r="H120" s="10" cm="1">
        <f t="array" ref="H120">Common_InputFunctions.Utility_DisplayArrayInTable(Scope3_SourceData.Scope3_Feed_Data(), Table_SourceData_Scope3_Feed[[#Headers],[Category]], -1, 2)</f>
        <v>0.11799999999999999</v>
      </c>
      <c r="I120" s="10" t="str" cm="1">
        <f t="array" ref="I120">Common_InputFunctions.Utility_DisplayArrayInTable(Scope3_SourceData.Scope3_Feed_Data(), Table_SourceData_Scope3_Feed[[#Headers],[Category]], -1, 2)</f>
        <v>at market</v>
      </c>
      <c r="J120" s="10" t="s">
        <v>912</v>
      </c>
      <c r="O120" s="10" t="str">
        <f>Table_SourceData_Scope3_Feed[[#This Row],[Product]]</f>
        <v>Cereal hay</v>
      </c>
      <c r="P120" s="10" t="str">
        <f>Table_SourceData_Scope3_Feed[[#This Row],[Region of origin]]</f>
        <v>QLD</v>
      </c>
    </row>
    <row r="121" spans="4:17" ht="20.100000000000001" customHeight="1" x14ac:dyDescent="0.2">
      <c r="D121" s="10" t="str" cm="1">
        <f t="array" ref="D121">Common_InputFunctions.Utility_DisplayArrayInTable(Scope3_SourceData.Scope3_Feed_Data(), Table_SourceData_Scope3_Feed[[#Headers],[Category]], -1, 2)</f>
        <v>Hay</v>
      </c>
      <c r="E121" s="10" t="str" cm="1">
        <f t="array" ref="E121">Common_InputFunctions.Utility_DisplayArrayInTable(Scope3_SourceData.Scope3_Feed_Data(), Table_SourceData_Scope3_Feed[[#Headers],[Category]], -1, 2)</f>
        <v>Cereal hay</v>
      </c>
      <c r="F121" s="10" t="str" cm="1">
        <f t="array" ref="F121">Common_InputFunctions.Utility_DisplayArrayInTable(Scope3_SourceData.Scope3_Feed_Data(), Table_SourceData_Scope3_Feed[[#Headers],[Category]], -1, 2)</f>
        <v>SA</v>
      </c>
      <c r="G121" s="10" t="str" cm="1">
        <f t="array" ref="G121">Common_InputFunctions.Utility_DisplayArrayInTable(Scope3_SourceData.Scope3_Feed_Data(), Table_SourceData_Scope3_Feed[[#Headers],[Category]], -1, 2)</f>
        <v>kg</v>
      </c>
      <c r="H121" s="10" cm="1">
        <f t="array" ref="H121">Common_InputFunctions.Utility_DisplayArrayInTable(Scope3_SourceData.Scope3_Feed_Data(), Table_SourceData_Scope3_Feed[[#Headers],[Category]], -1, 2)</f>
        <v>0.111</v>
      </c>
      <c r="I121" s="10" t="str" cm="1">
        <f t="array" ref="I121">Common_InputFunctions.Utility_DisplayArrayInTable(Scope3_SourceData.Scope3_Feed_Data(), Table_SourceData_Scope3_Feed[[#Headers],[Category]], -1, 2)</f>
        <v>at market</v>
      </c>
      <c r="J121" s="10" t="s">
        <v>912</v>
      </c>
      <c r="O121" s="10" t="str">
        <f>Table_SourceData_Scope3_Feed[[#This Row],[Product]]</f>
        <v>Cereal hay</v>
      </c>
      <c r="P121" s="10" t="str">
        <f>Table_SourceData_Scope3_Feed[[#This Row],[Region of origin]]</f>
        <v>SA</v>
      </c>
    </row>
    <row r="122" spans="4:17" ht="20.100000000000001" customHeight="1" x14ac:dyDescent="0.2">
      <c r="D122" s="10" t="str" cm="1">
        <f t="array" ref="D122">Common_InputFunctions.Utility_DisplayArrayInTable(Scope3_SourceData.Scope3_Feed_Data(), Table_SourceData_Scope3_Feed[[#Headers],[Category]], -1, 2)</f>
        <v>Hay</v>
      </c>
      <c r="E122" s="10" t="str" cm="1">
        <f t="array" ref="E122">Common_InputFunctions.Utility_DisplayArrayInTable(Scope3_SourceData.Scope3_Feed_Data(), Table_SourceData_Scope3_Feed[[#Headers],[Category]], -1, 2)</f>
        <v>Cereal hay</v>
      </c>
      <c r="F122" s="10" t="str" cm="1">
        <f t="array" ref="F122">Common_InputFunctions.Utility_DisplayArrayInTable(Scope3_SourceData.Scope3_Feed_Data(), Table_SourceData_Scope3_Feed[[#Headers],[Category]], -1, 2)</f>
        <v>TAS</v>
      </c>
      <c r="G122" s="10" t="str" cm="1">
        <f t="array" ref="G122">Common_InputFunctions.Utility_DisplayArrayInTable(Scope3_SourceData.Scope3_Feed_Data(), Table_SourceData_Scope3_Feed[[#Headers],[Category]], -1, 2)</f>
        <v>kg</v>
      </c>
      <c r="H122" s="10" cm="1">
        <f t="array" ref="H122">Common_InputFunctions.Utility_DisplayArrayInTable(Scope3_SourceData.Scope3_Feed_Data(), Table_SourceData_Scope3_Feed[[#Headers],[Category]], -1, 2)</f>
        <v>0.13900000000000001</v>
      </c>
      <c r="I122" s="10" t="str" cm="1">
        <f t="array" ref="I122">Common_InputFunctions.Utility_DisplayArrayInTable(Scope3_SourceData.Scope3_Feed_Data(), Table_SourceData_Scope3_Feed[[#Headers],[Category]], -1, 2)</f>
        <v>at market</v>
      </c>
      <c r="J122" s="10" t="s">
        <v>912</v>
      </c>
      <c r="O122" s="10" t="str">
        <f>Table_SourceData_Scope3_Feed[[#This Row],[Product]]</f>
        <v>Cereal hay</v>
      </c>
      <c r="P122" s="10" t="str">
        <f>Table_SourceData_Scope3_Feed[[#This Row],[Region of origin]]</f>
        <v>TAS</v>
      </c>
    </row>
    <row r="123" spans="4:17" ht="20.100000000000001" customHeight="1" x14ac:dyDescent="0.2">
      <c r="D123" s="10" t="str" cm="1">
        <f t="array" ref="D123">Common_InputFunctions.Utility_DisplayArrayInTable(Scope3_SourceData.Scope3_Feed_Data(), Table_SourceData_Scope3_Feed[[#Headers],[Category]], -1, 2)</f>
        <v>Hay</v>
      </c>
      <c r="E123" s="10" t="str" cm="1">
        <f t="array" ref="E123">Common_InputFunctions.Utility_DisplayArrayInTable(Scope3_SourceData.Scope3_Feed_Data(), Table_SourceData_Scope3_Feed[[#Headers],[Category]], -1, 2)</f>
        <v>Cereal hay</v>
      </c>
      <c r="F123" s="10" t="str" cm="1">
        <f t="array" ref="F123">Common_InputFunctions.Utility_DisplayArrayInTable(Scope3_SourceData.Scope3_Feed_Data(), Table_SourceData_Scope3_Feed[[#Headers],[Category]], -1, 2)</f>
        <v>VIC</v>
      </c>
      <c r="G123" s="10" t="str" cm="1">
        <f t="array" ref="G123">Common_InputFunctions.Utility_DisplayArrayInTable(Scope3_SourceData.Scope3_Feed_Data(), Table_SourceData_Scope3_Feed[[#Headers],[Category]], -1, 2)</f>
        <v>kg</v>
      </c>
      <c r="H123" s="10" cm="1">
        <f t="array" ref="H123">Common_InputFunctions.Utility_DisplayArrayInTable(Scope3_SourceData.Scope3_Feed_Data(), Table_SourceData_Scope3_Feed[[#Headers],[Category]], -1, 2)</f>
        <v>0.11600000000000001</v>
      </c>
      <c r="I123" s="10" t="str" cm="1">
        <f t="array" ref="I123">Common_InputFunctions.Utility_DisplayArrayInTable(Scope3_SourceData.Scope3_Feed_Data(), Table_SourceData_Scope3_Feed[[#Headers],[Category]], -1, 2)</f>
        <v>at market</v>
      </c>
      <c r="J123" s="10" t="s">
        <v>912</v>
      </c>
      <c r="O123" s="10" t="str">
        <f>Table_SourceData_Scope3_Feed[[#This Row],[Product]]</f>
        <v>Cereal hay</v>
      </c>
      <c r="P123" s="10" t="str">
        <f>Table_SourceData_Scope3_Feed[[#This Row],[Region of origin]]</f>
        <v>VIC</v>
      </c>
    </row>
    <row r="124" spans="4:17" ht="20.100000000000001" customHeight="1" x14ac:dyDescent="0.2">
      <c r="D124" s="10" t="str" cm="1">
        <f t="array" ref="D124">Common_InputFunctions.Utility_DisplayArrayInTable(Scope3_SourceData.Scope3_Feed_Data(), Table_SourceData_Scope3_Feed[[#Headers],[Category]], -1, 2)</f>
        <v>Hay</v>
      </c>
      <c r="E124" s="10" t="str" cm="1">
        <f t="array" ref="E124">Common_InputFunctions.Utility_DisplayArrayInTable(Scope3_SourceData.Scope3_Feed_Data(), Table_SourceData_Scope3_Feed[[#Headers],[Category]], -1, 2)</f>
        <v>Cereal hay</v>
      </c>
      <c r="F124" s="10" t="str" cm="1">
        <f t="array" ref="F124">Common_InputFunctions.Utility_DisplayArrayInTable(Scope3_SourceData.Scope3_Feed_Data(), Table_SourceData_Scope3_Feed[[#Headers],[Category]], -1, 2)</f>
        <v>WA</v>
      </c>
      <c r="G124" s="10" t="str" cm="1">
        <f t="array" ref="G124">Common_InputFunctions.Utility_DisplayArrayInTable(Scope3_SourceData.Scope3_Feed_Data(), Table_SourceData_Scope3_Feed[[#Headers],[Category]], -1, 2)</f>
        <v>kg</v>
      </c>
      <c r="H124" s="10" cm="1">
        <f t="array" ref="H124">Common_InputFunctions.Utility_DisplayArrayInTable(Scope3_SourceData.Scope3_Feed_Data(), Table_SourceData_Scope3_Feed[[#Headers],[Category]], -1, 2)</f>
        <v>0.122</v>
      </c>
      <c r="I124" s="10" t="str" cm="1">
        <f t="array" ref="I124">Common_InputFunctions.Utility_DisplayArrayInTable(Scope3_SourceData.Scope3_Feed_Data(), Table_SourceData_Scope3_Feed[[#Headers],[Category]], -1, 2)</f>
        <v>at market</v>
      </c>
      <c r="J124" s="10" t="s">
        <v>912</v>
      </c>
      <c r="L124" s="10" t="s">
        <v>212</v>
      </c>
      <c r="M124" s="10" t="s">
        <v>380</v>
      </c>
      <c r="N124" s="8" t="str">
        <f>"Table_ProductRegions_" &amp; SUBSTITUTE(SUBSTITUTE(SUBSTITUTE(SUBSTITUTE(L125, " ", ""), ",", ""), "(", ""), ")", "")</f>
        <v>Table_ProductRegions_Cerealsilage</v>
      </c>
      <c r="O124" s="10" t="str">
        <f>Table_SourceData_Scope3_Feed[[#This Row],[Product]]</f>
        <v>Cereal hay</v>
      </c>
      <c r="P124" s="10" t="str">
        <f>Table_SourceData_Scope3_Feed[[#This Row],[Region of origin]]</f>
        <v>WA</v>
      </c>
    </row>
    <row r="125" spans="4:17" ht="20.100000000000001" customHeight="1" x14ac:dyDescent="0.2">
      <c r="D125" s="10" t="str" cm="1">
        <f t="array" ref="D125">Common_InputFunctions.Utility_DisplayArrayInTable(Scope3_SourceData.Scope3_Feed_Data(), Table_SourceData_Scope3_Feed[[#Headers],[Category]], -1, 2)</f>
        <v>Hay</v>
      </c>
      <c r="E125" s="10" t="str" cm="1">
        <f t="array" ref="E125">Common_InputFunctions.Utility_DisplayArrayInTable(Scope3_SourceData.Scope3_Feed_Data(), Table_SourceData_Scope3_Feed[[#Headers],[Category]], -1, 2)</f>
        <v>Cereal silage</v>
      </c>
      <c r="F125" s="10" t="str" cm="1">
        <f t="array" ref="F125">Common_InputFunctions.Utility_DisplayArrayInTable(Scope3_SourceData.Scope3_Feed_Data(), Table_SourceData_Scope3_Feed[[#Headers],[Category]], -1, 2)</f>
        <v>Australia</v>
      </c>
      <c r="G125" s="10" t="str" cm="1">
        <f t="array" ref="G125">Common_InputFunctions.Utility_DisplayArrayInTable(Scope3_SourceData.Scope3_Feed_Data(), Table_SourceData_Scope3_Feed[[#Headers],[Category]], -1, 2)</f>
        <v>kg</v>
      </c>
      <c r="H125" s="10" cm="1">
        <f t="array" ref="H125">Common_InputFunctions.Utility_DisplayArrayInTable(Scope3_SourceData.Scope3_Feed_Data(), Table_SourceData_Scope3_Feed[[#Headers],[Category]], -1, 2)</f>
        <v>7.4399999999999994E-2</v>
      </c>
      <c r="I125" s="10" t="str" cm="1">
        <f t="array" ref="I125">Common_InputFunctions.Utility_DisplayArrayInTable(Scope3_SourceData.Scope3_Feed_Data(), Table_SourceData_Scope3_Feed[[#Headers],[Category]], -1, 2)</f>
        <v>at market</v>
      </c>
      <c r="J125" s="10" t="s">
        <v>912</v>
      </c>
      <c r="L125" s="10" t="str">
        <f>Table_SourceData_Scope3_Feed[[#This Row],[Product]]</f>
        <v>Cereal silage</v>
      </c>
      <c r="M125" s="10" t="str">
        <f>Table_SourceData_Scope3_Feed[[#This Row],[Region of origin]]</f>
        <v>Australia</v>
      </c>
    </row>
    <row r="126" spans="4:17" ht="20.100000000000001" customHeight="1" x14ac:dyDescent="0.2">
      <c r="D126" s="10" t="str" cm="1">
        <f t="array" ref="D126">Common_InputFunctions.Utility_DisplayArrayInTable(Scope3_SourceData.Scope3_Feed_Data(), Table_SourceData_Scope3_Feed[[#Headers],[Category]], -1, 2)</f>
        <v>Hay</v>
      </c>
      <c r="E126" s="10" t="str" cm="1">
        <f t="array" ref="E126">Common_InputFunctions.Utility_DisplayArrayInTable(Scope3_SourceData.Scope3_Feed_Data(), Table_SourceData_Scope3_Feed[[#Headers],[Category]], -1, 2)</f>
        <v>Cereal silage</v>
      </c>
      <c r="F126" s="10" t="str" cm="1">
        <f t="array" ref="F126">Common_InputFunctions.Utility_DisplayArrayInTable(Scope3_SourceData.Scope3_Feed_Data(), Table_SourceData_Scope3_Feed[[#Headers],[Category]], -1, 2)</f>
        <v>NSW</v>
      </c>
      <c r="G126" s="10" t="str" cm="1">
        <f t="array" ref="G126">Common_InputFunctions.Utility_DisplayArrayInTable(Scope3_SourceData.Scope3_Feed_Data(), Table_SourceData_Scope3_Feed[[#Headers],[Category]], -1, 2)</f>
        <v>kg</v>
      </c>
      <c r="H126" s="10" cm="1">
        <f t="array" ref="H126">Common_InputFunctions.Utility_DisplayArrayInTable(Scope3_SourceData.Scope3_Feed_Data(), Table_SourceData_Scope3_Feed[[#Headers],[Category]], -1, 2)</f>
        <v>7.3899999999999993E-2</v>
      </c>
      <c r="I126" s="10" t="str" cm="1">
        <f t="array" ref="I126">Common_InputFunctions.Utility_DisplayArrayInTable(Scope3_SourceData.Scope3_Feed_Data(), Table_SourceData_Scope3_Feed[[#Headers],[Category]], -1, 2)</f>
        <v>at market</v>
      </c>
      <c r="J126" s="10" t="s">
        <v>912</v>
      </c>
      <c r="L126" s="10" t="str">
        <f>Table_SourceData_Scope3_Feed[[#This Row],[Product]]</f>
        <v>Cereal silage</v>
      </c>
      <c r="M126" s="10" t="str">
        <f>Table_SourceData_Scope3_Feed[[#This Row],[Region of origin]]</f>
        <v>NSW</v>
      </c>
    </row>
    <row r="127" spans="4:17" ht="20.100000000000001" customHeight="1" x14ac:dyDescent="0.2">
      <c r="D127" s="10" t="str" cm="1">
        <f t="array" ref="D127">Common_InputFunctions.Utility_DisplayArrayInTable(Scope3_SourceData.Scope3_Feed_Data(), Table_SourceData_Scope3_Feed[[#Headers],[Category]], -1, 2)</f>
        <v>Hay</v>
      </c>
      <c r="E127" s="10" t="str" cm="1">
        <f t="array" ref="E127">Common_InputFunctions.Utility_DisplayArrayInTable(Scope3_SourceData.Scope3_Feed_Data(), Table_SourceData_Scope3_Feed[[#Headers],[Category]], -1, 2)</f>
        <v>Cereal silage</v>
      </c>
      <c r="F127" s="10" t="str" cm="1">
        <f t="array" ref="F127">Common_InputFunctions.Utility_DisplayArrayInTable(Scope3_SourceData.Scope3_Feed_Data(), Table_SourceData_Scope3_Feed[[#Headers],[Category]], -1, 2)</f>
        <v>QLD</v>
      </c>
      <c r="G127" s="10" t="str" cm="1">
        <f t="array" ref="G127">Common_InputFunctions.Utility_DisplayArrayInTable(Scope3_SourceData.Scope3_Feed_Data(), Table_SourceData_Scope3_Feed[[#Headers],[Category]], -1, 2)</f>
        <v>kg</v>
      </c>
      <c r="H127" s="10" cm="1">
        <f t="array" ref="H127">Common_InputFunctions.Utility_DisplayArrayInTable(Scope3_SourceData.Scope3_Feed_Data(), Table_SourceData_Scope3_Feed[[#Headers],[Category]], -1, 2)</f>
        <v>7.9000000000000001E-2</v>
      </c>
      <c r="I127" s="10" t="str" cm="1">
        <f t="array" ref="I127">Common_InputFunctions.Utility_DisplayArrayInTable(Scope3_SourceData.Scope3_Feed_Data(), Table_SourceData_Scope3_Feed[[#Headers],[Category]], -1, 2)</f>
        <v>at market</v>
      </c>
      <c r="J127" s="10" t="s">
        <v>912</v>
      </c>
      <c r="L127" s="10" t="str">
        <f>Table_SourceData_Scope3_Feed[[#This Row],[Product]]</f>
        <v>Cereal silage</v>
      </c>
      <c r="M127" s="10" t="str">
        <f>Table_SourceData_Scope3_Feed[[#This Row],[Region of origin]]</f>
        <v>QLD</v>
      </c>
    </row>
    <row r="128" spans="4:17" ht="20.100000000000001" customHeight="1" x14ac:dyDescent="0.2">
      <c r="D128" s="10" t="str" cm="1">
        <f t="array" ref="D128">Common_InputFunctions.Utility_DisplayArrayInTable(Scope3_SourceData.Scope3_Feed_Data(), Table_SourceData_Scope3_Feed[[#Headers],[Category]], -1, 2)</f>
        <v>Hay</v>
      </c>
      <c r="E128" s="10" t="str" cm="1">
        <f t="array" ref="E128">Common_InputFunctions.Utility_DisplayArrayInTable(Scope3_SourceData.Scope3_Feed_Data(), Table_SourceData_Scope3_Feed[[#Headers],[Category]], -1, 2)</f>
        <v>Cereal silage</v>
      </c>
      <c r="F128" s="10" t="str" cm="1">
        <f t="array" ref="F128">Common_InputFunctions.Utility_DisplayArrayInTable(Scope3_SourceData.Scope3_Feed_Data(), Table_SourceData_Scope3_Feed[[#Headers],[Category]], -1, 2)</f>
        <v>SA</v>
      </c>
      <c r="G128" s="10" t="str" cm="1">
        <f t="array" ref="G128">Common_InputFunctions.Utility_DisplayArrayInTable(Scope3_SourceData.Scope3_Feed_Data(), Table_SourceData_Scope3_Feed[[#Headers],[Category]], -1, 2)</f>
        <v>kg</v>
      </c>
      <c r="H128" s="10" cm="1">
        <f t="array" ref="H128">Common_InputFunctions.Utility_DisplayArrayInTable(Scope3_SourceData.Scope3_Feed_Data(), Table_SourceData_Scope3_Feed[[#Headers],[Category]], -1, 2)</f>
        <v>7.0599999999999996E-2</v>
      </c>
      <c r="I128" s="10" t="str" cm="1">
        <f t="array" ref="I128">Common_InputFunctions.Utility_DisplayArrayInTable(Scope3_SourceData.Scope3_Feed_Data(), Table_SourceData_Scope3_Feed[[#Headers],[Category]], -1, 2)</f>
        <v>at market</v>
      </c>
      <c r="J128" s="10" t="s">
        <v>912</v>
      </c>
      <c r="L128" s="10" t="str">
        <f>Table_SourceData_Scope3_Feed[[#This Row],[Product]]</f>
        <v>Cereal silage</v>
      </c>
      <c r="M128" s="10" t="str">
        <f>Table_SourceData_Scope3_Feed[[#This Row],[Region of origin]]</f>
        <v>SA</v>
      </c>
    </row>
    <row r="129" spans="4:17" ht="20.100000000000001" customHeight="1" x14ac:dyDescent="0.2">
      <c r="D129" s="10" t="str" cm="1">
        <f t="array" ref="D129">Common_InputFunctions.Utility_DisplayArrayInTable(Scope3_SourceData.Scope3_Feed_Data(), Table_SourceData_Scope3_Feed[[#Headers],[Category]], -1, 2)</f>
        <v>Hay</v>
      </c>
      <c r="E129" s="10" t="str" cm="1">
        <f t="array" ref="E129">Common_InputFunctions.Utility_DisplayArrayInTable(Scope3_SourceData.Scope3_Feed_Data(), Table_SourceData_Scope3_Feed[[#Headers],[Category]], -1, 2)</f>
        <v>Cereal silage</v>
      </c>
      <c r="F129" s="10" t="str" cm="1">
        <f t="array" ref="F129">Common_InputFunctions.Utility_DisplayArrayInTable(Scope3_SourceData.Scope3_Feed_Data(), Table_SourceData_Scope3_Feed[[#Headers],[Category]], -1, 2)</f>
        <v>TAS</v>
      </c>
      <c r="G129" s="10" t="str" cm="1">
        <f t="array" ref="G129">Common_InputFunctions.Utility_DisplayArrayInTable(Scope3_SourceData.Scope3_Feed_Data(), Table_SourceData_Scope3_Feed[[#Headers],[Category]], -1, 2)</f>
        <v>kg</v>
      </c>
      <c r="H129" s="10" cm="1">
        <f t="array" ref="H129">Common_InputFunctions.Utility_DisplayArrayInTable(Scope3_SourceData.Scope3_Feed_Data(), Table_SourceData_Scope3_Feed[[#Headers],[Category]], -1, 2)</f>
        <v>8.0799999999999997E-2</v>
      </c>
      <c r="I129" s="10" t="str" cm="1">
        <f t="array" ref="I129">Common_InputFunctions.Utility_DisplayArrayInTable(Scope3_SourceData.Scope3_Feed_Data(), Table_SourceData_Scope3_Feed[[#Headers],[Category]], -1, 2)</f>
        <v>at market</v>
      </c>
      <c r="J129" s="10" t="s">
        <v>912</v>
      </c>
      <c r="L129" s="10" t="str">
        <f>Table_SourceData_Scope3_Feed[[#This Row],[Product]]</f>
        <v>Cereal silage</v>
      </c>
      <c r="M129" s="10" t="str">
        <f>Table_SourceData_Scope3_Feed[[#This Row],[Region of origin]]</f>
        <v>TAS</v>
      </c>
    </row>
    <row r="130" spans="4:17" ht="20.100000000000001" customHeight="1" x14ac:dyDescent="0.2">
      <c r="D130" s="10" t="str" cm="1">
        <f t="array" ref="D130">Common_InputFunctions.Utility_DisplayArrayInTable(Scope3_SourceData.Scope3_Feed_Data(), Table_SourceData_Scope3_Feed[[#Headers],[Category]], -1, 2)</f>
        <v>Hay</v>
      </c>
      <c r="E130" s="10" t="str" cm="1">
        <f t="array" ref="E130">Common_InputFunctions.Utility_DisplayArrayInTable(Scope3_SourceData.Scope3_Feed_Data(), Table_SourceData_Scope3_Feed[[#Headers],[Category]], -1, 2)</f>
        <v>Cereal silage</v>
      </c>
      <c r="F130" s="10" t="str" cm="1">
        <f t="array" ref="F130">Common_InputFunctions.Utility_DisplayArrayInTable(Scope3_SourceData.Scope3_Feed_Data(), Table_SourceData_Scope3_Feed[[#Headers],[Category]], -1, 2)</f>
        <v>VIC</v>
      </c>
      <c r="G130" s="10" t="str" cm="1">
        <f t="array" ref="G130">Common_InputFunctions.Utility_DisplayArrayInTable(Scope3_SourceData.Scope3_Feed_Data(), Table_SourceData_Scope3_Feed[[#Headers],[Category]], -1, 2)</f>
        <v>kg</v>
      </c>
      <c r="H130" s="10" cm="1">
        <f t="array" ref="H130">Common_InputFunctions.Utility_DisplayArrayInTable(Scope3_SourceData.Scope3_Feed_Data(), Table_SourceData_Scope3_Feed[[#Headers],[Category]], -1, 2)</f>
        <v>7.3599999999999999E-2</v>
      </c>
      <c r="I130" s="10" t="str" cm="1">
        <f t="array" ref="I130">Common_InputFunctions.Utility_DisplayArrayInTable(Scope3_SourceData.Scope3_Feed_Data(), Table_SourceData_Scope3_Feed[[#Headers],[Category]], -1, 2)</f>
        <v>at market</v>
      </c>
      <c r="J130" s="10" t="s">
        <v>912</v>
      </c>
      <c r="L130" s="10" t="str">
        <f>Table_SourceData_Scope3_Feed[[#This Row],[Product]]</f>
        <v>Cereal silage</v>
      </c>
      <c r="M130" s="10" t="str">
        <f>Table_SourceData_Scope3_Feed[[#This Row],[Region of origin]]</f>
        <v>VIC</v>
      </c>
      <c r="O130" s="10" t="s">
        <v>212</v>
      </c>
      <c r="P130" s="10" t="s">
        <v>380</v>
      </c>
      <c r="Q130" s="8" t="str">
        <f>"Table_ProductRegions_" &amp; SUBSTITUTE(SUBSTITUTE(SUBSTITUTE(SUBSTITUTE(O131, " ", ""), ",", ""), "(", ""), ")", "")</f>
        <v>Table_ProductRegions_Lucernehay</v>
      </c>
    </row>
    <row r="131" spans="4:17" ht="20.100000000000001" customHeight="1" x14ac:dyDescent="0.2">
      <c r="D131" s="10" t="str" cm="1">
        <f t="array" ref="D131">Common_InputFunctions.Utility_DisplayArrayInTable(Scope3_SourceData.Scope3_Feed_Data(), Table_SourceData_Scope3_Feed[[#Headers],[Category]], -1, 2)</f>
        <v>Hay</v>
      </c>
      <c r="E131" s="10" t="str" cm="1">
        <f t="array" ref="E131">Common_InputFunctions.Utility_DisplayArrayInTable(Scope3_SourceData.Scope3_Feed_Data(), Table_SourceData_Scope3_Feed[[#Headers],[Category]], -1, 2)</f>
        <v>Lucerne hay</v>
      </c>
      <c r="F131" s="10" t="str" cm="1">
        <f t="array" ref="F131">Common_InputFunctions.Utility_DisplayArrayInTable(Scope3_SourceData.Scope3_Feed_Data(), Table_SourceData_Scope3_Feed[[#Headers],[Category]], -1, 2)</f>
        <v>Australia</v>
      </c>
      <c r="G131" s="10" t="str" cm="1">
        <f t="array" ref="G131">Common_InputFunctions.Utility_DisplayArrayInTable(Scope3_SourceData.Scope3_Feed_Data(), Table_SourceData_Scope3_Feed[[#Headers],[Category]], -1, 2)</f>
        <v>kg</v>
      </c>
      <c r="H131" s="10" cm="1">
        <f t="array" ref="H131">Common_InputFunctions.Utility_DisplayArrayInTable(Scope3_SourceData.Scope3_Feed_Data(), Table_SourceData_Scope3_Feed[[#Headers],[Category]], -1, 2)</f>
        <v>0.11700000000000001</v>
      </c>
      <c r="I131" s="10" t="str" cm="1">
        <f t="array" ref="I131">Common_InputFunctions.Utility_DisplayArrayInTable(Scope3_SourceData.Scope3_Feed_Data(), Table_SourceData_Scope3_Feed[[#Headers],[Category]], -1, 2)</f>
        <v>at market</v>
      </c>
      <c r="J131" s="10" t="s">
        <v>912</v>
      </c>
      <c r="O131" s="10" t="str">
        <f>Table_SourceData_Scope3_Feed[[#This Row],[Product]]</f>
        <v>Lucerne hay</v>
      </c>
      <c r="P131" s="10" t="str">
        <f>Table_SourceData_Scope3_Feed[[#This Row],[Region of origin]]</f>
        <v>Australia</v>
      </c>
    </row>
    <row r="132" spans="4:17" ht="20.100000000000001" customHeight="1" x14ac:dyDescent="0.2">
      <c r="D132" s="10" t="str" cm="1">
        <f t="array" ref="D132">Common_InputFunctions.Utility_DisplayArrayInTable(Scope3_SourceData.Scope3_Feed_Data(), Table_SourceData_Scope3_Feed[[#Headers],[Category]], -1, 2)</f>
        <v>Hay</v>
      </c>
      <c r="E132" s="10" t="str" cm="1">
        <f t="array" ref="E132">Common_InputFunctions.Utility_DisplayArrayInTable(Scope3_SourceData.Scope3_Feed_Data(), Table_SourceData_Scope3_Feed[[#Headers],[Category]], -1, 2)</f>
        <v>Lucerne hay</v>
      </c>
      <c r="F132" s="10" t="str" cm="1">
        <f t="array" ref="F132">Common_InputFunctions.Utility_DisplayArrayInTable(Scope3_SourceData.Scope3_Feed_Data(), Table_SourceData_Scope3_Feed[[#Headers],[Category]], -1, 2)</f>
        <v>NSW</v>
      </c>
      <c r="G132" s="10" t="str" cm="1">
        <f t="array" ref="G132">Common_InputFunctions.Utility_DisplayArrayInTable(Scope3_SourceData.Scope3_Feed_Data(), Table_SourceData_Scope3_Feed[[#Headers],[Category]], -1, 2)</f>
        <v>kg</v>
      </c>
      <c r="H132" s="10" cm="1">
        <f t="array" ref="H132">Common_InputFunctions.Utility_DisplayArrayInTable(Scope3_SourceData.Scope3_Feed_Data(), Table_SourceData_Scope3_Feed[[#Headers],[Category]], -1, 2)</f>
        <v>0.113</v>
      </c>
      <c r="I132" s="10" t="str" cm="1">
        <f t="array" ref="I132">Common_InputFunctions.Utility_DisplayArrayInTable(Scope3_SourceData.Scope3_Feed_Data(), Table_SourceData_Scope3_Feed[[#Headers],[Category]], -1, 2)</f>
        <v>at market</v>
      </c>
      <c r="J132" s="10" t="s">
        <v>912</v>
      </c>
      <c r="O132" s="10" t="str">
        <f>Table_SourceData_Scope3_Feed[[#This Row],[Product]]</f>
        <v>Lucerne hay</v>
      </c>
      <c r="P132" s="10" t="str">
        <f>Table_SourceData_Scope3_Feed[[#This Row],[Region of origin]]</f>
        <v>NSW</v>
      </c>
    </row>
    <row r="133" spans="4:17" ht="20.100000000000001" customHeight="1" x14ac:dyDescent="0.2">
      <c r="D133" s="10" t="str" cm="1">
        <f t="array" ref="D133">Common_InputFunctions.Utility_DisplayArrayInTable(Scope3_SourceData.Scope3_Feed_Data(), Table_SourceData_Scope3_Feed[[#Headers],[Category]], -1, 2)</f>
        <v>Hay</v>
      </c>
      <c r="E133" s="10" t="str" cm="1">
        <f t="array" ref="E133">Common_InputFunctions.Utility_DisplayArrayInTable(Scope3_SourceData.Scope3_Feed_Data(), Table_SourceData_Scope3_Feed[[#Headers],[Category]], -1, 2)</f>
        <v>Lucerne hay</v>
      </c>
      <c r="F133" s="10" t="str" cm="1">
        <f t="array" ref="F133">Common_InputFunctions.Utility_DisplayArrayInTable(Scope3_SourceData.Scope3_Feed_Data(), Table_SourceData_Scope3_Feed[[#Headers],[Category]], -1, 2)</f>
        <v>QLD</v>
      </c>
      <c r="G133" s="10" t="str" cm="1">
        <f t="array" ref="G133">Common_InputFunctions.Utility_DisplayArrayInTable(Scope3_SourceData.Scope3_Feed_Data(), Table_SourceData_Scope3_Feed[[#Headers],[Category]], -1, 2)</f>
        <v>kg</v>
      </c>
      <c r="H133" s="10" cm="1">
        <f t="array" ref="H133">Common_InputFunctions.Utility_DisplayArrayInTable(Scope3_SourceData.Scope3_Feed_Data(), Table_SourceData_Scope3_Feed[[#Headers],[Category]], -1, 2)</f>
        <v>0.14299999999999999</v>
      </c>
      <c r="I133" s="10" t="str" cm="1">
        <f t="array" ref="I133">Common_InputFunctions.Utility_DisplayArrayInTable(Scope3_SourceData.Scope3_Feed_Data(), Table_SourceData_Scope3_Feed[[#Headers],[Category]], -1, 2)</f>
        <v>at market</v>
      </c>
      <c r="J133" s="10" t="s">
        <v>912</v>
      </c>
      <c r="O133" s="10" t="str">
        <f>Table_SourceData_Scope3_Feed[[#This Row],[Product]]</f>
        <v>Lucerne hay</v>
      </c>
      <c r="P133" s="10" t="str">
        <f>Table_SourceData_Scope3_Feed[[#This Row],[Region of origin]]</f>
        <v>QLD</v>
      </c>
    </row>
    <row r="134" spans="4:17" ht="20.100000000000001" customHeight="1" x14ac:dyDescent="0.2">
      <c r="D134" s="10" t="str" cm="1">
        <f t="array" ref="D134">Common_InputFunctions.Utility_DisplayArrayInTable(Scope3_SourceData.Scope3_Feed_Data(), Table_SourceData_Scope3_Feed[[#Headers],[Category]], -1, 2)</f>
        <v>Hay</v>
      </c>
      <c r="E134" s="10" t="str" cm="1">
        <f t="array" ref="E134">Common_InputFunctions.Utility_DisplayArrayInTable(Scope3_SourceData.Scope3_Feed_Data(), Table_SourceData_Scope3_Feed[[#Headers],[Category]], -1, 2)</f>
        <v>Lucerne hay</v>
      </c>
      <c r="F134" s="10" t="str" cm="1">
        <f t="array" ref="F134">Common_InputFunctions.Utility_DisplayArrayInTable(Scope3_SourceData.Scope3_Feed_Data(), Table_SourceData_Scope3_Feed[[#Headers],[Category]], -1, 2)</f>
        <v>SA</v>
      </c>
      <c r="G134" s="10" t="str" cm="1">
        <f t="array" ref="G134">Common_InputFunctions.Utility_DisplayArrayInTable(Scope3_SourceData.Scope3_Feed_Data(), Table_SourceData_Scope3_Feed[[#Headers],[Category]], -1, 2)</f>
        <v>kg</v>
      </c>
      <c r="H134" s="10" cm="1">
        <f t="array" ref="H134">Common_InputFunctions.Utility_DisplayArrayInTable(Scope3_SourceData.Scope3_Feed_Data(), Table_SourceData_Scope3_Feed[[#Headers],[Category]], -1, 2)</f>
        <v>0.106</v>
      </c>
      <c r="I134" s="10" t="str" cm="1">
        <f t="array" ref="I134">Common_InputFunctions.Utility_DisplayArrayInTable(Scope3_SourceData.Scope3_Feed_Data(), Table_SourceData_Scope3_Feed[[#Headers],[Category]], -1, 2)</f>
        <v>at market</v>
      </c>
      <c r="J134" s="10" t="s">
        <v>912</v>
      </c>
      <c r="O134" s="10" t="str">
        <f>Table_SourceData_Scope3_Feed[[#This Row],[Product]]</f>
        <v>Lucerne hay</v>
      </c>
      <c r="P134" s="10" t="str">
        <f>Table_SourceData_Scope3_Feed[[#This Row],[Region of origin]]</f>
        <v>SA</v>
      </c>
    </row>
    <row r="135" spans="4:17" ht="20.100000000000001" customHeight="1" x14ac:dyDescent="0.2">
      <c r="D135" s="10" t="str" cm="1">
        <f t="array" ref="D135">Common_InputFunctions.Utility_DisplayArrayInTable(Scope3_SourceData.Scope3_Feed_Data(), Table_SourceData_Scope3_Feed[[#Headers],[Category]], -1, 2)</f>
        <v>Hay</v>
      </c>
      <c r="E135" s="10" t="str" cm="1">
        <f t="array" ref="E135">Common_InputFunctions.Utility_DisplayArrayInTable(Scope3_SourceData.Scope3_Feed_Data(), Table_SourceData_Scope3_Feed[[#Headers],[Category]], -1, 2)</f>
        <v>Lucerne hay</v>
      </c>
      <c r="F135" s="10" t="str" cm="1">
        <f t="array" ref="F135">Common_InputFunctions.Utility_DisplayArrayInTable(Scope3_SourceData.Scope3_Feed_Data(), Table_SourceData_Scope3_Feed[[#Headers],[Category]], -1, 2)</f>
        <v>TAS</v>
      </c>
      <c r="G135" s="10" t="str" cm="1">
        <f t="array" ref="G135">Common_InputFunctions.Utility_DisplayArrayInTable(Scope3_SourceData.Scope3_Feed_Data(), Table_SourceData_Scope3_Feed[[#Headers],[Category]], -1, 2)</f>
        <v>kg</v>
      </c>
      <c r="H135" s="10" cm="1">
        <f t="array" ref="H135">Common_InputFunctions.Utility_DisplayArrayInTable(Scope3_SourceData.Scope3_Feed_Data(), Table_SourceData_Scope3_Feed[[#Headers],[Category]], -1, 2)</f>
        <v>0.113</v>
      </c>
      <c r="I135" s="10" t="str" cm="1">
        <f t="array" ref="I135">Common_InputFunctions.Utility_DisplayArrayInTable(Scope3_SourceData.Scope3_Feed_Data(), Table_SourceData_Scope3_Feed[[#Headers],[Category]], -1, 2)</f>
        <v>at market</v>
      </c>
      <c r="J135" s="10" t="s">
        <v>912</v>
      </c>
      <c r="O135" s="10" t="str">
        <f>Table_SourceData_Scope3_Feed[[#This Row],[Product]]</f>
        <v>Lucerne hay</v>
      </c>
      <c r="P135" s="10" t="str">
        <f>Table_SourceData_Scope3_Feed[[#This Row],[Region of origin]]</f>
        <v>TAS</v>
      </c>
    </row>
    <row r="136" spans="4:17" ht="20.100000000000001" customHeight="1" x14ac:dyDescent="0.2">
      <c r="D136" s="10" t="str" cm="1">
        <f t="array" ref="D136">Common_InputFunctions.Utility_DisplayArrayInTable(Scope3_SourceData.Scope3_Feed_Data(), Table_SourceData_Scope3_Feed[[#Headers],[Category]], -1, 2)</f>
        <v>Hay</v>
      </c>
      <c r="E136" s="10" t="str" cm="1">
        <f t="array" ref="E136">Common_InputFunctions.Utility_DisplayArrayInTable(Scope3_SourceData.Scope3_Feed_Data(), Table_SourceData_Scope3_Feed[[#Headers],[Category]], -1, 2)</f>
        <v>Lucerne hay</v>
      </c>
      <c r="F136" s="10" t="str" cm="1">
        <f t="array" ref="F136">Common_InputFunctions.Utility_DisplayArrayInTable(Scope3_SourceData.Scope3_Feed_Data(), Table_SourceData_Scope3_Feed[[#Headers],[Category]], -1, 2)</f>
        <v>VIC</v>
      </c>
      <c r="G136" s="10" t="str" cm="1">
        <f t="array" ref="G136">Common_InputFunctions.Utility_DisplayArrayInTable(Scope3_SourceData.Scope3_Feed_Data(), Table_SourceData_Scope3_Feed[[#Headers],[Category]], -1, 2)</f>
        <v>kg</v>
      </c>
      <c r="H136" s="10" cm="1">
        <f t="array" ref="H136">Common_InputFunctions.Utility_DisplayArrayInTable(Scope3_SourceData.Scope3_Feed_Data(), Table_SourceData_Scope3_Feed[[#Headers],[Category]], -1, 2)</f>
        <v>0.106</v>
      </c>
      <c r="I136" s="10" t="str" cm="1">
        <f t="array" ref="I136">Common_InputFunctions.Utility_DisplayArrayInTable(Scope3_SourceData.Scope3_Feed_Data(), Table_SourceData_Scope3_Feed[[#Headers],[Category]], -1, 2)</f>
        <v>at market</v>
      </c>
      <c r="J136" s="10" t="s">
        <v>912</v>
      </c>
      <c r="O136" s="10" t="str">
        <f>Table_SourceData_Scope3_Feed[[#This Row],[Product]]</f>
        <v>Lucerne hay</v>
      </c>
      <c r="P136" s="10" t="str">
        <f>Table_SourceData_Scope3_Feed[[#This Row],[Region of origin]]</f>
        <v>VIC</v>
      </c>
    </row>
    <row r="137" spans="4:17" ht="20.100000000000001" customHeight="1" x14ac:dyDescent="0.2">
      <c r="D137" s="10" t="str" cm="1">
        <f t="array" ref="D137">Common_InputFunctions.Utility_DisplayArrayInTable(Scope3_SourceData.Scope3_Feed_Data(), Table_SourceData_Scope3_Feed[[#Headers],[Category]], -1, 2)</f>
        <v>Hay</v>
      </c>
      <c r="E137" s="10" t="str" cm="1">
        <f t="array" ref="E137">Common_InputFunctions.Utility_DisplayArrayInTable(Scope3_SourceData.Scope3_Feed_Data(), Table_SourceData_Scope3_Feed[[#Headers],[Category]], -1, 2)</f>
        <v>Maize silage</v>
      </c>
      <c r="F137" s="10" t="str" cm="1">
        <f t="array" ref="F137">Common_InputFunctions.Utility_DisplayArrayInTable(Scope3_SourceData.Scope3_Feed_Data(), Table_SourceData_Scope3_Feed[[#Headers],[Category]], -1, 2)</f>
        <v>VIC</v>
      </c>
      <c r="G137" s="10" t="str" cm="1">
        <f t="array" ref="G137">Common_InputFunctions.Utility_DisplayArrayInTable(Scope3_SourceData.Scope3_Feed_Data(), Table_SourceData_Scope3_Feed[[#Headers],[Category]], -1, 2)</f>
        <v>kg</v>
      </c>
      <c r="H137" s="10" cm="1">
        <f t="array" ref="H137">Common_InputFunctions.Utility_DisplayArrayInTable(Scope3_SourceData.Scope3_Feed_Data(), Table_SourceData_Scope3_Feed[[#Headers],[Category]], -1, 2)</f>
        <v>0.16300000000000001</v>
      </c>
      <c r="I137" s="10" t="str" cm="1">
        <f t="array" ref="I137">Common_InputFunctions.Utility_DisplayArrayInTable(Scope3_SourceData.Scope3_Feed_Data(), Table_SourceData_Scope3_Feed[[#Headers],[Category]], -1, 2)</f>
        <v>at market</v>
      </c>
      <c r="J137" s="10" t="s">
        <v>912</v>
      </c>
      <c r="L137" s="10" t="s">
        <v>212</v>
      </c>
      <c r="M137" s="10" t="s">
        <v>380</v>
      </c>
      <c r="N137" s="8" t="str">
        <f>"Table_ProductRegions_" &amp; SUBSTITUTE(SUBSTITUTE(SUBSTITUTE(SUBSTITUTE(L138, " ", ""), ",", ""), "(", ""), ")", "")</f>
        <v>Table_ProductRegions_Oatenhay</v>
      </c>
      <c r="O137" s="10" t="str">
        <f>Table_SourceData_Scope3_Feed[[#This Row],[Product]]</f>
        <v>Maize silage</v>
      </c>
      <c r="P137" s="10" t="str">
        <f>Table_SourceData_Scope3_Feed[[#This Row],[Region of origin]]</f>
        <v>VIC</v>
      </c>
    </row>
    <row r="138" spans="4:17" ht="20.100000000000001" customHeight="1" x14ac:dyDescent="0.2">
      <c r="D138" s="10" t="str" cm="1">
        <f t="array" ref="D138">Common_InputFunctions.Utility_DisplayArrayInTable(Scope3_SourceData.Scope3_Feed_Data(), Table_SourceData_Scope3_Feed[[#Headers],[Category]], -1, 2)</f>
        <v>Hay</v>
      </c>
      <c r="E138" s="10" t="str" cm="1">
        <f t="array" ref="E138">Common_InputFunctions.Utility_DisplayArrayInTable(Scope3_SourceData.Scope3_Feed_Data(), Table_SourceData_Scope3_Feed[[#Headers],[Category]], -1, 2)</f>
        <v>Oaten hay</v>
      </c>
      <c r="F138" s="10" t="str" cm="1">
        <f t="array" ref="F138">Common_InputFunctions.Utility_DisplayArrayInTable(Scope3_SourceData.Scope3_Feed_Data(), Table_SourceData_Scope3_Feed[[#Headers],[Category]], -1, 2)</f>
        <v>Australia</v>
      </c>
      <c r="G138" s="10" t="str" cm="1">
        <f t="array" ref="G138">Common_InputFunctions.Utility_DisplayArrayInTable(Scope3_SourceData.Scope3_Feed_Data(), Table_SourceData_Scope3_Feed[[#Headers],[Category]], -1, 2)</f>
        <v>kg</v>
      </c>
      <c r="H138" s="10" cm="1">
        <f t="array" ref="H138">Common_InputFunctions.Utility_DisplayArrayInTable(Scope3_SourceData.Scope3_Feed_Data(), Table_SourceData_Scope3_Feed[[#Headers],[Category]], -1, 2)</f>
        <v>0.12</v>
      </c>
      <c r="I138" s="10" t="str" cm="1">
        <f t="array" ref="I138">Common_InputFunctions.Utility_DisplayArrayInTable(Scope3_SourceData.Scope3_Feed_Data(), Table_SourceData_Scope3_Feed[[#Headers],[Category]], -1, 2)</f>
        <v>at market</v>
      </c>
      <c r="J138" s="10" t="s">
        <v>912</v>
      </c>
      <c r="L138" s="10" t="str">
        <f>Table_SourceData_Scope3_Feed[[#This Row],[Product]]</f>
        <v>Oaten hay</v>
      </c>
      <c r="M138" s="10" t="str">
        <f>Table_SourceData_Scope3_Feed[[#This Row],[Region of origin]]</f>
        <v>Australia</v>
      </c>
    </row>
    <row r="139" spans="4:17" ht="20.100000000000001" customHeight="1" x14ac:dyDescent="0.2">
      <c r="D139" s="10" t="str" cm="1">
        <f t="array" ref="D139">Common_InputFunctions.Utility_DisplayArrayInTable(Scope3_SourceData.Scope3_Feed_Data(), Table_SourceData_Scope3_Feed[[#Headers],[Category]], -1, 2)</f>
        <v>Hay</v>
      </c>
      <c r="E139" s="10" t="str" cm="1">
        <f t="array" ref="E139">Common_InputFunctions.Utility_DisplayArrayInTable(Scope3_SourceData.Scope3_Feed_Data(), Table_SourceData_Scope3_Feed[[#Headers],[Category]], -1, 2)</f>
        <v>Oaten hay</v>
      </c>
      <c r="F139" s="10" t="str" cm="1">
        <f t="array" ref="F139">Common_InputFunctions.Utility_DisplayArrayInTable(Scope3_SourceData.Scope3_Feed_Data(), Table_SourceData_Scope3_Feed[[#Headers],[Category]], -1, 2)</f>
        <v>NSW</v>
      </c>
      <c r="G139" s="10" t="str" cm="1">
        <f t="array" ref="G139">Common_InputFunctions.Utility_DisplayArrayInTable(Scope3_SourceData.Scope3_Feed_Data(), Table_SourceData_Scope3_Feed[[#Headers],[Category]], -1, 2)</f>
        <v>kg</v>
      </c>
      <c r="H139" s="10" cm="1">
        <f t="array" ref="H139">Common_InputFunctions.Utility_DisplayArrayInTable(Scope3_SourceData.Scope3_Feed_Data(), Table_SourceData_Scope3_Feed[[#Headers],[Category]], -1, 2)</f>
        <v>0.11899999999999999</v>
      </c>
      <c r="I139" s="10" t="str" cm="1">
        <f t="array" ref="I139">Common_InputFunctions.Utility_DisplayArrayInTable(Scope3_SourceData.Scope3_Feed_Data(), Table_SourceData_Scope3_Feed[[#Headers],[Category]], -1, 2)</f>
        <v>at market</v>
      </c>
      <c r="J139" s="10" t="s">
        <v>912</v>
      </c>
      <c r="L139" s="10" t="str">
        <f>Table_SourceData_Scope3_Feed[[#This Row],[Product]]</f>
        <v>Oaten hay</v>
      </c>
      <c r="M139" s="10" t="str">
        <f>Table_SourceData_Scope3_Feed[[#This Row],[Region of origin]]</f>
        <v>NSW</v>
      </c>
    </row>
    <row r="140" spans="4:17" ht="20.100000000000001" customHeight="1" x14ac:dyDescent="0.2">
      <c r="D140" s="10" t="str" cm="1">
        <f t="array" ref="D140">Common_InputFunctions.Utility_DisplayArrayInTable(Scope3_SourceData.Scope3_Feed_Data(), Table_SourceData_Scope3_Feed[[#Headers],[Category]], -1, 2)</f>
        <v>Hay</v>
      </c>
      <c r="E140" s="10" t="str" cm="1">
        <f t="array" ref="E140">Common_InputFunctions.Utility_DisplayArrayInTable(Scope3_SourceData.Scope3_Feed_Data(), Table_SourceData_Scope3_Feed[[#Headers],[Category]], -1, 2)</f>
        <v>Oaten hay</v>
      </c>
      <c r="F140" s="10" t="str" cm="1">
        <f t="array" ref="F140">Common_InputFunctions.Utility_DisplayArrayInTable(Scope3_SourceData.Scope3_Feed_Data(), Table_SourceData_Scope3_Feed[[#Headers],[Category]], -1, 2)</f>
        <v>QLD</v>
      </c>
      <c r="G140" s="10" t="str" cm="1">
        <f t="array" ref="G140">Common_InputFunctions.Utility_DisplayArrayInTable(Scope3_SourceData.Scope3_Feed_Data(), Table_SourceData_Scope3_Feed[[#Headers],[Category]], -1, 2)</f>
        <v>kg</v>
      </c>
      <c r="H140" s="10" cm="1">
        <f t="array" ref="H140">Common_InputFunctions.Utility_DisplayArrayInTable(Scope3_SourceData.Scope3_Feed_Data(), Table_SourceData_Scope3_Feed[[#Headers],[Category]], -1, 2)</f>
        <v>0.11700000000000001</v>
      </c>
      <c r="I140" s="10" t="str" cm="1">
        <f t="array" ref="I140">Common_InputFunctions.Utility_DisplayArrayInTable(Scope3_SourceData.Scope3_Feed_Data(), Table_SourceData_Scope3_Feed[[#Headers],[Category]], -1, 2)</f>
        <v>at market</v>
      </c>
      <c r="J140" s="10" t="s">
        <v>912</v>
      </c>
      <c r="L140" s="10" t="str">
        <f>Table_SourceData_Scope3_Feed[[#This Row],[Product]]</f>
        <v>Oaten hay</v>
      </c>
      <c r="M140" s="10" t="str">
        <f>Table_SourceData_Scope3_Feed[[#This Row],[Region of origin]]</f>
        <v>QLD</v>
      </c>
    </row>
    <row r="141" spans="4:17" ht="20.100000000000001" customHeight="1" x14ac:dyDescent="0.2">
      <c r="D141" s="10" t="str" cm="1">
        <f t="array" ref="D141">Common_InputFunctions.Utility_DisplayArrayInTable(Scope3_SourceData.Scope3_Feed_Data(), Table_SourceData_Scope3_Feed[[#Headers],[Category]], -1, 2)</f>
        <v>Hay</v>
      </c>
      <c r="E141" s="10" t="str" cm="1">
        <f t="array" ref="E141">Common_InputFunctions.Utility_DisplayArrayInTable(Scope3_SourceData.Scope3_Feed_Data(), Table_SourceData_Scope3_Feed[[#Headers],[Category]], -1, 2)</f>
        <v>Oaten hay</v>
      </c>
      <c r="F141" s="10" t="str" cm="1">
        <f t="array" ref="F141">Common_InputFunctions.Utility_DisplayArrayInTable(Scope3_SourceData.Scope3_Feed_Data(), Table_SourceData_Scope3_Feed[[#Headers],[Category]], -1, 2)</f>
        <v>SA</v>
      </c>
      <c r="G141" s="10" t="str" cm="1">
        <f t="array" ref="G141">Common_InputFunctions.Utility_DisplayArrayInTable(Scope3_SourceData.Scope3_Feed_Data(), Table_SourceData_Scope3_Feed[[#Headers],[Category]], -1, 2)</f>
        <v>kg</v>
      </c>
      <c r="H141" s="10" cm="1">
        <f t="array" ref="H141">Common_InputFunctions.Utility_DisplayArrayInTable(Scope3_SourceData.Scope3_Feed_Data(), Table_SourceData_Scope3_Feed[[#Headers],[Category]], -1, 2)</f>
        <v>0.114</v>
      </c>
      <c r="I141" s="10" t="str" cm="1">
        <f t="array" ref="I141">Common_InputFunctions.Utility_DisplayArrayInTable(Scope3_SourceData.Scope3_Feed_Data(), Table_SourceData_Scope3_Feed[[#Headers],[Category]], -1, 2)</f>
        <v>at market</v>
      </c>
      <c r="J141" s="10" t="s">
        <v>912</v>
      </c>
      <c r="L141" s="10" t="str">
        <f>Table_SourceData_Scope3_Feed[[#This Row],[Product]]</f>
        <v>Oaten hay</v>
      </c>
      <c r="M141" s="10" t="str">
        <f>Table_SourceData_Scope3_Feed[[#This Row],[Region of origin]]</f>
        <v>SA</v>
      </c>
    </row>
    <row r="142" spans="4:17" ht="20.100000000000001" customHeight="1" x14ac:dyDescent="0.2">
      <c r="D142" s="10" t="str" cm="1">
        <f t="array" ref="D142">Common_InputFunctions.Utility_DisplayArrayInTable(Scope3_SourceData.Scope3_Feed_Data(), Table_SourceData_Scope3_Feed[[#Headers],[Category]], -1, 2)</f>
        <v>Hay</v>
      </c>
      <c r="E142" s="10" t="str" cm="1">
        <f t="array" ref="E142">Common_InputFunctions.Utility_DisplayArrayInTable(Scope3_SourceData.Scope3_Feed_Data(), Table_SourceData_Scope3_Feed[[#Headers],[Category]], -1, 2)</f>
        <v>Oaten hay</v>
      </c>
      <c r="F142" s="10" t="str" cm="1">
        <f t="array" ref="F142">Common_InputFunctions.Utility_DisplayArrayInTable(Scope3_SourceData.Scope3_Feed_Data(), Table_SourceData_Scope3_Feed[[#Headers],[Category]], -1, 2)</f>
        <v>VIC</v>
      </c>
      <c r="G142" s="10" t="str" cm="1">
        <f t="array" ref="G142">Common_InputFunctions.Utility_DisplayArrayInTable(Scope3_SourceData.Scope3_Feed_Data(), Table_SourceData_Scope3_Feed[[#Headers],[Category]], -1, 2)</f>
        <v>kg</v>
      </c>
      <c r="H142" s="10" cm="1">
        <f t="array" ref="H142">Common_InputFunctions.Utility_DisplayArrayInTable(Scope3_SourceData.Scope3_Feed_Data(), Table_SourceData_Scope3_Feed[[#Headers],[Category]], -1, 2)</f>
        <v>0.11799999999999999</v>
      </c>
      <c r="I142" s="10" t="str" cm="1">
        <f t="array" ref="I142">Common_InputFunctions.Utility_DisplayArrayInTable(Scope3_SourceData.Scope3_Feed_Data(), Table_SourceData_Scope3_Feed[[#Headers],[Category]], -1, 2)</f>
        <v>at market</v>
      </c>
      <c r="J142" s="10" t="s">
        <v>912</v>
      </c>
      <c r="L142" s="10" t="str">
        <f>Table_SourceData_Scope3_Feed[[#This Row],[Product]]</f>
        <v>Oaten hay</v>
      </c>
      <c r="M142" s="10" t="str">
        <f>Table_SourceData_Scope3_Feed[[#This Row],[Region of origin]]</f>
        <v>VIC</v>
      </c>
    </row>
    <row r="143" spans="4:17" ht="20.100000000000001" customHeight="1" x14ac:dyDescent="0.2">
      <c r="D143" s="10" t="str" cm="1">
        <f t="array" ref="D143">Common_InputFunctions.Utility_DisplayArrayInTable(Scope3_SourceData.Scope3_Feed_Data(), Table_SourceData_Scope3_Feed[[#Headers],[Category]], -1, 2)</f>
        <v>Hay</v>
      </c>
      <c r="E143" s="10" t="str" cm="1">
        <f t="array" ref="E143">Common_InputFunctions.Utility_DisplayArrayInTable(Scope3_SourceData.Scope3_Feed_Data(), Table_SourceData_Scope3_Feed[[#Headers],[Category]], -1, 2)</f>
        <v>Oaten hay</v>
      </c>
      <c r="F143" s="10" t="str" cm="1">
        <f t="array" ref="F143">Common_InputFunctions.Utility_DisplayArrayInTable(Scope3_SourceData.Scope3_Feed_Data(), Table_SourceData_Scope3_Feed[[#Headers],[Category]], -1, 2)</f>
        <v>WA</v>
      </c>
      <c r="G143" s="10" t="str" cm="1">
        <f t="array" ref="G143">Common_InputFunctions.Utility_DisplayArrayInTable(Scope3_SourceData.Scope3_Feed_Data(), Table_SourceData_Scope3_Feed[[#Headers],[Category]], -1, 2)</f>
        <v>kg</v>
      </c>
      <c r="H143" s="10" cm="1">
        <f t="array" ref="H143">Common_InputFunctions.Utility_DisplayArrayInTable(Scope3_SourceData.Scope3_Feed_Data(), Table_SourceData_Scope3_Feed[[#Headers],[Category]], -1, 2)</f>
        <v>0.124</v>
      </c>
      <c r="I143" s="10" t="str" cm="1">
        <f t="array" ref="I143">Common_InputFunctions.Utility_DisplayArrayInTable(Scope3_SourceData.Scope3_Feed_Data(), Table_SourceData_Scope3_Feed[[#Headers],[Category]], -1, 2)</f>
        <v>at market</v>
      </c>
      <c r="J143" s="10" t="s">
        <v>912</v>
      </c>
      <c r="L143" s="10" t="str">
        <f>Table_SourceData_Scope3_Feed[[#This Row],[Product]]</f>
        <v>Oaten hay</v>
      </c>
      <c r="M143" s="10" t="str">
        <f>Table_SourceData_Scope3_Feed[[#This Row],[Region of origin]]</f>
        <v>WA</v>
      </c>
      <c r="O143" s="10" t="s">
        <v>212</v>
      </c>
      <c r="P143" s="10" t="s">
        <v>380</v>
      </c>
      <c r="Q143" s="8" t="str">
        <f>"Table_ProductRegions_" &amp; SUBSTITUTE(SUBSTITUTE(SUBSTITUTE(SUBSTITUTE(O144, " ", ""), ",", ""), "(", ""), ")", "")</f>
        <v>Table_ProductRegions_Pasturehay</v>
      </c>
    </row>
    <row r="144" spans="4:17" ht="20.100000000000001" customHeight="1" x14ac:dyDescent="0.2">
      <c r="D144" s="10" t="str" cm="1">
        <f t="array" ref="D144">Common_InputFunctions.Utility_DisplayArrayInTable(Scope3_SourceData.Scope3_Feed_Data(), Table_SourceData_Scope3_Feed[[#Headers],[Category]], -1, 2)</f>
        <v>Hay</v>
      </c>
      <c r="E144" s="10" t="str" cm="1">
        <f t="array" ref="E144">Common_InputFunctions.Utility_DisplayArrayInTable(Scope3_SourceData.Scope3_Feed_Data(), Table_SourceData_Scope3_Feed[[#Headers],[Category]], -1, 2)</f>
        <v>Pasture hay</v>
      </c>
      <c r="F144" s="10" t="str" cm="1">
        <f t="array" ref="F144">Common_InputFunctions.Utility_DisplayArrayInTable(Scope3_SourceData.Scope3_Feed_Data(), Table_SourceData_Scope3_Feed[[#Headers],[Category]], -1, 2)</f>
        <v>Australia</v>
      </c>
      <c r="G144" s="10" t="str" cm="1">
        <f t="array" ref="G144">Common_InputFunctions.Utility_DisplayArrayInTable(Scope3_SourceData.Scope3_Feed_Data(), Table_SourceData_Scope3_Feed[[#Headers],[Category]], -1, 2)</f>
        <v>kg</v>
      </c>
      <c r="H144" s="10" cm="1">
        <f t="array" ref="H144">Common_InputFunctions.Utility_DisplayArrayInTable(Scope3_SourceData.Scope3_Feed_Data(), Table_SourceData_Scope3_Feed[[#Headers],[Category]], -1, 2)</f>
        <v>0.33900000000000002</v>
      </c>
      <c r="I144" s="10" t="str" cm="1">
        <f t="array" ref="I144">Common_InputFunctions.Utility_DisplayArrayInTable(Scope3_SourceData.Scope3_Feed_Data(), Table_SourceData_Scope3_Feed[[#Headers],[Category]], -1, 2)</f>
        <v>at market</v>
      </c>
      <c r="J144" s="10" t="s">
        <v>912</v>
      </c>
      <c r="O144" s="10" t="str">
        <f>Table_SourceData_Scope3_Feed[[#This Row],[Product]]</f>
        <v>Pasture hay</v>
      </c>
      <c r="P144" s="10" t="str">
        <f>Table_SourceData_Scope3_Feed[[#This Row],[Region of origin]]</f>
        <v>Australia</v>
      </c>
    </row>
    <row r="145" spans="4:17" ht="20.100000000000001" customHeight="1" x14ac:dyDescent="0.2">
      <c r="D145" s="10" t="str" cm="1">
        <f t="array" ref="D145">Common_InputFunctions.Utility_DisplayArrayInTable(Scope3_SourceData.Scope3_Feed_Data(), Table_SourceData_Scope3_Feed[[#Headers],[Category]], -1, 2)</f>
        <v>Hay</v>
      </c>
      <c r="E145" s="10" t="str" cm="1">
        <f t="array" ref="E145">Common_InputFunctions.Utility_DisplayArrayInTable(Scope3_SourceData.Scope3_Feed_Data(), Table_SourceData_Scope3_Feed[[#Headers],[Category]], -1, 2)</f>
        <v>Pasture hay</v>
      </c>
      <c r="F145" s="10" t="str" cm="1">
        <f t="array" ref="F145">Common_InputFunctions.Utility_DisplayArrayInTable(Scope3_SourceData.Scope3_Feed_Data(), Table_SourceData_Scope3_Feed[[#Headers],[Category]], -1, 2)</f>
        <v>NSW</v>
      </c>
      <c r="G145" s="10" t="str" cm="1">
        <f t="array" ref="G145">Common_InputFunctions.Utility_DisplayArrayInTable(Scope3_SourceData.Scope3_Feed_Data(), Table_SourceData_Scope3_Feed[[#Headers],[Category]], -1, 2)</f>
        <v>kg</v>
      </c>
      <c r="H145" s="10" cm="1">
        <f t="array" ref="H145">Common_InputFunctions.Utility_DisplayArrayInTable(Scope3_SourceData.Scope3_Feed_Data(), Table_SourceData_Scope3_Feed[[#Headers],[Category]], -1, 2)</f>
        <v>0.311</v>
      </c>
      <c r="I145" s="10" t="str" cm="1">
        <f t="array" ref="I145">Common_InputFunctions.Utility_DisplayArrayInTable(Scope3_SourceData.Scope3_Feed_Data(), Table_SourceData_Scope3_Feed[[#Headers],[Category]], -1, 2)</f>
        <v>at market</v>
      </c>
      <c r="J145" s="10" t="s">
        <v>912</v>
      </c>
      <c r="O145" s="10" t="str">
        <f>Table_SourceData_Scope3_Feed[[#This Row],[Product]]</f>
        <v>Pasture hay</v>
      </c>
      <c r="P145" s="10" t="str">
        <f>Table_SourceData_Scope3_Feed[[#This Row],[Region of origin]]</f>
        <v>NSW</v>
      </c>
    </row>
    <row r="146" spans="4:17" ht="20.100000000000001" customHeight="1" x14ac:dyDescent="0.2">
      <c r="D146" s="10" t="str" cm="1">
        <f t="array" ref="D146">Common_InputFunctions.Utility_DisplayArrayInTable(Scope3_SourceData.Scope3_Feed_Data(), Table_SourceData_Scope3_Feed[[#Headers],[Category]], -1, 2)</f>
        <v>Hay</v>
      </c>
      <c r="E146" s="10" t="str" cm="1">
        <f t="array" ref="E146">Common_InputFunctions.Utility_DisplayArrayInTable(Scope3_SourceData.Scope3_Feed_Data(), Table_SourceData_Scope3_Feed[[#Headers],[Category]], -1, 2)</f>
        <v>Pasture hay</v>
      </c>
      <c r="F146" s="10" t="str" cm="1">
        <f t="array" ref="F146">Common_InputFunctions.Utility_DisplayArrayInTable(Scope3_SourceData.Scope3_Feed_Data(), Table_SourceData_Scope3_Feed[[#Headers],[Category]], -1, 2)</f>
        <v>QLD</v>
      </c>
      <c r="G146" s="10" t="str" cm="1">
        <f t="array" ref="G146">Common_InputFunctions.Utility_DisplayArrayInTable(Scope3_SourceData.Scope3_Feed_Data(), Table_SourceData_Scope3_Feed[[#Headers],[Category]], -1, 2)</f>
        <v>kg</v>
      </c>
      <c r="H146" s="10" cm="1">
        <f t="array" ref="H146">Common_InputFunctions.Utility_DisplayArrayInTable(Scope3_SourceData.Scope3_Feed_Data(), Table_SourceData_Scope3_Feed[[#Headers],[Category]], -1, 2)</f>
        <v>0.254</v>
      </c>
      <c r="I146" s="10" t="str" cm="1">
        <f t="array" ref="I146">Common_InputFunctions.Utility_DisplayArrayInTable(Scope3_SourceData.Scope3_Feed_Data(), Table_SourceData_Scope3_Feed[[#Headers],[Category]], -1, 2)</f>
        <v>at market</v>
      </c>
      <c r="J146" s="10" t="s">
        <v>912</v>
      </c>
      <c r="O146" s="10" t="str">
        <f>Table_SourceData_Scope3_Feed[[#This Row],[Product]]</f>
        <v>Pasture hay</v>
      </c>
      <c r="P146" s="10" t="str">
        <f>Table_SourceData_Scope3_Feed[[#This Row],[Region of origin]]</f>
        <v>QLD</v>
      </c>
    </row>
    <row r="147" spans="4:17" ht="20.100000000000001" customHeight="1" x14ac:dyDescent="0.2">
      <c r="D147" s="10" t="str" cm="1">
        <f t="array" ref="D147">Common_InputFunctions.Utility_DisplayArrayInTable(Scope3_SourceData.Scope3_Feed_Data(), Table_SourceData_Scope3_Feed[[#Headers],[Category]], -1, 2)</f>
        <v>Hay</v>
      </c>
      <c r="E147" s="10" t="str" cm="1">
        <f t="array" ref="E147">Common_InputFunctions.Utility_DisplayArrayInTable(Scope3_SourceData.Scope3_Feed_Data(), Table_SourceData_Scope3_Feed[[#Headers],[Category]], -1, 2)</f>
        <v>Pasture hay</v>
      </c>
      <c r="F147" s="10" t="str" cm="1">
        <f t="array" ref="F147">Common_InputFunctions.Utility_DisplayArrayInTable(Scope3_SourceData.Scope3_Feed_Data(), Table_SourceData_Scope3_Feed[[#Headers],[Category]], -1, 2)</f>
        <v>SA</v>
      </c>
      <c r="G147" s="10" t="str" cm="1">
        <f t="array" ref="G147">Common_InputFunctions.Utility_DisplayArrayInTable(Scope3_SourceData.Scope3_Feed_Data(), Table_SourceData_Scope3_Feed[[#Headers],[Category]], -1, 2)</f>
        <v>kg</v>
      </c>
      <c r="H147" s="10" cm="1">
        <f t="array" ref="H147">Common_InputFunctions.Utility_DisplayArrayInTable(Scope3_SourceData.Scope3_Feed_Data(), Table_SourceData_Scope3_Feed[[#Headers],[Category]], -1, 2)</f>
        <v>0.313</v>
      </c>
      <c r="I147" s="10" t="str" cm="1">
        <f t="array" ref="I147">Common_InputFunctions.Utility_DisplayArrayInTable(Scope3_SourceData.Scope3_Feed_Data(), Table_SourceData_Scope3_Feed[[#Headers],[Category]], -1, 2)</f>
        <v>at market</v>
      </c>
      <c r="J147" s="10" t="s">
        <v>912</v>
      </c>
      <c r="O147" s="10" t="str">
        <f>Table_SourceData_Scope3_Feed[[#This Row],[Product]]</f>
        <v>Pasture hay</v>
      </c>
      <c r="P147" s="10" t="str">
        <f>Table_SourceData_Scope3_Feed[[#This Row],[Region of origin]]</f>
        <v>SA</v>
      </c>
    </row>
    <row r="148" spans="4:17" ht="20.100000000000001" customHeight="1" x14ac:dyDescent="0.2">
      <c r="D148" s="10" t="str" cm="1">
        <f t="array" ref="D148">Common_InputFunctions.Utility_DisplayArrayInTable(Scope3_SourceData.Scope3_Feed_Data(), Table_SourceData_Scope3_Feed[[#Headers],[Category]], -1, 2)</f>
        <v>Hay</v>
      </c>
      <c r="E148" s="10" t="str" cm="1">
        <f t="array" ref="E148">Common_InputFunctions.Utility_DisplayArrayInTable(Scope3_SourceData.Scope3_Feed_Data(), Table_SourceData_Scope3_Feed[[#Headers],[Category]], -1, 2)</f>
        <v>Pasture hay</v>
      </c>
      <c r="F148" s="10" t="str" cm="1">
        <f t="array" ref="F148">Common_InputFunctions.Utility_DisplayArrayInTable(Scope3_SourceData.Scope3_Feed_Data(), Table_SourceData_Scope3_Feed[[#Headers],[Category]], -1, 2)</f>
        <v>TAS</v>
      </c>
      <c r="G148" s="10" t="str" cm="1">
        <f t="array" ref="G148">Common_InputFunctions.Utility_DisplayArrayInTable(Scope3_SourceData.Scope3_Feed_Data(), Table_SourceData_Scope3_Feed[[#Headers],[Category]], -1, 2)</f>
        <v>kg</v>
      </c>
      <c r="H148" s="10" cm="1">
        <f t="array" ref="H148">Common_InputFunctions.Utility_DisplayArrayInTable(Scope3_SourceData.Scope3_Feed_Data(), Table_SourceData_Scope3_Feed[[#Headers],[Category]], -1, 2)</f>
        <v>0.39800000000000002</v>
      </c>
      <c r="I148" s="10" t="str" cm="1">
        <f t="array" ref="I148">Common_InputFunctions.Utility_DisplayArrayInTable(Scope3_SourceData.Scope3_Feed_Data(), Table_SourceData_Scope3_Feed[[#Headers],[Category]], -1, 2)</f>
        <v>at market</v>
      </c>
      <c r="J148" s="10" t="s">
        <v>912</v>
      </c>
      <c r="O148" s="10" t="str">
        <f>Table_SourceData_Scope3_Feed[[#This Row],[Product]]</f>
        <v>Pasture hay</v>
      </c>
      <c r="P148" s="10" t="str">
        <f>Table_SourceData_Scope3_Feed[[#This Row],[Region of origin]]</f>
        <v>TAS</v>
      </c>
    </row>
    <row r="149" spans="4:17" ht="20.100000000000001" customHeight="1" x14ac:dyDescent="0.2">
      <c r="D149" s="10" t="str" cm="1">
        <f t="array" ref="D149">Common_InputFunctions.Utility_DisplayArrayInTable(Scope3_SourceData.Scope3_Feed_Data(), Table_SourceData_Scope3_Feed[[#Headers],[Category]], -1, 2)</f>
        <v>Hay</v>
      </c>
      <c r="E149" s="10" t="str" cm="1">
        <f t="array" ref="E149">Common_InputFunctions.Utility_DisplayArrayInTable(Scope3_SourceData.Scope3_Feed_Data(), Table_SourceData_Scope3_Feed[[#Headers],[Category]], -1, 2)</f>
        <v>Pasture hay</v>
      </c>
      <c r="F149" s="10" t="str" cm="1">
        <f t="array" ref="F149">Common_InputFunctions.Utility_DisplayArrayInTable(Scope3_SourceData.Scope3_Feed_Data(), Table_SourceData_Scope3_Feed[[#Headers],[Category]], -1, 2)</f>
        <v>VIC</v>
      </c>
      <c r="G149" s="10" t="str" cm="1">
        <f t="array" ref="G149">Common_InputFunctions.Utility_DisplayArrayInTable(Scope3_SourceData.Scope3_Feed_Data(), Table_SourceData_Scope3_Feed[[#Headers],[Category]], -1, 2)</f>
        <v>kg</v>
      </c>
      <c r="H149" s="10" cm="1">
        <f t="array" ref="H149">Common_InputFunctions.Utility_DisplayArrayInTable(Scope3_SourceData.Scope3_Feed_Data(), Table_SourceData_Scope3_Feed[[#Headers],[Category]], -1, 2)</f>
        <v>0.34499999999999997</v>
      </c>
      <c r="I149" s="10" t="str" cm="1">
        <f t="array" ref="I149">Common_InputFunctions.Utility_DisplayArrayInTable(Scope3_SourceData.Scope3_Feed_Data(), Table_SourceData_Scope3_Feed[[#Headers],[Category]], -1, 2)</f>
        <v>at market</v>
      </c>
      <c r="J149" s="10" t="s">
        <v>912</v>
      </c>
      <c r="O149" s="10" t="str">
        <f>Table_SourceData_Scope3_Feed[[#This Row],[Product]]</f>
        <v>Pasture hay</v>
      </c>
      <c r="P149" s="10" t="str">
        <f>Table_SourceData_Scope3_Feed[[#This Row],[Region of origin]]</f>
        <v>VIC</v>
      </c>
    </row>
    <row r="150" spans="4:17" ht="20.100000000000001" customHeight="1" x14ac:dyDescent="0.2">
      <c r="D150" s="10" t="str" cm="1">
        <f t="array" ref="D150">Common_InputFunctions.Utility_DisplayArrayInTable(Scope3_SourceData.Scope3_Feed_Data(), Table_SourceData_Scope3_Feed[[#Headers],[Category]], -1, 2)</f>
        <v>Hay</v>
      </c>
      <c r="E150" s="10" t="str" cm="1">
        <f t="array" ref="E150">Common_InputFunctions.Utility_DisplayArrayInTable(Scope3_SourceData.Scope3_Feed_Data(), Table_SourceData_Scope3_Feed[[#Headers],[Category]], -1, 2)</f>
        <v>Pasture hay</v>
      </c>
      <c r="F150" s="10" t="str" cm="1">
        <f t="array" ref="F150">Common_InputFunctions.Utility_DisplayArrayInTable(Scope3_SourceData.Scope3_Feed_Data(), Table_SourceData_Scope3_Feed[[#Headers],[Category]], -1, 2)</f>
        <v>WA</v>
      </c>
      <c r="G150" s="10" t="str" cm="1">
        <f t="array" ref="G150">Common_InputFunctions.Utility_DisplayArrayInTable(Scope3_SourceData.Scope3_Feed_Data(), Table_SourceData_Scope3_Feed[[#Headers],[Category]], -1, 2)</f>
        <v>kg</v>
      </c>
      <c r="H150" s="10" cm="1">
        <f t="array" ref="H150">Common_InputFunctions.Utility_DisplayArrayInTable(Scope3_SourceData.Scope3_Feed_Data(), Table_SourceData_Scope3_Feed[[#Headers],[Category]], -1, 2)</f>
        <v>0.36799999999999999</v>
      </c>
      <c r="I150" s="10" t="str" cm="1">
        <f t="array" ref="I150">Common_InputFunctions.Utility_DisplayArrayInTable(Scope3_SourceData.Scope3_Feed_Data(), Table_SourceData_Scope3_Feed[[#Headers],[Category]], -1, 2)</f>
        <v>at market</v>
      </c>
      <c r="J150" s="10" t="s">
        <v>912</v>
      </c>
      <c r="L150" s="144" t="s">
        <v>212</v>
      </c>
      <c r="M150" s="144" t="s">
        <v>380</v>
      </c>
      <c r="N150" s="8" t="str">
        <f>"Table_ProductRegions_" &amp; SUBSTITUTE(SUBSTITUTE(SUBSTITUTE(SUBSTITUTE(L151, " ", ""), ",", ""), "(", ""), ")", "")</f>
        <v>Table_ProductRegions_Canolameal</v>
      </c>
      <c r="O150" s="10" t="str">
        <f>Table_SourceData_Scope3_Feed[[#This Row],[Product]]</f>
        <v>Pasture hay</v>
      </c>
      <c r="P150" s="10" t="str">
        <f>Table_SourceData_Scope3_Feed[[#This Row],[Region of origin]]</f>
        <v>WA</v>
      </c>
    </row>
    <row r="151" spans="4:17" ht="20.100000000000001" customHeight="1" x14ac:dyDescent="0.2">
      <c r="D151" s="10" t="str" cm="1">
        <f t="array" ref="D151">Common_InputFunctions.Utility_DisplayArrayInTable(Scope3_SourceData.Scope3_Feed_Data(), Table_SourceData_Scope3_Feed[[#Headers],[Category]], -1, 2)</f>
        <v>Meal</v>
      </c>
      <c r="E151" s="10" t="str" cm="1">
        <f t="array" ref="E151">Common_InputFunctions.Utility_DisplayArrayInTable(Scope3_SourceData.Scope3_Feed_Data(), Table_SourceData_Scope3_Feed[[#Headers],[Category]], -1, 2)</f>
        <v>Canola meal</v>
      </c>
      <c r="F151" s="10" t="str" cm="1">
        <f t="array" ref="F151">Common_InputFunctions.Utility_DisplayArrayInTable(Scope3_SourceData.Scope3_Feed_Data(), Table_SourceData_Scope3_Feed[[#Headers],[Category]], -1, 2)</f>
        <v>Australia</v>
      </c>
      <c r="G151" s="10" t="str" cm="1">
        <f t="array" ref="G151">Common_InputFunctions.Utility_DisplayArrayInTable(Scope3_SourceData.Scope3_Feed_Data(), Table_SourceData_Scope3_Feed[[#Headers],[Category]], -1, 2)</f>
        <v>kg</v>
      </c>
      <c r="H151" s="10" cm="1">
        <f t="array" ref="H151">Common_InputFunctions.Utility_DisplayArrayInTable(Scope3_SourceData.Scope3_Feed_Data(), Table_SourceData_Scope3_Feed[[#Headers],[Category]], -1, 2)</f>
        <v>0.24399999999999999</v>
      </c>
      <c r="I151" s="10" t="str" cm="1">
        <f t="array" ref="I151">Common_InputFunctions.Utility_DisplayArrayInTable(Scope3_SourceData.Scope3_Feed_Data(), Table_SourceData_Scope3_Feed[[#Headers],[Category]], -1, 2)</f>
        <v>at market</v>
      </c>
      <c r="J151" s="10" t="s">
        <v>912</v>
      </c>
      <c r="L151" s="8" t="str">
        <f>Table_SourceData_Scope3_Feed[[#This Row],[Product]]</f>
        <v>Canola meal</v>
      </c>
      <c r="M151" s="8" t="str">
        <f>Table_SourceData_Scope3_Feed[[#This Row],[Region of origin]]</f>
        <v>Australia</v>
      </c>
      <c r="O151" s="10" t="s">
        <v>212</v>
      </c>
      <c r="P151" s="10" t="s">
        <v>380</v>
      </c>
      <c r="Q151" s="8" t="str">
        <f>"Table_ProductRegions_" &amp; SUBSTITUTE(SUBSTITUTE(SUBSTITUTE(SUBSTITUTE(O152, " ", ""), ",", ""), "(", ""), ")", "")</f>
        <v>Table_ProductRegions_Meatmeal</v>
      </c>
    </row>
    <row r="152" spans="4:17" ht="20.100000000000001" customHeight="1" x14ac:dyDescent="0.2">
      <c r="D152" s="10" t="str" cm="1">
        <f t="array" ref="D152">Common_InputFunctions.Utility_DisplayArrayInTable(Scope3_SourceData.Scope3_Feed_Data(), Table_SourceData_Scope3_Feed[[#Headers],[Category]], -1, 2)</f>
        <v>Meal</v>
      </c>
      <c r="E152" s="10" t="str" cm="1">
        <f t="array" ref="E152">Common_InputFunctions.Utility_DisplayArrayInTable(Scope3_SourceData.Scope3_Feed_Data(), Table_SourceData_Scope3_Feed[[#Headers],[Category]], -1, 2)</f>
        <v>Meat meal</v>
      </c>
      <c r="F152" s="10" t="str" cm="1">
        <f t="array" ref="F152">Common_InputFunctions.Utility_DisplayArrayInTable(Scope3_SourceData.Scope3_Feed_Data(), Table_SourceData_Scope3_Feed[[#Headers],[Category]], -1, 2)</f>
        <v>Australia</v>
      </c>
      <c r="G152" s="10" t="str" cm="1">
        <f t="array" ref="G152">Common_InputFunctions.Utility_DisplayArrayInTable(Scope3_SourceData.Scope3_Feed_Data(), Table_SourceData_Scope3_Feed[[#Headers],[Category]], -1, 2)</f>
        <v>kg</v>
      </c>
      <c r="H152" s="10" cm="1">
        <f t="array" ref="H152">Common_InputFunctions.Utility_DisplayArrayInTable(Scope3_SourceData.Scope3_Feed_Data(), Table_SourceData_Scope3_Feed[[#Headers],[Category]], -1, 2)</f>
        <v>0.40799999999999997</v>
      </c>
      <c r="I152" s="10" t="str" cm="1">
        <f t="array" ref="I152">Common_InputFunctions.Utility_DisplayArrayInTable(Scope3_SourceData.Scope3_Feed_Data(), Table_SourceData_Scope3_Feed[[#Headers],[Category]], -1, 2)</f>
        <v>at market</v>
      </c>
      <c r="J152" s="10" t="s">
        <v>912</v>
      </c>
      <c r="L152" s="10" t="s">
        <v>212</v>
      </c>
      <c r="M152" s="10" t="s">
        <v>380</v>
      </c>
      <c r="N152" s="8" t="str">
        <f>"Table_ProductRegions_" &amp; SUBSTITUTE(SUBSTITUTE(SUBSTITUTE(SUBSTITUTE(L153, " ", ""), ",", ""), "(", ""), ")", "")</f>
        <v>Table_ProductRegions_Soybeanmeal</v>
      </c>
      <c r="O152" s="10" t="str">
        <f>Table_SourceData_Scope3_Feed[[#This Row],[Product]]</f>
        <v>Meat meal</v>
      </c>
      <c r="P152" s="10" t="str">
        <f>Table_SourceData_Scope3_Feed[[#This Row],[Region of origin]]</f>
        <v>Australia</v>
      </c>
    </row>
    <row r="153" spans="4:17" ht="20.100000000000001" customHeight="1" x14ac:dyDescent="0.2">
      <c r="D153" s="10" t="str" cm="1">
        <f t="array" ref="D153">Common_InputFunctions.Utility_DisplayArrayInTable(Scope3_SourceData.Scope3_Feed_Data(), Table_SourceData_Scope3_Feed[[#Headers],[Category]], -1, 2)</f>
        <v>Meal</v>
      </c>
      <c r="E153" s="10" t="str" cm="1">
        <f t="array" ref="E153">Common_InputFunctions.Utility_DisplayArrayInTable(Scope3_SourceData.Scope3_Feed_Data(), Table_SourceData_Scope3_Feed[[#Headers],[Category]], -1, 2)</f>
        <v>Soybean meal</v>
      </c>
      <c r="F153" s="10" t="str" cm="1">
        <f t="array" ref="F153">Common_InputFunctions.Utility_DisplayArrayInTable(Scope3_SourceData.Scope3_Feed_Data(), Table_SourceData_Scope3_Feed[[#Headers],[Category]], -1, 2)</f>
        <v>Brazil</v>
      </c>
      <c r="G153" s="10" t="str" cm="1">
        <f t="array" ref="G153">Common_InputFunctions.Utility_DisplayArrayInTable(Scope3_SourceData.Scope3_Feed_Data(), Table_SourceData_Scope3_Feed[[#Headers],[Category]], -1, 2)</f>
        <v>kg</v>
      </c>
      <c r="H153" s="10" cm="1">
        <f t="array" ref="H153">Common_InputFunctions.Utility_DisplayArrayInTable(Scope3_SourceData.Scope3_Feed_Data(), Table_SourceData_Scope3_Feed[[#Headers],[Category]], -1, 2)</f>
        <v>0.42599999999999999</v>
      </c>
      <c r="I153" s="10" t="str" cm="1">
        <f t="array" ref="I153">Common_InputFunctions.Utility_DisplayArrayInTable(Scope3_SourceData.Scope3_Feed_Data(), Table_SourceData_Scope3_Feed[[#Headers],[Category]], -1, 2)</f>
        <v>at market</v>
      </c>
      <c r="J153" s="10" t="s">
        <v>912</v>
      </c>
      <c r="L153" s="10" t="str">
        <f>Table_SourceData_Scope3_Feed[[#This Row],[Product]]</f>
        <v>Soybean meal</v>
      </c>
      <c r="M153" s="10" t="str">
        <f>Table_SourceData_Scope3_Feed[[#This Row],[Region of origin]]</f>
        <v>Brazil</v>
      </c>
      <c r="O153" s="10" t="s">
        <v>212</v>
      </c>
      <c r="P153" s="10" t="s">
        <v>380</v>
      </c>
      <c r="Q153" s="8" t="str">
        <f>"Table_ProductRegions_" &amp; SUBSTITUTE(SUBSTITUTE(SUBSTITUTE(SUBSTITUTE(O154, " ", ""), ",", ""), "(", ""), ")", "")</f>
        <v>Table_ProductRegions_Wheatbran</v>
      </c>
    </row>
    <row r="154" spans="4:17" ht="20.100000000000001" customHeight="1" x14ac:dyDescent="0.2">
      <c r="D154" s="10" t="str" cm="1">
        <f t="array" ref="D154">Common_InputFunctions.Utility_DisplayArrayInTable(Scope3_SourceData.Scope3_Feed_Data(), Table_SourceData_Scope3_Feed[[#Headers],[Category]], -1, 2)</f>
        <v>Meal</v>
      </c>
      <c r="E154" s="10" t="str" cm="1">
        <f t="array" ref="E154">Common_InputFunctions.Utility_DisplayArrayInTable(Scope3_SourceData.Scope3_Feed_Data(), Table_SourceData_Scope3_Feed[[#Headers],[Category]], -1, 2)</f>
        <v>Wheat bran</v>
      </c>
      <c r="F154" s="10" t="str" cm="1">
        <f t="array" ref="F154">Common_InputFunctions.Utility_DisplayArrayInTable(Scope3_SourceData.Scope3_Feed_Data(), Table_SourceData_Scope3_Feed[[#Headers],[Category]], -1, 2)</f>
        <v>Australia</v>
      </c>
      <c r="G154" s="10" t="str" cm="1">
        <f t="array" ref="G154">Common_InputFunctions.Utility_DisplayArrayInTable(Scope3_SourceData.Scope3_Feed_Data(), Table_SourceData_Scope3_Feed[[#Headers],[Category]], -1, 2)</f>
        <v>kg</v>
      </c>
      <c r="H154" s="10" cm="1">
        <f t="array" ref="H154">Common_InputFunctions.Utility_DisplayArrayInTable(Scope3_SourceData.Scope3_Feed_Data(), Table_SourceData_Scope3_Feed[[#Headers],[Category]], -1, 2)</f>
        <v>0.19600000000000001</v>
      </c>
      <c r="I154" s="10" t="str" cm="1">
        <f t="array" ref="I154">Common_InputFunctions.Utility_DisplayArrayInTable(Scope3_SourceData.Scope3_Feed_Data(), Table_SourceData_Scope3_Feed[[#Headers],[Category]], -1, 2)</f>
        <v>at market</v>
      </c>
      <c r="J154" s="10" t="s">
        <v>912</v>
      </c>
      <c r="L154" s="10" t="s">
        <v>212</v>
      </c>
      <c r="M154" s="10" t="s">
        <v>380</v>
      </c>
      <c r="N154" s="8" t="str">
        <f>"Table_ProductRegions_" &amp; SUBSTITUTE(SUBSTITUTE(SUBSTITUTE(SUBSTITUTE(L155, " ", ""), ",", ""), "(", ""), ")", "")</f>
        <v>Table_ProductRegions_Bentonite</v>
      </c>
      <c r="O154" s="10" t="str">
        <f>Table_SourceData_Scope3_Feed[[#This Row],[Product]]</f>
        <v>Wheat bran</v>
      </c>
      <c r="P154" s="10" t="str">
        <f>Table_SourceData_Scope3_Feed[[#This Row],[Region of origin]]</f>
        <v>Australia</v>
      </c>
    </row>
    <row r="155" spans="4:17" ht="20.100000000000001" customHeight="1" x14ac:dyDescent="0.2">
      <c r="D155" s="8" t="str" cm="1">
        <f t="array" ref="D155">Common_InputFunctions.Utility_DisplayArrayInTable(Scope3_SourceData.Scope3_Feed_Data(), Table_SourceData_Scope3_Feed[[#Headers],[Category]], -5, 2)</f>
        <v>Other</v>
      </c>
      <c r="E155" s="8" t="str" cm="1">
        <f t="array" ref="E155">Common_InputFunctions.Utility_DisplayArrayInTable(Scope3_SourceData.Scope3_Feed_Data(), Table_SourceData_Scope3_Feed[[#Headers],[Category]], -5, 2)</f>
        <v>Bentonite</v>
      </c>
      <c r="F155" s="8" t="str" cm="1">
        <f t="array" ref="F155">Common_InputFunctions.Utility_DisplayArrayInTable(Scope3_SourceData.Scope3_Feed_Data(), Table_SourceData_Scope3_Feed[[#Headers],[Category]], -5, 2)</f>
        <v>Australia</v>
      </c>
      <c r="G155" s="8" t="str" cm="1">
        <f t="array" ref="G155">Common_InputFunctions.Utility_DisplayArrayInTable(Scope3_SourceData.Scope3_Feed_Data(), Table_SourceData_Scope3_Feed[[#Headers],[Category]], -5, 2)</f>
        <v>kg</v>
      </c>
      <c r="H155" s="8" cm="1">
        <f t="array" ref="H155">Common_InputFunctions.Utility_DisplayArrayInTable(Scope3_SourceData.Scope3_Feed_Data(), Table_SourceData_Scope3_Feed[[#Headers],[Category]], -5, 2)</f>
        <v>6.5199999999999994E-2</v>
      </c>
      <c r="I155" s="8" t="str" cm="1">
        <f t="array" ref="I155">Common_InputFunctions.Utility_DisplayArrayInTable(Scope3_SourceData.Scope3_Feed_Data(), Table_SourceData_Scope3_Feed[[#Headers],[Category]], -5, 2)</f>
        <v>at market</v>
      </c>
      <c r="J155" s="10" t="s">
        <v>912</v>
      </c>
      <c r="L155" s="10" t="str">
        <f>Table_SourceData_Scope3_Feed[[#This Row],[Product]]</f>
        <v>Bentonite</v>
      </c>
      <c r="M155" s="10" t="str">
        <f>Table_SourceData_Scope3_Feed[[#This Row],[Region of origin]]</f>
        <v>Australia</v>
      </c>
      <c r="O155" s="10" t="s">
        <v>212</v>
      </c>
      <c r="P155" s="10" t="s">
        <v>380</v>
      </c>
      <c r="Q155" s="8" t="str">
        <f>"Table_ProductRegions_" &amp; SUBSTITUTE(SUBSTITUTE(SUBSTITUTE(SUBSTITUTE(O156, " ", ""), ",", ""), "(", ""), ")", "")</f>
        <v>Table_ProductRegions_Canolaoil</v>
      </c>
    </row>
    <row r="156" spans="4:17" ht="20.100000000000001" customHeight="1" x14ac:dyDescent="0.2">
      <c r="D156" s="8" t="str" cm="1">
        <f t="array" ref="D156">Common_InputFunctions.Utility_DisplayArrayInTable(Scope3_SourceData.Scope3_Feed_Data(), Table_SourceData_Scope3_Feed[[#Headers],[Category]], -5, 2)</f>
        <v>Other</v>
      </c>
      <c r="E156" s="8" t="str" cm="1">
        <f t="array" ref="E156">Common_InputFunctions.Utility_DisplayArrayInTable(Scope3_SourceData.Scope3_Feed_Data(), Table_SourceData_Scope3_Feed[[#Headers],[Category]], -5, 2)</f>
        <v>Canola oil</v>
      </c>
      <c r="F156" s="8" t="str" cm="1">
        <f t="array" ref="F156">Common_InputFunctions.Utility_DisplayArrayInTable(Scope3_SourceData.Scope3_Feed_Data(), Table_SourceData_Scope3_Feed[[#Headers],[Category]], -5, 2)</f>
        <v>Australia</v>
      </c>
      <c r="G156" s="8" t="str" cm="1">
        <f t="array" ref="G156">Common_InputFunctions.Utility_DisplayArrayInTable(Scope3_SourceData.Scope3_Feed_Data(), Table_SourceData_Scope3_Feed[[#Headers],[Category]], -5, 2)</f>
        <v>kg</v>
      </c>
      <c r="H156" s="8" cm="1">
        <f t="array" ref="H156">Common_InputFunctions.Utility_DisplayArrayInTable(Scope3_SourceData.Scope3_Feed_Data(), Table_SourceData_Scope3_Feed[[#Headers],[Category]], -5, 2)</f>
        <v>0.87</v>
      </c>
      <c r="I156" s="8" t="str" cm="1">
        <f t="array" ref="I156">Common_InputFunctions.Utility_DisplayArrayInTable(Scope3_SourceData.Scope3_Feed_Data(), Table_SourceData_Scope3_Feed[[#Headers],[Category]], -5, 2)</f>
        <v>at market</v>
      </c>
      <c r="J156" s="10" t="s">
        <v>912</v>
      </c>
      <c r="L156" s="10" t="s">
        <v>212</v>
      </c>
      <c r="M156" s="10" t="s">
        <v>380</v>
      </c>
      <c r="N156" s="8" t="str">
        <f>"Table_ProductRegions_" &amp; SUBSTITUTE(SUBSTITUTE(SUBSTITUTE(SUBSTITUTE(L157, " ", ""), ",", ""), "(", ""), ")", "")</f>
        <v>Table_ProductRegions_Cottonseed</v>
      </c>
      <c r="O156" s="10" t="str">
        <f>Table_SourceData_Scope3_Feed[[#This Row],[Product]]</f>
        <v>Canola oil</v>
      </c>
      <c r="P156" s="10" t="str">
        <f>Table_SourceData_Scope3_Feed[[#This Row],[Region of origin]]</f>
        <v>Australia</v>
      </c>
    </row>
    <row r="157" spans="4:17" ht="20.100000000000001" customHeight="1" x14ac:dyDescent="0.2">
      <c r="D157" s="8" t="str" cm="1">
        <f t="array" ref="D157">Common_InputFunctions.Utility_DisplayArrayInTable(Scope3_SourceData.Scope3_Feed_Data(), Table_SourceData_Scope3_Feed[[#Headers],[Category]], -5, 2)</f>
        <v>Other</v>
      </c>
      <c r="E157" s="8" t="str" cm="1">
        <f t="array" ref="E157">Common_InputFunctions.Utility_DisplayArrayInTable(Scope3_SourceData.Scope3_Feed_Data(), Table_SourceData_Scope3_Feed[[#Headers],[Category]], -5, 2)</f>
        <v>Cotton seed</v>
      </c>
      <c r="F157" s="8" t="str" cm="1">
        <f t="array" ref="F157">Common_InputFunctions.Utility_DisplayArrayInTable(Scope3_SourceData.Scope3_Feed_Data(), Table_SourceData_Scope3_Feed[[#Headers],[Category]], -5, 2)</f>
        <v>Australia</v>
      </c>
      <c r="G157" s="8" t="str" cm="1">
        <f t="array" ref="G157">Common_InputFunctions.Utility_DisplayArrayInTable(Scope3_SourceData.Scope3_Feed_Data(), Table_SourceData_Scope3_Feed[[#Headers],[Category]], -5, 2)</f>
        <v>kg</v>
      </c>
      <c r="H157" s="8" cm="1">
        <f t="array" ref="H157">Common_InputFunctions.Utility_DisplayArrayInTable(Scope3_SourceData.Scope3_Feed_Data(), Table_SourceData_Scope3_Feed[[#Headers],[Category]], -5, 2)</f>
        <v>0.19700000000000001</v>
      </c>
      <c r="I157" s="8" t="str" cm="1">
        <f t="array" ref="I157">Common_InputFunctions.Utility_DisplayArrayInTable(Scope3_SourceData.Scope3_Feed_Data(), Table_SourceData_Scope3_Feed[[#Headers],[Category]], -5, 2)</f>
        <v>at market</v>
      </c>
      <c r="J157" s="10" t="s">
        <v>912</v>
      </c>
      <c r="L157" s="10" t="str">
        <f>Table_SourceData_Scope3_Feed[[#This Row],[Product]]</f>
        <v>Cotton seed</v>
      </c>
      <c r="M157" s="10" t="str">
        <f>Table_SourceData_Scope3_Feed[[#This Row],[Region of origin]]</f>
        <v>Australia</v>
      </c>
      <c r="O157" s="10" t="s">
        <v>212</v>
      </c>
      <c r="P157" s="10" t="s">
        <v>380</v>
      </c>
      <c r="Q157" s="8" t="str">
        <f>"Table_ProductRegions_" &amp; SUBSTITUTE(SUBSTITUTE(SUBSTITUTE(SUBSTITUTE(O158, " ", ""), ",", ""), "(", ""), ")", "")</f>
        <v>Table_ProductRegions_Molasses</v>
      </c>
    </row>
    <row r="158" spans="4:17" ht="20.100000000000001" customHeight="1" x14ac:dyDescent="0.2">
      <c r="D158" s="10" t="str" cm="1">
        <f t="array" ref="D158">Common_InputFunctions.Utility_DisplayArrayInTable(Scope3_SourceData.Scope3_Feed_Data(), Table_SourceData_Scope3_Feed[[#Headers],[Category]], -8, 2)</f>
        <v>Other</v>
      </c>
      <c r="E158" s="10" t="str" cm="1">
        <f t="array" ref="E158">Common_InputFunctions.Utility_DisplayArrayInTable(Scope3_SourceData.Scope3_Feed_Data(), Table_SourceData_Scope3_Feed[[#Headers],[Category]], -8, 2)</f>
        <v>Molasses</v>
      </c>
      <c r="F158" s="10" t="str" cm="1">
        <f t="array" ref="F158">Common_InputFunctions.Utility_DisplayArrayInTable(Scope3_SourceData.Scope3_Feed_Data(), Table_SourceData_Scope3_Feed[[#Headers],[Category]], -8, 2)</f>
        <v>QLD</v>
      </c>
      <c r="G158" s="10" t="str" cm="1">
        <f t="array" ref="G158">Common_InputFunctions.Utility_DisplayArrayInTable(Scope3_SourceData.Scope3_Feed_Data(), Table_SourceData_Scope3_Feed[[#Headers],[Category]], -8, 2)</f>
        <v>kg</v>
      </c>
      <c r="H158" s="10" cm="1">
        <f t="array" ref="H158">Common_InputFunctions.Utility_DisplayArrayInTable(Scope3_SourceData.Scope3_Feed_Data(), Table_SourceData_Scope3_Feed[[#Headers],[Category]], -8, 2)</f>
        <v>0.184</v>
      </c>
      <c r="I158" s="10" t="str" cm="1">
        <f t="array" ref="I158">Common_InputFunctions.Utility_DisplayArrayInTable(Scope3_SourceData.Scope3_Feed_Data(), Table_SourceData_Scope3_Feed[[#Headers],[Category]], -8, 2)</f>
        <v>at market</v>
      </c>
      <c r="J158" s="10"/>
      <c r="O158" s="10" t="str">
        <f>Table_SourceData_Scope3_Feed[[#This Row],[Product]]</f>
        <v>Molasses</v>
      </c>
      <c r="P158" s="10" t="str">
        <f>Table_SourceData_Scope3_Feed[[#This Row],[Region of origin]]</f>
        <v>QLD</v>
      </c>
    </row>
    <row r="161" spans="4:14" ht="20.100000000000001" customHeight="1" x14ac:dyDescent="0.2">
      <c r="D161" s="10" t="s">
        <v>312</v>
      </c>
      <c r="E161" s="10" t="s">
        <v>212</v>
      </c>
      <c r="F161" s="10" t="s">
        <v>313</v>
      </c>
      <c r="G161" s="10" t="s">
        <v>279</v>
      </c>
      <c r="H161" s="10" t="s">
        <v>913</v>
      </c>
      <c r="I161" s="10" t="s">
        <v>356</v>
      </c>
      <c r="J161" s="10" t="s">
        <v>140</v>
      </c>
    </row>
    <row r="162" spans="4:14" ht="20.100000000000001" customHeight="1" x14ac:dyDescent="0.2">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c r="J162" s="10" t="s">
        <v>912</v>
      </c>
    </row>
    <row r="163" spans="4:14" ht="20.100000000000001" customHeight="1" x14ac:dyDescent="0.2">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c r="J163" s="10" t="s">
        <v>912</v>
      </c>
    </row>
    <row r="164" spans="4:14" ht="20.100000000000001" customHeight="1" x14ac:dyDescent="0.2">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c r="J164" s="10" t="s">
        <v>912</v>
      </c>
    </row>
    <row r="165" spans="4:14" ht="20.100000000000001" customHeight="1" x14ac:dyDescent="0.2">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c r="J165" s="10" t="s">
        <v>912</v>
      </c>
    </row>
    <row r="167" spans="4:14" ht="20.100000000000001" customHeight="1" x14ac:dyDescent="0.2">
      <c r="D167" s="10" t="s">
        <v>312</v>
      </c>
      <c r="E167" s="10" t="s">
        <v>212</v>
      </c>
      <c r="F167" s="10" t="s">
        <v>313</v>
      </c>
      <c r="G167" s="10" t="s">
        <v>279</v>
      </c>
      <c r="H167" s="10" t="s">
        <v>913</v>
      </c>
      <c r="I167" s="10" t="s">
        <v>356</v>
      </c>
      <c r="J167" s="10" t="s">
        <v>140</v>
      </c>
    </row>
    <row r="168" spans="4:14" ht="20.100000000000001" customHeight="1" x14ac:dyDescent="0.2">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c r="J168" s="10" t="s">
        <v>912</v>
      </c>
    </row>
    <row r="169" spans="4:14" ht="20.100000000000001" customHeight="1" x14ac:dyDescent="0.2">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c r="J169" s="10" t="s">
        <v>912</v>
      </c>
    </row>
    <row r="170" spans="4:14" ht="20.100000000000001" customHeight="1" x14ac:dyDescent="0.2">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c r="J170" s="10" t="s">
        <v>912</v>
      </c>
    </row>
    <row r="172" spans="4:14" ht="20.100000000000001" customHeight="1" x14ac:dyDescent="0.2">
      <c r="D172" s="9" t="s">
        <v>344</v>
      </c>
    </row>
    <row r="173" spans="4:14" ht="20.100000000000001" customHeight="1" x14ac:dyDescent="0.2">
      <c r="D173" s="10" t="s">
        <v>312</v>
      </c>
      <c r="E173" s="10" t="s">
        <v>212</v>
      </c>
      <c r="F173" s="10" t="s">
        <v>313</v>
      </c>
      <c r="G173" s="10" t="s">
        <v>277</v>
      </c>
      <c r="H173" s="10" t="s">
        <v>169</v>
      </c>
      <c r="I173" s="10" t="s">
        <v>170</v>
      </c>
      <c r="J173" s="10" t="s">
        <v>278</v>
      </c>
      <c r="K173" s="10" t="s">
        <v>279</v>
      </c>
      <c r="L173" s="10" t="s">
        <v>913</v>
      </c>
      <c r="M173" s="10" t="s">
        <v>356</v>
      </c>
      <c r="N173" s="10" t="s">
        <v>140</v>
      </c>
    </row>
    <row r="174" spans="4:14" ht="20.100000000000001" customHeight="1" x14ac:dyDescent="0.2">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c r="N174" s="10" t="s">
        <v>912</v>
      </c>
    </row>
    <row r="175" spans="4:14" ht="20.100000000000001" customHeight="1" x14ac:dyDescent="0.2">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c r="N175" s="10" t="s">
        <v>912</v>
      </c>
    </row>
    <row r="176" spans="4:14" ht="20.100000000000001" customHeight="1" x14ac:dyDescent="0.2">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c r="N176" s="10" t="s">
        <v>912</v>
      </c>
    </row>
    <row r="177" spans="4:14" ht="20.100000000000001" customHeight="1" x14ac:dyDescent="0.2">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c r="N177" s="10" t="s">
        <v>912</v>
      </c>
    </row>
    <row r="178" spans="4:14" ht="20.100000000000001" customHeight="1" x14ac:dyDescent="0.2">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c r="N178" s="10" t="s">
        <v>912</v>
      </c>
    </row>
    <row r="179" spans="4:14" ht="20.100000000000001" customHeight="1" x14ac:dyDescent="0.2">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c r="N179" s="10" t="s">
        <v>912</v>
      </c>
    </row>
    <row r="180" spans="4:14" ht="20.100000000000001" customHeight="1" x14ac:dyDescent="0.2">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c r="N180" s="10" t="s">
        <v>912</v>
      </c>
    </row>
    <row r="181" spans="4:14" ht="20.100000000000001" customHeight="1" x14ac:dyDescent="0.2">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c r="N181" s="10" t="s">
        <v>912</v>
      </c>
    </row>
    <row r="182" spans="4:14" ht="20.100000000000001" customHeight="1" x14ac:dyDescent="0.2">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c r="N182" s="10" t="s">
        <v>912</v>
      </c>
    </row>
    <row r="183" spans="4:14" ht="20.100000000000001" customHeight="1" x14ac:dyDescent="0.2">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c r="N183" s="10" t="s">
        <v>912</v>
      </c>
    </row>
    <row r="184" spans="4:14" ht="20.100000000000001" customHeight="1" x14ac:dyDescent="0.2">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c r="N184" s="10" t="s">
        <v>912</v>
      </c>
    </row>
    <row r="185" spans="4:14" ht="20.100000000000001" customHeight="1" x14ac:dyDescent="0.2">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t="s">
        <v>912</v>
      </c>
    </row>
    <row r="186" spans="4:14" ht="20.100000000000001" customHeight="1" x14ac:dyDescent="0.2">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t="s">
        <v>912</v>
      </c>
    </row>
    <row r="187" spans="4:14" ht="20.100000000000001" customHeight="1" x14ac:dyDescent="0.2">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t="s">
        <v>912</v>
      </c>
    </row>
    <row r="188" spans="4:14" ht="20.100000000000001" customHeight="1" x14ac:dyDescent="0.2">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t="s">
        <v>912</v>
      </c>
    </row>
    <row r="189" spans="4:14" ht="20.100000000000001" customHeight="1" x14ac:dyDescent="0.2">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t="s">
        <v>912</v>
      </c>
    </row>
    <row r="190" spans="4:14" ht="20.100000000000001" customHeight="1" x14ac:dyDescent="0.2">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t="s">
        <v>912</v>
      </c>
    </row>
    <row r="191" spans="4:14" ht="20.100000000000001" customHeight="1" x14ac:dyDescent="0.2">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t="s">
        <v>912</v>
      </c>
    </row>
    <row r="192" spans="4:14" ht="20.100000000000001" customHeight="1" x14ac:dyDescent="0.2">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t="s">
        <v>912</v>
      </c>
    </row>
    <row r="193" spans="4:14" ht="20.100000000000001" customHeight="1" x14ac:dyDescent="0.2">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t="s">
        <v>912</v>
      </c>
    </row>
    <row r="194" spans="4:14" ht="20.100000000000001" customHeight="1" x14ac:dyDescent="0.2">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t="s">
        <v>912</v>
      </c>
    </row>
    <row r="195" spans="4:14" ht="20.100000000000001" customHeight="1" x14ac:dyDescent="0.2">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t="s">
        <v>912</v>
      </c>
    </row>
    <row r="196" spans="4:14" ht="20.100000000000001" customHeight="1" x14ac:dyDescent="0.2">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t="s">
        <v>912</v>
      </c>
    </row>
    <row r="197" spans="4:14" ht="20.100000000000001" customHeight="1" x14ac:dyDescent="0.2">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t="s">
        <v>912</v>
      </c>
    </row>
    <row r="198" spans="4:14" ht="20.100000000000001" customHeight="1" x14ac:dyDescent="0.2">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t="s">
        <v>912</v>
      </c>
    </row>
    <row r="200" spans="4:14" ht="20.100000000000001" customHeight="1" x14ac:dyDescent="0.2">
      <c r="D200" s="9" t="s">
        <v>360</v>
      </c>
    </row>
    <row r="201" spans="4:14" ht="20.100000000000001" customHeight="1" x14ac:dyDescent="0.2">
      <c r="D201" s="10" t="s">
        <v>312</v>
      </c>
      <c r="E201" s="10" t="s">
        <v>212</v>
      </c>
      <c r="F201" s="10" t="s">
        <v>313</v>
      </c>
      <c r="G201" s="10" t="s">
        <v>279</v>
      </c>
      <c r="H201" s="10" t="s">
        <v>913</v>
      </c>
      <c r="I201" s="10" t="s">
        <v>356</v>
      </c>
      <c r="J201" s="10" t="s">
        <v>140</v>
      </c>
    </row>
    <row r="202" spans="4:14" ht="20.100000000000001" customHeight="1" x14ac:dyDescent="0.2">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J202" s="10" t="s">
        <v>912</v>
      </c>
    </row>
    <row r="203" spans="4:14" ht="20.100000000000001" customHeight="1" x14ac:dyDescent="0.2">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J203" s="10" t="s">
        <v>912</v>
      </c>
    </row>
    <row r="204" spans="4:14" ht="20.100000000000001" customHeight="1" x14ac:dyDescent="0.2">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J204" s="10" t="s">
        <v>912</v>
      </c>
    </row>
    <row r="205" spans="4:14" ht="20.100000000000001" customHeight="1" x14ac:dyDescent="0.2">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J205" s="10" t="s">
        <v>912</v>
      </c>
    </row>
    <row r="206" spans="4:14" ht="20.100000000000001" customHeight="1" x14ac:dyDescent="0.2">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J206" s="10" t="s">
        <v>912</v>
      </c>
    </row>
    <row r="207" spans="4:14" ht="20.100000000000001" customHeight="1" x14ac:dyDescent="0.2">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J207" s="10" t="s">
        <v>912</v>
      </c>
    </row>
    <row r="208" spans="4:14" ht="20.100000000000001" customHeight="1" x14ac:dyDescent="0.2">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J208" s="10" t="s">
        <v>912</v>
      </c>
    </row>
    <row r="209" spans="4:10" ht="20.100000000000001" customHeight="1" x14ac:dyDescent="0.2">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J209" s="10" t="s">
        <v>912</v>
      </c>
    </row>
    <row r="211" spans="4:10" ht="20.100000000000001" customHeight="1" x14ac:dyDescent="0.2">
      <c r="D211" s="9" t="s">
        <v>361</v>
      </c>
    </row>
    <row r="212" spans="4:10" ht="20.100000000000001" customHeight="1" x14ac:dyDescent="0.2">
      <c r="D212" s="10" t="s">
        <v>312</v>
      </c>
      <c r="E212" s="10" t="s">
        <v>212</v>
      </c>
      <c r="F212" s="10" t="s">
        <v>313</v>
      </c>
      <c r="G212" s="10" t="s">
        <v>279</v>
      </c>
      <c r="H212" s="10" t="s">
        <v>913</v>
      </c>
      <c r="I212" s="10" t="s">
        <v>356</v>
      </c>
      <c r="J212" s="10" t="s">
        <v>140</v>
      </c>
    </row>
    <row r="213" spans="4:10" ht="20.100000000000001" customHeight="1" x14ac:dyDescent="0.2">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c r="J213" s="10" t="s">
        <v>912</v>
      </c>
    </row>
    <row r="214" spans="4:10" ht="20.100000000000001" customHeight="1" x14ac:dyDescent="0.2">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c r="J214" s="10" t="s">
        <v>912</v>
      </c>
    </row>
    <row r="215" spans="4:10" ht="20.100000000000001" customHeight="1" x14ac:dyDescent="0.2">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c r="J215" s="10" t="s">
        <v>912</v>
      </c>
    </row>
    <row r="216" spans="4:10" ht="20.100000000000001" customHeight="1" x14ac:dyDescent="0.2">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c r="J216" s="10" t="s">
        <v>912</v>
      </c>
    </row>
    <row r="218" spans="4:10" ht="20.100000000000001" customHeight="1" x14ac:dyDescent="0.2">
      <c r="D218" s="9" t="s">
        <v>362</v>
      </c>
    </row>
    <row r="219" spans="4:10" ht="20.100000000000001" customHeight="1" x14ac:dyDescent="0.2">
      <c r="D219" s="10" t="s">
        <v>312</v>
      </c>
      <c r="E219" s="10" t="s">
        <v>212</v>
      </c>
      <c r="F219" s="10" t="s">
        <v>313</v>
      </c>
      <c r="G219" s="10" t="s">
        <v>279</v>
      </c>
      <c r="H219" s="10" t="s">
        <v>913</v>
      </c>
      <c r="I219" s="10" t="s">
        <v>356</v>
      </c>
      <c r="J219" s="10" t="s">
        <v>140</v>
      </c>
    </row>
    <row r="220" spans="4:10" ht="20.100000000000001" customHeight="1" x14ac:dyDescent="0.2">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c r="J220" s="10" t="s">
        <v>912</v>
      </c>
    </row>
    <row r="221" spans="4:10" ht="20.100000000000001" customHeight="1" x14ac:dyDescent="0.2">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c r="J221" s="10" t="s">
        <v>912</v>
      </c>
    </row>
    <row r="222" spans="4:10" ht="20.100000000000001" customHeight="1" x14ac:dyDescent="0.2">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c r="J222" s="10" t="s">
        <v>912</v>
      </c>
    </row>
    <row r="223" spans="4:10" ht="20.100000000000001" customHeight="1" x14ac:dyDescent="0.2">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c r="J223" s="10" t="s">
        <v>912</v>
      </c>
    </row>
    <row r="224" spans="4:10" ht="20.100000000000001" customHeight="1" x14ac:dyDescent="0.2">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c r="J224" s="10" t="s">
        <v>912</v>
      </c>
    </row>
    <row r="225" spans="4:10" ht="20.100000000000001" customHeight="1" x14ac:dyDescent="0.2">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c r="J225" s="10" t="s">
        <v>912</v>
      </c>
    </row>
    <row r="226" spans="4:10" ht="20.100000000000001" customHeight="1" x14ac:dyDescent="0.2">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c r="J226" s="10" t="s">
        <v>912</v>
      </c>
    </row>
    <row r="227" spans="4:10" ht="20.100000000000001" customHeight="1" x14ac:dyDescent="0.2">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c r="J227" s="10" t="s">
        <v>912</v>
      </c>
    </row>
    <row r="228" spans="4:10" ht="20.100000000000001" customHeight="1" x14ac:dyDescent="0.2">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c r="J228" s="10" t="s">
        <v>912</v>
      </c>
    </row>
    <row r="229" spans="4:10" ht="20.100000000000001" customHeight="1" x14ac:dyDescent="0.2">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c r="J229" s="10" t="s">
        <v>912</v>
      </c>
    </row>
    <row r="230" spans="4:10" ht="20.100000000000001" customHeight="1" x14ac:dyDescent="0.2">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c r="J230" s="10" t="s">
        <v>912</v>
      </c>
    </row>
    <row r="231" spans="4:10" ht="20.100000000000001" customHeight="1" x14ac:dyDescent="0.2">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c r="J231" s="10" t="s">
        <v>912</v>
      </c>
    </row>
    <row r="233" spans="4:10" ht="20.100000000000001" customHeight="1" x14ac:dyDescent="0.2">
      <c r="D233" s="9" t="s">
        <v>363</v>
      </c>
    </row>
    <row r="234" spans="4:10" ht="20.100000000000001" customHeight="1" x14ac:dyDescent="0.2">
      <c r="D234" s="10" t="s">
        <v>312</v>
      </c>
      <c r="E234" s="10" t="s">
        <v>212</v>
      </c>
      <c r="F234" s="10" t="s">
        <v>313</v>
      </c>
      <c r="G234" s="10" t="s">
        <v>279</v>
      </c>
      <c r="H234" s="10" t="s">
        <v>913</v>
      </c>
      <c r="I234" s="10" t="s">
        <v>356</v>
      </c>
      <c r="J234" s="10" t="s">
        <v>140</v>
      </c>
    </row>
    <row r="235" spans="4:10" ht="20.100000000000001" customHeight="1" x14ac:dyDescent="0.2">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c r="J235" s="10" t="s">
        <v>912</v>
      </c>
    </row>
    <row r="236" spans="4:10" ht="20.100000000000001" customHeight="1" x14ac:dyDescent="0.2">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c r="J236" s="10" t="s">
        <v>912</v>
      </c>
    </row>
    <row r="237" spans="4:10" ht="20.100000000000001" customHeight="1" x14ac:dyDescent="0.2">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c r="J237" s="10" t="s">
        <v>912</v>
      </c>
    </row>
    <row r="240" spans="4:10" ht="20.100000000000001" customHeight="1" x14ac:dyDescent="0.2">
      <c r="D240" s="9" t="s">
        <v>911</v>
      </c>
    </row>
    <row r="241" spans="4:18" ht="20.100000000000001" customHeight="1" x14ac:dyDescent="0.2">
      <c r="D241" s="10" t="s">
        <v>312</v>
      </c>
      <c r="E241" s="10" t="s">
        <v>212</v>
      </c>
      <c r="F241" s="10" t="s">
        <v>313</v>
      </c>
      <c r="G241" s="10" t="s">
        <v>279</v>
      </c>
      <c r="H241" s="10" t="s">
        <v>913</v>
      </c>
      <c r="I241" s="10" t="s">
        <v>356</v>
      </c>
      <c r="J241" s="10" t="s">
        <v>140</v>
      </c>
      <c r="L241" s="10" t="s">
        <v>212</v>
      </c>
      <c r="M241" s="10" t="s">
        <v>380</v>
      </c>
      <c r="N241" s="8" t="str">
        <f>"Table_ProductRegions_" &amp; SUBSTITUTE(SUBSTITUTE(SUBSTITUTE(SUBSTITUTE(L242, " ", ""), ",", ""), "(", ""), ")", "")</f>
        <v>Table_ProductRegions_Sardineswhole</v>
      </c>
      <c r="R241" s="8"/>
    </row>
    <row r="242" spans="4:18" ht="20.100000000000001" customHeight="1" x14ac:dyDescent="0.2">
      <c r="D242" s="10" t="str" cm="1">
        <f t="array" ref="D242">Common_InputFunctions.Utility_DisplayArrayInTable(Scope3_SourceData.Scope3_Feed_Data(), Table_SourceData_Scope3_FishFeedAndBait[[#Headers],[Category]], 0, 2)</f>
        <v>Aquaculture feed</v>
      </c>
      <c r="E242" s="10" t="str" cm="1">
        <f t="array" ref="E242">Common_InputFunctions.Utility_DisplayArrayInTable(Scope3_SourceData.Scope3_Feed_Data(), Table_SourceData_Scope3_FishFeedAndBait[[#Headers],[Category]], 0, 2)</f>
        <v>Sardines (whole)</v>
      </c>
      <c r="F242" s="10" t="str" cm="1">
        <f t="array" ref="F242">Common_InputFunctions.Utility_DisplayArrayInTable(Scope3_SourceData.Scope3_Feed_Data(), Table_SourceData_Scope3_FishFeedAndBait[[#Headers],[Category]], 0, 2)</f>
        <v>SA</v>
      </c>
      <c r="G242" s="10" t="str" cm="1">
        <f t="array" ref="G242">Common_InputFunctions.Utility_DisplayArrayInTable(Scope3_SourceData.Scope3_Feed_Data(), Table_SourceData_Scope3_FishFeedAndBait[[#Headers],[Category]], 0, 2)</f>
        <v>kg</v>
      </c>
      <c r="H242" s="10" cm="1">
        <f t="array" ref="H242">Common_InputFunctions.Utility_DisplayArrayInTable(Scope3_SourceData.Scope3_Feed_Data(), Table_SourceData_Scope3_FishFeedAndBait[[#Headers],[Category]], 0, 2)</f>
        <v>0.376</v>
      </c>
      <c r="I242" s="10" t="str" cm="1">
        <f t="array" ref="I242">Common_InputFunctions.Utility_DisplayArrayInTable(Scope3_SourceData.Scope3_Feed_Data(), Table_SourceData_Scope3_FishFeedAndBait[[#Headers],[Category]], 0, 2)</f>
        <v>at market</v>
      </c>
      <c r="J242" s="10" t="s">
        <v>912</v>
      </c>
      <c r="L242" s="10" t="str">
        <f>Table_SourceData_Scope3_FishFeedAndBait[[#This Row],[Product]]</f>
        <v>Sardines (whole)</v>
      </c>
      <c r="M242" s="10" t="str">
        <f>Table_SourceData_Scope3_FishFeedAndBait[[#This Row],[Region of origin]]</f>
        <v>SA</v>
      </c>
      <c r="R242" s="8"/>
    </row>
    <row r="243" spans="4:18" ht="20.100000000000001" customHeight="1" x14ac:dyDescent="0.2">
      <c r="D243" s="10" t="str" cm="1">
        <f t="array" ref="D243">Common_InputFunctions.Utility_DisplayArrayInTable(Scope3_SourceData.Scope3_FishFeedAndBait_Data(), Table_SourceData_Scope3_FishFeedAndBait[[#Headers],[Category]], 1, 1)</f>
        <v>Fish feed and bait</v>
      </c>
      <c r="E243" s="10" t="str" cm="1">
        <f t="array" ref="E243">Common_InputFunctions.Utility_DisplayArrayInTable(Scope3_SourceData.Scope3_FishFeedAndBait_Data(), Table_SourceData_Scope3_FishFeedAndBait[[#Headers],[Category]], 1, 1)</f>
        <v>Sardines (whole)</v>
      </c>
      <c r="F243" s="10" t="str" cm="1">
        <f t="array" ref="F243">Common_InputFunctions.Utility_DisplayArrayInTable(Scope3_SourceData.Scope3_FishFeedAndBait_Data(), Table_SourceData_Scope3_FishFeedAndBait[[#Headers],[Category]], 1, 1)</f>
        <v>Australia</v>
      </c>
      <c r="G243" s="10" t="str" cm="1">
        <f t="array" ref="G243">Common_InputFunctions.Utility_DisplayArrayInTable(Scope3_SourceData.Scope3_FishFeedAndBait_Data(), Table_SourceData_Scope3_FishFeedAndBait[[#Headers],[Category]], 1, 1)</f>
        <v>kg</v>
      </c>
      <c r="H243" s="10" cm="1">
        <f t="array" ref="H243">Common_InputFunctions.Utility_DisplayArrayInTable(Scope3_SourceData.Scope3_FishFeedAndBait_Data(), Table_SourceData_Scope3_FishFeedAndBait[[#Headers],[Category]], 1, 1)</f>
        <v>0.3</v>
      </c>
      <c r="I243" s="10" t="str" cm="1">
        <f t="array" ref="I243">Common_InputFunctions.Utility_DisplayArrayInTable(Scope3_SourceData.Scope3_FishFeedAndBait_Data(), Table_SourceData_Scope3_FishFeedAndBait[[#Headers],[Category]], 1, 1)</f>
        <v>Not specified</v>
      </c>
      <c r="J243" s="10" t="s">
        <v>914</v>
      </c>
      <c r="L243" s="8" t="str">
        <f>Table_SourceData_Scope3_FishFeedAndBait[[#This Row],[Product]]</f>
        <v>Sardines (whole)</v>
      </c>
      <c r="M243" s="8" t="str">
        <f>Table_SourceData_Scope3_FishFeedAndBait[[#This Row],[Region of origin]]</f>
        <v>Australia</v>
      </c>
      <c r="R243" s="8"/>
    </row>
    <row r="244" spans="4:18" ht="20.100000000000001" customHeight="1" x14ac:dyDescent="0.2">
      <c r="D244" s="10" t="str" cm="1">
        <f t="array" ref="D244">Common_InputFunctions.Utility_DisplayArrayInTable(Scope3_SourceData.Scope3_FishFeedAndBait_Data(), Table_SourceData_Scope3_FishFeedAndBait[[#Headers],[Category]], 1, 1)</f>
        <v>Fish feed and bait</v>
      </c>
      <c r="E244" s="10" t="str" cm="1">
        <f t="array" ref="E244">Common_InputFunctions.Utility_DisplayArrayInTable(Scope3_SourceData.Scope3_FishFeedAndBait_Data(), Table_SourceData_Scope3_FishFeedAndBait[[#Headers],[Category]], 1, 1)</f>
        <v>Low Animal Protein Formulated Feed</v>
      </c>
      <c r="F244" s="10" t="str" cm="1">
        <f t="array" ref="F244">Common_InputFunctions.Utility_DisplayArrayInTable(Scope3_SourceData.Scope3_FishFeedAndBait_Data(), Table_SourceData_Scope3_FishFeedAndBait[[#Headers],[Category]], 1, 1)</f>
        <v>Australia</v>
      </c>
      <c r="G244" s="10" t="str" cm="1">
        <f t="array" ref="G244">Common_InputFunctions.Utility_DisplayArrayInTable(Scope3_SourceData.Scope3_FishFeedAndBait_Data(), Table_SourceData_Scope3_FishFeedAndBait[[#Headers],[Category]], 1, 1)</f>
        <v>kg</v>
      </c>
      <c r="H244" s="10" cm="1">
        <f t="array" ref="H244">Common_InputFunctions.Utility_DisplayArrayInTable(Scope3_SourceData.Scope3_FishFeedAndBait_Data(), Table_SourceData_Scope3_FishFeedAndBait[[#Headers],[Category]], 1, 1)</f>
        <v>2.2000000000000002</v>
      </c>
      <c r="I244" s="10" t="str" cm="1">
        <f t="array" ref="I244">Common_InputFunctions.Utility_DisplayArrayInTable(Scope3_SourceData.Scope3_FishFeedAndBait_Data(), Table_SourceData_Scope3_FishFeedAndBait[[#Headers],[Category]], 1, 1)</f>
        <v>Not specified</v>
      </c>
      <c r="J244" s="10" t="s">
        <v>914</v>
      </c>
      <c r="R244" s="8"/>
    </row>
    <row r="245" spans="4:18" ht="20.100000000000001" customHeight="1" x14ac:dyDescent="0.2">
      <c r="D245" s="10" t="str" cm="1">
        <f t="array" ref="D245">Common_InputFunctions.Utility_DisplayArrayInTable(Scope3_SourceData.Scope3_FishFeedAndBait_Data(), Table_SourceData_Scope3_FishFeedAndBait[[#Headers],[Category]], 1, 1)</f>
        <v>Fish feed and bait</v>
      </c>
      <c r="E245" s="10" t="str" cm="1">
        <f t="array" ref="E245">Common_InputFunctions.Utility_DisplayArrayInTable(Scope3_SourceData.Scope3_FishFeedAndBait_Data(), Table_SourceData_Scope3_FishFeedAndBait[[#Headers],[Category]], 1, 1)</f>
        <v>Squid</v>
      </c>
      <c r="F245" s="10" t="str" cm="1">
        <f t="array" ref="F245">Common_InputFunctions.Utility_DisplayArrayInTable(Scope3_SourceData.Scope3_FishFeedAndBait_Data(), Table_SourceData_Scope3_FishFeedAndBait[[#Headers],[Category]], 1, 1)</f>
        <v>Australia</v>
      </c>
      <c r="G245" s="10" t="str" cm="1">
        <f t="array" ref="G245">Common_InputFunctions.Utility_DisplayArrayInTable(Scope3_SourceData.Scope3_FishFeedAndBait_Data(), Table_SourceData_Scope3_FishFeedAndBait[[#Headers],[Category]], 1, 1)</f>
        <v>kg</v>
      </c>
      <c r="H245" s="10" cm="1">
        <f t="array" ref="H245">Common_InputFunctions.Utility_DisplayArrayInTable(Scope3_SourceData.Scope3_FishFeedAndBait_Data(), Table_SourceData_Scope3_FishFeedAndBait[[#Headers],[Category]], 1, 1)</f>
        <v>0.3</v>
      </c>
      <c r="I245" s="10" t="str" cm="1">
        <f t="array" ref="I245">Common_InputFunctions.Utility_DisplayArrayInTable(Scope3_SourceData.Scope3_FishFeedAndBait_Data(), Table_SourceData_Scope3_FishFeedAndBait[[#Headers],[Category]], 1, 1)</f>
        <v>Not specified</v>
      </c>
      <c r="J245" s="10" t="s">
        <v>914</v>
      </c>
      <c r="R245" s="8"/>
    </row>
    <row r="246" spans="4:18" ht="20.100000000000001" customHeight="1" x14ac:dyDescent="0.2">
      <c r="D246" s="10" t="str" cm="1">
        <f t="array" ref="D246">Common_InputFunctions.Utility_DisplayArrayInTable(Scope3_SourceData.Scope3_FishFeedAndBait_Data(), Table_SourceData_Scope3_FishFeedAndBait[[#Headers],[Category]], 1, 1)</f>
        <v>Fish feed and bait</v>
      </c>
      <c r="E246" s="10" t="str" cm="1">
        <f t="array" ref="E246">Common_InputFunctions.Utility_DisplayArrayInTable(Scope3_SourceData.Scope3_FishFeedAndBait_Data(), Table_SourceData_Scope3_FishFeedAndBait[[#Headers],[Category]], 1, 1)</f>
        <v>Whole fish</v>
      </c>
      <c r="F246" s="10" t="str" cm="1">
        <f t="array" ref="F246">Common_InputFunctions.Utility_DisplayArrayInTable(Scope3_SourceData.Scope3_FishFeedAndBait_Data(), Table_SourceData_Scope3_FishFeedAndBait[[#Headers],[Category]], 1, 1)</f>
        <v>Australia</v>
      </c>
      <c r="G246" s="10" t="str" cm="1">
        <f t="array" ref="G246">Common_InputFunctions.Utility_DisplayArrayInTable(Scope3_SourceData.Scope3_FishFeedAndBait_Data(), Table_SourceData_Scope3_FishFeedAndBait[[#Headers],[Category]], 1, 1)</f>
        <v>kg</v>
      </c>
      <c r="H246" s="10" cm="1">
        <f t="array" ref="H246">Common_InputFunctions.Utility_DisplayArrayInTable(Scope3_SourceData.Scope3_FishFeedAndBait_Data(), Table_SourceData_Scope3_FishFeedAndBait[[#Headers],[Category]], 1, 1)</f>
        <v>0.3</v>
      </c>
      <c r="I246" s="10" t="str" cm="1">
        <f t="array" ref="I246">Common_InputFunctions.Utility_DisplayArrayInTable(Scope3_SourceData.Scope3_FishFeedAndBait_Data(), Table_SourceData_Scope3_FishFeedAndBait[[#Headers],[Category]], 1, 1)</f>
        <v>Not specified</v>
      </c>
      <c r="J246" s="10" t="s">
        <v>914</v>
      </c>
      <c r="R246" s="8"/>
    </row>
    <row r="247" spans="4:18" ht="20.100000000000001" customHeight="1" x14ac:dyDescent="0.2">
      <c r="D247" s="10" t="str" cm="1">
        <f t="array" ref="D247">Common_InputFunctions.Utility_DisplayArrayInTable(Scope3_SourceData.Scope3_FishFeedAndBait_Data(), Table_SourceData_Scope3_FishFeedAndBait[[#Headers],[Category]], 1, 1)</f>
        <v>Fish feed and bait</v>
      </c>
      <c r="E247" s="10" t="str" cm="1">
        <f t="array" ref="E247">Common_InputFunctions.Utility_DisplayArrayInTable(Scope3_SourceData.Scope3_FishFeedAndBait_Data(), Table_SourceData_Scope3_FishFeedAndBait[[#Headers],[Category]], 1, 1)</f>
        <v>Custom Bait</v>
      </c>
      <c r="F247" s="10" t="str" cm="1">
        <f t="array" ref="F247">Common_InputFunctions.Utility_DisplayArrayInTable(Scope3_SourceData.Scope3_FishFeedAndBait_Data(), Table_SourceData_Scope3_FishFeedAndBait[[#Headers],[Category]], 1, 1)</f>
        <v>Australia</v>
      </c>
      <c r="G247" s="10" t="str" cm="1">
        <f t="array" ref="G247">Common_InputFunctions.Utility_DisplayArrayInTable(Scope3_SourceData.Scope3_FishFeedAndBait_Data(), Table_SourceData_Scope3_FishFeedAndBait[[#Headers],[Category]], 1, 1)</f>
        <v>kg</v>
      </c>
      <c r="H247" s="10" cm="1">
        <f t="array" ref="H247">Common_InputFunctions.Utility_DisplayArrayInTable(Scope3_SourceData.Scope3_FishFeedAndBait_Data(), Table_SourceData_Scope3_FishFeedAndBait[[#Headers],[Category]], 1, 1)</f>
        <v>0.08</v>
      </c>
      <c r="I247" s="10" t="str" cm="1">
        <f t="array" ref="I247">Common_InputFunctions.Utility_DisplayArrayInTable(Scope3_SourceData.Scope3_FishFeedAndBait_Data(), Table_SourceData_Scope3_FishFeedAndBait[[#Headers],[Category]], 1, 1)</f>
        <v>Not specified</v>
      </c>
      <c r="J247" s="10" t="s">
        <v>914</v>
      </c>
    </row>
  </sheetData>
  <phoneticPr fontId="53" type="noConversion"/>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1294B-0412-4C25-A6D4-AEEB49C81981}">
  <sheetPr>
    <tabColor theme="2" tint="-0.499984740745262"/>
  </sheetPr>
  <dimension ref="A1:AI68"/>
  <sheetViews>
    <sheetView showGridLines="0" topLeftCell="A24" zoomScaleNormal="100" workbookViewId="0">
      <selection activeCell="A38" sqref="A38"/>
    </sheetView>
  </sheetViews>
  <sheetFormatPr defaultRowHeight="20.100000000000001" customHeight="1" x14ac:dyDescent="0.2"/>
  <cols>
    <col min="1" max="1" width="26.85546875" customWidth="1"/>
    <col min="2" max="2" width="4.140625" customWidth="1"/>
    <col min="3" max="3" width="4.140625" style="8" customWidth="1"/>
    <col min="4" max="4" width="34.28515625" style="8" customWidth="1"/>
    <col min="5" max="5" width="26.85546875" style="8" customWidth="1"/>
    <col min="6" max="6" width="25.85546875" style="8" customWidth="1"/>
    <col min="7" max="8" width="38" style="8" customWidth="1"/>
    <col min="9" max="9" width="38.140625" style="8" customWidth="1"/>
    <col min="10" max="10" width="32.85546875" style="8" customWidth="1"/>
    <col min="11" max="11" width="29.42578125" style="8" customWidth="1"/>
    <col min="12" max="31" width="18.140625" style="8" customWidth="1"/>
    <col min="32" max="32" width="4.140625" style="8" customWidth="1"/>
  </cols>
  <sheetData>
    <row r="1" spans="1:35" s="1" customFormat="1" ht="30" customHeight="1" x14ac:dyDescent="0.35">
      <c r="A1" s="37" t="e" vm="1">
        <v>#VALUE!</v>
      </c>
      <c r="C1" s="1" t="s">
        <v>763</v>
      </c>
      <c r="AG1"/>
      <c r="AH1"/>
      <c r="AI1"/>
    </row>
    <row r="2" spans="1:35" s="2" customFormat="1" ht="20.100000000000001" customHeight="1" x14ac:dyDescent="0.2">
      <c r="A2"/>
      <c r="AG2"/>
      <c r="AH2"/>
      <c r="AI2"/>
    </row>
    <row r="3" spans="1:35" ht="20.100000000000001" customHeight="1" x14ac:dyDescent="0.2">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
      <c r="A4" s="16" t="str">
        <f>HYPERLINK("#'Results'!A1", "Results")</f>
        <v>Results</v>
      </c>
    </row>
    <row r="5" spans="1:35" ht="20.100000000000001" customHeight="1" x14ac:dyDescent="0.2">
      <c r="D5" s="9" t="str" cm="1">
        <f t="array" ref="D5">WasteSolid_SourceData.Waste_EmissionFactorsForWasteTreatment_Title()</f>
        <v>Emission factors for wastes disposed of at different treatment facilities</v>
      </c>
    </row>
    <row r="6" spans="1:35" ht="20.100000000000001" customHeight="1" x14ac:dyDescent="0.2">
      <c r="D6" s="11" t="str" cm="1">
        <f t="array" ref="D6">WasteSolid_SourceData.Waste_EmissionFactorsForWasteTreatment_Source()</f>
        <v>VEERG 2026: Table A.4.1.1</v>
      </c>
    </row>
    <row r="7" spans="1:35" ht="20.100000000000001" customHeight="1" x14ac:dyDescent="0.2">
      <c r="A7" s="19" t="s">
        <v>67</v>
      </c>
      <c r="D7" s="12" t="str" cm="1">
        <f t="array" ref="D7:D13">WasteSolid_SourceData.Waste_EmissionFactorsForWasteTreatment_Variation()</f>
        <v>VARIATION ON SOURCE:</v>
      </c>
    </row>
    <row r="8" spans="1:35" ht="20.100000000000001" customHeight="1" x14ac:dyDescent="0.2">
      <c r="A8" s="16" t="str">
        <f>HYPERLINK("#'Input - Site'!A1", "Site")</f>
        <v>Site</v>
      </c>
      <c r="D8" s="12" t="str">
        <v>Fixed typo 'paper and carboard' to 'paper and cardboard'</v>
      </c>
    </row>
    <row r="9" spans="1:35" ht="20.100000000000001" customHeight="1" x14ac:dyDescent="0.2">
      <c r="A9" s="16" t="str">
        <f>HYPERLINK("#'Input - Fuel'!A1", "Fuel")</f>
        <v>Fuel</v>
      </c>
      <c r="D9" s="12" t="str">
        <v>Fixed typo 'prunnings' to 'prunings'</v>
      </c>
    </row>
    <row r="10" spans="1:35" ht="20.100000000000001" customHeight="1" x14ac:dyDescent="0.2">
      <c r="A10" s="16" t="str">
        <f>HYPERLINK("#'Input - Fertiliser'!A1", "Fertiliser")</f>
        <v>Fertiliser</v>
      </c>
      <c r="D10" s="12" t="str">
        <v>Added EF source column with specific references</v>
      </c>
    </row>
    <row r="11" spans="1:35" ht="20.100000000000001" customHeight="1" x14ac:dyDescent="0.2">
      <c r="A11" s="16" t="str">
        <f>HYPERLINK("#'Input - Farm Inputs'!A1", "Farm Inputs")</f>
        <v>Farm Inputs</v>
      </c>
      <c r="D11" s="12" t="str">
        <v>Added sub-categories for 'Incineration: Food waste, green waste, wood, sludge' in order to use volume to mass conversion factor values</v>
      </c>
    </row>
    <row r="12" spans="1:35" ht="20.100000000000001" customHeight="1" x14ac:dyDescent="0.2">
      <c r="A12" s="16" t="str">
        <f>HYPERLINK("#'Input - Livestock purchases'!A1", "Livestock purchases")</f>
        <v>Livestock purchases</v>
      </c>
      <c r="D12" s="12" t="str">
        <v>Added sub-categories for 'Composting: All organic waste' in order to use volume to mass conversion factor values</v>
      </c>
    </row>
    <row r="13" spans="1:35" ht="20.100000000000001" customHeight="1" x14ac:dyDescent="0.2">
      <c r="A13" s="16" t="str">
        <f>HYPERLINK("#'Input - Freight'!A1", "Freight")</f>
        <v>Freight</v>
      </c>
      <c r="D13" s="12" t="str">
        <v>Added sub-categories for 'Anaerobic digestion: All organic waste' in order to use volume to mass conversion factor values</v>
      </c>
    </row>
    <row r="14" spans="1:35" ht="20.100000000000001" customHeight="1" x14ac:dyDescent="0.2">
      <c r="A14" s="16" t="str">
        <f>HYPERLINK("#'Input - Solid waste'!A1", "Solid waste")</f>
        <v>Solid waste</v>
      </c>
      <c r="D14" s="8" t="str" cm="1">
        <f t="array" ref="D14">WasteSolid_SourceData.Waste_EmissionFactorsForWasteTreatment_Variable()</f>
        <v>EFwt</v>
      </c>
    </row>
    <row r="15" spans="1:35" ht="20.100000000000001" customHeight="1" x14ac:dyDescent="0.2">
      <c r="A15" s="16" t="str">
        <f>HYPERLINK("#'Input - Manure sent off-site'!A1", "Manure sent off-site")</f>
        <v>Manure sent off-site</v>
      </c>
      <c r="D15" s="13" t="str" cm="1">
        <f t="array" ref="D15">WasteSolid_SourceData.Waste_EmissionFactorsForWasteTreatment_Unit()</f>
        <v>t CO2e / t</v>
      </c>
      <c r="I15" s="8" t="s">
        <v>764</v>
      </c>
      <c r="K15" s="8" t="s">
        <v>765</v>
      </c>
      <c r="M15" s="8" t="s">
        <v>766</v>
      </c>
      <c r="O15" s="8" t="s">
        <v>767</v>
      </c>
    </row>
    <row r="16" spans="1:35" ht="20.100000000000001" customHeight="1" x14ac:dyDescent="0.2">
      <c r="A16" s="16" t="str">
        <f>HYPERLINK("#'Input - Electricity'!A1", "Electricity")</f>
        <v>Electricity</v>
      </c>
      <c r="D16" s="10" t="s">
        <v>768</v>
      </c>
      <c r="E16" s="10" t="s">
        <v>769</v>
      </c>
      <c r="F16" s="10" t="s">
        <v>770</v>
      </c>
      <c r="G16" s="10" t="s">
        <v>771</v>
      </c>
      <c r="I16" s="10" t="s">
        <v>769</v>
      </c>
      <c r="K16" s="151" t="s">
        <v>769</v>
      </c>
      <c r="M16" s="151" t="s">
        <v>769</v>
      </c>
      <c r="O16" s="151" t="s">
        <v>769</v>
      </c>
    </row>
    <row r="17" spans="1:15" ht="20.100000000000001" customHeight="1" x14ac:dyDescent="0.2">
      <c r="D17" s="10"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0" cm="1">
        <f t="array" ref="F17">Common_InputFunctions.Utility_DisplayArrayInTable(WasteSolid_SourceData.Waste_EmissionFactorsForWasteTreatment_Data(), Table_SourceData_WasteSolid_WasteTreatmentEFs[[#Headers],[Treatment type t]], 0)</f>
        <v>2.1</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Food waste (including animal carcasses, spoiled animal feed or crop)</v>
      </c>
      <c r="K17" s="8" t="str">
        <f t="shared" ref="K17:K26" si="0">E29</f>
        <v>Food waste (including animal carcasses, spoiled animal feed or crop)</v>
      </c>
      <c r="M17" s="8" t="str">
        <f>E40</f>
        <v>Food waste (including animal carcasses, spoiled animal feed or crop)</v>
      </c>
      <c r="O17" s="8" t="str">
        <f>E46</f>
        <v>Food waste (including animal carcasses, spoiled animal feed or crop)</v>
      </c>
    </row>
    <row r="18" spans="1:15" ht="20.100000000000001" customHeight="1" x14ac:dyDescent="0.2">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Paper and cardboard</v>
      </c>
      <c r="F18" s="10" cm="1">
        <f t="array" ref="F18">Common_InputFunctions.Utility_DisplayArrayInTable(WasteSolid_SourceData.Waste_EmissionFactorsForWasteTreatment_Data(), Table_SourceData_WasteSolid_WasteTreatmentEFs[[#Headers],[Treatment type t]], 0)</f>
        <v>3.3</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Paper and cardboard</v>
      </c>
      <c r="K18" s="8" t="str">
        <f t="shared" si="0"/>
        <v>Green waste (including crop residues or prunings)</v>
      </c>
      <c r="M18" s="8" t="str">
        <f>E41</f>
        <v>Green waste (including crop residues or prunings)</v>
      </c>
      <c r="O18" s="8" t="str">
        <f>E47</f>
        <v>Green waste (including crop residues or prunings)</v>
      </c>
    </row>
    <row r="19" spans="1:15" ht="20.100000000000001" customHeight="1" x14ac:dyDescent="0.2">
      <c r="A19" s="21" t="s">
        <v>77</v>
      </c>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Green waste (including crop residues or prunings)</v>
      </c>
      <c r="F19" s="10" cm="1">
        <f t="array" ref="F19">Common_InputFunctions.Utility_DisplayArrayInTable(WasteSolid_SourceData.Waste_EmissionFactorsForWasteTreatment_Data(), Table_SourceData_WasteSolid_WasteTreatmentEFs[[#Headers],[Treatment type t]], 0)</f>
        <v>1.6</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Green waste (including crop residues or prunings)</v>
      </c>
      <c r="K19" s="8" t="str">
        <f t="shared" si="0"/>
        <v>Wood</v>
      </c>
      <c r="M19" s="8" t="str">
        <f>E42</f>
        <v>Wood</v>
      </c>
      <c r="O19" s="8" t="str">
        <f>E48</f>
        <v>Wood</v>
      </c>
    </row>
    <row r="20" spans="1:15" ht="20.100000000000001" customHeight="1" x14ac:dyDescent="0.2">
      <c r="A20" s="16" t="str">
        <f>HYPERLINK("#'15 Scope 3'!A1", "15 Scope 3")</f>
        <v>15 Scope 3</v>
      </c>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Wood</v>
      </c>
      <c r="F20" s="10" cm="1">
        <f t="array" ref="F20">Common_InputFunctions.Utility_DisplayArrayInTable(WasteSolid_SourceData.Waste_EmissionFactorsForWasteTreatment_Data(), Table_SourceData_WasteSolid_WasteTreatmentEFs[[#Headers],[Treatment type t]], 0)</f>
        <v>0.7</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Wood</v>
      </c>
      <c r="K20" s="8" t="str">
        <f t="shared" si="0"/>
        <v>Sludge</v>
      </c>
      <c r="M20" s="8" t="str">
        <f>E43</f>
        <v>Sludge</v>
      </c>
      <c r="O20" s="8" t="str">
        <f>E49</f>
        <v>Sludge</v>
      </c>
    </row>
    <row r="21" spans="1:15" ht="20.100000000000001" customHeight="1" x14ac:dyDescent="0.2">
      <c r="A21" s="16" t="str">
        <f>HYPERLINK("#'10.1.1-2 Solid waste treatment'!A1", "10.1.1-2 Solid waste treatment")</f>
        <v>10.1.1-2 Solid waste treatment</v>
      </c>
      <c r="D21" s="8" t="str" cm="1">
        <f t="array" ref="D21">Common_InputFunctions.Utility_DisplayArrayInTable(WasteSolid_SourceData.Waste_EmissionFactorsForWasteTreatment_Data(), Table_SourceData_WasteSolid_WasteTreatmentEFs[[#Headers],[Treatment type t]], 0)</f>
        <v>Landfill</v>
      </c>
      <c r="E21" s="10" t="str" cm="1">
        <f t="array" ref="E21">Common_InputFunctions.Utility_DisplayArrayInTable(WasteSolid_SourceData.Waste_EmissionFactorsForWasteTreatment_Data(), Table_SourceData_WasteSolid_WasteTreatmentEFs[[#Headers],[Treatment type t]], 0)</f>
        <v>Textiles</v>
      </c>
      <c r="F21" s="10" cm="1">
        <f t="array" ref="F21">Common_InputFunctions.Utility_DisplayArrayInTable(WasteSolid_SourceData.Waste_EmissionFactorsForWasteTreatment_Data(), Table_SourceData_WasteSolid_WasteTreatmentEFs[[#Headers],[Treatment type t]], 0)</f>
        <v>2</v>
      </c>
      <c r="G21" s="10" t="str" cm="1">
        <f t="array" ref="G21">Common_InputFunctions.Utility_DisplayArrayInTable(WasteSolid_SourceData.Waste_EmissionFactorsForWasteTreatment_Data(), Table_SourceData_WasteSolid_WasteTreatmentEFs[[#Headers],[Treatment type t]], 0)</f>
        <v>NGAF 2025 table 15</v>
      </c>
      <c r="I21" s="10" t="str">
        <f>Table_SourceData_WasteSolid_WasteTreatmentEFs[[#This Row],[Waste type w]]</f>
        <v>Textiles</v>
      </c>
      <c r="K21" s="8" t="str">
        <f t="shared" si="0"/>
        <v>Paper and cardboard</v>
      </c>
      <c r="M21" s="8" t="str">
        <f>E44</f>
        <v>Paper and cardboard</v>
      </c>
      <c r="O21" s="8" t="str">
        <f>E50</f>
        <v>Paper and cardboard</v>
      </c>
    </row>
    <row r="22" spans="1:15" ht="20.100000000000001" customHeight="1" x14ac:dyDescent="0.2">
      <c r="A22" s="16" t="str">
        <f>HYPERLINK("#'Calcs - Manure sent off-site'!A1", "Calcs - Manure sent off-site")</f>
        <v>Calcs - Manure sent off-site</v>
      </c>
      <c r="D22" s="8" t="str" cm="1">
        <f t="array" ref="D22">Common_InputFunctions.Utility_DisplayArrayInTable(WasteSolid_SourceData.Waste_EmissionFactorsForWasteTreatment_Data(), Table_SourceData_WasteSolid_WasteTreatmentEFs[[#Headers],[Treatment type t]], 0)</f>
        <v>Landfill</v>
      </c>
      <c r="E22" s="10" t="str" cm="1">
        <f t="array" ref="E22">Common_InputFunctions.Utility_DisplayArrayInTable(WasteSolid_SourceData.Waste_EmissionFactorsForWasteTreatment_Data(), Table_SourceData_WasteSolid_WasteTreatmentEFs[[#Headers],[Treatment type t]], 0)</f>
        <v>Sludge</v>
      </c>
      <c r="F22" s="10" cm="1">
        <f t="array" ref="F22">Common_InputFunctions.Utility_DisplayArrayInTable(WasteSolid_SourceData.Waste_EmissionFactorsForWasteTreatment_Data(), Table_SourceData_WasteSolid_WasteTreatmentEFs[[#Headers],[Treatment type t]], 0)</f>
        <v>0.4</v>
      </c>
      <c r="G22" s="10" t="str" cm="1">
        <f t="array" ref="G22">Common_InputFunctions.Utility_DisplayArrayInTable(WasteSolid_SourceData.Waste_EmissionFactorsForWasteTreatment_Data(), Table_SourceData_WasteSolid_WasteTreatmentEFs[[#Headers],[Treatment type t]], 0)</f>
        <v>NGAF 2025 table 15</v>
      </c>
      <c r="I22" s="10" t="str">
        <f>Table_SourceData_WasteSolid_WasteTreatmentEFs[[#This Row],[Waste type w]]</f>
        <v>Sludge</v>
      </c>
      <c r="K22" s="8" t="str">
        <f t="shared" si="0"/>
        <v>Textiles</v>
      </c>
    </row>
    <row r="23" spans="1:15" ht="20.100000000000001" customHeight="1" x14ac:dyDescent="0.2">
      <c r="A23" s="16" t="str">
        <f>HYPERLINK("#'8.1.1.1-2 Transport fuel'!A1", "8.1.1.1-2 Transport fuel")</f>
        <v>8.1.1.1-2 Transport fuel</v>
      </c>
      <c r="D23" s="8" t="str" cm="1">
        <f t="array" ref="D23">Common_InputFunctions.Utility_DisplayArrayInTable(WasteSolid_SourceData.Waste_EmissionFactorsForWasteTreatment_Data(), Table_SourceData_WasteSolid_WasteTreatmentEFs[[#Headers],[Treatment type t]], 0)</f>
        <v>Landfill</v>
      </c>
      <c r="E23" s="10" t="str" cm="1">
        <f t="array" ref="E23">Common_InputFunctions.Utility_DisplayArrayInTable(WasteSolid_SourceData.Waste_EmissionFactorsForWasteTreatment_Data(), Table_SourceData_WasteSolid_WasteTreatmentEFs[[#Headers],[Treatment type t]], 0)</f>
        <v>Rubber and leather</v>
      </c>
      <c r="F23" s="10" cm="1">
        <f t="array" ref="F23">Common_InputFunctions.Utility_DisplayArrayInTable(WasteSolid_SourceData.Waste_EmissionFactorsForWasteTreatment_Data(), Table_SourceData_WasteSolid_WasteTreatmentEFs[[#Headers],[Treatment type t]], 0)</f>
        <v>3.3</v>
      </c>
      <c r="G23" s="10" t="str" cm="1">
        <f t="array" ref="G23">Common_InputFunctions.Utility_DisplayArrayInTable(WasteSolid_SourceData.Waste_EmissionFactorsForWasteTreatment_Data(), Table_SourceData_WasteSolid_WasteTreatmentEFs[[#Headers],[Treatment type t]], 0)</f>
        <v>NGAF 2025 table 15</v>
      </c>
      <c r="I23" s="10" t="str">
        <f>Table_SourceData_WasteSolid_WasteTreatmentEFs[[#This Row],[Waste type w]]</f>
        <v>Rubber and leather</v>
      </c>
      <c r="K23" s="8" t="str">
        <f t="shared" si="0"/>
        <v>Rubber and leather</v>
      </c>
    </row>
    <row r="24" spans="1:15" ht="20.100000000000001" customHeight="1" x14ac:dyDescent="0.2">
      <c r="A24" s="16" t="str">
        <f>HYPERLINK("#'8.2.1.1-2 Stationary fuel'!A1", "8.2.1.1-2 Stationary fuel")</f>
        <v>8.2.1.1-2 Stationary fuel</v>
      </c>
      <c r="D24" s="8" t="str" cm="1">
        <f t="array" ref="D24">Common_InputFunctions.Utility_DisplayArrayInTable(WasteSolid_SourceData.Waste_EmissionFactorsForWasteTreatment_Data(), Table_SourceData_WasteSolid_WasteTreatmentEFs[[#Headers],[Treatment type t]], 0)</f>
        <v>Landfill</v>
      </c>
      <c r="E24" s="10" t="str" cm="1">
        <f t="array" ref="E24">Common_InputFunctions.Utility_DisplayArrayInTable(WasteSolid_SourceData.Waste_EmissionFactorsForWasteTreatment_Data(), Table_SourceData_WasteSolid_WasteTreatmentEFs[[#Headers],[Treatment type t]], 0)</f>
        <v>Inert waste (including concrete, metal, plastic or glass)</v>
      </c>
      <c r="F24" s="10" cm="1">
        <f t="array" ref="F24">Common_InputFunctions.Utility_DisplayArrayInTable(WasteSolid_SourceData.Waste_EmissionFactorsForWasteTreatment_Data(), Table_SourceData_WasteSolid_WasteTreatmentEFs[[#Headers],[Treatment type t]], 0)</f>
        <v>0</v>
      </c>
      <c r="G24" s="10" t="str" cm="1">
        <f t="array" ref="G24">Common_InputFunctions.Utility_DisplayArrayInTable(WasteSolid_SourceData.Waste_EmissionFactorsForWasteTreatment_Data(), Table_SourceData_WasteSolid_WasteTreatmentEFs[[#Headers],[Treatment type t]], 0)</f>
        <v>NGAF 2025 table 15</v>
      </c>
      <c r="I24" s="10" t="str">
        <f>Table_SourceData_WasteSolid_WasteTreatmentEFs[[#This Row],[Waste type w]]</f>
        <v>Inert waste (including concrete, metal, plastic or glass)</v>
      </c>
      <c r="K24" s="8" t="str">
        <f t="shared" si="0"/>
        <v>Inert waste (including concrete, metal, plastic or glass)</v>
      </c>
    </row>
    <row r="25" spans="1:15" ht="20.100000000000001" customHeight="1" x14ac:dyDescent="0.2">
      <c r="D25" s="8" t="str" cm="1">
        <f t="array" ref="D25">Common_InputFunctions.Utility_DisplayArrayInTable(WasteSolid_SourceData.Waste_EmissionFactorsForWasteTreatment_Data(), Table_SourceData_WasteSolid_WasteTreatmentEFs[[#Headers],[Treatment type t]], 0)</f>
        <v>Landfill</v>
      </c>
      <c r="E25" s="10" t="str" cm="1">
        <f t="array" ref="E25">Common_InputFunctions.Utility_DisplayArrayInTable(WasteSolid_SourceData.Waste_EmissionFactorsForWasteTreatment_Data(), Table_SourceData_WasteSolid_WasteTreatmentEFs[[#Headers],[Treatment type t]], 0)</f>
        <v>Municipal solid waste</v>
      </c>
      <c r="F25" s="10" cm="1">
        <f t="array" ref="F25">Common_InputFunctions.Utility_DisplayArrayInTable(WasteSolid_SourceData.Waste_EmissionFactorsForWasteTreatment_Data(), Table_SourceData_WasteSolid_WasteTreatmentEFs[[#Headers],[Treatment type t]], 0)</f>
        <v>1.6</v>
      </c>
      <c r="G25" s="10" t="str" cm="1">
        <f t="array" ref="G25">Common_InputFunctions.Utility_DisplayArrayInTable(WasteSolid_SourceData.Waste_EmissionFactorsForWasteTreatment_Data(), Table_SourceData_WasteSolid_WasteTreatmentEFs[[#Headers],[Treatment type t]], 0)</f>
        <v>NGAF 2025 table 15</v>
      </c>
      <c r="I25" s="10" t="str">
        <f>Table_SourceData_WasteSolid_WasteTreatmentEFs[[#This Row],[Waste type w]]</f>
        <v>Municipal solid waste</v>
      </c>
      <c r="K25" s="8" t="str">
        <f t="shared" si="0"/>
        <v>Municipal solid waste</v>
      </c>
    </row>
    <row r="26" spans="1:15" ht="20.100000000000001" customHeight="1" x14ac:dyDescent="0.2">
      <c r="D26" s="8" t="str" cm="1">
        <f t="array" ref="D26">Common_InputFunctions.Utility_DisplayArrayInTable(WasteSolid_SourceData.Waste_EmissionFactorsForWasteTreatment_Data(), Table_SourceData_WasteSolid_WasteTreatmentEFs[[#Headers],[Treatment type t]], 0)</f>
        <v>Landfill</v>
      </c>
      <c r="E26" s="10" t="str" cm="1">
        <f t="array" ref="E26">Common_InputFunctions.Utility_DisplayArrayInTable(WasteSolid_SourceData.Waste_EmissionFactorsForWasteTreatment_Data(), Table_SourceData_WasteSolid_WasteTreatmentEFs[[#Headers],[Treatment type t]], 0)</f>
        <v>Commercial and industrial waste</v>
      </c>
      <c r="F26" s="10" cm="1">
        <f t="array" ref="F26">Common_InputFunctions.Utility_DisplayArrayInTable(WasteSolid_SourceData.Waste_EmissionFactorsForWasteTreatment_Data(), Table_SourceData_WasteSolid_WasteTreatmentEFs[[#Headers],[Treatment type t]], 0)</f>
        <v>1.3</v>
      </c>
      <c r="G26" s="10" t="str" cm="1">
        <f t="array" ref="G26">Common_InputFunctions.Utility_DisplayArrayInTable(WasteSolid_SourceData.Waste_EmissionFactorsForWasteTreatment_Data(), Table_SourceData_WasteSolid_WasteTreatmentEFs[[#Headers],[Treatment type t]], 0)</f>
        <v>NGAF 2025 table 15</v>
      </c>
      <c r="I26" s="10" t="str">
        <f>Table_SourceData_WasteSolid_WasteTreatmentEFs[[#This Row],[Waste type w]]</f>
        <v>Commercial and industrial waste</v>
      </c>
      <c r="K26" s="8" t="str">
        <f t="shared" si="0"/>
        <v>Commercial and industrial waste</v>
      </c>
    </row>
    <row r="27" spans="1:15" ht="20.100000000000001" customHeight="1" x14ac:dyDescent="0.2">
      <c r="A27" s="213" t="s">
        <v>78</v>
      </c>
      <c r="D27" s="8" t="str" cm="1">
        <f t="array" ref="D27">Common_InputFunctions.Utility_DisplayArrayInTable(WasteSolid_SourceData.Waste_EmissionFactorsForWasteTreatment_Data(), Table_SourceData_WasteSolid_WasteTreatmentEFs[[#Headers],[Treatment type t]], 0)</f>
        <v>Landfill</v>
      </c>
      <c r="E27" s="10" t="str" cm="1">
        <f t="array" ref="E27">Common_InputFunctions.Utility_DisplayArrayInTable(WasteSolid_SourceData.Waste_EmissionFactorsForWasteTreatment_Data(), Table_SourceData_WasteSolid_WasteTreatmentEFs[[#Headers],[Treatment type t]], 0)</f>
        <v>Construction and demolition waste</v>
      </c>
      <c r="F27" s="10" cm="1">
        <f t="array" ref="F27">Common_InputFunctions.Utility_DisplayArrayInTable(WasteSolid_SourceData.Waste_EmissionFactorsForWasteTreatment_Data(), Table_SourceData_WasteSolid_WasteTreatmentEFs[[#Headers],[Treatment type t]], 0)</f>
        <v>0.2</v>
      </c>
      <c r="G27" s="10" t="str" cm="1">
        <f t="array" ref="G27">Common_InputFunctions.Utility_DisplayArrayInTable(WasteSolid_SourceData.Waste_EmissionFactorsForWasteTreatment_Data(), Table_SourceData_WasteSolid_WasteTreatmentEFs[[#Headers],[Treatment type t]], 0)</f>
        <v>NGAF 2025 table 15</v>
      </c>
      <c r="I27" s="10" t="str">
        <f>Table_SourceData_WasteSolid_WasteTreatmentEFs[[#This Row],[Waste type w]]</f>
        <v>Construction and demolition waste</v>
      </c>
    </row>
    <row r="28" spans="1:15" ht="20.100000000000001" customHeight="1" x14ac:dyDescent="0.2">
      <c r="A28" s="16" t="str">
        <f>HYPERLINK("#'Constants - Scope 3'!A1", "Constants - Scope 3")</f>
        <v>Constants - Scope 3</v>
      </c>
      <c r="D28" s="8" t="str" cm="1">
        <f t="array" ref="D28">Common_InputFunctions.Utility_DisplayArrayInTable(WasteSolid_SourceData.Waste_EmissionFactorsForWasteTreatment_Data(), Table_SourceData_WasteSolid_WasteTreatmentEFs[[#Headers],[Treatment type t]], 0)</f>
        <v>Incineration</v>
      </c>
      <c r="E28" s="10" t="str" cm="1">
        <f t="array" ref="E28">Common_InputFunctions.Utility_DisplayArrayInTable(WasteSolid_SourceData.Waste_EmissionFactorsForWasteTreatment_Data(), Table_SourceData_WasteSolid_WasteTreatmentEFs[[#Headers],[Treatment type t]], 0)</f>
        <v>Food waste, green waste, wood, sludge</v>
      </c>
      <c r="F28" s="10" cm="1">
        <f t="array" ref="F28">Common_InputFunctions.Utility_DisplayArrayInTable(WasteSolid_SourceData.Waste_EmissionFactorsForWasteTreatment_Data(), Table_SourceData_WasteSolid_WasteTreatmentEFs[[#Headers],[Treatment type t]], 0)</f>
        <v>0</v>
      </c>
      <c r="G28" s="1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
      <c r="A29" s="23" t="str">
        <f>HYPERLINK("#'Constants - Solid Waste'!A1", "Constants - Solid Waste")</f>
        <v>Constants - Solid Waste</v>
      </c>
      <c r="D29" s="8" t="str" cm="1">
        <f t="array" ref="D29">Common_InputFunctions.Utility_DisplayArrayInTable(WasteSolid_SourceData.Waste_EmissionFactorsForWasteTreatment_Data(), Table_SourceData_WasteSolid_WasteTreatmentEFs[[#Headers],[Treatment type t]], 0)</f>
        <v>Incineration</v>
      </c>
      <c r="E29" s="1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0" cm="1">
        <f t="array" ref="F29">Common_InputFunctions.Utility_DisplayArrayInTable(WasteSolid_SourceData.Waste_EmissionFactorsForWasteTreatment_Data(), Table_SourceData_WasteSolid_WasteTreatmentEFs[[#Headers],[Treatment type t]], 0)</f>
        <v>0</v>
      </c>
      <c r="G29" s="1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
      <c r="A30" s="16" t="str">
        <f>HYPERLINK("#'Constants - Fuel'!A1", "Constants - Fuel")</f>
        <v>Constants - Fuel</v>
      </c>
      <c r="D30" s="8" t="str" cm="1">
        <f t="array" ref="D30">Common_InputFunctions.Utility_DisplayArrayInTable(WasteSolid_SourceData.Waste_EmissionFactorsForWasteTreatment_Data(), Table_SourceData_WasteSolid_WasteTreatmentEFs[[#Headers],[Treatment type t]], 0)</f>
        <v>Incineration</v>
      </c>
      <c r="E30" s="10" t="str" cm="1">
        <f t="array" ref="E30">Common_InputFunctions.Utility_DisplayArrayInTable(WasteSolid_SourceData.Waste_EmissionFactorsForWasteTreatment_Data(), Table_SourceData_WasteSolid_WasteTreatmentEFs[[#Headers],[Treatment type t]], 0)</f>
        <v>Green waste (including crop residues or prunings)</v>
      </c>
      <c r="F30" s="10" cm="1">
        <f t="array" ref="F30">Common_InputFunctions.Utility_DisplayArrayInTable(WasteSolid_SourceData.Waste_EmissionFactorsForWasteTreatment_Data(), Table_SourceData_WasteSolid_WasteTreatmentEFs[[#Headers],[Treatment type t]], 0)</f>
        <v>0</v>
      </c>
      <c r="G30" s="1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
      <c r="A31" s="16" t="str">
        <f>HYPERLINK("#'Constants - Poultry'!A1", "Constants - Poultry")</f>
        <v>Constants - Poultry</v>
      </c>
      <c r="D31" s="8" t="str" cm="1">
        <f t="array" ref="D31">Common_InputFunctions.Utility_DisplayArrayInTable(WasteSolid_SourceData.Waste_EmissionFactorsForWasteTreatment_Data(), Table_SourceData_WasteSolid_WasteTreatmentEFs[[#Headers],[Treatment type t]], 0)</f>
        <v>Incineration</v>
      </c>
      <c r="E31" s="10" t="str" cm="1">
        <f t="array" ref="E31">Common_InputFunctions.Utility_DisplayArrayInTable(WasteSolid_SourceData.Waste_EmissionFactorsForWasteTreatment_Data(), Table_SourceData_WasteSolid_WasteTreatmentEFs[[#Headers],[Treatment type t]], 0)</f>
        <v>Wood</v>
      </c>
      <c r="F31" s="10" cm="1">
        <f t="array" ref="F31">Common_InputFunctions.Utility_DisplayArrayInTable(WasteSolid_SourceData.Waste_EmissionFactorsForWasteTreatment_Data(), Table_SourceData_WasteSolid_WasteTreatmentEFs[[#Headers],[Treatment type t]], 0)</f>
        <v>0</v>
      </c>
      <c r="G31" s="1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
      <c r="A32" s="16" t="str">
        <f>HYPERLINK("#'Constants - Swine'!A1", "Constants - Swine")</f>
        <v>Constants - Swine</v>
      </c>
      <c r="D32" s="8" t="str" cm="1">
        <f t="array" ref="D32">Common_InputFunctions.Utility_DisplayArrayInTable(WasteSolid_SourceData.Waste_EmissionFactorsForWasteTreatment_Data(), Table_SourceData_WasteSolid_WasteTreatmentEFs[[#Headers],[Treatment type t]], 0)</f>
        <v>Incineration</v>
      </c>
      <c r="E32" s="10" t="str" cm="1">
        <f t="array" ref="E32">Common_InputFunctions.Utility_DisplayArrayInTable(WasteSolid_SourceData.Waste_EmissionFactorsForWasteTreatment_Data(), Table_SourceData_WasteSolid_WasteTreatmentEFs[[#Headers],[Treatment type t]], 0)</f>
        <v>Sludge</v>
      </c>
      <c r="F32" s="10" cm="1">
        <f t="array" ref="F32">Common_InputFunctions.Utility_DisplayArrayInTable(WasteSolid_SourceData.Waste_EmissionFactorsForWasteTreatment_Data(), Table_SourceData_WasteSolid_WasteTreatmentEFs[[#Headers],[Treatment type t]], 0)</f>
        <v>0</v>
      </c>
      <c r="G32" s="10"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
      <c r="A33" s="16" t="str">
        <f>HYPERLINK("#'Constants - Dairy'!A1", "Constants - Dairy")</f>
        <v>Constants - Dairy</v>
      </c>
      <c r="D33" s="8" t="str" cm="1">
        <f t="array" ref="D33">Common_InputFunctions.Utility_DisplayArrayInTable(WasteSolid_SourceData.Waste_EmissionFactorsForWasteTreatment_Data(), Table_SourceData_WasteSolid_WasteTreatmentEFs[[#Headers],[Treatment type t]], 0)</f>
        <v>Incineration</v>
      </c>
      <c r="E33" s="10" t="str" cm="1">
        <f t="array" ref="E33">Common_InputFunctions.Utility_DisplayArrayInTable(WasteSolid_SourceData.Waste_EmissionFactorsForWasteTreatment_Data(), Table_SourceData_WasteSolid_WasteTreatmentEFs[[#Headers],[Treatment type t]], 0)</f>
        <v>Paper and cardboard</v>
      </c>
      <c r="F33" s="10" cm="1">
        <f t="array" ref="F33">Common_InputFunctions.Utility_DisplayArrayInTable(WasteSolid_SourceData.Waste_EmissionFactorsForWasteTreatment_Data(), Table_SourceData_WasteSolid_WasteTreatmentEFs[[#Headers],[Treatment type t]], 0)</f>
        <v>1.6899999999999998E-2</v>
      </c>
      <c r="G33" s="10"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
      <c r="A34" s="16" t="str">
        <f>HYPERLINK("#'Constants - Pasture Beef'!A1", "Constants - Pasture Beef")</f>
        <v>Constants - Pasture Beef</v>
      </c>
      <c r="D34" s="8" t="str" cm="1">
        <f t="array" ref="D34">Common_InputFunctions.Utility_DisplayArrayInTable(WasteSolid_SourceData.Waste_EmissionFactorsForWasteTreatment_Data(), Table_SourceData_WasteSolid_WasteTreatmentEFs[[#Headers],[Treatment type t]], 0)</f>
        <v>Incineration</v>
      </c>
      <c r="E34" s="10" t="str" cm="1">
        <f t="array" ref="E34">Common_InputFunctions.Utility_DisplayArrayInTable(WasteSolid_SourceData.Waste_EmissionFactorsForWasteTreatment_Data(), Table_SourceData_WasteSolid_WasteTreatmentEFs[[#Headers],[Treatment type t]], 0)</f>
        <v>Textiles</v>
      </c>
      <c r="F34" s="10" cm="1">
        <f t="array" ref="F34">Common_InputFunctions.Utility_DisplayArrayInTable(WasteSolid_SourceData.Waste_EmissionFactorsForWasteTreatment_Data(), Table_SourceData_WasteSolid_WasteTreatmentEFs[[#Headers],[Treatment type t]], 0)</f>
        <v>0.36670000000000003</v>
      </c>
      <c r="G34" s="10"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
      <c r="A35" s="16" t="str">
        <f>HYPERLINK("#'Constants - Common Livestock'!A1", "Constants - Common Livestock")</f>
        <v>Constants - Common Livestock</v>
      </c>
      <c r="D35" s="8" t="str" cm="1">
        <f t="array" ref="D35">Common_InputFunctions.Utility_DisplayArrayInTable(WasteSolid_SourceData.Waste_EmissionFactorsForWasteTreatment_Data(), Table_SourceData_WasteSolid_WasteTreatmentEFs[[#Headers],[Treatment type t]], 0)</f>
        <v>Incineration</v>
      </c>
      <c r="E35" s="10" t="str" cm="1">
        <f t="array" ref="E35">Common_InputFunctions.Utility_DisplayArrayInTable(WasteSolid_SourceData.Waste_EmissionFactorsForWasteTreatment_Data(), Table_SourceData_WasteSolid_WasteTreatmentEFs[[#Headers],[Treatment type t]], 0)</f>
        <v>Rubber and leather</v>
      </c>
      <c r="F35" s="10" cm="1">
        <f t="array" ref="F35">Common_InputFunctions.Utility_DisplayArrayInTable(WasteSolid_SourceData.Waste_EmissionFactorsForWasteTreatment_Data(), Table_SourceData_WasteSolid_WasteTreatmentEFs[[#Headers],[Treatment type t]], 0)</f>
        <v>0.4919</v>
      </c>
      <c r="G35" s="10"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
      <c r="A36" s="16" t="str">
        <f>HYPERLINK("#'Constants - Fertiliser'!A1", "Constants - Fertiliser")</f>
        <v>Constants - Fertiliser</v>
      </c>
      <c r="D36" s="8" t="str" cm="1">
        <f t="array" ref="D36">Common_InputFunctions.Utility_DisplayArrayInTable(WasteSolid_SourceData.Waste_EmissionFactorsForWasteTreatment_Data(), Table_SourceData_WasteSolid_WasteTreatmentEFs[[#Headers],[Treatment type t]], 0)</f>
        <v>Incineration</v>
      </c>
      <c r="E36" s="10" t="str" cm="1">
        <f t="array" ref="E36">Common_InputFunctions.Utility_DisplayArrayInTable(WasteSolid_SourceData.Waste_EmissionFactorsForWasteTreatment_Data(), Table_SourceData_WasteSolid_WasteTreatmentEFs[[#Headers],[Treatment type t]], 0)</f>
        <v>Inert waste (including concrete, metal, plastic or glass)</v>
      </c>
      <c r="F36" s="10" cm="1">
        <f t="array" ref="F36">Common_InputFunctions.Utility_DisplayArrayInTable(WasteSolid_SourceData.Waste_EmissionFactorsForWasteTreatment_Data(), Table_SourceData_WasteSolid_WasteTreatmentEFs[[#Headers],[Treatment type t]], 0)</f>
        <v>0.11</v>
      </c>
      <c r="G36" s="10"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
      <c r="A37" s="16" t="str">
        <f>HYPERLINK("#'Constants - Electricity'!A1", "Constants - Electricity")</f>
        <v>Constants - Electricity</v>
      </c>
      <c r="D37" s="8" t="str" cm="1">
        <f t="array" ref="D37">Common_InputFunctions.Utility_DisplayArrayInTable(WasteSolid_SourceData.Waste_EmissionFactorsForWasteTreatment_Data(), Table_SourceData_WasteSolid_WasteTreatmentEFs[[#Headers],[Treatment type t]], 0)</f>
        <v>Incineration</v>
      </c>
      <c r="E37" s="10" t="str" cm="1">
        <f t="array" ref="E37">Common_InputFunctions.Utility_DisplayArrayInTable(WasteSolid_SourceData.Waste_EmissionFactorsForWasteTreatment_Data(), Table_SourceData_WasteSolid_WasteTreatmentEFs[[#Headers],[Treatment type t]], 0)</f>
        <v>Municipal solid waste</v>
      </c>
      <c r="F37" s="10" cm="1">
        <f t="array" ref="F37">Common_InputFunctions.Utility_DisplayArrayInTable(WasteSolid_SourceData.Waste_EmissionFactorsForWasteTreatment_Data(), Table_SourceData_WasteSolid_WasteTreatmentEFs[[#Headers],[Treatment type t]], 0)</f>
        <v>5.3699999999999998E-2</v>
      </c>
      <c r="G37" s="211"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
      <c r="A38" s="16" t="str">
        <f>HYPERLINK("#'Constants - Common'!A1", "Constants - Common")</f>
        <v>Constants - Common</v>
      </c>
      <c r="D38" s="8" t="str" cm="1">
        <f t="array" ref="D38">Common_InputFunctions.Utility_DisplayArrayInTable(WasteSolid_SourceData.Waste_EmissionFactorsForWasteTreatment_Data(), Table_SourceData_WasteSolid_WasteTreatmentEFs[[#Headers],[Treatment type t]], 0)</f>
        <v>Incineration</v>
      </c>
      <c r="E38" s="10" t="str" cm="1">
        <f t="array" ref="E38">Common_InputFunctions.Utility_DisplayArrayInTable(WasteSolid_SourceData.Waste_EmissionFactorsForWasteTreatment_Data(), Table_SourceData_WasteSolid_WasteTreatmentEFs[[#Headers],[Treatment type t]], 0)</f>
        <v>Commercial and industrial waste</v>
      </c>
      <c r="F38" s="10" cm="1">
        <f t="array" ref="F38">Common_InputFunctions.Utility_DisplayArrayInTable(WasteSolid_SourceData.Waste_EmissionFactorsForWasteTreatment_Data(), Table_SourceData_WasteSolid_WasteTreatmentEFs[[#Headers],[Treatment type t]], 0)</f>
        <v>1.649</v>
      </c>
      <c r="G38" s="211"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
      <c r="D39" s="8" t="str" cm="1">
        <f t="array" ref="D39">Common_InputFunctions.Utility_DisplayArrayInTable(WasteSolid_SourceData.Waste_EmissionFactorsForWasteTreatment_Data(), Table_SourceData_WasteSolid_WasteTreatmentEFs[[#Headers],[Treatment type t]], 0)</f>
        <v>Composting</v>
      </c>
      <c r="E39" s="10" t="str" cm="1">
        <f t="array" ref="E39">Common_InputFunctions.Utility_DisplayArrayInTable(WasteSolid_SourceData.Waste_EmissionFactorsForWasteTreatment_Data(), Table_SourceData_WasteSolid_WasteTreatmentEFs[[#Headers],[Treatment type t]], 0)</f>
        <v>All organic waste</v>
      </c>
      <c r="F39" s="10" cm="1">
        <f t="array" ref="F39">Common_InputFunctions.Utility_DisplayArrayInTable(WasteSolid_SourceData.Waste_EmissionFactorsForWasteTreatment_Data(), Table_SourceData_WasteSolid_WasteTreatmentEFs[[#Headers],[Treatment type t]], 0)</f>
        <v>4.5999999999999999E-2</v>
      </c>
      <c r="G39" s="211"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
      <c r="D40" s="8" t="str" cm="1">
        <f t="array" ref="D40">Common_InputFunctions.Utility_DisplayArrayInTable(WasteSolid_SourceData.Waste_EmissionFactorsForWasteTreatment_Data(), Table_SourceData_WasteSolid_WasteTreatmentEFs[[#Headers],[Treatment type t]], 0)</f>
        <v>Composting</v>
      </c>
      <c r="E40" s="1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0" cm="1">
        <f t="array" ref="F40">Common_InputFunctions.Utility_DisplayArrayInTable(WasteSolid_SourceData.Waste_EmissionFactorsForWasteTreatment_Data(), Table_SourceData_WasteSolid_WasteTreatmentEFs[[#Headers],[Treatment type t]], 0)</f>
        <v>4.5999999999999999E-2</v>
      </c>
      <c r="G40" s="211"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
      <c r="D41" s="8" t="str" cm="1">
        <f t="array" ref="D41">Common_InputFunctions.Utility_DisplayArrayInTable(WasteSolid_SourceData.Waste_EmissionFactorsForWasteTreatment_Data(), Table_SourceData_WasteSolid_WasteTreatmentEFs[[#Headers],[Treatment type t]], 0)</f>
        <v>Composting</v>
      </c>
      <c r="E41" s="10" t="str" cm="1">
        <f t="array" ref="E41">Common_InputFunctions.Utility_DisplayArrayInTable(WasteSolid_SourceData.Waste_EmissionFactorsForWasteTreatment_Data(), Table_SourceData_WasteSolid_WasteTreatmentEFs[[#Headers],[Treatment type t]], 0)</f>
        <v>Green waste (including crop residues or prunings)</v>
      </c>
      <c r="F41" s="10" cm="1">
        <f t="array" ref="F41">Common_InputFunctions.Utility_DisplayArrayInTable(WasteSolid_SourceData.Waste_EmissionFactorsForWasteTreatment_Data(), Table_SourceData_WasteSolid_WasteTreatmentEFs[[#Headers],[Treatment type t]], 0)</f>
        <v>4.5999999999999999E-2</v>
      </c>
      <c r="G41" s="211"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
      <c r="D42" s="8" t="str" cm="1">
        <f t="array" ref="D42">Common_InputFunctions.Utility_DisplayArrayInTable(WasteSolid_SourceData.Waste_EmissionFactorsForWasteTreatment_Data(), Table_SourceData_WasteSolid_WasteTreatmentEFs[[#Headers],[Treatment type t]], 0)</f>
        <v>Composting</v>
      </c>
      <c r="E42" s="10" t="str" cm="1">
        <f t="array" ref="E42">Common_InputFunctions.Utility_DisplayArrayInTable(WasteSolid_SourceData.Waste_EmissionFactorsForWasteTreatment_Data(), Table_SourceData_WasteSolid_WasteTreatmentEFs[[#Headers],[Treatment type t]], 0)</f>
        <v>Wood</v>
      </c>
      <c r="F42" s="10" cm="1">
        <f t="array" ref="F42">Common_InputFunctions.Utility_DisplayArrayInTable(WasteSolid_SourceData.Waste_EmissionFactorsForWasteTreatment_Data(), Table_SourceData_WasteSolid_WasteTreatmentEFs[[#Headers],[Treatment type t]], 0)</f>
        <v>4.5999999999999999E-2</v>
      </c>
      <c r="G42" s="211"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
      <c r="D43" s="8" t="str" cm="1">
        <f t="array" ref="D43">Common_InputFunctions.Utility_DisplayArrayInTable(WasteSolid_SourceData.Waste_EmissionFactorsForWasteTreatment_Data(), Table_SourceData_WasteSolid_WasteTreatmentEFs[[#Headers],[Treatment type t]], 0)</f>
        <v>Composting</v>
      </c>
      <c r="E43" s="10" t="str" cm="1">
        <f t="array" ref="E43">Common_InputFunctions.Utility_DisplayArrayInTable(WasteSolid_SourceData.Waste_EmissionFactorsForWasteTreatment_Data(), Table_SourceData_WasteSolid_WasteTreatmentEFs[[#Headers],[Treatment type t]], 0)</f>
        <v>Sludge</v>
      </c>
      <c r="F43" s="10" cm="1">
        <f t="array" ref="F43">Common_InputFunctions.Utility_DisplayArrayInTable(WasteSolid_SourceData.Waste_EmissionFactorsForWasteTreatment_Data(), Table_SourceData_WasteSolid_WasteTreatmentEFs[[#Headers],[Treatment type t]], 0)</f>
        <v>4.5999999999999999E-2</v>
      </c>
      <c r="G43" s="211"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
      <c r="D44" s="8" t="str" cm="1">
        <f t="array" ref="D44">Common_InputFunctions.Utility_DisplayArrayInTable(WasteSolid_SourceData.Waste_EmissionFactorsForWasteTreatment_Data(), Table_SourceData_WasteSolid_WasteTreatmentEFs[[#Headers],[Treatment type t]], 0)</f>
        <v>Composting</v>
      </c>
      <c r="E44" s="10" t="str" cm="1">
        <f t="array" ref="E44">Common_InputFunctions.Utility_DisplayArrayInTable(WasteSolid_SourceData.Waste_EmissionFactorsForWasteTreatment_Data(), Table_SourceData_WasteSolid_WasteTreatmentEFs[[#Headers],[Treatment type t]], 0)</f>
        <v>Paper and cardboard</v>
      </c>
      <c r="F44" s="10" cm="1">
        <f t="array" ref="F44">Common_InputFunctions.Utility_DisplayArrayInTable(WasteSolid_SourceData.Waste_EmissionFactorsForWasteTreatment_Data(), Table_SourceData_WasteSolid_WasteTreatmentEFs[[#Headers],[Treatment type t]], 0)</f>
        <v>4.5999999999999999E-2</v>
      </c>
      <c r="G44" s="211"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
      <c r="D45" s="8" t="str" cm="1">
        <f t="array" ref="D45">Common_InputFunctions.Utility_DisplayArrayInTable(WasteSolid_SourceData.Waste_EmissionFactorsForWasteTreatment_Data(), Table_SourceData_WasteSolid_WasteTreatmentEFs[[#Headers],[Treatment type t]], 0)</f>
        <v>Anaerobic digestion</v>
      </c>
      <c r="E45" s="10" t="str" cm="1">
        <f t="array" ref="E45">Common_InputFunctions.Utility_DisplayArrayInTable(WasteSolid_SourceData.Waste_EmissionFactorsForWasteTreatment_Data(), Table_SourceData_WasteSolid_WasteTreatmentEFs[[#Headers],[Treatment type t]], 0)</f>
        <v>All organic waste</v>
      </c>
      <c r="F45" s="10" cm="1">
        <f t="array" ref="F45">Common_InputFunctions.Utility_DisplayArrayInTable(WasteSolid_SourceData.Waste_EmissionFactorsForWasteTreatment_Data(), Table_SourceData_WasteSolid_WasteTreatmentEFs[[#Headers],[Treatment type t]], 0)</f>
        <v>2.8000000000000001E-2</v>
      </c>
      <c r="G45" s="211"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
      <c r="D46" s="8" t="str" cm="1">
        <f t="array" ref="D46">Common_InputFunctions.Utility_DisplayArrayInTable(WasteSolid_SourceData.Waste_EmissionFactorsForWasteTreatment_Data(), Table_SourceData_WasteSolid_WasteTreatmentEFs[[#Headers],[Treatment type t]], 0)</f>
        <v>Anaerobic digestion</v>
      </c>
      <c r="E46" s="1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0" cm="1">
        <f t="array" ref="F46">Common_InputFunctions.Utility_DisplayArrayInTable(WasteSolid_SourceData.Waste_EmissionFactorsForWasteTreatment_Data(), Table_SourceData_WasteSolid_WasteTreatmentEFs[[#Headers],[Treatment type t]], 0)</f>
        <v>2.8000000000000001E-2</v>
      </c>
      <c r="G46" s="211"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
      <c r="D47" s="8" t="str" cm="1">
        <f t="array" ref="D47">Common_InputFunctions.Utility_DisplayArrayInTable(WasteSolid_SourceData.Waste_EmissionFactorsForWasteTreatment_Data(), Table_SourceData_WasteSolid_WasteTreatmentEFs[[#Headers],[Treatment type t]], 0)</f>
        <v>Anaerobic digestion</v>
      </c>
      <c r="E47" s="10" t="str" cm="1">
        <f t="array" ref="E47">Common_InputFunctions.Utility_DisplayArrayInTable(WasteSolid_SourceData.Waste_EmissionFactorsForWasteTreatment_Data(), Table_SourceData_WasteSolid_WasteTreatmentEFs[[#Headers],[Treatment type t]], 0)</f>
        <v>Green waste (including crop residues or prunings)</v>
      </c>
      <c r="F47" s="10" cm="1">
        <f t="array" ref="F47">Common_InputFunctions.Utility_DisplayArrayInTable(WasteSolid_SourceData.Waste_EmissionFactorsForWasteTreatment_Data(), Table_SourceData_WasteSolid_WasteTreatmentEFs[[#Headers],[Treatment type t]], 0)</f>
        <v>2.8000000000000001E-2</v>
      </c>
      <c r="G47" s="211"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
      <c r="D48" s="8" t="str" cm="1">
        <f t="array" ref="D48">Common_InputFunctions.Utility_DisplayArrayInTable(WasteSolid_SourceData.Waste_EmissionFactorsForWasteTreatment_Data(), Table_SourceData_WasteSolid_WasteTreatmentEFs[[#Headers],[Treatment type t]], 0)</f>
        <v>Anaerobic digestion</v>
      </c>
      <c r="E48" s="10" t="str" cm="1">
        <f t="array" ref="E48">Common_InputFunctions.Utility_DisplayArrayInTable(WasteSolid_SourceData.Waste_EmissionFactorsForWasteTreatment_Data(), Table_SourceData_WasteSolid_WasteTreatmentEFs[[#Headers],[Treatment type t]], 0)</f>
        <v>Wood</v>
      </c>
      <c r="F48" s="10" cm="1">
        <f t="array" ref="F48">Common_InputFunctions.Utility_DisplayArrayInTable(WasteSolid_SourceData.Waste_EmissionFactorsForWasteTreatment_Data(), Table_SourceData_WasteSolid_WasteTreatmentEFs[[#Headers],[Treatment type t]], 0)</f>
        <v>2.8000000000000001E-2</v>
      </c>
      <c r="G48" s="211" t="str" cm="1">
        <f t="array" ref="G48">Common_InputFunctions.Utility_DisplayArrayInTable(WasteSolid_SourceData.Waste_EmissionFactorsForWasteTreatment_Data(), Table_SourceData_WasteSolid_WasteTreatmentEFs[[#Headers],[Treatment type t]], 0)</f>
        <v/>
      </c>
    </row>
    <row r="49" spans="4:7" ht="20.100000000000001" customHeight="1" x14ac:dyDescent="0.2">
      <c r="D49" s="8" t="str" cm="1">
        <f t="array" ref="D49">Common_InputFunctions.Utility_DisplayArrayInTable(WasteSolid_SourceData.Waste_EmissionFactorsForWasteTreatment_Data(), Table_SourceData_WasteSolid_WasteTreatmentEFs[[#Headers],[Treatment type t]], 0)</f>
        <v>Anaerobic digestion</v>
      </c>
      <c r="E49" s="10" t="str" cm="1">
        <f t="array" ref="E49">Common_InputFunctions.Utility_DisplayArrayInTable(WasteSolid_SourceData.Waste_EmissionFactorsForWasteTreatment_Data(), Table_SourceData_WasteSolid_WasteTreatmentEFs[[#Headers],[Treatment type t]], 0)</f>
        <v>Sludge</v>
      </c>
      <c r="F49" s="10" cm="1">
        <f t="array" ref="F49">Common_InputFunctions.Utility_DisplayArrayInTable(WasteSolid_SourceData.Waste_EmissionFactorsForWasteTreatment_Data(), Table_SourceData_WasteSolid_WasteTreatmentEFs[[#Headers],[Treatment type t]], 0)</f>
        <v>2.8000000000000001E-2</v>
      </c>
      <c r="G49" s="211" t="str" cm="1">
        <f t="array" ref="G49">Common_InputFunctions.Utility_DisplayArrayInTable(WasteSolid_SourceData.Waste_EmissionFactorsForWasteTreatment_Data(), Table_SourceData_WasteSolid_WasteTreatmentEFs[[#Headers],[Treatment type t]], 0)</f>
        <v/>
      </c>
    </row>
    <row r="50" spans="4:7" ht="20.100000000000001" customHeight="1" x14ac:dyDescent="0.2">
      <c r="D50" s="8" t="str" cm="1">
        <f t="array" ref="D50">Common_InputFunctions.Utility_DisplayArrayInTable(WasteSolid_SourceData.Waste_EmissionFactorsForWasteTreatment_Data(), Table_SourceData_WasteSolid_WasteTreatmentEFs[[#Headers],[Treatment type t]], 0)</f>
        <v>Anaerobic digestion</v>
      </c>
      <c r="E50" s="10" t="str" cm="1">
        <f t="array" ref="E50">Common_InputFunctions.Utility_DisplayArrayInTable(WasteSolid_SourceData.Waste_EmissionFactorsForWasteTreatment_Data(), Table_SourceData_WasteSolid_WasteTreatmentEFs[[#Headers],[Treatment type t]], 0)</f>
        <v>Paper and cardboard</v>
      </c>
      <c r="F50" s="10" cm="1">
        <f t="array" ref="F50">Common_InputFunctions.Utility_DisplayArrayInTable(WasteSolid_SourceData.Waste_EmissionFactorsForWasteTreatment_Data(), Table_SourceData_WasteSolid_WasteTreatmentEFs[[#Headers],[Treatment type t]], 0)</f>
        <v>2.8000000000000001E-2</v>
      </c>
      <c r="G50" s="211" t="str" cm="1">
        <f t="array" ref="G50">Common_InputFunctions.Utility_DisplayArrayInTable(WasteSolid_SourceData.Waste_EmissionFactorsForWasteTreatment_Data(), Table_SourceData_WasteSolid_WasteTreatmentEFs[[#Headers],[Treatment type t]], 0)</f>
        <v/>
      </c>
    </row>
    <row r="52" spans="4:7" ht="20.100000000000001" customHeight="1" x14ac:dyDescent="0.2">
      <c r="D52" s="9" t="str" cm="1">
        <f t="array" ref="D52">WasteSolid_SourceData.Waste_WasteVolumeToMassConversion_Title()</f>
        <v>Volume to mass conversion factor for various waste types</v>
      </c>
    </row>
    <row r="53" spans="4:7" ht="20.100000000000001" customHeight="1" x14ac:dyDescent="0.2">
      <c r="D53" s="11" t="str" cm="1">
        <f t="array" ref="D53">WasteSolid_SourceData.Waste_WasteVolumeToMassConversion_Source()</f>
        <v>VEERG 2026: Table A.4.1.2</v>
      </c>
    </row>
    <row r="54" spans="4:7" ht="20.100000000000001" customHeight="1" x14ac:dyDescent="0.2">
      <c r="D54" s="12" t="str" cm="1">
        <f t="array" ref="D54">WasteSolid_SourceData.Waste_WasteVolumeToMassConversion_Variation()</f>
        <v>VARIATION OF SOURCE: Changed column header CFw to VTMw to match title variable.</v>
      </c>
    </row>
    <row r="55" spans="4:7" ht="20.100000000000001" customHeight="1" x14ac:dyDescent="0.2">
      <c r="D55" s="8" t="str" cm="1">
        <f t="array" ref="D55">WasteSolid_SourceData.Waste_WasteVolumeToMassConversion_Variable()</f>
        <v>VTMw</v>
      </c>
    </row>
    <row r="56" spans="4:7" ht="20.100000000000001" customHeight="1" x14ac:dyDescent="0.2">
      <c r="D56" s="13" t="str" cm="1">
        <f t="array" ref="D56">WasteSolid_SourceData.Waste_WasteVolumeToMassConversion_Unit()</f>
        <v>t/m3</v>
      </c>
    </row>
    <row r="57" spans="4:7" ht="20.100000000000001" customHeight="1" x14ac:dyDescent="0.2">
      <c r="D57" s="10" t="s">
        <v>769</v>
      </c>
      <c r="E57" s="10" t="s">
        <v>772</v>
      </c>
    </row>
    <row r="58" spans="4:7" ht="20.100000000000001" customHeight="1" x14ac:dyDescent="0.2">
      <c r="D58" s="1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0" cm="1">
        <f t="array" ref="E58">Common_InputFunctions.Utility_DisplayArrayInTable(WasteSolid_SourceData.Waste_WasteVolumeToMassConversion_Data(), Table_SourceData_WasteSolid_VolumeToMassConversion[[#Headers],[Waste type w]], 0)</f>
        <v>0.5</v>
      </c>
    </row>
    <row r="59" spans="4:7" ht="20.100000000000001" customHeight="1" x14ac:dyDescent="0.2">
      <c r="D59" s="8" t="str" cm="1">
        <f t="array" ref="D59">Common_InputFunctions.Utility_DisplayArrayInTable(WasteSolid_SourceData.Waste_WasteVolumeToMassConversion_Data(), Table_SourceData_WasteSolid_VolumeToMassConversion[[#Headers],[Waste type w]], 0)</f>
        <v>Paper and cardboard</v>
      </c>
      <c r="E59" s="10" cm="1">
        <f t="array" ref="E59">Common_InputFunctions.Utility_DisplayArrayInTable(WasteSolid_SourceData.Waste_WasteVolumeToMassConversion_Data(), Table_SourceData_WasteSolid_VolumeToMassConversion[[#Headers],[Waste type w]], 0)</f>
        <v>0.09</v>
      </c>
    </row>
    <row r="60" spans="4:7" ht="20.100000000000001" customHeight="1" x14ac:dyDescent="0.2">
      <c r="D60" s="8" t="str" cm="1">
        <f t="array" ref="D60">Common_InputFunctions.Utility_DisplayArrayInTable(WasteSolid_SourceData.Waste_WasteVolumeToMassConversion_Data(), Table_SourceData_WasteSolid_VolumeToMassConversion[[#Headers],[Waste type w]], 0)</f>
        <v>Green waste (including crop residues or prunings)</v>
      </c>
      <c r="E60" s="10" cm="1">
        <f t="array" ref="E60">Common_InputFunctions.Utility_DisplayArrayInTable(WasteSolid_SourceData.Waste_WasteVolumeToMassConversion_Data(), Table_SourceData_WasteSolid_VolumeToMassConversion[[#Headers],[Waste type w]], 0)</f>
        <v>0.24</v>
      </c>
    </row>
    <row r="61" spans="4:7" ht="20.100000000000001" customHeight="1" x14ac:dyDescent="0.2">
      <c r="D61" s="8" t="str" cm="1">
        <f t="array" ref="D61">Common_InputFunctions.Utility_DisplayArrayInTable(WasteSolid_SourceData.Waste_WasteVolumeToMassConversion_Data(), Table_SourceData_WasteSolid_VolumeToMassConversion[[#Headers],[Waste type w]], 0)</f>
        <v>Wood</v>
      </c>
      <c r="E61" s="10" cm="1">
        <f t="array" ref="E61">Common_InputFunctions.Utility_DisplayArrayInTable(WasteSolid_SourceData.Waste_WasteVolumeToMassConversion_Data(), Table_SourceData_WasteSolid_VolumeToMassConversion[[#Headers],[Waste type w]], 0)</f>
        <v>0.15</v>
      </c>
    </row>
    <row r="62" spans="4:7" ht="20.100000000000001" customHeight="1" x14ac:dyDescent="0.2">
      <c r="D62" s="8" t="str" cm="1">
        <f t="array" ref="D62">Common_InputFunctions.Utility_DisplayArrayInTable(WasteSolid_SourceData.Waste_WasteVolumeToMassConversion_Data(), Table_SourceData_WasteSolid_VolumeToMassConversion[[#Headers],[Waste type w]], 0)</f>
        <v>Textiles</v>
      </c>
      <c r="E62" s="10" cm="1">
        <f t="array" ref="E62">Common_InputFunctions.Utility_DisplayArrayInTable(WasteSolid_SourceData.Waste_WasteVolumeToMassConversion_Data(), Table_SourceData_WasteSolid_VolumeToMassConversion[[#Headers],[Waste type w]], 0)</f>
        <v>0.14000000000000001</v>
      </c>
    </row>
    <row r="63" spans="4:7" ht="20.100000000000001" customHeight="1" x14ac:dyDescent="0.2">
      <c r="D63" s="8" t="str" cm="1">
        <f t="array" ref="D63">Common_InputFunctions.Utility_DisplayArrayInTable(WasteSolid_SourceData.Waste_WasteVolumeToMassConversion_Data(), Table_SourceData_WasteSolid_VolumeToMassConversion[[#Headers],[Waste type w]], 0)</f>
        <v>Sludge</v>
      </c>
      <c r="E63" s="10" cm="1">
        <f t="array" ref="E63">Common_InputFunctions.Utility_DisplayArrayInTable(WasteSolid_SourceData.Waste_WasteVolumeToMassConversion_Data(), Table_SourceData_WasteSolid_VolumeToMassConversion[[#Headers],[Waste type w]], 0)</f>
        <v>0.72</v>
      </c>
    </row>
    <row r="64" spans="4:7" ht="20.100000000000001" customHeight="1" x14ac:dyDescent="0.2">
      <c r="D64" s="8" t="str" cm="1">
        <f t="array" ref="D64">Common_InputFunctions.Utility_DisplayArrayInTable(WasteSolid_SourceData.Waste_WasteVolumeToMassConversion_Data(), Table_SourceData_WasteSolid_VolumeToMassConversion[[#Headers],[Waste type w]], 0)</f>
        <v>Rubber and leather</v>
      </c>
      <c r="E64" s="10" cm="1">
        <f t="array" ref="E64">Common_InputFunctions.Utility_DisplayArrayInTable(WasteSolid_SourceData.Waste_WasteVolumeToMassConversion_Data(), Table_SourceData_WasteSolid_VolumeToMassConversion[[#Headers],[Waste type w]], 0)</f>
        <v>0.14000000000000001</v>
      </c>
    </row>
    <row r="65" spans="4:5" ht="20.100000000000001" customHeight="1" x14ac:dyDescent="0.2">
      <c r="D65" s="8" t="str" cm="1">
        <f t="array" ref="D65">Common_InputFunctions.Utility_DisplayArrayInTable(WasteSolid_SourceData.Waste_WasteVolumeToMassConversion_Data(), Table_SourceData_WasteSolid_VolumeToMassConversion[[#Headers],[Waste type w]], 0)</f>
        <v>Inert waste (including concrete, metal, plastic or glass)</v>
      </c>
      <c r="E65" s="10" cm="1">
        <f t="array" ref="E65">Common_InputFunctions.Utility_DisplayArrayInTable(WasteSolid_SourceData.Waste_WasteVolumeToMassConversion_Data(), Table_SourceData_WasteSolid_VolumeToMassConversion[[#Headers],[Waste type w]], 0)</f>
        <v>0.42</v>
      </c>
    </row>
    <row r="66" spans="4:5" ht="20.100000000000001" customHeight="1" x14ac:dyDescent="0.2">
      <c r="D66" s="8" t="str" cm="1">
        <f t="array" ref="D66">Common_InputFunctions.Utility_DisplayArrayInTable(WasteSolid_SourceData.Waste_WasteVolumeToMassConversion_Data(), Table_SourceData_WasteSolid_VolumeToMassConversion[[#Headers],[Waste type w]], 0)</f>
        <v>Municipal solid waste</v>
      </c>
      <c r="E66" s="10" cm="1">
        <f t="array" ref="E66">Common_InputFunctions.Utility_DisplayArrayInTable(WasteSolid_SourceData.Waste_WasteVolumeToMassConversion_Data(), Table_SourceData_WasteSolid_VolumeToMassConversion[[#Headers],[Waste type w]], 0)</f>
        <v>0.36</v>
      </c>
    </row>
    <row r="67" spans="4:5" ht="20.100000000000001" customHeight="1" x14ac:dyDescent="0.2">
      <c r="D67" s="8" t="str" cm="1">
        <f t="array" ref="D67">Common_InputFunctions.Utility_DisplayArrayInTable(WasteSolid_SourceData.Waste_WasteVolumeToMassConversion_Data(), Table_SourceData_WasteSolid_VolumeToMassConversion[[#Headers],[Waste type w]], 0)</f>
        <v>Commercial and industrial waste</v>
      </c>
      <c r="E67" s="10" cm="1">
        <f t="array" ref="E67">Common_InputFunctions.Utility_DisplayArrayInTable(WasteSolid_SourceData.Waste_WasteVolumeToMassConversion_Data(), Table_SourceData_WasteSolid_VolumeToMassConversion[[#Headers],[Waste type w]], 0)</f>
        <v>0.33</v>
      </c>
    </row>
    <row r="68" spans="4:5" ht="20.100000000000001" customHeight="1" x14ac:dyDescent="0.2">
      <c r="D68" s="8" t="str" cm="1">
        <f t="array" ref="D68">Common_InputFunctions.Utility_DisplayArrayInTable(WasteSolid_SourceData.Waste_WasteVolumeToMassConversion_Data(), Table_SourceData_WasteSolid_VolumeToMassConversion[[#Headers],[Waste type w]], 0)</f>
        <v>Construction and demolition waste</v>
      </c>
      <c r="E68" s="10" cm="1">
        <f t="array" ref="E68">Common_InputFunctions.Utility_DisplayArrayInTable(WasteSolid_SourceData.Waste_WasteVolumeToMassConversion_Data(), Table_SourceData_WasteSolid_VolumeToMassConversion[[#Headers],[Waste type w]], 0)</f>
        <v>0.39</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7E4C-15BE-43DB-A1F6-FB6FC538C10E}">
  <sheetPr>
    <tabColor theme="2" tint="-0.499984740745262"/>
  </sheetPr>
  <dimension ref="A1:AI162"/>
  <sheetViews>
    <sheetView showGridLines="0" topLeftCell="A17" zoomScaleNormal="100" workbookViewId="0">
      <selection activeCell="A38" sqref="A38"/>
    </sheetView>
  </sheetViews>
  <sheetFormatPr defaultColWidth="9" defaultRowHeight="20.100000000000001" customHeight="1" x14ac:dyDescent="0.25"/>
  <cols>
    <col min="1" max="1" width="26.85546875" style="3" customWidth="1"/>
    <col min="2" max="2" width="4.140625" style="3" customWidth="1"/>
    <col min="3" max="3" width="4.140625" style="8" customWidth="1"/>
    <col min="4" max="4" width="34.28515625" style="8" customWidth="1"/>
    <col min="5" max="5" width="18.140625" style="8" customWidth="1"/>
    <col min="6" max="6" width="18.85546875" style="8" customWidth="1"/>
    <col min="7" max="8" width="38" style="8" customWidth="1"/>
    <col min="9" max="9" width="38.140625" style="8" customWidth="1"/>
    <col min="10" max="10" width="32.85546875" style="8" customWidth="1"/>
    <col min="11" max="11" width="29.42578125" style="8" customWidth="1"/>
    <col min="12" max="31" width="18.140625" style="8" customWidth="1"/>
    <col min="32" max="32" width="4.140625" style="8" customWidth="1"/>
    <col min="33" max="16384" width="9" style="3"/>
  </cols>
  <sheetData>
    <row r="1" spans="1:35" s="1" customFormat="1" ht="30" customHeight="1" x14ac:dyDescent="0.35">
      <c r="A1" s="37" t="e" vm="1">
        <v>#VALUE!</v>
      </c>
      <c r="C1" s="1" t="s">
        <v>66</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Site'!A1", "Site")</f>
        <v>Site</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t="str">
        <f>HYPERLINK("#'Input - Fuel'!A1", "Fuel")</f>
        <v>Fuel</v>
      </c>
      <c r="D9" s="20" t="s">
        <v>68</v>
      </c>
      <c r="E9" s="20" t="s">
        <v>69</v>
      </c>
      <c r="F9" s="20" t="s">
        <v>70</v>
      </c>
      <c r="G9" s="20" t="s">
        <v>71</v>
      </c>
      <c r="H9" s="20" t="s">
        <v>72</v>
      </c>
      <c r="I9" s="20" t="s">
        <v>73</v>
      </c>
      <c r="J9" s="20" t="s">
        <v>74</v>
      </c>
      <c r="K9" s="20" t="s">
        <v>75</v>
      </c>
      <c r="L9" s="20" t="s">
        <v>76</v>
      </c>
    </row>
    <row r="10" spans="1:35" ht="20.100000000000001" customHeight="1" x14ac:dyDescent="0.25">
      <c r="A10" s="16" t="str">
        <f>HYPERLINK("#'Input - Fertiliser'!A1", "Fertiliser")</f>
        <v>Fertiliser</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HYPERLINK("#'Input - Farm Inputs'!A1", "Farm Inputs")</f>
        <v>Farm Inputs</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HYPERLINK("#'Input - Livestock purchases'!A1", "Livestock purchases")</f>
        <v>Livestock purchases</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HYPERLINK("#'Input - Freight'!A1", "Freight")</f>
        <v>Freight</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t="str">
        <f>HYPERLINK("#'Input - Solid waste'!A1", "Solid waste")</f>
        <v>Solid waste</v>
      </c>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16" t="str">
        <f>HYPERLINK("#'Input - Manure sent off-site'!A1", "Manure sent off-site")</f>
        <v>Manure sent off-site</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16" t="str">
        <f>HYPERLINK("#'Input - Electricity'!A1", "Electricity")</f>
        <v>Electricity</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A18"/>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A19" s="21" t="s">
        <v>77</v>
      </c>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t="str">
        <f>HYPERLINK("#'15 Scope 3'!A1", "15 Scope 3")</f>
        <v>15 Scope 3</v>
      </c>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t="str">
        <f>HYPERLINK("#'10.1.1-2 Solid waste treatment'!A1", "10.1.1-2 Solid waste treatment")</f>
        <v>10.1.1-2 Solid waste treatment</v>
      </c>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A22" s="16" t="str">
        <f>HYPERLINK("#'Calcs - Manure sent off-site'!A1", "Calcs - Manure sent off-site")</f>
        <v>Calcs - Manure sent off-site</v>
      </c>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t="str">
        <f>HYPERLINK("#'8.1.1.1-2 Transport fuel'!A1", "8.1.1.1-2 Transport fuel")</f>
        <v>8.1.1.1-2 Transport fuel</v>
      </c>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A24" s="16" t="str">
        <f>HYPERLINK("#'8.2.1.1-2 Stationary fuel'!A1", "8.2.1.1-2 Stationary fuel")</f>
        <v>8.2.1.1-2 Stationary fuel</v>
      </c>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A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A26"/>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A27" s="213" t="s">
        <v>78</v>
      </c>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A28" s="16" t="str">
        <f>HYPERLINK("#'Constants - Scope 3'!A1", "Constants - Scope 3")</f>
        <v>Constants - Scope 3</v>
      </c>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A29" s="16" t="str">
        <f>HYPERLINK("#'Constants - Solid Waste'!A1", "Constants - Solid Waste")</f>
        <v>Constants - Solid Waste</v>
      </c>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A30" s="23" t="str">
        <f>HYPERLINK("#'Constants - Fuel'!A1", "Constants - Fuel")</f>
        <v>Constants - Fuel</v>
      </c>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A31" s="16" t="str">
        <f>HYPERLINK("#'Constants - Poultry'!A1", "Constants - Poultry")</f>
        <v>Constants - Poultry</v>
      </c>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A32" s="16" t="str">
        <f>HYPERLINK("#'Constants - Swine'!A1", "Constants - Swine")</f>
        <v>Constants - Swine</v>
      </c>
      <c r="D32" s="24" t="str" cm="1">
        <f t="array" ref="D32">Common_InputFunctions.Utility_DisplayArrayInTable(Fuel_SourceData.Fuel_Scope1Scope3EmissionFactorsTransport_Data(), Table_Fuel_EFs_Transport[[#Headers],[Transport type]], 0)</f>
        <v>Vessels</v>
      </c>
      <c r="E32" s="24" t="str" cm="1">
        <f t="array" ref="E32">Common_InputFunctions.Utility_DisplayArrayInTable(Fuel_SourceData.Fuel_Scope1Scope3EmissionFactorsTransport_Data(), Table_Fuel_EFs_Transport[[#Headers],[Transport type]], 0)</f>
        <v>Diesel oil</v>
      </c>
      <c r="F32" s="24" cm="1">
        <f t="array" ref="F32">Common_InputFunctions.Utility_DisplayArrayInTable(Fuel_SourceData.Fuel_Scope1Scope3EmissionFactorsTransport_Data(), Table_Fuel_EFs_Transport[[#Headers],[Transport type]], 0)</f>
        <v>38.6</v>
      </c>
      <c r="G32" s="24" t="str" cm="1">
        <f t="array" ref="G32">Common_InputFunctions.Utility_DisplayArrayInTable(Fuel_SourceData.Fuel_Scope1Scope3EmissionFactorsTransport_Data(), Table_Fuel_EFs_Transport[[#Headers],[Transport type]], 0)</f>
        <v>kL</v>
      </c>
      <c r="H32" s="24" cm="1">
        <f t="array" ref="H32">Common_InputFunctions.Utility_DisplayArrayInTable(Fuel_SourceData.Fuel_Scope1Scope3EmissionFactorsTransport_Data(), Table_Fuel_EFs_Transport[[#Headers],[Transport type]], 0)</f>
        <v>69.900000000000006</v>
      </c>
      <c r="I32" s="24" cm="1">
        <f t="array" ref="I32">Common_InputFunctions.Utility_DisplayArrayInTable(Fuel_SourceData.Fuel_Scope1Scope3EmissionFactorsTransport_Data(), Table_Fuel_EFs_Transport[[#Headers],[Transport type]], 0)</f>
        <v>0.2</v>
      </c>
      <c r="J32" s="24" cm="1">
        <f t="array" ref="J32">Common_InputFunctions.Utility_DisplayArrayInTable(Fuel_SourceData.Fuel_Scope1Scope3EmissionFactorsTransport_Data(), Table_Fuel_EFs_Transport[[#Headers],[Transport type]], 0)</f>
        <v>0.5</v>
      </c>
      <c r="K32" s="24" t="str" cm="1">
        <f t="array" ref="K32">Common_InputFunctions.Utility_DisplayArrayInTable(Fuel_SourceData.Fuel_Scope1Scope3EmissionFactorsTransport_Data(), Table_Fuel_EFs_Transport[[#Headers],[Transport type]], 0)</f>
        <v/>
      </c>
      <c r="L32" s="24" cm="1">
        <f t="array" ref="L32">Common_InputFunctions.Utility_DisplayArrayInTable(Fuel_SourceData.Fuel_Scope1Scope3EmissionFactorsTransport_Data(), Table_Fuel_EFs_Transport[[#Headers],[Transport type]], 0)</f>
        <v>17.3</v>
      </c>
    </row>
    <row r="33" spans="1:12" ht="20.100000000000001" customHeight="1" x14ac:dyDescent="0.25">
      <c r="A33" s="16" t="str">
        <f>HYPERLINK("#'Constants - Dairy'!A1", "Constants - Dairy")</f>
        <v>Constants - Dairy</v>
      </c>
      <c r="D33" s="24" t="str" cm="1">
        <f t="array" ref="D33">Common_InputFunctions.Utility_DisplayArrayInTable(Fuel_SourceData.Fuel_Scope1Scope3EmissionFactorsTransport_Data(), Table_Fuel_EFs_Transport[[#Headers],[Transport type]], 0)</f>
        <v>Vessels</v>
      </c>
      <c r="E33" s="24" t="str" cm="1">
        <f t="array" ref="E33">Common_InputFunctions.Utility_DisplayArrayInTable(Fuel_SourceData.Fuel_Scope1Scope3EmissionFactorsTransport_Data(), Table_Fuel_EFs_Transport[[#Headers],[Transport type]], 0)</f>
        <v>Fuel Oil</v>
      </c>
      <c r="F33" s="24" cm="1">
        <f t="array" ref="F33">Common_InputFunctions.Utility_DisplayArrayInTable(Fuel_SourceData.Fuel_Scope1Scope3EmissionFactorsTransport_Data(), Table_Fuel_EFs_Transport[[#Headers],[Transport type]], 0)</f>
        <v>39.700000000000003</v>
      </c>
      <c r="G33" s="24" t="str" cm="1">
        <f t="array" ref="G33">Common_InputFunctions.Utility_DisplayArrayInTable(Fuel_SourceData.Fuel_Scope1Scope3EmissionFactorsTransport_Data(), Table_Fuel_EFs_Transport[[#Headers],[Transport type]], 0)</f>
        <v>kL</v>
      </c>
      <c r="H33" s="24" cm="1">
        <f t="array" ref="H33">Common_InputFunctions.Utility_DisplayArrayInTable(Fuel_SourceData.Fuel_Scope1Scope3EmissionFactorsTransport_Data(), Table_Fuel_EFs_Transport[[#Headers],[Transport type]], 0)</f>
        <v>73.599999999999994</v>
      </c>
      <c r="I33" s="24" cm="1">
        <f t="array" ref="I33">Common_InputFunctions.Utility_DisplayArrayInTable(Fuel_SourceData.Fuel_Scope1Scope3EmissionFactorsTransport_Data(), Table_Fuel_EFs_Transport[[#Headers],[Transport type]], 0)</f>
        <v>0.2</v>
      </c>
      <c r="J33" s="24" cm="1">
        <f t="array" ref="J33">Common_InputFunctions.Utility_DisplayArrayInTable(Fuel_SourceData.Fuel_Scope1Scope3EmissionFactorsTransport_Data(), Table_Fuel_EFs_Transport[[#Headers],[Transport type]], 0)</f>
        <v>0.5</v>
      </c>
      <c r="K33" s="24" t="str" cm="1">
        <f t="array" ref="K33">Common_InputFunctions.Utility_DisplayArrayInTable(Fuel_SourceData.Fuel_Scope1Scope3EmissionFactorsTransport_Data(), Table_Fuel_EFs_Transport[[#Headers],[Transport type]], 0)</f>
        <v/>
      </c>
      <c r="L33" s="24" cm="1">
        <f t="array" ref="L33">Common_InputFunctions.Utility_DisplayArrayInTable(Fuel_SourceData.Fuel_Scope1Scope3EmissionFactorsTransport_Data(), Table_Fuel_EFs_Transport[[#Headers],[Transport type]], 0)</f>
        <v>18</v>
      </c>
    </row>
    <row r="34" spans="1:12" ht="20.100000000000001" customHeight="1" x14ac:dyDescent="0.25">
      <c r="A34" s="16" t="str">
        <f>HYPERLINK("#'Constants - Pasture Beef'!A1", "Constants - Pasture Beef")</f>
        <v>Constants - Pasture Beef</v>
      </c>
      <c r="D34" s="24" t="str" cm="1">
        <f t="array" ref="D34">Common_InputFunctions.Utility_DisplayArrayInTable(Fuel_SourceData.Fuel_Scope1Scope3EmissionFactorsTransport_Data(), Table_Fuel_EFs_Transport[[#Headers],[Transport type]], 0)</f>
        <v>Off-road Agriculture and forestry equipment</v>
      </c>
      <c r="E34" s="24" t="str" cm="1">
        <f t="array" ref="E34">Common_InputFunctions.Utility_DisplayArrayInTable(Fuel_SourceData.Fuel_Scope1Scope3EmissionFactorsTransport_Data(), Table_Fuel_EFs_Transport[[#Headers],[Transport type]], 0)</f>
        <v>Diesel oil</v>
      </c>
      <c r="F34" s="24" cm="1">
        <f t="array" ref="F34">Common_InputFunctions.Utility_DisplayArrayInTable(Fuel_SourceData.Fuel_Scope1Scope3EmissionFactorsTransport_Data(), Table_Fuel_EFs_Transport[[#Headers],[Transport type]], 0)</f>
        <v>38.6</v>
      </c>
      <c r="G34" s="24" t="str" cm="1">
        <f t="array" ref="G34">Common_InputFunctions.Utility_DisplayArrayInTable(Fuel_SourceData.Fuel_Scope1Scope3EmissionFactorsTransport_Data(), Table_Fuel_EFs_Transport[[#Headers],[Transport type]], 0)</f>
        <v>kL</v>
      </c>
      <c r="H34" s="24" cm="1">
        <f t="array" ref="H34">Common_InputFunctions.Utility_DisplayArrayInTable(Fuel_SourceData.Fuel_Scope1Scope3EmissionFactorsTransport_Data(), Table_Fuel_EFs_Transport[[#Headers],[Transport type]], 0)</f>
        <v>69.900000000000006</v>
      </c>
      <c r="I34" s="24" cm="1">
        <f t="array" ref="I34">Common_InputFunctions.Utility_DisplayArrayInTable(Fuel_SourceData.Fuel_Scope1Scope3EmissionFactorsTransport_Data(), Table_Fuel_EFs_Transport[[#Headers],[Transport type]], 0)</f>
        <v>0.3</v>
      </c>
      <c r="J34" s="24" cm="1">
        <f t="array" ref="J34">Common_InputFunctions.Utility_DisplayArrayInTable(Fuel_SourceData.Fuel_Scope1Scope3EmissionFactorsTransport_Data(), Table_Fuel_EFs_Transport[[#Headers],[Transport type]], 0)</f>
        <v>0.5</v>
      </c>
      <c r="K34" s="24" t="str" cm="1">
        <f t="array" ref="K34">Common_InputFunctions.Utility_DisplayArrayInTable(Fuel_SourceData.Fuel_Scope1Scope3EmissionFactorsTransport_Data(), Table_Fuel_EFs_Transport[[#Headers],[Transport type]], 0)</f>
        <v/>
      </c>
      <c r="L34" s="24" cm="1">
        <f t="array" ref="L34">Common_InputFunctions.Utility_DisplayArrayInTable(Fuel_SourceData.Fuel_Scope1Scope3EmissionFactorsTransport_Data(), Table_Fuel_EFs_Transport[[#Headers],[Transport type]], 0)</f>
        <v>17.3</v>
      </c>
    </row>
    <row r="35" spans="1:12" ht="20.100000000000001" customHeight="1" x14ac:dyDescent="0.25">
      <c r="A35" s="16" t="str">
        <f>HYPERLINK("#'Constants - Common Livestock'!A1", "Constants - Common Livestock")</f>
        <v>Constants - Common Livestock</v>
      </c>
    </row>
    <row r="36" spans="1:12" ht="20.100000000000001" customHeight="1" x14ac:dyDescent="0.25">
      <c r="A36" s="16" t="str">
        <f>HYPERLINK("#'Constants - Fertiliser'!A1", "Constants - Fertiliser")</f>
        <v>Constants - Fertiliser</v>
      </c>
    </row>
    <row r="37" spans="1:12" ht="20.100000000000001" customHeight="1" x14ac:dyDescent="0.25">
      <c r="A37" s="16" t="str">
        <f>HYPERLINK("#'Constants - Electricity'!A1", "Constants - Electricity")</f>
        <v>Constants - Electricity</v>
      </c>
      <c r="D37" s="9" t="str" cm="1">
        <f t="array" ref="D37">Fuel_SourceData.Fuel_Scope1Scope3EmissionFactorsTransportOffRoad_Title()</f>
        <v>Fuel scope 1 and 3 emission factors - Off-road equipment and vessels</v>
      </c>
    </row>
    <row r="38" spans="1:12" ht="20.100000000000001" customHeight="1" x14ac:dyDescent="0.25">
      <c r="A38" s="16" t="str">
        <f>HYPERLINK("#'Constants - Common'!A1", "Constants - Common")</f>
        <v>Constants - Common</v>
      </c>
      <c r="D38" s="11" t="str" cm="1">
        <f t="array" ref="D38">Fuel_SourceData.Fuel_Scope1Scope3EmissionFactorsTransportOffRoad_Source()</f>
        <v>VEERG 2026: Table A.4.2.1</v>
      </c>
    </row>
    <row r="39" spans="1:12" ht="20.100000000000001" customHeight="1" x14ac:dyDescent="0.25">
      <c r="A39"/>
      <c r="D39" s="10" t="s">
        <v>79</v>
      </c>
      <c r="E39" s="10" t="s">
        <v>80</v>
      </c>
      <c r="F39" s="10" t="s">
        <v>81</v>
      </c>
      <c r="G39" s="10" t="s">
        <v>82</v>
      </c>
      <c r="H39" s="10" t="s">
        <v>83</v>
      </c>
      <c r="I39" s="10" t="s">
        <v>84</v>
      </c>
      <c r="J39" s="10" t="s">
        <v>85</v>
      </c>
    </row>
    <row r="40" spans="1:12" ht="20.100000000000001" customHeight="1" x14ac:dyDescent="0.25">
      <c r="A40"/>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row>
    <row r="45" spans="1:12" ht="20.100000000000001" customHeight="1" x14ac:dyDescent="0.25">
      <c r="A45"/>
    </row>
    <row r="46" spans="1:12" ht="20.100000000000001" customHeight="1" x14ac:dyDescent="0.25">
      <c r="A46"/>
    </row>
    <row r="47" spans="1:12" ht="20.100000000000001" customHeight="1" x14ac:dyDescent="0.25">
      <c r="A47"/>
    </row>
    <row r="48" spans="1:12" ht="20.100000000000001" customHeight="1" x14ac:dyDescent="0.25">
      <c r="A48"/>
    </row>
    <row r="49" spans="1:12" ht="20.100000000000001" customHeight="1" x14ac:dyDescent="0.25">
      <c r="A49"/>
      <c r="D49" s="9" t="str" cm="1">
        <f t="array" ref="D49">Fuel_SourceData.Fuel_Scope1Scope3EmissionFactorsStationaryLiquid_Title()</f>
        <v>Fuel scope 1 and 3 emission factors - Stationary liquid fuels</v>
      </c>
      <c r="E49" s="17"/>
      <c r="F49" s="17"/>
      <c r="G49" s="17"/>
      <c r="H49" s="17"/>
      <c r="I49" s="17"/>
      <c r="J49" s="17"/>
      <c r="K49" s="17"/>
      <c r="L49" s="17"/>
    </row>
    <row r="50" spans="1:12" ht="20.100000000000001" customHeight="1" x14ac:dyDescent="0.25">
      <c r="A50"/>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1:12" ht="20.100000000000001" customHeight="1" x14ac:dyDescent="0.25">
      <c r="A51"/>
      <c r="D51" s="11" t="str" cm="1">
        <f t="array" ref="D51">Fuel_SourceData.Fuel_Scope1Scope3EmissionFactorsStationaryLiquid_Source()</f>
        <v>Australian National Greenhouse Accounts Factors 2025 - Table 8</v>
      </c>
      <c r="E51" s="17"/>
      <c r="F51" s="17"/>
      <c r="G51" s="17"/>
      <c r="H51" s="17"/>
      <c r="I51" s="17"/>
      <c r="J51" s="17"/>
      <c r="K51" s="17"/>
      <c r="L51" s="17"/>
    </row>
    <row r="52" spans="1:12" ht="20.100000000000001" customHeight="1" x14ac:dyDescent="0.25">
      <c r="A52"/>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1:12" ht="20.100000000000001" customHeight="1" x14ac:dyDescent="0.25">
      <c r="A53"/>
      <c r="D53" s="25" t="s">
        <v>69</v>
      </c>
      <c r="E53" s="20" t="s">
        <v>70</v>
      </c>
      <c r="F53" s="25" t="s">
        <v>71</v>
      </c>
      <c r="G53" s="20" t="s">
        <v>72</v>
      </c>
      <c r="H53" s="20" t="s">
        <v>73</v>
      </c>
      <c r="I53" s="20" t="s">
        <v>74</v>
      </c>
      <c r="J53" s="20" t="s">
        <v>75</v>
      </c>
      <c r="K53" s="20" t="s">
        <v>76</v>
      </c>
      <c r="L53" s="17"/>
    </row>
    <row r="54" spans="1:12" ht="20.100000000000001" customHeight="1" x14ac:dyDescent="0.25">
      <c r="A54"/>
      <c r="D54" s="26"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6" cm="1">
        <f t="array" ref="E54">Common_InputFunctions.Utility_DisplayArrayInTable(Fuel_SourceData.Fuel_Scope1Scope3EmissionFactorsStationaryLiquid_Data(), Table_Fuel_EFs_StationaryLiquid[[#Headers],[Fuel combusted]],0)</f>
        <v>38.799999999999997</v>
      </c>
      <c r="F54" s="26" t="str" cm="1">
        <f t="array" ref="F54">Common_InputFunctions.Utility_DisplayArrayInTable(Fuel_SourceData.Fuel_Scope1Scope3EmissionFactorsStationaryLiquid_Data(), Table_Fuel_EFs_StationaryLiquid[[#Headers],[Fuel combusted]],0)</f>
        <v>kl</v>
      </c>
      <c r="G54" s="26" cm="1">
        <f t="array" ref="G54">Common_InputFunctions.Utility_DisplayArrayInTable(Fuel_SourceData.Fuel_Scope1Scope3EmissionFactorsStationaryLiquid_Data(), Table_Fuel_EFs_StationaryLiquid[[#Headers],[Fuel combusted]],0)</f>
        <v>13.9</v>
      </c>
      <c r="H54" s="26" cm="1">
        <f t="array" ref="H54">Common_InputFunctions.Utility_DisplayArrayInTable(Fuel_SourceData.Fuel_Scope1Scope3EmissionFactorsStationaryLiquid_Data(), Table_Fuel_EFs_StationaryLiquid[[#Headers],[Fuel combusted]],0)</f>
        <v>0</v>
      </c>
      <c r="I54" s="26" cm="1">
        <f t="array" ref="I54">Common_InputFunctions.Utility_DisplayArrayInTable(Fuel_SourceData.Fuel_Scope1Scope3EmissionFactorsStationaryLiquid_Data(), Table_Fuel_EFs_StationaryLiquid[[#Headers],[Fuel combusted]],0)</f>
        <v>0</v>
      </c>
      <c r="J54" s="26" cm="1">
        <f t="array" ref="J54">Common_InputFunctions.Utility_DisplayArrayInTable(Fuel_SourceData.Fuel_Scope1Scope3EmissionFactorsStationaryLiquid_Data(), Table_Fuel_EFs_StationaryLiquid[[#Headers],[Fuel combusted]],0)</f>
        <v>13.9</v>
      </c>
      <c r="K54" s="26" cm="1">
        <f t="array" ref="K54">Common_InputFunctions.Utility_DisplayArrayInTable(Fuel_SourceData.Fuel_Scope1Scope3EmissionFactorsStationaryLiquid_Data(), Table_Fuel_EFs_StationaryLiquid[[#Headers],[Fuel combusted]],0)</f>
        <v>18</v>
      </c>
      <c r="L54" s="17"/>
    </row>
    <row r="55" spans="1:12" ht="20.100000000000001" customHeight="1" x14ac:dyDescent="0.25">
      <c r="A55"/>
      <c r="D55" s="26" t="str" cm="1">
        <f t="array" ref="D55">Common_InputFunctions.Utility_DisplayArrayInTable(Fuel_SourceData.Fuel_Scope1Scope3EmissionFactorsStationaryLiquid_Data(), Table_Fuel_EFs_StationaryLiquid[[#Headers],[Fuel combusted]],0)</f>
        <v>Petroleum based greases</v>
      </c>
      <c r="E55" s="26" cm="1">
        <f t="array" ref="E55">Common_InputFunctions.Utility_DisplayArrayInTable(Fuel_SourceData.Fuel_Scope1Scope3EmissionFactorsStationaryLiquid_Data(), Table_Fuel_EFs_StationaryLiquid[[#Headers],[Fuel combusted]],0)</f>
        <v>38.799999999999997</v>
      </c>
      <c r="F55" s="26" t="str" cm="1">
        <f t="array" ref="F55">Common_InputFunctions.Utility_DisplayArrayInTable(Fuel_SourceData.Fuel_Scope1Scope3EmissionFactorsStationaryLiquid_Data(), Table_Fuel_EFs_StationaryLiquid[[#Headers],[Fuel combusted]],0)</f>
        <v>kl</v>
      </c>
      <c r="G55" s="26" cm="1">
        <f t="array" ref="G55">Common_InputFunctions.Utility_DisplayArrayInTable(Fuel_SourceData.Fuel_Scope1Scope3EmissionFactorsStationaryLiquid_Data(), Table_Fuel_EFs_StationaryLiquid[[#Headers],[Fuel combusted]],0)</f>
        <v>3.5</v>
      </c>
      <c r="H55" s="26" cm="1">
        <f t="array" ref="H55">Common_InputFunctions.Utility_DisplayArrayInTable(Fuel_SourceData.Fuel_Scope1Scope3EmissionFactorsStationaryLiquid_Data(), Table_Fuel_EFs_StationaryLiquid[[#Headers],[Fuel combusted]],0)</f>
        <v>0</v>
      </c>
      <c r="I55" s="26" cm="1">
        <f t="array" ref="I55">Common_InputFunctions.Utility_DisplayArrayInTable(Fuel_SourceData.Fuel_Scope1Scope3EmissionFactorsStationaryLiquid_Data(), Table_Fuel_EFs_StationaryLiquid[[#Headers],[Fuel combusted]],0)</f>
        <v>0</v>
      </c>
      <c r="J55" s="26" cm="1">
        <f t="array" ref="J55">Common_InputFunctions.Utility_DisplayArrayInTable(Fuel_SourceData.Fuel_Scope1Scope3EmissionFactorsStationaryLiquid_Data(), Table_Fuel_EFs_StationaryLiquid[[#Headers],[Fuel combusted]],0)</f>
        <v>3.5</v>
      </c>
      <c r="K55" s="26" cm="1">
        <f t="array" ref="K55">Common_InputFunctions.Utility_DisplayArrayInTable(Fuel_SourceData.Fuel_Scope1Scope3EmissionFactorsStationaryLiquid_Data(), Table_Fuel_EFs_StationaryLiquid[[#Headers],[Fuel combusted]],0)</f>
        <v>18</v>
      </c>
      <c r="L55" s="17"/>
    </row>
    <row r="56" spans="1:12" ht="20.100000000000001" customHeight="1" x14ac:dyDescent="0.25">
      <c r="A56"/>
      <c r="D56" s="26" t="str" cm="1">
        <f t="array" ref="D56">Common_InputFunctions.Utility_DisplayArrayInTable(Fuel_SourceData.Fuel_Scope1Scope3EmissionFactorsStationaryLiquid_Data(), Table_Fuel_EFs_StationaryLiquid[[#Headers],[Fuel combusted]],0)</f>
        <v>Crude oil including crude oil condensates</v>
      </c>
      <c r="E56" s="26" cm="1">
        <f t="array" ref="E56">Common_InputFunctions.Utility_DisplayArrayInTable(Fuel_SourceData.Fuel_Scope1Scope3EmissionFactorsStationaryLiquid_Data(), Table_Fuel_EFs_StationaryLiquid[[#Headers],[Fuel combusted]],0)</f>
        <v>45.3</v>
      </c>
      <c r="F56" s="26" t="str" cm="1">
        <f t="array" ref="F56">Common_InputFunctions.Utility_DisplayArrayInTable(Fuel_SourceData.Fuel_Scope1Scope3EmissionFactorsStationaryLiquid_Data(), Table_Fuel_EFs_StationaryLiquid[[#Headers],[Fuel combusted]],0)</f>
        <v>t</v>
      </c>
      <c r="G56" s="26" cm="1">
        <f t="array" ref="G56">Common_InputFunctions.Utility_DisplayArrayInTable(Fuel_SourceData.Fuel_Scope1Scope3EmissionFactorsStationaryLiquid_Data(), Table_Fuel_EFs_StationaryLiquid[[#Headers],[Fuel combusted]],0)</f>
        <v>69.599999999999994</v>
      </c>
      <c r="H56" s="26" cm="1">
        <f t="array" ref="H56">Common_InputFunctions.Utility_DisplayArrayInTable(Fuel_SourceData.Fuel_Scope1Scope3EmissionFactorsStationaryLiquid_Data(), Table_Fuel_EFs_StationaryLiquid[[#Headers],[Fuel combusted]],0)</f>
        <v>0.08</v>
      </c>
      <c r="I56" s="26" cm="1">
        <f t="array" ref="I56">Common_InputFunctions.Utility_DisplayArrayInTable(Fuel_SourceData.Fuel_Scope1Scope3EmissionFactorsStationaryLiquid_Data(), Table_Fuel_EFs_StationaryLiquid[[#Headers],[Fuel combusted]],0)</f>
        <v>0.2</v>
      </c>
      <c r="J56" s="26" cm="1">
        <f t="array" ref="J56">Common_InputFunctions.Utility_DisplayArrayInTable(Fuel_SourceData.Fuel_Scope1Scope3EmissionFactorsStationaryLiquid_Data(), Table_Fuel_EFs_StationaryLiquid[[#Headers],[Fuel combusted]],0)</f>
        <v>69.88</v>
      </c>
      <c r="K56" s="26" t="str" cm="1">
        <f t="array" ref="K56">Common_InputFunctions.Utility_DisplayArrayInTable(Fuel_SourceData.Fuel_Scope1Scope3EmissionFactorsStationaryLiquid_Data(), Table_Fuel_EFs_StationaryLiquid[[#Headers],[Fuel combusted]],0)</f>
        <v>NE</v>
      </c>
      <c r="L56" s="17"/>
    </row>
    <row r="57" spans="1:12" ht="20.100000000000001" customHeight="1" x14ac:dyDescent="0.25">
      <c r="A57"/>
      <c r="D57" s="26" t="str" cm="1">
        <f t="array" ref="D57">Common_InputFunctions.Utility_DisplayArrayInTable(Fuel_SourceData.Fuel_Scope1Scope3EmissionFactorsStationaryLiquid_Data(), Table_Fuel_EFs_StationaryLiquid[[#Headers],[Fuel combusted]],0)</f>
        <v>Other natural gas liquids</v>
      </c>
      <c r="E57" s="26" cm="1">
        <f t="array" ref="E57">Common_InputFunctions.Utility_DisplayArrayInTable(Fuel_SourceData.Fuel_Scope1Scope3EmissionFactorsStationaryLiquid_Data(), Table_Fuel_EFs_StationaryLiquid[[#Headers],[Fuel combusted]],0)</f>
        <v>46.5</v>
      </c>
      <c r="F57" s="26" t="str" cm="1">
        <f t="array" ref="F57">Common_InputFunctions.Utility_DisplayArrayInTable(Fuel_SourceData.Fuel_Scope1Scope3EmissionFactorsStationaryLiquid_Data(), Table_Fuel_EFs_StationaryLiquid[[#Headers],[Fuel combusted]],0)</f>
        <v>t</v>
      </c>
      <c r="G57" s="26" cm="1">
        <f t="array" ref="G57">Common_InputFunctions.Utility_DisplayArrayInTable(Fuel_SourceData.Fuel_Scope1Scope3EmissionFactorsStationaryLiquid_Data(), Table_Fuel_EFs_StationaryLiquid[[#Headers],[Fuel combusted]],0)</f>
        <v>61</v>
      </c>
      <c r="H57" s="26" cm="1">
        <f t="array" ref="H57">Common_InputFunctions.Utility_DisplayArrayInTable(Fuel_SourceData.Fuel_Scope1Scope3EmissionFactorsStationaryLiquid_Data(), Table_Fuel_EFs_StationaryLiquid[[#Headers],[Fuel combusted]],0)</f>
        <v>0.08</v>
      </c>
      <c r="I57" s="26" cm="1">
        <f t="array" ref="I57">Common_InputFunctions.Utility_DisplayArrayInTable(Fuel_SourceData.Fuel_Scope1Scope3EmissionFactorsStationaryLiquid_Data(), Table_Fuel_EFs_StationaryLiquid[[#Headers],[Fuel combusted]],0)</f>
        <v>0.2</v>
      </c>
      <c r="J57" s="26" cm="1">
        <f t="array" ref="J57">Common_InputFunctions.Utility_DisplayArrayInTable(Fuel_SourceData.Fuel_Scope1Scope3EmissionFactorsStationaryLiquid_Data(), Table_Fuel_EFs_StationaryLiquid[[#Headers],[Fuel combusted]],0)</f>
        <v>61.28</v>
      </c>
      <c r="K57" s="26" t="str" cm="1">
        <f t="array" ref="K57">Common_InputFunctions.Utility_DisplayArrayInTable(Fuel_SourceData.Fuel_Scope1Scope3EmissionFactorsStationaryLiquid_Data(), Table_Fuel_EFs_StationaryLiquid[[#Headers],[Fuel combusted]],0)</f>
        <v>NE</v>
      </c>
      <c r="L57" s="17"/>
    </row>
    <row r="58" spans="1:12" ht="20.100000000000001" customHeight="1" x14ac:dyDescent="0.25">
      <c r="A58"/>
      <c r="D58" s="26"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6" cm="1">
        <f t="array" ref="E58">Common_InputFunctions.Utility_DisplayArrayInTable(Fuel_SourceData.Fuel_Scope1Scope3EmissionFactorsStationaryLiquid_Data(), Table_Fuel_EFs_StationaryLiquid[[#Headers],[Fuel combusted]],0)</f>
        <v>34.200000000000003</v>
      </c>
      <c r="F58" s="26" t="str" cm="1">
        <f t="array" ref="F58">Common_InputFunctions.Utility_DisplayArrayInTable(Fuel_SourceData.Fuel_Scope1Scope3EmissionFactorsStationaryLiquid_Data(), Table_Fuel_EFs_StationaryLiquid[[#Headers],[Fuel combusted]],0)</f>
        <v>kL</v>
      </c>
      <c r="G58" s="26" cm="1">
        <f t="array" ref="G58">Common_InputFunctions.Utility_DisplayArrayInTable(Fuel_SourceData.Fuel_Scope1Scope3EmissionFactorsStationaryLiquid_Data(), Table_Fuel_EFs_StationaryLiquid[[#Headers],[Fuel combusted]],0)</f>
        <v>67.400000000000006</v>
      </c>
      <c r="H58" s="26" cm="1">
        <f t="array" ref="H58">Common_InputFunctions.Utility_DisplayArrayInTable(Fuel_SourceData.Fuel_Scope1Scope3EmissionFactorsStationaryLiquid_Data(), Table_Fuel_EFs_StationaryLiquid[[#Headers],[Fuel combusted]],0)</f>
        <v>0.2</v>
      </c>
      <c r="I58" s="26" cm="1">
        <f t="array" ref="I58">Common_InputFunctions.Utility_DisplayArrayInTable(Fuel_SourceData.Fuel_Scope1Scope3EmissionFactorsStationaryLiquid_Data(), Table_Fuel_EFs_StationaryLiquid[[#Headers],[Fuel combusted]],0)</f>
        <v>0.2</v>
      </c>
      <c r="J58" s="26" cm="1">
        <f t="array" ref="J58">Common_InputFunctions.Utility_DisplayArrayInTable(Fuel_SourceData.Fuel_Scope1Scope3EmissionFactorsStationaryLiquid_Data(), Table_Fuel_EFs_StationaryLiquid[[#Headers],[Fuel combusted]],0)</f>
        <v>67.8</v>
      </c>
      <c r="K58" s="26" cm="1">
        <f t="array" ref="K58">Common_InputFunctions.Utility_DisplayArrayInTable(Fuel_SourceData.Fuel_Scope1Scope3EmissionFactorsStationaryLiquid_Data(), Table_Fuel_EFs_StationaryLiquid[[#Headers],[Fuel combusted]],0)</f>
        <v>17.2</v>
      </c>
      <c r="L58" s="17"/>
    </row>
    <row r="59" spans="1:12" ht="20.100000000000001" customHeight="1" x14ac:dyDescent="0.25">
      <c r="A59"/>
      <c r="D59" s="26" t="str" cm="1">
        <f t="array" ref="D59">Common_InputFunctions.Utility_DisplayArrayInTable(Fuel_SourceData.Fuel_Scope1Scope3EmissionFactorsStationaryLiquid_Data(), Table_Fuel_EFs_StationaryLiquid[[#Headers],[Fuel combusted]],0)</f>
        <v>Aviation gasoline</v>
      </c>
      <c r="E59" s="26" cm="1">
        <f t="array" ref="E59">Common_InputFunctions.Utility_DisplayArrayInTable(Fuel_SourceData.Fuel_Scope1Scope3EmissionFactorsStationaryLiquid_Data(), Table_Fuel_EFs_StationaryLiquid[[#Headers],[Fuel combusted]],0)</f>
        <v>33.1</v>
      </c>
      <c r="F59" s="26" t="str" cm="1">
        <f t="array" ref="F59">Common_InputFunctions.Utility_DisplayArrayInTable(Fuel_SourceData.Fuel_Scope1Scope3EmissionFactorsStationaryLiquid_Data(), Table_Fuel_EFs_StationaryLiquid[[#Headers],[Fuel combusted]],0)</f>
        <v>kL</v>
      </c>
      <c r="G59" s="26" cm="1">
        <f t="array" ref="G59">Common_InputFunctions.Utility_DisplayArrayInTable(Fuel_SourceData.Fuel_Scope1Scope3EmissionFactorsStationaryLiquid_Data(), Table_Fuel_EFs_StationaryLiquid[[#Headers],[Fuel combusted]],0)</f>
        <v>67</v>
      </c>
      <c r="H59" s="26" cm="1">
        <f t="array" ref="H59">Common_InputFunctions.Utility_DisplayArrayInTable(Fuel_SourceData.Fuel_Scope1Scope3EmissionFactorsStationaryLiquid_Data(), Table_Fuel_EFs_StationaryLiquid[[#Headers],[Fuel combusted]],0)</f>
        <v>0.2</v>
      </c>
      <c r="I59" s="26" cm="1">
        <f t="array" ref="I59">Common_InputFunctions.Utility_DisplayArrayInTable(Fuel_SourceData.Fuel_Scope1Scope3EmissionFactorsStationaryLiquid_Data(), Table_Fuel_EFs_StationaryLiquid[[#Headers],[Fuel combusted]],0)</f>
        <v>0.2</v>
      </c>
      <c r="J59" s="26" cm="1">
        <f t="array" ref="J59">Common_InputFunctions.Utility_DisplayArrayInTable(Fuel_SourceData.Fuel_Scope1Scope3EmissionFactorsStationaryLiquid_Data(), Table_Fuel_EFs_StationaryLiquid[[#Headers],[Fuel combusted]],0)</f>
        <v>67.400000000000006</v>
      </c>
      <c r="K59" s="26" cm="1">
        <f t="array" ref="K59">Common_InputFunctions.Utility_DisplayArrayInTable(Fuel_SourceData.Fuel_Scope1Scope3EmissionFactorsStationaryLiquid_Data(), Table_Fuel_EFs_StationaryLiquid[[#Headers],[Fuel combusted]],0)</f>
        <v>18</v>
      </c>
      <c r="L59" s="17"/>
    </row>
    <row r="60" spans="1:12" ht="20.100000000000001" customHeight="1" x14ac:dyDescent="0.25">
      <c r="A60"/>
      <c r="D60" s="26" t="str" cm="1">
        <f t="array" ref="D60">Common_InputFunctions.Utility_DisplayArrayInTable(Fuel_SourceData.Fuel_Scope1Scope3EmissionFactorsStationaryLiquid_Data(), Table_Fuel_EFs_StationaryLiquid[[#Headers],[Fuel combusted]],0)</f>
        <v>Kerosene (other than for use as fuel in an aircraft)</v>
      </c>
      <c r="E60" s="26" cm="1">
        <f t="array" ref="E60">Common_InputFunctions.Utility_DisplayArrayInTable(Fuel_SourceData.Fuel_Scope1Scope3EmissionFactorsStationaryLiquid_Data(), Table_Fuel_EFs_StationaryLiquid[[#Headers],[Fuel combusted]],0)</f>
        <v>37.5</v>
      </c>
      <c r="F60" s="26" t="str" cm="1">
        <f t="array" ref="F60">Common_InputFunctions.Utility_DisplayArrayInTable(Fuel_SourceData.Fuel_Scope1Scope3EmissionFactorsStationaryLiquid_Data(), Table_Fuel_EFs_StationaryLiquid[[#Headers],[Fuel combusted]],0)</f>
        <v>kL</v>
      </c>
      <c r="G60" s="26" cm="1">
        <f t="array" ref="G60">Common_InputFunctions.Utility_DisplayArrayInTable(Fuel_SourceData.Fuel_Scope1Scope3EmissionFactorsStationaryLiquid_Data(), Table_Fuel_EFs_StationaryLiquid[[#Headers],[Fuel combusted]],0)</f>
        <v>68.900000000000006</v>
      </c>
      <c r="H60" s="26" cm="1">
        <f t="array" ref="H60">Common_InputFunctions.Utility_DisplayArrayInTable(Fuel_SourceData.Fuel_Scope1Scope3EmissionFactorsStationaryLiquid_Data(), Table_Fuel_EFs_StationaryLiquid[[#Headers],[Fuel combusted]],0)</f>
        <v>0.01</v>
      </c>
      <c r="I60" s="26" cm="1">
        <f t="array" ref="I60">Common_InputFunctions.Utility_DisplayArrayInTable(Fuel_SourceData.Fuel_Scope1Scope3EmissionFactorsStationaryLiquid_Data(), Table_Fuel_EFs_StationaryLiquid[[#Headers],[Fuel combusted]],0)</f>
        <v>0.2</v>
      </c>
      <c r="J60" s="26" cm="1">
        <f t="array" ref="J60">Common_InputFunctions.Utility_DisplayArrayInTable(Fuel_SourceData.Fuel_Scope1Scope3EmissionFactorsStationaryLiquid_Data(), Table_Fuel_EFs_StationaryLiquid[[#Headers],[Fuel combusted]],0)</f>
        <v>69.11</v>
      </c>
      <c r="K60" s="26" cm="1">
        <f t="array" ref="K60">Common_InputFunctions.Utility_DisplayArrayInTable(Fuel_SourceData.Fuel_Scope1Scope3EmissionFactorsStationaryLiquid_Data(), Table_Fuel_EFs_StationaryLiquid[[#Headers],[Fuel combusted]],0)</f>
        <v>18</v>
      </c>
      <c r="L60" s="17"/>
    </row>
    <row r="61" spans="1:12" ht="20.100000000000001" customHeight="1" x14ac:dyDescent="0.25">
      <c r="A61"/>
      <c r="D61" s="26" t="str" cm="1">
        <f t="array" ref="D61">Common_InputFunctions.Utility_DisplayArrayInTable(Fuel_SourceData.Fuel_Scope1Scope3EmissionFactorsStationaryLiquid_Data(), Table_Fuel_EFs_StationaryLiquid[[#Headers],[Fuel combusted]],0)</f>
        <v>Aviation turbine fuel / kerosene</v>
      </c>
      <c r="E61" s="26" cm="1">
        <f t="array" ref="E61">Common_InputFunctions.Utility_DisplayArrayInTable(Fuel_SourceData.Fuel_Scope1Scope3EmissionFactorsStationaryLiquid_Data(), Table_Fuel_EFs_StationaryLiquid[[#Headers],[Fuel combusted]],0)</f>
        <v>36.799999999999997</v>
      </c>
      <c r="F61" s="26" t="str" cm="1">
        <f t="array" ref="F61">Common_InputFunctions.Utility_DisplayArrayInTable(Fuel_SourceData.Fuel_Scope1Scope3EmissionFactorsStationaryLiquid_Data(), Table_Fuel_EFs_StationaryLiquid[[#Headers],[Fuel combusted]],0)</f>
        <v>kL</v>
      </c>
      <c r="G61" s="26" cm="1">
        <f t="array" ref="G61">Common_InputFunctions.Utility_DisplayArrayInTable(Fuel_SourceData.Fuel_Scope1Scope3EmissionFactorsStationaryLiquid_Data(), Table_Fuel_EFs_StationaryLiquid[[#Headers],[Fuel combusted]],0)</f>
        <v>69.599999999999994</v>
      </c>
      <c r="H61" s="26" cm="1">
        <f t="array" ref="H61">Common_InputFunctions.Utility_DisplayArrayInTable(Fuel_SourceData.Fuel_Scope1Scope3EmissionFactorsStationaryLiquid_Data(), Table_Fuel_EFs_StationaryLiquid[[#Headers],[Fuel combusted]],0)</f>
        <v>0.02</v>
      </c>
      <c r="I61" s="26" cm="1">
        <f t="array" ref="I61">Common_InputFunctions.Utility_DisplayArrayInTable(Fuel_SourceData.Fuel_Scope1Scope3EmissionFactorsStationaryLiquid_Data(), Table_Fuel_EFs_StationaryLiquid[[#Headers],[Fuel combusted]],0)</f>
        <v>0.2</v>
      </c>
      <c r="J61" s="26" cm="1">
        <f t="array" ref="J61">Common_InputFunctions.Utility_DisplayArrayInTable(Fuel_SourceData.Fuel_Scope1Scope3EmissionFactorsStationaryLiquid_Data(), Table_Fuel_EFs_StationaryLiquid[[#Headers],[Fuel combusted]],0)</f>
        <v>69.819999999999993</v>
      </c>
      <c r="K61" s="26" cm="1">
        <f t="array" ref="K61">Common_InputFunctions.Utility_DisplayArrayInTable(Fuel_SourceData.Fuel_Scope1Scope3EmissionFactorsStationaryLiquid_Data(), Table_Fuel_EFs_StationaryLiquid[[#Headers],[Fuel combusted]],0)</f>
        <v>18</v>
      </c>
      <c r="L61" s="17"/>
    </row>
    <row r="62" spans="1:12" ht="20.100000000000001" customHeight="1" x14ac:dyDescent="0.25">
      <c r="A62"/>
      <c r="D62" s="26" t="str" cm="1">
        <f t="array" ref="D62">Common_InputFunctions.Utility_DisplayArrayInTable(Fuel_SourceData.Fuel_Scope1Scope3EmissionFactorsStationaryLiquid_Data(), Table_Fuel_EFs_StationaryLiquid[[#Headers],[Fuel combusted]],0)</f>
        <v>Heating oil</v>
      </c>
      <c r="E62" s="26" cm="1">
        <f t="array" ref="E62">Common_InputFunctions.Utility_DisplayArrayInTable(Fuel_SourceData.Fuel_Scope1Scope3EmissionFactorsStationaryLiquid_Data(), Table_Fuel_EFs_StationaryLiquid[[#Headers],[Fuel combusted]],0)</f>
        <v>37.299999999999997</v>
      </c>
      <c r="F62" s="26" t="str" cm="1">
        <f t="array" ref="F62">Common_InputFunctions.Utility_DisplayArrayInTable(Fuel_SourceData.Fuel_Scope1Scope3EmissionFactorsStationaryLiquid_Data(), Table_Fuel_EFs_StationaryLiquid[[#Headers],[Fuel combusted]],0)</f>
        <v>kL</v>
      </c>
      <c r="G62" s="26" cm="1">
        <f t="array" ref="G62">Common_InputFunctions.Utility_DisplayArrayInTable(Fuel_SourceData.Fuel_Scope1Scope3EmissionFactorsStationaryLiquid_Data(), Table_Fuel_EFs_StationaryLiquid[[#Headers],[Fuel combusted]],0)</f>
        <v>69.5</v>
      </c>
      <c r="H62" s="26" cm="1">
        <f t="array" ref="H62">Common_InputFunctions.Utility_DisplayArrayInTable(Fuel_SourceData.Fuel_Scope1Scope3EmissionFactorsStationaryLiquid_Data(), Table_Fuel_EFs_StationaryLiquid[[#Headers],[Fuel combusted]],0)</f>
        <v>0.03</v>
      </c>
      <c r="I62" s="26" cm="1">
        <f t="array" ref="I62">Common_InputFunctions.Utility_DisplayArrayInTable(Fuel_SourceData.Fuel_Scope1Scope3EmissionFactorsStationaryLiquid_Data(), Table_Fuel_EFs_StationaryLiquid[[#Headers],[Fuel combusted]],0)</f>
        <v>0.2</v>
      </c>
      <c r="J62" s="26" cm="1">
        <f t="array" ref="J62">Common_InputFunctions.Utility_DisplayArrayInTable(Fuel_SourceData.Fuel_Scope1Scope3EmissionFactorsStationaryLiquid_Data(), Table_Fuel_EFs_StationaryLiquid[[#Headers],[Fuel combusted]],0)</f>
        <v>69.73</v>
      </c>
      <c r="K62" s="26" cm="1">
        <f t="array" ref="K62">Common_InputFunctions.Utility_DisplayArrayInTable(Fuel_SourceData.Fuel_Scope1Scope3EmissionFactorsStationaryLiquid_Data(), Table_Fuel_EFs_StationaryLiquid[[#Headers],[Fuel combusted]],0)</f>
        <v>18</v>
      </c>
      <c r="L62" s="17"/>
    </row>
    <row r="63" spans="1:12" ht="20.100000000000001" customHeight="1" x14ac:dyDescent="0.25">
      <c r="A63"/>
      <c r="D63" s="26" t="str" cm="1">
        <f t="array" ref="D63">Common_InputFunctions.Utility_DisplayArrayInTable(Fuel_SourceData.Fuel_Scope1Scope3EmissionFactorsStationaryLiquid_Data(), Table_Fuel_EFs_StationaryLiquid[[#Headers],[Fuel combusted]],0)</f>
        <v>Diesel oil</v>
      </c>
      <c r="E63" s="26" cm="1">
        <f t="array" ref="E63">Common_InputFunctions.Utility_DisplayArrayInTable(Fuel_SourceData.Fuel_Scope1Scope3EmissionFactorsStationaryLiquid_Data(), Table_Fuel_EFs_StationaryLiquid[[#Headers],[Fuel combusted]],0)</f>
        <v>38.6</v>
      </c>
      <c r="F63" s="26" t="str" cm="1">
        <f t="array" ref="F63">Common_InputFunctions.Utility_DisplayArrayInTable(Fuel_SourceData.Fuel_Scope1Scope3EmissionFactorsStationaryLiquid_Data(), Table_Fuel_EFs_StationaryLiquid[[#Headers],[Fuel combusted]],0)</f>
        <v>kL</v>
      </c>
      <c r="G63" s="26" cm="1">
        <f t="array" ref="G63">Common_InputFunctions.Utility_DisplayArrayInTable(Fuel_SourceData.Fuel_Scope1Scope3EmissionFactorsStationaryLiquid_Data(), Table_Fuel_EFs_StationaryLiquid[[#Headers],[Fuel combusted]],0)</f>
        <v>69.900000000000006</v>
      </c>
      <c r="H63" s="26" cm="1">
        <f t="array" ref="H63">Common_InputFunctions.Utility_DisplayArrayInTable(Fuel_SourceData.Fuel_Scope1Scope3EmissionFactorsStationaryLiquid_Data(), Table_Fuel_EFs_StationaryLiquid[[#Headers],[Fuel combusted]],0)</f>
        <v>0.1</v>
      </c>
      <c r="I63" s="26" cm="1">
        <f t="array" ref="I63">Common_InputFunctions.Utility_DisplayArrayInTable(Fuel_SourceData.Fuel_Scope1Scope3EmissionFactorsStationaryLiquid_Data(), Table_Fuel_EFs_StationaryLiquid[[#Headers],[Fuel combusted]],0)</f>
        <v>0.2</v>
      </c>
      <c r="J63" s="26" cm="1">
        <f t="array" ref="J63">Common_InputFunctions.Utility_DisplayArrayInTable(Fuel_SourceData.Fuel_Scope1Scope3EmissionFactorsStationaryLiquid_Data(), Table_Fuel_EFs_StationaryLiquid[[#Headers],[Fuel combusted]],0)</f>
        <v>70.2</v>
      </c>
      <c r="K63" s="26" cm="1">
        <f t="array" ref="K63">Common_InputFunctions.Utility_DisplayArrayInTable(Fuel_SourceData.Fuel_Scope1Scope3EmissionFactorsStationaryLiquid_Data(), Table_Fuel_EFs_StationaryLiquid[[#Headers],[Fuel combusted]],0)</f>
        <v>17.3</v>
      </c>
      <c r="L63" s="17"/>
    </row>
    <row r="64" spans="1:12" ht="20.100000000000001" customHeight="1" x14ac:dyDescent="0.25">
      <c r="A64"/>
      <c r="D64" s="26" t="str" cm="1">
        <f t="array" ref="D64">Common_InputFunctions.Utility_DisplayArrayInTable(Fuel_SourceData.Fuel_Scope1Scope3EmissionFactorsStationaryLiquid_Data(), Table_Fuel_EFs_StationaryLiquid[[#Headers],[Fuel combusted]],0)</f>
        <v>Fuel oil</v>
      </c>
      <c r="E64" s="26" cm="1">
        <f t="array" ref="E64">Common_InputFunctions.Utility_DisplayArrayInTable(Fuel_SourceData.Fuel_Scope1Scope3EmissionFactorsStationaryLiquid_Data(), Table_Fuel_EFs_StationaryLiquid[[#Headers],[Fuel combusted]],0)</f>
        <v>39.700000000000003</v>
      </c>
      <c r="F64" s="26" t="str" cm="1">
        <f t="array" ref="F64">Common_InputFunctions.Utility_DisplayArrayInTable(Fuel_SourceData.Fuel_Scope1Scope3EmissionFactorsStationaryLiquid_Data(), Table_Fuel_EFs_StationaryLiquid[[#Headers],[Fuel combusted]],0)</f>
        <v>kL</v>
      </c>
      <c r="G64" s="26" cm="1">
        <f t="array" ref="G64">Common_InputFunctions.Utility_DisplayArrayInTable(Fuel_SourceData.Fuel_Scope1Scope3EmissionFactorsStationaryLiquid_Data(), Table_Fuel_EFs_StationaryLiquid[[#Headers],[Fuel combusted]],0)</f>
        <v>73.599999999999994</v>
      </c>
      <c r="H64" s="26" cm="1">
        <f t="array" ref="H64">Common_InputFunctions.Utility_DisplayArrayInTable(Fuel_SourceData.Fuel_Scope1Scope3EmissionFactorsStationaryLiquid_Data(), Table_Fuel_EFs_StationaryLiquid[[#Headers],[Fuel combusted]],0)</f>
        <v>0.04</v>
      </c>
      <c r="I64" s="26" cm="1">
        <f t="array" ref="I64">Common_InputFunctions.Utility_DisplayArrayInTable(Fuel_SourceData.Fuel_Scope1Scope3EmissionFactorsStationaryLiquid_Data(), Table_Fuel_EFs_StationaryLiquid[[#Headers],[Fuel combusted]],0)</f>
        <v>0.2</v>
      </c>
      <c r="J64" s="26" cm="1">
        <f t="array" ref="J64">Common_InputFunctions.Utility_DisplayArrayInTable(Fuel_SourceData.Fuel_Scope1Scope3EmissionFactorsStationaryLiquid_Data(), Table_Fuel_EFs_StationaryLiquid[[#Headers],[Fuel combusted]],0)</f>
        <v>73.84</v>
      </c>
      <c r="K64" s="26" cm="1">
        <f t="array" ref="K64">Common_InputFunctions.Utility_DisplayArrayInTable(Fuel_SourceData.Fuel_Scope1Scope3EmissionFactorsStationaryLiquid_Data(), Table_Fuel_EFs_StationaryLiquid[[#Headers],[Fuel combusted]],0)</f>
        <v>18</v>
      </c>
      <c r="L64" s="17"/>
    </row>
    <row r="65" spans="1:13" ht="20.100000000000001" customHeight="1" x14ac:dyDescent="0.25">
      <c r="A65"/>
      <c r="D65" s="26" t="str" cm="1">
        <f t="array" ref="D65">Common_InputFunctions.Utility_DisplayArrayInTable(Fuel_SourceData.Fuel_Scope1Scope3EmissionFactorsStationaryLiquid_Data(), Table_Fuel_EFs_StationaryLiquid[[#Headers],[Fuel combusted]],0)</f>
        <v>Liquefied aromatic hydrocarbons</v>
      </c>
      <c r="E65" s="26" cm="1">
        <f t="array" ref="E65">Common_InputFunctions.Utility_DisplayArrayInTable(Fuel_SourceData.Fuel_Scope1Scope3EmissionFactorsStationaryLiquid_Data(), Table_Fuel_EFs_StationaryLiquid[[#Headers],[Fuel combusted]],0)</f>
        <v>34.4</v>
      </c>
      <c r="F65" s="26" t="str" cm="1">
        <f t="array" ref="F65">Common_InputFunctions.Utility_DisplayArrayInTable(Fuel_SourceData.Fuel_Scope1Scope3EmissionFactorsStationaryLiquid_Data(), Table_Fuel_EFs_StationaryLiquid[[#Headers],[Fuel combusted]],0)</f>
        <v>kL</v>
      </c>
      <c r="G65" s="26" cm="1">
        <f t="array" ref="G65">Common_InputFunctions.Utility_DisplayArrayInTable(Fuel_SourceData.Fuel_Scope1Scope3EmissionFactorsStationaryLiquid_Data(), Table_Fuel_EFs_StationaryLiquid[[#Headers],[Fuel combusted]],0)</f>
        <v>69.7</v>
      </c>
      <c r="H65" s="26" cm="1">
        <f t="array" ref="H65">Common_InputFunctions.Utility_DisplayArrayInTable(Fuel_SourceData.Fuel_Scope1Scope3EmissionFactorsStationaryLiquid_Data(), Table_Fuel_EFs_StationaryLiquid[[#Headers],[Fuel combusted]],0)</f>
        <v>0.03</v>
      </c>
      <c r="I65" s="26" cm="1">
        <f t="array" ref="I65">Common_InputFunctions.Utility_DisplayArrayInTable(Fuel_SourceData.Fuel_Scope1Scope3EmissionFactorsStationaryLiquid_Data(), Table_Fuel_EFs_StationaryLiquid[[#Headers],[Fuel combusted]],0)</f>
        <v>0.2</v>
      </c>
      <c r="J65" s="26" cm="1">
        <f t="array" ref="J65">Common_InputFunctions.Utility_DisplayArrayInTable(Fuel_SourceData.Fuel_Scope1Scope3EmissionFactorsStationaryLiquid_Data(), Table_Fuel_EFs_StationaryLiquid[[#Headers],[Fuel combusted]],0)</f>
        <v>69.930000000000007</v>
      </c>
      <c r="K65" s="26" cm="1">
        <f t="array" ref="K65">Common_InputFunctions.Utility_DisplayArrayInTable(Fuel_SourceData.Fuel_Scope1Scope3EmissionFactorsStationaryLiquid_Data(), Table_Fuel_EFs_StationaryLiquid[[#Headers],[Fuel combusted]],0)</f>
        <v>18</v>
      </c>
      <c r="L65" s="17"/>
    </row>
    <row r="66" spans="1:13" ht="20.100000000000001" customHeight="1" x14ac:dyDescent="0.25">
      <c r="A66"/>
      <c r="D66" s="26" t="str" cm="1">
        <f t="array" ref="D66">Common_InputFunctions.Utility_DisplayArrayInTable(Fuel_SourceData.Fuel_Scope1Scope3EmissionFactorsStationaryLiquid_Data(), Table_Fuel_EFs_StationaryLiquid[[#Headers],[Fuel combusted]],0)</f>
        <v>Solvents: mineral turpentine or white spirits</v>
      </c>
      <c r="E66" s="26" cm="1">
        <f t="array" ref="E66">Common_InputFunctions.Utility_DisplayArrayInTable(Fuel_SourceData.Fuel_Scope1Scope3EmissionFactorsStationaryLiquid_Data(), Table_Fuel_EFs_StationaryLiquid[[#Headers],[Fuel combusted]],0)</f>
        <v>34.4</v>
      </c>
      <c r="F66" s="26" t="str" cm="1">
        <f t="array" ref="F66">Common_InputFunctions.Utility_DisplayArrayInTable(Fuel_SourceData.Fuel_Scope1Scope3EmissionFactorsStationaryLiquid_Data(), Table_Fuel_EFs_StationaryLiquid[[#Headers],[Fuel combusted]],0)</f>
        <v>kL</v>
      </c>
      <c r="G66" s="26" cm="1">
        <f t="array" ref="G66">Common_InputFunctions.Utility_DisplayArrayInTable(Fuel_SourceData.Fuel_Scope1Scope3EmissionFactorsStationaryLiquid_Data(), Table_Fuel_EFs_StationaryLiquid[[#Headers],[Fuel combusted]],0)</f>
        <v>69.7</v>
      </c>
      <c r="H66" s="26" cm="1">
        <f t="array" ref="H66">Common_InputFunctions.Utility_DisplayArrayInTable(Fuel_SourceData.Fuel_Scope1Scope3EmissionFactorsStationaryLiquid_Data(), Table_Fuel_EFs_StationaryLiquid[[#Headers],[Fuel combusted]],0)</f>
        <v>0.03</v>
      </c>
      <c r="I66" s="26" cm="1">
        <f t="array" ref="I66">Common_InputFunctions.Utility_DisplayArrayInTable(Fuel_SourceData.Fuel_Scope1Scope3EmissionFactorsStationaryLiquid_Data(), Table_Fuel_EFs_StationaryLiquid[[#Headers],[Fuel combusted]],0)</f>
        <v>0.2</v>
      </c>
      <c r="J66" s="26" cm="1">
        <f t="array" ref="J66">Common_InputFunctions.Utility_DisplayArrayInTable(Fuel_SourceData.Fuel_Scope1Scope3EmissionFactorsStationaryLiquid_Data(), Table_Fuel_EFs_StationaryLiquid[[#Headers],[Fuel combusted]],0)</f>
        <v>69.930000000000007</v>
      </c>
      <c r="K66" s="26" cm="1">
        <f t="array" ref="K66">Common_InputFunctions.Utility_DisplayArrayInTable(Fuel_SourceData.Fuel_Scope1Scope3EmissionFactorsStationaryLiquid_Data(), Table_Fuel_EFs_StationaryLiquid[[#Headers],[Fuel combusted]],0)</f>
        <v>18</v>
      </c>
      <c r="L66" s="17"/>
    </row>
    <row r="67" spans="1:13" ht="20.100000000000001" customHeight="1" x14ac:dyDescent="0.25">
      <c r="A67"/>
      <c r="D67" s="26" t="str" cm="1">
        <f t="array" ref="D67">Common_InputFunctions.Utility_DisplayArrayInTable(Fuel_SourceData.Fuel_Scope1Scope3EmissionFactorsStationaryLiquid_Data(), Table_Fuel_EFs_StationaryLiquid[[#Headers],[Fuel combusted]],0)</f>
        <v>Liquefied petroleum gas (LPG)</v>
      </c>
      <c r="E67" s="26" cm="1">
        <f t="array" ref="E67">Common_InputFunctions.Utility_DisplayArrayInTable(Fuel_SourceData.Fuel_Scope1Scope3EmissionFactorsStationaryLiquid_Data(), Table_Fuel_EFs_StationaryLiquid[[#Headers],[Fuel combusted]],0)</f>
        <v>25.7</v>
      </c>
      <c r="F67" s="26" t="str" cm="1">
        <f t="array" ref="F67">Common_InputFunctions.Utility_DisplayArrayInTable(Fuel_SourceData.Fuel_Scope1Scope3EmissionFactorsStationaryLiquid_Data(), Table_Fuel_EFs_StationaryLiquid[[#Headers],[Fuel combusted]],0)</f>
        <v>kL</v>
      </c>
      <c r="G67" s="26" cm="1">
        <f t="array" ref="G67">Common_InputFunctions.Utility_DisplayArrayInTable(Fuel_SourceData.Fuel_Scope1Scope3EmissionFactorsStationaryLiquid_Data(), Table_Fuel_EFs_StationaryLiquid[[#Headers],[Fuel combusted]],0)</f>
        <v>60.2</v>
      </c>
      <c r="H67" s="26" cm="1">
        <f t="array" ref="H67">Common_InputFunctions.Utility_DisplayArrayInTable(Fuel_SourceData.Fuel_Scope1Scope3EmissionFactorsStationaryLiquid_Data(), Table_Fuel_EFs_StationaryLiquid[[#Headers],[Fuel combusted]],0)</f>
        <v>0.2</v>
      </c>
      <c r="I67" s="26" cm="1">
        <f t="array" ref="I67">Common_InputFunctions.Utility_DisplayArrayInTable(Fuel_SourceData.Fuel_Scope1Scope3EmissionFactorsStationaryLiquid_Data(), Table_Fuel_EFs_StationaryLiquid[[#Headers],[Fuel combusted]],0)</f>
        <v>0.2</v>
      </c>
      <c r="J67" s="26" cm="1">
        <f t="array" ref="J67">Common_InputFunctions.Utility_DisplayArrayInTable(Fuel_SourceData.Fuel_Scope1Scope3EmissionFactorsStationaryLiquid_Data(), Table_Fuel_EFs_StationaryLiquid[[#Headers],[Fuel combusted]],0)</f>
        <v>60.6</v>
      </c>
      <c r="K67" s="26" cm="1">
        <f t="array" ref="K67">Common_InputFunctions.Utility_DisplayArrayInTable(Fuel_SourceData.Fuel_Scope1Scope3EmissionFactorsStationaryLiquid_Data(), Table_Fuel_EFs_StationaryLiquid[[#Headers],[Fuel combusted]],0)</f>
        <v>20.2</v>
      </c>
      <c r="L67" s="17"/>
    </row>
    <row r="68" spans="1:13" ht="20.100000000000001" customHeight="1" x14ac:dyDescent="0.25">
      <c r="A68"/>
      <c r="D68" s="26" t="str" cm="1">
        <f t="array" ref="D68">Common_InputFunctions.Utility_DisplayArrayInTable(Fuel_SourceData.Fuel_Scope1Scope3EmissionFactorsStationaryLiquid_Data(), Table_Fuel_EFs_StationaryLiquid[[#Headers],[Fuel combusted]],0)</f>
        <v>Naphtha</v>
      </c>
      <c r="E68" s="26" cm="1">
        <f t="array" ref="E68">Common_InputFunctions.Utility_DisplayArrayInTable(Fuel_SourceData.Fuel_Scope1Scope3EmissionFactorsStationaryLiquid_Data(), Table_Fuel_EFs_StationaryLiquid[[#Headers],[Fuel combusted]],0)</f>
        <v>31.4</v>
      </c>
      <c r="F68" s="26" t="str" cm="1">
        <f t="array" ref="F68">Common_InputFunctions.Utility_DisplayArrayInTable(Fuel_SourceData.Fuel_Scope1Scope3EmissionFactorsStationaryLiquid_Data(), Table_Fuel_EFs_StationaryLiquid[[#Headers],[Fuel combusted]],0)</f>
        <v>kL</v>
      </c>
      <c r="G68" s="26" cm="1">
        <f t="array" ref="G68">Common_InputFunctions.Utility_DisplayArrayInTable(Fuel_SourceData.Fuel_Scope1Scope3EmissionFactorsStationaryLiquid_Data(), Table_Fuel_EFs_StationaryLiquid[[#Headers],[Fuel combusted]],0)</f>
        <v>69.8</v>
      </c>
      <c r="H68" s="26" cm="1">
        <f t="array" ref="H68">Common_InputFunctions.Utility_DisplayArrayInTable(Fuel_SourceData.Fuel_Scope1Scope3EmissionFactorsStationaryLiquid_Data(), Table_Fuel_EFs_StationaryLiquid[[#Headers],[Fuel combusted]],0)</f>
        <v>0.01</v>
      </c>
      <c r="I68" s="26" cm="1">
        <f t="array" ref="I68">Common_InputFunctions.Utility_DisplayArrayInTable(Fuel_SourceData.Fuel_Scope1Scope3EmissionFactorsStationaryLiquid_Data(), Table_Fuel_EFs_StationaryLiquid[[#Headers],[Fuel combusted]],0)</f>
        <v>0.01</v>
      </c>
      <c r="J68" s="26" cm="1">
        <f t="array" ref="J68">Common_InputFunctions.Utility_DisplayArrayInTable(Fuel_SourceData.Fuel_Scope1Scope3EmissionFactorsStationaryLiquid_Data(), Table_Fuel_EFs_StationaryLiquid[[#Headers],[Fuel combusted]],0)</f>
        <v>69.819999999999993</v>
      </c>
      <c r="K68" s="26" cm="1">
        <f t="array" ref="K68">Common_InputFunctions.Utility_DisplayArrayInTable(Fuel_SourceData.Fuel_Scope1Scope3EmissionFactorsStationaryLiquid_Data(), Table_Fuel_EFs_StationaryLiquid[[#Headers],[Fuel combusted]],0)</f>
        <v>18</v>
      </c>
      <c r="L68" s="17"/>
    </row>
    <row r="69" spans="1:13" ht="20.100000000000001" customHeight="1" x14ac:dyDescent="0.25">
      <c r="A69"/>
      <c r="D69" s="26" t="str" cm="1">
        <f t="array" ref="D69">Common_InputFunctions.Utility_DisplayArrayInTable(Fuel_SourceData.Fuel_Scope1Scope3EmissionFactorsStationaryLiquid_Data(), Table_Fuel_EFs_StationaryLiquid[[#Headers],[Fuel combusted]],0)</f>
        <v>Petroleum coke</v>
      </c>
      <c r="E69" s="26" cm="1">
        <f t="array" ref="E69">Common_InputFunctions.Utility_DisplayArrayInTable(Fuel_SourceData.Fuel_Scope1Scope3EmissionFactorsStationaryLiquid_Data(), Table_Fuel_EFs_StationaryLiquid[[#Headers],[Fuel combusted]],0)</f>
        <v>34.200000000000003</v>
      </c>
      <c r="F69" s="26" t="str" cm="1">
        <f t="array" ref="F69">Common_InputFunctions.Utility_DisplayArrayInTable(Fuel_SourceData.Fuel_Scope1Scope3EmissionFactorsStationaryLiquid_Data(), Table_Fuel_EFs_StationaryLiquid[[#Headers],[Fuel combusted]],0)</f>
        <v>t</v>
      </c>
      <c r="G69" s="26" cm="1">
        <f t="array" ref="G69">Common_InputFunctions.Utility_DisplayArrayInTable(Fuel_SourceData.Fuel_Scope1Scope3EmissionFactorsStationaryLiquid_Data(), Table_Fuel_EFs_StationaryLiquid[[#Headers],[Fuel combusted]],0)</f>
        <v>92.6</v>
      </c>
      <c r="H69" s="26" cm="1">
        <f t="array" ref="H69">Common_InputFunctions.Utility_DisplayArrayInTable(Fuel_SourceData.Fuel_Scope1Scope3EmissionFactorsStationaryLiquid_Data(), Table_Fuel_EFs_StationaryLiquid[[#Headers],[Fuel combusted]],0)</f>
        <v>0.08</v>
      </c>
      <c r="I69" s="26" cm="1">
        <f t="array" ref="I69">Common_InputFunctions.Utility_DisplayArrayInTable(Fuel_SourceData.Fuel_Scope1Scope3EmissionFactorsStationaryLiquid_Data(), Table_Fuel_EFs_StationaryLiquid[[#Headers],[Fuel combusted]],0)</f>
        <v>0.2</v>
      </c>
      <c r="J69" s="26" cm="1">
        <f t="array" ref="J69">Common_InputFunctions.Utility_DisplayArrayInTable(Fuel_SourceData.Fuel_Scope1Scope3EmissionFactorsStationaryLiquid_Data(), Table_Fuel_EFs_StationaryLiquid[[#Headers],[Fuel combusted]],0)</f>
        <v>92.88</v>
      </c>
      <c r="K69" s="26" cm="1">
        <f t="array" ref="K69">Common_InputFunctions.Utility_DisplayArrayInTable(Fuel_SourceData.Fuel_Scope1Scope3EmissionFactorsStationaryLiquid_Data(), Table_Fuel_EFs_StationaryLiquid[[#Headers],[Fuel combusted]],0)</f>
        <v>18</v>
      </c>
      <c r="L69" s="17"/>
    </row>
    <row r="70" spans="1:13" ht="20.100000000000001" customHeight="1" x14ac:dyDescent="0.25">
      <c r="A70"/>
      <c r="D70" s="26" t="str" cm="1">
        <f t="array" ref="D70">Common_InputFunctions.Utility_DisplayArrayInTable(Fuel_SourceData.Fuel_Scope1Scope3EmissionFactorsStationaryLiquid_Data(), Table_Fuel_EFs_StationaryLiquid[[#Headers],[Fuel combusted]],0)</f>
        <v>Refinery gas and liquids</v>
      </c>
      <c r="E70" s="26" cm="1">
        <f t="array" ref="E70">Common_InputFunctions.Utility_DisplayArrayInTable(Fuel_SourceData.Fuel_Scope1Scope3EmissionFactorsStationaryLiquid_Data(), Table_Fuel_EFs_StationaryLiquid[[#Headers],[Fuel combusted]],0)</f>
        <v>42.9</v>
      </c>
      <c r="F70" s="26" t="str" cm="1">
        <f t="array" ref="F70">Common_InputFunctions.Utility_DisplayArrayInTable(Fuel_SourceData.Fuel_Scope1Scope3EmissionFactorsStationaryLiquid_Data(), Table_Fuel_EFs_StationaryLiquid[[#Headers],[Fuel combusted]],0)</f>
        <v>t</v>
      </c>
      <c r="G70" s="26" cm="1">
        <f t="array" ref="G70">Common_InputFunctions.Utility_DisplayArrayInTable(Fuel_SourceData.Fuel_Scope1Scope3EmissionFactorsStationaryLiquid_Data(), Table_Fuel_EFs_StationaryLiquid[[#Headers],[Fuel combusted]],0)</f>
        <v>54.7</v>
      </c>
      <c r="H70" s="26" cm="1">
        <f t="array" ref="H70">Common_InputFunctions.Utility_DisplayArrayInTable(Fuel_SourceData.Fuel_Scope1Scope3EmissionFactorsStationaryLiquid_Data(), Table_Fuel_EFs_StationaryLiquid[[#Headers],[Fuel combusted]],0)</f>
        <v>0.03</v>
      </c>
      <c r="I70" s="26" cm="1">
        <f t="array" ref="I70">Common_InputFunctions.Utility_DisplayArrayInTable(Fuel_SourceData.Fuel_Scope1Scope3EmissionFactorsStationaryLiquid_Data(), Table_Fuel_EFs_StationaryLiquid[[#Headers],[Fuel combusted]],0)</f>
        <v>0.03</v>
      </c>
      <c r="J70" s="26" cm="1">
        <f t="array" ref="J70">Common_InputFunctions.Utility_DisplayArrayInTable(Fuel_SourceData.Fuel_Scope1Scope3EmissionFactorsStationaryLiquid_Data(), Table_Fuel_EFs_StationaryLiquid[[#Headers],[Fuel combusted]],0)</f>
        <v>54.76</v>
      </c>
      <c r="K70" s="26" cm="1">
        <f t="array" ref="K70">Common_InputFunctions.Utility_DisplayArrayInTable(Fuel_SourceData.Fuel_Scope1Scope3EmissionFactorsStationaryLiquid_Data(), Table_Fuel_EFs_StationaryLiquid[[#Headers],[Fuel combusted]],0)</f>
        <v>18</v>
      </c>
      <c r="L70" s="17"/>
    </row>
    <row r="71" spans="1:13" ht="20.100000000000001" customHeight="1" x14ac:dyDescent="0.25">
      <c r="A71"/>
      <c r="D71" s="26" t="str" cm="1">
        <f t="array" ref="D71">Common_InputFunctions.Utility_DisplayArrayInTable(Fuel_SourceData.Fuel_Scope1Scope3EmissionFactorsStationaryLiquid_Data(), Table_Fuel_EFs_StationaryLiquid[[#Headers],[Fuel combusted]],0)</f>
        <v>Refinery coke</v>
      </c>
      <c r="E71" s="26" cm="1">
        <f t="array" ref="E71">Common_InputFunctions.Utility_DisplayArrayInTable(Fuel_SourceData.Fuel_Scope1Scope3EmissionFactorsStationaryLiquid_Data(), Table_Fuel_EFs_StationaryLiquid[[#Headers],[Fuel combusted]],0)</f>
        <v>34.200000000000003</v>
      </c>
      <c r="F71" s="26" t="str" cm="1">
        <f t="array" ref="F71">Common_InputFunctions.Utility_DisplayArrayInTable(Fuel_SourceData.Fuel_Scope1Scope3EmissionFactorsStationaryLiquid_Data(), Table_Fuel_EFs_StationaryLiquid[[#Headers],[Fuel combusted]],0)</f>
        <v>t</v>
      </c>
      <c r="G71" s="26" cm="1">
        <f t="array" ref="G71">Common_InputFunctions.Utility_DisplayArrayInTable(Fuel_SourceData.Fuel_Scope1Scope3EmissionFactorsStationaryLiquid_Data(), Table_Fuel_EFs_StationaryLiquid[[#Headers],[Fuel combusted]],0)</f>
        <v>92.6</v>
      </c>
      <c r="H71" s="26" cm="1">
        <f t="array" ref="H71">Common_InputFunctions.Utility_DisplayArrayInTable(Fuel_SourceData.Fuel_Scope1Scope3EmissionFactorsStationaryLiquid_Data(), Table_Fuel_EFs_StationaryLiquid[[#Headers],[Fuel combusted]],0)</f>
        <v>0.08</v>
      </c>
      <c r="I71" s="26" cm="1">
        <f t="array" ref="I71">Common_InputFunctions.Utility_DisplayArrayInTable(Fuel_SourceData.Fuel_Scope1Scope3EmissionFactorsStationaryLiquid_Data(), Table_Fuel_EFs_StationaryLiquid[[#Headers],[Fuel combusted]],0)</f>
        <v>0.2</v>
      </c>
      <c r="J71" s="26" cm="1">
        <f t="array" ref="J71">Common_InputFunctions.Utility_DisplayArrayInTable(Fuel_SourceData.Fuel_Scope1Scope3EmissionFactorsStationaryLiquid_Data(), Table_Fuel_EFs_StationaryLiquid[[#Headers],[Fuel combusted]],0)</f>
        <v>92.88</v>
      </c>
      <c r="K71" s="26" cm="1">
        <f t="array" ref="K71">Common_InputFunctions.Utility_DisplayArrayInTable(Fuel_SourceData.Fuel_Scope1Scope3EmissionFactorsStationaryLiquid_Data(), Table_Fuel_EFs_StationaryLiquid[[#Headers],[Fuel combusted]],0)</f>
        <v>18</v>
      </c>
      <c r="L71" s="17"/>
    </row>
    <row r="72" spans="1:13" ht="20.100000000000001" customHeight="1" x14ac:dyDescent="0.25">
      <c r="A72"/>
      <c r="D72" s="26" t="str" cm="1">
        <f t="array" ref="D72">Common_InputFunctions.Utility_DisplayArrayInTable(Fuel_SourceData.Fuel_Scope1Scope3EmissionFactorsStationaryLiquid_Data(), Table_Fuel_EFs_StationaryLiquid[[#Headers],[Fuel combusted]],0)</f>
        <v>Petroleum based products other than mentioned in the items above</v>
      </c>
      <c r="E72" s="26" cm="1">
        <f t="array" ref="E72">Common_InputFunctions.Utility_DisplayArrayInTable(Fuel_SourceData.Fuel_Scope1Scope3EmissionFactorsStationaryLiquid_Data(), Table_Fuel_EFs_StationaryLiquid[[#Headers],[Fuel combusted]],0)</f>
        <v>34.4</v>
      </c>
      <c r="F72" s="26" t="str" cm="1">
        <f t="array" ref="F72">Common_InputFunctions.Utility_DisplayArrayInTable(Fuel_SourceData.Fuel_Scope1Scope3EmissionFactorsStationaryLiquid_Data(), Table_Fuel_EFs_StationaryLiquid[[#Headers],[Fuel combusted]],0)</f>
        <v>kL</v>
      </c>
      <c r="G72" s="26" cm="1">
        <f t="array" ref="G72">Common_InputFunctions.Utility_DisplayArrayInTable(Fuel_SourceData.Fuel_Scope1Scope3EmissionFactorsStationaryLiquid_Data(), Table_Fuel_EFs_StationaryLiquid[[#Headers],[Fuel combusted]],0)</f>
        <v>69.8</v>
      </c>
      <c r="H72" s="26" cm="1">
        <f t="array" ref="H72">Common_InputFunctions.Utility_DisplayArrayInTable(Fuel_SourceData.Fuel_Scope1Scope3EmissionFactorsStationaryLiquid_Data(), Table_Fuel_EFs_StationaryLiquid[[#Headers],[Fuel combusted]],0)</f>
        <v>0.02</v>
      </c>
      <c r="I72" s="26" cm="1">
        <f t="array" ref="I72">Common_InputFunctions.Utility_DisplayArrayInTable(Fuel_SourceData.Fuel_Scope1Scope3EmissionFactorsStationaryLiquid_Data(), Table_Fuel_EFs_StationaryLiquid[[#Headers],[Fuel combusted]],0)</f>
        <v>0.1</v>
      </c>
      <c r="J72" s="26" cm="1">
        <f t="array" ref="J72">Common_InputFunctions.Utility_DisplayArrayInTable(Fuel_SourceData.Fuel_Scope1Scope3EmissionFactorsStationaryLiquid_Data(), Table_Fuel_EFs_StationaryLiquid[[#Headers],[Fuel combusted]],0)</f>
        <v>69.92</v>
      </c>
      <c r="K72" s="26" cm="1">
        <f t="array" ref="K72">Common_InputFunctions.Utility_DisplayArrayInTable(Fuel_SourceData.Fuel_Scope1Scope3EmissionFactorsStationaryLiquid_Data(), Table_Fuel_EFs_StationaryLiquid[[#Headers],[Fuel combusted]],0)</f>
        <v>18</v>
      </c>
      <c r="L72" s="17"/>
    </row>
    <row r="73" spans="1:13" ht="20.100000000000001" customHeight="1" x14ac:dyDescent="0.25">
      <c r="A73"/>
      <c r="D73" s="26" t="str" cm="1">
        <f t="array" ref="D73">Common_InputFunctions.Utility_DisplayArrayInTable(Fuel_SourceData.Fuel_Scope1Scope3EmissionFactorsStationaryLiquid_Data(), Table_Fuel_EFs_StationaryLiquid[[#Headers],[Fuel combusted]],0)</f>
        <v>Biodiesel</v>
      </c>
      <c r="E73" s="26" cm="1">
        <f t="array" ref="E73">Common_InputFunctions.Utility_DisplayArrayInTable(Fuel_SourceData.Fuel_Scope1Scope3EmissionFactorsStationaryLiquid_Data(), Table_Fuel_EFs_StationaryLiquid[[#Headers],[Fuel combusted]],0)</f>
        <v>34.6</v>
      </c>
      <c r="F73" s="26" t="str" cm="1">
        <f t="array" ref="F73">Common_InputFunctions.Utility_DisplayArrayInTable(Fuel_SourceData.Fuel_Scope1Scope3EmissionFactorsStationaryLiquid_Data(), Table_Fuel_EFs_StationaryLiquid[[#Headers],[Fuel combusted]],0)</f>
        <v>kL</v>
      </c>
      <c r="G73" s="26" cm="1">
        <f t="array" ref="G73">Common_InputFunctions.Utility_DisplayArrayInTable(Fuel_SourceData.Fuel_Scope1Scope3EmissionFactorsStationaryLiquid_Data(), Table_Fuel_EFs_StationaryLiquid[[#Headers],[Fuel combusted]],0)</f>
        <v>0</v>
      </c>
      <c r="H73" s="26" cm="1">
        <f t="array" ref="H73">Common_InputFunctions.Utility_DisplayArrayInTable(Fuel_SourceData.Fuel_Scope1Scope3EmissionFactorsStationaryLiquid_Data(), Table_Fuel_EFs_StationaryLiquid[[#Headers],[Fuel combusted]],0)</f>
        <v>0.08</v>
      </c>
      <c r="I73" s="26" cm="1">
        <f t="array" ref="I73">Common_InputFunctions.Utility_DisplayArrayInTable(Fuel_SourceData.Fuel_Scope1Scope3EmissionFactorsStationaryLiquid_Data(), Table_Fuel_EFs_StationaryLiquid[[#Headers],[Fuel combusted]],0)</f>
        <v>0.2</v>
      </c>
      <c r="J73" s="26" cm="1">
        <f t="array" ref="J73">Common_InputFunctions.Utility_DisplayArrayInTable(Fuel_SourceData.Fuel_Scope1Scope3EmissionFactorsStationaryLiquid_Data(), Table_Fuel_EFs_StationaryLiquid[[#Headers],[Fuel combusted]],0)</f>
        <v>0.28000000000000003</v>
      </c>
      <c r="K73" s="26" t="str" cm="1">
        <f t="array" ref="K73">Common_InputFunctions.Utility_DisplayArrayInTable(Fuel_SourceData.Fuel_Scope1Scope3EmissionFactorsStationaryLiquid_Data(), Table_Fuel_EFs_StationaryLiquid[[#Headers],[Fuel combusted]],0)</f>
        <v>NE</v>
      </c>
      <c r="L73" s="17"/>
    </row>
    <row r="74" spans="1:13" ht="20.100000000000001" customHeight="1" x14ac:dyDescent="0.25">
      <c r="A74"/>
      <c r="D74" s="26" t="str" cm="1">
        <f t="array" ref="D74">Common_InputFunctions.Utility_DisplayArrayInTable(Fuel_SourceData.Fuel_Scope1Scope3EmissionFactorsStationaryLiquid_Data(), Table_Fuel_EFs_StationaryLiquid[[#Headers],[Fuel combusted]],0)</f>
        <v>Ethanol for use as a fuel in an internal combustion engine</v>
      </c>
      <c r="E74" s="26" cm="1">
        <f t="array" ref="E74">Common_InputFunctions.Utility_DisplayArrayInTable(Fuel_SourceData.Fuel_Scope1Scope3EmissionFactorsStationaryLiquid_Data(), Table_Fuel_EFs_StationaryLiquid[[#Headers],[Fuel combusted]],0)</f>
        <v>23.4</v>
      </c>
      <c r="F74" s="26" t="str" cm="1">
        <f t="array" ref="F74">Common_InputFunctions.Utility_DisplayArrayInTable(Fuel_SourceData.Fuel_Scope1Scope3EmissionFactorsStationaryLiquid_Data(), Table_Fuel_EFs_StationaryLiquid[[#Headers],[Fuel combusted]],0)</f>
        <v>kL</v>
      </c>
      <c r="G74" s="26" cm="1">
        <f t="array" ref="G74">Common_InputFunctions.Utility_DisplayArrayInTable(Fuel_SourceData.Fuel_Scope1Scope3EmissionFactorsStationaryLiquid_Data(), Table_Fuel_EFs_StationaryLiquid[[#Headers],[Fuel combusted]],0)</f>
        <v>0</v>
      </c>
      <c r="H74" s="26" cm="1">
        <f t="array" ref="H74">Common_InputFunctions.Utility_DisplayArrayInTable(Fuel_SourceData.Fuel_Scope1Scope3EmissionFactorsStationaryLiquid_Data(), Table_Fuel_EFs_StationaryLiquid[[#Headers],[Fuel combusted]],0)</f>
        <v>0.08</v>
      </c>
      <c r="I74" s="26" cm="1">
        <f t="array" ref="I74">Common_InputFunctions.Utility_DisplayArrayInTable(Fuel_SourceData.Fuel_Scope1Scope3EmissionFactorsStationaryLiquid_Data(), Table_Fuel_EFs_StationaryLiquid[[#Headers],[Fuel combusted]],0)</f>
        <v>0.2</v>
      </c>
      <c r="J74" s="26" cm="1">
        <f t="array" ref="J74">Common_InputFunctions.Utility_DisplayArrayInTable(Fuel_SourceData.Fuel_Scope1Scope3EmissionFactorsStationaryLiquid_Data(), Table_Fuel_EFs_StationaryLiquid[[#Headers],[Fuel combusted]],0)</f>
        <v>0.28000000000000003</v>
      </c>
      <c r="K74" s="26" t="str" cm="1">
        <f t="array" ref="K74">Common_InputFunctions.Utility_DisplayArrayInTable(Fuel_SourceData.Fuel_Scope1Scope3EmissionFactorsStationaryLiquid_Data(), Table_Fuel_EFs_StationaryLiquid[[#Headers],[Fuel combusted]],0)</f>
        <v>NE</v>
      </c>
      <c r="L74" s="17"/>
    </row>
    <row r="75" spans="1:13" ht="20.100000000000001" customHeight="1" x14ac:dyDescent="0.25">
      <c r="A75"/>
      <c r="D75" s="26" t="str" cm="1">
        <f t="array" ref="D75">Common_InputFunctions.Utility_DisplayArrayInTable(Fuel_SourceData.Fuel_Scope1Scope3EmissionFactorsStationaryLiquid_Data(), Table_Fuel_EFs_StationaryLiquid[[#Headers],[Fuel combusted]],0)</f>
        <v>Biofuels other than those mentioned in the items above and below</v>
      </c>
      <c r="E75" s="26" cm="1">
        <f t="array" ref="E75">Common_InputFunctions.Utility_DisplayArrayInTable(Fuel_SourceData.Fuel_Scope1Scope3EmissionFactorsStationaryLiquid_Data(), Table_Fuel_EFs_StationaryLiquid[[#Headers],[Fuel combusted]],0)</f>
        <v>23.4</v>
      </c>
      <c r="F75" s="26" t="str" cm="1">
        <f t="array" ref="F75">Common_InputFunctions.Utility_DisplayArrayInTable(Fuel_SourceData.Fuel_Scope1Scope3EmissionFactorsStationaryLiquid_Data(), Table_Fuel_EFs_StationaryLiquid[[#Headers],[Fuel combusted]],0)</f>
        <v>kL</v>
      </c>
      <c r="G75" s="26" cm="1">
        <f t="array" ref="G75">Common_InputFunctions.Utility_DisplayArrayInTable(Fuel_SourceData.Fuel_Scope1Scope3EmissionFactorsStationaryLiquid_Data(), Table_Fuel_EFs_StationaryLiquid[[#Headers],[Fuel combusted]],0)</f>
        <v>0</v>
      </c>
      <c r="H75" s="26" cm="1">
        <f t="array" ref="H75">Common_InputFunctions.Utility_DisplayArrayInTable(Fuel_SourceData.Fuel_Scope1Scope3EmissionFactorsStationaryLiquid_Data(), Table_Fuel_EFs_StationaryLiquid[[#Headers],[Fuel combusted]],0)</f>
        <v>0.08</v>
      </c>
      <c r="I75" s="26" cm="1">
        <f t="array" ref="I75">Common_InputFunctions.Utility_DisplayArrayInTable(Fuel_SourceData.Fuel_Scope1Scope3EmissionFactorsStationaryLiquid_Data(), Table_Fuel_EFs_StationaryLiquid[[#Headers],[Fuel combusted]],0)</f>
        <v>0.2</v>
      </c>
      <c r="J75" s="26" cm="1">
        <f t="array" ref="J75">Common_InputFunctions.Utility_DisplayArrayInTable(Fuel_SourceData.Fuel_Scope1Scope3EmissionFactorsStationaryLiquid_Data(), Table_Fuel_EFs_StationaryLiquid[[#Headers],[Fuel combusted]],0)</f>
        <v>0.28000000000000003</v>
      </c>
      <c r="K75" s="26" t="str" cm="1">
        <f t="array" ref="K75">Common_InputFunctions.Utility_DisplayArrayInTable(Fuel_SourceData.Fuel_Scope1Scope3EmissionFactorsStationaryLiquid_Data(), Table_Fuel_EFs_StationaryLiquid[[#Headers],[Fuel combusted]],0)</f>
        <v>NE</v>
      </c>
      <c r="L75" s="17"/>
    </row>
    <row r="76" spans="1:13" ht="20.100000000000001" customHeight="1" x14ac:dyDescent="0.25">
      <c r="A76"/>
      <c r="D76" s="26" t="str" cm="1">
        <f t="array" ref="D76">Common_InputFunctions.Utility_DisplayArrayInTable(Fuel_SourceData.Fuel_Scope1Scope3EmissionFactorsStationaryLiquid_Data(), Table_Fuel_EFs_StationaryLiquid[[#Headers],[Fuel combusted]],0)</f>
        <v>Renewable aviation kerosene</v>
      </c>
      <c r="E76" s="26" cm="1">
        <f t="array" ref="E76">Common_InputFunctions.Utility_DisplayArrayInTable(Fuel_SourceData.Fuel_Scope1Scope3EmissionFactorsStationaryLiquid_Data(), Table_Fuel_EFs_StationaryLiquid[[#Headers],[Fuel combusted]],0)</f>
        <v>36.799999999999997</v>
      </c>
      <c r="F76" s="26" t="str" cm="1">
        <f t="array" ref="F76">Common_InputFunctions.Utility_DisplayArrayInTable(Fuel_SourceData.Fuel_Scope1Scope3EmissionFactorsStationaryLiquid_Data(), Table_Fuel_EFs_StationaryLiquid[[#Headers],[Fuel combusted]],0)</f>
        <v>kL</v>
      </c>
      <c r="G76" s="26" cm="1">
        <f t="array" ref="G76">Common_InputFunctions.Utility_DisplayArrayInTable(Fuel_SourceData.Fuel_Scope1Scope3EmissionFactorsStationaryLiquid_Data(), Table_Fuel_EFs_StationaryLiquid[[#Headers],[Fuel combusted]],0)</f>
        <v>0</v>
      </c>
      <c r="H76" s="26" cm="1">
        <f t="array" ref="H76">Common_InputFunctions.Utility_DisplayArrayInTable(Fuel_SourceData.Fuel_Scope1Scope3EmissionFactorsStationaryLiquid_Data(), Table_Fuel_EFs_StationaryLiquid[[#Headers],[Fuel combusted]],0)</f>
        <v>0.02</v>
      </c>
      <c r="I76" s="26" cm="1">
        <f t="array" ref="I76">Common_InputFunctions.Utility_DisplayArrayInTable(Fuel_SourceData.Fuel_Scope1Scope3EmissionFactorsStationaryLiquid_Data(), Table_Fuel_EFs_StationaryLiquid[[#Headers],[Fuel combusted]],0)</f>
        <v>0.2</v>
      </c>
      <c r="J76" s="26" cm="1">
        <f t="array" ref="J76">Common_InputFunctions.Utility_DisplayArrayInTable(Fuel_SourceData.Fuel_Scope1Scope3EmissionFactorsStationaryLiquid_Data(), Table_Fuel_EFs_StationaryLiquid[[#Headers],[Fuel combusted]],0)</f>
        <v>0.22</v>
      </c>
      <c r="K76" s="26" t="str" cm="1">
        <f t="array" ref="K76">Common_InputFunctions.Utility_DisplayArrayInTable(Fuel_SourceData.Fuel_Scope1Scope3EmissionFactorsStationaryLiquid_Data(), Table_Fuel_EFs_StationaryLiquid[[#Headers],[Fuel combusted]],0)</f>
        <v>NE</v>
      </c>
      <c r="L76" s="17"/>
    </row>
    <row r="77" spans="1:13" ht="20.100000000000001" customHeight="1" x14ac:dyDescent="0.25">
      <c r="A77"/>
      <c r="D77" s="26" t="str" cm="1">
        <f t="array" ref="D77">Common_InputFunctions.Utility_DisplayArrayInTable(Fuel_SourceData.Fuel_Scope1Scope3EmissionFactorsStationaryLiquid_Data(), Table_Fuel_EFs_StationaryLiquid[[#Headers],[Fuel combusted]],0)</f>
        <v>Renewable diesel</v>
      </c>
      <c r="E77" s="26" cm="1">
        <f t="array" ref="E77">Common_InputFunctions.Utility_DisplayArrayInTable(Fuel_SourceData.Fuel_Scope1Scope3EmissionFactorsStationaryLiquid_Data(), Table_Fuel_EFs_StationaryLiquid[[#Headers],[Fuel combusted]],0)</f>
        <v>38.6</v>
      </c>
      <c r="F77" s="26" t="str" cm="1">
        <f t="array" ref="F77">Common_InputFunctions.Utility_DisplayArrayInTable(Fuel_SourceData.Fuel_Scope1Scope3EmissionFactorsStationaryLiquid_Data(), Table_Fuel_EFs_StationaryLiquid[[#Headers],[Fuel combusted]],0)</f>
        <v>kL</v>
      </c>
      <c r="G77" s="26" cm="1">
        <f t="array" ref="G77">Common_InputFunctions.Utility_DisplayArrayInTable(Fuel_SourceData.Fuel_Scope1Scope3EmissionFactorsStationaryLiquid_Data(), Table_Fuel_EFs_StationaryLiquid[[#Headers],[Fuel combusted]],0)</f>
        <v>0</v>
      </c>
      <c r="H77" s="26" cm="1">
        <f t="array" ref="H77">Common_InputFunctions.Utility_DisplayArrayInTable(Fuel_SourceData.Fuel_Scope1Scope3EmissionFactorsStationaryLiquid_Data(), Table_Fuel_EFs_StationaryLiquid[[#Headers],[Fuel combusted]],0)</f>
        <v>0.1</v>
      </c>
      <c r="I77" s="26" cm="1">
        <f t="array" ref="I77">Common_InputFunctions.Utility_DisplayArrayInTable(Fuel_SourceData.Fuel_Scope1Scope3EmissionFactorsStationaryLiquid_Data(), Table_Fuel_EFs_StationaryLiquid[[#Headers],[Fuel combusted]],0)</f>
        <v>0.2</v>
      </c>
      <c r="J77" s="26" cm="1">
        <f t="array" ref="J77">Common_InputFunctions.Utility_DisplayArrayInTable(Fuel_SourceData.Fuel_Scope1Scope3EmissionFactorsStationaryLiquid_Data(), Table_Fuel_EFs_StationaryLiquid[[#Headers],[Fuel combusted]],0)</f>
        <v>0.3</v>
      </c>
      <c r="K77" s="26" t="str" cm="1">
        <f t="array" ref="K77">Common_InputFunctions.Utility_DisplayArrayInTable(Fuel_SourceData.Fuel_Scope1Scope3EmissionFactorsStationaryLiquid_Data(), Table_Fuel_EFs_StationaryLiquid[[#Headers],[Fuel combusted]],0)</f>
        <v>NE</v>
      </c>
      <c r="L77" s="17"/>
    </row>
    <row r="78" spans="1:13" ht="20.100000000000001" customHeight="1" x14ac:dyDescent="0.25">
      <c r="A78"/>
      <c r="D78" s="17"/>
      <c r="E78" s="17"/>
      <c r="F78" s="17"/>
      <c r="G78" s="17"/>
      <c r="H78" s="17"/>
      <c r="I78" s="17"/>
      <c r="J78" s="17"/>
      <c r="K78" s="17"/>
      <c r="L78" s="17"/>
    </row>
    <row r="79" spans="1:13" ht="20.100000000000001" customHeight="1" x14ac:dyDescent="0.25">
      <c r="A79"/>
      <c r="D79" s="17"/>
      <c r="E79" s="17"/>
      <c r="F79" s="17"/>
      <c r="G79" s="17"/>
      <c r="H79" s="17"/>
      <c r="I79" s="17"/>
      <c r="J79" s="17"/>
      <c r="K79" s="17"/>
      <c r="L79" s="17"/>
      <c r="M79" s="17"/>
    </row>
    <row r="80" spans="1:13" ht="20.100000000000001" customHeight="1" x14ac:dyDescent="0.25">
      <c r="A80"/>
      <c r="D80" s="17"/>
      <c r="E80" s="17"/>
      <c r="F80" s="17"/>
      <c r="G80" s="17"/>
      <c r="H80" s="17"/>
      <c r="I80" s="17"/>
      <c r="J80" s="17"/>
      <c r="K80" s="17"/>
      <c r="L80" s="17"/>
      <c r="M80" s="17"/>
    </row>
    <row r="81" spans="1:12" ht="20.100000000000001" customHeight="1" x14ac:dyDescent="0.25">
      <c r="A81"/>
      <c r="D81" s="9" t="str" cm="1">
        <f t="array" ref="D81">Fuel_SourceData.Fuel_Scope1EmissionFactorsStationaryGaseous_Title()</f>
        <v>Fuel scope 1 emission factors - Stationary gaseous fuels</v>
      </c>
      <c r="E81" s="17"/>
      <c r="F81" s="17"/>
      <c r="G81" s="17"/>
      <c r="H81" s="17"/>
      <c r="I81" s="17"/>
      <c r="J81" s="17"/>
      <c r="K81" s="17"/>
      <c r="L81" s="17"/>
    </row>
    <row r="82" spans="1:12" ht="20.100000000000001" customHeight="1" x14ac:dyDescent="0.25">
      <c r="A82"/>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1:12" ht="20.100000000000001" customHeight="1" x14ac:dyDescent="0.25">
      <c r="A83"/>
      <c r="D83" s="11" t="str" cm="1">
        <f t="array" ref="D83">Fuel_SourceData.Fuel_Scope1EmissionFactorsStationaryGaseous_Source()</f>
        <v>Australian National Greenhouse Accounts Factors 2025 - Table 5</v>
      </c>
      <c r="E83" s="17"/>
      <c r="F83" s="17"/>
      <c r="G83" s="17"/>
      <c r="H83" s="17"/>
      <c r="I83" s="17"/>
      <c r="J83" s="17"/>
      <c r="K83" s="17"/>
      <c r="L83" s="17"/>
    </row>
    <row r="84" spans="1:12" ht="20.100000000000001" customHeight="1" x14ac:dyDescent="0.25">
      <c r="A84"/>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1:12" ht="20.100000000000001" customHeight="1" x14ac:dyDescent="0.25">
      <c r="A85"/>
      <c r="D85" s="17"/>
      <c r="E85" s="17"/>
      <c r="F85" s="17"/>
      <c r="G85" s="17"/>
      <c r="H85" s="17"/>
      <c r="I85" s="17"/>
      <c r="J85" s="17"/>
      <c r="K85" s="17"/>
      <c r="L85" s="17"/>
    </row>
    <row r="86" spans="1:12" ht="20.100000000000001" customHeight="1" x14ac:dyDescent="0.25">
      <c r="A86"/>
      <c r="D86" s="25" t="s">
        <v>69</v>
      </c>
      <c r="E86" s="20" t="s">
        <v>70</v>
      </c>
      <c r="F86" s="25" t="s">
        <v>71</v>
      </c>
      <c r="G86" s="20" t="s">
        <v>72</v>
      </c>
      <c r="H86" s="20" t="s">
        <v>73</v>
      </c>
      <c r="I86" s="20" t="s">
        <v>74</v>
      </c>
      <c r="J86" s="20" t="s">
        <v>75</v>
      </c>
      <c r="K86" s="17"/>
      <c r="L86" s="17"/>
    </row>
    <row r="87" spans="1:12" ht="20.100000000000001" customHeight="1" x14ac:dyDescent="0.25">
      <c r="A87"/>
      <c r="D87" s="26" t="str" cm="1">
        <f t="array" ref="D87">Common_InputFunctions.Utility_DisplayArrayInTable(Fuel_SourceData.Fuel_Scope1EmissionFactorsStationaryGaseous_Data(), Table_Fuel_EFs_StationaryGaseous[[#Headers],[Fuel combusted]],0)</f>
        <v>Natural gas distributed in a pipeline</v>
      </c>
      <c r="E87" s="26" cm="1">
        <f t="array" ref="E87">Common_InputFunctions.Utility_DisplayArrayInTable(Fuel_SourceData.Fuel_Scope1EmissionFactorsStationaryGaseous_Data(), Table_Fuel_EFs_StationaryGaseous[[#Headers],[Fuel combusted]],0)</f>
        <v>3.9300000000000002E-2</v>
      </c>
      <c r="F87" s="26" t="str" cm="1">
        <f t="array" ref="F87">Common_InputFunctions.Utility_DisplayArrayInTable(Fuel_SourceData.Fuel_Scope1EmissionFactorsStationaryGaseous_Data(), Table_Fuel_EFs_StationaryGaseous[[#Headers],[Fuel combusted]],0)</f>
        <v>m3</v>
      </c>
      <c r="G87" s="26" cm="1">
        <f t="array" ref="G87">Common_InputFunctions.Utility_DisplayArrayInTable(Fuel_SourceData.Fuel_Scope1EmissionFactorsStationaryGaseous_Data(), Table_Fuel_EFs_StationaryGaseous[[#Headers],[Fuel combusted]],0)</f>
        <v>51.4</v>
      </c>
      <c r="H87" s="26" cm="1">
        <f t="array" ref="H87">Common_InputFunctions.Utility_DisplayArrayInTable(Fuel_SourceData.Fuel_Scope1EmissionFactorsStationaryGaseous_Data(), Table_Fuel_EFs_StationaryGaseous[[#Headers],[Fuel combusted]],0)</f>
        <v>0.1</v>
      </c>
      <c r="I87" s="26" cm="1">
        <f t="array" ref="I87">Common_InputFunctions.Utility_DisplayArrayInTable(Fuel_SourceData.Fuel_Scope1EmissionFactorsStationaryGaseous_Data(), Table_Fuel_EFs_StationaryGaseous[[#Headers],[Fuel combusted]],0)</f>
        <v>0.03</v>
      </c>
      <c r="J87" s="26" cm="1">
        <f t="array" ref="J87">Common_InputFunctions.Utility_DisplayArrayInTable(Fuel_SourceData.Fuel_Scope1EmissionFactorsStationaryGaseous_Data(), Table_Fuel_EFs_StationaryGaseous[[#Headers],[Fuel combusted]],0)</f>
        <v>51.53</v>
      </c>
      <c r="K87" s="17"/>
      <c r="L87" s="17"/>
    </row>
    <row r="88" spans="1:12" ht="20.100000000000001" customHeight="1" x14ac:dyDescent="0.25">
      <c r="A88"/>
      <c r="D88" s="26" t="str" cm="1">
        <f t="array" ref="D88">Common_InputFunctions.Utility_DisplayArrayInTable(Fuel_SourceData.Fuel_Scope1EmissionFactorsStationaryGaseous_Data(), Table_Fuel_EFs_StationaryGaseous[[#Headers],[Fuel combusted]],0)</f>
        <v>Coal seam methane that is captured for combustion</v>
      </c>
      <c r="E88" s="26" cm="1">
        <f t="array" ref="E88">Common_InputFunctions.Utility_DisplayArrayInTable(Fuel_SourceData.Fuel_Scope1EmissionFactorsStationaryGaseous_Data(), Table_Fuel_EFs_StationaryGaseous[[#Headers],[Fuel combusted]],0)</f>
        <v>3.7699999999999997E-2</v>
      </c>
      <c r="F88" s="26" t="str" cm="1">
        <f t="array" ref="F88">Common_InputFunctions.Utility_DisplayArrayInTable(Fuel_SourceData.Fuel_Scope1EmissionFactorsStationaryGaseous_Data(), Table_Fuel_EFs_StationaryGaseous[[#Headers],[Fuel combusted]],0)</f>
        <v>m3</v>
      </c>
      <c r="G88" s="26" cm="1">
        <f t="array" ref="G88">Common_InputFunctions.Utility_DisplayArrayInTable(Fuel_SourceData.Fuel_Scope1EmissionFactorsStationaryGaseous_Data(), Table_Fuel_EFs_StationaryGaseous[[#Headers],[Fuel combusted]],0)</f>
        <v>51.4</v>
      </c>
      <c r="H88" s="26" cm="1">
        <f t="array" ref="H88">Common_InputFunctions.Utility_DisplayArrayInTable(Fuel_SourceData.Fuel_Scope1EmissionFactorsStationaryGaseous_Data(), Table_Fuel_EFs_StationaryGaseous[[#Headers],[Fuel combusted]],0)</f>
        <v>0.2</v>
      </c>
      <c r="I88" s="26" cm="1">
        <f t="array" ref="I88">Common_InputFunctions.Utility_DisplayArrayInTable(Fuel_SourceData.Fuel_Scope1EmissionFactorsStationaryGaseous_Data(), Table_Fuel_EFs_StationaryGaseous[[#Headers],[Fuel combusted]],0)</f>
        <v>0.03</v>
      </c>
      <c r="J88" s="26" cm="1">
        <f t="array" ref="J88">Common_InputFunctions.Utility_DisplayArrayInTable(Fuel_SourceData.Fuel_Scope1EmissionFactorsStationaryGaseous_Data(), Table_Fuel_EFs_StationaryGaseous[[#Headers],[Fuel combusted]],0)</f>
        <v>51.63</v>
      </c>
      <c r="K88" s="17"/>
      <c r="L88" s="17"/>
    </row>
    <row r="89" spans="1:12" ht="20.100000000000001" customHeight="1" x14ac:dyDescent="0.25">
      <c r="A89"/>
      <c r="D89" s="26" t="str" cm="1">
        <f t="array" ref="D89">Common_InputFunctions.Utility_DisplayArrayInTable(Fuel_SourceData.Fuel_Scope1EmissionFactorsStationaryGaseous_Data(), Table_Fuel_EFs_StationaryGaseous[[#Headers],[Fuel combusted]],0)</f>
        <v>Coal mine waste gas that is captured for combustion</v>
      </c>
      <c r="E89" s="26" cm="1">
        <f t="array" ref="E89">Common_InputFunctions.Utility_DisplayArrayInTable(Fuel_SourceData.Fuel_Scope1EmissionFactorsStationaryGaseous_Data(), Table_Fuel_EFs_StationaryGaseous[[#Headers],[Fuel combusted]],0)</f>
        <v>3.7699999999999997E-2</v>
      </c>
      <c r="F89" s="26" t="str" cm="1">
        <f t="array" ref="F89">Common_InputFunctions.Utility_DisplayArrayInTable(Fuel_SourceData.Fuel_Scope1EmissionFactorsStationaryGaseous_Data(), Table_Fuel_EFs_StationaryGaseous[[#Headers],[Fuel combusted]],0)</f>
        <v>m3</v>
      </c>
      <c r="G89" s="26" cm="1">
        <f t="array" ref="G89">Common_InputFunctions.Utility_DisplayArrayInTable(Fuel_SourceData.Fuel_Scope1EmissionFactorsStationaryGaseous_Data(), Table_Fuel_EFs_StationaryGaseous[[#Headers],[Fuel combusted]],0)</f>
        <v>51.9</v>
      </c>
      <c r="H89" s="26" cm="1">
        <f t="array" ref="H89">Common_InputFunctions.Utility_DisplayArrayInTable(Fuel_SourceData.Fuel_Scope1EmissionFactorsStationaryGaseous_Data(), Table_Fuel_EFs_StationaryGaseous[[#Headers],[Fuel combusted]],0)</f>
        <v>4.5999999999999996</v>
      </c>
      <c r="I89" s="26" cm="1">
        <f t="array" ref="I89">Common_InputFunctions.Utility_DisplayArrayInTable(Fuel_SourceData.Fuel_Scope1EmissionFactorsStationaryGaseous_Data(), Table_Fuel_EFs_StationaryGaseous[[#Headers],[Fuel combusted]],0)</f>
        <v>0.3</v>
      </c>
      <c r="J89" s="26" cm="1">
        <f t="array" ref="J89">Common_InputFunctions.Utility_DisplayArrayInTable(Fuel_SourceData.Fuel_Scope1EmissionFactorsStationaryGaseous_Data(), Table_Fuel_EFs_StationaryGaseous[[#Headers],[Fuel combusted]],0)</f>
        <v>56.8</v>
      </c>
      <c r="K89" s="17"/>
      <c r="L89" s="17"/>
    </row>
    <row r="90" spans="1:12" ht="20.100000000000001" customHeight="1" x14ac:dyDescent="0.25">
      <c r="A90"/>
      <c r="D90" s="26" t="str" cm="1">
        <f t="array" ref="D90">Common_InputFunctions.Utility_DisplayArrayInTable(Fuel_SourceData.Fuel_Scope1EmissionFactorsStationaryGaseous_Data(), Table_Fuel_EFs_StationaryGaseous[[#Headers],[Fuel combusted]],0)</f>
        <v>Compressed natural gas(reverting to standard conditions)</v>
      </c>
      <c r="E90" s="26" cm="1">
        <f t="array" ref="E90">Common_InputFunctions.Utility_DisplayArrayInTable(Fuel_SourceData.Fuel_Scope1EmissionFactorsStationaryGaseous_Data(), Table_Fuel_EFs_StationaryGaseous[[#Headers],[Fuel combusted]],0)</f>
        <v>3.9300000000000002E-2</v>
      </c>
      <c r="F90" s="26" t="str" cm="1">
        <f t="array" ref="F90">Common_InputFunctions.Utility_DisplayArrayInTable(Fuel_SourceData.Fuel_Scope1EmissionFactorsStationaryGaseous_Data(), Table_Fuel_EFs_StationaryGaseous[[#Headers],[Fuel combusted]],0)</f>
        <v>m3</v>
      </c>
      <c r="G90" s="26" cm="1">
        <f t="array" ref="G90">Common_InputFunctions.Utility_DisplayArrayInTable(Fuel_SourceData.Fuel_Scope1EmissionFactorsStationaryGaseous_Data(), Table_Fuel_EFs_StationaryGaseous[[#Headers],[Fuel combusted]],0)</f>
        <v>51.4</v>
      </c>
      <c r="H90" s="26" cm="1">
        <f t="array" ref="H90">Common_InputFunctions.Utility_DisplayArrayInTable(Fuel_SourceData.Fuel_Scope1EmissionFactorsStationaryGaseous_Data(), Table_Fuel_EFs_StationaryGaseous[[#Headers],[Fuel combusted]],0)</f>
        <v>0.1</v>
      </c>
      <c r="I90" s="26" cm="1">
        <f t="array" ref="I90">Common_InputFunctions.Utility_DisplayArrayInTable(Fuel_SourceData.Fuel_Scope1EmissionFactorsStationaryGaseous_Data(), Table_Fuel_EFs_StationaryGaseous[[#Headers],[Fuel combusted]],0)</f>
        <v>0.03</v>
      </c>
      <c r="J90" s="26" cm="1">
        <f t="array" ref="J90">Common_InputFunctions.Utility_DisplayArrayInTable(Fuel_SourceData.Fuel_Scope1EmissionFactorsStationaryGaseous_Data(), Table_Fuel_EFs_StationaryGaseous[[#Headers],[Fuel combusted]],0)</f>
        <v>51.53</v>
      </c>
      <c r="K90" s="17"/>
      <c r="L90" s="17"/>
    </row>
    <row r="91" spans="1:12" ht="20.100000000000001" customHeight="1" x14ac:dyDescent="0.25">
      <c r="A91"/>
      <c r="D91" s="26" t="str" cm="1">
        <f t="array" ref="D91">Common_InputFunctions.Utility_DisplayArrayInTable(Fuel_SourceData.Fuel_Scope1EmissionFactorsStationaryGaseous_Data(), Table_Fuel_EFs_StationaryGaseous[[#Headers],[Fuel combusted]],0)</f>
        <v>Unprocessed natural gas</v>
      </c>
      <c r="E91" s="26" cm="1">
        <f t="array" ref="E91">Common_InputFunctions.Utility_DisplayArrayInTable(Fuel_SourceData.Fuel_Scope1EmissionFactorsStationaryGaseous_Data(), Table_Fuel_EFs_StationaryGaseous[[#Headers],[Fuel combusted]],0)</f>
        <v>3.9300000000000002E-2</v>
      </c>
      <c r="F91" s="26" t="str" cm="1">
        <f t="array" ref="F91">Common_InputFunctions.Utility_DisplayArrayInTable(Fuel_SourceData.Fuel_Scope1EmissionFactorsStationaryGaseous_Data(), Table_Fuel_EFs_StationaryGaseous[[#Headers],[Fuel combusted]],0)</f>
        <v>m3</v>
      </c>
      <c r="G91" s="26" cm="1">
        <f t="array" ref="G91">Common_InputFunctions.Utility_DisplayArrayInTable(Fuel_SourceData.Fuel_Scope1EmissionFactorsStationaryGaseous_Data(), Table_Fuel_EFs_StationaryGaseous[[#Headers],[Fuel combusted]],0)</f>
        <v>51.4</v>
      </c>
      <c r="H91" s="26" cm="1">
        <f t="array" ref="H91">Common_InputFunctions.Utility_DisplayArrayInTable(Fuel_SourceData.Fuel_Scope1EmissionFactorsStationaryGaseous_Data(), Table_Fuel_EFs_StationaryGaseous[[#Headers],[Fuel combusted]],0)</f>
        <v>0.1</v>
      </c>
      <c r="I91" s="26" cm="1">
        <f t="array" ref="I91">Common_InputFunctions.Utility_DisplayArrayInTable(Fuel_SourceData.Fuel_Scope1EmissionFactorsStationaryGaseous_Data(), Table_Fuel_EFs_StationaryGaseous[[#Headers],[Fuel combusted]],0)</f>
        <v>0.03</v>
      </c>
      <c r="J91" s="26" cm="1">
        <f t="array" ref="J91">Common_InputFunctions.Utility_DisplayArrayInTable(Fuel_SourceData.Fuel_Scope1EmissionFactorsStationaryGaseous_Data(), Table_Fuel_EFs_StationaryGaseous[[#Headers],[Fuel combusted]],0)</f>
        <v>51.53</v>
      </c>
      <c r="K91" s="17"/>
      <c r="L91" s="17"/>
    </row>
    <row r="92" spans="1:12" ht="20.100000000000001" customHeight="1" x14ac:dyDescent="0.25">
      <c r="A92"/>
      <c r="D92" s="26" t="str" cm="1">
        <f t="array" ref="D92">Common_InputFunctions.Utility_DisplayArrayInTable(Fuel_SourceData.Fuel_Scope1EmissionFactorsStationaryGaseous_Data(), Table_Fuel_EFs_StationaryGaseous[[#Headers],[Fuel combusted]],0)</f>
        <v>Ethane</v>
      </c>
      <c r="E92" s="26" cm="1">
        <f t="array" ref="E92">Common_InputFunctions.Utility_DisplayArrayInTable(Fuel_SourceData.Fuel_Scope1EmissionFactorsStationaryGaseous_Data(), Table_Fuel_EFs_StationaryGaseous[[#Headers],[Fuel combusted]],0)</f>
        <v>6.2899999999999998E-2</v>
      </c>
      <c r="F92" s="26" t="str" cm="1">
        <f t="array" ref="F92">Common_InputFunctions.Utility_DisplayArrayInTable(Fuel_SourceData.Fuel_Scope1EmissionFactorsStationaryGaseous_Data(), Table_Fuel_EFs_StationaryGaseous[[#Headers],[Fuel combusted]],0)</f>
        <v>m3</v>
      </c>
      <c r="G92" s="26" cm="1">
        <f t="array" ref="G92">Common_InputFunctions.Utility_DisplayArrayInTable(Fuel_SourceData.Fuel_Scope1EmissionFactorsStationaryGaseous_Data(), Table_Fuel_EFs_StationaryGaseous[[#Headers],[Fuel combusted]],0)</f>
        <v>56.5</v>
      </c>
      <c r="H92" s="26" cm="1">
        <f t="array" ref="H92">Common_InputFunctions.Utility_DisplayArrayInTable(Fuel_SourceData.Fuel_Scope1EmissionFactorsStationaryGaseous_Data(), Table_Fuel_EFs_StationaryGaseous[[#Headers],[Fuel combusted]],0)</f>
        <v>0.03</v>
      </c>
      <c r="I92" s="26" cm="1">
        <f t="array" ref="I92">Common_InputFunctions.Utility_DisplayArrayInTable(Fuel_SourceData.Fuel_Scope1EmissionFactorsStationaryGaseous_Data(), Table_Fuel_EFs_StationaryGaseous[[#Headers],[Fuel combusted]],0)</f>
        <v>0.03</v>
      </c>
      <c r="J92" s="26" cm="1">
        <f t="array" ref="J92">Common_InputFunctions.Utility_DisplayArrayInTable(Fuel_SourceData.Fuel_Scope1EmissionFactorsStationaryGaseous_Data(), Table_Fuel_EFs_StationaryGaseous[[#Headers],[Fuel combusted]],0)</f>
        <v>56.56</v>
      </c>
      <c r="K92" s="17"/>
      <c r="L92" s="17"/>
    </row>
    <row r="93" spans="1:12" ht="20.100000000000001" customHeight="1" x14ac:dyDescent="0.25">
      <c r="A93"/>
      <c r="D93" s="26" t="str" cm="1">
        <f t="array" ref="D93">Common_InputFunctions.Utility_DisplayArrayInTable(Fuel_SourceData.Fuel_Scope1EmissionFactorsStationaryGaseous_Data(), Table_Fuel_EFs_StationaryGaseous[[#Headers],[Fuel combusted]],0)</f>
        <v>Coke oven gas</v>
      </c>
      <c r="E93" s="26" cm="1">
        <f t="array" ref="E93">Common_InputFunctions.Utility_DisplayArrayInTable(Fuel_SourceData.Fuel_Scope1EmissionFactorsStationaryGaseous_Data(), Table_Fuel_EFs_StationaryGaseous[[#Headers],[Fuel combusted]],0)</f>
        <v>1.8100000000000002E-2</v>
      </c>
      <c r="F93" s="26" t="str" cm="1">
        <f t="array" ref="F93">Common_InputFunctions.Utility_DisplayArrayInTable(Fuel_SourceData.Fuel_Scope1EmissionFactorsStationaryGaseous_Data(), Table_Fuel_EFs_StationaryGaseous[[#Headers],[Fuel combusted]],0)</f>
        <v>m3</v>
      </c>
      <c r="G93" s="26" cm="1">
        <f t="array" ref="G93">Common_InputFunctions.Utility_DisplayArrayInTable(Fuel_SourceData.Fuel_Scope1EmissionFactorsStationaryGaseous_Data(), Table_Fuel_EFs_StationaryGaseous[[#Headers],[Fuel combusted]],0)</f>
        <v>37</v>
      </c>
      <c r="H93" s="26" cm="1">
        <f t="array" ref="H93">Common_InputFunctions.Utility_DisplayArrayInTable(Fuel_SourceData.Fuel_Scope1EmissionFactorsStationaryGaseous_Data(), Table_Fuel_EFs_StationaryGaseous[[#Headers],[Fuel combusted]],0)</f>
        <v>0.03</v>
      </c>
      <c r="I93" s="26" cm="1">
        <f t="array" ref="I93">Common_InputFunctions.Utility_DisplayArrayInTable(Fuel_SourceData.Fuel_Scope1EmissionFactorsStationaryGaseous_Data(), Table_Fuel_EFs_StationaryGaseous[[#Headers],[Fuel combusted]],0)</f>
        <v>0.05</v>
      </c>
      <c r="J93" s="26" cm="1">
        <f t="array" ref="J93">Common_InputFunctions.Utility_DisplayArrayInTable(Fuel_SourceData.Fuel_Scope1EmissionFactorsStationaryGaseous_Data(), Table_Fuel_EFs_StationaryGaseous[[#Headers],[Fuel combusted]],0)</f>
        <v>37.08</v>
      </c>
      <c r="K93" s="17"/>
      <c r="L93" s="17"/>
    </row>
    <row r="94" spans="1:12" ht="20.100000000000001" customHeight="1" x14ac:dyDescent="0.25">
      <c r="A94"/>
      <c r="D94" s="26" t="str" cm="1">
        <f t="array" ref="D94">Common_InputFunctions.Utility_DisplayArrayInTable(Fuel_SourceData.Fuel_Scope1EmissionFactorsStationaryGaseous_Data(), Table_Fuel_EFs_StationaryGaseous[[#Headers],[Fuel combusted]],0)</f>
        <v>Blast furnace gas</v>
      </c>
      <c r="E94" s="26" cm="1">
        <f t="array" ref="E94">Common_InputFunctions.Utility_DisplayArrayInTable(Fuel_SourceData.Fuel_Scope1EmissionFactorsStationaryGaseous_Data(), Table_Fuel_EFs_StationaryGaseous[[#Headers],[Fuel combusted]],0)</f>
        <v>4.0000000000000001E-3</v>
      </c>
      <c r="F94" s="26" t="str" cm="1">
        <f t="array" ref="F94">Common_InputFunctions.Utility_DisplayArrayInTable(Fuel_SourceData.Fuel_Scope1EmissionFactorsStationaryGaseous_Data(), Table_Fuel_EFs_StationaryGaseous[[#Headers],[Fuel combusted]],0)</f>
        <v>m3</v>
      </c>
      <c r="G94" s="26" cm="1">
        <f t="array" ref="G94">Common_InputFunctions.Utility_DisplayArrayInTable(Fuel_SourceData.Fuel_Scope1EmissionFactorsStationaryGaseous_Data(), Table_Fuel_EFs_StationaryGaseous[[#Headers],[Fuel combusted]],0)</f>
        <v>234</v>
      </c>
      <c r="H94" s="26" cm="1">
        <f t="array" ref="H94">Common_InputFunctions.Utility_DisplayArrayInTable(Fuel_SourceData.Fuel_Scope1EmissionFactorsStationaryGaseous_Data(), Table_Fuel_EFs_StationaryGaseous[[#Headers],[Fuel combusted]],0)</f>
        <v>0.03</v>
      </c>
      <c r="I94" s="26" cm="1">
        <f t="array" ref="I94">Common_InputFunctions.Utility_DisplayArrayInTable(Fuel_SourceData.Fuel_Scope1EmissionFactorsStationaryGaseous_Data(), Table_Fuel_EFs_StationaryGaseous[[#Headers],[Fuel combusted]],0)</f>
        <v>0.02</v>
      </c>
      <c r="J94" s="26" cm="1">
        <f t="array" ref="J94">Common_InputFunctions.Utility_DisplayArrayInTable(Fuel_SourceData.Fuel_Scope1EmissionFactorsStationaryGaseous_Data(), Table_Fuel_EFs_StationaryGaseous[[#Headers],[Fuel combusted]],0)</f>
        <v>234.05</v>
      </c>
      <c r="K94" s="17"/>
      <c r="L94" s="17"/>
    </row>
    <row r="95" spans="1:12" ht="20.100000000000001" customHeight="1" x14ac:dyDescent="0.25">
      <c r="A95"/>
      <c r="D95" s="26" t="str" cm="1">
        <f t="array" ref="D95">Common_InputFunctions.Utility_DisplayArrayInTable(Fuel_SourceData.Fuel_Scope1EmissionFactorsStationaryGaseous_Data(), Table_Fuel_EFs_StationaryGaseous[[#Headers],[Fuel combusted]],0)</f>
        <v>Town gas</v>
      </c>
      <c r="E95" s="26" cm="1">
        <f t="array" ref="E95">Common_InputFunctions.Utility_DisplayArrayInTable(Fuel_SourceData.Fuel_Scope1EmissionFactorsStationaryGaseous_Data(), Table_Fuel_EFs_StationaryGaseous[[#Headers],[Fuel combusted]],0)</f>
        <v>3.9E-2</v>
      </c>
      <c r="F95" s="26" t="str" cm="1">
        <f t="array" ref="F95">Common_InputFunctions.Utility_DisplayArrayInTable(Fuel_SourceData.Fuel_Scope1EmissionFactorsStationaryGaseous_Data(), Table_Fuel_EFs_StationaryGaseous[[#Headers],[Fuel combusted]],0)</f>
        <v>m3</v>
      </c>
      <c r="G95" s="26" cm="1">
        <f t="array" ref="G95">Common_InputFunctions.Utility_DisplayArrayInTable(Fuel_SourceData.Fuel_Scope1EmissionFactorsStationaryGaseous_Data(), Table_Fuel_EFs_StationaryGaseous[[#Headers],[Fuel combusted]],0)</f>
        <v>60.2</v>
      </c>
      <c r="H95" s="26" cm="1">
        <f t="array" ref="H95">Common_InputFunctions.Utility_DisplayArrayInTable(Fuel_SourceData.Fuel_Scope1EmissionFactorsStationaryGaseous_Data(), Table_Fuel_EFs_StationaryGaseous[[#Headers],[Fuel combusted]],0)</f>
        <v>0.04</v>
      </c>
      <c r="I95" s="26" cm="1">
        <f t="array" ref="I95">Common_InputFunctions.Utility_DisplayArrayInTable(Fuel_SourceData.Fuel_Scope1EmissionFactorsStationaryGaseous_Data(), Table_Fuel_EFs_StationaryGaseous[[#Headers],[Fuel combusted]],0)</f>
        <v>0.03</v>
      </c>
      <c r="J95" s="26" cm="1">
        <f t="array" ref="J95">Common_InputFunctions.Utility_DisplayArrayInTable(Fuel_SourceData.Fuel_Scope1EmissionFactorsStationaryGaseous_Data(), Table_Fuel_EFs_StationaryGaseous[[#Headers],[Fuel combusted]],0)</f>
        <v>60.27</v>
      </c>
      <c r="K95" s="17"/>
      <c r="L95" s="17"/>
    </row>
    <row r="96" spans="1:12" ht="20.100000000000001" customHeight="1" x14ac:dyDescent="0.25">
      <c r="A96"/>
      <c r="D96" s="26" t="str" cm="1">
        <f t="array" ref="D96">Common_InputFunctions.Utility_DisplayArrayInTable(Fuel_SourceData.Fuel_Scope1EmissionFactorsStationaryGaseous_Data(), Table_Fuel_EFs_StationaryGaseous[[#Headers],[Fuel combusted]],0)</f>
        <v>Liquefied natural gas</v>
      </c>
      <c r="E96" s="26" cm="1">
        <f t="array" ref="E96">Common_InputFunctions.Utility_DisplayArrayInTable(Fuel_SourceData.Fuel_Scope1EmissionFactorsStationaryGaseous_Data(), Table_Fuel_EFs_StationaryGaseous[[#Headers],[Fuel combusted]],0)</f>
        <v>25.3</v>
      </c>
      <c r="F96" s="26" t="str" cm="1">
        <f t="array" ref="F96">Common_InputFunctions.Utility_DisplayArrayInTable(Fuel_SourceData.Fuel_Scope1EmissionFactorsStationaryGaseous_Data(), Table_Fuel_EFs_StationaryGaseous[[#Headers],[Fuel combusted]],0)</f>
        <v>kL</v>
      </c>
      <c r="G96" s="26" cm="1">
        <f t="array" ref="G96">Common_InputFunctions.Utility_DisplayArrayInTable(Fuel_SourceData.Fuel_Scope1EmissionFactorsStationaryGaseous_Data(), Table_Fuel_EFs_StationaryGaseous[[#Headers],[Fuel combusted]],0)</f>
        <v>51.4</v>
      </c>
      <c r="H96" s="26" cm="1">
        <f t="array" ref="H96">Common_InputFunctions.Utility_DisplayArrayInTable(Fuel_SourceData.Fuel_Scope1EmissionFactorsStationaryGaseous_Data(), Table_Fuel_EFs_StationaryGaseous[[#Headers],[Fuel combusted]],0)</f>
        <v>0.1</v>
      </c>
      <c r="I96" s="26" cm="1">
        <f t="array" ref="I96">Common_InputFunctions.Utility_DisplayArrayInTable(Fuel_SourceData.Fuel_Scope1EmissionFactorsStationaryGaseous_Data(), Table_Fuel_EFs_StationaryGaseous[[#Headers],[Fuel combusted]],0)</f>
        <v>0.03</v>
      </c>
      <c r="J96" s="26" cm="1">
        <f t="array" ref="J96">Common_InputFunctions.Utility_DisplayArrayInTable(Fuel_SourceData.Fuel_Scope1EmissionFactorsStationaryGaseous_Data(), Table_Fuel_EFs_StationaryGaseous[[#Headers],[Fuel combusted]],0)</f>
        <v>51.53</v>
      </c>
      <c r="K96" s="17"/>
      <c r="L96" s="17"/>
    </row>
    <row r="97" spans="1:13" ht="20.100000000000001" customHeight="1" x14ac:dyDescent="0.25">
      <c r="A97"/>
      <c r="D97" s="26" t="str" cm="1">
        <f t="array" ref="D97">Common_InputFunctions.Utility_DisplayArrayInTable(Fuel_SourceData.Fuel_Scope1EmissionFactorsStationaryGaseous_Data(), Table_Fuel_EFs_StationaryGaseous[[#Headers],[Fuel combusted]],0)</f>
        <v>Gaseous fossil fuels other than those mentioned in the items above</v>
      </c>
      <c r="E97" s="26" cm="1">
        <f t="array" ref="E97">Common_InputFunctions.Utility_DisplayArrayInTable(Fuel_SourceData.Fuel_Scope1EmissionFactorsStationaryGaseous_Data(), Table_Fuel_EFs_StationaryGaseous[[#Headers],[Fuel combusted]],0)</f>
        <v>3.9E-2</v>
      </c>
      <c r="F97" s="26" t="str" cm="1">
        <f t="array" ref="F97">Common_InputFunctions.Utility_DisplayArrayInTable(Fuel_SourceData.Fuel_Scope1EmissionFactorsStationaryGaseous_Data(), Table_Fuel_EFs_StationaryGaseous[[#Headers],[Fuel combusted]],0)</f>
        <v>m3</v>
      </c>
      <c r="G97" s="26" cm="1">
        <f t="array" ref="G97">Common_InputFunctions.Utility_DisplayArrayInTable(Fuel_SourceData.Fuel_Scope1EmissionFactorsStationaryGaseous_Data(), Table_Fuel_EFs_StationaryGaseous[[#Headers],[Fuel combusted]],0)</f>
        <v>51.4</v>
      </c>
      <c r="H97" s="26" cm="1">
        <f t="array" ref="H97">Common_InputFunctions.Utility_DisplayArrayInTable(Fuel_SourceData.Fuel_Scope1EmissionFactorsStationaryGaseous_Data(), Table_Fuel_EFs_StationaryGaseous[[#Headers],[Fuel combusted]],0)</f>
        <v>0.1</v>
      </c>
      <c r="I97" s="26" cm="1">
        <f t="array" ref="I97">Common_InputFunctions.Utility_DisplayArrayInTable(Fuel_SourceData.Fuel_Scope1EmissionFactorsStationaryGaseous_Data(), Table_Fuel_EFs_StationaryGaseous[[#Headers],[Fuel combusted]],0)</f>
        <v>0.03</v>
      </c>
      <c r="J97" s="26" cm="1">
        <f t="array" ref="J97">Common_InputFunctions.Utility_DisplayArrayInTable(Fuel_SourceData.Fuel_Scope1EmissionFactorsStationaryGaseous_Data(), Table_Fuel_EFs_StationaryGaseous[[#Headers],[Fuel combusted]],0)</f>
        <v>51.53</v>
      </c>
      <c r="K97" s="17"/>
      <c r="L97" s="17"/>
    </row>
    <row r="98" spans="1:13" ht="20.100000000000001" customHeight="1" x14ac:dyDescent="0.25">
      <c r="A98"/>
      <c r="D98" s="26" t="str" cm="1">
        <f t="array" ref="D98">Common_InputFunctions.Utility_DisplayArrayInTable(Fuel_SourceData.Fuel_Scope1EmissionFactorsStationaryGaseous_Data(), Table_Fuel_EFs_StationaryGaseous[[#Headers],[Fuel combusted]],0)</f>
        <v>Landfill biogas that is captured for combustion (methane only)</v>
      </c>
      <c r="E98" s="26" cm="1">
        <f t="array" ref="E98">Common_InputFunctions.Utility_DisplayArrayInTable(Fuel_SourceData.Fuel_Scope1EmissionFactorsStationaryGaseous_Data(), Table_Fuel_EFs_StationaryGaseous[[#Headers],[Fuel combusted]],0)</f>
        <v>3.7699999999999997E-2</v>
      </c>
      <c r="F98" s="26" t="str" cm="1">
        <f t="array" ref="F98">Common_InputFunctions.Utility_DisplayArrayInTable(Fuel_SourceData.Fuel_Scope1EmissionFactorsStationaryGaseous_Data(), Table_Fuel_EFs_StationaryGaseous[[#Headers],[Fuel combusted]],0)</f>
        <v>m3</v>
      </c>
      <c r="G98" s="26" cm="1">
        <f t="array" ref="G98">Common_InputFunctions.Utility_DisplayArrayInTable(Fuel_SourceData.Fuel_Scope1EmissionFactorsStationaryGaseous_Data(), Table_Fuel_EFs_StationaryGaseous[[#Headers],[Fuel combusted]],0)</f>
        <v>0</v>
      </c>
      <c r="H98" s="26" cm="1">
        <f t="array" ref="H98">Common_InputFunctions.Utility_DisplayArrayInTable(Fuel_SourceData.Fuel_Scope1EmissionFactorsStationaryGaseous_Data(), Table_Fuel_EFs_StationaryGaseous[[#Headers],[Fuel combusted]],0)</f>
        <v>6.4</v>
      </c>
      <c r="I98" s="26" cm="1">
        <f t="array" ref="I98">Common_InputFunctions.Utility_DisplayArrayInTable(Fuel_SourceData.Fuel_Scope1EmissionFactorsStationaryGaseous_Data(), Table_Fuel_EFs_StationaryGaseous[[#Headers],[Fuel combusted]],0)</f>
        <v>0.03</v>
      </c>
      <c r="J98" s="26" cm="1">
        <f t="array" ref="J98">Common_InputFunctions.Utility_DisplayArrayInTable(Fuel_SourceData.Fuel_Scope1EmissionFactorsStationaryGaseous_Data(), Table_Fuel_EFs_StationaryGaseous[[#Headers],[Fuel combusted]],0)</f>
        <v>6.43</v>
      </c>
      <c r="K98" s="17"/>
      <c r="L98" s="17"/>
    </row>
    <row r="99" spans="1:13" ht="20.100000000000001" customHeight="1" x14ac:dyDescent="0.25">
      <c r="A99"/>
      <c r="D99" s="26" t="str" cm="1">
        <f t="array" ref="D99">Common_InputFunctions.Utility_DisplayArrayInTable(Fuel_SourceData.Fuel_Scope1EmissionFactorsStationaryGaseous_Data(), Table_Fuel_EFs_StationaryGaseous[[#Headers],[Fuel combusted]],0)</f>
        <v>Sludge biogas that is captured for combustion (methane only)</v>
      </c>
      <c r="E99" s="26" cm="1">
        <f t="array" ref="E99">Common_InputFunctions.Utility_DisplayArrayInTable(Fuel_SourceData.Fuel_Scope1EmissionFactorsStationaryGaseous_Data(), Table_Fuel_EFs_StationaryGaseous[[#Headers],[Fuel combusted]],0)</f>
        <v>3.7699999999999997E-2</v>
      </c>
      <c r="F99" s="26" t="str" cm="1">
        <f t="array" ref="F99">Common_InputFunctions.Utility_DisplayArrayInTable(Fuel_SourceData.Fuel_Scope1EmissionFactorsStationaryGaseous_Data(), Table_Fuel_EFs_StationaryGaseous[[#Headers],[Fuel combusted]],0)</f>
        <v>m3</v>
      </c>
      <c r="G99" s="26" cm="1">
        <f t="array" ref="G99">Common_InputFunctions.Utility_DisplayArrayInTable(Fuel_SourceData.Fuel_Scope1EmissionFactorsStationaryGaseous_Data(), Table_Fuel_EFs_StationaryGaseous[[#Headers],[Fuel combusted]],0)</f>
        <v>0</v>
      </c>
      <c r="H99" s="26" cm="1">
        <f t="array" ref="H99">Common_InputFunctions.Utility_DisplayArrayInTable(Fuel_SourceData.Fuel_Scope1EmissionFactorsStationaryGaseous_Data(), Table_Fuel_EFs_StationaryGaseous[[#Headers],[Fuel combusted]],0)</f>
        <v>6.4</v>
      </c>
      <c r="I99" s="26" cm="1">
        <f t="array" ref="I99">Common_InputFunctions.Utility_DisplayArrayInTable(Fuel_SourceData.Fuel_Scope1EmissionFactorsStationaryGaseous_Data(), Table_Fuel_EFs_StationaryGaseous[[#Headers],[Fuel combusted]],0)</f>
        <v>0.03</v>
      </c>
      <c r="J99" s="26" cm="1">
        <f t="array" ref="J99">Common_InputFunctions.Utility_DisplayArrayInTable(Fuel_SourceData.Fuel_Scope1EmissionFactorsStationaryGaseous_Data(), Table_Fuel_EFs_StationaryGaseous[[#Headers],[Fuel combusted]],0)</f>
        <v>6.43</v>
      </c>
      <c r="K99" s="17"/>
      <c r="L99" s="17"/>
    </row>
    <row r="100" spans="1:13" ht="20.100000000000001" customHeight="1" x14ac:dyDescent="0.25">
      <c r="A100"/>
      <c r="D100" s="26"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6" cm="1">
        <f t="array" ref="E100">Common_InputFunctions.Utility_DisplayArrayInTable(Fuel_SourceData.Fuel_Scope1EmissionFactorsStationaryGaseous_Data(), Table_Fuel_EFs_StationaryGaseous[[#Headers],[Fuel combusted]],0)</f>
        <v>3.6999999999999998E-2</v>
      </c>
      <c r="F100" s="26" t="str" cm="1">
        <f t="array" ref="F100">Common_InputFunctions.Utility_DisplayArrayInTable(Fuel_SourceData.Fuel_Scope1EmissionFactorsStationaryGaseous_Data(), Table_Fuel_EFs_StationaryGaseous[[#Headers],[Fuel combusted]],0)</f>
        <v>m3</v>
      </c>
      <c r="G100" s="26" cm="1">
        <f t="array" ref="G100">Common_InputFunctions.Utility_DisplayArrayInTable(Fuel_SourceData.Fuel_Scope1EmissionFactorsStationaryGaseous_Data(), Table_Fuel_EFs_StationaryGaseous[[#Headers],[Fuel combusted]],0)</f>
        <v>0</v>
      </c>
      <c r="H100" s="26" cm="1">
        <f t="array" ref="H100">Common_InputFunctions.Utility_DisplayArrayInTable(Fuel_SourceData.Fuel_Scope1EmissionFactorsStationaryGaseous_Data(), Table_Fuel_EFs_StationaryGaseous[[#Headers],[Fuel combusted]],0)</f>
        <v>6.4</v>
      </c>
      <c r="I100" s="26" cm="1">
        <f t="array" ref="I100">Common_InputFunctions.Utility_DisplayArrayInTable(Fuel_SourceData.Fuel_Scope1EmissionFactorsStationaryGaseous_Data(), Table_Fuel_EFs_StationaryGaseous[[#Headers],[Fuel combusted]],0)</f>
        <v>0.03</v>
      </c>
      <c r="J100" s="26" cm="1">
        <f t="array" ref="J100">Common_InputFunctions.Utility_DisplayArrayInTable(Fuel_SourceData.Fuel_Scope1EmissionFactorsStationaryGaseous_Data(), Table_Fuel_EFs_StationaryGaseous[[#Headers],[Fuel combusted]],0)</f>
        <v>6.43</v>
      </c>
      <c r="K100" s="17"/>
      <c r="L100" s="17"/>
    </row>
    <row r="101" spans="1:13" ht="20.100000000000001" customHeight="1" x14ac:dyDescent="0.25">
      <c r="A101"/>
      <c r="D101" s="26" t="str" cm="1">
        <f t="array" ref="D101">Common_InputFunctions.Utility_DisplayArrayInTable(Fuel_SourceData.Fuel_Scope1EmissionFactorsStationaryGaseous_Data(), Table_Fuel_EFs_StationaryGaseous[[#Headers],[Fuel combusted]],0)</f>
        <v>Biomethane</v>
      </c>
      <c r="E101" s="26" cm="1">
        <f t="array" ref="E101">Common_InputFunctions.Utility_DisplayArrayInTable(Fuel_SourceData.Fuel_Scope1EmissionFactorsStationaryGaseous_Data(), Table_Fuel_EFs_StationaryGaseous[[#Headers],[Fuel combusted]],0)</f>
        <v>3.9300000000000002E-2</v>
      </c>
      <c r="F101" s="26" t="str" cm="1">
        <f t="array" ref="F101">Common_InputFunctions.Utility_DisplayArrayInTable(Fuel_SourceData.Fuel_Scope1EmissionFactorsStationaryGaseous_Data(), Table_Fuel_EFs_StationaryGaseous[[#Headers],[Fuel combusted]],0)</f>
        <v>m3</v>
      </c>
      <c r="G101" s="26" cm="1">
        <f t="array" ref="G101">Common_InputFunctions.Utility_DisplayArrayInTable(Fuel_SourceData.Fuel_Scope1EmissionFactorsStationaryGaseous_Data(), Table_Fuel_EFs_StationaryGaseous[[#Headers],[Fuel combusted]],0)</f>
        <v>0</v>
      </c>
      <c r="H101" s="26" cm="1">
        <f t="array" ref="H101">Common_InputFunctions.Utility_DisplayArrayInTable(Fuel_SourceData.Fuel_Scope1EmissionFactorsStationaryGaseous_Data(), Table_Fuel_EFs_StationaryGaseous[[#Headers],[Fuel combusted]],0)</f>
        <v>0.1</v>
      </c>
      <c r="I101" s="26" cm="1">
        <f t="array" ref="I101">Common_InputFunctions.Utility_DisplayArrayInTable(Fuel_SourceData.Fuel_Scope1EmissionFactorsStationaryGaseous_Data(), Table_Fuel_EFs_StationaryGaseous[[#Headers],[Fuel combusted]],0)</f>
        <v>0.03</v>
      </c>
      <c r="J101" s="26" cm="1">
        <f t="array" ref="J101">Common_InputFunctions.Utility_DisplayArrayInTable(Fuel_SourceData.Fuel_Scope1EmissionFactorsStationaryGaseous_Data(), Table_Fuel_EFs_StationaryGaseous[[#Headers],[Fuel combusted]],0)</f>
        <v>0.13</v>
      </c>
      <c r="K101" s="17"/>
      <c r="L101" s="17"/>
    </row>
    <row r="102" spans="1:13" ht="20.100000000000001" customHeight="1" x14ac:dyDescent="0.25">
      <c r="A102"/>
      <c r="D102" s="26" t="str" cm="1">
        <f t="array" ref="D102">Common_InputFunctions.Utility_DisplayArrayInTable(Fuel_SourceData.Fuel_Scope1EmissionFactorsStationaryGaseous_Data(), Table_Fuel_EFs_StationaryGaseous[[#Headers],[Fuel combusted]],0)</f>
        <v>Hydrogen</v>
      </c>
      <c r="E102" s="26" cm="1">
        <f t="array" ref="E102">Common_InputFunctions.Utility_DisplayArrayInTable(Fuel_SourceData.Fuel_Scope1EmissionFactorsStationaryGaseous_Data(), Table_Fuel_EFs_StationaryGaseous[[#Headers],[Fuel combusted]],0)</f>
        <v>1.2200000000000001E-2</v>
      </c>
      <c r="F102" s="26" t="str" cm="1">
        <f t="array" ref="F102">Common_InputFunctions.Utility_DisplayArrayInTable(Fuel_SourceData.Fuel_Scope1EmissionFactorsStationaryGaseous_Data(), Table_Fuel_EFs_StationaryGaseous[[#Headers],[Fuel combusted]],0)</f>
        <v>m3</v>
      </c>
      <c r="G102" s="26" cm="1">
        <f t="array" ref="G102">Common_InputFunctions.Utility_DisplayArrayInTable(Fuel_SourceData.Fuel_Scope1EmissionFactorsStationaryGaseous_Data(), Table_Fuel_EFs_StationaryGaseous[[#Headers],[Fuel combusted]],0)</f>
        <v>0</v>
      </c>
      <c r="H102" s="26" cm="1">
        <f t="array" ref="H102">Common_InputFunctions.Utility_DisplayArrayInTable(Fuel_SourceData.Fuel_Scope1EmissionFactorsStationaryGaseous_Data(), Table_Fuel_EFs_StationaryGaseous[[#Headers],[Fuel combusted]],0)</f>
        <v>0</v>
      </c>
      <c r="I102" s="26" cm="1">
        <f t="array" ref="I102">Common_InputFunctions.Utility_DisplayArrayInTable(Fuel_SourceData.Fuel_Scope1EmissionFactorsStationaryGaseous_Data(), Table_Fuel_EFs_StationaryGaseous[[#Headers],[Fuel combusted]],0)</f>
        <v>0.5</v>
      </c>
      <c r="J102" s="26" cm="1">
        <f t="array" ref="J102">Common_InputFunctions.Utility_DisplayArrayInTable(Fuel_SourceData.Fuel_Scope1EmissionFactorsStationaryGaseous_Data(), Table_Fuel_EFs_StationaryGaseous[[#Headers],[Fuel combusted]],0)</f>
        <v>0.5</v>
      </c>
      <c r="K102" s="17"/>
      <c r="L102" s="17"/>
    </row>
    <row r="103" spans="1:13" ht="20.100000000000001" customHeight="1" x14ac:dyDescent="0.25">
      <c r="A103"/>
      <c r="D103" s="26" t="str" cm="1">
        <f t="array" ref="D103">Common_InputFunctions.Utility_DisplayArrayInTable(Fuel_SourceData.Fuel_Scope1EmissionFactorsStationaryGaseous_Data(), Table_Fuel_EFs_StationaryGaseous[[#Headers],[Fuel combusted]],0)</f>
        <v>Natural gas distributed in a pipeline - Gigajoules</v>
      </c>
      <c r="E103" s="26" cm="1">
        <f t="array" ref="E103">Common_InputFunctions.Utility_DisplayArrayInTable(Fuel_SourceData.Fuel_Scope1EmissionFactorsStationaryGaseous_Data(), Table_Fuel_EFs_StationaryGaseous[[#Headers],[Fuel combusted]],0)</f>
        <v>1</v>
      </c>
      <c r="F103" s="26" t="str" cm="1">
        <f t="array" ref="F103">Common_InputFunctions.Utility_DisplayArrayInTable(Fuel_SourceData.Fuel_Scope1EmissionFactorsStationaryGaseous_Data(), Table_Fuel_EFs_StationaryGaseous[[#Headers],[Fuel combusted]],0)</f>
        <v>GJ</v>
      </c>
      <c r="G103" s="26" cm="1">
        <f t="array" ref="G103">Common_InputFunctions.Utility_DisplayArrayInTable(Fuel_SourceData.Fuel_Scope1EmissionFactorsStationaryGaseous_Data(), Table_Fuel_EFs_StationaryGaseous[[#Headers],[Fuel combusted]],0)</f>
        <v>51.4</v>
      </c>
      <c r="H103" s="26" cm="1">
        <f t="array" ref="H103">Common_InputFunctions.Utility_DisplayArrayInTable(Fuel_SourceData.Fuel_Scope1EmissionFactorsStationaryGaseous_Data(), Table_Fuel_EFs_StationaryGaseous[[#Headers],[Fuel combusted]],0)</f>
        <v>0.1</v>
      </c>
      <c r="I103" s="26" cm="1">
        <f t="array" ref="I103">Common_InputFunctions.Utility_DisplayArrayInTable(Fuel_SourceData.Fuel_Scope1EmissionFactorsStationaryGaseous_Data(), Table_Fuel_EFs_StationaryGaseous[[#Headers],[Fuel combusted]],0)</f>
        <v>0.03</v>
      </c>
      <c r="J103" s="26" cm="1">
        <f t="array" ref="J103">Common_InputFunctions.Utility_DisplayArrayInTable(Fuel_SourceData.Fuel_Scope1EmissionFactorsStationaryGaseous_Data(), Table_Fuel_EFs_StationaryGaseous[[#Headers],[Fuel combusted]],0)</f>
        <v>51.53</v>
      </c>
      <c r="K103" s="17"/>
      <c r="L103" s="17"/>
    </row>
    <row r="104" spans="1:13" ht="20.100000000000001" customHeight="1" x14ac:dyDescent="0.25">
      <c r="A104"/>
      <c r="D104" s="26" t="str" cm="1">
        <f t="array" ref="D104">Common_InputFunctions.Utility_DisplayArrayInTable(Fuel_SourceData.Fuel_Scope1EmissionFactorsStationaryGaseous_Data(), Table_Fuel_EFs_StationaryGaseous[[#Headers],[Fuel combusted]],0)</f>
        <v>Town gas - Gigajoules</v>
      </c>
      <c r="E104" s="26" cm="1">
        <f t="array" ref="E104">Common_InputFunctions.Utility_DisplayArrayInTable(Fuel_SourceData.Fuel_Scope1EmissionFactorsStationaryGaseous_Data(), Table_Fuel_EFs_StationaryGaseous[[#Headers],[Fuel combusted]],0)</f>
        <v>1</v>
      </c>
      <c r="F104" s="26" t="str" cm="1">
        <f t="array" ref="F104">Common_InputFunctions.Utility_DisplayArrayInTable(Fuel_SourceData.Fuel_Scope1EmissionFactorsStationaryGaseous_Data(), Table_Fuel_EFs_StationaryGaseous[[#Headers],[Fuel combusted]],0)</f>
        <v>GJ</v>
      </c>
      <c r="G104" s="26" cm="1">
        <f t="array" ref="G104">Common_InputFunctions.Utility_DisplayArrayInTable(Fuel_SourceData.Fuel_Scope1EmissionFactorsStationaryGaseous_Data(), Table_Fuel_EFs_StationaryGaseous[[#Headers],[Fuel combusted]],0)</f>
        <v>60.2</v>
      </c>
      <c r="H104" s="26" cm="1">
        <f t="array" ref="H104">Common_InputFunctions.Utility_DisplayArrayInTable(Fuel_SourceData.Fuel_Scope1EmissionFactorsStationaryGaseous_Data(), Table_Fuel_EFs_StationaryGaseous[[#Headers],[Fuel combusted]],0)</f>
        <v>0.04</v>
      </c>
      <c r="I104" s="26" cm="1">
        <f t="array" ref="I104">Common_InputFunctions.Utility_DisplayArrayInTable(Fuel_SourceData.Fuel_Scope1EmissionFactorsStationaryGaseous_Data(), Table_Fuel_EFs_StationaryGaseous[[#Headers],[Fuel combusted]],0)</f>
        <v>0.03</v>
      </c>
      <c r="J104" s="26" cm="1">
        <f t="array" ref="J104">Common_InputFunctions.Utility_DisplayArrayInTable(Fuel_SourceData.Fuel_Scope1EmissionFactorsStationaryGaseous_Data(), Table_Fuel_EFs_StationaryGaseous[[#Headers],[Fuel combusted]],0)</f>
        <v>60.27</v>
      </c>
      <c r="K104" s="17"/>
      <c r="L104" s="17"/>
    </row>
    <row r="105" spans="1:13" ht="20.100000000000001" customHeight="1" x14ac:dyDescent="0.25">
      <c r="A105"/>
      <c r="D105" s="17"/>
      <c r="E105" s="17"/>
      <c r="F105" s="17"/>
      <c r="G105" s="17"/>
      <c r="H105" s="17"/>
      <c r="I105" s="17"/>
      <c r="J105" s="17"/>
      <c r="K105" s="17"/>
      <c r="L105" s="17"/>
      <c r="M105" s="17"/>
    </row>
    <row r="106" spans="1:13" ht="20.100000000000001" customHeight="1" x14ac:dyDescent="0.25">
      <c r="A106"/>
      <c r="D106" s="17"/>
      <c r="E106" s="17"/>
      <c r="F106" s="17"/>
      <c r="G106" s="17"/>
      <c r="H106" s="17"/>
      <c r="I106" s="17"/>
      <c r="J106" s="17"/>
      <c r="K106" s="17"/>
      <c r="L106" s="17"/>
      <c r="M106" s="17"/>
    </row>
    <row r="107" spans="1:13" ht="20.100000000000001" customHeight="1" x14ac:dyDescent="0.25">
      <c r="A107"/>
      <c r="D107" s="9" t="str" cm="1">
        <f t="array" ref="D107">Fuel_SourceData.Fuel_Scope3EmissionFactorsStationaryGaseous_Title()</f>
        <v>Fuel scope 3 emission factors - Stationary gaseous fuels</v>
      </c>
      <c r="E107" s="17"/>
      <c r="F107" s="17"/>
      <c r="G107" s="17"/>
      <c r="H107" s="17"/>
      <c r="I107" s="17"/>
      <c r="J107" s="17"/>
      <c r="K107" s="17"/>
      <c r="L107" s="17"/>
    </row>
    <row r="108" spans="1:13" ht="20.100000000000001" customHeight="1" x14ac:dyDescent="0.25">
      <c r="A108"/>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1:13" ht="20.100000000000001" customHeight="1" x14ac:dyDescent="0.25">
      <c r="A109"/>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1:13" ht="20.100000000000001" customHeight="1" x14ac:dyDescent="0.25">
      <c r="A110"/>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1:13" ht="20.100000000000001" customHeight="1" x14ac:dyDescent="0.25">
      <c r="A111"/>
      <c r="D111" s="17"/>
      <c r="E111" s="17"/>
      <c r="F111" s="17"/>
      <c r="G111" s="17"/>
      <c r="H111" s="17"/>
      <c r="I111" s="17"/>
      <c r="J111" s="17"/>
      <c r="K111" s="17"/>
      <c r="L111" s="17"/>
    </row>
    <row r="112" spans="1:13" ht="20.100000000000001" customHeight="1" x14ac:dyDescent="0.25">
      <c r="A112"/>
      <c r="D112" s="25" t="s">
        <v>86</v>
      </c>
      <c r="E112" s="20" t="s">
        <v>703</v>
      </c>
      <c r="F112" s="20" t="s">
        <v>704</v>
      </c>
      <c r="G112" s="17"/>
      <c r="H112" s="27" t="s">
        <v>87</v>
      </c>
      <c r="I112" s="17"/>
      <c r="J112" s="17"/>
      <c r="K112" s="17"/>
      <c r="L112" s="17"/>
    </row>
    <row r="113" spans="1:13" ht="20.100000000000001" customHeight="1" x14ac:dyDescent="0.25">
      <c r="A113"/>
      <c r="D113" s="28" t="str" cm="1">
        <f t="array" ref="D113">Common_InputFunctions.Utility_DisplayArrayInTable(Fuel_SourceData.Fuel_Scope3EmissionFactorsStationaryGaseous_Data(), Table_Fuel_EFs_StationaryGaseous34[[#Headers],[State or territory]],0)</f>
        <v>New South Wales</v>
      </c>
      <c r="E113" s="28" cm="1">
        <f t="array" ref="E113">Common_InputFunctions.Utility_DisplayArrayInTable(Fuel_SourceData.Fuel_Scope3EmissionFactorsStationaryGaseous_Data(), Table_Fuel_EFs_StationaryGaseous34[[#Headers],[State or territory]],0)</f>
        <v>13.1</v>
      </c>
      <c r="F113" s="28" cm="1">
        <f t="array" ref="F113">Common_InputFunctions.Utility_DisplayArrayInTable(Fuel_SourceData.Fuel_Scope3EmissionFactorsStationaryGaseous_Data(), Table_Fuel_EFs_StationaryGaseous34[[#Headers],[State or territory]],0)</f>
        <v>14</v>
      </c>
      <c r="G113" s="29"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1:13" ht="20.100000000000001" customHeight="1" x14ac:dyDescent="0.25">
      <c r="A114"/>
      <c r="D114" s="28" t="str" cm="1">
        <f t="array" ref="D114">Common_InputFunctions.Utility_DisplayArrayInTable(Fuel_SourceData.Fuel_Scope3EmissionFactorsStationaryGaseous_Data(), Table_Fuel_EFs_StationaryGaseous34[[#Headers],[State or territory]],0)</f>
        <v>ACT</v>
      </c>
      <c r="E114" s="28" cm="1">
        <f t="array" ref="E114">Common_InputFunctions.Utility_DisplayArrayInTable(Fuel_SourceData.Fuel_Scope3EmissionFactorsStationaryGaseous_Data(), Table_Fuel_EFs_StationaryGaseous34[[#Headers],[State or territory]],0)</f>
        <v>13.1</v>
      </c>
      <c r="F114" s="28" cm="1">
        <f t="array" ref="F114">Common_InputFunctions.Utility_DisplayArrayInTable(Fuel_SourceData.Fuel_Scope3EmissionFactorsStationaryGaseous_Data(), Table_Fuel_EFs_StationaryGaseous34[[#Headers],[State or territory]],0)</f>
        <v>14</v>
      </c>
      <c r="G114" s="29" t="str">
        <v/>
      </c>
      <c r="H114" s="8" t="str">
        <v>Gas reaches end users either from the metro distribution networks or direct from the high - pressure distribution pipelines.</v>
      </c>
      <c r="I114" s="17"/>
      <c r="J114" s="17"/>
      <c r="K114" s="17"/>
      <c r="L114" s="17"/>
    </row>
    <row r="115" spans="1:13" ht="20.100000000000001" customHeight="1" x14ac:dyDescent="0.25">
      <c r="A115"/>
      <c r="D115" s="28" t="str" cm="1">
        <f t="array" ref="D115">Common_InputFunctions.Utility_DisplayArrayInTable(Fuel_SourceData.Fuel_Scope3EmissionFactorsStationaryGaseous_Data(), Table_Fuel_EFs_StationaryGaseous34[[#Headers],[State or territory]],0)</f>
        <v>Victoria</v>
      </c>
      <c r="E115" s="28" cm="1">
        <f t="array" ref="E115">Common_InputFunctions.Utility_DisplayArrayInTable(Fuel_SourceData.Fuel_Scope3EmissionFactorsStationaryGaseous_Data(), Table_Fuel_EFs_StationaryGaseous34[[#Headers],[State or territory]],0)</f>
        <v>4</v>
      </c>
      <c r="F115" s="28" cm="1">
        <f t="array" ref="F115">Common_InputFunctions.Utility_DisplayArrayInTable(Fuel_SourceData.Fuel_Scope3EmissionFactorsStationaryGaseous_Data(), Table_Fuel_EFs_StationaryGaseous34[[#Headers],[State or territory]],0)</f>
        <v>4</v>
      </c>
      <c r="G115" s="29" t="str">
        <v/>
      </c>
      <c r="H115" s="8" t="str">
        <v>Households and commercial users tend to be served by the former, and electricity generators and large industrial plants from the latter.</v>
      </c>
      <c r="I115" s="17"/>
      <c r="J115" s="17"/>
      <c r="K115" s="17"/>
      <c r="L115" s="17"/>
    </row>
    <row r="116" spans="1:13" ht="20.100000000000001" customHeight="1" x14ac:dyDescent="0.25">
      <c r="A116"/>
      <c r="D116" s="28" t="str" cm="1">
        <f t="array" ref="D116">Common_InputFunctions.Utility_DisplayArrayInTable(Fuel_SourceData.Fuel_Scope3EmissionFactorsStationaryGaseous_Data(), Table_Fuel_EFs_StationaryGaseous34[[#Headers],[State or territory]],0)</f>
        <v>Queensland</v>
      </c>
      <c r="E116" s="28" cm="1">
        <f t="array" ref="E116">Common_InputFunctions.Utility_DisplayArrayInTable(Fuel_SourceData.Fuel_Scope3EmissionFactorsStationaryGaseous_Data(), Table_Fuel_EFs_StationaryGaseous34[[#Headers],[State or territory]],0)</f>
        <v>8.8000000000000007</v>
      </c>
      <c r="F116" s="28" cm="1">
        <f t="array" ref="F116">Common_InputFunctions.Utility_DisplayArrayInTable(Fuel_SourceData.Fuel_Scope3EmissionFactorsStationaryGaseous_Data(), Table_Fuel_EFs_StationaryGaseous34[[#Headers],[State or territory]],0)</f>
        <v>7.9</v>
      </c>
      <c r="G116" s="29" t="str">
        <v>-</v>
      </c>
      <c r="H116" s="8" t="str">
        <v>Metro is defined as located on or east of the dividing range in NSW, including Canberra and Queanbeyan, Melbourne, Brisbane, Adelaide or Perth.</v>
      </c>
      <c r="I116" s="17"/>
      <c r="J116" s="17"/>
      <c r="K116" s="17"/>
      <c r="L116" s="17"/>
    </row>
    <row r="117" spans="1:13" ht="20.100000000000001" customHeight="1" x14ac:dyDescent="0.25">
      <c r="A117"/>
      <c r="D117" s="28" t="str" cm="1">
        <f t="array" ref="D117">Common_InputFunctions.Utility_DisplayArrayInTable(Fuel_SourceData.Fuel_Scope3EmissionFactorsStationaryGaseous_Data(), Table_Fuel_EFs_StationaryGaseous34[[#Headers],[State or territory]],0)</f>
        <v>South Australia</v>
      </c>
      <c r="E117" s="28" cm="1">
        <f t="array" ref="E117">Common_InputFunctions.Utility_DisplayArrayInTable(Fuel_SourceData.Fuel_Scope3EmissionFactorsStationaryGaseous_Data(), Table_Fuel_EFs_StationaryGaseous34[[#Headers],[State or territory]],0)</f>
        <v>10.7</v>
      </c>
      <c r="F117" s="28" cm="1">
        <f t="array" ref="F117">Common_InputFunctions.Utility_DisplayArrayInTable(Fuel_SourceData.Fuel_Scope3EmissionFactorsStationaryGaseous_Data(), Table_Fuel_EFs_StationaryGaseous34[[#Headers],[State or territory]],0)</f>
        <v>10.6</v>
      </c>
      <c r="G117" s="29" t="str">
        <v/>
      </c>
      <c r="H117" s="8" t="str">
        <v>Otherwise, the non - metro factor should be used.</v>
      </c>
      <c r="I117" s="17"/>
      <c r="J117" s="17"/>
      <c r="K117" s="17"/>
      <c r="L117" s="17"/>
    </row>
    <row r="118" spans="1:13" ht="20.100000000000001" customHeight="1" x14ac:dyDescent="0.25">
      <c r="A118"/>
      <c r="D118" s="28" t="str" cm="1">
        <f t="array" ref="D118">Common_InputFunctions.Utility_DisplayArrayInTable(Fuel_SourceData.Fuel_Scope3EmissionFactorsStationaryGaseous_Data(), Table_Fuel_EFs_StationaryGaseous34[[#Headers],[State or territory]],0)</f>
        <v>Western Australia</v>
      </c>
      <c r="E118" s="28" cm="1">
        <f t="array" ref="E118">Common_InputFunctions.Utility_DisplayArrayInTable(Fuel_SourceData.Fuel_Scope3EmissionFactorsStationaryGaseous_Data(), Table_Fuel_EFs_StationaryGaseous34[[#Headers],[State or territory]],0)</f>
        <v>4.0999999999999996</v>
      </c>
      <c r="F118" s="28" cm="1">
        <f t="array" ref="F118">Common_InputFunctions.Utility_DisplayArrayInTable(Fuel_SourceData.Fuel_Scope3EmissionFactorsStationaryGaseous_Data(), Table_Fuel_EFs_StationaryGaseous34[[#Headers],[State or territory]],0)</f>
        <v>4</v>
      </c>
      <c r="G118" s="29" t="str">
        <v>-</v>
      </c>
      <c r="H118" s="8" t="str">
        <v>Factors are calculated for all natural gas distributed in a pipeline which may include coal seam methane.</v>
      </c>
      <c r="I118" s="17"/>
      <c r="J118" s="17"/>
      <c r="K118" s="17"/>
      <c r="L118" s="17"/>
    </row>
    <row r="119" spans="1:13" ht="20.100000000000001" customHeight="1" x14ac:dyDescent="0.25">
      <c r="A119"/>
      <c r="D119" s="28" t="str" cm="1">
        <f t="array" ref="D119">Common_InputFunctions.Utility_DisplayArrayInTable(Fuel_SourceData.Fuel_Scope3EmissionFactorsStationaryGaseous_Data(), Table_Fuel_EFs_StationaryGaseous34[[#Headers],[State or territory]],0)</f>
        <v>Tasmania</v>
      </c>
      <c r="E119" s="28" cm="1">
        <f t="array" ref="E119">Common_InputFunctions.Utility_DisplayArrayInTable(Fuel_SourceData.Fuel_Scope3EmissionFactorsStationaryGaseous_Data(), Table_Fuel_EFs_StationaryGaseous34[[#Headers],[State or territory]],0)</f>
        <v>4</v>
      </c>
      <c r="F119" s="28" cm="1">
        <f t="array" ref="F119">Common_InputFunctions.Utility_DisplayArrayInTable(Fuel_SourceData.Fuel_Scope3EmissionFactorsStationaryGaseous_Data(), Table_Fuel_EFs_StationaryGaseous34[[#Headers],[State or territory]],0)</f>
        <v>4</v>
      </c>
      <c r="G119" s="29" t="str">
        <v>-</v>
      </c>
      <c r="H119" s="8" t="str">
        <v>Table 6 is not applicable to ethane. See Table 7 Indirect (Scope 3) emissions from the consumption of ethane.</v>
      </c>
      <c r="I119" s="17"/>
      <c r="J119" s="17"/>
      <c r="K119" s="17"/>
      <c r="L119" s="17"/>
    </row>
    <row r="120" spans="1:13" ht="20.100000000000001" customHeight="1" x14ac:dyDescent="0.25">
      <c r="A120"/>
      <c r="D120" s="28" t="str" cm="1">
        <f t="array" ref="D120">Common_InputFunctions.Utility_DisplayArrayInTable(Fuel_SourceData.Fuel_Scope3EmissionFactorsStationaryGaseous_Data(), Table_Fuel_EFs_StationaryGaseous34[[#Headers],[State or territory]],0)</f>
        <v>Northern Territory</v>
      </c>
      <c r="E120" s="28" cm="1">
        <f t="array" ref="E120">Common_InputFunctions.Utility_DisplayArrayInTable(Fuel_SourceData.Fuel_Scope3EmissionFactorsStationaryGaseous_Data(), Table_Fuel_EFs_StationaryGaseous34[[#Headers],[State or territory]],0)</f>
        <v>4.0999999999999996</v>
      </c>
      <c r="F120" s="28" cm="1">
        <f t="array" ref="F120">Common_InputFunctions.Utility_DisplayArrayInTable(Fuel_SourceData.Fuel_Scope3EmissionFactorsStationaryGaseous_Data(), Table_Fuel_EFs_StationaryGaseous34[[#Headers],[State or territory]],0)</f>
        <v>4</v>
      </c>
      <c r="G120" s="29" t="str">
        <v>-</v>
      </c>
      <c r="H120" s="8" t="str">
        <v>C = Confidential. Scope 3 emission factors for Tasmania and the Northern Territory are not available due to confidentiality constraints that arise</v>
      </c>
      <c r="I120" s="17"/>
      <c r="J120" s="17"/>
      <c r="K120" s="17"/>
      <c r="L120" s="17"/>
    </row>
    <row r="121" spans="1:13" ht="20.100000000000001" customHeight="1" x14ac:dyDescent="0.25">
      <c r="A121"/>
      <c r="D121" s="14"/>
      <c r="E121" s="14"/>
      <c r="F121" s="14"/>
      <c r="G121" s="29" t="str">
        <v/>
      </c>
      <c r="H121" s="8" t="str">
        <v>from the use of a limited number of NGER data inputs. It is suggested that for Tasmania the use of the Victorian emission factors is appropriate,</v>
      </c>
      <c r="I121" s="17"/>
      <c r="J121" s="17"/>
      <c r="K121" s="17"/>
      <c r="L121" s="17"/>
    </row>
    <row r="122" spans="1:13" ht="20.100000000000001" customHeight="1" x14ac:dyDescent="0.25">
      <c r="A122"/>
      <c r="D122" s="17"/>
      <c r="F122" s="30"/>
      <c r="G122" s="29" t="str">
        <v/>
      </c>
      <c r="H122" s="8" t="str">
        <v>while for Northern Territory the use of the Western Australian emission factors is appropriate.</v>
      </c>
      <c r="I122" s="17"/>
      <c r="J122" s="17"/>
      <c r="K122" s="17"/>
      <c r="L122" s="17"/>
    </row>
    <row r="123" spans="1:13" ht="20.100000000000001" customHeight="1" x14ac:dyDescent="0.25">
      <c r="A123"/>
      <c r="D123" s="31"/>
      <c r="F123" s="30"/>
      <c r="G123" s="29" t="str">
        <v>-</v>
      </c>
      <c r="H123" s="8" t="str">
        <v>Scope 3 emission factors do not include fugitive emission leakage from low pressure natural gas distribution pipeline networks while those from high pressure</v>
      </c>
      <c r="I123" s="17"/>
      <c r="J123" s="17"/>
      <c r="K123" s="17"/>
      <c r="L123" s="17"/>
    </row>
    <row r="124" spans="1:13" ht="20.100000000000001" customHeight="1" x14ac:dyDescent="0.25">
      <c r="A124"/>
      <c r="D124" s="31"/>
      <c r="F124" s="30"/>
      <c r="G124" s="17" t="str">
        <v/>
      </c>
      <c r="H124" s="8" t="str">
        <v>gas networks are considered negligible.</v>
      </c>
      <c r="I124" s="17"/>
      <c r="J124" s="17"/>
      <c r="K124" s="17"/>
      <c r="L124" s="17"/>
    </row>
    <row r="125" spans="1:13" ht="20.100000000000001" customHeight="1" x14ac:dyDescent="0.25">
      <c r="A125"/>
      <c r="D125" s="31"/>
      <c r="F125" s="30"/>
      <c r="G125" s="17"/>
      <c r="H125" s="17"/>
      <c r="I125" s="17"/>
      <c r="J125" s="17"/>
      <c r="K125" s="17"/>
      <c r="L125" s="17"/>
    </row>
    <row r="126" spans="1:13" ht="20.100000000000001" customHeight="1" x14ac:dyDescent="0.25">
      <c r="A126"/>
      <c r="D126" s="17"/>
      <c r="E126" s="17"/>
      <c r="F126" s="17"/>
      <c r="G126" s="17"/>
      <c r="H126" s="17"/>
      <c r="I126" s="17"/>
      <c r="J126" s="17"/>
      <c r="K126" s="17"/>
      <c r="L126" s="17"/>
      <c r="M126" s="17"/>
    </row>
    <row r="127" spans="1:13" ht="20.100000000000001" customHeight="1" x14ac:dyDescent="0.25">
      <c r="A127"/>
      <c r="D127" s="17"/>
      <c r="E127" s="17"/>
      <c r="F127" s="17"/>
      <c r="G127" s="17"/>
      <c r="H127" s="17"/>
      <c r="I127" s="17"/>
      <c r="J127" s="17"/>
      <c r="K127" s="17"/>
      <c r="L127" s="17"/>
      <c r="M127" s="17"/>
    </row>
    <row r="128" spans="1:13" ht="20.100000000000001" customHeight="1" x14ac:dyDescent="0.25">
      <c r="A128"/>
      <c r="D128" s="17"/>
      <c r="E128" s="17"/>
      <c r="F128" s="17"/>
      <c r="G128" s="17"/>
      <c r="H128" s="17"/>
      <c r="I128" s="17"/>
      <c r="J128" s="17"/>
      <c r="K128" s="17"/>
      <c r="L128" s="17"/>
      <c r="M128" s="17"/>
    </row>
    <row r="129" spans="1:33" ht="20.100000000000001" customHeight="1" x14ac:dyDescent="0.25">
      <c r="A129"/>
      <c r="D129" s="32"/>
      <c r="E129" s="17"/>
      <c r="F129" s="17"/>
      <c r="G129" s="17"/>
      <c r="H129" s="17"/>
      <c r="I129" s="17"/>
      <c r="J129" s="17"/>
      <c r="K129" s="17"/>
      <c r="L129" s="17"/>
    </row>
    <row r="130" spans="1:33" ht="20.100000000000001" customHeight="1" x14ac:dyDescent="0.25">
      <c r="A130"/>
      <c r="D130" s="33" t="s">
        <v>88</v>
      </c>
      <c r="E130" s="33" t="s">
        <v>89</v>
      </c>
      <c r="F130" s="33" t="s">
        <v>90</v>
      </c>
      <c r="G130" s="33" t="s">
        <v>91</v>
      </c>
      <c r="H130" s="33" t="s">
        <v>92</v>
      </c>
      <c r="I130" s="33" t="s">
        <v>93</v>
      </c>
      <c r="J130" s="33" t="s">
        <v>94</v>
      </c>
      <c r="K130" s="17"/>
      <c r="L130" s="17"/>
      <c r="M130" s="17"/>
      <c r="AG130" s="8"/>
    </row>
    <row r="131" spans="1:33" ht="20.100000000000001" customHeight="1" x14ac:dyDescent="0.25">
      <c r="A131"/>
      <c r="D131" s="34" t="str">
        <f>$D$143</f>
        <v>Petrol</v>
      </c>
      <c r="E131" s="34" t="str">
        <f>$D$143</f>
        <v>Petrol</v>
      </c>
      <c r="F131" s="34" t="str">
        <f>$D$150</f>
        <v>Avgas</v>
      </c>
      <c r="G131" s="34" t="str">
        <f>$D$143</f>
        <v>Petrol</v>
      </c>
      <c r="H131" s="34" t="str">
        <f>$D$144</f>
        <v>Diesel</v>
      </c>
      <c r="I131" s="34" t="str">
        <f>$D$143</f>
        <v>Petrol</v>
      </c>
      <c r="J131" s="34" t="str">
        <f>$D$143</f>
        <v>Petrol</v>
      </c>
      <c r="K131" s="17"/>
      <c r="L131" s="17"/>
      <c r="M131" s="17"/>
      <c r="AG131" s="8"/>
    </row>
    <row r="132" spans="1:33" ht="20.100000000000001" customHeight="1" x14ac:dyDescent="0.25">
      <c r="A132"/>
      <c r="D132" s="34" t="str">
        <f>$D$144</f>
        <v>Diesel</v>
      </c>
      <c r="E132" s="34" t="str">
        <f>$D$144</f>
        <v>Diesel</v>
      </c>
      <c r="F132" s="34" t="str">
        <f>$D$151</f>
        <v>Jet A1, Jet B</v>
      </c>
      <c r="G132" s="34" t="str">
        <f>$D$144</f>
        <v>Diesel</v>
      </c>
      <c r="H132" s="34"/>
      <c r="I132" s="34" t="str">
        <f>$D$144</f>
        <v>Diesel</v>
      </c>
      <c r="J132" s="34" t="str">
        <f>$D$144</f>
        <v>Diesel</v>
      </c>
      <c r="K132" s="17"/>
      <c r="L132" s="17"/>
      <c r="M132" s="17"/>
      <c r="AG132" s="8"/>
    </row>
    <row r="133" spans="1:33" ht="20.100000000000001" customHeight="1" x14ac:dyDescent="0.25">
      <c r="A133"/>
      <c r="D133" s="34" t="str">
        <f>$D$145</f>
        <v>Liquefied petroleum gas (LPG)</v>
      </c>
      <c r="E133" s="34" t="str">
        <f>$D$145</f>
        <v>Liquefied petroleum gas (LPG)</v>
      </c>
      <c r="F133" s="34" t="str">
        <f>$D$152</f>
        <v>Renewable aviation kerosene</v>
      </c>
      <c r="G133" s="34" t="str">
        <f>$D$145</f>
        <v>Liquefied petroleum gas (LPG)</v>
      </c>
      <c r="H133" s="34"/>
      <c r="I133" s="34" t="s">
        <v>95</v>
      </c>
      <c r="J133" s="34" t="str">
        <f>$D$145</f>
        <v>Liquefied petroleum gas (LPG)</v>
      </c>
      <c r="K133" s="17"/>
      <c r="L133" s="17"/>
      <c r="M133" s="17"/>
      <c r="AG133" s="8"/>
    </row>
    <row r="134" spans="1:33" ht="20.100000000000001" customHeight="1" x14ac:dyDescent="0.25">
      <c r="A134"/>
      <c r="D134" s="34" t="str">
        <f>$D$146</f>
        <v>Biodiesel</v>
      </c>
      <c r="E134" s="34" t="str">
        <f>$D$146</f>
        <v>Biodiesel</v>
      </c>
      <c r="F134" s="33"/>
      <c r="G134" s="34" t="str">
        <f>$D$160</f>
        <v>Fuel oil</v>
      </c>
      <c r="H134" s="34"/>
      <c r="I134" s="34"/>
      <c r="J134" s="34" t="str">
        <f>$D$146</f>
        <v>Biodiesel</v>
      </c>
      <c r="K134" s="17"/>
      <c r="L134" s="17"/>
      <c r="M134" s="17"/>
      <c r="AG134" s="8"/>
    </row>
    <row r="135" spans="1:33" ht="20.100000000000001" customHeight="1" x14ac:dyDescent="0.25">
      <c r="A135"/>
      <c r="D135" s="34" t="str">
        <f>$D$147</f>
        <v>Ethanol</v>
      </c>
      <c r="E135" s="34" t="str">
        <f>$D$147</f>
        <v>Ethanol</v>
      </c>
      <c r="F135" s="33"/>
      <c r="G135" s="34" t="str">
        <f>$D$147</f>
        <v>Ethanol</v>
      </c>
      <c r="H135" s="34"/>
      <c r="I135" s="34"/>
      <c r="J135" s="34" t="str">
        <f>$D$147</f>
        <v>Ethanol</v>
      </c>
      <c r="K135" s="17"/>
      <c r="L135" s="17"/>
      <c r="M135" s="17"/>
      <c r="AG135" s="8"/>
    </row>
    <row r="136" spans="1:33" ht="20.100000000000001" customHeight="1" x14ac:dyDescent="0.25">
      <c r="A136"/>
      <c r="D136" s="34" t="str">
        <f>$D$148</f>
        <v>Other biofuels</v>
      </c>
      <c r="E136" s="34" t="str">
        <f>$D$148</f>
        <v>Other biofuels</v>
      </c>
      <c r="F136" s="33"/>
      <c r="G136" s="34" t="str">
        <f>$D$146</f>
        <v>Biodiesel</v>
      </c>
      <c r="H136" s="34"/>
      <c r="I136" s="34"/>
      <c r="J136" s="34" t="str">
        <f>$D$148</f>
        <v>Other biofuels</v>
      </c>
      <c r="K136" s="17"/>
      <c r="L136" s="17"/>
      <c r="M136" s="17"/>
      <c r="AG136" s="8"/>
    </row>
    <row r="137" spans="1:33" ht="20.100000000000001" customHeight="1" x14ac:dyDescent="0.25">
      <c r="A137"/>
      <c r="D137" s="34" t="str">
        <f>$D$149</f>
        <v>Renewable diesel</v>
      </c>
      <c r="E137" s="34" t="str">
        <f>$D$149</f>
        <v>Renewable diesel</v>
      </c>
      <c r="F137" s="33"/>
      <c r="G137" s="34" t="str">
        <f>$D$149</f>
        <v>Renewable diesel</v>
      </c>
      <c r="H137" s="34"/>
      <c r="I137" s="34"/>
      <c r="J137" s="34" t="str">
        <f>$D$149</f>
        <v>Renewable diesel</v>
      </c>
      <c r="K137" s="17"/>
      <c r="L137" s="17"/>
      <c r="M137" s="17"/>
      <c r="AG137" s="8"/>
    </row>
    <row r="138" spans="1:33" ht="20.100000000000001" customHeight="1" x14ac:dyDescent="0.25">
      <c r="A138"/>
      <c r="D138" s="33"/>
      <c r="E138" s="35" t="str">
        <f>$D$161</f>
        <v>Natural gas (via pipeline) in GJ</v>
      </c>
      <c r="F138" s="35"/>
      <c r="G138" s="34" t="str">
        <f>$D$148</f>
        <v>Other biofuels</v>
      </c>
      <c r="H138" s="34"/>
      <c r="I138" s="34"/>
      <c r="J138" s="35" t="str">
        <f>$D$161</f>
        <v>Natural gas (via pipeline) in GJ</v>
      </c>
      <c r="K138" s="17"/>
      <c r="L138" s="17"/>
      <c r="M138" s="17"/>
      <c r="AG138" s="8"/>
    </row>
    <row r="139" spans="1:33" ht="20.100000000000001" customHeight="1" x14ac:dyDescent="0.25">
      <c r="A139"/>
      <c r="D139" s="35"/>
      <c r="E139" s="35" t="str">
        <f>$D$162</f>
        <v>Town gas in GJ</v>
      </c>
      <c r="F139" s="35"/>
      <c r="G139" s="35"/>
      <c r="H139" s="35"/>
      <c r="I139" s="35"/>
      <c r="J139" s="35" t="str">
        <f>$D$162</f>
        <v>Town gas in GJ</v>
      </c>
      <c r="K139" s="17"/>
      <c r="L139" s="17"/>
      <c r="M139" s="17"/>
      <c r="AG139" s="8"/>
    </row>
    <row r="140" spans="1:33" ht="20.100000000000001" customHeight="1" x14ac:dyDescent="0.25">
      <c r="A140"/>
      <c r="D140" s="17"/>
      <c r="E140" s="17"/>
      <c r="F140" s="17"/>
      <c r="G140" s="17"/>
      <c r="H140" s="17"/>
      <c r="I140" s="17"/>
      <c r="J140" s="17"/>
      <c r="K140" s="17"/>
      <c r="L140" s="17"/>
    </row>
    <row r="141" spans="1:33" ht="20.100000000000001" customHeight="1" x14ac:dyDescent="0.25">
      <c r="A141"/>
      <c r="D141" s="17"/>
      <c r="E141" s="17"/>
      <c r="F141" s="17"/>
      <c r="G141" s="17"/>
      <c r="H141" s="17"/>
      <c r="I141" s="17"/>
      <c r="J141" s="17"/>
      <c r="K141" s="17"/>
      <c r="L141" s="17"/>
    </row>
    <row r="142" spans="1:33" ht="20.100000000000001" customHeight="1" x14ac:dyDescent="0.25">
      <c r="A142"/>
      <c r="D142" s="3" t="s">
        <v>96</v>
      </c>
      <c r="E142" s="3" t="s">
        <v>97</v>
      </c>
      <c r="F142" s="17"/>
      <c r="G142" s="17"/>
      <c r="H142" s="17"/>
      <c r="I142" s="17"/>
      <c r="J142" s="17"/>
      <c r="K142" s="17"/>
      <c r="L142" s="17"/>
    </row>
    <row r="143" spans="1:33" ht="20.100000000000001" customHeight="1" x14ac:dyDescent="0.25">
      <c r="A143"/>
      <c r="D143" s="34" t="s">
        <v>98</v>
      </c>
      <c r="E143" s="3" t="s">
        <v>99</v>
      </c>
      <c r="F143" s="17"/>
      <c r="G143" s="17"/>
      <c r="H143" s="17"/>
      <c r="I143" s="17"/>
      <c r="J143" s="17"/>
      <c r="K143" s="17"/>
      <c r="L143" s="17"/>
    </row>
    <row r="144" spans="1:33" ht="20.100000000000001" customHeight="1" x14ac:dyDescent="0.25">
      <c r="A144"/>
      <c r="D144" s="34" t="s">
        <v>100</v>
      </c>
      <c r="E144" s="3" t="s">
        <v>99</v>
      </c>
      <c r="F144" s="17"/>
      <c r="G144" s="17"/>
      <c r="H144" s="17"/>
      <c r="I144" s="17"/>
      <c r="J144" s="17"/>
      <c r="K144" s="17"/>
      <c r="L144" s="17"/>
    </row>
    <row r="145" spans="1:12" ht="20.100000000000001" customHeight="1" x14ac:dyDescent="0.25">
      <c r="A145"/>
      <c r="D145" s="34" t="s">
        <v>101</v>
      </c>
      <c r="E145" s="3" t="s">
        <v>99</v>
      </c>
      <c r="F145" s="17"/>
      <c r="G145" s="17"/>
      <c r="H145" s="17"/>
      <c r="I145" s="17"/>
      <c r="J145" s="17"/>
      <c r="K145" s="17"/>
      <c r="L145" s="17"/>
    </row>
    <row r="146" spans="1:12" ht="20.100000000000001" customHeight="1" x14ac:dyDescent="0.25">
      <c r="A146"/>
      <c r="D146" s="34" t="s">
        <v>102</v>
      </c>
      <c r="E146" s="3" t="s">
        <v>99</v>
      </c>
      <c r="F146" s="17"/>
      <c r="G146" s="17"/>
      <c r="H146" s="17"/>
      <c r="I146" s="17"/>
      <c r="J146" s="17"/>
      <c r="K146" s="17"/>
      <c r="L146" s="17"/>
    </row>
    <row r="147" spans="1:12" ht="20.100000000000001" customHeight="1" x14ac:dyDescent="0.25">
      <c r="A147"/>
      <c r="D147" s="34" t="s">
        <v>103</v>
      </c>
      <c r="E147" s="3" t="s">
        <v>99</v>
      </c>
      <c r="F147" s="17"/>
      <c r="G147" s="17"/>
      <c r="H147" s="17"/>
      <c r="I147" s="17"/>
      <c r="J147" s="17"/>
      <c r="K147" s="17"/>
      <c r="L147" s="17"/>
    </row>
    <row r="148" spans="1:12" ht="20.100000000000001" customHeight="1" x14ac:dyDescent="0.25">
      <c r="A148"/>
      <c r="D148" s="34" t="s">
        <v>104</v>
      </c>
      <c r="E148" s="3" t="s">
        <v>99</v>
      </c>
      <c r="F148" s="17"/>
      <c r="G148" s="17"/>
      <c r="H148" s="17"/>
      <c r="I148" s="17"/>
      <c r="J148" s="17"/>
      <c r="K148" s="17"/>
      <c r="L148" s="17"/>
    </row>
    <row r="149" spans="1:12" ht="20.100000000000001" customHeight="1" x14ac:dyDescent="0.25">
      <c r="A149"/>
      <c r="D149" s="34" t="s">
        <v>105</v>
      </c>
      <c r="E149" s="3" t="s">
        <v>99</v>
      </c>
      <c r="F149" s="17"/>
      <c r="G149" s="17"/>
      <c r="H149" s="17"/>
      <c r="I149" s="17"/>
      <c r="J149" s="17"/>
      <c r="K149" s="17"/>
      <c r="L149" s="17"/>
    </row>
    <row r="150" spans="1:12" ht="20.100000000000001" customHeight="1" x14ac:dyDescent="0.25">
      <c r="A150"/>
      <c r="D150" s="34" t="s">
        <v>106</v>
      </c>
      <c r="E150" s="3" t="s">
        <v>99</v>
      </c>
      <c r="F150" s="17"/>
      <c r="G150" s="17"/>
      <c r="H150" s="17"/>
      <c r="I150" s="17"/>
      <c r="J150" s="17"/>
      <c r="K150" s="17"/>
      <c r="L150" s="17"/>
    </row>
    <row r="151" spans="1:12" ht="20.100000000000001" customHeight="1" x14ac:dyDescent="0.25">
      <c r="A151"/>
      <c r="D151" s="34" t="s">
        <v>107</v>
      </c>
      <c r="E151" s="3" t="s">
        <v>99</v>
      </c>
      <c r="F151" s="17"/>
      <c r="G151" s="17"/>
      <c r="H151" s="17"/>
      <c r="I151" s="17"/>
      <c r="J151" s="17"/>
      <c r="K151" s="17"/>
      <c r="L151" s="17"/>
    </row>
    <row r="152" spans="1:12" ht="20.100000000000001" customHeight="1" x14ac:dyDescent="0.25">
      <c r="A152"/>
      <c r="D152" s="36" t="s">
        <v>108</v>
      </c>
      <c r="E152" s="14" t="s">
        <v>99</v>
      </c>
      <c r="F152" s="17"/>
      <c r="G152" s="17"/>
      <c r="H152" s="17"/>
      <c r="I152" s="17"/>
      <c r="J152" s="17"/>
      <c r="K152" s="17"/>
      <c r="L152" s="17"/>
    </row>
    <row r="153" spans="1:12" ht="20.100000000000001" customHeight="1" x14ac:dyDescent="0.25">
      <c r="A153"/>
      <c r="D153" s="36" t="s">
        <v>109</v>
      </c>
      <c r="E153" s="14" t="s">
        <v>99</v>
      </c>
      <c r="F153" s="17"/>
      <c r="G153" s="17"/>
      <c r="H153" s="17"/>
      <c r="I153" s="17"/>
      <c r="J153" s="17"/>
      <c r="K153" s="17"/>
      <c r="L153" s="17"/>
    </row>
    <row r="154" spans="1:12" ht="20.100000000000001" customHeight="1" x14ac:dyDescent="0.25">
      <c r="A154"/>
      <c r="D154" s="36" t="s">
        <v>110</v>
      </c>
      <c r="E154" s="14" t="s">
        <v>99</v>
      </c>
      <c r="F154" s="17"/>
      <c r="G154" s="17"/>
      <c r="H154" s="17"/>
      <c r="I154" s="17"/>
      <c r="J154" s="17"/>
      <c r="K154" s="17"/>
      <c r="L154" s="17"/>
    </row>
    <row r="155" spans="1:12" ht="20.100000000000001" customHeight="1" x14ac:dyDescent="0.25">
      <c r="A155"/>
      <c r="D155" s="36" t="s">
        <v>111</v>
      </c>
      <c r="E155" s="14" t="s">
        <v>99</v>
      </c>
      <c r="F155" s="17"/>
      <c r="G155" s="17"/>
      <c r="H155" s="17"/>
      <c r="I155" s="17"/>
      <c r="J155" s="17"/>
      <c r="K155" s="17"/>
      <c r="L155" s="17"/>
    </row>
    <row r="156" spans="1:12" ht="20.100000000000001" customHeight="1" x14ac:dyDescent="0.25">
      <c r="A156"/>
      <c r="D156" s="36" t="s">
        <v>112</v>
      </c>
      <c r="E156" s="14" t="s">
        <v>99</v>
      </c>
      <c r="F156" s="17"/>
      <c r="G156" s="17"/>
      <c r="H156" s="17"/>
      <c r="I156" s="17"/>
      <c r="J156" s="17"/>
      <c r="K156" s="17"/>
      <c r="L156" s="17"/>
    </row>
    <row r="157" spans="1:12" ht="20.100000000000001" customHeight="1" x14ac:dyDescent="0.25">
      <c r="A157"/>
      <c r="D157" s="36" t="s">
        <v>113</v>
      </c>
      <c r="E157" s="14" t="s">
        <v>99</v>
      </c>
      <c r="F157" s="17"/>
      <c r="G157" s="17"/>
      <c r="H157" s="17"/>
      <c r="I157" s="17"/>
      <c r="J157" s="17"/>
      <c r="K157" s="17"/>
      <c r="L157" s="17"/>
    </row>
    <row r="158" spans="1:12" ht="20.100000000000001" customHeight="1" x14ac:dyDescent="0.25">
      <c r="A158"/>
      <c r="D158" s="36" t="s">
        <v>114</v>
      </c>
      <c r="E158" s="14" t="s">
        <v>99</v>
      </c>
      <c r="F158" s="17"/>
      <c r="G158" s="17"/>
      <c r="H158" s="17"/>
      <c r="I158" s="17"/>
      <c r="J158" s="17"/>
      <c r="K158" s="17"/>
      <c r="L158" s="17"/>
    </row>
    <row r="159" spans="1:12" ht="20.100000000000001" customHeight="1" x14ac:dyDescent="0.25">
      <c r="A159"/>
      <c r="D159" s="36" t="s">
        <v>115</v>
      </c>
      <c r="E159" s="14" t="s">
        <v>99</v>
      </c>
      <c r="F159" s="17"/>
      <c r="G159" s="17"/>
      <c r="H159" s="17"/>
      <c r="I159" s="17"/>
      <c r="J159" s="17"/>
      <c r="K159" s="17"/>
      <c r="L159" s="17"/>
    </row>
    <row r="160" spans="1:12" ht="20.100000000000001" customHeight="1" x14ac:dyDescent="0.25">
      <c r="A160"/>
      <c r="D160" s="36" t="s">
        <v>95</v>
      </c>
      <c r="E160" s="14" t="s">
        <v>99</v>
      </c>
      <c r="F160" s="17"/>
      <c r="G160" s="17"/>
      <c r="H160" s="17"/>
      <c r="I160" s="17"/>
      <c r="J160" s="17"/>
      <c r="K160" s="17"/>
      <c r="L160" s="17"/>
    </row>
    <row r="161" spans="4:12" ht="20.100000000000001" customHeight="1" x14ac:dyDescent="0.25">
      <c r="D161" s="35" t="s">
        <v>116</v>
      </c>
      <c r="E161" s="17" t="s">
        <v>117</v>
      </c>
      <c r="F161" s="17"/>
      <c r="G161" s="17"/>
      <c r="H161" s="17"/>
      <c r="I161" s="17"/>
      <c r="J161" s="17"/>
      <c r="K161" s="17"/>
      <c r="L161" s="17"/>
    </row>
    <row r="162" spans="4:12" ht="20.100000000000001" customHeight="1" x14ac:dyDescent="0.25">
      <c r="D162" s="17" t="s">
        <v>118</v>
      </c>
      <c r="E162" s="17" t="s">
        <v>117</v>
      </c>
      <c r="F162" s="17"/>
      <c r="G162" s="17"/>
      <c r="H162" s="17"/>
      <c r="I162" s="17"/>
      <c r="J162" s="17"/>
      <c r="K162" s="17"/>
      <c r="L162" s="17"/>
    </row>
  </sheetData>
  <pageMargins left="0.7" right="0.7" top="0.75" bottom="0.75" header="0.3" footer="0.3"/>
  <tableParts count="7">
    <tablePart r:id="rId1"/>
    <tablePart r:id="rId2"/>
    <tablePart r:id="rId3"/>
    <tablePart r:id="rId4"/>
    <tablePart r:id="rId5"/>
    <tablePart r:id="rId6"/>
    <tablePart r:id="rId7"/>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617C-8179-4C1C-9FC0-03E5CE198472}">
  <sheetPr>
    <tabColor theme="2" tint="-0.499984740745262"/>
  </sheetPr>
  <dimension ref="A1:W452"/>
  <sheetViews>
    <sheetView showGridLines="0" tabSelected="1" zoomScaleNormal="100" workbookViewId="0"/>
  </sheetViews>
  <sheetFormatPr defaultColWidth="9" defaultRowHeight="20.100000000000001" customHeight="1" x14ac:dyDescent="0.25"/>
  <cols>
    <col min="1" max="1" width="26.85546875" style="3" customWidth="1"/>
    <col min="2" max="2" width="4.140625" style="3" customWidth="1"/>
    <col min="3" max="3" width="4.140625" style="8" customWidth="1"/>
    <col min="4" max="5" width="26.85546875" style="8" customWidth="1"/>
    <col min="6" max="6" width="27.28515625" style="8" customWidth="1"/>
    <col min="7" max="7" width="28.42578125" style="8" customWidth="1"/>
    <col min="8" max="12" width="26.85546875" style="8" customWidth="1"/>
    <col min="13" max="13" width="26.85546875" style="3" customWidth="1"/>
    <col min="14" max="20" width="26.85546875" style="8" customWidth="1"/>
    <col min="21" max="21" width="4.140625" style="8" customWidth="1"/>
    <col min="22" max="16384" width="9" style="3"/>
  </cols>
  <sheetData>
    <row r="1" spans="1:21" s="1" customFormat="1" ht="30" customHeight="1" x14ac:dyDescent="0.35">
      <c r="A1" s="37" t="e" vm="1">
        <v>#VALUE!</v>
      </c>
      <c r="C1" s="1" t="s">
        <v>566</v>
      </c>
    </row>
    <row r="2" spans="1:21" s="2" customFormat="1" ht="20.100000000000001" customHeight="1" x14ac:dyDescent="0.2">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tr" cm="1">
        <f t="array" ref="D5">SourceData_Poultry.SourceData_Poultry_DietProperties_Title()</f>
        <v>Poultry - Diet properties</v>
      </c>
      <c r="M5" s="8"/>
    </row>
    <row r="6" spans="1:21" ht="20.100000000000001" customHeight="1" x14ac:dyDescent="0.25">
      <c r="A6"/>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567</v>
      </c>
      <c r="E8" s="10" t="s">
        <v>568</v>
      </c>
      <c r="F8" s="10" t="s">
        <v>569</v>
      </c>
      <c r="G8" s="10" t="s">
        <v>570</v>
      </c>
      <c r="H8" s="10" t="s">
        <v>571</v>
      </c>
      <c r="M8" s="8"/>
    </row>
    <row r="9" spans="1:21" ht="20.100000000000001" customHeight="1" x14ac:dyDescent="0.25">
      <c r="A9" s="16" t="str">
        <f>HYPERLINK("#'Input - Fuel'!A1", "Fuel")</f>
        <v>Fuel</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t="str">
        <f>HYPERLINK("#'Input - Fertiliser'!A1", "Fertiliser")</f>
        <v>Fertiliser</v>
      </c>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16" t="str">
        <f>HYPERLINK("#'Input - Farm Inputs'!A1", "Farm Inputs")</f>
        <v>Farm Inputs</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HYPERLINK("#'Input - Livestock purchases'!A1", "Livestock purchases")</f>
        <v>Livestock purchases</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HYPERLINK("#'Input - Freight'!A1", "Freight")</f>
        <v>Freight</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HYPERLINK("#'Input - Solid waste'!A1", "Solid waste")</f>
        <v>Solid waste</v>
      </c>
      <c r="M14" s="8"/>
    </row>
    <row r="15" spans="1:21" ht="20.100000000000001" customHeight="1" x14ac:dyDescent="0.25">
      <c r="A15" s="16" t="str">
        <f>HYPERLINK("#'Input - Manure sent off-site'!A1", "Manure sent off-site")</f>
        <v>Manure sent off-site</v>
      </c>
      <c r="M15" s="8"/>
    </row>
    <row r="16" spans="1:21" ht="20.100000000000001" customHeight="1" x14ac:dyDescent="0.25">
      <c r="A16" s="16" t="str">
        <f>HYPERLINK("#'Input - Electricity'!A1", "Electricity")</f>
        <v>Electricity</v>
      </c>
      <c r="M16" s="8"/>
    </row>
    <row r="17" spans="1:13" ht="20.100000000000001" customHeight="1" x14ac:dyDescent="0.25">
      <c r="A17"/>
      <c r="D17" s="9" t="str" cm="1">
        <f t="array" ref="D17">SourceData_Poultry.SourceData_Poultry_MethaneEmissionsPotential_Title()</f>
        <v>Poultry - Methane emissions potential per class</v>
      </c>
      <c r="M17" s="8"/>
    </row>
    <row r="18" spans="1:13" ht="20.100000000000001" customHeight="1" x14ac:dyDescent="0.25">
      <c r="A18"/>
      <c r="D18" s="11" t="str" cm="1">
        <f t="array" ref="D18">SourceData_Poultry.SourceData_Poultry_MethaneEmissionsPotential_Source()</f>
        <v>VEERG 2026: 4.6.2.3 CONSTANT: Poultry - Methane emissions potential per class</v>
      </c>
      <c r="M18" s="8"/>
    </row>
    <row r="19" spans="1:13" ht="20.100000000000001" customHeight="1" x14ac:dyDescent="0.25">
      <c r="A19" s="21" t="s">
        <v>77</v>
      </c>
      <c r="D19" s="10" t="s">
        <v>572</v>
      </c>
      <c r="E19" s="10" t="s">
        <v>573</v>
      </c>
      <c r="M19" s="8"/>
    </row>
    <row r="20" spans="1:13" ht="20.100000000000001" customHeight="1" x14ac:dyDescent="0.25">
      <c r="A20" s="16" t="str">
        <f>HYPERLINK("#'15 Scope 3'!A1", "15 Scope 3")</f>
        <v>15 Scope 3</v>
      </c>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16" t="str">
        <f>HYPERLINK("#'10.1.1-2 Solid waste treatment'!A1", "10.1.1-2 Solid waste treatment")</f>
        <v>10.1.1-2 Solid waste treatment</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16" t="str">
        <f>HYPERLINK("#'Calcs - Manure sent off-site'!A1", "Calcs - Manure sent off-site")</f>
        <v>Calcs - Manure sent off-site</v>
      </c>
      <c r="M22" s="8"/>
    </row>
    <row r="23" spans="1:13" ht="20.100000000000001" customHeight="1" x14ac:dyDescent="0.25">
      <c r="A23" s="16" t="str">
        <f>HYPERLINK("#'8.1.1.1-2 Transport fuel'!A1", "8.1.1.1-2 Transport fuel")</f>
        <v>8.1.1.1-2 Transport fuel</v>
      </c>
      <c r="M23" s="8"/>
    </row>
    <row r="24" spans="1:13" ht="20.100000000000001" customHeight="1" x14ac:dyDescent="0.25">
      <c r="A24" s="16" t="str">
        <f>HYPERLINK("#'8.2.1.1-2 Stationary fuel'!A1", "8.2.1.1-2 Stationary fuel")</f>
        <v>8.2.1.1-2 Stationary fuel</v>
      </c>
      <c r="M24" s="8"/>
    </row>
    <row r="25" spans="1:13" ht="20.100000000000001" customHeight="1" x14ac:dyDescent="0.25">
      <c r="A25"/>
      <c r="M25" s="8"/>
    </row>
    <row r="26" spans="1:13" ht="20.100000000000001" customHeight="1" x14ac:dyDescent="0.25">
      <c r="A26"/>
      <c r="D26" s="9" t="s">
        <v>574</v>
      </c>
      <c r="G26" s="9" t="s">
        <v>575</v>
      </c>
      <c r="J26" s="9" t="s">
        <v>576</v>
      </c>
      <c r="M26" s="8"/>
    </row>
    <row r="27" spans="1:13" ht="20.100000000000001" customHeight="1" x14ac:dyDescent="0.25">
      <c r="A27" s="213" t="s">
        <v>78</v>
      </c>
      <c r="M27" s="8"/>
    </row>
    <row r="28" spans="1:13" ht="20.100000000000001" customHeight="1" x14ac:dyDescent="0.25">
      <c r="A28" s="16" t="str">
        <f>HYPERLINK("#'Constants - Scope 3'!A1", "Constants - Scope 3")</f>
        <v>Constants - Scope 3</v>
      </c>
      <c r="D28" s="150" t="s">
        <v>517</v>
      </c>
      <c r="E28" s="10" t="s">
        <v>324</v>
      </c>
      <c r="G28" s="150" t="s">
        <v>517</v>
      </c>
      <c r="H28" s="10" t="s">
        <v>324</v>
      </c>
      <c r="J28" s="150" t="s">
        <v>517</v>
      </c>
      <c r="K28" s="10" t="s">
        <v>324</v>
      </c>
      <c r="M28" s="8"/>
    </row>
    <row r="29" spans="1:13" ht="20.100000000000001" customHeight="1" x14ac:dyDescent="0.25">
      <c r="A29" s="16" t="str">
        <f>HYPERLINK("#'Constants - Solid Waste'!A1", "Constants - Solid Waste")</f>
        <v>Constants - Solid Waste</v>
      </c>
      <c r="D29" s="10" t="s">
        <v>58</v>
      </c>
      <c r="E29" s="10" t="s">
        <v>577</v>
      </c>
      <c r="G29" s="10" t="s">
        <v>58</v>
      </c>
      <c r="H29" s="10" t="s">
        <v>577</v>
      </c>
      <c r="J29" s="10" t="s">
        <v>55</v>
      </c>
      <c r="K29" s="10" t="s">
        <v>578</v>
      </c>
      <c r="M29" s="8"/>
    </row>
    <row r="30" spans="1:13" ht="20.100000000000001" customHeight="1" x14ac:dyDescent="0.25">
      <c r="A30" s="16" t="str">
        <f>HYPERLINK("#'Constants - Fuel'!A1", "Constants - Fuel")</f>
        <v>Constants - Fuel</v>
      </c>
      <c r="D30" s="10" t="s">
        <v>579</v>
      </c>
      <c r="E30" s="10" t="s">
        <v>580</v>
      </c>
      <c r="G30" s="10" t="s">
        <v>579</v>
      </c>
      <c r="H30" s="10" t="s">
        <v>580</v>
      </c>
      <c r="J30" s="10" t="s">
        <v>54</v>
      </c>
      <c r="K30" s="10" t="s">
        <v>581</v>
      </c>
      <c r="M30" s="8"/>
    </row>
    <row r="31" spans="1:13" ht="20.100000000000001" customHeight="1" x14ac:dyDescent="0.25">
      <c r="A31" s="23" t="str">
        <f>HYPERLINK("#'Constants - Poultry'!A1", "Constants - Poultry")</f>
        <v>Constants - Poultry</v>
      </c>
      <c r="D31" s="10" t="s">
        <v>582</v>
      </c>
      <c r="E31" s="10" t="s">
        <v>583</v>
      </c>
      <c r="G31" s="10" t="s">
        <v>582</v>
      </c>
      <c r="H31" s="10" t="s">
        <v>583</v>
      </c>
      <c r="J31" s="8" t="s">
        <v>51</v>
      </c>
      <c r="K31" s="8" t="s">
        <v>584</v>
      </c>
      <c r="M31" s="8"/>
    </row>
    <row r="32" spans="1:13" ht="20.100000000000001" customHeight="1" x14ac:dyDescent="0.25">
      <c r="A32" s="16" t="str">
        <f>HYPERLINK("#'Constants - Swine'!A1", "Constants - Swine")</f>
        <v>Constants - Swine</v>
      </c>
      <c r="D32" s="10" t="s">
        <v>62</v>
      </c>
      <c r="E32" s="10" t="s">
        <v>585</v>
      </c>
      <c r="G32" s="10" t="s">
        <v>62</v>
      </c>
      <c r="H32" s="10" t="s">
        <v>585</v>
      </c>
      <c r="J32" s="10" t="s">
        <v>60</v>
      </c>
      <c r="K32" s="10" t="s">
        <v>586</v>
      </c>
      <c r="M32" s="8"/>
    </row>
    <row r="33" spans="1:13" ht="20.100000000000001" customHeight="1" x14ac:dyDescent="0.25">
      <c r="A33" s="16" t="str">
        <f>HYPERLINK("#'Constants - Dairy'!A1", "Constants - Dairy")</f>
        <v>Constants - Dairy</v>
      </c>
      <c r="D33" s="10" t="s">
        <v>55</v>
      </c>
      <c r="E33" s="10" t="s">
        <v>578</v>
      </c>
      <c r="G33" s="8" t="s">
        <v>587</v>
      </c>
      <c r="H33" s="10" t="s">
        <v>587</v>
      </c>
      <c r="J33" s="10" t="s">
        <v>61</v>
      </c>
      <c r="K33" s="10" t="s">
        <v>588</v>
      </c>
      <c r="M33" s="8"/>
    </row>
    <row r="34" spans="1:13" ht="20.100000000000001" customHeight="1" x14ac:dyDescent="0.25">
      <c r="A34" s="16" t="str">
        <f>HYPERLINK("#'Constants - Pasture Beef'!A1", "Constants - Pasture Beef")</f>
        <v>Constants - Pasture Beef</v>
      </c>
      <c r="D34" s="10" t="s">
        <v>54</v>
      </c>
      <c r="E34" s="10" t="s">
        <v>581</v>
      </c>
      <c r="J34" s="8" t="s">
        <v>587</v>
      </c>
      <c r="K34" s="10" t="s">
        <v>587</v>
      </c>
      <c r="M34" s="8"/>
    </row>
    <row r="35" spans="1:13" ht="20.100000000000001" customHeight="1" x14ac:dyDescent="0.25">
      <c r="A35" s="16" t="str">
        <f>HYPERLINK("#'Constants - Common Livestock'!A1", "Constants - Common Livestock")</f>
        <v>Constants - Common Livestock</v>
      </c>
      <c r="D35" s="8" t="s">
        <v>51</v>
      </c>
      <c r="E35" s="8" t="s">
        <v>584</v>
      </c>
      <c r="M35" s="8"/>
    </row>
    <row r="36" spans="1:13" ht="20.100000000000001" customHeight="1" x14ac:dyDescent="0.25">
      <c r="A36" s="16" t="str">
        <f>HYPERLINK("#'Constants - Fertiliser'!A1", "Constants - Fertiliser")</f>
        <v>Constants - Fertiliser</v>
      </c>
      <c r="D36" s="10" t="s">
        <v>60</v>
      </c>
      <c r="E36" s="10" t="s">
        <v>586</v>
      </c>
      <c r="M36" s="8"/>
    </row>
    <row r="37" spans="1:13" ht="20.100000000000001" customHeight="1" x14ac:dyDescent="0.25">
      <c r="A37" s="16" t="str">
        <f>HYPERLINK("#'Constants - Electricity'!A1", "Constants - Electricity")</f>
        <v>Constants - Electricity</v>
      </c>
      <c r="D37" s="10" t="s">
        <v>61</v>
      </c>
      <c r="E37" s="10" t="s">
        <v>588</v>
      </c>
      <c r="M37" s="8"/>
    </row>
    <row r="38" spans="1:13" ht="20.100000000000001" customHeight="1" x14ac:dyDescent="0.25">
      <c r="A38" s="16" t="str">
        <f>HYPERLINK("#'Constants - Common'!A1", "Constants - Common")</f>
        <v>Constants - Common</v>
      </c>
      <c r="D38" s="8" t="s">
        <v>587</v>
      </c>
      <c r="E38" s="10" t="s">
        <v>587</v>
      </c>
      <c r="M38" s="8"/>
    </row>
    <row r="39" spans="1:13" ht="20.100000000000001" customHeight="1" x14ac:dyDescent="0.25">
      <c r="A39"/>
      <c r="M39" s="8"/>
    </row>
    <row r="40" spans="1:13" ht="20.100000000000001" customHeight="1" x14ac:dyDescent="0.25">
      <c r="A40"/>
      <c r="M40" s="8"/>
    </row>
    <row r="41" spans="1:13" ht="20.100000000000001" customHeight="1" x14ac:dyDescent="0.25">
      <c r="A41"/>
      <c r="M41" s="8"/>
    </row>
    <row r="42" spans="1:13" ht="20.100000000000001" customHeight="1" x14ac:dyDescent="0.25">
      <c r="A42"/>
      <c r="D42" s="9" t="s">
        <v>589</v>
      </c>
      <c r="M42" s="8"/>
    </row>
    <row r="43" spans="1:13" ht="20.100000000000001" customHeight="1" x14ac:dyDescent="0.25">
      <c r="A43"/>
      <c r="M43" s="8"/>
    </row>
    <row r="44" spans="1:13" ht="20.100000000000001" customHeight="1" x14ac:dyDescent="0.25">
      <c r="A44"/>
      <c r="D44" s="10" t="s">
        <v>145</v>
      </c>
      <c r="M44" s="8"/>
    </row>
    <row r="45" spans="1:13" ht="20.100000000000001" customHeight="1" x14ac:dyDescent="0.25">
      <c r="A45"/>
      <c r="D45" s="10" t="str" cm="1">
        <f t="array" ref="D45">Common_InputFunctions.Utility_DisplayArrayInTable(SourceData_Poultry.SourceData_Poultry_ProductionSystems_Data(), Table_SourceData_Poultry_ProductionSystems[[#Headers],[Production system]], 0)</f>
        <v>Free range</v>
      </c>
      <c r="M45" s="8"/>
    </row>
    <row r="46" spans="1:13" ht="20.100000000000001" customHeight="1" x14ac:dyDescent="0.25">
      <c r="A46"/>
      <c r="D46" s="8" t="str" cm="1">
        <f t="array" ref="D46">Common_InputFunctions.Utility_DisplayArrayInTable(SourceData_Poultry.SourceData_Poultry_ProductionSystems_Data(), Table_SourceData_Poultry_ProductionSystems[[#Headers],[Production system]], 0)</f>
        <v>Barn</v>
      </c>
      <c r="M46" s="8"/>
    </row>
    <row r="47" spans="1:13" ht="20.100000000000001" customHeight="1" x14ac:dyDescent="0.25">
      <c r="A47"/>
      <c r="D47" s="8" t="str" cm="1">
        <f t="array" ref="D47">Common_InputFunctions.Utility_DisplayArrayInTable(SourceData_Poultry.SourceData_Poultry_ProductionSystems_Data(), Table_SourceData_Poultry_ProductionSystems[[#Headers],[Production system]], 0)</f>
        <v>Cage</v>
      </c>
      <c r="M47" s="8"/>
    </row>
    <row r="48" spans="1:13" ht="20.100000000000001" customHeight="1" x14ac:dyDescent="0.25">
      <c r="A48"/>
      <c r="M48" s="8"/>
    </row>
    <row r="49" spans="1:14" ht="20.100000000000001" customHeight="1" x14ac:dyDescent="0.25">
      <c r="A49"/>
      <c r="M49" s="8"/>
    </row>
    <row r="50" spans="1:14" ht="20.100000000000001" customHeight="1" x14ac:dyDescent="0.25">
      <c r="A50"/>
      <c r="M50" s="8"/>
    </row>
    <row r="51" spans="1:14" ht="20.100000000000001" customHeight="1" x14ac:dyDescent="0.25">
      <c r="A51"/>
      <c r="D51" s="9" t="str" cm="1">
        <f t="array" ref="D51">SourceData_Poultry.SourceData_Poultry_MCF_Title()</f>
        <v>Poultry - MCFs</v>
      </c>
      <c r="M51" s="8"/>
    </row>
    <row r="52" spans="1:14" ht="20.100000000000001" customHeight="1" x14ac:dyDescent="0.25">
      <c r="A52"/>
      <c r="D52" s="11" t="str" cm="1">
        <f t="array" ref="D52">SourceData_Poultry.SourceData_Poultry_MCF_Source()</f>
        <v>VEERG 2026: Table A.1.7.4: Poultry - MCFs</v>
      </c>
      <c r="M52" s="8"/>
    </row>
    <row r="53" spans="1:14" ht="20.100000000000001" customHeight="1" x14ac:dyDescent="0.25">
      <c r="A53"/>
      <c r="D53" s="12" t="str" cm="1">
        <f t="array" ref="D53:D57">SourceData_Poultry.SourceData_Poultry_MCF_Variation()</f>
        <v>VARIATION ON SOURCE:</v>
      </c>
      <c r="M53" s="8"/>
    </row>
    <row r="54" spans="1:14" ht="20.100000000000001" customHeight="1" x14ac:dyDescent="0.25">
      <c r="A54"/>
      <c r="D54" s="12" t="str">
        <v>Split NSW and ACT into separate states. Split QLD and NT into separate states.</v>
      </c>
      <c r="M54" s="8"/>
    </row>
    <row r="55" spans="1:14" ht="20.100000000000001" customHeight="1" x14ac:dyDescent="0.25">
      <c r="A55"/>
      <c r="D55" s="12" t="str">
        <v>Included values for each state when 'All states' value is given.</v>
      </c>
      <c r="M55" s="8"/>
    </row>
    <row r="56" spans="1:14" ht="20.100000000000001" customHeight="1" x14ac:dyDescent="0.25">
      <c r="A56"/>
      <c r="D56" s="12" t="str">
        <v>Added 'NIR definition' column with MMS names that match NIR definitions.</v>
      </c>
      <c r="M56" s="8"/>
    </row>
    <row r="57" spans="1:14" ht="20.100000000000001" customHeight="1" x14ac:dyDescent="0.25">
      <c r="A57"/>
      <c r="D57" s="12" t="str">
        <v>Duplicated 'Poultry manure without litter' row for NIR MMS 'Belt manure removal' and 'Manure stored in house'</v>
      </c>
      <c r="M57" s="8"/>
    </row>
    <row r="58" spans="1:14" ht="20.100000000000001" customHeight="1" x14ac:dyDescent="0.25">
      <c r="A58"/>
      <c r="M58" s="8"/>
    </row>
    <row r="59" spans="1:14" ht="20.100000000000001" customHeight="1" x14ac:dyDescent="0.25">
      <c r="A59"/>
      <c r="D59" s="10" t="s">
        <v>525</v>
      </c>
      <c r="E59" s="10" t="s">
        <v>590</v>
      </c>
      <c r="F59" s="10" t="s">
        <v>331</v>
      </c>
      <c r="G59" s="10" t="s">
        <v>308</v>
      </c>
      <c r="H59" s="10" t="s">
        <v>332</v>
      </c>
      <c r="I59" s="10" t="s">
        <v>427</v>
      </c>
      <c r="J59" s="10" t="s">
        <v>337</v>
      </c>
      <c r="K59" s="10" t="s">
        <v>386</v>
      </c>
      <c r="L59" s="10" t="s">
        <v>338</v>
      </c>
      <c r="M59" s="10" t="s">
        <v>384</v>
      </c>
      <c r="N59" s="10" t="s">
        <v>542</v>
      </c>
    </row>
    <row r="60" spans="1:14" ht="20.100000000000001" customHeight="1" x14ac:dyDescent="0.25">
      <c r="A60"/>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1:14" ht="20.100000000000001" customHeight="1" x14ac:dyDescent="0.25">
      <c r="A61"/>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1:14" ht="20.100000000000001" customHeight="1" x14ac:dyDescent="0.25">
      <c r="A62"/>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1:14" ht="20.100000000000001" customHeight="1" x14ac:dyDescent="0.25">
      <c r="A63"/>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1:14" ht="20.100000000000001" customHeight="1" x14ac:dyDescent="0.25">
      <c r="A64"/>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1:22" ht="20.100000000000001" customHeight="1" x14ac:dyDescent="0.25">
      <c r="A6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1:22" ht="20.100000000000001" customHeight="1" x14ac:dyDescent="0.25">
      <c r="A66"/>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1:22" ht="20.100000000000001" customHeight="1" x14ac:dyDescent="0.25">
      <c r="A67"/>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1:22" ht="20.100000000000001" customHeight="1" x14ac:dyDescent="0.25">
      <c r="A68"/>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1:22" ht="20.100000000000001" customHeight="1" x14ac:dyDescent="0.25">
      <c r="A69"/>
      <c r="M69" s="8"/>
    </row>
    <row r="70" spans="1:22" ht="20.100000000000001" customHeight="1" x14ac:dyDescent="0.25">
      <c r="A70"/>
      <c r="M70" s="8"/>
    </row>
    <row r="71" spans="1:22" ht="20.100000000000001" customHeight="1" x14ac:dyDescent="0.25">
      <c r="A71"/>
      <c r="M71" s="8"/>
      <c r="V71" s="8"/>
    </row>
    <row r="72" spans="1:22" ht="20.100000000000001" customHeight="1" x14ac:dyDescent="0.25">
      <c r="A72"/>
      <c r="D72" s="9" t="str" cm="1">
        <f t="array" ref="D72">SourceData_Poultry.SourceData_Poultry_VSL_Title()</f>
        <v>Poultry - Fraction of volatile solids lost in the primary MMS</v>
      </c>
      <c r="M72" s="8"/>
      <c r="V72" s="8"/>
    </row>
    <row r="73" spans="1:22" ht="20.100000000000001" customHeight="1" x14ac:dyDescent="0.25">
      <c r="A73"/>
      <c r="D73" s="11" t="str" cm="1">
        <f t="array" ref="D73">SourceData_Poultry.SourceData_Poultry_VSL_Source()</f>
        <v>VEERG 2026: 4.6.2.3 CONSTANT</v>
      </c>
      <c r="M73" s="8"/>
      <c r="V73" s="8"/>
    </row>
    <row r="74" spans="1:22" ht="20.100000000000001" customHeight="1" x14ac:dyDescent="0.25">
      <c r="A74"/>
      <c r="D74" s="12" t="str" cm="1">
        <f t="array" ref="D74">SourceData_Poultry.SourceData_Poultry_VSL_Variation()</f>
        <v>VARIATION ON SOURCE: Table generated from line items. Added 'NIR definition column'.</v>
      </c>
      <c r="M74" s="8"/>
      <c r="V74" s="8"/>
    </row>
    <row r="75" spans="1:22" ht="20.100000000000001" customHeight="1" x14ac:dyDescent="0.25">
      <c r="A75"/>
      <c r="D75" s="10" t="s">
        <v>517</v>
      </c>
      <c r="E75" s="10" t="s">
        <v>548</v>
      </c>
      <c r="F75" s="10" t="s">
        <v>542</v>
      </c>
      <c r="M75" s="8"/>
      <c r="V75" s="8"/>
    </row>
    <row r="76" spans="1:22" ht="20.100000000000001" customHeight="1" x14ac:dyDescent="0.25">
      <c r="A76"/>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1:22" ht="20.100000000000001" customHeight="1" x14ac:dyDescent="0.25">
      <c r="A77"/>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1:22" ht="20.100000000000001" customHeight="1" x14ac:dyDescent="0.25">
      <c r="A78"/>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1:22" ht="20.100000000000001" customHeight="1" x14ac:dyDescent="0.25">
      <c r="A79"/>
      <c r="M79" s="8"/>
      <c r="V79" s="8"/>
    </row>
    <row r="80" spans="1:22" ht="20.100000000000001" customHeight="1" x14ac:dyDescent="0.25">
      <c r="A80"/>
      <c r="M80" s="8"/>
      <c r="V80" s="8"/>
    </row>
    <row r="81" spans="1:23" ht="20.100000000000001" customHeight="1" x14ac:dyDescent="0.25">
      <c r="A81"/>
      <c r="D81" s="9" t="str" cm="1">
        <f t="array" ref="D81">SourceData_Poultry.SourceData_Poultry_FracGASMmT_Title()</f>
        <v>Poultry - Fraction of N volatilised by MMS ((kg NH3-N + NOx-N)/kgN) (FracGASMmT)</v>
      </c>
      <c r="M81" s="8"/>
      <c r="V81" s="8"/>
    </row>
    <row r="82" spans="1:23" ht="20.100000000000001" customHeight="1" x14ac:dyDescent="0.25">
      <c r="A82"/>
      <c r="D82" s="11" t="str" cm="1">
        <f t="array" ref="D82">SourceData_Poultry.SourceData_Poultry_FracGASMmT_Source()</f>
        <v>VEERG 2026: Table A.1.7.2</v>
      </c>
      <c r="M82" s="8"/>
      <c r="V82" s="8"/>
    </row>
    <row r="83" spans="1:23" ht="20.100000000000001" customHeight="1" x14ac:dyDescent="0.25">
      <c r="A83"/>
      <c r="D83" s="12" t="str" cm="1">
        <f t="array" ref="D83">SourceData_Poultry.SourceData_Poultry_FracGASMmT_Variation()</f>
        <v>VARIATION ON SOURCE: Added 'NIR definition column'.</v>
      </c>
      <c r="M83" s="8"/>
    </row>
    <row r="84" spans="1:23" ht="20.100000000000001" customHeight="1" x14ac:dyDescent="0.25">
      <c r="A84"/>
      <c r="D84" s="10" t="s">
        <v>554</v>
      </c>
      <c r="E84" s="10" t="s">
        <v>555</v>
      </c>
      <c r="F84" s="10" t="s">
        <v>526</v>
      </c>
      <c r="M84" s="8"/>
    </row>
    <row r="85" spans="1:23" ht="20.100000000000001" customHeight="1" x14ac:dyDescent="0.25">
      <c r="A8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1:23" ht="20.100000000000001" customHeight="1" x14ac:dyDescent="0.25">
      <c r="A86"/>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1:23" ht="20.100000000000001" customHeight="1" x14ac:dyDescent="0.25">
      <c r="A87"/>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1:23" ht="20.100000000000001" customHeight="1" x14ac:dyDescent="0.25">
      <c r="A88"/>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1:23" ht="20.100000000000001" customHeight="1" x14ac:dyDescent="0.25">
      <c r="A89"/>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1:23" ht="20.100000000000001" customHeight="1" x14ac:dyDescent="0.25">
      <c r="A90"/>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1:23" ht="20.100000000000001" customHeight="1" x14ac:dyDescent="0.25">
      <c r="A91"/>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1:23" ht="20.100000000000001" customHeight="1" x14ac:dyDescent="0.25">
      <c r="A92"/>
      <c r="M92" s="8"/>
      <c r="V92" s="8"/>
    </row>
    <row r="93" spans="1:23" ht="20.100000000000001" customHeight="1" x14ac:dyDescent="0.25">
      <c r="A93"/>
      <c r="M93" s="8"/>
      <c r="V93" s="8"/>
    </row>
    <row r="94" spans="1:23" ht="20.100000000000001" customHeight="1" x14ac:dyDescent="0.25">
      <c r="A94"/>
      <c r="D94" s="9" t="str" cm="1">
        <f t="array" ref="D94">SourceData_Poultry.SourceData_Poultry_EFmT_Title()</f>
        <v>Poultry - Nitrous oxide EFs by MMS (kgN2O-N/kgN) (EFmT)</v>
      </c>
      <c r="M94" s="8"/>
    </row>
    <row r="95" spans="1:23" ht="20.100000000000001" customHeight="1" x14ac:dyDescent="0.25">
      <c r="A95"/>
      <c r="D95" s="11" t="str" cm="1">
        <f t="array" ref="D95">SourceData_Poultry.SourceData_Poultry_EFmT_Source()</f>
        <v>VEERG 2026: Table A.1.7.3</v>
      </c>
      <c r="M95" s="8"/>
    </row>
    <row r="96" spans="1:23" ht="20.100000000000001" customHeight="1" x14ac:dyDescent="0.25">
      <c r="A96"/>
      <c r="D96" s="12" t="str" cm="1">
        <f t="array" ref="D96">SourceData_Poultry.SourceData_Poultry_EFmT_Variation()</f>
        <v>VARIATION ON SOURCE: Added 'NIR definition column'. Duplicated 'Poultry manure without litter' row for NIR MMS 'Belt manure removal' and 'Manure stored in house'.</v>
      </c>
      <c r="M96" s="8"/>
    </row>
    <row r="97" spans="1:13" ht="20.100000000000001" customHeight="1" x14ac:dyDescent="0.25">
      <c r="A97"/>
      <c r="D97" s="10" t="s">
        <v>554</v>
      </c>
      <c r="E97" s="10" t="s">
        <v>556</v>
      </c>
      <c r="F97" s="10" t="s">
        <v>526</v>
      </c>
      <c r="M97" s="8"/>
    </row>
    <row r="98" spans="1:13" ht="20.100000000000001" customHeight="1" x14ac:dyDescent="0.25">
      <c r="A98"/>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1:13" ht="20.100000000000001" customHeight="1" x14ac:dyDescent="0.25">
      <c r="A99"/>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1:13" ht="20.100000000000001" customHeight="1" x14ac:dyDescent="0.25">
      <c r="A100"/>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1:13" ht="20.100000000000001" customHeight="1" x14ac:dyDescent="0.25">
      <c r="A101"/>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1:13" ht="20.100000000000001" customHeight="1" x14ac:dyDescent="0.25">
      <c r="A102"/>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1:13" ht="20.100000000000001" customHeight="1" x14ac:dyDescent="0.25">
      <c r="A103"/>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1:13" ht="20.100000000000001" customHeight="1" x14ac:dyDescent="0.25">
      <c r="A104"/>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1:13" ht="20.100000000000001" customHeight="1" x14ac:dyDescent="0.25">
      <c r="A10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SourceData_Poultry.SourceData_Poultry_FractionOfNitrogenLostThroughLeachingAndRunoff_Title()</f>
        <v>Fraction of N that is lost through leaching and runoff</v>
      </c>
      <c r="M108" s="8"/>
    </row>
    <row r="109" spans="1:13" ht="20.100000000000001" customHeight="1" x14ac:dyDescent="0.25">
      <c r="A109"/>
      <c r="D109" s="11" t="str" cm="1">
        <f t="array" ref="D109">SourceData_Poultry.SourceData_Poultry_FractionOfNitrogenLostThroughLeachingAndRunoff_Source()</f>
        <v>VEERG 2026: 4.6.2.3 CONSTANTS</v>
      </c>
      <c r="M109" s="8"/>
    </row>
    <row r="110" spans="1:13" ht="20.100000000000001" customHeight="1" x14ac:dyDescent="0.25">
      <c r="A110"/>
      <c r="D110" s="27"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1:13" ht="20.100000000000001" customHeight="1" x14ac:dyDescent="0.25">
      <c r="A111"/>
      <c r="M111" s="8"/>
    </row>
    <row r="112" spans="1:13" ht="20.100000000000001" customHeight="1" x14ac:dyDescent="0.25">
      <c r="A112"/>
      <c r="D112" s="9" t="str" cm="1">
        <f t="array" ref="D112">SourceData_Poultry.SourceData_Poultry_FracGAMSSoil_Title()</f>
        <v>Fraction of nitrogen volatilised from urine and faeces deposited on pasture</v>
      </c>
      <c r="M112" s="8"/>
    </row>
    <row r="113" spans="1:22" ht="20.100000000000001" customHeight="1" x14ac:dyDescent="0.25">
      <c r="A113"/>
      <c r="D113" s="11" t="str" cm="1">
        <f t="array" ref="D113">SourceData_Poultry.SourceData_Poultry_FracGAMSSoil_Source()</f>
        <v>VEERG 2026: 4.6.2.3 CONSTANTS</v>
      </c>
      <c r="M113" s="8"/>
    </row>
    <row r="114" spans="1:22" ht="20.100000000000001" customHeight="1" x14ac:dyDescent="0.25">
      <c r="A114"/>
      <c r="D114" s="12" t="str" cm="1">
        <f t="array" ref="D114">SourceData_Poultry.SourceData_Poultry_FracGAMSSoil_Variation()</f>
        <v>VARIATION ON SOURCE: This constant is not documented in the draft, used the same value of 0.21 as all other livestock.</v>
      </c>
      <c r="M114" s="8"/>
    </row>
    <row r="115" spans="1:22" ht="20.100000000000001" customHeight="1" x14ac:dyDescent="0.25">
      <c r="A115"/>
      <c r="D115" s="27"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1:22" ht="20.100000000000001" customHeight="1" x14ac:dyDescent="0.25">
      <c r="A116"/>
      <c r="M116" s="8"/>
      <c r="V116" s="8"/>
    </row>
    <row r="117" spans="1:22" ht="20.100000000000001" customHeight="1" x14ac:dyDescent="0.25">
      <c r="A117"/>
      <c r="D117" s="9" t="str" cm="1">
        <f t="array" ref="D117">SourceData_Poultry.SourceData_Poultry_Liveweights_Title()</f>
        <v>Poultry - Liveweights (Wco) (kg)</v>
      </c>
      <c r="M117" s="8"/>
      <c r="V117" s="8"/>
    </row>
    <row r="118" spans="1:22" ht="20.100000000000001" customHeight="1" x14ac:dyDescent="0.25">
      <c r="A118"/>
      <c r="D118" s="11" t="str" cm="1">
        <f t="array" ref="D118">SourceData_Poultry.SourceData_Poultry_Liveweights_Source()</f>
        <v>VEERG 2026: Table A.1.7.5</v>
      </c>
      <c r="M118" s="8"/>
    </row>
    <row r="119" spans="1:22" ht="20.100000000000001" customHeight="1" x14ac:dyDescent="0.25">
      <c r="A119"/>
      <c r="D119" s="10" t="s">
        <v>591</v>
      </c>
      <c r="E119" s="10" t="s">
        <v>558</v>
      </c>
      <c r="M119" s="8"/>
    </row>
    <row r="120" spans="1:22" ht="20.100000000000001" customHeight="1" x14ac:dyDescent="0.25">
      <c r="A120"/>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1:22" ht="20.100000000000001" customHeight="1" x14ac:dyDescent="0.25">
      <c r="A121"/>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1:22" ht="20.100000000000001" customHeight="1" x14ac:dyDescent="0.25">
      <c r="A122"/>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1:22" ht="20.100000000000001" customHeight="1" x14ac:dyDescent="0.25">
      <c r="A123"/>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1:22" ht="20.100000000000001" customHeight="1" x14ac:dyDescent="0.25">
      <c r="A124"/>
      <c r="M124" s="8"/>
    </row>
    <row r="125" spans="1:22" ht="20.100000000000001" customHeight="1" x14ac:dyDescent="0.25">
      <c r="A125"/>
      <c r="M125" s="8"/>
      <c r="V125" s="8"/>
    </row>
    <row r="126" spans="1:22" ht="20.100000000000001" customHeight="1" x14ac:dyDescent="0.25">
      <c r="A126"/>
      <c r="M126" s="8"/>
      <c r="V126" s="8"/>
    </row>
    <row r="127" spans="1:22" ht="20.100000000000001" customHeight="1" x14ac:dyDescent="0.25">
      <c r="A127"/>
      <c r="M127" s="8"/>
      <c r="V127" s="8"/>
    </row>
    <row r="128" spans="1:22" ht="20.100000000000001" customHeight="1" x14ac:dyDescent="0.25">
      <c r="A128"/>
      <c r="M128" s="8"/>
      <c r="V128" s="8"/>
    </row>
    <row r="129" spans="1:22" ht="20.100000000000001" customHeight="1" x14ac:dyDescent="0.25">
      <c r="A129"/>
      <c r="M129" s="8"/>
      <c r="V129" s="8"/>
    </row>
    <row r="130" spans="1:22" ht="20.100000000000001" customHeight="1" x14ac:dyDescent="0.25">
      <c r="A130"/>
      <c r="M130" s="8"/>
      <c r="V130" s="8"/>
    </row>
    <row r="131" spans="1:22" ht="20.100000000000001" customHeight="1" x14ac:dyDescent="0.25">
      <c r="A131"/>
      <c r="M131" s="8"/>
    </row>
    <row r="132" spans="1:22" ht="20.100000000000001" customHeight="1" x14ac:dyDescent="0.25">
      <c r="A132"/>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ht="20.100000000000001" customHeight="1" x14ac:dyDescent="0.25">
      <c r="M166" s="8"/>
    </row>
    <row r="167" spans="13:13" ht="20.100000000000001" customHeight="1" x14ac:dyDescent="0.25">
      <c r="M167" s="8"/>
    </row>
    <row r="168" spans="13:13" ht="20.100000000000001" customHeight="1" x14ac:dyDescent="0.25">
      <c r="M168" s="8"/>
    </row>
    <row r="169" spans="13:13" ht="20.100000000000001" customHeight="1" x14ac:dyDescent="0.25">
      <c r="M169" s="8"/>
    </row>
    <row r="170" spans="13:13" ht="20.100000000000001" customHeight="1" x14ac:dyDescent="0.25">
      <c r="M170" s="8"/>
    </row>
    <row r="171" spans="13:13" ht="20.100000000000001" customHeight="1" x14ac:dyDescent="0.25">
      <c r="M171" s="8"/>
    </row>
    <row r="172" spans="13:13" ht="20.100000000000001" customHeight="1" x14ac:dyDescent="0.25">
      <c r="M172" s="8"/>
    </row>
    <row r="173" spans="13:13" ht="20.100000000000001" customHeight="1" x14ac:dyDescent="0.25">
      <c r="M173" s="8"/>
    </row>
    <row r="174" spans="13:13" ht="20.100000000000001" customHeight="1" x14ac:dyDescent="0.25">
      <c r="M174" s="8"/>
    </row>
    <row r="175" spans="13:13" ht="20.100000000000001" customHeight="1" x14ac:dyDescent="0.25">
      <c r="M175" s="8"/>
    </row>
    <row r="176" spans="13:13" ht="20.100000000000001" customHeight="1" x14ac:dyDescent="0.25">
      <c r="M176" s="8"/>
    </row>
    <row r="177" spans="13:13" ht="20.100000000000001" customHeight="1" x14ac:dyDescent="0.25">
      <c r="M177" s="8"/>
    </row>
    <row r="178" spans="13:13" ht="20.100000000000001" customHeight="1" x14ac:dyDescent="0.25">
      <c r="M178" s="8"/>
    </row>
    <row r="179" spans="13:13" ht="20.100000000000001" customHeight="1" x14ac:dyDescent="0.25">
      <c r="M179" s="8"/>
    </row>
    <row r="180" spans="13:13" ht="20.100000000000001" customHeight="1" x14ac:dyDescent="0.25">
      <c r="M180" s="8"/>
    </row>
    <row r="181" spans="13:13" ht="20.100000000000001" customHeight="1" x14ac:dyDescent="0.25">
      <c r="M181" s="8"/>
    </row>
    <row r="182" spans="13:13" ht="20.100000000000001" customHeight="1" x14ac:dyDescent="0.25">
      <c r="M182" s="8"/>
    </row>
    <row r="183" spans="13:13" ht="20.100000000000001" customHeight="1" x14ac:dyDescent="0.25">
      <c r="M183" s="8"/>
    </row>
    <row r="184" spans="13:13" ht="20.100000000000001" customHeight="1" x14ac:dyDescent="0.25">
      <c r="M184" s="8"/>
    </row>
    <row r="185" spans="13:13" ht="20.100000000000001" customHeight="1" x14ac:dyDescent="0.25">
      <c r="M185" s="8"/>
    </row>
    <row r="186" spans="13:13" ht="20.100000000000001" customHeight="1" x14ac:dyDescent="0.25">
      <c r="M186" s="8"/>
    </row>
    <row r="187" spans="13:13" ht="20.100000000000001" customHeight="1" x14ac:dyDescent="0.25">
      <c r="M187" s="8"/>
    </row>
    <row r="188" spans="13:13" ht="20.100000000000001" customHeight="1" x14ac:dyDescent="0.25">
      <c r="M188" s="8"/>
    </row>
    <row r="189" spans="13:13" ht="20.100000000000001" customHeight="1" x14ac:dyDescent="0.25">
      <c r="M189" s="8"/>
    </row>
    <row r="190" spans="13:13" ht="20.100000000000001" customHeight="1" x14ac:dyDescent="0.25">
      <c r="M190" s="8"/>
    </row>
    <row r="191" spans="13:13" ht="20.100000000000001" customHeight="1" x14ac:dyDescent="0.25">
      <c r="M191" s="8"/>
    </row>
    <row r="192" spans="13:13" ht="20.100000000000001" customHeight="1" x14ac:dyDescent="0.25">
      <c r="M192" s="8"/>
    </row>
    <row r="193" spans="13:13" ht="20.100000000000001" customHeight="1" x14ac:dyDescent="0.25">
      <c r="M193" s="8"/>
    </row>
    <row r="194" spans="13:13" ht="20.100000000000001" customHeight="1" x14ac:dyDescent="0.25">
      <c r="M194" s="8"/>
    </row>
    <row r="195" spans="13:13" ht="20.100000000000001" customHeight="1" x14ac:dyDescent="0.25">
      <c r="M195" s="8"/>
    </row>
    <row r="196" spans="13:13" ht="20.100000000000001" customHeight="1" x14ac:dyDescent="0.25">
      <c r="M196" s="8"/>
    </row>
    <row r="197" spans="13:13" ht="20.100000000000001" customHeight="1" x14ac:dyDescent="0.25">
      <c r="M197" s="8"/>
    </row>
    <row r="198" spans="13:13" ht="20.100000000000001" customHeight="1" x14ac:dyDescent="0.25">
      <c r="M198" s="8"/>
    </row>
    <row r="199" spans="13:13" ht="20.100000000000001" customHeight="1" x14ac:dyDescent="0.25">
      <c r="M199" s="8"/>
    </row>
    <row r="200" spans="13:13" ht="20.100000000000001" customHeight="1" x14ac:dyDescent="0.25">
      <c r="M200" s="8"/>
    </row>
    <row r="201" spans="13:13" ht="20.100000000000001" customHeight="1" x14ac:dyDescent="0.25">
      <c r="M201" s="8"/>
    </row>
    <row r="202" spans="13:13" ht="20.100000000000001" customHeight="1" x14ac:dyDescent="0.25">
      <c r="M202" s="8"/>
    </row>
    <row r="203" spans="13:13" ht="20.100000000000001" customHeight="1" x14ac:dyDescent="0.25">
      <c r="M203" s="8"/>
    </row>
    <row r="204" spans="13:13" ht="20.100000000000001" customHeight="1" x14ac:dyDescent="0.25">
      <c r="M204" s="8"/>
    </row>
    <row r="205" spans="13:13" ht="20.100000000000001" customHeight="1" x14ac:dyDescent="0.25">
      <c r="M205" s="8"/>
    </row>
    <row r="206" spans="13:13" ht="20.100000000000001" customHeight="1" x14ac:dyDescent="0.25">
      <c r="M206" s="8"/>
    </row>
    <row r="207" spans="13:13" ht="20.100000000000001" customHeight="1" x14ac:dyDescent="0.25">
      <c r="M207" s="8"/>
    </row>
    <row r="208" spans="13:13" ht="20.100000000000001" customHeight="1" x14ac:dyDescent="0.25">
      <c r="M208" s="8"/>
    </row>
    <row r="209" spans="13:13" ht="20.100000000000001" customHeight="1" x14ac:dyDescent="0.25">
      <c r="M209" s="8"/>
    </row>
    <row r="210" spans="13:13" ht="20.100000000000001" customHeight="1" x14ac:dyDescent="0.25">
      <c r="M210" s="8"/>
    </row>
    <row r="211" spans="13:13" ht="20.100000000000001" customHeight="1" x14ac:dyDescent="0.25">
      <c r="M211" s="8"/>
    </row>
    <row r="212" spans="13:13" ht="20.100000000000001" customHeight="1" x14ac:dyDescent="0.25">
      <c r="M212" s="8"/>
    </row>
    <row r="213" spans="13:13" ht="20.100000000000001" customHeight="1" x14ac:dyDescent="0.25">
      <c r="M213" s="8"/>
    </row>
    <row r="214" spans="13:13" ht="20.100000000000001" customHeight="1" x14ac:dyDescent="0.25">
      <c r="M214" s="8"/>
    </row>
    <row r="215" spans="13:13" ht="20.100000000000001" customHeight="1" x14ac:dyDescent="0.25">
      <c r="M215" s="8"/>
    </row>
    <row r="216" spans="13:13" ht="20.100000000000001" customHeight="1" x14ac:dyDescent="0.25">
      <c r="M216" s="8"/>
    </row>
    <row r="217" spans="13:13" ht="20.100000000000001" customHeight="1" x14ac:dyDescent="0.25">
      <c r="M217" s="8"/>
    </row>
    <row r="218" spans="13:13" ht="20.100000000000001" customHeight="1" x14ac:dyDescent="0.25">
      <c r="M218" s="8"/>
    </row>
    <row r="219" spans="13:13" ht="20.100000000000001" customHeight="1" x14ac:dyDescent="0.25">
      <c r="M219" s="8"/>
    </row>
    <row r="220" spans="13:13" ht="20.100000000000001" customHeight="1" x14ac:dyDescent="0.25">
      <c r="M220" s="8"/>
    </row>
    <row r="221" spans="13:13" ht="20.100000000000001" customHeight="1" x14ac:dyDescent="0.25">
      <c r="M221" s="8"/>
    </row>
    <row r="222" spans="13:13" ht="20.100000000000001" customHeight="1" x14ac:dyDescent="0.25">
      <c r="M222" s="8"/>
    </row>
    <row r="223" spans="13:13" ht="20.100000000000001" customHeight="1" x14ac:dyDescent="0.25">
      <c r="M223" s="8"/>
    </row>
    <row r="224" spans="13:13" ht="20.100000000000001" customHeight="1" x14ac:dyDescent="0.25">
      <c r="M224" s="8"/>
    </row>
    <row r="225" spans="13:13" ht="20.100000000000001" customHeight="1" x14ac:dyDescent="0.25">
      <c r="M225" s="8"/>
    </row>
    <row r="226" spans="13:13" ht="20.100000000000001" customHeight="1" x14ac:dyDescent="0.25">
      <c r="M226" s="8"/>
    </row>
    <row r="227" spans="13:13" ht="20.100000000000001" customHeight="1" x14ac:dyDescent="0.25">
      <c r="M227" s="8"/>
    </row>
    <row r="228" spans="13:13" ht="20.100000000000001" customHeight="1" x14ac:dyDescent="0.25">
      <c r="M228" s="8"/>
    </row>
    <row r="229" spans="13:13" ht="20.100000000000001" customHeight="1" x14ac:dyDescent="0.25">
      <c r="M229" s="8"/>
    </row>
    <row r="230" spans="13:13" ht="20.100000000000001" customHeight="1" x14ac:dyDescent="0.25">
      <c r="M230" s="8"/>
    </row>
    <row r="231" spans="13:13" ht="20.100000000000001" customHeight="1" x14ac:dyDescent="0.25">
      <c r="M231" s="8"/>
    </row>
    <row r="232" spans="13:13" ht="20.100000000000001" customHeight="1" x14ac:dyDescent="0.25">
      <c r="M232" s="8"/>
    </row>
    <row r="233" spans="13:13" ht="20.100000000000001" customHeight="1" x14ac:dyDescent="0.25">
      <c r="M233" s="8"/>
    </row>
    <row r="234" spans="13:13" ht="20.100000000000001" customHeight="1" x14ac:dyDescent="0.25">
      <c r="M234" s="8"/>
    </row>
    <row r="235" spans="13:13" ht="20.100000000000001" customHeight="1" x14ac:dyDescent="0.25">
      <c r="M235" s="8"/>
    </row>
    <row r="236" spans="13:13" ht="20.100000000000001" customHeight="1" x14ac:dyDescent="0.25">
      <c r="M236" s="8"/>
    </row>
    <row r="237" spans="13:13" ht="20.100000000000001" customHeight="1" x14ac:dyDescent="0.25">
      <c r="M237" s="8"/>
    </row>
    <row r="238" spans="13:13" ht="20.100000000000001" customHeight="1" x14ac:dyDescent="0.25">
      <c r="M238" s="8"/>
    </row>
    <row r="239" spans="13:13" ht="20.100000000000001" customHeight="1" x14ac:dyDescent="0.25">
      <c r="M239" s="8"/>
    </row>
    <row r="240" spans="13:13" ht="20.100000000000001" customHeight="1" x14ac:dyDescent="0.25">
      <c r="M240" s="8"/>
    </row>
    <row r="241" spans="13:13" ht="20.100000000000001" customHeight="1" x14ac:dyDescent="0.25">
      <c r="M241" s="8"/>
    </row>
    <row r="242" spans="13:13" ht="20.100000000000001" customHeight="1" x14ac:dyDescent="0.25">
      <c r="M242" s="8"/>
    </row>
    <row r="243" spans="13:13" ht="20.100000000000001" customHeight="1" x14ac:dyDescent="0.25">
      <c r="M243" s="8"/>
    </row>
    <row r="244" spans="13:13" ht="20.100000000000001" customHeight="1" x14ac:dyDescent="0.25">
      <c r="M244" s="8"/>
    </row>
    <row r="245" spans="13:13" ht="20.100000000000001" customHeight="1" x14ac:dyDescent="0.25">
      <c r="M245" s="8"/>
    </row>
    <row r="246" spans="13:13" ht="20.100000000000001" customHeight="1" x14ac:dyDescent="0.25">
      <c r="M246" s="8"/>
    </row>
    <row r="247" spans="13:13" ht="20.100000000000001" customHeight="1" x14ac:dyDescent="0.25">
      <c r="M247" s="8"/>
    </row>
    <row r="248" spans="13:13" ht="20.100000000000001" customHeight="1" x14ac:dyDescent="0.25">
      <c r="M248" s="8"/>
    </row>
    <row r="249" spans="13:13" ht="20.100000000000001" customHeight="1" x14ac:dyDescent="0.25">
      <c r="M249" s="8"/>
    </row>
    <row r="250" spans="13:13" ht="20.100000000000001" customHeight="1" x14ac:dyDescent="0.25">
      <c r="M250" s="8"/>
    </row>
    <row r="251" spans="13:13" ht="20.100000000000001" customHeight="1" x14ac:dyDescent="0.25">
      <c r="M251" s="8"/>
    </row>
    <row r="252" spans="13:13" ht="20.100000000000001" customHeight="1" x14ac:dyDescent="0.25">
      <c r="M252" s="8"/>
    </row>
    <row r="253" spans="13:13" ht="20.100000000000001" customHeight="1" x14ac:dyDescent="0.25">
      <c r="M253" s="8"/>
    </row>
    <row r="254" spans="13:13" ht="20.100000000000001" customHeight="1" x14ac:dyDescent="0.25">
      <c r="M254" s="8"/>
    </row>
    <row r="255" spans="13:13" ht="20.100000000000001" customHeight="1" x14ac:dyDescent="0.25">
      <c r="M255" s="8"/>
    </row>
    <row r="256" spans="13:13" ht="20.100000000000001" customHeight="1" x14ac:dyDescent="0.25">
      <c r="M256" s="8"/>
    </row>
    <row r="257" spans="13:13" ht="20.100000000000001" customHeight="1" x14ac:dyDescent="0.25">
      <c r="M257" s="8"/>
    </row>
    <row r="258" spans="13:13" ht="20.100000000000001" customHeight="1" x14ac:dyDescent="0.25">
      <c r="M258" s="8"/>
    </row>
    <row r="259" spans="13:13" ht="20.100000000000001" customHeight="1" x14ac:dyDescent="0.25">
      <c r="M259" s="8"/>
    </row>
    <row r="260" spans="13:13" ht="20.100000000000001" customHeight="1" x14ac:dyDescent="0.25">
      <c r="M260" s="8"/>
    </row>
    <row r="261" spans="13:13" ht="20.100000000000001" customHeight="1" x14ac:dyDescent="0.25">
      <c r="M261" s="8"/>
    </row>
    <row r="262" spans="13:13" ht="20.100000000000001" customHeight="1" x14ac:dyDescent="0.25">
      <c r="M262" s="8"/>
    </row>
    <row r="263" spans="13:13" ht="20.100000000000001" customHeight="1" x14ac:dyDescent="0.25">
      <c r="M263" s="8"/>
    </row>
    <row r="264" spans="13:13" ht="20.100000000000001" customHeight="1" x14ac:dyDescent="0.25">
      <c r="M264" s="8"/>
    </row>
    <row r="265" spans="13:13" ht="20.100000000000001" customHeight="1" x14ac:dyDescent="0.25">
      <c r="M265" s="8"/>
    </row>
    <row r="266" spans="13:13" ht="20.100000000000001" customHeight="1" x14ac:dyDescent="0.25">
      <c r="M266" s="8"/>
    </row>
    <row r="267" spans="13:13" ht="20.100000000000001" customHeight="1" x14ac:dyDescent="0.25">
      <c r="M267" s="8"/>
    </row>
    <row r="268" spans="13:13" ht="20.100000000000001" customHeight="1" x14ac:dyDescent="0.25">
      <c r="M268" s="8"/>
    </row>
    <row r="269" spans="13:13" ht="20.100000000000001" customHeight="1" x14ac:dyDescent="0.25">
      <c r="M269" s="8"/>
    </row>
    <row r="270" spans="13:13" ht="20.100000000000001" customHeight="1" x14ac:dyDescent="0.25">
      <c r="M270" s="8"/>
    </row>
    <row r="271" spans="13:13" ht="20.100000000000001" customHeight="1" x14ac:dyDescent="0.25">
      <c r="M271" s="8"/>
    </row>
    <row r="272" spans="13:13" ht="20.100000000000001" customHeight="1" x14ac:dyDescent="0.25">
      <c r="M272" s="8"/>
    </row>
    <row r="273" spans="13:13" ht="20.100000000000001" customHeight="1" x14ac:dyDescent="0.25">
      <c r="M273" s="8"/>
    </row>
    <row r="274" spans="13:13" ht="20.100000000000001" customHeight="1" x14ac:dyDescent="0.25">
      <c r="M274" s="8"/>
    </row>
    <row r="275" spans="13:13" ht="20.100000000000001" customHeight="1" x14ac:dyDescent="0.25">
      <c r="M275" s="8"/>
    </row>
    <row r="276" spans="13:13" ht="20.100000000000001" customHeight="1" x14ac:dyDescent="0.25">
      <c r="M276" s="8"/>
    </row>
    <row r="277" spans="13:13" ht="20.100000000000001" customHeight="1" x14ac:dyDescent="0.25">
      <c r="M277" s="8"/>
    </row>
    <row r="278" spans="13:13" ht="20.100000000000001" customHeight="1" x14ac:dyDescent="0.25">
      <c r="M278" s="8"/>
    </row>
    <row r="279" spans="13:13" ht="20.100000000000001" customHeight="1" x14ac:dyDescent="0.25">
      <c r="M279" s="8"/>
    </row>
    <row r="280" spans="13:13" ht="20.100000000000001" customHeight="1" x14ac:dyDescent="0.25">
      <c r="M280" s="8"/>
    </row>
    <row r="281" spans="13:13" ht="20.100000000000001" customHeight="1" x14ac:dyDescent="0.25">
      <c r="M281" s="8"/>
    </row>
    <row r="282" spans="13:13" ht="20.100000000000001" customHeight="1" x14ac:dyDescent="0.25">
      <c r="M282" s="8"/>
    </row>
    <row r="283" spans="13:13" ht="20.100000000000001" customHeight="1" x14ac:dyDescent="0.25">
      <c r="M283" s="8"/>
    </row>
    <row r="284" spans="13:13" ht="20.100000000000001" customHeight="1" x14ac:dyDescent="0.25">
      <c r="M284" s="8"/>
    </row>
    <row r="285" spans="13:13" ht="20.100000000000001" customHeight="1" x14ac:dyDescent="0.25">
      <c r="M285" s="8"/>
    </row>
    <row r="286" spans="13:13" ht="20.100000000000001" customHeight="1" x14ac:dyDescent="0.25">
      <c r="M286" s="8"/>
    </row>
    <row r="287" spans="13:13" ht="20.100000000000001" customHeight="1" x14ac:dyDescent="0.25">
      <c r="M287" s="8"/>
    </row>
    <row r="288" spans="13:13" ht="20.100000000000001" customHeight="1" x14ac:dyDescent="0.25">
      <c r="M288" s="8"/>
    </row>
    <row r="289" spans="13:13" ht="20.100000000000001" customHeight="1" x14ac:dyDescent="0.25">
      <c r="M289" s="8"/>
    </row>
    <row r="290" spans="13:13" ht="20.100000000000001" customHeight="1" x14ac:dyDescent="0.25">
      <c r="M290" s="8"/>
    </row>
    <row r="291" spans="13:13" ht="20.100000000000001" customHeight="1" x14ac:dyDescent="0.25">
      <c r="M291" s="8"/>
    </row>
    <row r="292" spans="13:13" ht="20.100000000000001" customHeight="1" x14ac:dyDescent="0.25">
      <c r="M292" s="8"/>
    </row>
    <row r="293" spans="13:13" ht="20.100000000000001" customHeight="1" x14ac:dyDescent="0.25">
      <c r="M293" s="8"/>
    </row>
    <row r="294" spans="13:13" ht="20.100000000000001" customHeight="1" x14ac:dyDescent="0.25">
      <c r="M294" s="8"/>
    </row>
    <row r="295" spans="13:13" ht="20.100000000000001" customHeight="1" x14ac:dyDescent="0.25">
      <c r="M295" s="8"/>
    </row>
    <row r="296" spans="13:13" ht="20.100000000000001" customHeight="1" x14ac:dyDescent="0.25">
      <c r="M296" s="8"/>
    </row>
    <row r="297" spans="13:13" ht="20.100000000000001" customHeight="1" x14ac:dyDescent="0.25">
      <c r="M297" s="8"/>
    </row>
    <row r="298" spans="13:13" ht="20.100000000000001" customHeight="1" x14ac:dyDescent="0.25">
      <c r="M298" s="8"/>
    </row>
    <row r="299" spans="13:13" ht="20.100000000000001" customHeight="1" x14ac:dyDescent="0.25">
      <c r="M299" s="8"/>
    </row>
    <row r="300" spans="13:13" ht="20.100000000000001" customHeight="1" x14ac:dyDescent="0.25">
      <c r="M300" s="8"/>
    </row>
    <row r="301" spans="13:13" ht="20.100000000000001" customHeight="1" x14ac:dyDescent="0.25">
      <c r="M301" s="8"/>
    </row>
    <row r="302" spans="13:13" ht="20.100000000000001" customHeight="1" x14ac:dyDescent="0.25">
      <c r="M302" s="8"/>
    </row>
    <row r="303" spans="13:13" ht="20.100000000000001" customHeight="1" x14ac:dyDescent="0.25">
      <c r="M303" s="8"/>
    </row>
    <row r="304" spans="13:13" ht="20.100000000000001" customHeight="1" x14ac:dyDescent="0.25">
      <c r="M304" s="8"/>
    </row>
    <row r="305" spans="13:13" ht="20.100000000000001" customHeight="1" x14ac:dyDescent="0.25">
      <c r="M305" s="8"/>
    </row>
    <row r="306" spans="13:13" ht="20.100000000000001" customHeight="1" x14ac:dyDescent="0.25">
      <c r="M306" s="8"/>
    </row>
    <row r="307" spans="13:13" ht="20.100000000000001" customHeight="1" x14ac:dyDescent="0.25">
      <c r="M307" s="8"/>
    </row>
    <row r="308" spans="13:13" ht="20.100000000000001" customHeight="1" x14ac:dyDescent="0.25">
      <c r="M308" s="8"/>
    </row>
    <row r="309" spans="13:13" ht="20.100000000000001" customHeight="1" x14ac:dyDescent="0.25">
      <c r="M309" s="8"/>
    </row>
    <row r="310" spans="13:13" ht="20.100000000000001" customHeight="1" x14ac:dyDescent="0.25">
      <c r="M310" s="8"/>
    </row>
    <row r="311" spans="13:13" ht="20.100000000000001" customHeight="1" x14ac:dyDescent="0.25">
      <c r="M311" s="8"/>
    </row>
    <row r="312" spans="13:13" ht="20.100000000000001" customHeight="1" x14ac:dyDescent="0.25">
      <c r="M312" s="8"/>
    </row>
    <row r="313" spans="13:13" ht="20.100000000000001" customHeight="1" x14ac:dyDescent="0.25">
      <c r="M313" s="8"/>
    </row>
    <row r="314" spans="13:13" ht="20.100000000000001" customHeight="1" x14ac:dyDescent="0.25">
      <c r="M314" s="8"/>
    </row>
    <row r="315" spans="13:13" ht="20.100000000000001" customHeight="1" x14ac:dyDescent="0.25">
      <c r="M315" s="8"/>
    </row>
    <row r="316" spans="13:13" ht="20.100000000000001" customHeight="1" x14ac:dyDescent="0.25">
      <c r="M316" s="8"/>
    </row>
    <row r="317" spans="13:13" ht="20.100000000000001" customHeight="1" x14ac:dyDescent="0.25">
      <c r="M317" s="8"/>
    </row>
    <row r="318" spans="13:13" ht="20.100000000000001" customHeight="1" x14ac:dyDescent="0.25">
      <c r="M318" s="8"/>
    </row>
    <row r="319" spans="13:13" ht="20.100000000000001" customHeight="1" x14ac:dyDescent="0.25">
      <c r="M319" s="8"/>
    </row>
    <row r="320" spans="13:13" ht="20.100000000000001" customHeight="1" x14ac:dyDescent="0.25">
      <c r="M320" s="8"/>
    </row>
    <row r="321" spans="13:13" ht="20.100000000000001" customHeight="1" x14ac:dyDescent="0.25">
      <c r="M321" s="8"/>
    </row>
    <row r="322" spans="13:13" ht="20.100000000000001" customHeight="1" x14ac:dyDescent="0.25">
      <c r="M322" s="8"/>
    </row>
    <row r="323" spans="13:13" ht="20.100000000000001" customHeight="1" x14ac:dyDescent="0.25">
      <c r="M323" s="8"/>
    </row>
    <row r="324" spans="13:13" ht="20.100000000000001" customHeight="1" x14ac:dyDescent="0.25">
      <c r="M324" s="8"/>
    </row>
    <row r="325" spans="13:13" ht="20.100000000000001" customHeight="1" x14ac:dyDescent="0.25">
      <c r="M325" s="8"/>
    </row>
    <row r="326" spans="13:13" ht="20.100000000000001" customHeight="1" x14ac:dyDescent="0.25">
      <c r="M326" s="8"/>
    </row>
    <row r="327" spans="13:13" ht="20.100000000000001" customHeight="1" x14ac:dyDescent="0.25">
      <c r="M327" s="8"/>
    </row>
    <row r="328" spans="13:13" ht="20.100000000000001" customHeight="1" x14ac:dyDescent="0.25">
      <c r="M328" s="8"/>
    </row>
    <row r="329" spans="13:13" ht="20.100000000000001" customHeight="1" x14ac:dyDescent="0.25">
      <c r="M329" s="8"/>
    </row>
    <row r="330" spans="13:13" ht="20.100000000000001" customHeight="1" x14ac:dyDescent="0.25">
      <c r="M330" s="8"/>
    </row>
    <row r="331" spans="13:13" ht="20.100000000000001" customHeight="1" x14ac:dyDescent="0.25">
      <c r="M331" s="8"/>
    </row>
    <row r="332" spans="13:13" ht="20.100000000000001" customHeight="1" x14ac:dyDescent="0.25">
      <c r="M332" s="8"/>
    </row>
    <row r="333" spans="13:13" ht="20.100000000000001" customHeight="1" x14ac:dyDescent="0.25">
      <c r="M333" s="8"/>
    </row>
    <row r="334" spans="13:13" ht="20.100000000000001" customHeight="1" x14ac:dyDescent="0.25">
      <c r="M334" s="8"/>
    </row>
    <row r="335" spans="13:13" ht="20.100000000000001" customHeight="1" x14ac:dyDescent="0.25">
      <c r="M335" s="8"/>
    </row>
    <row r="336" spans="13:13" ht="20.100000000000001" customHeight="1" x14ac:dyDescent="0.25">
      <c r="M336" s="8"/>
    </row>
    <row r="337" spans="13:13" ht="20.100000000000001" customHeight="1" x14ac:dyDescent="0.25">
      <c r="M337" s="8"/>
    </row>
    <row r="338" spans="13:13" ht="20.100000000000001" customHeight="1" x14ac:dyDescent="0.25">
      <c r="M338" s="8"/>
    </row>
    <row r="339" spans="13:13" ht="20.100000000000001" customHeight="1" x14ac:dyDescent="0.25">
      <c r="M339" s="8"/>
    </row>
    <row r="340" spans="13:13" ht="20.100000000000001" customHeight="1" x14ac:dyDescent="0.25">
      <c r="M340" s="8"/>
    </row>
    <row r="341" spans="13:13" ht="20.100000000000001" customHeight="1" x14ac:dyDescent="0.25">
      <c r="M341" s="8"/>
    </row>
    <row r="342" spans="13:13" ht="20.100000000000001" customHeight="1" x14ac:dyDescent="0.25">
      <c r="M342" s="8"/>
    </row>
    <row r="343" spans="13:13" ht="20.100000000000001" customHeight="1" x14ac:dyDescent="0.25">
      <c r="M343" s="8"/>
    </row>
    <row r="344" spans="13:13" ht="20.100000000000001" customHeight="1" x14ac:dyDescent="0.25">
      <c r="M344" s="8"/>
    </row>
    <row r="345" spans="13:13" ht="20.100000000000001" customHeight="1" x14ac:dyDescent="0.25">
      <c r="M345" s="8"/>
    </row>
    <row r="346" spans="13:13" ht="20.100000000000001" customHeight="1" x14ac:dyDescent="0.25">
      <c r="M346" s="8"/>
    </row>
    <row r="347" spans="13:13" ht="20.100000000000001" customHeight="1" x14ac:dyDescent="0.25">
      <c r="M347" s="8"/>
    </row>
    <row r="348" spans="13:13" ht="20.100000000000001" customHeight="1" x14ac:dyDescent="0.25">
      <c r="M348" s="8"/>
    </row>
    <row r="349" spans="13:13" ht="20.100000000000001" customHeight="1" x14ac:dyDescent="0.25">
      <c r="M349" s="8"/>
    </row>
    <row r="350" spans="13:13" ht="20.100000000000001" customHeight="1" x14ac:dyDescent="0.25">
      <c r="M350" s="8"/>
    </row>
    <row r="351" spans="13:13" ht="20.100000000000001" customHeight="1" x14ac:dyDescent="0.25">
      <c r="M351" s="8"/>
    </row>
    <row r="352" spans="13:13" ht="20.100000000000001" customHeight="1" x14ac:dyDescent="0.25">
      <c r="M352" s="8"/>
    </row>
    <row r="353" spans="13:13" ht="20.100000000000001" customHeight="1" x14ac:dyDescent="0.25">
      <c r="M353" s="8"/>
    </row>
    <row r="354" spans="13:13" ht="20.100000000000001" customHeight="1" x14ac:dyDescent="0.25">
      <c r="M354" s="8"/>
    </row>
    <row r="355" spans="13:13" ht="20.100000000000001" customHeight="1" x14ac:dyDescent="0.25">
      <c r="M355" s="8"/>
    </row>
    <row r="356" spans="13:13" ht="20.100000000000001" customHeight="1" x14ac:dyDescent="0.25">
      <c r="M356" s="8"/>
    </row>
    <row r="357" spans="13:13" ht="20.100000000000001" customHeight="1" x14ac:dyDescent="0.25">
      <c r="M357" s="8"/>
    </row>
    <row r="358" spans="13:13" ht="20.100000000000001" customHeight="1" x14ac:dyDescent="0.25">
      <c r="M358" s="8"/>
    </row>
    <row r="359" spans="13:13" ht="20.100000000000001" customHeight="1" x14ac:dyDescent="0.25">
      <c r="M359" s="8"/>
    </row>
    <row r="360" spans="13:13" ht="20.100000000000001" customHeight="1" x14ac:dyDescent="0.25">
      <c r="M360" s="8"/>
    </row>
    <row r="361" spans="13:13" ht="20.100000000000001" customHeight="1" x14ac:dyDescent="0.25">
      <c r="M361" s="8"/>
    </row>
    <row r="362" spans="13:13" ht="20.100000000000001" customHeight="1" x14ac:dyDescent="0.25">
      <c r="M362" s="8"/>
    </row>
    <row r="363" spans="13:13" ht="20.100000000000001" customHeight="1" x14ac:dyDescent="0.25">
      <c r="M363" s="8"/>
    </row>
    <row r="364" spans="13:13" ht="20.100000000000001" customHeight="1" x14ac:dyDescent="0.25">
      <c r="M364" s="8"/>
    </row>
    <row r="365" spans="13:13" ht="20.100000000000001" customHeight="1" x14ac:dyDescent="0.25">
      <c r="M365" s="8"/>
    </row>
    <row r="366" spans="13:13" ht="20.100000000000001" customHeight="1" x14ac:dyDescent="0.25">
      <c r="M366" s="8"/>
    </row>
    <row r="367" spans="13:13" ht="20.100000000000001" customHeight="1" x14ac:dyDescent="0.25">
      <c r="M367" s="8"/>
    </row>
    <row r="368" spans="13:13" ht="20.100000000000001" customHeight="1" x14ac:dyDescent="0.25">
      <c r="M368" s="8"/>
    </row>
    <row r="369" spans="13:13" ht="20.100000000000001" customHeight="1" x14ac:dyDescent="0.25">
      <c r="M369" s="8"/>
    </row>
    <row r="370" spans="13:13" ht="20.100000000000001" customHeight="1" x14ac:dyDescent="0.25">
      <c r="M370" s="8"/>
    </row>
    <row r="371" spans="13:13" ht="20.100000000000001" customHeight="1" x14ac:dyDescent="0.25">
      <c r="M371" s="8"/>
    </row>
    <row r="372" spans="13:13" ht="20.100000000000001" customHeight="1" x14ac:dyDescent="0.25">
      <c r="M372" s="8"/>
    </row>
    <row r="373" spans="13:13" ht="20.100000000000001" customHeight="1" x14ac:dyDescent="0.25">
      <c r="M373" s="8"/>
    </row>
    <row r="374" spans="13:13" ht="20.100000000000001" customHeight="1" x14ac:dyDescent="0.25">
      <c r="M374" s="8"/>
    </row>
    <row r="375" spans="13:13" ht="20.100000000000001" customHeight="1" x14ac:dyDescent="0.25">
      <c r="M375" s="8"/>
    </row>
    <row r="376" spans="13:13" ht="20.100000000000001" customHeight="1" x14ac:dyDescent="0.25">
      <c r="M376" s="8"/>
    </row>
    <row r="377" spans="13:13" ht="20.100000000000001" customHeight="1" x14ac:dyDescent="0.25">
      <c r="M377" s="8"/>
    </row>
    <row r="378" spans="13:13" ht="20.100000000000001" customHeight="1" x14ac:dyDescent="0.25">
      <c r="M378" s="8"/>
    </row>
    <row r="379" spans="13:13" ht="20.100000000000001" customHeight="1" x14ac:dyDescent="0.25">
      <c r="M379" s="8"/>
    </row>
    <row r="380" spans="13:13" ht="20.100000000000001" customHeight="1" x14ac:dyDescent="0.25">
      <c r="M380" s="8"/>
    </row>
    <row r="381" spans="13:13" ht="20.100000000000001" customHeight="1" x14ac:dyDescent="0.25">
      <c r="M381" s="8"/>
    </row>
    <row r="382" spans="13:13" ht="20.100000000000001" customHeight="1" x14ac:dyDescent="0.25">
      <c r="M382" s="8"/>
    </row>
    <row r="383" spans="13:13" ht="20.100000000000001" customHeight="1" x14ac:dyDescent="0.25">
      <c r="M383" s="8"/>
    </row>
    <row r="384" spans="13:13" ht="20.100000000000001" customHeight="1" x14ac:dyDescent="0.25">
      <c r="M384" s="8"/>
    </row>
    <row r="385" spans="13:13" ht="20.100000000000001" customHeight="1" x14ac:dyDescent="0.25">
      <c r="M385" s="8"/>
    </row>
    <row r="386" spans="13:13" ht="20.100000000000001" customHeight="1" x14ac:dyDescent="0.25">
      <c r="M386" s="8"/>
    </row>
    <row r="387" spans="13:13" ht="20.100000000000001" customHeight="1" x14ac:dyDescent="0.25">
      <c r="M387" s="8"/>
    </row>
    <row r="388" spans="13:13" ht="20.100000000000001" customHeight="1" x14ac:dyDescent="0.25">
      <c r="M388" s="8"/>
    </row>
    <row r="389" spans="13:13" ht="20.100000000000001" customHeight="1" x14ac:dyDescent="0.25">
      <c r="M389" s="8"/>
    </row>
    <row r="390" spans="13:13" ht="20.100000000000001" customHeight="1" x14ac:dyDescent="0.25">
      <c r="M390" s="8"/>
    </row>
    <row r="391" spans="13:13" ht="20.100000000000001" customHeight="1" x14ac:dyDescent="0.25">
      <c r="M391" s="8"/>
    </row>
    <row r="392" spans="13:13" ht="20.100000000000001" customHeight="1" x14ac:dyDescent="0.25">
      <c r="M392" s="8"/>
    </row>
    <row r="393" spans="13:13" ht="20.100000000000001" customHeight="1" x14ac:dyDescent="0.25">
      <c r="M393" s="8"/>
    </row>
    <row r="394" spans="13:13" ht="20.100000000000001" customHeight="1" x14ac:dyDescent="0.25">
      <c r="M394" s="8"/>
    </row>
    <row r="395" spans="13:13" ht="20.100000000000001" customHeight="1" x14ac:dyDescent="0.25">
      <c r="M395" s="8"/>
    </row>
    <row r="396" spans="13:13" ht="20.100000000000001" customHeight="1" x14ac:dyDescent="0.25">
      <c r="M396" s="8"/>
    </row>
    <row r="397" spans="13:13" ht="20.100000000000001" customHeight="1" x14ac:dyDescent="0.25">
      <c r="M397" s="8"/>
    </row>
    <row r="398" spans="13:13" ht="20.100000000000001" customHeight="1" x14ac:dyDescent="0.25">
      <c r="M398" s="8"/>
    </row>
    <row r="399" spans="13:13" ht="20.100000000000001" customHeight="1" x14ac:dyDescent="0.25">
      <c r="M399" s="8"/>
    </row>
    <row r="400" spans="13:13" ht="20.100000000000001" customHeight="1" x14ac:dyDescent="0.25">
      <c r="M400" s="8"/>
    </row>
    <row r="401" spans="13:13" ht="20.100000000000001" customHeight="1" x14ac:dyDescent="0.25">
      <c r="M401" s="8"/>
    </row>
    <row r="402" spans="13:13" ht="20.100000000000001" customHeight="1" x14ac:dyDescent="0.25">
      <c r="M402" s="8"/>
    </row>
    <row r="403" spans="13:13" ht="20.100000000000001" customHeight="1" x14ac:dyDescent="0.25">
      <c r="M403" s="8"/>
    </row>
    <row r="404" spans="13:13" ht="20.100000000000001" customHeight="1" x14ac:dyDescent="0.25">
      <c r="M404" s="8"/>
    </row>
    <row r="405" spans="13:13" ht="20.100000000000001" customHeight="1" x14ac:dyDescent="0.25">
      <c r="M405" s="8"/>
    </row>
    <row r="406" spans="13:13" ht="20.100000000000001" customHeight="1" x14ac:dyDescent="0.25">
      <c r="M406" s="8"/>
    </row>
    <row r="407" spans="13:13" ht="20.100000000000001" customHeight="1" x14ac:dyDescent="0.25">
      <c r="M407" s="8"/>
    </row>
    <row r="408" spans="13:13" ht="20.100000000000001" customHeight="1" x14ac:dyDescent="0.25">
      <c r="M408" s="8"/>
    </row>
    <row r="409" spans="13:13" ht="20.100000000000001" customHeight="1" x14ac:dyDescent="0.25">
      <c r="M409" s="8"/>
    </row>
    <row r="410" spans="13:13" ht="20.100000000000001" customHeight="1" x14ac:dyDescent="0.25">
      <c r="M410" s="8"/>
    </row>
    <row r="411" spans="13:13" ht="20.100000000000001" customHeight="1" x14ac:dyDescent="0.25">
      <c r="M411" s="8"/>
    </row>
    <row r="412" spans="13:13" ht="20.100000000000001" customHeight="1" x14ac:dyDescent="0.25">
      <c r="M412" s="8"/>
    </row>
    <row r="413" spans="13:13" ht="20.100000000000001" customHeight="1" x14ac:dyDescent="0.25">
      <c r="M413" s="8"/>
    </row>
    <row r="414" spans="13:13" ht="20.100000000000001" customHeight="1" x14ac:dyDescent="0.25">
      <c r="M414" s="8"/>
    </row>
    <row r="415" spans="13:13" ht="20.100000000000001" customHeight="1" x14ac:dyDescent="0.25">
      <c r="M415" s="8"/>
    </row>
    <row r="416" spans="13:13" ht="20.100000000000001" customHeight="1" x14ac:dyDescent="0.25">
      <c r="M416" s="8"/>
    </row>
    <row r="417" spans="13:13" ht="20.100000000000001" customHeight="1" x14ac:dyDescent="0.25">
      <c r="M417" s="8"/>
    </row>
    <row r="418" spans="13:13" ht="20.100000000000001" customHeight="1" x14ac:dyDescent="0.25">
      <c r="M418" s="8"/>
    </row>
    <row r="419" spans="13:13" ht="20.100000000000001" customHeight="1" x14ac:dyDescent="0.25">
      <c r="M419" s="8"/>
    </row>
    <row r="420" spans="13:13" ht="20.100000000000001" customHeight="1" x14ac:dyDescent="0.25">
      <c r="M420" s="8"/>
    </row>
    <row r="421" spans="13:13" ht="20.100000000000001" customHeight="1" x14ac:dyDescent="0.25">
      <c r="M421" s="8"/>
    </row>
    <row r="422" spans="13:13" ht="20.100000000000001" customHeight="1" x14ac:dyDescent="0.25">
      <c r="M422" s="8"/>
    </row>
    <row r="423" spans="13:13" ht="20.100000000000001" customHeight="1" x14ac:dyDescent="0.25">
      <c r="M423" s="8"/>
    </row>
    <row r="424" spans="13:13" ht="20.100000000000001" customHeight="1" x14ac:dyDescent="0.25">
      <c r="M424" s="8"/>
    </row>
    <row r="425" spans="13:13" ht="20.100000000000001" customHeight="1" x14ac:dyDescent="0.25">
      <c r="M425" s="8"/>
    </row>
    <row r="426" spans="13:13" ht="20.100000000000001" customHeight="1" x14ac:dyDescent="0.25">
      <c r="M426" s="8"/>
    </row>
    <row r="427" spans="13:13" ht="20.100000000000001" customHeight="1" x14ac:dyDescent="0.25">
      <c r="M427" s="8"/>
    </row>
    <row r="428" spans="13:13" ht="20.100000000000001" customHeight="1" x14ac:dyDescent="0.25">
      <c r="M428" s="8"/>
    </row>
    <row r="429" spans="13:13" ht="20.100000000000001" customHeight="1" x14ac:dyDescent="0.25">
      <c r="M429" s="8"/>
    </row>
    <row r="430" spans="13:13" ht="20.100000000000001" customHeight="1" x14ac:dyDescent="0.25">
      <c r="M430" s="8"/>
    </row>
    <row r="431" spans="13:13" ht="20.100000000000001" customHeight="1" x14ac:dyDescent="0.25">
      <c r="M431" s="8"/>
    </row>
    <row r="432" spans="13:13" ht="20.100000000000001" customHeight="1" x14ac:dyDescent="0.25">
      <c r="M432" s="8"/>
    </row>
    <row r="433" spans="13:13" ht="20.100000000000001" customHeight="1" x14ac:dyDescent="0.25">
      <c r="M433" s="8"/>
    </row>
    <row r="434" spans="13:13" ht="20.100000000000001" customHeight="1" x14ac:dyDescent="0.25">
      <c r="M434" s="8"/>
    </row>
    <row r="435" spans="13:13" ht="20.100000000000001" customHeight="1" x14ac:dyDescent="0.25">
      <c r="M435" s="8"/>
    </row>
    <row r="436" spans="13:13" ht="20.100000000000001" customHeight="1" x14ac:dyDescent="0.25">
      <c r="M436" s="8"/>
    </row>
    <row r="437" spans="13:13" ht="20.100000000000001" customHeight="1" x14ac:dyDescent="0.25">
      <c r="M437" s="8"/>
    </row>
    <row r="438" spans="13:13" ht="20.100000000000001" customHeight="1" x14ac:dyDescent="0.25">
      <c r="M438" s="8"/>
    </row>
    <row r="439" spans="13:13" ht="20.100000000000001" customHeight="1" x14ac:dyDescent="0.25">
      <c r="M439" s="8"/>
    </row>
    <row r="440" spans="13:13" ht="20.100000000000001" customHeight="1" x14ac:dyDescent="0.25">
      <c r="M440" s="8"/>
    </row>
    <row r="441" spans="13:13" ht="20.100000000000001" customHeight="1" x14ac:dyDescent="0.25">
      <c r="M441" s="8"/>
    </row>
    <row r="442" spans="13:13" ht="20.100000000000001" customHeight="1" x14ac:dyDescent="0.25">
      <c r="M442" s="8"/>
    </row>
    <row r="443" spans="13:13" ht="20.100000000000001" customHeight="1" x14ac:dyDescent="0.25">
      <c r="M443" s="8"/>
    </row>
    <row r="444" spans="13:13" ht="20.100000000000001" customHeight="1" x14ac:dyDescent="0.25">
      <c r="M444" s="8"/>
    </row>
    <row r="445" spans="13:13" ht="20.100000000000001" customHeight="1" x14ac:dyDescent="0.25">
      <c r="M445" s="8"/>
    </row>
    <row r="446" spans="13:13" ht="20.100000000000001" customHeight="1" x14ac:dyDescent="0.25">
      <c r="M446" s="8"/>
    </row>
    <row r="447" spans="13:13" ht="20.100000000000001" customHeight="1" x14ac:dyDescent="0.25">
      <c r="M447" s="8"/>
    </row>
    <row r="448" spans="13:13" ht="20.100000000000001" customHeight="1" x14ac:dyDescent="0.25">
      <c r="M448" s="8"/>
    </row>
    <row r="449" spans="13:13" ht="20.100000000000001" customHeight="1" x14ac:dyDescent="0.25">
      <c r="M449" s="8"/>
    </row>
    <row r="450" spans="13:13" ht="20.100000000000001" customHeight="1" x14ac:dyDescent="0.25">
      <c r="M450" s="8"/>
    </row>
    <row r="451" spans="13:13" ht="20.100000000000001" customHeight="1" x14ac:dyDescent="0.25">
      <c r="M451" s="8"/>
    </row>
    <row r="452" spans="13:13" ht="20.100000000000001" customHeight="1" x14ac:dyDescent="0.25">
      <c r="M452" s="8"/>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C222-496E-45C5-BEA4-AE3CDAFBCDBA}">
  <sheetPr>
    <tabColor theme="2" tint="-0.499984740745262"/>
  </sheetPr>
  <dimension ref="A1:W452"/>
  <sheetViews>
    <sheetView showGridLines="0" topLeftCell="A104" zoomScaleNormal="100" workbookViewId="0">
      <selection activeCell="D120" sqref="D120:F132"/>
    </sheetView>
  </sheetViews>
  <sheetFormatPr defaultColWidth="9" defaultRowHeight="20.100000000000001" customHeight="1" x14ac:dyDescent="0.25"/>
  <cols>
    <col min="1" max="1" width="26.85546875" style="3" customWidth="1"/>
    <col min="2" max="2" width="4.140625" style="3" customWidth="1"/>
    <col min="3" max="3" width="4.140625" style="8" customWidth="1"/>
    <col min="4" max="5" width="26.85546875" style="8" customWidth="1"/>
    <col min="6" max="6" width="27.28515625" style="8" customWidth="1"/>
    <col min="7" max="7" width="28.42578125" style="8" customWidth="1"/>
    <col min="8" max="12" width="26.85546875" style="8" customWidth="1"/>
    <col min="13" max="13" width="26.85546875" style="3" customWidth="1"/>
    <col min="14" max="20" width="26.85546875" style="8" customWidth="1"/>
    <col min="21" max="21" width="4.140625" style="8" customWidth="1"/>
    <col min="22" max="16384" width="9" style="3"/>
  </cols>
  <sheetData>
    <row r="1" spans="1:21" s="1" customFormat="1" ht="30" customHeight="1" x14ac:dyDescent="0.35">
      <c r="A1" s="37" t="e" vm="1">
        <v>#VALUE!</v>
      </c>
      <c r="C1" s="1" t="s">
        <v>538</v>
      </c>
    </row>
    <row r="2" spans="1:21" s="2" customFormat="1" ht="20.100000000000001" customHeight="1" x14ac:dyDescent="0.2">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M5" s="8"/>
    </row>
    <row r="6" spans="1:21" ht="20.100000000000001" customHeight="1" x14ac:dyDescent="0.25">
      <c r="A6"/>
      <c r="D6" s="9" t="s">
        <v>539</v>
      </c>
      <c r="G6" s="9" t="s">
        <v>143</v>
      </c>
      <c r="M6" s="8"/>
    </row>
    <row r="7" spans="1:21" ht="20.100000000000001" customHeight="1" x14ac:dyDescent="0.25">
      <c r="A7" s="19" t="s">
        <v>67</v>
      </c>
      <c r="M7" s="8"/>
    </row>
    <row r="8" spans="1:21" ht="20.100000000000001" customHeight="1" x14ac:dyDescent="0.25">
      <c r="A8" s="16" t="str">
        <f>HYPERLINK("#'Input - Site'!A1", "Site")</f>
        <v>Site</v>
      </c>
      <c r="D8" s="10" t="s">
        <v>145</v>
      </c>
      <c r="G8" s="10" t="s">
        <v>43</v>
      </c>
      <c r="M8" s="8"/>
    </row>
    <row r="9" spans="1:21" ht="20.100000000000001" customHeight="1" x14ac:dyDescent="0.25">
      <c r="A9" s="16" t="str">
        <f>HYPERLINK("#'Input - Fuel'!A1", "Fuel")</f>
        <v>Fuel</v>
      </c>
      <c r="D9" s="10" t="s">
        <v>147</v>
      </c>
      <c r="G9" s="10" t="s">
        <v>148</v>
      </c>
      <c r="M9" s="8"/>
    </row>
    <row r="10" spans="1:21" ht="20.100000000000001" customHeight="1" x14ac:dyDescent="0.25">
      <c r="A10" s="16" t="str">
        <f>HYPERLINK("#'Input - Fertiliser'!A1", "Fertiliser")</f>
        <v>Fertiliser</v>
      </c>
      <c r="D10" s="8" t="s">
        <v>150</v>
      </c>
      <c r="G10" s="10" t="s">
        <v>152</v>
      </c>
      <c r="M10" s="8"/>
    </row>
    <row r="11" spans="1:21" ht="20.100000000000001" customHeight="1" x14ac:dyDescent="0.25">
      <c r="A11" s="16" t="str">
        <f>HYPERLINK("#'Input - Farm Inputs'!A1", "Farm Inputs")</f>
        <v>Farm Inputs</v>
      </c>
      <c r="G11" s="8" t="s">
        <v>155</v>
      </c>
      <c r="M11" s="8"/>
    </row>
    <row r="12" spans="1:21" ht="20.100000000000001" customHeight="1" x14ac:dyDescent="0.25">
      <c r="A12" s="16" t="str">
        <f>HYPERLINK("#'Input - Livestock purchases'!A1", "Livestock purchases")</f>
        <v>Livestock purchases</v>
      </c>
      <c r="G12" s="8" t="s">
        <v>158</v>
      </c>
      <c r="M12" s="8"/>
    </row>
    <row r="13" spans="1:21" ht="20.100000000000001" customHeight="1" x14ac:dyDescent="0.25">
      <c r="A13" s="16" t="str">
        <f>HYPERLINK("#'Input - Freight'!A1", "Freight")</f>
        <v>Freight</v>
      </c>
      <c r="G13" s="8" t="s">
        <v>160</v>
      </c>
      <c r="M13" s="8"/>
    </row>
    <row r="14" spans="1:21" ht="20.100000000000001" customHeight="1" x14ac:dyDescent="0.25">
      <c r="A14" s="16" t="str">
        <f>HYPERLINK("#'Input - Solid waste'!A1", "Solid waste")</f>
        <v>Solid waste</v>
      </c>
      <c r="D14" s="9" t="str" cm="1">
        <f t="array" ref="D14">SourceData_Swine.SourceData_Swine_FracLEACH_DrylotMMS_Title()</f>
        <v>Fraction of nitrogen lost through leaching and runoff for drylot MMS</v>
      </c>
      <c r="M14" s="8"/>
    </row>
    <row r="15" spans="1:21" ht="20.100000000000001" customHeight="1" x14ac:dyDescent="0.25">
      <c r="A15" s="16" t="str">
        <f>HYPERLINK("#'Input - Manure sent off-site'!A1", "Manure sent off-site")</f>
        <v>Manure sent off-site</v>
      </c>
      <c r="D15" s="11" t="str" cm="1">
        <f t="array" ref="D15">SourceData_Swine.SourceData_Swine_FracLEACH_DrylotMMS_Source()</f>
        <v>VEERG 2026: 4.5.2.3 CONSTANT</v>
      </c>
      <c r="M15" s="8"/>
    </row>
    <row r="16" spans="1:21" ht="20.100000000000001" customHeight="1" x14ac:dyDescent="0.25">
      <c r="A16" s="16" t="str">
        <f>HYPERLINK("#'Input - Electricity'!A1", "Electricity")</f>
        <v>Electricity</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A17"/>
      <c r="D17" s="27"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c r="M18" s="8"/>
    </row>
    <row r="19" spans="1:13" ht="20.100000000000001" customHeight="1" x14ac:dyDescent="0.25">
      <c r="A19" s="21" t="s">
        <v>77</v>
      </c>
      <c r="D19" s="9" t="str" cm="1">
        <f t="array" ref="D19">SourceData_Swine.SourceData_Swine_MethaneVolatileSolidsEmissionsPotential_Title()</f>
        <v>Emissions potential of methane per kilogram of volatile solids</v>
      </c>
      <c r="M19" s="8"/>
    </row>
    <row r="20" spans="1:13" ht="20.100000000000001" customHeight="1" x14ac:dyDescent="0.25">
      <c r="A20" s="16" t="str">
        <f>HYPERLINK("#'15 Scope 3'!A1", "15 Scope 3")</f>
        <v>15 Scope 3</v>
      </c>
      <c r="D20" s="11" t="str" cm="1">
        <f t="array" ref="D20">SourceData_Swine.SourceData_Swine_MethaneVolatileSolidsEmissionsPotential_Source()</f>
        <v>IPCC (2019), Chapter 10 [4]</v>
      </c>
      <c r="M20" s="8"/>
    </row>
    <row r="21" spans="1:13" ht="20.100000000000001" customHeight="1" x14ac:dyDescent="0.25">
      <c r="A21" s="16" t="str">
        <f>HYPERLINK("#'10.1.1-2 Solid waste treatment'!A1", "10.1.1-2 Solid waste treatment")</f>
        <v>10.1.1-2 Solid waste treatment</v>
      </c>
      <c r="D21" s="27"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A22" s="16" t="str">
        <f>HYPERLINK("#'Calcs - Manure sent off-site'!A1", "Calcs - Manure sent off-site")</f>
        <v>Calcs - Manure sent off-site</v>
      </c>
      <c r="M22" s="8"/>
    </row>
    <row r="23" spans="1:13" ht="20.100000000000001" customHeight="1" x14ac:dyDescent="0.25">
      <c r="A23" s="16" t="str">
        <f>HYPERLINK("#'8.1.1.1-2 Transport fuel'!A1", "8.1.1.1-2 Transport fuel")</f>
        <v>8.1.1.1-2 Transport fuel</v>
      </c>
      <c r="M23" s="8"/>
    </row>
    <row r="24" spans="1:13" ht="20.100000000000001" customHeight="1" x14ac:dyDescent="0.25">
      <c r="A24" s="16" t="str">
        <f>HYPERLINK("#'8.2.1.1-2 Stationary fuel'!A1", "8.2.1.1-2 Stationary fuel")</f>
        <v>8.2.1.1-2 Stationary fuel</v>
      </c>
      <c r="D24" s="9" t="str" cm="1">
        <f t="array" ref="D24">SourceData_Swine.SourceData_Swine_MMS_MCFs_Title()</f>
        <v>Methane conversion factor for temperature zone and manure management system.</v>
      </c>
      <c r="H24" s="148" t="s">
        <v>540</v>
      </c>
      <c r="M24" s="8"/>
    </row>
    <row r="25" spans="1:13" ht="20.100000000000001" customHeight="1" x14ac:dyDescent="0.25">
      <c r="A25"/>
      <c r="D25" s="11" t="str" cm="1">
        <f t="array" ref="D25">SourceData_Swine.SourceData_Swine_MMS_MCFs_Source()</f>
        <v>VEERG 2026: Table A.1.6.4: Swine - MCFs (MCFim)</v>
      </c>
      <c r="H25" s="148" t="s">
        <v>541</v>
      </c>
      <c r="M25" s="8"/>
    </row>
    <row r="26" spans="1:13" ht="20.100000000000001" customHeight="1" x14ac:dyDescent="0.25">
      <c r="A26"/>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A27" s="213" t="s">
        <v>78</v>
      </c>
      <c r="M27" s="8"/>
    </row>
    <row r="28" spans="1:13" ht="20.100000000000001" customHeight="1" x14ac:dyDescent="0.25">
      <c r="A28" s="16" t="str">
        <f>HYPERLINK("#'Constants - Scope 3'!A1", "Constants - Scope 3")</f>
        <v>Constants - Scope 3</v>
      </c>
      <c r="D28" s="10" t="s">
        <v>517</v>
      </c>
      <c r="E28" s="10" t="s">
        <v>331</v>
      </c>
      <c r="F28" s="10" t="s">
        <v>308</v>
      </c>
      <c r="G28" s="10" t="s">
        <v>332</v>
      </c>
      <c r="H28" s="10" t="s">
        <v>427</v>
      </c>
      <c r="I28" s="10" t="s">
        <v>386</v>
      </c>
      <c r="J28" s="10" t="s">
        <v>384</v>
      </c>
      <c r="K28" s="10" t="s">
        <v>337</v>
      </c>
      <c r="L28" s="10" t="s">
        <v>338</v>
      </c>
      <c r="M28" s="10" t="s">
        <v>542</v>
      </c>
    </row>
    <row r="29" spans="1:13" ht="20.100000000000001" customHeight="1" x14ac:dyDescent="0.25">
      <c r="A29" s="16" t="str">
        <f>HYPERLINK("#'Constants - Solid Waste'!A1", "Constants - Solid Waste")</f>
        <v>Constants - Solid Waste</v>
      </c>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A30" s="16" t="str">
        <f>HYPERLINK("#'Constants - Fuel'!A1", "Constants - Fuel")</f>
        <v>Constants - Fuel</v>
      </c>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A31" s="16" t="str">
        <f>HYPERLINK("#'Constants - Poultry'!A1", "Constants - Poultry")</f>
        <v>Constants - Poultry</v>
      </c>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A32" s="23" t="str">
        <f>HYPERLINK("#'Constants - Swine'!A1", "Constants - Swine")</f>
        <v>Constants - Swine</v>
      </c>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1:13" ht="20.100000000000001" customHeight="1" x14ac:dyDescent="0.25">
      <c r="A33" s="16" t="str">
        <f>HYPERLINK("#'Constants - Dairy'!A1", "Constants - Dairy")</f>
        <v>Constants - Dairy</v>
      </c>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1:13" ht="20.100000000000001" customHeight="1" x14ac:dyDescent="0.25">
      <c r="A34" s="16" t="str">
        <f>HYPERLINK("#'Constants - Pasture Beef'!A1", "Constants - Pasture Beef")</f>
        <v>Constants - Pasture Beef</v>
      </c>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1:13" ht="20.100000000000001" customHeight="1" x14ac:dyDescent="0.25">
      <c r="A35" s="16" t="str">
        <f>HYPERLINK("#'Constants - Common Livestock'!A1", "Constants - Common Livestock")</f>
        <v>Constants - Common Livestock</v>
      </c>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1:13" ht="20.100000000000001" customHeight="1" x14ac:dyDescent="0.25">
      <c r="A36" s="16" t="str">
        <f>HYPERLINK("#'Constants - Fertiliser'!A1", "Constants - Fertiliser")</f>
        <v>Constants - Fertiliser</v>
      </c>
      <c r="M36" s="8"/>
    </row>
    <row r="37" spans="1:13" ht="20.100000000000001" customHeight="1" x14ac:dyDescent="0.25">
      <c r="A37" s="16" t="str">
        <f>HYPERLINK("#'Constants - Electricity'!A1", "Constants - Electricity")</f>
        <v>Constants - Electricity</v>
      </c>
      <c r="M37" s="8"/>
    </row>
    <row r="38" spans="1:13" ht="20.100000000000001" customHeight="1" x14ac:dyDescent="0.25">
      <c r="A38" s="16" t="str">
        <f>HYPERLINK("#'Constants - Common'!A1", "Constants - Common")</f>
        <v>Constants - Common</v>
      </c>
      <c r="D38" s="9" t="s">
        <v>543</v>
      </c>
      <c r="G38" s="9" t="s">
        <v>544</v>
      </c>
      <c r="K38" s="9" t="s">
        <v>545</v>
      </c>
      <c r="M38" s="8"/>
    </row>
    <row r="39" spans="1:13" ht="20.100000000000001" customHeight="1" x14ac:dyDescent="0.25">
      <c r="A39"/>
      <c r="M39" s="8"/>
    </row>
    <row r="40" spans="1:13" ht="20.100000000000001" customHeight="1" x14ac:dyDescent="0.25">
      <c r="A40"/>
      <c r="D40" s="150" t="s">
        <v>517</v>
      </c>
      <c r="E40" s="10" t="s">
        <v>324</v>
      </c>
      <c r="G40" s="150" t="s">
        <v>517</v>
      </c>
      <c r="H40" s="10" t="s">
        <v>324</v>
      </c>
      <c r="K40" s="150" t="s">
        <v>517</v>
      </c>
      <c r="L40" s="10" t="s">
        <v>324</v>
      </c>
      <c r="M40" s="8"/>
    </row>
    <row r="41" spans="1:13" ht="20.100000000000001" customHeight="1" x14ac:dyDescent="0.25">
      <c r="A41"/>
      <c r="D41" s="10" t="str">
        <f>'Constants - Common Livestock'!$E$7</f>
        <v>Anaerobic lagoon</v>
      </c>
      <c r="E41" s="10" t="str">
        <f>'Constants - Common Livestock'!$F$7</f>
        <v>Anaerobic lagoon (m=1)</v>
      </c>
      <c r="G41" s="10" t="str">
        <f>'Constants - Common Livestock'!$E$7</f>
        <v>Anaerobic lagoon</v>
      </c>
      <c r="H41" s="10" t="str">
        <f>'Constants - Common Livestock'!$F$7</f>
        <v>Anaerobic lagoon (m=1)</v>
      </c>
      <c r="K41" s="10" t="str">
        <f>'Constants - Common Livestock'!$E$7</f>
        <v>Anaerobic lagoon</v>
      </c>
      <c r="L41" s="10" t="str">
        <f>'Constants - Common Livestock'!$F$7</f>
        <v>Anaerobic lagoon (m=1)</v>
      </c>
      <c r="M41" s="8"/>
    </row>
    <row r="42" spans="1:13" ht="20.100000000000001" customHeight="1" x14ac:dyDescent="0.25">
      <c r="A42"/>
      <c r="D42" s="10" t="str">
        <f>'Constants - Common Livestock'!$E$12</f>
        <v>Solid storage</v>
      </c>
      <c r="E42" s="10" t="str">
        <f>'Constants - Common Livestock'!$F$12</f>
        <v>Solid storage (m=4)</v>
      </c>
      <c r="G42" s="10" t="str">
        <f>'Constants - Common Livestock'!$E$13</f>
        <v>Drylot (feed pad)</v>
      </c>
      <c r="H42" s="10" t="str">
        <f>'Constants - Common Livestock'!$F$13</f>
        <v>Drylot (feed pad) (m=5)</v>
      </c>
      <c r="K42" s="10" t="str">
        <f>'Constants - Common Livestock'!$E$12</f>
        <v>Solid storage</v>
      </c>
      <c r="L42" s="10" t="str">
        <f>'Constants - Common Livestock'!$F$12</f>
        <v>Solid storage (m=4)</v>
      </c>
      <c r="M42" s="8"/>
    </row>
    <row r="43" spans="1:13" ht="20.100000000000001" customHeight="1" x14ac:dyDescent="0.25">
      <c r="A43"/>
      <c r="D43" s="10" t="str">
        <f>'Constants - Common Livestock'!$E$13</f>
        <v>Drylot (feed pad)</v>
      </c>
      <c r="E43" s="10" t="str">
        <f>'Constants - Common Livestock'!$F$13</f>
        <v>Drylot (feed pad) (m=5)</v>
      </c>
      <c r="G43" s="10" t="str">
        <f>'Constants - Common Livestock'!$E$15</f>
        <v>Digester / covered lagoons</v>
      </c>
      <c r="H43" s="10" t="str">
        <f>'Constants - Common Livestock'!$F$15</f>
        <v>Digester / covered lagoons (m=7)</v>
      </c>
      <c r="K43" s="10" t="str">
        <f>'Constants - Common Livestock'!$E$13</f>
        <v>Drylot (feed pad)</v>
      </c>
      <c r="L43" s="10" t="str">
        <f>'Constants - Common Livestock'!$F$13</f>
        <v>Drylot (feed pad) (m=5)</v>
      </c>
      <c r="M43" s="8"/>
    </row>
    <row r="44" spans="1:13" ht="20.100000000000001" customHeight="1" x14ac:dyDescent="0.25">
      <c r="A44"/>
      <c r="D44" s="10" t="str">
        <f>'Constants - Common Livestock'!$E$15</f>
        <v>Digester / covered lagoons</v>
      </c>
      <c r="E44" s="10" t="str">
        <f>'Constants - Common Livestock'!$F$15</f>
        <v>Digester / covered lagoons (m=7)</v>
      </c>
      <c r="G44" s="10" t="str">
        <f>'Constants - Common Livestock'!$E$16</f>
        <v>Deep litter</v>
      </c>
      <c r="H44" s="10" t="str">
        <f>'Constants - Common Livestock'!$F$16</f>
        <v>Deep litter (m=8)</v>
      </c>
      <c r="K44" s="10" t="str">
        <f>'Constants - Common Livestock'!$E$15</f>
        <v>Digester / covered lagoons</v>
      </c>
      <c r="L44" s="10" t="str">
        <f>'Constants - Common Livestock'!$F$15</f>
        <v>Digester / covered lagoons (m=7)</v>
      </c>
      <c r="M44" s="8"/>
    </row>
    <row r="45" spans="1:13" ht="20.100000000000001" customHeight="1" x14ac:dyDescent="0.25">
      <c r="A45"/>
      <c r="D45" s="10" t="str">
        <f>'Constants - Common Livestock'!$E$16</f>
        <v>Deep litter</v>
      </c>
      <c r="E45" s="10" t="str">
        <f>'Constants - Common Livestock'!$F$16</f>
        <v>Deep litter (m=8)</v>
      </c>
      <c r="G45" s="10" t="str">
        <f>'Constants - Common Livestock'!$E$17</f>
        <v>Pit storage</v>
      </c>
      <c r="H45" s="10" t="str">
        <f>'Constants - Common Livestock'!$F$17</f>
        <v>Pit storage (m=9)</v>
      </c>
      <c r="K45" s="10" t="str">
        <f>'Constants - Common Livestock'!$E$16</f>
        <v>Deep litter</v>
      </c>
      <c r="L45" s="10" t="str">
        <f>'Constants - Common Livestock'!$F$16</f>
        <v>Deep litter (m=8)</v>
      </c>
      <c r="M45" s="8"/>
    </row>
    <row r="46" spans="1:13" ht="20.100000000000001" customHeight="1" x14ac:dyDescent="0.25">
      <c r="A46"/>
      <c r="D46" s="10" t="str">
        <f>'Constants - Common Livestock'!$E$17</f>
        <v>Pit storage</v>
      </c>
      <c r="E46" s="10" t="str">
        <f>'Constants - Common Livestock'!$F$17</f>
        <v>Pit storage (m=9)</v>
      </c>
      <c r="K46" s="10" t="str">
        <f>'Constants - Common Livestock'!$E$17</f>
        <v>Pit storage</v>
      </c>
      <c r="L46" s="10" t="str">
        <f>'Constants - Common Livestock'!$F$17</f>
        <v>Pit storage (m=9)</v>
      </c>
      <c r="M46" s="8"/>
    </row>
    <row r="47" spans="1:13" ht="20.100000000000001" customHeight="1" x14ac:dyDescent="0.25">
      <c r="A47"/>
      <c r="D47" s="10" t="str">
        <f>'Constants - Common Livestock'!$E$23</f>
        <v>Direct application</v>
      </c>
      <c r="E47" s="10" t="str">
        <f>'Constants - Common Livestock'!$F$23</f>
        <v>Direct application (m=13)</v>
      </c>
      <c r="M47" s="8"/>
    </row>
    <row r="48" spans="1:13" ht="20.100000000000001" customHeight="1" x14ac:dyDescent="0.25">
      <c r="A48"/>
      <c r="M48" s="8"/>
    </row>
    <row r="49" spans="1:13" ht="20.100000000000001" customHeight="1" x14ac:dyDescent="0.25">
      <c r="A49"/>
      <c r="M49" s="8"/>
    </row>
    <row r="50" spans="1:13" ht="20.100000000000001" customHeight="1" x14ac:dyDescent="0.25">
      <c r="A50"/>
      <c r="M50" s="8"/>
    </row>
    <row r="51" spans="1:13" ht="20.100000000000001" customHeight="1" x14ac:dyDescent="0.25">
      <c r="A51"/>
      <c r="D51" s="9" t="s">
        <v>546</v>
      </c>
      <c r="G51" s="9" t="s">
        <v>547</v>
      </c>
      <c r="M51" s="8"/>
    </row>
    <row r="52" spans="1:13" ht="20.100000000000001" customHeight="1" x14ac:dyDescent="0.25">
      <c r="A52"/>
      <c r="M52" s="8"/>
    </row>
    <row r="53" spans="1:13" ht="20.100000000000001" customHeight="1" x14ac:dyDescent="0.25">
      <c r="A53"/>
      <c r="D53" s="150" t="s">
        <v>517</v>
      </c>
      <c r="E53" s="10" t="s">
        <v>548</v>
      </c>
      <c r="G53" s="10" t="s">
        <v>145</v>
      </c>
      <c r="M53" s="8"/>
    </row>
    <row r="54" spans="1:13" ht="20.100000000000001" customHeight="1" x14ac:dyDescent="0.25">
      <c r="A54"/>
      <c r="D54" s="10" t="str">
        <f>'Constants - Common Livestock'!$E$7</f>
        <v>Anaerobic lagoon</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A55"/>
      <c r="D55" s="10" t="str">
        <f>'Constants - Common Livestock'!$E$12</f>
        <v>Solid storage</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A56"/>
      <c r="D56" s="10" t="str">
        <f>'Constants - Common Livestock'!$E$13</f>
        <v>Drylot (feed pad)</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A57"/>
      <c r="D57" s="10" t="str">
        <f>'Constants - Common Livestock'!$E$15</f>
        <v>Digester / covered lagoons</v>
      </c>
      <c r="E57" s="10">
        <v>0.75</v>
      </c>
      <c r="M57" s="8"/>
    </row>
    <row r="58" spans="1:13" ht="20.100000000000001" customHeight="1" x14ac:dyDescent="0.25">
      <c r="A58"/>
      <c r="D58" s="10" t="str">
        <f>'Constants - Common Livestock'!$E$16</f>
        <v>Deep litter</v>
      </c>
      <c r="E58" s="10">
        <v>0.05</v>
      </c>
      <c r="M58" s="8"/>
    </row>
    <row r="59" spans="1:13" ht="20.100000000000001" customHeight="1" x14ac:dyDescent="0.25">
      <c r="A59"/>
      <c r="D59" s="10" t="str">
        <f>'Constants - Common Livestock'!$E$17</f>
        <v>Pit storage</v>
      </c>
      <c r="E59" s="10">
        <v>0</v>
      </c>
      <c r="M59" s="8"/>
    </row>
    <row r="60" spans="1:13" ht="20.100000000000001" customHeight="1" x14ac:dyDescent="0.25">
      <c r="A60"/>
      <c r="D60" s="10" t="str">
        <f>'Constants - Common Livestock'!$E$23</f>
        <v>Direct application</v>
      </c>
      <c r="E60" s="10">
        <v>0</v>
      </c>
      <c r="M60" s="8"/>
    </row>
    <row r="61" spans="1:13" ht="20.100000000000001" customHeight="1" x14ac:dyDescent="0.25">
      <c r="A61"/>
      <c r="M61" s="8"/>
    </row>
    <row r="62" spans="1:13" ht="20.100000000000001" customHeight="1" x14ac:dyDescent="0.25">
      <c r="A62"/>
      <c r="M62" s="8"/>
    </row>
    <row r="63" spans="1:13" ht="20.100000000000001" customHeight="1" x14ac:dyDescent="0.25">
      <c r="A63"/>
      <c r="D63" s="9" t="str" cm="1">
        <f t="array" ref="D63">SourceData_Swine.SourceData_Swine_VolatileSolids_Title()</f>
        <v>Swine - Volatile solids (VSj) - 2020 to 2024</v>
      </c>
      <c r="M63" s="8"/>
    </row>
    <row r="64" spans="1:13" ht="20.100000000000001" customHeight="1" x14ac:dyDescent="0.25">
      <c r="A64"/>
      <c r="D64" s="11" t="str" cm="1">
        <f t="array" ref="D64">SourceData_Swine.SourceData_Swine_VolatileSolids_Source()</f>
        <v>VEERG 2026: Table A.1.6.1: Swine - Intake and manure characteristics derived from PigBal</v>
      </c>
      <c r="M64" s="8"/>
    </row>
    <row r="65" spans="1:22" ht="20.100000000000001" customHeight="1" x14ac:dyDescent="0.25">
      <c r="A65"/>
      <c r="D65" s="12" t="str" cm="1">
        <f t="array" ref="D65">SourceData_Swine.SourceData_Swine_VolatileSolids_Variation()</f>
        <v>VARIATION ON SOURCE DATA: Only uses data for 2020-2024. Use 'Slaughter pigs' data for 'Other j=4' class.</v>
      </c>
      <c r="M65" s="8"/>
    </row>
    <row r="66" spans="1:22" ht="20.100000000000001" customHeight="1" x14ac:dyDescent="0.25">
      <c r="A66"/>
      <c r="M66" s="8"/>
    </row>
    <row r="67" spans="1:22" ht="20.100000000000001" customHeight="1" x14ac:dyDescent="0.25">
      <c r="A67"/>
      <c r="D67" s="10" t="s">
        <v>317</v>
      </c>
      <c r="E67" s="10" t="s">
        <v>549</v>
      </c>
      <c r="M67" s="8"/>
    </row>
    <row r="68" spans="1:22" ht="20.100000000000001" customHeight="1" x14ac:dyDescent="0.25">
      <c r="A68"/>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1:22" ht="20.100000000000001" customHeight="1" x14ac:dyDescent="0.25">
      <c r="A69"/>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1:22" ht="20.100000000000001" customHeight="1" x14ac:dyDescent="0.25">
      <c r="A70"/>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1:22" ht="20.100000000000001" customHeight="1" x14ac:dyDescent="0.25">
      <c r="A71"/>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1:22" ht="20.100000000000001" customHeight="1" x14ac:dyDescent="0.25">
      <c r="A72"/>
      <c r="M72" s="8"/>
      <c r="V72" s="8"/>
    </row>
    <row r="73" spans="1:22" ht="20.100000000000001" customHeight="1" x14ac:dyDescent="0.25">
      <c r="A73"/>
      <c r="M73" s="8"/>
      <c r="V73" s="8"/>
    </row>
    <row r="74" spans="1:22" ht="20.100000000000001" customHeight="1" x14ac:dyDescent="0.25">
      <c r="A74"/>
      <c r="D74" s="9" t="str" cm="1">
        <f t="array" ref="D74">SourceData_Swine.SourceData_Swine_FeedIntake_Title()</f>
        <v>Swine - Feed intake - ingested as fed  (Ij) - 2020 to 2024</v>
      </c>
      <c r="M74" s="8"/>
      <c r="V74" s="8"/>
    </row>
    <row r="75" spans="1:22" ht="20.100000000000001" customHeight="1" x14ac:dyDescent="0.25">
      <c r="A75"/>
      <c r="D75" s="11" t="str" cm="1">
        <f t="array" ref="D75">SourceData_Swine.SourceData_Swine_FeedIntake_Source()</f>
        <v>VEERG 2026: Table A.1.6.1: Swine - Intake and manure characteristics derived from PigBal</v>
      </c>
      <c r="M75" s="8"/>
      <c r="V75" s="8"/>
    </row>
    <row r="76" spans="1:22" ht="20.100000000000001" customHeight="1" x14ac:dyDescent="0.25">
      <c r="A76"/>
      <c r="D76" s="12" t="str" cm="1">
        <f t="array" ref="D76">SourceData_Swine.SourceData_Swine_FeedIntake_Variation()</f>
        <v>VARIATION ON SOURCE DATA: Only uses data for 2020-2024. Use 'Slaughter pigs' data for 'Other j=4' class.</v>
      </c>
      <c r="M76" s="8"/>
      <c r="V76" s="8"/>
    </row>
    <row r="77" spans="1:22" ht="20.100000000000001" customHeight="1" x14ac:dyDescent="0.25">
      <c r="A77"/>
      <c r="M77" s="8"/>
      <c r="V77" s="8"/>
    </row>
    <row r="78" spans="1:22" ht="20.100000000000001" customHeight="1" x14ac:dyDescent="0.25">
      <c r="A78"/>
      <c r="D78" s="10" t="s">
        <v>317</v>
      </c>
      <c r="E78" s="10" t="s">
        <v>550</v>
      </c>
      <c r="M78" s="8"/>
      <c r="V78" s="8"/>
    </row>
    <row r="79" spans="1:22" ht="20.100000000000001" customHeight="1" x14ac:dyDescent="0.25">
      <c r="A79"/>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1:22" ht="20.100000000000001" customHeight="1" x14ac:dyDescent="0.25">
      <c r="A80"/>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1:23" ht="20.100000000000001" customHeight="1" x14ac:dyDescent="0.25">
      <c r="A81"/>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1:23" ht="20.100000000000001" customHeight="1" x14ac:dyDescent="0.25">
      <c r="A82"/>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1:23" ht="20.100000000000001" customHeight="1" x14ac:dyDescent="0.25">
      <c r="A83"/>
      <c r="M83" s="8"/>
    </row>
    <row r="84" spans="1:23" ht="20.100000000000001" customHeight="1" x14ac:dyDescent="0.25">
      <c r="A84"/>
      <c r="M84" s="8"/>
    </row>
    <row r="85" spans="1:23" ht="20.100000000000001" customHeight="1" x14ac:dyDescent="0.25">
      <c r="A85"/>
      <c r="D85" s="9" t="str" cm="1">
        <f t="array" ref="D85">SourceData_Swine.SourceData_Swine_NitrogenInWaste_Title()</f>
        <v>Swine - Nitrogen in waste (NWj) - 2020 to 2024</v>
      </c>
      <c r="M85" s="8"/>
      <c r="V85" s="8"/>
    </row>
    <row r="86" spans="1:23" ht="20.100000000000001" customHeight="1" x14ac:dyDescent="0.25">
      <c r="A86"/>
      <c r="D86" s="11" t="str" cm="1">
        <f t="array" ref="D86">SourceData_Swine.SourceData_Swine_NitrogenInWaste_Source()</f>
        <v>VEERG 2026: Table A.1.6.1: Swine - Intake and manure characteristics derived from PigBal</v>
      </c>
      <c r="M86" s="8"/>
      <c r="V86" s="8"/>
    </row>
    <row r="87" spans="1:23" ht="20.100000000000001" customHeight="1" x14ac:dyDescent="0.25">
      <c r="A87"/>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1:23" ht="20.100000000000001" customHeight="1" x14ac:dyDescent="0.25">
      <c r="A88"/>
      <c r="M88" s="8"/>
      <c r="V88" s="8"/>
    </row>
    <row r="89" spans="1:23" ht="20.100000000000001" customHeight="1" x14ac:dyDescent="0.25">
      <c r="A89"/>
      <c r="D89" s="10" t="s">
        <v>317</v>
      </c>
      <c r="E89" s="10" t="s">
        <v>551</v>
      </c>
      <c r="F89" s="10" t="s">
        <v>552</v>
      </c>
      <c r="G89" s="10" t="s">
        <v>553</v>
      </c>
      <c r="M89" s="8"/>
      <c r="V89" s="8"/>
      <c r="W89" s="8"/>
    </row>
    <row r="90" spans="1:23" ht="20.100000000000001" customHeight="1" x14ac:dyDescent="0.25">
      <c r="A90"/>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1:23" ht="20.100000000000001" customHeight="1" x14ac:dyDescent="0.25">
      <c r="A91"/>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1:23" ht="20.100000000000001" customHeight="1" x14ac:dyDescent="0.25">
      <c r="A92"/>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1:23" ht="20.100000000000001" customHeight="1" x14ac:dyDescent="0.25">
      <c r="A93"/>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1:23" ht="20.100000000000001" customHeight="1" x14ac:dyDescent="0.25">
      <c r="A94"/>
      <c r="M94" s="8"/>
    </row>
    <row r="95" spans="1:23" ht="20.100000000000001" customHeight="1" x14ac:dyDescent="0.25">
      <c r="A95"/>
      <c r="M95" s="8"/>
    </row>
    <row r="96" spans="1:23" ht="20.100000000000001" customHeight="1" x14ac:dyDescent="0.25">
      <c r="A96"/>
      <c r="D96" s="9" t="str" cm="1">
        <f t="array" ref="D96">SourceData_Swine.SourceData_Swine_FractionNVolatilised_Title()</f>
        <v>Swine - Fraction of nitrogen volatilised (FracGASMmT)</v>
      </c>
      <c r="M96" s="8"/>
    </row>
    <row r="97" spans="1:13" ht="20.100000000000001" customHeight="1" x14ac:dyDescent="0.25">
      <c r="A97"/>
      <c r="D97" s="11" t="str" cm="1">
        <f t="array" ref="D97">SourceData_Swine.SourceData_Swine_FractionNVolatilised_Source()</f>
        <v>VEERG 2026: Table A.1.6.2: Swine - Fraction of N volatilised by MMS ((kg NH3-N + NOx-N)/kgN) (FracGASMmT)</v>
      </c>
      <c r="M97" s="8"/>
    </row>
    <row r="98" spans="1:13" ht="20.100000000000001" customHeight="1" x14ac:dyDescent="0.25">
      <c r="A98"/>
      <c r="D98" s="12" t="str" cm="1">
        <f t="array" ref="D98">SourceData_Swine.SourceData_Swine_FractionNVolatilised_Variation()</f>
        <v>VARIATION ON SOURCE DATA: Added 'NIR reference column to aid lookup.</v>
      </c>
      <c r="M98" s="8"/>
    </row>
    <row r="99" spans="1:13" ht="20.100000000000001" customHeight="1" x14ac:dyDescent="0.25">
      <c r="A99"/>
      <c r="D99" s="10" t="s">
        <v>554</v>
      </c>
      <c r="E99" s="10" t="s">
        <v>555</v>
      </c>
      <c r="F99" s="10" t="s">
        <v>526</v>
      </c>
      <c r="M99" s="8"/>
    </row>
    <row r="100" spans="1:13" ht="20.100000000000001" customHeight="1" x14ac:dyDescent="0.25">
      <c r="A100"/>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1:13" ht="20.100000000000001" customHeight="1" x14ac:dyDescent="0.25">
      <c r="A101"/>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1:13" ht="20.100000000000001" customHeight="1" x14ac:dyDescent="0.25">
      <c r="A102"/>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1:13" ht="20.100000000000001" customHeight="1" x14ac:dyDescent="0.25">
      <c r="A103"/>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1:13" ht="20.100000000000001" customHeight="1" x14ac:dyDescent="0.25">
      <c r="A104"/>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1:13" ht="20.100000000000001" customHeight="1" x14ac:dyDescent="0.25">
      <c r="A10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SourceData_Swine.SourceData_Swine_NitrousOxideEFs_Title()</f>
        <v>Swine - Nitrous oxide EFs by MMS (EFmT)</v>
      </c>
      <c r="M108" s="8"/>
    </row>
    <row r="109" spans="1:13" ht="20.100000000000001" customHeight="1" x14ac:dyDescent="0.25">
      <c r="A109"/>
      <c r="D109" s="11" t="str" cm="1">
        <f t="array" ref="D109">SourceData_Swine.SourceData_Swine_NitrousOxideEFs_Source()</f>
        <v>VEERG 2026: Table A.1.6.3: Swine - Nitrous oxide EFs by MMS (kgN2O-N/kgN) (EFmT)</v>
      </c>
      <c r="M109" s="8"/>
    </row>
    <row r="110" spans="1:13" ht="20.100000000000001" customHeight="1" x14ac:dyDescent="0.25">
      <c r="A110"/>
      <c r="D110" s="12" t="str" cm="1">
        <f t="array" ref="D110">SourceData_Swine.SourceData_Swine_NitrousOxideEFs_Variation()</f>
        <v>VARIATION ON SOURCE DATA: Added 'NIR reference column to aid lookup.</v>
      </c>
      <c r="M110" s="8"/>
    </row>
    <row r="111" spans="1:13" ht="20.100000000000001" customHeight="1" x14ac:dyDescent="0.25">
      <c r="A111"/>
      <c r="D111" s="10" t="s">
        <v>554</v>
      </c>
      <c r="E111" s="10" t="s">
        <v>556</v>
      </c>
      <c r="F111" s="10" t="s">
        <v>526</v>
      </c>
      <c r="M111" s="8"/>
    </row>
    <row r="112" spans="1:13" ht="20.100000000000001" customHeight="1" x14ac:dyDescent="0.25">
      <c r="A112"/>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A113"/>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A114"/>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A11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A116"/>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A118"/>
      <c r="M118" s="8"/>
    </row>
    <row r="119" spans="1:22" ht="20.100000000000001" customHeight="1" x14ac:dyDescent="0.25">
      <c r="A119"/>
      <c r="M119" s="8"/>
    </row>
    <row r="120" spans="1:22" ht="20.100000000000001" customHeight="1" x14ac:dyDescent="0.25">
      <c r="A120"/>
      <c r="D120" s="9" t="str" cm="1">
        <f t="array" ref="D120">SourceData_Swine.SourceData_Swine_MegajoulesPerKilogramMethane_Title()</f>
        <v>Megajoules per kilogram of methane</v>
      </c>
      <c r="M120" s="8"/>
    </row>
    <row r="121" spans="1:22" ht="20.100000000000001" customHeight="1" x14ac:dyDescent="0.25">
      <c r="A121"/>
      <c r="D121" s="11" t="str" cm="1">
        <f t="array" ref="D121">SourceData_Swine.SourceData_Swine_MegajoulesPerKilogramMethane_Source()</f>
        <v>VEERG 2026: 3.5.2.3 CONSTANT</v>
      </c>
      <c r="M121" s="8"/>
    </row>
    <row r="122" spans="1:22" ht="20.100000000000001" customHeight="1" x14ac:dyDescent="0.25">
      <c r="A122"/>
      <c r="D122" s="27" t="str" cm="1">
        <f t="array" ref="D122">SourceData_Swine.SourceData_Swine_MegajoulesPerKilogramMethane_Variable()</f>
        <v>F</v>
      </c>
      <c r="E122" s="8" cm="1">
        <f t="array" ref="E122">SourceData_Swine.SourceData_Swine_MegajoulesPerKilogramMethane_Data()</f>
        <v>55.22</v>
      </c>
      <c r="F122" s="13" t="str" cm="1">
        <f t="array" ref="F122">SourceData_Swine.SourceData_Swine_MegajoulesPerKilogramMethane_Unit()</f>
        <v>MJ / kg CH4</v>
      </c>
      <c r="M122" s="8"/>
    </row>
    <row r="123" spans="1:22" ht="20.100000000000001" customHeight="1" x14ac:dyDescent="0.25">
      <c r="A123"/>
      <c r="M123" s="8"/>
    </row>
    <row r="124" spans="1:22" ht="20.100000000000001" customHeight="1" x14ac:dyDescent="0.25">
      <c r="A124"/>
      <c r="M124" s="8"/>
    </row>
    <row r="125" spans="1:22" ht="20.100000000000001" customHeight="1" x14ac:dyDescent="0.25">
      <c r="A125"/>
      <c r="D125" s="9" t="str" cm="1">
        <f t="array" ref="D125">SourceData_Swine.SourceData_Swine_AverageLiveweight_Title()</f>
        <v>Swine - Average liveweight (inventory defaults) (kg) (Wco)</v>
      </c>
      <c r="M125" s="8"/>
      <c r="V125" s="8"/>
    </row>
    <row r="126" spans="1:22" ht="20.100000000000001" customHeight="1" x14ac:dyDescent="0.25">
      <c r="A126"/>
      <c r="D126" s="11" t="str" cm="1">
        <f t="array" ref="D126">SourceData_Swine.SourceData_Swine_AverageLiveweight_Source()</f>
        <v>VEERG 2026: Table A.1.6.5: Swine - Average liveweight (inventory defaults) (kg) (Wco)</v>
      </c>
      <c r="M126" s="8"/>
      <c r="V126" s="8"/>
    </row>
    <row r="127" spans="1:22" ht="20.100000000000001" customHeight="1" x14ac:dyDescent="0.25">
      <c r="A127"/>
      <c r="D127" s="10" t="s">
        <v>557</v>
      </c>
      <c r="E127" s="10" t="s">
        <v>558</v>
      </c>
      <c r="M127" s="8"/>
      <c r="V127" s="8"/>
    </row>
    <row r="128" spans="1:22" ht="20.100000000000001" customHeight="1" x14ac:dyDescent="0.25">
      <c r="A128"/>
      <c r="D128" s="10" t="str" cm="1">
        <f t="array" ref="D128">Common_InputFunctions.Utility_DisplayArrayInTable(SourceData_Swine.SourceData_Swine_AverageLiveweight_Data(),Table_SourceData_Swine_Liveweight[[#Headers],[Livestock type j]],0)</f>
        <v>Sows</v>
      </c>
      <c r="E128" s="10" cm="1">
        <f t="array" ref="E128">Common_InputFunctions.Utility_DisplayArrayInTable(SourceData_Swine.SourceData_Swine_AverageLiveweight_Data(),Table_SourceData_Swine_Liveweight[[#Headers],[Livestock type j]],0)</f>
        <v>188</v>
      </c>
      <c r="M128" s="8"/>
      <c r="V128" s="8"/>
    </row>
    <row r="129" spans="1:22" ht="20.100000000000001" customHeight="1" x14ac:dyDescent="0.25">
      <c r="A129"/>
      <c r="D129" s="8" t="str" cm="1">
        <f t="array" ref="D129">Common_InputFunctions.Utility_DisplayArrayInTable(SourceData_Swine.SourceData_Swine_AverageLiveweight_Data(),Table_SourceData_Swine_Liveweight[[#Headers],[Livestock type j]],0)</f>
        <v>Boars</v>
      </c>
      <c r="E129" s="10" cm="1">
        <f t="array" ref="E129">Common_InputFunctions.Utility_DisplayArrayInTable(SourceData_Swine.SourceData_Swine_AverageLiveweight_Data(),Table_SourceData_Swine_Liveweight[[#Headers],[Livestock type j]],0)</f>
        <v>206</v>
      </c>
      <c r="M129" s="8"/>
      <c r="V129" s="8"/>
    </row>
    <row r="130" spans="1:22" ht="20.100000000000001" customHeight="1" x14ac:dyDescent="0.25">
      <c r="A130"/>
      <c r="D130" s="8" t="str" cm="1">
        <f t="array" ref="D130">Common_InputFunctions.Utility_DisplayArrayInTable(SourceData_Swine.SourceData_Swine_AverageLiveweight_Data(),Table_SourceData_Swine_Liveweight[[#Headers],[Livestock type j]],0)</f>
        <v>Gilts</v>
      </c>
      <c r="E130" s="10" cm="1">
        <f t="array" ref="E130">Common_InputFunctions.Utility_DisplayArrayInTable(SourceData_Swine.SourceData_Swine_AverageLiveweight_Data(),Table_SourceData_Swine_Liveweight[[#Headers],[Livestock type j]],0)</f>
        <v>125</v>
      </c>
      <c r="M130" s="8"/>
      <c r="V130" s="8"/>
    </row>
    <row r="131" spans="1:22" ht="20.100000000000001" customHeight="1" x14ac:dyDescent="0.25">
      <c r="A131"/>
      <c r="D131" s="8" t="str" cm="1">
        <f t="array" ref="D131">Common_InputFunctions.Utility_DisplayArrayInTable(SourceData_Swine.SourceData_Swine_AverageLiveweight_Data(),Table_SourceData_Swine_Liveweight[[#Headers],[Livestock type j]],0)</f>
        <v>Slaughter pigs</v>
      </c>
      <c r="E131" s="10" cm="1">
        <f t="array" ref="E131">Common_InputFunctions.Utility_DisplayArrayInTable(SourceData_Swine.SourceData_Swine_AverageLiveweight_Data(),Table_SourceData_Swine_Liveweight[[#Headers],[Livestock type j]],0)</f>
        <v>39</v>
      </c>
      <c r="M131" s="8"/>
    </row>
    <row r="132" spans="1:22" ht="20.100000000000001" customHeight="1" x14ac:dyDescent="0.25">
      <c r="A132"/>
      <c r="D132" s="8" t="str" cm="1">
        <f t="array" ref="D132">Common_InputFunctions.Utility_DisplayArrayInTable(SourceData_Swine.SourceData_Swine_AverageLiveweight_Data(),Table_SourceData_Swine_Liveweight[[#Headers],[Livestock type j]],0)</f>
        <v>Slaughter pigs at turnoff</v>
      </c>
      <c r="E132" s="10" cm="1">
        <f t="array" ref="E132">Common_InputFunctions.Utility_DisplayArrayInTable(SourceData_Swine.SourceData_Swine_AverageLiveweight_Data(),Table_SourceData_Swine_Liveweight[[#Headers],[Livestock type j]],0)</f>
        <v>97</v>
      </c>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ht="20.100000000000001" customHeight="1" x14ac:dyDescent="0.25">
      <c r="M166" s="8"/>
    </row>
    <row r="167" spans="13:13" ht="20.100000000000001" customHeight="1" x14ac:dyDescent="0.25">
      <c r="M167" s="8"/>
    </row>
    <row r="168" spans="13:13" ht="20.100000000000001" customHeight="1" x14ac:dyDescent="0.25">
      <c r="M168" s="8"/>
    </row>
    <row r="169" spans="13:13" ht="20.100000000000001" customHeight="1" x14ac:dyDescent="0.25">
      <c r="M169" s="8"/>
    </row>
    <row r="170" spans="13:13" ht="20.100000000000001" customHeight="1" x14ac:dyDescent="0.25">
      <c r="M170" s="8"/>
    </row>
    <row r="171" spans="13:13" ht="20.100000000000001" customHeight="1" x14ac:dyDescent="0.25">
      <c r="M171" s="8"/>
    </row>
    <row r="172" spans="13:13" ht="20.100000000000001" customHeight="1" x14ac:dyDescent="0.25">
      <c r="M172" s="8"/>
    </row>
    <row r="173" spans="13:13" ht="20.100000000000001" customHeight="1" x14ac:dyDescent="0.25">
      <c r="M173" s="8"/>
    </row>
    <row r="174" spans="13:13" ht="20.100000000000001" customHeight="1" x14ac:dyDescent="0.25">
      <c r="M174" s="8"/>
    </row>
    <row r="175" spans="13:13" ht="20.100000000000001" customHeight="1" x14ac:dyDescent="0.25">
      <c r="M175" s="8"/>
    </row>
    <row r="176" spans="13:13" ht="20.100000000000001" customHeight="1" x14ac:dyDescent="0.25">
      <c r="M176" s="8"/>
    </row>
    <row r="177" spans="13:13" ht="20.100000000000001" customHeight="1" x14ac:dyDescent="0.25">
      <c r="M177" s="8"/>
    </row>
    <row r="178" spans="13:13" ht="20.100000000000001" customHeight="1" x14ac:dyDescent="0.25">
      <c r="M178" s="8"/>
    </row>
    <row r="179" spans="13:13" ht="20.100000000000001" customHeight="1" x14ac:dyDescent="0.25">
      <c r="M179" s="8"/>
    </row>
    <row r="180" spans="13:13" ht="20.100000000000001" customHeight="1" x14ac:dyDescent="0.25">
      <c r="M180" s="8"/>
    </row>
    <row r="181" spans="13:13" ht="20.100000000000001" customHeight="1" x14ac:dyDescent="0.25">
      <c r="M181" s="8"/>
    </row>
    <row r="182" spans="13:13" ht="20.100000000000001" customHeight="1" x14ac:dyDescent="0.25">
      <c r="M182" s="8"/>
    </row>
    <row r="183" spans="13:13" ht="20.100000000000001" customHeight="1" x14ac:dyDescent="0.25">
      <c r="M183" s="8"/>
    </row>
    <row r="184" spans="13:13" ht="20.100000000000001" customHeight="1" x14ac:dyDescent="0.25">
      <c r="M184" s="8"/>
    </row>
    <row r="185" spans="13:13" ht="20.100000000000001" customHeight="1" x14ac:dyDescent="0.25">
      <c r="M185" s="8"/>
    </row>
    <row r="186" spans="13:13" ht="20.100000000000001" customHeight="1" x14ac:dyDescent="0.25">
      <c r="M186" s="8"/>
    </row>
    <row r="187" spans="13:13" ht="20.100000000000001" customHeight="1" x14ac:dyDescent="0.25">
      <c r="M187" s="8"/>
    </row>
    <row r="188" spans="13:13" ht="20.100000000000001" customHeight="1" x14ac:dyDescent="0.25">
      <c r="M188" s="8"/>
    </row>
    <row r="189" spans="13:13" ht="20.100000000000001" customHeight="1" x14ac:dyDescent="0.25">
      <c r="M189" s="8"/>
    </row>
    <row r="190" spans="13:13" ht="20.100000000000001" customHeight="1" x14ac:dyDescent="0.25">
      <c r="M190" s="8"/>
    </row>
    <row r="191" spans="13:13" ht="20.100000000000001" customHeight="1" x14ac:dyDescent="0.25">
      <c r="M191" s="8"/>
    </row>
    <row r="192" spans="13:13" ht="20.100000000000001" customHeight="1" x14ac:dyDescent="0.25">
      <c r="M192" s="8"/>
    </row>
    <row r="193" spans="13:13" ht="20.100000000000001" customHeight="1" x14ac:dyDescent="0.25">
      <c r="M193" s="8"/>
    </row>
    <row r="194" spans="13:13" ht="20.100000000000001" customHeight="1" x14ac:dyDescent="0.25">
      <c r="M194" s="8"/>
    </row>
    <row r="195" spans="13:13" ht="20.100000000000001" customHeight="1" x14ac:dyDescent="0.25">
      <c r="M195" s="8"/>
    </row>
    <row r="196" spans="13:13" ht="20.100000000000001" customHeight="1" x14ac:dyDescent="0.25">
      <c r="M196" s="8"/>
    </row>
    <row r="197" spans="13:13" ht="20.100000000000001" customHeight="1" x14ac:dyDescent="0.25">
      <c r="M197" s="8"/>
    </row>
    <row r="198" spans="13:13" ht="20.100000000000001" customHeight="1" x14ac:dyDescent="0.25">
      <c r="M198" s="8"/>
    </row>
    <row r="199" spans="13:13" ht="20.100000000000001" customHeight="1" x14ac:dyDescent="0.25">
      <c r="M199" s="8"/>
    </row>
    <row r="200" spans="13:13" ht="20.100000000000001" customHeight="1" x14ac:dyDescent="0.25">
      <c r="M200" s="8"/>
    </row>
    <row r="201" spans="13:13" ht="20.100000000000001" customHeight="1" x14ac:dyDescent="0.25">
      <c r="M201" s="8"/>
    </row>
    <row r="202" spans="13:13" ht="20.100000000000001" customHeight="1" x14ac:dyDescent="0.25">
      <c r="M202" s="8"/>
    </row>
    <row r="203" spans="13:13" ht="20.100000000000001" customHeight="1" x14ac:dyDescent="0.25">
      <c r="M203" s="8"/>
    </row>
    <row r="204" spans="13:13" ht="20.100000000000001" customHeight="1" x14ac:dyDescent="0.25">
      <c r="M204" s="8"/>
    </row>
    <row r="205" spans="13:13" ht="20.100000000000001" customHeight="1" x14ac:dyDescent="0.25">
      <c r="M205" s="8"/>
    </row>
    <row r="206" spans="13:13" ht="20.100000000000001" customHeight="1" x14ac:dyDescent="0.25">
      <c r="M206" s="8"/>
    </row>
    <row r="207" spans="13:13" ht="20.100000000000001" customHeight="1" x14ac:dyDescent="0.25">
      <c r="M207" s="8"/>
    </row>
    <row r="208" spans="13:13" ht="20.100000000000001" customHeight="1" x14ac:dyDescent="0.25">
      <c r="M208" s="8"/>
    </row>
    <row r="209" spans="13:13" ht="20.100000000000001" customHeight="1" x14ac:dyDescent="0.25">
      <c r="M209" s="8"/>
    </row>
    <row r="210" spans="13:13" ht="20.100000000000001" customHeight="1" x14ac:dyDescent="0.25">
      <c r="M210" s="8"/>
    </row>
    <row r="211" spans="13:13" ht="20.100000000000001" customHeight="1" x14ac:dyDescent="0.25">
      <c r="M211" s="8"/>
    </row>
    <row r="212" spans="13:13" ht="20.100000000000001" customHeight="1" x14ac:dyDescent="0.25">
      <c r="M212" s="8"/>
    </row>
    <row r="213" spans="13:13" ht="20.100000000000001" customHeight="1" x14ac:dyDescent="0.25">
      <c r="M213" s="8"/>
    </row>
    <row r="214" spans="13:13" ht="20.100000000000001" customHeight="1" x14ac:dyDescent="0.25">
      <c r="M214" s="8"/>
    </row>
    <row r="215" spans="13:13" ht="20.100000000000001" customHeight="1" x14ac:dyDescent="0.25">
      <c r="M215" s="8"/>
    </row>
    <row r="216" spans="13:13" ht="20.100000000000001" customHeight="1" x14ac:dyDescent="0.25">
      <c r="M216" s="8"/>
    </row>
    <row r="217" spans="13:13" ht="20.100000000000001" customHeight="1" x14ac:dyDescent="0.25">
      <c r="M217" s="8"/>
    </row>
    <row r="218" spans="13:13" ht="20.100000000000001" customHeight="1" x14ac:dyDescent="0.25">
      <c r="M218" s="8"/>
    </row>
    <row r="219" spans="13:13" ht="20.100000000000001" customHeight="1" x14ac:dyDescent="0.25">
      <c r="M219" s="8"/>
    </row>
    <row r="220" spans="13:13" ht="20.100000000000001" customHeight="1" x14ac:dyDescent="0.25">
      <c r="M220" s="8"/>
    </row>
    <row r="221" spans="13:13" ht="20.100000000000001" customHeight="1" x14ac:dyDescent="0.25">
      <c r="M221" s="8"/>
    </row>
    <row r="222" spans="13:13" ht="20.100000000000001" customHeight="1" x14ac:dyDescent="0.25">
      <c r="M222" s="8"/>
    </row>
    <row r="223" spans="13:13" ht="20.100000000000001" customHeight="1" x14ac:dyDescent="0.25">
      <c r="M223" s="8"/>
    </row>
    <row r="224" spans="13:13" ht="20.100000000000001" customHeight="1" x14ac:dyDescent="0.25">
      <c r="M224" s="8"/>
    </row>
    <row r="225" spans="13:13" ht="20.100000000000001" customHeight="1" x14ac:dyDescent="0.25">
      <c r="M225" s="8"/>
    </row>
    <row r="226" spans="13:13" ht="20.100000000000001" customHeight="1" x14ac:dyDescent="0.25">
      <c r="M226" s="8"/>
    </row>
    <row r="227" spans="13:13" ht="20.100000000000001" customHeight="1" x14ac:dyDescent="0.25">
      <c r="M227" s="8"/>
    </row>
    <row r="228" spans="13:13" ht="20.100000000000001" customHeight="1" x14ac:dyDescent="0.25">
      <c r="M228" s="8"/>
    </row>
    <row r="229" spans="13:13" ht="20.100000000000001" customHeight="1" x14ac:dyDescent="0.25">
      <c r="M229" s="8"/>
    </row>
    <row r="230" spans="13:13" ht="20.100000000000001" customHeight="1" x14ac:dyDescent="0.25">
      <c r="M230" s="8"/>
    </row>
    <row r="231" spans="13:13" ht="20.100000000000001" customHeight="1" x14ac:dyDescent="0.25">
      <c r="M231" s="8"/>
    </row>
    <row r="232" spans="13:13" ht="20.100000000000001" customHeight="1" x14ac:dyDescent="0.25">
      <c r="M232" s="8"/>
    </row>
    <row r="233" spans="13:13" ht="20.100000000000001" customHeight="1" x14ac:dyDescent="0.25">
      <c r="M233" s="8"/>
    </row>
    <row r="234" spans="13:13" ht="20.100000000000001" customHeight="1" x14ac:dyDescent="0.25">
      <c r="M234" s="8"/>
    </row>
    <row r="235" spans="13:13" ht="20.100000000000001" customHeight="1" x14ac:dyDescent="0.25">
      <c r="M235" s="8"/>
    </row>
    <row r="236" spans="13:13" ht="20.100000000000001" customHeight="1" x14ac:dyDescent="0.25">
      <c r="M236" s="8"/>
    </row>
    <row r="237" spans="13:13" ht="20.100000000000001" customHeight="1" x14ac:dyDescent="0.25">
      <c r="M237" s="8"/>
    </row>
    <row r="238" spans="13:13" ht="20.100000000000001" customHeight="1" x14ac:dyDescent="0.25">
      <c r="M238" s="8"/>
    </row>
    <row r="239" spans="13:13" ht="20.100000000000001" customHeight="1" x14ac:dyDescent="0.25">
      <c r="M239" s="8"/>
    </row>
    <row r="240" spans="13:13" ht="20.100000000000001" customHeight="1" x14ac:dyDescent="0.25">
      <c r="M240" s="8"/>
    </row>
    <row r="241" spans="13:13" ht="20.100000000000001" customHeight="1" x14ac:dyDescent="0.25">
      <c r="M241" s="8"/>
    </row>
    <row r="242" spans="13:13" ht="20.100000000000001" customHeight="1" x14ac:dyDescent="0.25">
      <c r="M242" s="8"/>
    </row>
    <row r="243" spans="13:13" ht="20.100000000000001" customHeight="1" x14ac:dyDescent="0.25">
      <c r="M243" s="8"/>
    </row>
    <row r="244" spans="13:13" ht="20.100000000000001" customHeight="1" x14ac:dyDescent="0.25">
      <c r="M244" s="8"/>
    </row>
    <row r="245" spans="13:13" ht="20.100000000000001" customHeight="1" x14ac:dyDescent="0.25">
      <c r="M245" s="8"/>
    </row>
    <row r="246" spans="13:13" ht="20.100000000000001" customHeight="1" x14ac:dyDescent="0.25">
      <c r="M246" s="8"/>
    </row>
    <row r="247" spans="13:13" ht="20.100000000000001" customHeight="1" x14ac:dyDescent="0.25">
      <c r="M247" s="8"/>
    </row>
    <row r="248" spans="13:13" ht="20.100000000000001" customHeight="1" x14ac:dyDescent="0.25">
      <c r="M248" s="8"/>
    </row>
    <row r="249" spans="13:13" ht="20.100000000000001" customHeight="1" x14ac:dyDescent="0.25">
      <c r="M249" s="8"/>
    </row>
    <row r="250" spans="13:13" ht="20.100000000000001" customHeight="1" x14ac:dyDescent="0.25">
      <c r="M250" s="8"/>
    </row>
    <row r="251" spans="13:13" ht="20.100000000000001" customHeight="1" x14ac:dyDescent="0.25">
      <c r="M251" s="8"/>
    </row>
    <row r="252" spans="13:13" ht="20.100000000000001" customHeight="1" x14ac:dyDescent="0.25">
      <c r="M252" s="8"/>
    </row>
    <row r="253" spans="13:13" ht="20.100000000000001" customHeight="1" x14ac:dyDescent="0.25">
      <c r="M253" s="8"/>
    </row>
    <row r="254" spans="13:13" ht="20.100000000000001" customHeight="1" x14ac:dyDescent="0.25">
      <c r="M254" s="8"/>
    </row>
    <row r="255" spans="13:13" ht="20.100000000000001" customHeight="1" x14ac:dyDescent="0.25">
      <c r="M255" s="8"/>
    </row>
    <row r="256" spans="13:13" ht="20.100000000000001" customHeight="1" x14ac:dyDescent="0.25">
      <c r="M256" s="8"/>
    </row>
    <row r="257" spans="13:13" ht="20.100000000000001" customHeight="1" x14ac:dyDescent="0.25">
      <c r="M257" s="8"/>
    </row>
    <row r="258" spans="13:13" ht="20.100000000000001" customHeight="1" x14ac:dyDescent="0.25">
      <c r="M258" s="8"/>
    </row>
    <row r="259" spans="13:13" ht="20.100000000000001" customHeight="1" x14ac:dyDescent="0.25">
      <c r="M259" s="8"/>
    </row>
    <row r="260" spans="13:13" ht="20.100000000000001" customHeight="1" x14ac:dyDescent="0.25">
      <c r="M260" s="8"/>
    </row>
    <row r="261" spans="13:13" ht="20.100000000000001" customHeight="1" x14ac:dyDescent="0.25">
      <c r="M261" s="8"/>
    </row>
    <row r="262" spans="13:13" ht="20.100000000000001" customHeight="1" x14ac:dyDescent="0.25">
      <c r="M262" s="8"/>
    </row>
    <row r="263" spans="13:13" ht="20.100000000000001" customHeight="1" x14ac:dyDescent="0.25">
      <c r="M263" s="8"/>
    </row>
    <row r="264" spans="13:13" ht="20.100000000000001" customHeight="1" x14ac:dyDescent="0.25">
      <c r="M264" s="8"/>
    </row>
    <row r="265" spans="13:13" ht="20.100000000000001" customHeight="1" x14ac:dyDescent="0.25">
      <c r="M265" s="8"/>
    </row>
    <row r="266" spans="13:13" ht="20.100000000000001" customHeight="1" x14ac:dyDescent="0.25">
      <c r="M266" s="8"/>
    </row>
    <row r="267" spans="13:13" ht="20.100000000000001" customHeight="1" x14ac:dyDescent="0.25">
      <c r="M267" s="8"/>
    </row>
    <row r="268" spans="13:13" ht="20.100000000000001" customHeight="1" x14ac:dyDescent="0.25">
      <c r="M268" s="8"/>
    </row>
    <row r="269" spans="13:13" ht="20.100000000000001" customHeight="1" x14ac:dyDescent="0.25">
      <c r="M269" s="8"/>
    </row>
    <row r="270" spans="13:13" ht="20.100000000000001" customHeight="1" x14ac:dyDescent="0.25">
      <c r="M270" s="8"/>
    </row>
    <row r="271" spans="13:13" ht="20.100000000000001" customHeight="1" x14ac:dyDescent="0.25">
      <c r="M271" s="8"/>
    </row>
    <row r="272" spans="13:13" ht="20.100000000000001" customHeight="1" x14ac:dyDescent="0.25">
      <c r="M272" s="8"/>
    </row>
    <row r="273" spans="13:13" ht="20.100000000000001" customHeight="1" x14ac:dyDescent="0.25">
      <c r="M273" s="8"/>
    </row>
    <row r="274" spans="13:13" ht="20.100000000000001" customHeight="1" x14ac:dyDescent="0.25">
      <c r="M274" s="8"/>
    </row>
    <row r="275" spans="13:13" ht="20.100000000000001" customHeight="1" x14ac:dyDescent="0.25">
      <c r="M275" s="8"/>
    </row>
    <row r="276" spans="13:13" ht="20.100000000000001" customHeight="1" x14ac:dyDescent="0.25">
      <c r="M276" s="8"/>
    </row>
    <row r="277" spans="13:13" ht="20.100000000000001" customHeight="1" x14ac:dyDescent="0.25">
      <c r="M277" s="8"/>
    </row>
    <row r="278" spans="13:13" ht="20.100000000000001" customHeight="1" x14ac:dyDescent="0.25">
      <c r="M278" s="8"/>
    </row>
    <row r="279" spans="13:13" ht="20.100000000000001" customHeight="1" x14ac:dyDescent="0.25">
      <c r="M279" s="8"/>
    </row>
    <row r="280" spans="13:13" ht="20.100000000000001" customHeight="1" x14ac:dyDescent="0.25">
      <c r="M280" s="8"/>
    </row>
    <row r="281" spans="13:13" ht="20.100000000000001" customHeight="1" x14ac:dyDescent="0.25">
      <c r="M281" s="8"/>
    </row>
    <row r="282" spans="13:13" ht="20.100000000000001" customHeight="1" x14ac:dyDescent="0.25">
      <c r="M282" s="8"/>
    </row>
    <row r="283" spans="13:13" ht="20.100000000000001" customHeight="1" x14ac:dyDescent="0.25">
      <c r="M283" s="8"/>
    </row>
    <row r="284" spans="13:13" ht="20.100000000000001" customHeight="1" x14ac:dyDescent="0.25">
      <c r="M284" s="8"/>
    </row>
    <row r="285" spans="13:13" ht="20.100000000000001" customHeight="1" x14ac:dyDescent="0.25">
      <c r="M285" s="8"/>
    </row>
    <row r="286" spans="13:13" ht="20.100000000000001" customHeight="1" x14ac:dyDescent="0.25">
      <c r="M286" s="8"/>
    </row>
    <row r="287" spans="13:13" ht="20.100000000000001" customHeight="1" x14ac:dyDescent="0.25">
      <c r="M287" s="8"/>
    </row>
    <row r="288" spans="13:13" ht="20.100000000000001" customHeight="1" x14ac:dyDescent="0.25">
      <c r="M288" s="8"/>
    </row>
    <row r="289" spans="13:13" ht="20.100000000000001" customHeight="1" x14ac:dyDescent="0.25">
      <c r="M289" s="8"/>
    </row>
    <row r="290" spans="13:13" ht="20.100000000000001" customHeight="1" x14ac:dyDescent="0.25">
      <c r="M290" s="8"/>
    </row>
    <row r="291" spans="13:13" ht="20.100000000000001" customHeight="1" x14ac:dyDescent="0.25">
      <c r="M291" s="8"/>
    </row>
    <row r="292" spans="13:13" ht="20.100000000000001" customHeight="1" x14ac:dyDescent="0.25">
      <c r="M292" s="8"/>
    </row>
    <row r="293" spans="13:13" ht="20.100000000000001" customHeight="1" x14ac:dyDescent="0.25">
      <c r="M293" s="8"/>
    </row>
    <row r="294" spans="13:13" ht="20.100000000000001" customHeight="1" x14ac:dyDescent="0.25">
      <c r="M294" s="8"/>
    </row>
    <row r="295" spans="13:13" ht="20.100000000000001" customHeight="1" x14ac:dyDescent="0.25">
      <c r="M295" s="8"/>
    </row>
    <row r="296" spans="13:13" ht="20.100000000000001" customHeight="1" x14ac:dyDescent="0.25">
      <c r="M296" s="8"/>
    </row>
    <row r="297" spans="13:13" ht="20.100000000000001" customHeight="1" x14ac:dyDescent="0.25">
      <c r="M297" s="8"/>
    </row>
    <row r="298" spans="13:13" ht="20.100000000000001" customHeight="1" x14ac:dyDescent="0.25">
      <c r="M298" s="8"/>
    </row>
    <row r="299" spans="13:13" ht="20.100000000000001" customHeight="1" x14ac:dyDescent="0.25">
      <c r="M299" s="8"/>
    </row>
    <row r="300" spans="13:13" ht="20.100000000000001" customHeight="1" x14ac:dyDescent="0.25">
      <c r="M300" s="8"/>
    </row>
    <row r="301" spans="13:13" ht="20.100000000000001" customHeight="1" x14ac:dyDescent="0.25">
      <c r="M301" s="8"/>
    </row>
    <row r="302" spans="13:13" ht="20.100000000000001" customHeight="1" x14ac:dyDescent="0.25">
      <c r="M302" s="8"/>
    </row>
    <row r="303" spans="13:13" ht="20.100000000000001" customHeight="1" x14ac:dyDescent="0.25">
      <c r="M303" s="8"/>
    </row>
    <row r="304" spans="13:13" ht="20.100000000000001" customHeight="1" x14ac:dyDescent="0.25">
      <c r="M304" s="8"/>
    </row>
    <row r="305" spans="13:13" ht="20.100000000000001" customHeight="1" x14ac:dyDescent="0.25">
      <c r="M305" s="8"/>
    </row>
    <row r="306" spans="13:13" ht="20.100000000000001" customHeight="1" x14ac:dyDescent="0.25">
      <c r="M306" s="8"/>
    </row>
    <row r="307" spans="13:13" ht="20.100000000000001" customHeight="1" x14ac:dyDescent="0.25">
      <c r="M307" s="8"/>
    </row>
    <row r="308" spans="13:13" ht="20.100000000000001" customHeight="1" x14ac:dyDescent="0.25">
      <c r="M308" s="8"/>
    </row>
    <row r="309" spans="13:13" ht="20.100000000000001" customHeight="1" x14ac:dyDescent="0.25">
      <c r="M309" s="8"/>
    </row>
    <row r="310" spans="13:13" ht="20.100000000000001" customHeight="1" x14ac:dyDescent="0.25">
      <c r="M310" s="8"/>
    </row>
    <row r="311" spans="13:13" ht="20.100000000000001" customHeight="1" x14ac:dyDescent="0.25">
      <c r="M311" s="8"/>
    </row>
    <row r="312" spans="13:13" ht="20.100000000000001" customHeight="1" x14ac:dyDescent="0.25">
      <c r="M312" s="8"/>
    </row>
    <row r="313" spans="13:13" ht="20.100000000000001" customHeight="1" x14ac:dyDescent="0.25">
      <c r="M313" s="8"/>
    </row>
    <row r="314" spans="13:13" ht="20.100000000000001" customHeight="1" x14ac:dyDescent="0.25">
      <c r="M314" s="8"/>
    </row>
    <row r="315" spans="13:13" ht="20.100000000000001" customHeight="1" x14ac:dyDescent="0.25">
      <c r="M315" s="8"/>
    </row>
    <row r="316" spans="13:13" ht="20.100000000000001" customHeight="1" x14ac:dyDescent="0.25">
      <c r="M316" s="8"/>
    </row>
    <row r="317" spans="13:13" ht="20.100000000000001" customHeight="1" x14ac:dyDescent="0.25">
      <c r="M317" s="8"/>
    </row>
    <row r="318" spans="13:13" ht="20.100000000000001" customHeight="1" x14ac:dyDescent="0.25">
      <c r="M318" s="8"/>
    </row>
    <row r="319" spans="13:13" ht="20.100000000000001" customHeight="1" x14ac:dyDescent="0.25">
      <c r="M319" s="8"/>
    </row>
    <row r="320" spans="13:13" ht="20.100000000000001" customHeight="1" x14ac:dyDescent="0.25">
      <c r="M320" s="8"/>
    </row>
    <row r="321" spans="13:13" ht="20.100000000000001" customHeight="1" x14ac:dyDescent="0.25">
      <c r="M321" s="8"/>
    </row>
    <row r="322" spans="13:13" ht="20.100000000000001" customHeight="1" x14ac:dyDescent="0.25">
      <c r="M322" s="8"/>
    </row>
    <row r="323" spans="13:13" ht="20.100000000000001" customHeight="1" x14ac:dyDescent="0.25">
      <c r="M323" s="8"/>
    </row>
    <row r="324" spans="13:13" ht="20.100000000000001" customHeight="1" x14ac:dyDescent="0.25">
      <c r="M324" s="8"/>
    </row>
    <row r="325" spans="13:13" ht="20.100000000000001" customHeight="1" x14ac:dyDescent="0.25">
      <c r="M325" s="8"/>
    </row>
    <row r="326" spans="13:13" ht="20.100000000000001" customHeight="1" x14ac:dyDescent="0.25">
      <c r="M326" s="8"/>
    </row>
    <row r="327" spans="13:13" ht="20.100000000000001" customHeight="1" x14ac:dyDescent="0.25">
      <c r="M327" s="8"/>
    </row>
    <row r="328" spans="13:13" ht="20.100000000000001" customHeight="1" x14ac:dyDescent="0.25">
      <c r="M328" s="8"/>
    </row>
    <row r="329" spans="13:13" ht="20.100000000000001" customHeight="1" x14ac:dyDescent="0.25">
      <c r="M329" s="8"/>
    </row>
    <row r="330" spans="13:13" ht="20.100000000000001" customHeight="1" x14ac:dyDescent="0.25">
      <c r="M330" s="8"/>
    </row>
    <row r="331" spans="13:13" ht="20.100000000000001" customHeight="1" x14ac:dyDescent="0.25">
      <c r="M331" s="8"/>
    </row>
    <row r="332" spans="13:13" ht="20.100000000000001" customHeight="1" x14ac:dyDescent="0.25">
      <c r="M332" s="8"/>
    </row>
    <row r="333" spans="13:13" ht="20.100000000000001" customHeight="1" x14ac:dyDescent="0.25">
      <c r="M333" s="8"/>
    </row>
    <row r="334" spans="13:13" ht="20.100000000000001" customHeight="1" x14ac:dyDescent="0.25">
      <c r="M334" s="8"/>
    </row>
    <row r="335" spans="13:13" ht="20.100000000000001" customHeight="1" x14ac:dyDescent="0.25">
      <c r="M335" s="8"/>
    </row>
    <row r="336" spans="13:13" ht="20.100000000000001" customHeight="1" x14ac:dyDescent="0.25">
      <c r="M336" s="8"/>
    </row>
    <row r="337" spans="13:13" ht="20.100000000000001" customHeight="1" x14ac:dyDescent="0.25">
      <c r="M337" s="8"/>
    </row>
    <row r="338" spans="13:13" ht="20.100000000000001" customHeight="1" x14ac:dyDescent="0.25">
      <c r="M338" s="8"/>
    </row>
    <row r="339" spans="13:13" ht="20.100000000000001" customHeight="1" x14ac:dyDescent="0.25">
      <c r="M339" s="8"/>
    </row>
    <row r="340" spans="13:13" ht="20.100000000000001" customHeight="1" x14ac:dyDescent="0.25">
      <c r="M340" s="8"/>
    </row>
    <row r="341" spans="13:13" ht="20.100000000000001" customHeight="1" x14ac:dyDescent="0.25">
      <c r="M341" s="8"/>
    </row>
    <row r="342" spans="13:13" ht="20.100000000000001" customHeight="1" x14ac:dyDescent="0.25">
      <c r="M342" s="8"/>
    </row>
    <row r="343" spans="13:13" ht="20.100000000000001" customHeight="1" x14ac:dyDescent="0.25">
      <c r="M343" s="8"/>
    </row>
    <row r="344" spans="13:13" ht="20.100000000000001" customHeight="1" x14ac:dyDescent="0.25">
      <c r="M344" s="8"/>
    </row>
    <row r="345" spans="13:13" ht="20.100000000000001" customHeight="1" x14ac:dyDescent="0.25">
      <c r="M345" s="8"/>
    </row>
    <row r="346" spans="13:13" ht="20.100000000000001" customHeight="1" x14ac:dyDescent="0.25">
      <c r="M346" s="8"/>
    </row>
    <row r="347" spans="13:13" ht="20.100000000000001" customHeight="1" x14ac:dyDescent="0.25">
      <c r="M347" s="8"/>
    </row>
    <row r="348" spans="13:13" ht="20.100000000000001" customHeight="1" x14ac:dyDescent="0.25">
      <c r="M348" s="8"/>
    </row>
    <row r="349" spans="13:13" ht="20.100000000000001" customHeight="1" x14ac:dyDescent="0.25">
      <c r="M349" s="8"/>
    </row>
    <row r="350" spans="13:13" ht="20.100000000000001" customHeight="1" x14ac:dyDescent="0.25">
      <c r="M350" s="8"/>
    </row>
    <row r="351" spans="13:13" ht="20.100000000000001" customHeight="1" x14ac:dyDescent="0.25">
      <c r="M351" s="8"/>
    </row>
    <row r="352" spans="13:13" ht="20.100000000000001" customHeight="1" x14ac:dyDescent="0.25">
      <c r="M352" s="8"/>
    </row>
    <row r="353" spans="13:13" ht="20.100000000000001" customHeight="1" x14ac:dyDescent="0.25">
      <c r="M353" s="8"/>
    </row>
    <row r="354" spans="13:13" ht="20.100000000000001" customHeight="1" x14ac:dyDescent="0.25">
      <c r="M354" s="8"/>
    </row>
    <row r="355" spans="13:13" ht="20.100000000000001" customHeight="1" x14ac:dyDescent="0.25">
      <c r="M355" s="8"/>
    </row>
    <row r="356" spans="13:13" ht="20.100000000000001" customHeight="1" x14ac:dyDescent="0.25">
      <c r="M356" s="8"/>
    </row>
    <row r="357" spans="13:13" ht="20.100000000000001" customHeight="1" x14ac:dyDescent="0.25">
      <c r="M357" s="8"/>
    </row>
    <row r="358" spans="13:13" ht="20.100000000000001" customHeight="1" x14ac:dyDescent="0.25">
      <c r="M358" s="8"/>
    </row>
    <row r="359" spans="13:13" ht="20.100000000000001" customHeight="1" x14ac:dyDescent="0.25">
      <c r="M359" s="8"/>
    </row>
    <row r="360" spans="13:13" ht="20.100000000000001" customHeight="1" x14ac:dyDescent="0.25">
      <c r="M360" s="8"/>
    </row>
    <row r="361" spans="13:13" ht="20.100000000000001" customHeight="1" x14ac:dyDescent="0.25">
      <c r="M361" s="8"/>
    </row>
    <row r="362" spans="13:13" ht="20.100000000000001" customHeight="1" x14ac:dyDescent="0.25">
      <c r="M362" s="8"/>
    </row>
    <row r="363" spans="13:13" ht="20.100000000000001" customHeight="1" x14ac:dyDescent="0.25">
      <c r="M363" s="8"/>
    </row>
    <row r="364" spans="13:13" ht="20.100000000000001" customHeight="1" x14ac:dyDescent="0.25">
      <c r="M364" s="8"/>
    </row>
    <row r="365" spans="13:13" ht="20.100000000000001" customHeight="1" x14ac:dyDescent="0.25">
      <c r="M365" s="8"/>
    </row>
    <row r="366" spans="13:13" ht="20.100000000000001" customHeight="1" x14ac:dyDescent="0.25">
      <c r="M366" s="8"/>
    </row>
    <row r="367" spans="13:13" ht="20.100000000000001" customHeight="1" x14ac:dyDescent="0.25">
      <c r="M367" s="8"/>
    </row>
    <row r="368" spans="13:13" ht="20.100000000000001" customHeight="1" x14ac:dyDescent="0.25">
      <c r="M368" s="8"/>
    </row>
    <row r="369" spans="13:13" ht="20.100000000000001" customHeight="1" x14ac:dyDescent="0.25">
      <c r="M369" s="8"/>
    </row>
    <row r="370" spans="13:13" ht="20.100000000000001" customHeight="1" x14ac:dyDescent="0.25">
      <c r="M370" s="8"/>
    </row>
    <row r="371" spans="13:13" ht="20.100000000000001" customHeight="1" x14ac:dyDescent="0.25">
      <c r="M371" s="8"/>
    </row>
    <row r="372" spans="13:13" ht="20.100000000000001" customHeight="1" x14ac:dyDescent="0.25">
      <c r="M372" s="8"/>
    </row>
    <row r="373" spans="13:13" ht="20.100000000000001" customHeight="1" x14ac:dyDescent="0.25">
      <c r="M373" s="8"/>
    </row>
    <row r="374" spans="13:13" ht="20.100000000000001" customHeight="1" x14ac:dyDescent="0.25">
      <c r="M374" s="8"/>
    </row>
    <row r="375" spans="13:13" ht="20.100000000000001" customHeight="1" x14ac:dyDescent="0.25">
      <c r="M375" s="8"/>
    </row>
    <row r="376" spans="13:13" ht="20.100000000000001" customHeight="1" x14ac:dyDescent="0.25">
      <c r="M376" s="8"/>
    </row>
    <row r="377" spans="13:13" ht="20.100000000000001" customHeight="1" x14ac:dyDescent="0.25">
      <c r="M377" s="8"/>
    </row>
    <row r="378" spans="13:13" ht="20.100000000000001" customHeight="1" x14ac:dyDescent="0.25">
      <c r="M378" s="8"/>
    </row>
    <row r="379" spans="13:13" ht="20.100000000000001" customHeight="1" x14ac:dyDescent="0.25">
      <c r="M379" s="8"/>
    </row>
    <row r="380" spans="13:13" ht="20.100000000000001" customHeight="1" x14ac:dyDescent="0.25">
      <c r="M380" s="8"/>
    </row>
    <row r="381" spans="13:13" ht="20.100000000000001" customHeight="1" x14ac:dyDescent="0.25">
      <c r="M381" s="8"/>
    </row>
    <row r="382" spans="13:13" ht="20.100000000000001" customHeight="1" x14ac:dyDescent="0.25">
      <c r="M382" s="8"/>
    </row>
    <row r="383" spans="13:13" ht="20.100000000000001" customHeight="1" x14ac:dyDescent="0.25">
      <c r="M383" s="8"/>
    </row>
    <row r="384" spans="13:13" ht="20.100000000000001" customHeight="1" x14ac:dyDescent="0.25">
      <c r="M384" s="8"/>
    </row>
    <row r="385" spans="13:13" ht="20.100000000000001" customHeight="1" x14ac:dyDescent="0.25">
      <c r="M385" s="8"/>
    </row>
    <row r="386" spans="13:13" ht="20.100000000000001" customHeight="1" x14ac:dyDescent="0.25">
      <c r="M386" s="8"/>
    </row>
    <row r="387" spans="13:13" ht="20.100000000000001" customHeight="1" x14ac:dyDescent="0.25">
      <c r="M387" s="8"/>
    </row>
    <row r="388" spans="13:13" ht="20.100000000000001" customHeight="1" x14ac:dyDescent="0.25">
      <c r="M388" s="8"/>
    </row>
    <row r="389" spans="13:13" ht="20.100000000000001" customHeight="1" x14ac:dyDescent="0.25">
      <c r="M389" s="8"/>
    </row>
    <row r="390" spans="13:13" ht="20.100000000000001" customHeight="1" x14ac:dyDescent="0.25">
      <c r="M390" s="8"/>
    </row>
    <row r="391" spans="13:13" ht="20.100000000000001" customHeight="1" x14ac:dyDescent="0.25">
      <c r="M391" s="8"/>
    </row>
    <row r="392" spans="13:13" ht="20.100000000000001" customHeight="1" x14ac:dyDescent="0.25">
      <c r="M392" s="8"/>
    </row>
    <row r="393" spans="13:13" ht="20.100000000000001" customHeight="1" x14ac:dyDescent="0.25">
      <c r="M393" s="8"/>
    </row>
    <row r="394" spans="13:13" ht="20.100000000000001" customHeight="1" x14ac:dyDescent="0.25">
      <c r="M394" s="8"/>
    </row>
    <row r="395" spans="13:13" ht="20.100000000000001" customHeight="1" x14ac:dyDescent="0.25">
      <c r="M395" s="8"/>
    </row>
    <row r="396" spans="13:13" ht="20.100000000000001" customHeight="1" x14ac:dyDescent="0.25">
      <c r="M396" s="8"/>
    </row>
    <row r="397" spans="13:13" ht="20.100000000000001" customHeight="1" x14ac:dyDescent="0.25">
      <c r="M397" s="8"/>
    </row>
    <row r="398" spans="13:13" ht="20.100000000000001" customHeight="1" x14ac:dyDescent="0.25">
      <c r="M398" s="8"/>
    </row>
    <row r="399" spans="13:13" ht="20.100000000000001" customHeight="1" x14ac:dyDescent="0.25">
      <c r="M399" s="8"/>
    </row>
    <row r="400" spans="13:13" ht="20.100000000000001" customHeight="1" x14ac:dyDescent="0.25">
      <c r="M400" s="8"/>
    </row>
    <row r="401" spans="13:13" ht="20.100000000000001" customHeight="1" x14ac:dyDescent="0.25">
      <c r="M401" s="8"/>
    </row>
    <row r="402" spans="13:13" ht="20.100000000000001" customHeight="1" x14ac:dyDescent="0.25">
      <c r="M402" s="8"/>
    </row>
    <row r="403" spans="13:13" ht="20.100000000000001" customHeight="1" x14ac:dyDescent="0.25">
      <c r="M403" s="8"/>
    </row>
    <row r="404" spans="13:13" ht="20.100000000000001" customHeight="1" x14ac:dyDescent="0.25">
      <c r="M404" s="8"/>
    </row>
    <row r="405" spans="13:13" ht="20.100000000000001" customHeight="1" x14ac:dyDescent="0.25">
      <c r="M405" s="8"/>
    </row>
    <row r="406" spans="13:13" ht="20.100000000000001" customHeight="1" x14ac:dyDescent="0.25">
      <c r="M406" s="8"/>
    </row>
    <row r="407" spans="13:13" ht="20.100000000000001" customHeight="1" x14ac:dyDescent="0.25">
      <c r="M407" s="8"/>
    </row>
    <row r="408" spans="13:13" ht="20.100000000000001" customHeight="1" x14ac:dyDescent="0.25">
      <c r="M408" s="8"/>
    </row>
    <row r="409" spans="13:13" ht="20.100000000000001" customHeight="1" x14ac:dyDescent="0.25">
      <c r="M409" s="8"/>
    </row>
    <row r="410" spans="13:13" ht="20.100000000000001" customHeight="1" x14ac:dyDescent="0.25">
      <c r="M410" s="8"/>
    </row>
    <row r="411" spans="13:13" ht="20.100000000000001" customHeight="1" x14ac:dyDescent="0.25">
      <c r="M411" s="8"/>
    </row>
    <row r="412" spans="13:13" ht="20.100000000000001" customHeight="1" x14ac:dyDescent="0.25">
      <c r="M412" s="8"/>
    </row>
    <row r="413" spans="13:13" ht="20.100000000000001" customHeight="1" x14ac:dyDescent="0.25">
      <c r="M413" s="8"/>
    </row>
    <row r="414" spans="13:13" ht="20.100000000000001" customHeight="1" x14ac:dyDescent="0.25">
      <c r="M414" s="8"/>
    </row>
    <row r="415" spans="13:13" ht="20.100000000000001" customHeight="1" x14ac:dyDescent="0.25">
      <c r="M415" s="8"/>
    </row>
    <row r="416" spans="13:13" ht="20.100000000000001" customHeight="1" x14ac:dyDescent="0.25">
      <c r="M416" s="8"/>
    </row>
    <row r="417" spans="13:13" ht="20.100000000000001" customHeight="1" x14ac:dyDescent="0.25">
      <c r="M417" s="8"/>
    </row>
    <row r="418" spans="13:13" ht="20.100000000000001" customHeight="1" x14ac:dyDescent="0.25">
      <c r="M418" s="8"/>
    </row>
    <row r="419" spans="13:13" ht="20.100000000000001" customHeight="1" x14ac:dyDescent="0.25">
      <c r="M419" s="8"/>
    </row>
    <row r="420" spans="13:13" ht="20.100000000000001" customHeight="1" x14ac:dyDescent="0.25">
      <c r="M420" s="8"/>
    </row>
    <row r="421" spans="13:13" ht="20.100000000000001" customHeight="1" x14ac:dyDescent="0.25">
      <c r="M421" s="8"/>
    </row>
    <row r="422" spans="13:13" ht="20.100000000000001" customHeight="1" x14ac:dyDescent="0.25">
      <c r="M422" s="8"/>
    </row>
    <row r="423" spans="13:13" ht="20.100000000000001" customHeight="1" x14ac:dyDescent="0.25">
      <c r="M423" s="8"/>
    </row>
    <row r="424" spans="13:13" ht="20.100000000000001" customHeight="1" x14ac:dyDescent="0.25">
      <c r="M424" s="8"/>
    </row>
    <row r="425" spans="13:13" ht="20.100000000000001" customHeight="1" x14ac:dyDescent="0.25">
      <c r="M425" s="8"/>
    </row>
    <row r="426" spans="13:13" ht="20.100000000000001" customHeight="1" x14ac:dyDescent="0.25">
      <c r="M426" s="8"/>
    </row>
    <row r="427" spans="13:13" ht="20.100000000000001" customHeight="1" x14ac:dyDescent="0.25">
      <c r="M427" s="8"/>
    </row>
    <row r="428" spans="13:13" ht="20.100000000000001" customHeight="1" x14ac:dyDescent="0.25">
      <c r="M428" s="8"/>
    </row>
    <row r="429" spans="13:13" ht="20.100000000000001" customHeight="1" x14ac:dyDescent="0.25">
      <c r="M429" s="8"/>
    </row>
    <row r="430" spans="13:13" ht="20.100000000000001" customHeight="1" x14ac:dyDescent="0.25">
      <c r="M430" s="8"/>
    </row>
    <row r="431" spans="13:13" ht="20.100000000000001" customHeight="1" x14ac:dyDescent="0.25">
      <c r="M431" s="8"/>
    </row>
    <row r="432" spans="13:13" ht="20.100000000000001" customHeight="1" x14ac:dyDescent="0.25">
      <c r="M432" s="8"/>
    </row>
    <row r="433" spans="13:13" ht="20.100000000000001" customHeight="1" x14ac:dyDescent="0.25">
      <c r="M433" s="8"/>
    </row>
    <row r="434" spans="13:13" ht="20.100000000000001" customHeight="1" x14ac:dyDescent="0.25">
      <c r="M434" s="8"/>
    </row>
    <row r="435" spans="13:13" ht="20.100000000000001" customHeight="1" x14ac:dyDescent="0.25">
      <c r="M435" s="8"/>
    </row>
    <row r="436" spans="13:13" ht="20.100000000000001" customHeight="1" x14ac:dyDescent="0.25">
      <c r="M436" s="8"/>
    </row>
    <row r="437" spans="13:13" ht="20.100000000000001" customHeight="1" x14ac:dyDescent="0.25">
      <c r="M437" s="8"/>
    </row>
    <row r="438" spans="13:13" ht="20.100000000000001" customHeight="1" x14ac:dyDescent="0.25">
      <c r="M438" s="8"/>
    </row>
    <row r="439" spans="13:13" ht="20.100000000000001" customHeight="1" x14ac:dyDescent="0.25">
      <c r="M439" s="8"/>
    </row>
    <row r="440" spans="13:13" ht="20.100000000000001" customHeight="1" x14ac:dyDescent="0.25">
      <c r="M440" s="8"/>
    </row>
    <row r="441" spans="13:13" ht="20.100000000000001" customHeight="1" x14ac:dyDescent="0.25">
      <c r="M441" s="8"/>
    </row>
    <row r="442" spans="13:13" ht="20.100000000000001" customHeight="1" x14ac:dyDescent="0.25">
      <c r="M442" s="8"/>
    </row>
    <row r="443" spans="13:13" ht="20.100000000000001" customHeight="1" x14ac:dyDescent="0.25">
      <c r="M443" s="8"/>
    </row>
    <row r="444" spans="13:13" ht="20.100000000000001" customHeight="1" x14ac:dyDescent="0.25">
      <c r="M444" s="8"/>
    </row>
    <row r="445" spans="13:13" ht="20.100000000000001" customHeight="1" x14ac:dyDescent="0.25">
      <c r="M445" s="8"/>
    </row>
    <row r="446" spans="13:13" ht="20.100000000000001" customHeight="1" x14ac:dyDescent="0.25">
      <c r="M446" s="8"/>
    </row>
    <row r="447" spans="13:13" ht="20.100000000000001" customHeight="1" x14ac:dyDescent="0.25">
      <c r="M447" s="8"/>
    </row>
    <row r="448" spans="13:13" ht="20.100000000000001" customHeight="1" x14ac:dyDescent="0.25">
      <c r="M448" s="8"/>
    </row>
    <row r="449" spans="13:13" ht="20.100000000000001" customHeight="1" x14ac:dyDescent="0.25">
      <c r="M449" s="8"/>
    </row>
    <row r="450" spans="13:13" ht="20.100000000000001" customHeight="1" x14ac:dyDescent="0.25">
      <c r="M450" s="8"/>
    </row>
    <row r="451" spans="13:13" ht="20.100000000000001" customHeight="1" x14ac:dyDescent="0.25">
      <c r="M451" s="8"/>
    </row>
    <row r="452" spans="13:13" ht="20.100000000000001" customHeight="1" x14ac:dyDescent="0.25">
      <c r="M452" s="8"/>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8B57-D4AF-4908-B45A-5D76CF4E3016}">
  <sheetPr>
    <tabColor theme="2" tint="-0.499984740745262"/>
  </sheetPr>
  <dimension ref="A1:V288"/>
  <sheetViews>
    <sheetView showGridLines="0" topLeftCell="A13" zoomScaleNormal="100" workbookViewId="0">
      <selection activeCell="A38" sqref="A38"/>
    </sheetView>
  </sheetViews>
  <sheetFormatPr defaultColWidth="9" defaultRowHeight="20.100000000000001" customHeight="1" x14ac:dyDescent="0.25"/>
  <cols>
    <col min="1" max="1" width="26.85546875" style="3" customWidth="1"/>
    <col min="2" max="2" width="4.140625" style="3" customWidth="1"/>
    <col min="3" max="3" width="4.140625" style="8" customWidth="1"/>
    <col min="4" max="6" width="26.85546875" style="8" customWidth="1"/>
    <col min="7" max="7" width="28.42578125" style="8" customWidth="1"/>
    <col min="8" max="12" width="26.85546875" style="8" customWidth="1"/>
    <col min="13" max="13" width="26.85546875" style="3" customWidth="1"/>
    <col min="14" max="20" width="26.85546875" style="8" customWidth="1"/>
    <col min="21" max="21" width="4.140625" style="8" customWidth="1"/>
    <col min="22" max="16384" width="9" style="3"/>
  </cols>
  <sheetData>
    <row r="1" spans="1:21" s="1" customFormat="1" ht="30" customHeight="1" x14ac:dyDescent="0.35">
      <c r="A1" s="37" t="e" vm="1">
        <v>#VALUE!</v>
      </c>
      <c r="C1" s="1" t="s">
        <v>514</v>
      </c>
    </row>
    <row r="2" spans="1:21" s="2" customFormat="1" ht="20.100000000000001" customHeight="1" x14ac:dyDescent="0.2">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515</v>
      </c>
      <c r="G5" s="9" t="s">
        <v>516</v>
      </c>
      <c r="J5" s="9" t="s">
        <v>143</v>
      </c>
      <c r="M5" s="8"/>
    </row>
    <row r="6" spans="1:21" ht="20.100000000000001" customHeight="1" x14ac:dyDescent="0.25">
      <c r="A6"/>
      <c r="M6" s="8"/>
    </row>
    <row r="7" spans="1:21" ht="20.100000000000001" customHeight="1" x14ac:dyDescent="0.25">
      <c r="A7" s="19" t="s">
        <v>67</v>
      </c>
      <c r="D7" s="150" t="s">
        <v>517</v>
      </c>
      <c r="E7" s="10" t="s">
        <v>324</v>
      </c>
      <c r="G7" s="10" t="s">
        <v>145</v>
      </c>
      <c r="J7" s="10" t="s">
        <v>43</v>
      </c>
      <c r="M7" s="8"/>
    </row>
    <row r="8" spans="1:21" ht="20.100000000000001" customHeight="1" x14ac:dyDescent="0.25">
      <c r="A8" s="16" t="str">
        <f>HYPERLINK("#'Input - Site'!A1", "Site")</f>
        <v>Site</v>
      </c>
      <c r="D8" s="10" t="str">
        <f>'Constants - Common Livestock'!E7</f>
        <v>Anaerobic lagoon</v>
      </c>
      <c r="E8" s="10" t="str">
        <f>'Constants - Common Livestock'!F7</f>
        <v>Anaerobic lagoon (m=1)</v>
      </c>
      <c r="G8" s="10" t="str">
        <f>'Constants - Common'!$F$187</f>
        <v>Pasture</v>
      </c>
      <c r="J8" s="10" t="s">
        <v>148</v>
      </c>
      <c r="M8" s="8"/>
    </row>
    <row r="9" spans="1:21" ht="20.100000000000001" customHeight="1" x14ac:dyDescent="0.25">
      <c r="A9" s="16" t="str">
        <f>HYPERLINK("#'Input - Fuel'!A1", "Fuel")</f>
        <v>Fuel</v>
      </c>
      <c r="D9" s="10" t="str">
        <f>'Constants - Common Livestock'!E10</f>
        <v>Sump and dispersal system</v>
      </c>
      <c r="E9" s="10" t="str">
        <f>'Constants - Common Livestock'!F10</f>
        <v>Sump and dispersal system (m=3a)</v>
      </c>
      <c r="G9" s="8" t="str">
        <f>'Constants - Common'!$F$188</f>
        <v>Crop</v>
      </c>
      <c r="J9" s="10" t="s">
        <v>152</v>
      </c>
      <c r="M9" s="8"/>
    </row>
    <row r="10" spans="1:21" ht="20.100000000000001" customHeight="1" x14ac:dyDescent="0.25">
      <c r="A10" s="16" t="str">
        <f>HYPERLINK("#'Input - Fertiliser'!A1", "Fertiliser")</f>
        <v>Fertiliser</v>
      </c>
      <c r="D10" s="10" t="str">
        <f>'Constants - Common Livestock'!E11</f>
        <v>Drains to paddock</v>
      </c>
      <c r="E10" s="10" t="str">
        <f>'Constants - Common Livestock'!F11</f>
        <v>Drains to paddock (m=3b)</v>
      </c>
      <c r="J10" s="8" t="s">
        <v>155</v>
      </c>
      <c r="M10" s="8"/>
    </row>
    <row r="11" spans="1:21" ht="20.100000000000001" customHeight="1" x14ac:dyDescent="0.25">
      <c r="A11" s="16" t="str">
        <f>HYPERLINK("#'Input - Farm Inputs'!A1", "Farm Inputs")</f>
        <v>Farm Inputs</v>
      </c>
      <c r="D11" s="10" t="str">
        <f>'Constants - Common Livestock'!E12</f>
        <v>Solid storage</v>
      </c>
      <c r="E11" s="10" t="str">
        <f>'Constants - Common Livestock'!F12</f>
        <v>Solid storage (m=4)</v>
      </c>
      <c r="J11" s="8" t="s">
        <v>158</v>
      </c>
      <c r="M11" s="8"/>
    </row>
    <row r="12" spans="1:21" ht="20.100000000000001" customHeight="1" x14ac:dyDescent="0.25">
      <c r="A12" s="16" t="str">
        <f>HYPERLINK("#'Input - Livestock purchases'!A1", "Livestock purchases")</f>
        <v>Livestock purchases</v>
      </c>
      <c r="J12" s="8" t="s">
        <v>160</v>
      </c>
      <c r="M12" s="8"/>
    </row>
    <row r="13" spans="1:21" ht="20.100000000000001" customHeight="1" x14ac:dyDescent="0.25">
      <c r="A13" s="16" t="str">
        <f>HYPERLINK("#'Input - Freight'!A1", "Freight")</f>
        <v>Freight</v>
      </c>
      <c r="M13" s="8"/>
    </row>
    <row r="14" spans="1:21" ht="20.100000000000001" customHeight="1" x14ac:dyDescent="0.25">
      <c r="A14" s="16" t="str">
        <f>HYPERLINK("#'Input - Solid waste'!A1", "Solid waste")</f>
        <v>Solid waste</v>
      </c>
      <c r="M14" s="8"/>
    </row>
    <row r="15" spans="1:21" ht="20.100000000000001" customHeight="1" x14ac:dyDescent="0.25">
      <c r="A15" s="16" t="str">
        <f>HYPERLINK("#'Input - Manure sent off-site'!A1", "Manure sent off-site")</f>
        <v>Manure sent off-site</v>
      </c>
      <c r="M15" s="8"/>
    </row>
    <row r="16" spans="1:21" ht="20.100000000000001" customHeight="1" x14ac:dyDescent="0.25">
      <c r="A16" s="16" t="str">
        <f>HYPERLINK("#'Input - Electricity'!A1", "Electricity")</f>
        <v>Electricity</v>
      </c>
      <c r="D16" s="9" t="str" cm="1">
        <f t="array" ref="D16">SourceData_Dairy.SourceData_Dairy_LiveweightCowsAndHeifers_Title()</f>
        <v>Table A.1.3.1: Dairy cattle - Liveweight (kg) - Cows and Heifers (Wj)</v>
      </c>
      <c r="M16" s="8"/>
    </row>
    <row r="17" spans="1:13" ht="20.100000000000001" customHeight="1" x14ac:dyDescent="0.25">
      <c r="A17"/>
      <c r="D17" s="11" t="str" cm="1">
        <f t="array" ref="D17">SourceData_Dairy.SourceData_Dairy_LiveweightCowsAndHeifers_Source()</f>
        <v>VEERG 2026: Table A.1.3.1</v>
      </c>
      <c r="M17" s="8"/>
    </row>
    <row r="18" spans="1:13" ht="20.100000000000001" customHeight="1" x14ac:dyDescent="0.25">
      <c r="A18"/>
      <c r="D18" s="8" t="str" cm="1">
        <f t="array" ref="D18">SourceData_Dairy.SourceData_Dairy_LiveweightCowsAndHeifers_Variable()</f>
        <v>Wj</v>
      </c>
      <c r="M18" s="8"/>
    </row>
    <row r="19" spans="1:13" ht="20.100000000000001" customHeight="1" x14ac:dyDescent="0.25">
      <c r="A19" s="21" t="s">
        <v>77</v>
      </c>
      <c r="D19" s="13" t="str" cm="1">
        <f t="array" ref="D19">SourceData_Dairy.SourceData_Dairy_LiveweightCowsAndHeifers_Unit()</f>
        <v>kg</v>
      </c>
      <c r="M19" s="8"/>
    </row>
    <row r="20" spans="1:13" ht="20.100000000000001" customHeight="1" x14ac:dyDescent="0.25">
      <c r="A20" s="16" t="str">
        <f>HYPERLINK("#'15 Scope 3'!A1", "15 Scope 3")</f>
        <v>15 Scope 3</v>
      </c>
      <c r="D20" s="12" t="str" cm="1">
        <f t="array" ref="D20">SourceData_Dairy.SourceData_Dairy_LiveweightCowsAndHeifers_Variation()</f>
        <v>VARIATION OF SOURCE: Excluded 'Reference', as the value is consistently 'Dairy Australia [1]' and is not used in calculation.</v>
      </c>
      <c r="M20" s="8"/>
    </row>
    <row r="21" spans="1:13" ht="20.100000000000001" customHeight="1" x14ac:dyDescent="0.25">
      <c r="A21" s="16" t="str">
        <f>HYPERLINK("#'10.1.1-2 Solid waste treatment'!A1", "10.1.1-2 Solid waste treatment")</f>
        <v>10.1.1-2 Solid waste treatment</v>
      </c>
      <c r="D21" s="10" t="s">
        <v>496</v>
      </c>
      <c r="E21" s="10" t="s">
        <v>509</v>
      </c>
      <c r="F21" s="10" t="s">
        <v>518</v>
      </c>
      <c r="G21" s="10" t="s">
        <v>510</v>
      </c>
      <c r="M21" s="8"/>
    </row>
    <row r="22" spans="1:13" ht="20.100000000000001" customHeight="1" x14ac:dyDescent="0.25">
      <c r="A22" s="16" t="str">
        <f>HYPERLINK("#'Calcs - Manure sent off-site'!A1", "Calcs - Manure sent off-site")</f>
        <v>Calcs - Manure sent off-site</v>
      </c>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A23" s="16" t="str">
        <f>HYPERLINK("#'8.1.1.1-2 Transport fuel'!A1", "8.1.1.1-2 Transport fuel")</f>
        <v>8.1.1.1-2 Transport fuel</v>
      </c>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A24" s="16" t="str">
        <f>HYPERLINK("#'8.2.1.1-2 Stationary fuel'!A1", "8.2.1.1-2 Stationary fuel")</f>
        <v>8.2.1.1-2 Stationary fuel</v>
      </c>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A25"/>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A26"/>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A27" s="213" t="s">
        <v>78</v>
      </c>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A28" s="16" t="str">
        <f>HYPERLINK("#'Constants - Scope 3'!A1", "Constants - Scope 3")</f>
        <v>Constants - Scope 3</v>
      </c>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A29" s="16" t="str">
        <f>HYPERLINK("#'Constants - Solid Waste'!A1", "Constants - Solid Waste")</f>
        <v>Constants - Solid Waste</v>
      </c>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A30" s="16" t="str">
        <f>HYPERLINK("#'Constants - Fuel'!A1", "Constants - Fuel")</f>
        <v>Constants - Fuel</v>
      </c>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A31" s="16" t="str">
        <f>HYPERLINK("#'Constants - Poultry'!A1", "Constants - Poultry")</f>
        <v>Constants - Poultry</v>
      </c>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A32" s="16" t="str">
        <f>HYPERLINK("#'Constants - Swine'!A1", "Constants - Swine")</f>
        <v>Constants - Swine</v>
      </c>
      <c r="M32" s="8"/>
    </row>
    <row r="33" spans="1:13" ht="20.100000000000001" customHeight="1" x14ac:dyDescent="0.25">
      <c r="A33" s="23" t="str">
        <f>HYPERLINK("#'Constants - Dairy'!A1", "Constants - Dairy")</f>
        <v>Constants - Dairy</v>
      </c>
      <c r="M33" s="8"/>
    </row>
    <row r="34" spans="1:13" ht="20.100000000000001" customHeight="1" x14ac:dyDescent="0.25">
      <c r="A34" s="16" t="str">
        <f>HYPERLINK("#'Constants - Pasture Beef'!A1", "Constants - Pasture Beef")</f>
        <v>Constants - Pasture Beef</v>
      </c>
      <c r="D34" s="9" t="str" cm="1">
        <f t="array" ref="D34">SourceData_Dairy.SourceData_Dairy_LiveweightBulls_Title()</f>
        <v>Table A.1.3.2: Dairy cattle - Liveweight (kg) - Bulls (Wj)</v>
      </c>
      <c r="M34" s="8"/>
    </row>
    <row r="35" spans="1:13" ht="20.100000000000001" customHeight="1" x14ac:dyDescent="0.25">
      <c r="A35" s="16" t="str">
        <f>HYPERLINK("#'Constants - Common Livestock'!A1", "Constants - Common Livestock")</f>
        <v>Constants - Common Livestock</v>
      </c>
      <c r="D35" s="11" t="str" cm="1">
        <f t="array" ref="D35">SourceData_Dairy.SourceData_Dairy_LiveweightBulls_Source()</f>
        <v>VEERG 2026: Table A.1.3.2</v>
      </c>
      <c r="M35" s="8"/>
    </row>
    <row r="36" spans="1:13" ht="20.100000000000001" customHeight="1" x14ac:dyDescent="0.25">
      <c r="A36" s="16" t="str">
        <f>HYPERLINK("#'Constants - Fertiliser'!A1", "Constants - Fertiliser")</f>
        <v>Constants - Fertiliser</v>
      </c>
      <c r="D36" s="8" t="str" cm="1">
        <f t="array" ref="D36">SourceData_Dairy.SourceData_Dairy_LiveweightBulls_Variable()</f>
        <v>Wj</v>
      </c>
      <c r="M36" s="8"/>
    </row>
    <row r="37" spans="1:13" ht="20.100000000000001" customHeight="1" x14ac:dyDescent="0.25">
      <c r="A37" s="16" t="str">
        <f>HYPERLINK("#'Constants - Electricity'!A1", "Constants - Electricity")</f>
        <v>Constants - Electricity</v>
      </c>
      <c r="D37" s="13" t="str" cm="1">
        <f t="array" ref="D37">SourceData_Dairy.SourceData_Dairy_LiveweightBulls_Unit()</f>
        <v>kg</v>
      </c>
      <c r="M37" s="8"/>
    </row>
    <row r="38" spans="1:13" ht="20.100000000000001" customHeight="1" x14ac:dyDescent="0.25">
      <c r="A38" s="16" t="str">
        <f>HYPERLINK("#'Constants - Common'!A1", "Constants - Common")</f>
        <v>Constants - Common</v>
      </c>
      <c r="D38" s="10" t="s">
        <v>496</v>
      </c>
      <c r="E38" s="10" t="s">
        <v>519</v>
      </c>
      <c r="F38" s="10" t="s">
        <v>520</v>
      </c>
      <c r="M38" s="8"/>
    </row>
    <row r="39" spans="1:13" ht="20.100000000000001" customHeight="1" x14ac:dyDescent="0.25">
      <c r="A39"/>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1:13" ht="20.100000000000001" customHeight="1" x14ac:dyDescent="0.25">
      <c r="A40"/>
      <c r="M40" s="8"/>
    </row>
    <row r="41" spans="1:13" ht="20.100000000000001" customHeight="1" x14ac:dyDescent="0.25">
      <c r="A41"/>
      <c r="M41" s="8"/>
    </row>
    <row r="42" spans="1:13" ht="20.100000000000001" customHeight="1" x14ac:dyDescent="0.25">
      <c r="A42"/>
      <c r="D42" s="9" t="str" cm="1">
        <f t="array" ref="D42">SourceData_Dairy.SourceData_Dairy_LiveweightGain_Title()</f>
        <v>Table A.1.3.3: Dairy cattle - Liveweight gain (kg) (LWGj)</v>
      </c>
      <c r="M42" s="8"/>
    </row>
    <row r="43" spans="1:13" ht="20.100000000000001" customHeight="1" x14ac:dyDescent="0.25">
      <c r="A43"/>
      <c r="D43" s="11" t="str" cm="1">
        <f t="array" ref="D43">SourceData_Dairy.SourceData_Dairy_LiveweightGain_Source()</f>
        <v>VEERG 2026: Table A.1.3.3</v>
      </c>
      <c r="M43" s="8"/>
    </row>
    <row r="44" spans="1:13" ht="20.100000000000001" customHeight="1" x14ac:dyDescent="0.25">
      <c r="A44"/>
      <c r="D44" s="8" t="str" cm="1">
        <f t="array" ref="D44">SourceData_Dairy.SourceData_Dairy_LiveweightGain_Variable()</f>
        <v>LWGj</v>
      </c>
      <c r="M44" s="8"/>
    </row>
    <row r="45" spans="1:13" ht="20.100000000000001" customHeight="1" x14ac:dyDescent="0.25">
      <c r="A45"/>
      <c r="D45" s="13" t="str" cm="1">
        <f t="array" ref="D45">SourceData_Dairy.SourceData_Dairy_LiveweightGain_Unit()</f>
        <v>kg</v>
      </c>
      <c r="M45" s="8"/>
    </row>
    <row r="46" spans="1:13" ht="20.100000000000001" customHeight="1" x14ac:dyDescent="0.25">
      <c r="A46"/>
      <c r="D46" s="10" t="s">
        <v>509</v>
      </c>
      <c r="E46" s="10" t="s">
        <v>518</v>
      </c>
      <c r="F46" s="10" t="s">
        <v>510</v>
      </c>
      <c r="G46" s="10" t="s">
        <v>519</v>
      </c>
      <c r="H46" s="10" t="s">
        <v>520</v>
      </c>
      <c r="M46" s="8"/>
    </row>
    <row r="47" spans="1:13" ht="20.100000000000001" customHeight="1" x14ac:dyDescent="0.25">
      <c r="A47"/>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1:13" ht="20.100000000000001" customHeight="1" x14ac:dyDescent="0.25">
      <c r="A48"/>
      <c r="M48" s="8"/>
    </row>
    <row r="49" spans="1:13" ht="20.100000000000001" customHeight="1" x14ac:dyDescent="0.25">
      <c r="A49"/>
      <c r="M49" s="8"/>
    </row>
    <row r="50" spans="1:13" ht="20.100000000000001" customHeight="1" x14ac:dyDescent="0.25">
      <c r="A50"/>
      <c r="D50" s="9" t="str" cm="1">
        <f t="array" ref="D50">SourceData_Dairy.SourceData_Dairy_ReferenceWeights_Title()</f>
        <v>Table A.1.3.4: Dairy cattle - Reference weights (kg) (WRj)</v>
      </c>
      <c r="M50" s="8"/>
    </row>
    <row r="51" spans="1:13" ht="20.100000000000001" customHeight="1" x14ac:dyDescent="0.25">
      <c r="A51"/>
      <c r="D51" s="11" t="str" cm="1">
        <f t="array" ref="D51">SourceData_Dairy.SourceData_Dairy_ReferenceWeights_Source()</f>
        <v>VEERG 2026: Table A.1.3.4</v>
      </c>
      <c r="M51" s="8"/>
    </row>
    <row r="52" spans="1:13" ht="20.100000000000001" customHeight="1" x14ac:dyDescent="0.25">
      <c r="A52"/>
      <c r="D52" s="8" t="str" cm="1">
        <f t="array" ref="D52">SourceData_Dairy.SourceData_Dairy_ReferenceWeights_Variable()</f>
        <v>WRj</v>
      </c>
      <c r="M52" s="8"/>
    </row>
    <row r="53" spans="1:13" ht="20.100000000000001" customHeight="1" x14ac:dyDescent="0.25">
      <c r="A53"/>
      <c r="D53" s="13" t="str" cm="1">
        <f t="array" ref="D53">SourceData_Dairy.SourceData_Dairy_ReferenceWeights_Unit()</f>
        <v>kg</v>
      </c>
      <c r="M53" s="8"/>
    </row>
    <row r="54" spans="1:13" ht="20.100000000000001" customHeight="1" x14ac:dyDescent="0.25">
      <c r="A54"/>
      <c r="D54" s="151" t="s">
        <v>509</v>
      </c>
      <c r="E54" s="151" t="s">
        <v>518</v>
      </c>
      <c r="F54" s="151" t="s">
        <v>510</v>
      </c>
      <c r="G54" s="151" t="s">
        <v>519</v>
      </c>
      <c r="H54" s="151" t="s">
        <v>520</v>
      </c>
      <c r="M54" s="8"/>
    </row>
    <row r="55" spans="1:13" ht="20.100000000000001" customHeight="1" x14ac:dyDescent="0.25">
      <c r="A55"/>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A56"/>
      <c r="M56" s="8"/>
    </row>
    <row r="57" spans="1:13" ht="20.100000000000001" customHeight="1" x14ac:dyDescent="0.25">
      <c r="A57"/>
      <c r="M57" s="8"/>
    </row>
    <row r="58" spans="1:13" ht="20.100000000000001" customHeight="1" x14ac:dyDescent="0.25">
      <c r="A58"/>
      <c r="D58" s="9" t="str" cm="1">
        <f t="array" ref="D58">SourceData_Dairy.SourceData_Dairy_PreWeanedCalves_Title()</f>
        <v>Table A.1.3.5: Dairy cattle - Data for pre - weaned calves</v>
      </c>
      <c r="M58" s="8"/>
    </row>
    <row r="59" spans="1:13" ht="20.100000000000001" customHeight="1" x14ac:dyDescent="0.25">
      <c r="A59"/>
      <c r="D59" s="11" t="str" cm="1">
        <f t="array" ref="D59">SourceData_Dairy.SourceData_Dairy_PreWeanedCalves_Source()</f>
        <v>VEERG 2026: Table A.1.3.5</v>
      </c>
      <c r="M59" s="8"/>
    </row>
    <row r="60" spans="1:13" ht="20.100000000000001" customHeight="1" x14ac:dyDescent="0.25">
      <c r="A60"/>
      <c r="D60" s="8" t="str" cm="1">
        <f t="array" ref="D60">SourceData_Dairy.SourceData_Dairy_PreWeanedCalves_Variable()</f>
        <v>VSj=3,5; NPWj=3,5</v>
      </c>
      <c r="M60" s="8"/>
    </row>
    <row r="61" spans="1:13" ht="20.100000000000001" customHeight="1" x14ac:dyDescent="0.25">
      <c r="A61"/>
      <c r="D61" s="13" t="str" cm="1">
        <f t="array" ref="D61">SourceData_Dairy.SourceData_Dairy_PreWeanedCalves_Unit()</f>
        <v>kg/day</v>
      </c>
      <c r="M61" s="8"/>
    </row>
    <row r="62" spans="1:13" ht="20.100000000000001" customHeight="1" x14ac:dyDescent="0.25">
      <c r="A62"/>
      <c r="D62" s="10" t="s">
        <v>521</v>
      </c>
      <c r="E62" s="10" t="s">
        <v>522</v>
      </c>
      <c r="F62" s="10" t="s">
        <v>523</v>
      </c>
      <c r="G62" s="10" t="s">
        <v>524</v>
      </c>
      <c r="M62" s="8"/>
    </row>
    <row r="63" spans="1:13" ht="20.100000000000001" customHeight="1" x14ac:dyDescent="0.25">
      <c r="A63"/>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A64"/>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A65"/>
      <c r="M65" s="8"/>
    </row>
    <row r="66" spans="1:22" ht="20.100000000000001" customHeight="1" x14ac:dyDescent="0.25">
      <c r="A66"/>
      <c r="M66" s="8"/>
    </row>
    <row r="67" spans="1:22" ht="20.100000000000001" customHeight="1" x14ac:dyDescent="0.25">
      <c r="A67"/>
      <c r="D67" s="9" t="str" cm="1">
        <f t="array" ref="D67">SourceData_Dairy.SourceData_Dairy_MCF_Title()</f>
        <v>Table A.1.3.6: Dairy cattle - Dairy cattle - MCFs (fraction) (MCFjm)</v>
      </c>
      <c r="M67" s="8"/>
    </row>
    <row r="68" spans="1:22" ht="20.100000000000001" customHeight="1" x14ac:dyDescent="0.25">
      <c r="A68"/>
      <c r="D68" s="11" t="str" cm="1">
        <f t="array" ref="D68">SourceData_Dairy.SourceData_Dairy_MCF_Source()</f>
        <v>VEERG 2026: Table A.1.3.6</v>
      </c>
      <c r="M68" s="8"/>
    </row>
    <row r="69" spans="1:22" ht="20.100000000000001" customHeight="1" x14ac:dyDescent="0.25">
      <c r="A69"/>
      <c r="D69" s="8" t="str" cm="1">
        <f t="array" ref="D69">SourceData_Dairy.SourceData_Dairy_MCF_Variable()</f>
        <v>MCFjm</v>
      </c>
      <c r="M69" s="8"/>
    </row>
    <row r="70" spans="1:22" ht="20.100000000000001" customHeight="1" x14ac:dyDescent="0.25">
      <c r="A70"/>
      <c r="D70" s="13" t="str" cm="1">
        <f t="array" ref="D70">SourceData_Dairy.SourceData_Dairy_MCF_Unit()</f>
        <v>fraction</v>
      </c>
      <c r="M70" s="8"/>
    </row>
    <row r="71" spans="1:22" ht="20.100000000000001" customHeight="1" x14ac:dyDescent="0.25">
      <c r="A71"/>
      <c r="D71" s="12" t="str" cm="1">
        <f t="array" ref="D71">SourceData_Dairy.SourceData_Dairy_MCF_Variation()</f>
        <v>VARIATION OF SOURCE: Added 'NIR reference' column to aid lookup</v>
      </c>
      <c r="M71" s="8"/>
      <c r="V71" s="8"/>
    </row>
    <row r="72" spans="1:22" ht="20.100000000000001" customHeight="1" x14ac:dyDescent="0.25">
      <c r="A72"/>
      <c r="D72" s="10" t="s">
        <v>525</v>
      </c>
      <c r="E72" s="10" t="s">
        <v>308</v>
      </c>
      <c r="F72" s="10" t="s">
        <v>331</v>
      </c>
      <c r="G72" s="10" t="s">
        <v>427</v>
      </c>
      <c r="H72" s="10" t="s">
        <v>332</v>
      </c>
      <c r="I72" s="10" t="s">
        <v>386</v>
      </c>
      <c r="J72" s="10" t="s">
        <v>384</v>
      </c>
      <c r="K72" s="10" t="s">
        <v>337</v>
      </c>
      <c r="L72" s="10" t="s">
        <v>338</v>
      </c>
      <c r="M72" s="10" t="s">
        <v>526</v>
      </c>
      <c r="V72" s="8"/>
    </row>
    <row r="73" spans="1:22" ht="20.100000000000001" customHeight="1" x14ac:dyDescent="0.25">
      <c r="A73"/>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A74"/>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A7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A76"/>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A77"/>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A78"/>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c r="M79" s="8"/>
    </row>
    <row r="80" spans="1:22" ht="20.100000000000001" customHeight="1" x14ac:dyDescent="0.25">
      <c r="A80"/>
      <c r="M80" s="8"/>
    </row>
    <row r="81" spans="1:22" ht="20.100000000000001" customHeight="1" x14ac:dyDescent="0.25">
      <c r="A81"/>
      <c r="D81" s="9" t="str" cm="1">
        <f t="array" ref="D81">SourceData_Dairy.SourceData_Dairy_NitrousOxideEFsAndFracGASM_Title()</f>
        <v>Table A.1.3.7: Dairy cattle - Nitrous oxide EFs and fraction of N volatilised by MMS</v>
      </c>
      <c r="M81" s="8"/>
    </row>
    <row r="82" spans="1:22" ht="20.100000000000001" customHeight="1" x14ac:dyDescent="0.25">
      <c r="A82"/>
      <c r="D82" s="11" t="str" cm="1">
        <f t="array" ref="D82">SourceData_Dairy.SourceData_Dairy_NitrousOxideEFsAndFracGASM_Source()</f>
        <v>VEERG 2026: Table A.1.3.7</v>
      </c>
      <c r="M82" s="8"/>
    </row>
    <row r="83" spans="1:22" ht="20.100000000000001" customHeight="1" x14ac:dyDescent="0.25">
      <c r="A83"/>
      <c r="D83" s="8" t="str" cm="1">
        <f t="array" ref="D83">SourceData_Dairy.SourceData_Dairy_NitrousOxideEFsAndFracGASM_Variable()</f>
        <v>EFm; FracGASMm</v>
      </c>
      <c r="M83" s="8"/>
    </row>
    <row r="84" spans="1:22" ht="20.100000000000001" customHeight="1" x14ac:dyDescent="0.25">
      <c r="A84"/>
      <c r="D84" s="13" t="str" cm="1">
        <f t="array" ref="D84">SourceData_Dairy.SourceData_Dairy_NitrousOxideEFsAndFracGASM_Unit()</f>
        <v>kg N2O-N/kg N excreted</v>
      </c>
      <c r="M84" s="8"/>
    </row>
    <row r="85" spans="1:22" ht="20.100000000000001" customHeight="1" x14ac:dyDescent="0.25">
      <c r="A85"/>
      <c r="D85" s="12" t="str" cm="1">
        <f t="array" ref="D85">SourceData_Dairy.SourceData_Dairy_NitrousOxideEFsAndFracGASM_Variation()</f>
        <v>VARIATION OF SOURCE: Added 'NIR reference' column to aid lookup</v>
      </c>
      <c r="M85" s="8"/>
      <c r="V85" s="8"/>
    </row>
    <row r="86" spans="1:22" ht="20.100000000000001" customHeight="1" x14ac:dyDescent="0.25">
      <c r="A86"/>
      <c r="D86" s="10" t="s">
        <v>525</v>
      </c>
      <c r="E86" s="10" t="s">
        <v>527</v>
      </c>
      <c r="F86" s="10" t="s">
        <v>528</v>
      </c>
      <c r="G86" s="10" t="s">
        <v>526</v>
      </c>
      <c r="M86" s="8"/>
      <c r="V86" s="8"/>
    </row>
    <row r="87" spans="1:22" ht="20.100000000000001" customHeight="1" x14ac:dyDescent="0.25">
      <c r="A87"/>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1:22" ht="20.100000000000001" customHeight="1" x14ac:dyDescent="0.25">
      <c r="A88"/>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1:22" ht="20.100000000000001" customHeight="1" x14ac:dyDescent="0.25">
      <c r="A89"/>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1:22" ht="20.100000000000001" customHeight="1" x14ac:dyDescent="0.25">
      <c r="A90"/>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1:22" ht="20.100000000000001" customHeight="1" x14ac:dyDescent="0.25">
      <c r="A91"/>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1:22" ht="20.100000000000001" customHeight="1" x14ac:dyDescent="0.25">
      <c r="A92"/>
      <c r="M92" s="8"/>
    </row>
    <row r="93" spans="1:22" ht="20.100000000000001" customHeight="1" x14ac:dyDescent="0.25">
      <c r="A93"/>
      <c r="M93" s="8"/>
    </row>
    <row r="94" spans="1:22" ht="20.100000000000001" customHeight="1" x14ac:dyDescent="0.25">
      <c r="A94"/>
      <c r="D94" s="9" t="str" cm="1">
        <f t="array" ref="D94">SourceData_Dairy.SourceData_Dairy_MethaneProductionPreWeanedCalves_Title()</f>
        <v>Table A.1.3.8: Dairy cattle - Methane production for pre-weaned heifer and bull calves (kg CH4/head/day) (MPWENTERIC,j=3,5)</v>
      </c>
      <c r="M94" s="8"/>
    </row>
    <row r="95" spans="1:22" ht="20.100000000000001" customHeight="1" x14ac:dyDescent="0.25">
      <c r="A95"/>
      <c r="D95" s="11" t="str" cm="1">
        <f t="array" ref="D95">SourceData_Dairy.SourceData_Dairy_MethaneProductionPreWeanedCalves_Source()</f>
        <v>VEERG 2026: Table A.1.3.8</v>
      </c>
      <c r="M95" s="8"/>
    </row>
    <row r="96" spans="1:22" ht="20.100000000000001" customHeight="1" x14ac:dyDescent="0.25">
      <c r="A96"/>
      <c r="D96" s="8" t="str" cm="1">
        <f t="array" ref="D96">SourceData_Dairy.SourceData_Dairy_MethaneProductionPreWeanedCalves_Variable()</f>
        <v>MPWENTERIC,j=3,5</v>
      </c>
      <c r="M96" s="8"/>
    </row>
    <row r="97" spans="1:13" ht="20.100000000000001" customHeight="1" x14ac:dyDescent="0.25">
      <c r="A97"/>
      <c r="D97" s="13" t="str" cm="1">
        <f t="array" ref="D97">SourceData_Dairy.SourceData_Dairy_MethaneProductionPreWeanedCalves_Unit()</f>
        <v>kg CH4/head/day</v>
      </c>
      <c r="M97" s="8"/>
    </row>
    <row r="98" spans="1:13" ht="20.100000000000001" customHeight="1" x14ac:dyDescent="0.25">
      <c r="A98"/>
      <c r="D98" s="10" t="s">
        <v>521</v>
      </c>
      <c r="E98" s="10" t="s">
        <v>529</v>
      </c>
      <c r="M98" s="8"/>
    </row>
    <row r="99" spans="1:13" ht="20.100000000000001" customHeight="1" x14ac:dyDescent="0.25">
      <c r="A99"/>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A100"/>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A101"/>
      <c r="M101" s="8"/>
    </row>
    <row r="102" spans="1:13" ht="20.100000000000001" customHeight="1" x14ac:dyDescent="0.25">
      <c r="A102"/>
      <c r="M102" s="8"/>
    </row>
    <row r="103" spans="1:13" ht="20.100000000000001" customHeight="1" x14ac:dyDescent="0.25">
      <c r="A103"/>
      <c r="D103" s="9" t="str" cm="1">
        <f t="array" ref="D103">SourceData_Dairy.SourceData_Dairy_IncreasedMetabolicRateMilk_Title()</f>
        <v>Table A.1.3.9: Dairy cattle - Increased metabolic rate when producing milk (MRj)</v>
      </c>
      <c r="M103" s="8"/>
    </row>
    <row r="104" spans="1:13" ht="20.100000000000001" customHeight="1" x14ac:dyDescent="0.25">
      <c r="A104"/>
      <c r="D104" s="11" t="str" cm="1">
        <f t="array" ref="D104">SourceData_Dairy.SourceData_Dairy_IncreasedMetabolicRateMilk_Source()</f>
        <v>VEERG 2026: Table A.1.3.9</v>
      </c>
      <c r="M104" s="8"/>
    </row>
    <row r="105" spans="1:13" ht="20.100000000000001" customHeight="1" x14ac:dyDescent="0.25">
      <c r="A105"/>
      <c r="D105" s="8" t="str" cm="1">
        <f t="array" ref="D105">SourceData_Dairy.SourceData_Dairy_IncreasedMetabolicRateMilk_Variable()</f>
        <v>MRj</v>
      </c>
      <c r="M105" s="8"/>
    </row>
    <row r="106" spans="1:13" ht="20.100000000000001" customHeight="1" x14ac:dyDescent="0.25">
      <c r="A106"/>
      <c r="D106" s="13" t="str" cm="1">
        <f t="array" ref="D106">SourceData_Dairy.SourceData_Dairy_IncreasedMetabolicRateMilk_Unit()</f>
        <v/>
      </c>
      <c r="M106" s="8"/>
    </row>
    <row r="107" spans="1:13" ht="20.100000000000001" customHeight="1" x14ac:dyDescent="0.25">
      <c r="A107"/>
      <c r="D107" s="10" t="s">
        <v>521</v>
      </c>
      <c r="E107" s="10" t="s">
        <v>530</v>
      </c>
      <c r="M107" s="8"/>
    </row>
    <row r="108" spans="1:13" ht="20.100000000000001" customHeight="1" x14ac:dyDescent="0.25">
      <c r="A108"/>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A109"/>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A110"/>
      <c r="M110" s="8"/>
    </row>
    <row r="111" spans="1:13" ht="20.100000000000001" customHeight="1" x14ac:dyDescent="0.25">
      <c r="A111"/>
      <c r="M111" s="8"/>
    </row>
    <row r="112" spans="1:13" ht="20.100000000000001" customHeight="1" x14ac:dyDescent="0.25">
      <c r="A112"/>
      <c r="D112" s="9" t="str" cm="1">
        <f t="array" ref="D112">SourceData_Dairy.SourceData_Dairy_FractionVolatileSolidsVoidedMMS_Title()</f>
        <v>Table A.1.3.10: Dairy cattle - Fraction of volatile solids voided to each manure management system (fraction) (MMSjm)</v>
      </c>
      <c r="M112" s="8"/>
    </row>
    <row r="113" spans="1:22" ht="20.100000000000001" customHeight="1" x14ac:dyDescent="0.25">
      <c r="A113"/>
      <c r="D113" s="11" t="str" cm="1">
        <f t="array" ref="D113">SourceData_Dairy.SourceData_Dairy_FractionVolatileSolidsVoidedMMS_Source()</f>
        <v>VEERG 2026: Table A.1.3.10</v>
      </c>
      <c r="M113" s="8"/>
    </row>
    <row r="114" spans="1:22" ht="20.100000000000001" customHeight="1" x14ac:dyDescent="0.25">
      <c r="A114"/>
      <c r="D114" s="8" t="str" cm="1">
        <f t="array" ref="D114">SourceData_Dairy.SourceData_Dairy_FractionVolatileSolidsVoidedMMS_Variable()</f>
        <v>MMSjm</v>
      </c>
      <c r="M114" s="8"/>
    </row>
    <row r="115" spans="1:22" ht="20.100000000000001" customHeight="1" x14ac:dyDescent="0.25">
      <c r="A115"/>
      <c r="D115" s="13" t="str" cm="1">
        <f t="array" ref="D115">SourceData_Dairy.SourceData_Dairy_FractionVolatileSolidsVoidedMMS_Unit()</f>
        <v>fraction</v>
      </c>
      <c r="M115" s="8"/>
      <c r="V115" s="8"/>
    </row>
    <row r="116" spans="1:22" ht="20.100000000000001" customHeight="1" x14ac:dyDescent="0.25">
      <c r="A116"/>
      <c r="D116" s="10" t="s">
        <v>531</v>
      </c>
      <c r="E116" s="10" t="s">
        <v>147</v>
      </c>
      <c r="F116" s="10" t="s">
        <v>532</v>
      </c>
      <c r="G116" s="10" t="s">
        <v>533</v>
      </c>
      <c r="M116" s="8"/>
      <c r="V116" s="8"/>
    </row>
    <row r="117" spans="1:22" ht="20.100000000000001" customHeight="1" x14ac:dyDescent="0.25">
      <c r="A117"/>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1:22" ht="20.100000000000001" customHeight="1" x14ac:dyDescent="0.25">
      <c r="A118"/>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1:22" ht="20.100000000000001" customHeight="1" x14ac:dyDescent="0.25">
      <c r="A119"/>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1:22" ht="20.100000000000001" customHeight="1" x14ac:dyDescent="0.25">
      <c r="A120"/>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1:22" ht="20.100000000000001" customHeight="1" x14ac:dyDescent="0.25">
      <c r="A121"/>
      <c r="M121" s="8"/>
    </row>
    <row r="122" spans="1:22" ht="20.100000000000001" customHeight="1" x14ac:dyDescent="0.25">
      <c r="A122"/>
      <c r="M122" s="8"/>
    </row>
    <row r="123" spans="1:22" ht="20.100000000000001" customHeight="1" x14ac:dyDescent="0.25">
      <c r="A123"/>
      <c r="D123" s="9" t="str" cm="1">
        <f t="array" ref="D123">SourceData_Dairy.SourceData_Dairy_EFNitrousOxidePerMMS_Title()</f>
        <v>Table A.1.3.11: Dairy cattle - EF for nitrous oxide per MMS (kg N2O-N/kg N) (EFm)</v>
      </c>
      <c r="M123" s="8"/>
    </row>
    <row r="124" spans="1:22" ht="20.100000000000001" customHeight="1" x14ac:dyDescent="0.25">
      <c r="A124"/>
      <c r="D124" s="11" t="str" cm="1">
        <f t="array" ref="D124">SourceData_Dairy.SourceData_Dairy_EFNitrousOxidePerMMS_Source()</f>
        <v>VEERG 2026: Table A.1.3.11</v>
      </c>
      <c r="M124" s="8"/>
    </row>
    <row r="125" spans="1:22" ht="20.100000000000001" customHeight="1" x14ac:dyDescent="0.25">
      <c r="A125"/>
      <c r="D125" s="8" t="str" cm="1">
        <f t="array" ref="D125">SourceData_Dairy.SourceData_Dairy_EFNitrousOxidePerMMS_Variable()</f>
        <v>EFm</v>
      </c>
      <c r="M125" s="8"/>
      <c r="V125" s="8"/>
    </row>
    <row r="126" spans="1:22" ht="20.100000000000001" customHeight="1" x14ac:dyDescent="0.25">
      <c r="A126"/>
      <c r="D126" s="13" t="str" cm="1">
        <f t="array" ref="D126">SourceData_Dairy.SourceData_Dairy_EFNitrousOxidePerMMS_Unit()</f>
        <v>kg N2O-N/kg N</v>
      </c>
      <c r="M126" s="8"/>
      <c r="V126" s="8"/>
    </row>
    <row r="127" spans="1:22" ht="20.100000000000001" customHeight="1" x14ac:dyDescent="0.25">
      <c r="A127"/>
      <c r="D127" s="12" t="str" cm="1">
        <f t="array" ref="D127">SourceData_Dairy.SourceData_Dairy_EFNitrousOxidePerMMS_Variation()</f>
        <v>VARIATION OF SOURCE: Added 'NIR reference' column to aid lookup</v>
      </c>
      <c r="M127" s="8"/>
      <c r="V127" s="8"/>
    </row>
    <row r="128" spans="1:22" ht="20.100000000000001" customHeight="1" x14ac:dyDescent="0.25">
      <c r="A128"/>
      <c r="D128" s="10" t="s">
        <v>525</v>
      </c>
      <c r="E128" s="10" t="s">
        <v>527</v>
      </c>
      <c r="F128" s="10" t="s">
        <v>526</v>
      </c>
      <c r="G128" s="148" t="s">
        <v>534</v>
      </c>
      <c r="M128" s="8"/>
      <c r="N128" s="14"/>
      <c r="V128" s="8"/>
    </row>
    <row r="129" spans="1:22" ht="20.100000000000001" customHeight="1" x14ac:dyDescent="0.25">
      <c r="A129"/>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A130"/>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A131"/>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A132"/>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A133"/>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A134"/>
      <c r="M134" s="14"/>
    </row>
    <row r="135" spans="1:22" ht="20.100000000000001" customHeight="1" x14ac:dyDescent="0.25">
      <c r="A135"/>
      <c r="M135" s="14"/>
    </row>
    <row r="136" spans="1:22" ht="20.100000000000001" customHeight="1" x14ac:dyDescent="0.25">
      <c r="A136"/>
      <c r="D136" s="9" t="str" cm="1">
        <f t="array" ref="D136">SourceData_Dairy.SourceData_Dairy_DurationOfStay_Title()</f>
        <v>Duration of stay for each dairy cattle input class</v>
      </c>
      <c r="M136" s="14"/>
    </row>
    <row r="137" spans="1:22" ht="20.100000000000001" customHeight="1" x14ac:dyDescent="0.25">
      <c r="A137"/>
      <c r="D137" s="11" t="str" cm="1">
        <f t="array" ref="D137">SourceData_Dairy.SourceData_Dairy_DurationOfStay_Source()</f>
        <v>VEERG 2026: 4.3.2.2	DATA (METHOD 1 AND 2 OPTIONS)</v>
      </c>
      <c r="M137" s="14"/>
    </row>
    <row r="138" spans="1:22" ht="20.100000000000001" customHeight="1" x14ac:dyDescent="0.25">
      <c r="A138"/>
      <c r="D138" s="8" t="str" cm="1">
        <f t="array" ref="D138">SourceData_Dairy.SourceData_Dairy_DurationOfStay_Variable()</f>
        <v>D</v>
      </c>
      <c r="M138" s="14"/>
    </row>
    <row r="139" spans="1:22" ht="20.100000000000001" customHeight="1" x14ac:dyDescent="0.25">
      <c r="A139"/>
      <c r="D139" s="13" t="str" cm="1">
        <f t="array" ref="D139">SourceData_Dairy.SourceData_Dairy_DurationOfStay_Unit()</f>
        <v>days</v>
      </c>
      <c r="M139" s="14"/>
    </row>
    <row r="140" spans="1:22" ht="20.100000000000001" customHeight="1" x14ac:dyDescent="0.25">
      <c r="A140"/>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A141"/>
      <c r="D141" s="10" t="s">
        <v>521</v>
      </c>
      <c r="E141" s="10" t="s">
        <v>535</v>
      </c>
      <c r="F141" s="10" t="s">
        <v>536</v>
      </c>
      <c r="M141" s="14"/>
    </row>
    <row r="142" spans="1:22" ht="20.100000000000001" customHeight="1" x14ac:dyDescent="0.25">
      <c r="A142"/>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A143"/>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A144"/>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1:13" ht="20.100000000000001" customHeight="1" x14ac:dyDescent="0.25">
      <c r="A14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1:13" ht="20.100000000000001" customHeight="1" x14ac:dyDescent="0.25">
      <c r="A146"/>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1:13" ht="20.100000000000001" customHeight="1" x14ac:dyDescent="0.25">
      <c r="A147"/>
      <c r="M147" s="14"/>
    </row>
    <row r="148" spans="1:13" ht="20.100000000000001" customHeight="1" x14ac:dyDescent="0.25">
      <c r="A148"/>
      <c r="M148" s="14"/>
    </row>
    <row r="149" spans="1:13" ht="20.100000000000001" customHeight="1" x14ac:dyDescent="0.25">
      <c r="A149"/>
      <c r="D149" s="9" t="str" cm="1">
        <f t="array" ref="D149">SourceData_Dairy.SourceData_Dairy_CrudeProtein_Title()</f>
        <v>Crude protein content of feed intake</v>
      </c>
      <c r="M149" s="14"/>
    </row>
    <row r="150" spans="1:13" ht="20.100000000000001" customHeight="1" x14ac:dyDescent="0.25">
      <c r="A150"/>
      <c r="D150" s="11" t="str" cm="1">
        <f t="array" ref="D150">SourceData_Dairy.SourceData_Dairy_CrudeProtein_Source()</f>
        <v>VEERG 2026: 4.3.2.2	DATA (METHOD 1 AND 2 OPTIONS)</v>
      </c>
      <c r="M150" s="14"/>
    </row>
    <row r="151" spans="1:13" ht="20.100000000000001" customHeight="1" x14ac:dyDescent="0.25">
      <c r="A151"/>
      <c r="D151" s="8" t="str" cm="1">
        <f t="array" ref="D151">SourceData_Dairy.SourceData_Dairy_CrudeProtein_Variable()</f>
        <v>CP</v>
      </c>
      <c r="M151" s="14"/>
    </row>
    <row r="152" spans="1:13" ht="20.100000000000001" customHeight="1" x14ac:dyDescent="0.25">
      <c r="A152"/>
      <c r="D152" s="13" t="str" cm="1">
        <f t="array" ref="D152">SourceData_Dairy.SourceData_Dairy_CrudeProtein_Unit()</f>
        <v>fraction</v>
      </c>
      <c r="M152" s="14"/>
    </row>
    <row r="153" spans="1:13" ht="20.100000000000001" customHeight="1" x14ac:dyDescent="0.25">
      <c r="A153"/>
      <c r="D153" s="27" cm="1">
        <f t="array" ref="D153">SourceData_Dairy.SourceData_Dairy_CrudeProtein_Data()</f>
        <v>0.2</v>
      </c>
      <c r="M153" s="14"/>
    </row>
    <row r="154" spans="1:13" ht="20.100000000000001" customHeight="1" x14ac:dyDescent="0.25">
      <c r="A154"/>
      <c r="M154" s="14"/>
    </row>
    <row r="155" spans="1:13" ht="20.100000000000001" customHeight="1" x14ac:dyDescent="0.25">
      <c r="A155"/>
      <c r="M155" s="14"/>
    </row>
    <row r="156" spans="1:13" ht="20.100000000000001" customHeight="1" x14ac:dyDescent="0.25">
      <c r="A156"/>
      <c r="D156" s="9" t="str" cm="1">
        <f t="array" ref="D156">SourceData_Dairy.SourceData_Dairy_DryMatterDigestibility_Title()</f>
        <v>Dry matter digestibility</v>
      </c>
      <c r="M156" s="14"/>
    </row>
    <row r="157" spans="1:13" ht="20.100000000000001" customHeight="1" x14ac:dyDescent="0.25">
      <c r="A157"/>
      <c r="D157" s="11" t="str" cm="1">
        <f t="array" ref="D157">SourceData_Dairy.SourceData_Dairy_DryMatterDigestibility_Source()</f>
        <v>VEERG 2026: 3.3.2.2	DATA (METHOD 1 AND 2 OPTIONS)</v>
      </c>
      <c r="M157" s="14"/>
    </row>
    <row r="158" spans="1:13" ht="20.100000000000001" customHeight="1" x14ac:dyDescent="0.25">
      <c r="A158"/>
      <c r="D158" s="8" t="str" cm="1">
        <f t="array" ref="D158">SourceData_Dairy.SourceData_Dairy_DryMatterDigestibility_Variable()</f>
        <v>DMD</v>
      </c>
      <c r="M158" s="14"/>
    </row>
    <row r="159" spans="1:13" ht="20.100000000000001" customHeight="1" x14ac:dyDescent="0.25">
      <c r="A159"/>
      <c r="D159" s="13" t="str" cm="1">
        <f t="array" ref="D159">SourceData_Dairy.SourceData_Dairy_DryMatterDigestibility_Unit()</f>
        <v>fraction</v>
      </c>
      <c r="M159" s="14"/>
    </row>
    <row r="160" spans="1:13" ht="20.100000000000001" customHeight="1" x14ac:dyDescent="0.25">
      <c r="A160"/>
      <c r="D160" s="27"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ht="20.100000000000001" customHeight="1" x14ac:dyDescent="0.25">
      <c r="D166" s="13" t="str" cm="1">
        <f t="array" ref="D166">SourceData_Dairy.SourceData_Dairy_NetEnergy_Unit()</f>
        <v>MJ net energy / kg milk</v>
      </c>
      <c r="M166" s="14"/>
    </row>
    <row r="167" spans="1:13" ht="20.100000000000001" customHeight="1" x14ac:dyDescent="0.25">
      <c r="D167" s="27" cm="1">
        <f t="array" ref="D167">SourceData_Dairy.SourceData_Dairy_NetEnergy_Data()</f>
        <v>3.0539999999999998</v>
      </c>
      <c r="M167" s="14"/>
    </row>
    <row r="168" spans="1:13" ht="20.100000000000001" customHeight="1" x14ac:dyDescent="0.25">
      <c r="M168" s="14"/>
    </row>
    <row r="169" spans="1:13" ht="20.100000000000001" customHeight="1" x14ac:dyDescent="0.25">
      <c r="M169" s="14"/>
    </row>
    <row r="170" spans="1:13" ht="20.100000000000001" customHeight="1" x14ac:dyDescent="0.25">
      <c r="D170" s="9" t="str" cm="1">
        <f t="array" ref="D170">SourceData_Dairy.SourceData_Dairy_GrossEnergyContent_Title()</f>
        <v>Gross energy content of feed dry matter</v>
      </c>
      <c r="M170" s="14"/>
    </row>
    <row r="171" spans="1:13" ht="20.100000000000001" customHeight="1" x14ac:dyDescent="0.25">
      <c r="D171" s="11" t="str" cm="1">
        <f t="array" ref="D171">SourceData_Dairy.SourceData_Dairy_GrossEnergyContent_Source()</f>
        <v>VEERG 2026: 3.3.2.3 CONSTANTS</v>
      </c>
      <c r="M171" s="14"/>
    </row>
    <row r="172" spans="1:13" ht="20.100000000000001" customHeight="1" x14ac:dyDescent="0.25">
      <c r="D172" s="8" t="str" cm="1">
        <f t="array" ref="D172">SourceData_Dairy.SourceData_Dairy_GrossEnergyContent_Variable()</f>
        <v>GEC</v>
      </c>
      <c r="M172" s="14"/>
    </row>
    <row r="173" spans="1:13" ht="20.100000000000001" customHeight="1" x14ac:dyDescent="0.25">
      <c r="D173" s="13" t="str" cm="1">
        <f t="array" ref="D173">SourceData_Dairy.SourceData_Dairy_GrossEnergyContent_Unit()</f>
        <v>MJ / kgDM</v>
      </c>
      <c r="M173" s="14"/>
    </row>
    <row r="174" spans="1:13" ht="20.100000000000001" customHeight="1" x14ac:dyDescent="0.25">
      <c r="A174" s="53" t="str">
        <f>HYPERLINK("#A1", "▲ Back to top")</f>
        <v>▲ Back to top</v>
      </c>
      <c r="D174" s="27" cm="1">
        <f t="array" ref="D174">SourceData_Dairy.SourceData_Dairy_GrossEnergyContent_Data()</f>
        <v>18.399999999999999</v>
      </c>
      <c r="M174" s="14"/>
    </row>
    <row r="175" spans="1:13" ht="20.100000000000001" customHeight="1" x14ac:dyDescent="0.25">
      <c r="M175" s="14"/>
    </row>
    <row r="176" spans="1:13" ht="20.100000000000001" customHeight="1" x14ac:dyDescent="0.25">
      <c r="M176" s="14"/>
    </row>
    <row r="177" spans="4:13" ht="20.100000000000001" customHeight="1" x14ac:dyDescent="0.25">
      <c r="D177" s="9" t="str" cm="1">
        <f t="array" ref="D177">SourceData_Dairy.SourceData_Dairy_EfficiencyOfUseOfMetabolizableEnergy_Title()</f>
        <v>Efficiency of use of metabolizable energy for milk production</v>
      </c>
      <c r="M177" s="14"/>
    </row>
    <row r="178" spans="4:13" ht="20.100000000000001" customHeight="1" x14ac:dyDescent="0.25">
      <c r="D178" s="11" t="str" cm="1">
        <f t="array" ref="D178">SourceData_Dairy.SourceData_Dairy_EfficiencyOfUseOfMetabolizableEnergy_Source()</f>
        <v>VEERG 2026: 3.3.2.3 CONSTANTS</v>
      </c>
      <c r="M178" s="14"/>
    </row>
    <row r="179" spans="4:13" ht="20.100000000000001" customHeight="1" x14ac:dyDescent="0.25">
      <c r="D179" s="8" t="str" cm="1">
        <f t="array" ref="D179">SourceData_Dairy.SourceData_Dairy_EfficiencyOfUseOfMetabolizableEnergy_Variable()</f>
        <v>k</v>
      </c>
      <c r="M179" s="14"/>
    </row>
    <row r="180" spans="4:13" ht="20.100000000000001" customHeight="1" x14ac:dyDescent="0.25">
      <c r="D180" s="13" t="str" cm="1">
        <f t="array" ref="D180">SourceData_Dairy.SourceData_Dairy_EfficiencyOfUseOfMetabolizableEnergy_Unit()</f>
        <v>fraction</v>
      </c>
      <c r="M180" s="14"/>
    </row>
    <row r="181" spans="4:13" ht="20.100000000000001" customHeight="1" x14ac:dyDescent="0.25">
      <c r="D181" s="27" cm="1">
        <f t="array" ref="D181">SourceData_Dairy.SourceData_Dairy_EfficiencyOfUseOfMetabolizableEnergy_Data()</f>
        <v>0.6</v>
      </c>
      <c r="M181" s="14"/>
    </row>
    <row r="182" spans="4:13" ht="20.100000000000001" customHeight="1" x14ac:dyDescent="0.25">
      <c r="M182" s="14"/>
    </row>
    <row r="183" spans="4:13" ht="20.100000000000001" customHeight="1" x14ac:dyDescent="0.25">
      <c r="M183" s="14"/>
    </row>
    <row r="184" spans="4:13" ht="20.100000000000001" customHeight="1" x14ac:dyDescent="0.25">
      <c r="D184" s="9" t="str" cm="1">
        <f t="array" ref="D184">SourceData_Dairy.SourceData_Dairy_AshContent_Title()</f>
        <v>Ash content of manure</v>
      </c>
      <c r="M184" s="14"/>
    </row>
    <row r="185" spans="4:13" ht="20.100000000000001" customHeight="1" x14ac:dyDescent="0.25">
      <c r="D185" s="11" t="str" cm="1">
        <f t="array" ref="D185">SourceData_Dairy.SourceData_Dairy_AshContent_Source()</f>
        <v>VEERG 2026: 4.3.2.3 CONSTANTS</v>
      </c>
      <c r="M185" s="14"/>
    </row>
    <row r="186" spans="4:13" ht="20.100000000000001" customHeight="1" x14ac:dyDescent="0.25">
      <c r="D186" s="8" t="str" cm="1">
        <f t="array" ref="D186">SourceData_Dairy.SourceData_Dairy_AshContent_Variable()</f>
        <v>A</v>
      </c>
      <c r="M186" s="14"/>
    </row>
    <row r="187" spans="4:13" ht="20.100000000000001" customHeight="1" x14ac:dyDescent="0.25">
      <c r="D187" s="13" t="str" cm="1">
        <f t="array" ref="D187">SourceData_Dairy.SourceData_Dairy_AshContent_Unit()</f>
        <v>fraction</v>
      </c>
      <c r="M187" s="14"/>
    </row>
    <row r="188" spans="4:13" ht="20.100000000000001" customHeight="1" x14ac:dyDescent="0.25">
      <c r="D188" s="27" cm="1">
        <f t="array" ref="D188">SourceData_Dairy.SourceData_Dairy_AshContent_Data()</f>
        <v>0.08</v>
      </c>
      <c r="M188" s="14"/>
    </row>
    <row r="189" spans="4:13" ht="20.100000000000001" customHeight="1" x14ac:dyDescent="0.25">
      <c r="M189" s="14"/>
    </row>
    <row r="190" spans="4:13" ht="20.100000000000001" customHeight="1" x14ac:dyDescent="0.25">
      <c r="M190" s="14"/>
    </row>
    <row r="191" spans="4:13" ht="20.100000000000001" customHeight="1" x14ac:dyDescent="0.25">
      <c r="D191" s="9" t="str" cm="1">
        <f t="array" ref="D191">SourceData_Dairy.SourceData_Dairy_MethaneEmissionsPotential_Title()</f>
        <v>Methane emissions potential</v>
      </c>
      <c r="M191" s="14"/>
    </row>
    <row r="192" spans="4:13" ht="20.100000000000001" customHeight="1" x14ac:dyDescent="0.25">
      <c r="D192" s="11" t="str" cm="1">
        <f t="array" ref="D192">SourceData_Dairy.SourceData_Dairy_MethaneEmissionsPotential_Source()</f>
        <v>VEERG 2026: 4.3.2.3 CONSTANTS</v>
      </c>
      <c r="M192" s="14"/>
    </row>
    <row r="193" spans="4:13" ht="20.100000000000001" customHeight="1" x14ac:dyDescent="0.25">
      <c r="D193" s="8" t="str" cm="1">
        <f t="array" ref="D193">SourceData_Dairy.SourceData_Dairy_MethaneEmissionsPotential_Variable()</f>
        <v>B_o</v>
      </c>
      <c r="M193" s="14"/>
    </row>
    <row r="194" spans="4:13" ht="20.100000000000001" customHeight="1" x14ac:dyDescent="0.25">
      <c r="D194" s="13" t="str" cm="1">
        <f t="array" ref="D194">SourceData_Dairy.SourceData_Dairy_MethaneEmissionsPotential_Unit()</f>
        <v>m3 CH4/kgVS</v>
      </c>
      <c r="M194" s="14"/>
    </row>
    <row r="195" spans="4:13" ht="20.100000000000001" customHeight="1" x14ac:dyDescent="0.25">
      <c r="D195" s="27" cm="1">
        <f t="array" ref="D195">SourceData_Dairy.SourceData_Dairy_MethaneEmissionsPotential_Data()</f>
        <v>0.24</v>
      </c>
      <c r="M195" s="14"/>
    </row>
    <row r="196" spans="4:13" ht="20.100000000000001" customHeight="1" x14ac:dyDescent="0.25">
      <c r="M196" s="14"/>
    </row>
    <row r="197" spans="4:13" ht="20.100000000000001" customHeight="1" x14ac:dyDescent="0.25">
      <c r="M197" s="14"/>
    </row>
    <row r="198" spans="4:13" ht="20.100000000000001" customHeight="1" x14ac:dyDescent="0.25">
      <c r="D198" s="9" t="str" cm="1">
        <f t="array" ref="D198">SourceData_Dairy.SourceData_Dairy_EmissionFactorForLeachingAndRunoff_Title()</f>
        <v>Emission factor for leaching and runoff</v>
      </c>
      <c r="M198" s="14"/>
    </row>
    <row r="199" spans="4:13" ht="20.100000000000001" customHeight="1" x14ac:dyDescent="0.25">
      <c r="D199" s="11" t="str" cm="1">
        <f t="array" ref="D199">SourceData_Dairy.SourceData_Dairy_EmissionFactorForLeachingAndRunoff_Source()</f>
        <v>VEERG 2026: 4.3.2.3 CONSTANTS</v>
      </c>
      <c r="M199" s="14"/>
    </row>
    <row r="200" spans="4:13" ht="20.100000000000001" customHeight="1" x14ac:dyDescent="0.25">
      <c r="D200" s="8" t="str" cm="1">
        <f t="array" ref="D200">SourceData_Dairy.SourceData_Dairy_EmissionFactorForLeachingAndRunoff_Variable()</f>
        <v>EF_leach</v>
      </c>
      <c r="M200" s="14"/>
    </row>
    <row r="201" spans="4:13" ht="20.100000000000001" customHeight="1" x14ac:dyDescent="0.25">
      <c r="D201" s="13" t="str" cm="1">
        <f t="array" ref="D201">SourceData_Dairy.SourceData_Dairy_EmissionFactorForLeachingAndRunoff_Unit()</f>
        <v>kg N2O-N/kg N</v>
      </c>
      <c r="M201" s="14"/>
    </row>
    <row r="202" spans="4:13" ht="20.100000000000001" customHeight="1" x14ac:dyDescent="0.25">
      <c r="D202" s="27" cm="1">
        <f t="array" ref="D202">SourceData_Dairy.SourceData_Dairy_EmissionFactorForLeachingAndRunoff_Data()</f>
        <v>1.0999999999999999E-2</v>
      </c>
      <c r="M202" s="14"/>
    </row>
    <row r="203" spans="4:13" ht="20.100000000000001" customHeight="1" x14ac:dyDescent="0.25">
      <c r="M203" s="14"/>
    </row>
    <row r="204" spans="4:13" ht="20.100000000000001" customHeight="1" x14ac:dyDescent="0.25">
      <c r="M204" s="14"/>
    </row>
    <row r="205" spans="4:13" ht="20.100000000000001" customHeight="1" x14ac:dyDescent="0.25">
      <c r="D205" s="9" t="str" cm="1">
        <f t="array" ref="D205">SourceData_Dairy.SourceData_Dairy_FractionOfNitrogenLostThroughLeachingAndRunoff_Title()</f>
        <v>Default fraction of N that is lost through leaching and runoff when manure is excreted to pasture, range and paddock (m=14).</v>
      </c>
      <c r="M205" s="14"/>
    </row>
    <row r="206" spans="4:13" ht="20.100000000000001" customHeight="1" x14ac:dyDescent="0.25">
      <c r="D206" s="11" t="str" cm="1">
        <f t="array" ref="D206">SourceData_Dairy.SourceData_Dairy_FractionOfNitrogenLostThroughLeachingAndRunoff_Source()</f>
        <v>VEERG 2026: 4.3.2.3 CONSTANTS</v>
      </c>
      <c r="M206" s="14"/>
    </row>
    <row r="207" spans="4:13" ht="20.100000000000001" customHeight="1" x14ac:dyDescent="0.25">
      <c r="D207" s="8" t="str" cm="1">
        <f t="array" ref="D207">SourceData_Dairy.SourceData_Dairy_FractionOfNitrogenLostThroughLeachingAndRunoff_Variable()</f>
        <v>Frac_LEACH_MS</v>
      </c>
      <c r="M207" s="14"/>
    </row>
    <row r="208" spans="4:13" ht="20.100000000000001" customHeight="1" x14ac:dyDescent="0.25">
      <c r="D208" s="13" t="str" cm="1">
        <f t="array" ref="D208">SourceData_Dairy.SourceData_Dairy_FractionOfNitrogenLostThroughLeachingAndRunoff_Unit()</f>
        <v>Fraction</v>
      </c>
      <c r="M208" s="14"/>
    </row>
    <row r="209" spans="1:13" ht="20.100000000000001" customHeight="1" x14ac:dyDescent="0.25">
      <c r="D209" s="27" cm="1">
        <f t="array" ref="D209">SourceData_Dairy.SourceData_Dairy_FractionOfNitrogenLostThroughLeachingAndRunoff_Data()</f>
        <v>0.24</v>
      </c>
      <c r="M209" s="14"/>
    </row>
    <row r="210" spans="1:13" ht="20.100000000000001" customHeight="1" x14ac:dyDescent="0.25">
      <c r="M210" s="14"/>
    </row>
    <row r="211" spans="1:13" ht="20.100000000000001" customHeight="1" x14ac:dyDescent="0.25">
      <c r="D211" s="9" t="str" cm="1">
        <f t="array" ref="D211">SourceData_Dairy.SourceData_Dairy_FracGASMSoil_Title()</f>
        <v>Fraction of nitrogen volatilized from urine and faeces deposited on pasture</v>
      </c>
      <c r="M211" s="14"/>
    </row>
    <row r="212" spans="1:13" ht="20.100000000000001" customHeight="1" x14ac:dyDescent="0.25">
      <c r="D212" s="11" t="str" cm="1">
        <f t="array" ref="D212">SourceData_Dairy.SourceData_Dairy_FracGASMSoil_Source()</f>
        <v>VEERG 2026: 4.3.2.3 CONSTANTS</v>
      </c>
      <c r="M212" s="14"/>
    </row>
    <row r="213" spans="1:13" ht="20.100000000000001" customHeight="1" x14ac:dyDescent="0.25">
      <c r="D213" s="8" t="str" cm="1">
        <f t="array" ref="D213">SourceData_Dairy.SourceData_Dairy_FracGASMSoil_Variable()</f>
        <v>FracGASMsoil</v>
      </c>
      <c r="M213" s="14"/>
    </row>
    <row r="214" spans="1:13" ht="20.100000000000001" customHeight="1" x14ac:dyDescent="0.25">
      <c r="D214" s="13" t="str" cm="1">
        <f t="array" ref="D214">SourceData_Dairy.SourceData_Dairy_FracGASMSoil_Unit()</f>
        <v>(kg NH3-N + NOx-N)/kg N</v>
      </c>
      <c r="M214" s="14"/>
    </row>
    <row r="215" spans="1:13" ht="20.100000000000001" customHeight="1" x14ac:dyDescent="0.25">
      <c r="A215" s="53" t="str">
        <f>HYPERLINK("#A1", "▲ Back to top")</f>
        <v>▲ Back to top</v>
      </c>
      <c r="D215" s="27" cm="1">
        <f t="array" ref="D215">SourceData_Dairy.SourceData_Dairy_FracGASMSoil_Data()</f>
        <v>0.21</v>
      </c>
      <c r="M215" s="14"/>
    </row>
    <row r="216" spans="1:13" ht="20.100000000000001" customHeight="1" x14ac:dyDescent="0.25">
      <c r="M216" s="14"/>
    </row>
    <row r="217" spans="1:13" ht="20.100000000000001" customHeight="1" x14ac:dyDescent="0.25">
      <c r="D217" s="9" t="str" cm="1">
        <f t="array" ref="D217">SourceData_Dairy.SourceData_Dairy_FatContentInMilk_Title()</f>
        <v>Fat content in fat and protein corrected milk</v>
      </c>
      <c r="M217" s="14"/>
    </row>
    <row r="218" spans="1:13" ht="20.100000000000001" customHeight="1" x14ac:dyDescent="0.25">
      <c r="D218" s="11" t="str" cm="1">
        <f t="array" ref="D218">SourceData_Dairy.SourceData_Dairy_FatContentInMilk_Source()</f>
        <v>VEERG 2026: 3.3.2.2 DATA (METHOD 1 AND 2 OPTIONS)</v>
      </c>
      <c r="M218" s="14"/>
    </row>
    <row r="219" spans="1:13" ht="20.100000000000001" customHeight="1" x14ac:dyDescent="0.25">
      <c r="D219" s="8" t="str" cm="1">
        <f t="array" ref="D219">SourceData_Dairy.SourceData_Dairy_FatContentInMilk_Variable()</f>
        <v>FC_j</v>
      </c>
      <c r="M219" s="14"/>
    </row>
    <row r="220" spans="1:13" ht="20.100000000000001" customHeight="1" x14ac:dyDescent="0.25">
      <c r="D220" s="13" t="str" cm="1">
        <f t="array" ref="D220">SourceData_Dairy.SourceData_Dairy_FatContentInMilk_Unit()</f>
        <v>percent</v>
      </c>
      <c r="M220" s="14"/>
    </row>
    <row r="221" spans="1:13" ht="20.100000000000001" customHeight="1" x14ac:dyDescent="0.25">
      <c r="D221" s="27" cm="1">
        <f t="array" ref="D221">SourceData_Dairy.SourceData_Dairy_FatContentInMilk_Data()</f>
        <v>4</v>
      </c>
      <c r="M221" s="14"/>
    </row>
    <row r="222" spans="1:13" ht="20.100000000000001" customHeight="1" x14ac:dyDescent="0.25">
      <c r="M222" s="14"/>
    </row>
    <row r="223" spans="1:13" ht="20.100000000000001" customHeight="1" x14ac:dyDescent="0.25">
      <c r="D223" s="9" t="str" cm="1">
        <f t="array" ref="D223">SourceData_Dairy.SourceData_Dairy_ProteinContentInMilk_Title()</f>
        <v>Protein content in fat and protein corrected milk</v>
      </c>
      <c r="M223" s="14"/>
    </row>
    <row r="224" spans="1:13" ht="20.100000000000001" customHeight="1" x14ac:dyDescent="0.25">
      <c r="D224" s="11" t="str" cm="1">
        <f t="array" ref="D224">SourceData_Dairy.SourceData_Dairy_ProteinContentInMilk_Source()</f>
        <v>VEERG 2026: 3.3.2.2 DATA (METHOD 1 AND 2 OPTIONS)</v>
      </c>
      <c r="M224" s="14"/>
    </row>
    <row r="225" spans="4:13" ht="20.100000000000001" customHeight="1" x14ac:dyDescent="0.25">
      <c r="D225" s="8" t="str" cm="1">
        <f t="array" ref="D225">SourceData_Dairy.SourceData_Dairy_ProteinContentInMilk_Variable()</f>
        <v>PC_j</v>
      </c>
      <c r="M225" s="14"/>
    </row>
    <row r="226" spans="4:13" ht="20.100000000000001" customHeight="1" x14ac:dyDescent="0.25">
      <c r="D226" s="13" t="str" cm="1">
        <f t="array" ref="D226">SourceData_Dairy.SourceData_Dairy_ProteinContentInMilk_Unit()</f>
        <v>percent</v>
      </c>
      <c r="M226" s="14"/>
    </row>
    <row r="227" spans="4:13" ht="20.100000000000001" customHeight="1" x14ac:dyDescent="0.25">
      <c r="D227" s="27" cm="1">
        <f t="array" ref="D227">SourceData_Dairy.SourceData_Dairy_ProteinContentInMilk_Data()</f>
        <v>3.3</v>
      </c>
      <c r="M227" s="14"/>
    </row>
    <row r="228" spans="4:13" ht="20.100000000000001" customHeight="1" x14ac:dyDescent="0.25">
      <c r="M228" s="14"/>
    </row>
    <row r="229" spans="4:13" ht="20.100000000000001" customHeight="1" x14ac:dyDescent="0.25">
      <c r="M229" s="14"/>
    </row>
    <row r="230" spans="4:13" ht="20.100000000000001" customHeight="1" x14ac:dyDescent="0.25">
      <c r="M230" s="14"/>
    </row>
    <row r="231" spans="4:13" ht="20.100000000000001" customHeight="1" x14ac:dyDescent="0.25">
      <c r="M231" s="14"/>
    </row>
    <row r="232" spans="4:13" ht="20.100000000000001" customHeight="1" x14ac:dyDescent="0.25">
      <c r="M232" s="14"/>
    </row>
    <row r="233" spans="4:13" ht="20.100000000000001" customHeight="1" x14ac:dyDescent="0.25">
      <c r="M233" s="14"/>
    </row>
    <row r="234" spans="4:13" ht="20.100000000000001" customHeight="1" x14ac:dyDescent="0.25">
      <c r="M234" s="14"/>
    </row>
    <row r="235" spans="4:13" ht="20.100000000000001" customHeight="1" x14ac:dyDescent="0.25">
      <c r="M235" s="14"/>
    </row>
    <row r="236" spans="4:13" ht="20.100000000000001" customHeight="1" x14ac:dyDescent="0.25">
      <c r="M236" s="14"/>
    </row>
    <row r="237" spans="4:13" ht="20.100000000000001" customHeight="1" x14ac:dyDescent="0.25">
      <c r="M237" s="14"/>
    </row>
    <row r="238" spans="4:13" ht="20.100000000000001" customHeight="1" x14ac:dyDescent="0.25">
      <c r="M238" s="14"/>
    </row>
    <row r="239" spans="4:13" ht="20.100000000000001" customHeight="1" x14ac:dyDescent="0.25">
      <c r="M239" s="14"/>
    </row>
    <row r="240" spans="4:13" ht="20.100000000000001" customHeight="1" x14ac:dyDescent="0.25">
      <c r="M240" s="14"/>
    </row>
    <row r="241" spans="13:13" ht="20.100000000000001" customHeight="1" x14ac:dyDescent="0.25">
      <c r="M241" s="14"/>
    </row>
    <row r="242" spans="13:13" ht="20.100000000000001" customHeight="1" x14ac:dyDescent="0.25">
      <c r="M242" s="14"/>
    </row>
    <row r="243" spans="13:13" ht="20.100000000000001" customHeight="1" x14ac:dyDescent="0.25">
      <c r="M243" s="14"/>
    </row>
    <row r="244" spans="13:13" ht="20.100000000000001" customHeight="1" x14ac:dyDescent="0.25">
      <c r="M244" s="14"/>
    </row>
    <row r="245" spans="13:13" ht="20.100000000000001" customHeight="1" x14ac:dyDescent="0.25">
      <c r="M245" s="14"/>
    </row>
    <row r="246" spans="13:13" ht="20.100000000000001" customHeight="1" x14ac:dyDescent="0.25">
      <c r="M246" s="14"/>
    </row>
    <row r="247" spans="13:13" ht="20.100000000000001" customHeight="1" x14ac:dyDescent="0.25">
      <c r="M247" s="14"/>
    </row>
    <row r="248" spans="13:13" ht="20.100000000000001" customHeight="1" x14ac:dyDescent="0.25">
      <c r="M248" s="14"/>
    </row>
    <row r="249" spans="13:13" ht="20.100000000000001" customHeight="1" x14ac:dyDescent="0.25">
      <c r="M249" s="14"/>
    </row>
    <row r="250" spans="13:13" ht="20.100000000000001" customHeight="1" x14ac:dyDescent="0.25">
      <c r="M250" s="14"/>
    </row>
    <row r="251" spans="13:13" ht="20.100000000000001" customHeight="1" x14ac:dyDescent="0.25">
      <c r="M251" s="14"/>
    </row>
    <row r="252" spans="13:13" ht="20.100000000000001" customHeight="1" x14ac:dyDescent="0.25">
      <c r="M252" s="14"/>
    </row>
    <row r="253" spans="13:13" ht="20.100000000000001" customHeight="1" x14ac:dyDescent="0.25">
      <c r="M253" s="14"/>
    </row>
    <row r="254" spans="13:13" ht="20.100000000000001" customHeight="1" x14ac:dyDescent="0.25">
      <c r="M254" s="14"/>
    </row>
    <row r="255" spans="13:13" ht="20.100000000000001" customHeight="1" x14ac:dyDescent="0.25">
      <c r="M255" s="14"/>
    </row>
    <row r="256" spans="13:13" ht="20.100000000000001" customHeight="1" x14ac:dyDescent="0.25">
      <c r="M256" s="14"/>
    </row>
    <row r="257" spans="13:13" ht="20.100000000000001" customHeight="1" x14ac:dyDescent="0.25">
      <c r="M257" s="14"/>
    </row>
    <row r="258" spans="13:13" ht="20.100000000000001" customHeight="1" x14ac:dyDescent="0.25">
      <c r="M258" s="14"/>
    </row>
    <row r="259" spans="13:13" ht="20.100000000000001" customHeight="1" x14ac:dyDescent="0.25">
      <c r="M259" s="14"/>
    </row>
    <row r="260" spans="13:13" ht="20.100000000000001" customHeight="1" x14ac:dyDescent="0.25">
      <c r="M260" s="14"/>
    </row>
    <row r="261" spans="13:13" ht="20.100000000000001" customHeight="1" x14ac:dyDescent="0.25">
      <c r="M261" s="14"/>
    </row>
    <row r="262" spans="13:13" ht="20.100000000000001" customHeight="1" x14ac:dyDescent="0.25">
      <c r="M262" s="14"/>
    </row>
    <row r="263" spans="13:13" ht="20.100000000000001" customHeight="1" x14ac:dyDescent="0.25">
      <c r="M263" s="14"/>
    </row>
    <row r="264" spans="13:13" ht="20.100000000000001" customHeight="1" x14ac:dyDescent="0.25">
      <c r="M264" s="14"/>
    </row>
    <row r="265" spans="13:13" ht="20.100000000000001" customHeight="1" x14ac:dyDescent="0.25">
      <c r="M265" s="14"/>
    </row>
    <row r="266" spans="13:13" ht="20.100000000000001" customHeight="1" x14ac:dyDescent="0.25">
      <c r="M266" s="14"/>
    </row>
    <row r="267" spans="13:13" ht="20.100000000000001" customHeight="1" x14ac:dyDescent="0.25">
      <c r="M267" s="14"/>
    </row>
    <row r="268" spans="13:13" ht="20.100000000000001" customHeight="1" x14ac:dyDescent="0.25">
      <c r="M268" s="14"/>
    </row>
    <row r="269" spans="13:13" ht="20.100000000000001" customHeight="1" x14ac:dyDescent="0.25">
      <c r="M269" s="14"/>
    </row>
    <row r="270" spans="13:13" ht="20.100000000000001" customHeight="1" x14ac:dyDescent="0.25">
      <c r="M270" s="14"/>
    </row>
    <row r="271" spans="13:13" ht="20.100000000000001" customHeight="1" x14ac:dyDescent="0.25">
      <c r="M271" s="14"/>
    </row>
    <row r="272" spans="13:13" ht="20.100000000000001" customHeight="1" x14ac:dyDescent="0.25">
      <c r="M272" s="14"/>
    </row>
    <row r="273" spans="13:13" ht="20.100000000000001" customHeight="1" x14ac:dyDescent="0.25">
      <c r="M273" s="14"/>
    </row>
    <row r="274" spans="13:13" ht="20.100000000000001" customHeight="1" x14ac:dyDescent="0.25">
      <c r="M274" s="14"/>
    </row>
    <row r="275" spans="13:13" ht="20.100000000000001" customHeight="1" x14ac:dyDescent="0.25">
      <c r="M275" s="14"/>
    </row>
    <row r="276" spans="13:13" ht="20.100000000000001" customHeight="1" x14ac:dyDescent="0.25">
      <c r="M276" s="14"/>
    </row>
    <row r="277" spans="13:13" ht="20.100000000000001" customHeight="1" x14ac:dyDescent="0.25">
      <c r="M277" s="14"/>
    </row>
    <row r="278" spans="13:13" ht="20.100000000000001" customHeight="1" x14ac:dyDescent="0.25">
      <c r="M278" s="14"/>
    </row>
    <row r="279" spans="13:13" ht="20.100000000000001" customHeight="1" x14ac:dyDescent="0.25">
      <c r="M279" s="14"/>
    </row>
    <row r="280" spans="13:13" ht="20.100000000000001" customHeight="1" x14ac:dyDescent="0.25">
      <c r="M280" s="14"/>
    </row>
    <row r="281" spans="13:13" ht="20.100000000000001" customHeight="1" x14ac:dyDescent="0.25">
      <c r="M281" s="14"/>
    </row>
    <row r="282" spans="13:13" ht="20.100000000000001" customHeight="1" x14ac:dyDescent="0.25">
      <c r="M282" s="14"/>
    </row>
    <row r="283" spans="13:13" ht="20.100000000000001" customHeight="1" x14ac:dyDescent="0.25">
      <c r="M283" s="14"/>
    </row>
    <row r="284" spans="13:13" ht="20.100000000000001" customHeight="1" x14ac:dyDescent="0.25">
      <c r="M284" s="14"/>
    </row>
    <row r="285" spans="13:13" ht="20.100000000000001" customHeight="1" x14ac:dyDescent="0.25">
      <c r="M285" s="14"/>
    </row>
    <row r="286" spans="13:13" ht="20.100000000000001" customHeight="1" x14ac:dyDescent="0.25">
      <c r="M286" s="14"/>
    </row>
    <row r="287" spans="13:13" ht="20.100000000000001" customHeight="1" x14ac:dyDescent="0.25">
      <c r="M287" s="14"/>
    </row>
    <row r="288" spans="13:13" ht="20.100000000000001" customHeight="1"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45B4-F9DC-4211-871F-BDB144CC7191}">
  <sheetPr>
    <tabColor theme="2" tint="-0.499984740745262"/>
  </sheetPr>
  <dimension ref="A1:V454"/>
  <sheetViews>
    <sheetView showGridLines="0" topLeftCell="F1" zoomScaleNormal="100" workbookViewId="0">
      <selection activeCell="A38" sqref="A38"/>
    </sheetView>
  </sheetViews>
  <sheetFormatPr defaultColWidth="9" defaultRowHeight="20.100000000000001" customHeight="1" x14ac:dyDescent="0.25"/>
  <cols>
    <col min="1" max="1" width="26.85546875" style="3" customWidth="1"/>
    <col min="2" max="2" width="4.140625" style="3" customWidth="1"/>
    <col min="3" max="3" width="4.140625" style="8" customWidth="1"/>
    <col min="4" max="5" width="26.85546875" style="8" customWidth="1"/>
    <col min="6" max="6" width="27.28515625" style="8" customWidth="1"/>
    <col min="7" max="7" width="28.42578125" style="8" customWidth="1"/>
    <col min="8" max="12" width="26.85546875" style="8" customWidth="1"/>
    <col min="13" max="13" width="26.85546875" style="3" customWidth="1"/>
    <col min="14" max="20" width="26.85546875" style="8" customWidth="1"/>
    <col min="21" max="21" width="4.140625" style="8" customWidth="1"/>
    <col min="22" max="16384" width="9" style="3"/>
  </cols>
  <sheetData>
    <row r="1" spans="1:21" s="1" customFormat="1" ht="30" customHeight="1" x14ac:dyDescent="0.35">
      <c r="A1" s="37" t="e" vm="1">
        <v>#VALUE!</v>
      </c>
      <c r="C1" s="1" t="s">
        <v>438</v>
      </c>
    </row>
    <row r="2" spans="1:21" s="2" customFormat="1" ht="20.100000000000001" customHeight="1" x14ac:dyDescent="0.2">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439</v>
      </c>
      <c r="G5" s="9" t="s">
        <v>143</v>
      </c>
      <c r="M5" s="8" t="s">
        <v>440</v>
      </c>
      <c r="O5" s="8" t="s">
        <v>441</v>
      </c>
      <c r="Q5" s="8" t="s">
        <v>442</v>
      </c>
      <c r="S5" s="8" t="s">
        <v>443</v>
      </c>
    </row>
    <row r="6" spans="1:21" ht="20.100000000000001" customHeight="1" x14ac:dyDescent="0.25">
      <c r="A6"/>
      <c r="M6" s="8"/>
    </row>
    <row r="7" spans="1:21" ht="20.100000000000001" customHeight="1" x14ac:dyDescent="0.25">
      <c r="A7" s="19" t="s">
        <v>67</v>
      </c>
      <c r="D7" s="10" t="s">
        <v>145</v>
      </c>
      <c r="G7" s="10" t="s">
        <v>43</v>
      </c>
      <c r="M7" s="3" t="s">
        <v>380</v>
      </c>
      <c r="O7" s="10" t="s">
        <v>380</v>
      </c>
      <c r="Q7" s="10" t="s">
        <v>380</v>
      </c>
      <c r="S7" s="10" t="s">
        <v>380</v>
      </c>
    </row>
    <row r="8" spans="1:21" ht="20.100000000000001" customHeight="1" x14ac:dyDescent="0.25">
      <c r="A8" s="16" t="str">
        <f>HYPERLINK("#'Input - Site'!A1", "Site")</f>
        <v>Site</v>
      </c>
      <c r="D8" s="10" t="str">
        <f>'Constants - Common'!$F$187</f>
        <v>Pasture</v>
      </c>
      <c r="G8" s="10" t="s">
        <v>148</v>
      </c>
      <c r="M8" s="10" t="s">
        <v>444</v>
      </c>
      <c r="O8" s="10" t="s">
        <v>445</v>
      </c>
      <c r="Q8" s="10" t="s">
        <v>446</v>
      </c>
      <c r="S8" s="10" t="s">
        <v>426</v>
      </c>
    </row>
    <row r="9" spans="1:21" ht="20.100000000000001" customHeight="1" x14ac:dyDescent="0.25">
      <c r="A9" s="16" t="str">
        <f>HYPERLINK("#'Input - Fuel'!A1", "Fuel")</f>
        <v>Fuel</v>
      </c>
      <c r="D9" s="8" t="str">
        <f>'Constants - Common'!$F$188</f>
        <v>Crop</v>
      </c>
      <c r="G9" s="10" t="s">
        <v>152</v>
      </c>
      <c r="M9" s="10" t="s">
        <v>447</v>
      </c>
      <c r="O9" s="10" t="s">
        <v>448</v>
      </c>
      <c r="Q9" s="10" t="s">
        <v>449</v>
      </c>
    </row>
    <row r="10" spans="1:21" ht="20.100000000000001" customHeight="1" x14ac:dyDescent="0.25">
      <c r="A10" s="16" t="str">
        <f>HYPERLINK("#'Input - Fertiliser'!A1", "Fertiliser")</f>
        <v>Fertiliser</v>
      </c>
      <c r="G10" s="8" t="s">
        <v>155</v>
      </c>
      <c r="M10" s="10" t="s">
        <v>450</v>
      </c>
      <c r="O10" s="10" t="s">
        <v>451</v>
      </c>
      <c r="Q10" s="10" t="s">
        <v>452</v>
      </c>
      <c r="S10" s="8" t="s">
        <v>453</v>
      </c>
    </row>
    <row r="11" spans="1:21" ht="20.100000000000001" customHeight="1" x14ac:dyDescent="0.25">
      <c r="A11" s="16" t="str">
        <f>HYPERLINK("#'Input - Farm Inputs'!A1", "Farm Inputs")</f>
        <v>Farm Inputs</v>
      </c>
      <c r="G11" s="8" t="s">
        <v>158</v>
      </c>
      <c r="M11" s="8"/>
      <c r="Q11" s="10" t="s">
        <v>454</v>
      </c>
    </row>
    <row r="12" spans="1:21" ht="20.100000000000001" customHeight="1" x14ac:dyDescent="0.25">
      <c r="A12" s="16" t="str">
        <f>HYPERLINK("#'Input - Livestock purchases'!A1", "Livestock purchases")</f>
        <v>Livestock purchases</v>
      </c>
      <c r="G12" s="8" t="s">
        <v>160</v>
      </c>
      <c r="M12" s="8"/>
      <c r="S12" s="10" t="s">
        <v>380</v>
      </c>
    </row>
    <row r="13" spans="1:21" ht="20.100000000000001" customHeight="1" x14ac:dyDescent="0.25">
      <c r="A13" s="16" t="str">
        <f>HYPERLINK("#'Input - Freight'!A1", "Freight")</f>
        <v>Freight</v>
      </c>
      <c r="M13" s="8"/>
      <c r="S13" s="10" t="s">
        <v>426</v>
      </c>
    </row>
    <row r="14" spans="1:21" ht="20.100000000000001" customHeight="1" x14ac:dyDescent="0.25">
      <c r="A14" s="16" t="str">
        <f>HYPERLINK("#'Input - Solid waste'!A1", "Solid waste")</f>
        <v>Solid waste</v>
      </c>
      <c r="D14" s="9" t="str" cm="1">
        <f t="array" ref="D14">SourceData_PastureBeef.SourceData_PastureBeef_Liveweight_Title()</f>
        <v>Beef pasture cattle - Liveweight (kg) (Wjkl)</v>
      </c>
      <c r="M14" s="8"/>
    </row>
    <row r="15" spans="1:21" ht="20.100000000000001" customHeight="1" x14ac:dyDescent="0.25">
      <c r="A15" s="16" t="str">
        <f>HYPERLINK("#'Input - Manure sent off-site'!A1", "Manure sent off-site")</f>
        <v>Manure sent off-site</v>
      </c>
      <c r="D15" s="11" t="str" cm="1">
        <f t="array" ref="D15">SourceData_PastureBeef.SourceData_PastureBeef_Liveweight_Source()</f>
        <v>VEERG 2026: Table A.1.2.1</v>
      </c>
      <c r="M15" s="8"/>
      <c r="S15" s="8" t="s">
        <v>455</v>
      </c>
    </row>
    <row r="16" spans="1:21" ht="20.100000000000001" customHeight="1" x14ac:dyDescent="0.25">
      <c r="A16" s="16" t="str">
        <f>HYPERLINK("#'Input - Electricity'!A1", "Electricity")</f>
        <v>Electricity</v>
      </c>
      <c r="D16" s="8" t="str" cm="1">
        <f t="array" ref="D16">SourceData_PastureBeef.SourceData_PastureBeef_Liveweight_Variable()</f>
        <v>Wjkl</v>
      </c>
      <c r="M16" s="8"/>
    </row>
    <row r="17" spans="1:19" ht="20.100000000000001" customHeight="1" x14ac:dyDescent="0.25">
      <c r="A17"/>
      <c r="D17" s="13" t="str" cm="1">
        <f t="array" ref="D17">SourceData_PastureBeef.SourceData_PastureBeef_Liveweight_Unit()</f>
        <v>kg</v>
      </c>
      <c r="M17" s="8"/>
      <c r="O17" s="8" t="s">
        <v>507</v>
      </c>
      <c r="S17" s="10" t="s">
        <v>380</v>
      </c>
    </row>
    <row r="18" spans="1:19" ht="20.100000000000001" customHeight="1" x14ac:dyDescent="0.25">
      <c r="A18"/>
      <c r="D18" s="10" t="s">
        <v>274</v>
      </c>
      <c r="E18" s="10" t="s">
        <v>380</v>
      </c>
      <c r="F18" s="10" t="s">
        <v>47</v>
      </c>
      <c r="G18" s="10" t="s">
        <v>456</v>
      </c>
      <c r="H18" s="10" t="s">
        <v>457</v>
      </c>
      <c r="I18" s="10" t="s">
        <v>458</v>
      </c>
      <c r="J18" s="10" t="s">
        <v>459</v>
      </c>
      <c r="K18" s="10" t="s">
        <v>460</v>
      </c>
      <c r="L18" s="10" t="s">
        <v>461</v>
      </c>
      <c r="M18" s="10" t="s">
        <v>462</v>
      </c>
      <c r="O18" s="10" t="s">
        <v>280</v>
      </c>
      <c r="S18" s="10" t="s">
        <v>426</v>
      </c>
    </row>
    <row r="19" spans="1:19" ht="20.100000000000001" customHeight="1" x14ac:dyDescent="0.25">
      <c r="A19" s="21" t="s">
        <v>77</v>
      </c>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10" t="str">
        <f>Table_SourceData_PastureBeef_LiveweightAllStates[[#Headers],[Bulls &lt; 1 year]]</f>
        <v>Bulls &lt; 1 year</v>
      </c>
    </row>
    <row r="20" spans="1:19" ht="20.100000000000001" customHeight="1" x14ac:dyDescent="0.25">
      <c r="A20" s="16" t="str">
        <f>HYPERLINK("#'15 Scope 3'!A1", "15 Scope 3")</f>
        <v>15 Scope 3</v>
      </c>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10" t="str">
        <f>Table_SourceData_PastureBeef_LiveweightAllStates[[#Headers],[Bulls &gt; 1 year]]</f>
        <v>Bulls &gt; 1 year</v>
      </c>
      <c r="S20" s="8" t="s">
        <v>463</v>
      </c>
    </row>
    <row r="21" spans="1:19" ht="20.100000000000001" customHeight="1" x14ac:dyDescent="0.25">
      <c r="A21" s="16" t="str">
        <f>HYPERLINK("#'10.1.1-2 Solid waste treatment'!A1", "10.1.1-2 Solid waste treatment")</f>
        <v>10.1.1-2 Solid waste treatment</v>
      </c>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10" t="str">
        <f>Table_SourceData_PastureBeef_LiveweightAllStates[[#Headers],[Cows &lt; 1 year]]</f>
        <v>Cows &lt; 1 year</v>
      </c>
    </row>
    <row r="22" spans="1:19" ht="20.100000000000001" customHeight="1" x14ac:dyDescent="0.25">
      <c r="A22" s="16" t="str">
        <f>HYPERLINK("#'Calcs - Manure sent off-site'!A1", "Calcs - Manure sent off-site")</f>
        <v>Calcs - Manure sent off-site</v>
      </c>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10" t="str">
        <f>Table_SourceData_PastureBeef_LiveweightAllStates[[#Headers],[Cows 1-2 years]]</f>
        <v>Cows 1-2 years</v>
      </c>
      <c r="S22" s="10" t="s">
        <v>380</v>
      </c>
    </row>
    <row r="23" spans="1:19" ht="20.100000000000001" customHeight="1" x14ac:dyDescent="0.25">
      <c r="A23" s="16" t="str">
        <f>HYPERLINK("#'8.1.1.1-2 Transport fuel'!A1", "8.1.1.1-2 Transport fuel")</f>
        <v>8.1.1.1-2 Transport fuel</v>
      </c>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10" t="str">
        <f>Table_SourceData_PastureBeef_LiveweightAllStates[[#Headers],[Cows 2-3 years]]</f>
        <v>Cows 2-3 years</v>
      </c>
      <c r="S23" s="10" t="s">
        <v>426</v>
      </c>
    </row>
    <row r="24" spans="1:19" ht="20.100000000000001" customHeight="1" x14ac:dyDescent="0.25">
      <c r="A24" s="16" t="str">
        <f>HYPERLINK("#'8.2.1.1-2 Stationary fuel'!A1", "8.2.1.1-2 Stationary fuel")</f>
        <v>8.2.1.1-2 Stationary fuel</v>
      </c>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10" t="str">
        <f>Table_SourceData_PastureBeef_LiveweightAllStates[[#Headers],[Cows &gt; 3 years]]</f>
        <v>Cows &gt; 3 years</v>
      </c>
    </row>
    <row r="25" spans="1:19" ht="20.100000000000001" customHeight="1" x14ac:dyDescent="0.25">
      <c r="A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10" t="str">
        <f>Table_SourceData_PastureBeef_LiveweightAllStates[[#Headers],[Steers &lt; 1 year]]</f>
        <v>Steers &lt; 1 year</v>
      </c>
      <c r="S25" s="8" t="s">
        <v>464</v>
      </c>
    </row>
    <row r="26" spans="1:19" ht="20.100000000000001" customHeight="1" x14ac:dyDescent="0.25">
      <c r="A26"/>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10" t="str">
        <f>Table_SourceData_PastureBeef_LiveweightAllStates[[#Headers],[Steers 1-2 years]]</f>
        <v>Steers 1-2 years</v>
      </c>
    </row>
    <row r="27" spans="1:19" ht="20.100000000000001" customHeight="1" x14ac:dyDescent="0.25">
      <c r="A27" s="213" t="s">
        <v>78</v>
      </c>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10" t="str">
        <f>Table_SourceData_PastureBeef_LiveweightAllStates[[#Headers],[Steers 2-3 years]]</f>
        <v>Steers 2-3 years</v>
      </c>
      <c r="S27" s="10" t="s">
        <v>380</v>
      </c>
    </row>
    <row r="28" spans="1:19" ht="20.100000000000001" customHeight="1" x14ac:dyDescent="0.25">
      <c r="A28" s="16" t="str">
        <f>HYPERLINK("#'Constants - Scope 3'!A1", "Constants - Scope 3")</f>
        <v>Constants - Scope 3</v>
      </c>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10" t="str">
        <f>Table_SourceData_PastureBeef_LiveweightAllStates[[#Headers],[Steers &gt;3 years]]</f>
        <v>Steers &gt;3 years</v>
      </c>
      <c r="S28" s="10" t="s">
        <v>426</v>
      </c>
    </row>
    <row r="29" spans="1:19" ht="20.100000000000001" customHeight="1" x14ac:dyDescent="0.25">
      <c r="A29" s="16" t="str">
        <f>HYPERLINK("#'Constants - Solid Waste'!A1", "Constants - Solid Waste")</f>
        <v>Constants - Solid Waste</v>
      </c>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A30" s="16" t="str">
        <f>HYPERLINK("#'Constants - Fuel'!A1", "Constants - Fuel")</f>
        <v>Constants - Fuel</v>
      </c>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A31" s="16" t="str">
        <f>HYPERLINK("#'Constants - Poultry'!A1", "Constants - Poultry")</f>
        <v>Constants - Poultry</v>
      </c>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row>
    <row r="32" spans="1:19" ht="20.100000000000001" customHeight="1" x14ac:dyDescent="0.25">
      <c r="A32" s="16" t="str">
        <f>HYPERLINK("#'Constants - Swine'!A1", "Constants - Swine")</f>
        <v>Constants - Swine</v>
      </c>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row>
    <row r="33" spans="1:13" ht="20.100000000000001" customHeight="1" x14ac:dyDescent="0.25">
      <c r="A33" s="16" t="str">
        <f>HYPERLINK("#'Constants - Dairy'!A1", "Constants - Dairy")</f>
        <v>Constants - Dairy</v>
      </c>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row>
    <row r="34" spans="1:13" ht="20.100000000000001" customHeight="1" x14ac:dyDescent="0.25">
      <c r="A34" s="23" t="str">
        <f>HYPERLINK("#'Constants - Pasture Beef'!A1", "Constants - Pasture Beef")</f>
        <v>Constants - Pasture Beef</v>
      </c>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row>
    <row r="35" spans="1:13" ht="20.100000000000001" customHeight="1" x14ac:dyDescent="0.25">
      <c r="A35" s="16" t="str">
        <f>HYPERLINK("#'Constants - Common Livestock'!A1", "Constants - Common Livestock")</f>
        <v>Constants - Common Livestock</v>
      </c>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row>
    <row r="36" spans="1:13" ht="20.100000000000001" customHeight="1" x14ac:dyDescent="0.25">
      <c r="A36" s="16" t="str">
        <f>HYPERLINK("#'Constants - Fertiliser'!A1", "Constants - Fertiliser")</f>
        <v>Constants - Fertiliser</v>
      </c>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row>
    <row r="37" spans="1:13" ht="20.100000000000001" customHeight="1" x14ac:dyDescent="0.25">
      <c r="A37" s="16" t="str">
        <f>HYPERLINK("#'Constants - Electricity'!A1", "Constants - Electricity")</f>
        <v>Constants - Electricity</v>
      </c>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row>
    <row r="38" spans="1:13" ht="20.100000000000001" customHeight="1" x14ac:dyDescent="0.25">
      <c r="A38" s="16" t="str">
        <f>HYPERLINK("#'Constants - Common'!A1", "Constants - Common")</f>
        <v>Constants - Common</v>
      </c>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row>
    <row r="39" spans="1:13" ht="20.100000000000001" customHeight="1" x14ac:dyDescent="0.25">
      <c r="A39"/>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row>
    <row r="40" spans="1:13" ht="20.100000000000001" customHeight="1" x14ac:dyDescent="0.25">
      <c r="A40"/>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row>
    <row r="41" spans="1:13" ht="20.100000000000001" customHeight="1" x14ac:dyDescent="0.25">
      <c r="A41"/>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row>
    <row r="42" spans="1:13" ht="20.100000000000001" customHeight="1" x14ac:dyDescent="0.25">
      <c r="A42"/>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row>
    <row r="43" spans="1:13" ht="20.100000000000001" customHeight="1" x14ac:dyDescent="0.25">
      <c r="A43"/>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row>
    <row r="44" spans="1:13" ht="20.100000000000001" customHeight="1" x14ac:dyDescent="0.25">
      <c r="A44"/>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row>
    <row r="45" spans="1:13" ht="20.100000000000001" customHeight="1" x14ac:dyDescent="0.25">
      <c r="A4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row>
    <row r="46" spans="1:13" ht="20.100000000000001" customHeight="1" x14ac:dyDescent="0.25">
      <c r="A46"/>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row>
    <row r="47" spans="1:13" ht="20.100000000000001" customHeight="1" x14ac:dyDescent="0.25">
      <c r="A47"/>
      <c r="M47" s="8"/>
    </row>
    <row r="48" spans="1:13" ht="20.100000000000001" customHeight="1" x14ac:dyDescent="0.25">
      <c r="A48"/>
      <c r="M48" s="8"/>
    </row>
    <row r="49" spans="1:16" ht="20.100000000000001" customHeight="1" x14ac:dyDescent="0.25">
      <c r="A49"/>
      <c r="D49" s="9" t="str" cm="1">
        <f t="array" ref="D49">SourceData_PastureBeef.SourceData_PastureBeef_LiveweightNTQLD_Title()</f>
        <v>Beef pasture cattle - Liveweight (kg) (Wjkl) for NT and QLD</v>
      </c>
      <c r="M49" s="8"/>
    </row>
    <row r="50" spans="1:16" ht="20.100000000000001" customHeight="1" x14ac:dyDescent="0.25">
      <c r="A50"/>
      <c r="D50" s="11" t="str" cm="1">
        <f t="array" ref="D50">SourceData_PastureBeef.SourceData_PastureBeef_LiveweightNTQLD_Source()</f>
        <v>VEERG 2026: Table A.1.2.2</v>
      </c>
      <c r="M50" s="8"/>
    </row>
    <row r="51" spans="1:16" ht="20.100000000000001" customHeight="1" x14ac:dyDescent="0.25">
      <c r="A51"/>
      <c r="D51" s="8" t="str" cm="1">
        <f t="array" ref="D51">SourceData_PastureBeef.SourceData_PastureBeef_LiveweightNTQLD_Variable()</f>
        <v>Wjkl</v>
      </c>
      <c r="M51" s="8"/>
    </row>
    <row r="52" spans="1:16" ht="20.100000000000001" customHeight="1" x14ac:dyDescent="0.25">
      <c r="A52"/>
      <c r="D52" s="13" t="str" cm="1">
        <f t="array" ref="D52">SourceData_PastureBeef.SourceData_PastureBeef_LiveweightNTQLD_Unit()</f>
        <v>kg</v>
      </c>
      <c r="M52" s="8"/>
    </row>
    <row r="53" spans="1:16" ht="20.100000000000001" customHeight="1" x14ac:dyDescent="0.25">
      <c r="A53"/>
      <c r="D53" s="10" t="s">
        <v>274</v>
      </c>
      <c r="E53" s="10" t="s">
        <v>380</v>
      </c>
      <c r="F53" s="10" t="s">
        <v>47</v>
      </c>
      <c r="G53" s="10" t="s">
        <v>465</v>
      </c>
      <c r="H53" s="10" t="s">
        <v>466</v>
      </c>
      <c r="I53" s="10" t="s">
        <v>467</v>
      </c>
      <c r="J53" s="10" t="s">
        <v>468</v>
      </c>
      <c r="K53" s="10" t="s">
        <v>469</v>
      </c>
      <c r="L53" s="10" t="s">
        <v>470</v>
      </c>
      <c r="M53" s="10" t="s">
        <v>471</v>
      </c>
      <c r="N53" s="10" t="s">
        <v>472</v>
      </c>
      <c r="O53" s="10" t="s">
        <v>473</v>
      </c>
      <c r="P53" s="10" t="s">
        <v>474</v>
      </c>
    </row>
    <row r="54" spans="1:16" ht="20.100000000000001" customHeight="1" x14ac:dyDescent="0.25">
      <c r="A54"/>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1:16" ht="20.100000000000001" customHeight="1" x14ac:dyDescent="0.25">
      <c r="A5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1:16" ht="20.100000000000001" customHeight="1" x14ac:dyDescent="0.25">
      <c r="A56"/>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1:16" ht="20.100000000000001" customHeight="1" x14ac:dyDescent="0.25">
      <c r="A57"/>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1:16" ht="20.100000000000001" customHeight="1" x14ac:dyDescent="0.25">
      <c r="A58"/>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1:16" ht="20.100000000000001" customHeight="1" x14ac:dyDescent="0.25">
      <c r="A59"/>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1:16" ht="20.100000000000001" customHeight="1" x14ac:dyDescent="0.25">
      <c r="A60"/>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1:16" ht="20.100000000000001" customHeight="1" x14ac:dyDescent="0.25">
      <c r="A61"/>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1:16" ht="20.100000000000001" customHeight="1" x14ac:dyDescent="0.25">
      <c r="A62"/>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1:16" ht="20.100000000000001" customHeight="1" x14ac:dyDescent="0.25">
      <c r="A63"/>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1:16" ht="20.100000000000001" customHeight="1" x14ac:dyDescent="0.25">
      <c r="A64"/>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1:22" ht="20.100000000000001" customHeight="1" x14ac:dyDescent="0.25">
      <c r="A6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1:22" ht="20.100000000000001" customHeight="1" x14ac:dyDescent="0.25">
      <c r="A66"/>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1:22" ht="20.100000000000001" customHeight="1" x14ac:dyDescent="0.25">
      <c r="A67"/>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1:22" ht="20.100000000000001" customHeight="1" x14ac:dyDescent="0.25">
      <c r="A68"/>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1:22" ht="20.100000000000001" customHeight="1" x14ac:dyDescent="0.25">
      <c r="A69"/>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1:22" ht="20.100000000000001" customHeight="1" x14ac:dyDescent="0.25">
      <c r="A70"/>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1:22" ht="20.100000000000001" customHeight="1" x14ac:dyDescent="0.25">
      <c r="A71"/>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1:22" ht="20.100000000000001" customHeight="1" x14ac:dyDescent="0.25">
      <c r="A72"/>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1:22" ht="20.100000000000001" customHeight="1" x14ac:dyDescent="0.25">
      <c r="A73"/>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1:22" ht="20.100000000000001" customHeight="1" x14ac:dyDescent="0.25">
      <c r="A74"/>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1:22" ht="20.100000000000001" customHeight="1" x14ac:dyDescent="0.25">
      <c r="A7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1:22" ht="20.100000000000001" customHeight="1" x14ac:dyDescent="0.25">
      <c r="A76"/>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1:22" ht="20.100000000000001" customHeight="1" x14ac:dyDescent="0.25">
      <c r="A77"/>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1:22" ht="20.100000000000001" customHeight="1" x14ac:dyDescent="0.25">
      <c r="A78"/>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1:22" ht="20.100000000000001" customHeight="1" x14ac:dyDescent="0.25">
      <c r="A79"/>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1:22" ht="20.100000000000001" customHeight="1" x14ac:dyDescent="0.25">
      <c r="A80"/>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1:22" ht="20.100000000000001" customHeight="1" x14ac:dyDescent="0.25">
      <c r="A81"/>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1:22" ht="20.100000000000001" customHeight="1" x14ac:dyDescent="0.25">
      <c r="A82"/>
      <c r="M82" s="8"/>
    </row>
    <row r="83" spans="1:22" ht="20.100000000000001" customHeight="1" x14ac:dyDescent="0.25">
      <c r="A83"/>
      <c r="M83" s="8"/>
    </row>
    <row r="84" spans="1:22" ht="20.100000000000001" customHeight="1" x14ac:dyDescent="0.25">
      <c r="A84"/>
      <c r="D84" s="9" t="s">
        <v>475</v>
      </c>
      <c r="M84" s="8"/>
    </row>
    <row r="85" spans="1:22" ht="20.100000000000001" customHeight="1" x14ac:dyDescent="0.25">
      <c r="A85"/>
      <c r="D85" s="10" t="s">
        <v>274</v>
      </c>
      <c r="E85" s="10" t="s">
        <v>380</v>
      </c>
      <c r="F85" s="10" t="s">
        <v>47</v>
      </c>
      <c r="G85" s="147" t="s">
        <v>476</v>
      </c>
      <c r="H85" s="147" t="s">
        <v>477</v>
      </c>
      <c r="I85" s="147" t="s">
        <v>478</v>
      </c>
      <c r="J85" s="147" t="s">
        <v>479</v>
      </c>
      <c r="K85" s="147" t="s">
        <v>480</v>
      </c>
      <c r="L85" s="147" t="s">
        <v>481</v>
      </c>
      <c r="M85" s="147" t="s">
        <v>482</v>
      </c>
      <c r="N85" s="147" t="s">
        <v>483</v>
      </c>
      <c r="O85" s="147" t="s">
        <v>484</v>
      </c>
      <c r="P85" s="147" t="s">
        <v>485</v>
      </c>
      <c r="V85" s="8"/>
    </row>
    <row r="86" spans="1:22" ht="20.100000000000001" customHeight="1" x14ac:dyDescent="0.25">
      <c r="A86"/>
      <c r="D86" s="10" t="s">
        <v>308</v>
      </c>
      <c r="E86" s="10" t="s">
        <v>426</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1:22" ht="20.100000000000001" customHeight="1" x14ac:dyDescent="0.25">
      <c r="A87"/>
      <c r="D87" s="10" t="s">
        <v>308</v>
      </c>
      <c r="E87" s="10" t="s">
        <v>426</v>
      </c>
      <c r="F87" s="10" t="s">
        <v>486</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1:22" ht="20.100000000000001" customHeight="1" x14ac:dyDescent="0.25">
      <c r="A88"/>
      <c r="D88" s="10" t="s">
        <v>308</v>
      </c>
      <c r="E88" s="10" t="s">
        <v>426</v>
      </c>
      <c r="F88" s="10" t="s">
        <v>487</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1:22" ht="20.100000000000001" customHeight="1" x14ac:dyDescent="0.25">
      <c r="A89"/>
      <c r="D89" s="10" t="s">
        <v>308</v>
      </c>
      <c r="E89" s="10" t="s">
        <v>426</v>
      </c>
      <c r="F89" s="10" t="s">
        <v>488</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1:22" ht="20.100000000000001" customHeight="1" x14ac:dyDescent="0.25">
      <c r="A90"/>
      <c r="D90" s="10" t="s">
        <v>331</v>
      </c>
      <c r="E90" s="10" t="s">
        <v>426</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1:22" ht="20.100000000000001" customHeight="1" x14ac:dyDescent="0.25">
      <c r="A91"/>
      <c r="D91" s="10" t="s">
        <v>331</v>
      </c>
      <c r="E91" s="10" t="s">
        <v>426</v>
      </c>
      <c r="F91" s="10" t="s">
        <v>486</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1:22" ht="20.100000000000001" customHeight="1" x14ac:dyDescent="0.25">
      <c r="A92"/>
      <c r="D92" s="10" t="s">
        <v>331</v>
      </c>
      <c r="E92" s="10" t="s">
        <v>426</v>
      </c>
      <c r="F92" s="10" t="s">
        <v>487</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1:22" ht="20.100000000000001" customHeight="1" x14ac:dyDescent="0.25">
      <c r="A93"/>
      <c r="D93" s="10" t="s">
        <v>331</v>
      </c>
      <c r="E93" s="10" t="s">
        <v>426</v>
      </c>
      <c r="F93" s="10" t="s">
        <v>488</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1:22" ht="20.100000000000001" customHeight="1" x14ac:dyDescent="0.25">
      <c r="A94"/>
      <c r="D94" s="10" t="s">
        <v>386</v>
      </c>
      <c r="E94" s="10" t="s">
        <v>426</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1:22" ht="20.100000000000001" customHeight="1" x14ac:dyDescent="0.25">
      <c r="A95"/>
      <c r="D95" s="10" t="s">
        <v>386</v>
      </c>
      <c r="E95" s="10" t="s">
        <v>426</v>
      </c>
      <c r="F95" s="10" t="s">
        <v>486</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1:22" ht="20.100000000000001" customHeight="1" x14ac:dyDescent="0.25">
      <c r="A96"/>
      <c r="D96" s="10" t="s">
        <v>386</v>
      </c>
      <c r="E96" s="10" t="s">
        <v>426</v>
      </c>
      <c r="F96" s="10" t="s">
        <v>487</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1:16" ht="20.100000000000001" customHeight="1" x14ac:dyDescent="0.25">
      <c r="A97"/>
      <c r="D97" s="10" t="s">
        <v>386</v>
      </c>
      <c r="E97" s="10" t="s">
        <v>426</v>
      </c>
      <c r="F97" s="10" t="s">
        <v>488</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1:16" ht="20.100000000000001" customHeight="1" x14ac:dyDescent="0.25">
      <c r="A98"/>
      <c r="D98" s="10" t="s">
        <v>384</v>
      </c>
      <c r="E98" s="10" t="s">
        <v>426</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1:16" ht="20.100000000000001" customHeight="1" x14ac:dyDescent="0.25">
      <c r="A99"/>
      <c r="D99" s="10" t="s">
        <v>384</v>
      </c>
      <c r="E99" s="10" t="s">
        <v>426</v>
      </c>
      <c r="F99" s="10" t="s">
        <v>486</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1:16" ht="20.100000000000001" customHeight="1" x14ac:dyDescent="0.25">
      <c r="A100"/>
      <c r="D100" s="10" t="s">
        <v>384</v>
      </c>
      <c r="E100" s="10" t="s">
        <v>426</v>
      </c>
      <c r="F100" s="10" t="s">
        <v>487</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1:16" ht="20.100000000000001" customHeight="1" x14ac:dyDescent="0.25">
      <c r="A101"/>
      <c r="D101" s="10" t="s">
        <v>384</v>
      </c>
      <c r="E101" s="10" t="s">
        <v>426</v>
      </c>
      <c r="F101" s="10" t="s">
        <v>488</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1:16" ht="20.100000000000001" customHeight="1" x14ac:dyDescent="0.25">
      <c r="A102"/>
      <c r="D102" s="10" t="s">
        <v>337</v>
      </c>
      <c r="E102" s="10" t="s">
        <v>426</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1:16" ht="20.100000000000001" customHeight="1" x14ac:dyDescent="0.25">
      <c r="A103"/>
      <c r="D103" s="10" t="s">
        <v>337</v>
      </c>
      <c r="E103" s="10" t="s">
        <v>426</v>
      </c>
      <c r="F103" s="10" t="s">
        <v>486</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1:16" ht="20.100000000000001" customHeight="1" x14ac:dyDescent="0.25">
      <c r="A104"/>
      <c r="D104" s="10" t="s">
        <v>337</v>
      </c>
      <c r="E104" s="10" t="s">
        <v>426</v>
      </c>
      <c r="F104" s="10" t="s">
        <v>487</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1:16" ht="20.100000000000001" customHeight="1" x14ac:dyDescent="0.25">
      <c r="A105"/>
      <c r="D105" s="10" t="s">
        <v>337</v>
      </c>
      <c r="E105" s="10" t="s">
        <v>426</v>
      </c>
      <c r="F105" s="10" t="s">
        <v>488</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1:16" ht="20.100000000000001" customHeight="1" x14ac:dyDescent="0.25">
      <c r="A106"/>
      <c r="D106" s="10" t="s">
        <v>338</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1:16" ht="20.100000000000001" customHeight="1" x14ac:dyDescent="0.25">
      <c r="A107"/>
      <c r="D107" s="10" t="s">
        <v>338</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1:16" ht="20.100000000000001" customHeight="1" x14ac:dyDescent="0.25">
      <c r="A108"/>
      <c r="D108" s="10" t="s">
        <v>338</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1:16" ht="20.100000000000001" customHeight="1" x14ac:dyDescent="0.25">
      <c r="A109"/>
      <c r="D109" s="10" t="s">
        <v>338</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1:16" ht="20.100000000000001" customHeight="1" x14ac:dyDescent="0.25">
      <c r="A110"/>
      <c r="D110" s="10" t="s">
        <v>338</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1:16" ht="20.100000000000001" customHeight="1" x14ac:dyDescent="0.25">
      <c r="A111"/>
      <c r="D111" s="10" t="s">
        <v>338</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1:16" ht="20.100000000000001" customHeight="1" x14ac:dyDescent="0.25">
      <c r="A112"/>
      <c r="D112" s="10" t="s">
        <v>338</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1:22" ht="20.100000000000001" customHeight="1" x14ac:dyDescent="0.25">
      <c r="A113"/>
      <c r="D113" s="10" t="s">
        <v>338</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1:22" ht="20.100000000000001" customHeight="1" x14ac:dyDescent="0.25">
      <c r="A114"/>
      <c r="D114" s="10" t="s">
        <v>338</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1:22" ht="20.100000000000001" customHeight="1" x14ac:dyDescent="0.25">
      <c r="A115"/>
      <c r="D115" s="10" t="s">
        <v>338</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1:22" ht="20.100000000000001" customHeight="1" x14ac:dyDescent="0.25">
      <c r="A116"/>
      <c r="D116" s="10" t="s">
        <v>338</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1:22" ht="20.100000000000001" customHeight="1" x14ac:dyDescent="0.25">
      <c r="A117"/>
      <c r="D117" s="10" t="s">
        <v>338</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1:22" ht="20.100000000000001" customHeight="1" x14ac:dyDescent="0.25">
      <c r="A118"/>
      <c r="D118" s="10" t="s">
        <v>427</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1:22" ht="20.100000000000001" customHeight="1" x14ac:dyDescent="0.25">
      <c r="A119"/>
      <c r="D119" s="10" t="s">
        <v>427</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1:22" ht="20.100000000000001" customHeight="1" x14ac:dyDescent="0.25">
      <c r="A120"/>
      <c r="D120" s="10" t="s">
        <v>427</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1:22" ht="20.100000000000001" customHeight="1" x14ac:dyDescent="0.25">
      <c r="A121"/>
      <c r="D121" s="10" t="s">
        <v>427</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1:22" ht="20.100000000000001" customHeight="1" x14ac:dyDescent="0.25">
      <c r="A122"/>
      <c r="D122" s="10" t="s">
        <v>427</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1:22" ht="20.100000000000001" customHeight="1" x14ac:dyDescent="0.25">
      <c r="A123"/>
      <c r="D123" s="10" t="s">
        <v>427</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1:22" ht="20.100000000000001" customHeight="1" x14ac:dyDescent="0.25">
      <c r="A124"/>
      <c r="D124" s="10" t="s">
        <v>427</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1:22" ht="20.100000000000001" customHeight="1" x14ac:dyDescent="0.25">
      <c r="A125"/>
      <c r="D125" s="10" t="s">
        <v>427</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1:22" ht="20.100000000000001" customHeight="1" x14ac:dyDescent="0.25">
      <c r="A126"/>
      <c r="D126" s="10" t="s">
        <v>427</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1:22" ht="20.100000000000001" customHeight="1" x14ac:dyDescent="0.25">
      <c r="A127"/>
      <c r="D127" s="10" t="s">
        <v>427</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1:22" ht="20.100000000000001" customHeight="1" x14ac:dyDescent="0.25">
      <c r="A128"/>
      <c r="D128" s="10" t="s">
        <v>427</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1:22" ht="20.100000000000001" customHeight="1" x14ac:dyDescent="0.25">
      <c r="A129"/>
      <c r="D129" s="10" t="s">
        <v>427</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1:22" ht="20.100000000000001" customHeight="1" x14ac:dyDescent="0.25">
      <c r="A130"/>
      <c r="D130" s="10" t="s">
        <v>332</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1:22" ht="20.100000000000001" customHeight="1" x14ac:dyDescent="0.25">
      <c r="A131"/>
      <c r="D131" s="10" t="s">
        <v>332</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1:22" ht="20.100000000000001" customHeight="1" x14ac:dyDescent="0.25">
      <c r="A132"/>
      <c r="D132" s="10" t="s">
        <v>332</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1:22" ht="20.100000000000001" customHeight="1" x14ac:dyDescent="0.25">
      <c r="A133"/>
      <c r="D133" s="10" t="s">
        <v>332</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1:22" ht="20.100000000000001" customHeight="1" x14ac:dyDescent="0.25">
      <c r="A134"/>
      <c r="D134" s="10" t="s">
        <v>332</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1:22" ht="20.100000000000001" customHeight="1" x14ac:dyDescent="0.25">
      <c r="A135"/>
      <c r="D135" s="10" t="s">
        <v>332</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1:22" ht="20.100000000000001" customHeight="1" x14ac:dyDescent="0.25">
      <c r="A136"/>
      <c r="D136" s="10" t="s">
        <v>332</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1:22" ht="20.100000000000001" customHeight="1" x14ac:dyDescent="0.25">
      <c r="A137"/>
      <c r="D137" s="10" t="s">
        <v>332</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1:22" ht="20.100000000000001" customHeight="1" x14ac:dyDescent="0.25">
      <c r="A138"/>
      <c r="D138" s="10" t="s">
        <v>332</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1:22" ht="20.100000000000001" customHeight="1" x14ac:dyDescent="0.25">
      <c r="A139"/>
      <c r="D139" s="10" t="s">
        <v>332</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1:22" ht="20.100000000000001" customHeight="1" x14ac:dyDescent="0.25">
      <c r="A140"/>
      <c r="D140" s="10" t="s">
        <v>332</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1:22" ht="20.100000000000001" customHeight="1" x14ac:dyDescent="0.25">
      <c r="A141"/>
      <c r="D141" s="10" t="s">
        <v>332</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1:22" ht="20.100000000000001" customHeight="1" x14ac:dyDescent="0.25">
      <c r="A142"/>
      <c r="D142" s="10" t="s">
        <v>332</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1:22" ht="20.100000000000001" customHeight="1" x14ac:dyDescent="0.25">
      <c r="A143"/>
      <c r="D143" s="10" t="s">
        <v>332</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1:22" ht="20.100000000000001" customHeight="1" x14ac:dyDescent="0.25">
      <c r="A144"/>
      <c r="D144" s="10" t="s">
        <v>332</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1:16" ht="20.100000000000001" customHeight="1" x14ac:dyDescent="0.25">
      <c r="A145"/>
      <c r="D145" s="10" t="s">
        <v>332</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1:16" ht="20.100000000000001" customHeight="1" x14ac:dyDescent="0.25">
      <c r="A146"/>
      <c r="D146" s="8" t="s">
        <v>330</v>
      </c>
      <c r="E146" s="8" t="s">
        <v>426</v>
      </c>
      <c r="F146" s="8" t="str">
        <f>F142</f>
        <v>Spring</v>
      </c>
      <c r="G146" s="8">
        <f t="shared" ref="G146:P146"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1:16" ht="20.100000000000001" customHeight="1" x14ac:dyDescent="0.25">
      <c r="A147"/>
      <c r="D147" s="8" t="s">
        <v>330</v>
      </c>
      <c r="E147" s="8" t="s">
        <v>426</v>
      </c>
      <c r="F147" s="8" t="str">
        <f>F143</f>
        <v>Summer</v>
      </c>
      <c r="G147" s="8">
        <f t="shared" ref="G147:P147" si="31">AVERAGE(G87,G91,G95,G99,G103,G107,G111,G115,G119,G123,G127,G131,G135,G139,G143)</f>
        <v>193</v>
      </c>
      <c r="H147" s="8">
        <f t="shared" si="31"/>
        <v>660.33333333333337</v>
      </c>
      <c r="I147" s="8">
        <f t="shared" si="31"/>
        <v>156.33333333333334</v>
      </c>
      <c r="J147" s="8">
        <f t="shared" si="31"/>
        <v>309.73333333333335</v>
      </c>
      <c r="K147" s="8">
        <f t="shared" si="31"/>
        <v>417.4</v>
      </c>
      <c r="L147" s="8">
        <f t="shared" si="31"/>
        <v>458.53333333333336</v>
      </c>
      <c r="M147" s="8">
        <f t="shared" si="31"/>
        <v>162</v>
      </c>
      <c r="N147" s="8">
        <f t="shared" si="31"/>
        <v>353.46666666666664</v>
      </c>
      <c r="O147" s="8">
        <f t="shared" si="31"/>
        <v>428.42857142857144</v>
      </c>
      <c r="P147" s="8">
        <f t="shared" si="31"/>
        <v>472.61538461538464</v>
      </c>
    </row>
    <row r="148" spans="1:16" ht="20.100000000000001" customHeight="1" x14ac:dyDescent="0.25">
      <c r="A148"/>
      <c r="D148" s="8" t="s">
        <v>330</v>
      </c>
      <c r="E148" s="8" t="s">
        <v>426</v>
      </c>
      <c r="F148" s="8" t="str">
        <f>F144</f>
        <v>Autumn</v>
      </c>
      <c r="G148" s="8">
        <f t="shared" ref="G148:P148" si="32">AVERAGE(G88,G92,G96,G100,G104,G108,G112,G116,G120,G124,G128,G132,G136,G140,G144)</f>
        <v>170.66666666666666</v>
      </c>
      <c r="H148" s="8">
        <f t="shared" si="32"/>
        <v>654.26666666666665</v>
      </c>
      <c r="I148" s="8">
        <f t="shared" si="32"/>
        <v>161.53333333333333</v>
      </c>
      <c r="J148" s="8">
        <f t="shared" si="32"/>
        <v>307.93333333333334</v>
      </c>
      <c r="K148" s="8">
        <f t="shared" si="32"/>
        <v>419.66666666666669</v>
      </c>
      <c r="L148" s="8">
        <f t="shared" si="32"/>
        <v>454.06666666666666</v>
      </c>
      <c r="M148" s="8">
        <f t="shared" si="32"/>
        <v>169.86666666666667</v>
      </c>
      <c r="N148" s="8">
        <f t="shared" si="32"/>
        <v>363.13333333333333</v>
      </c>
      <c r="O148" s="8">
        <f t="shared" si="32"/>
        <v>430.14285714285717</v>
      </c>
      <c r="P148" s="8">
        <f t="shared" si="32"/>
        <v>479.69230769230768</v>
      </c>
    </row>
    <row r="149" spans="1:16" ht="20.100000000000001" customHeight="1" x14ac:dyDescent="0.25">
      <c r="A149"/>
      <c r="D149" s="8" t="s">
        <v>330</v>
      </c>
      <c r="E149" s="8" t="s">
        <v>426</v>
      </c>
      <c r="F149" s="8" t="str">
        <f>F145</f>
        <v>Winter</v>
      </c>
      <c r="G149" s="8">
        <f t="shared" ref="G149:P149" si="33">AVERAGE(G89,G93,G97,G101,G105,G109,G113,G117,G121,G125,G129,G133,G137,G141,G145)</f>
        <v>214.53333333333333</v>
      </c>
      <c r="H149" s="8">
        <f t="shared" si="33"/>
        <v>650.5333333333333</v>
      </c>
      <c r="I149" s="8">
        <f t="shared" si="33"/>
        <v>196.53333333333333</v>
      </c>
      <c r="J149" s="8">
        <f t="shared" si="33"/>
        <v>333.6</v>
      </c>
      <c r="K149" s="8">
        <f t="shared" si="33"/>
        <v>427.4</v>
      </c>
      <c r="L149" s="8">
        <f t="shared" si="33"/>
        <v>453.33333333333331</v>
      </c>
      <c r="M149" s="8">
        <f t="shared" si="33"/>
        <v>207.26666666666668</v>
      </c>
      <c r="N149" s="8">
        <f t="shared" si="33"/>
        <v>381.93333333333334</v>
      </c>
      <c r="O149" s="8">
        <f t="shared" si="33"/>
        <v>438.28571428571428</v>
      </c>
      <c r="P149" s="8">
        <f t="shared" si="33"/>
        <v>479.38461538461536</v>
      </c>
    </row>
    <row r="150" spans="1:16" ht="20.100000000000001" customHeight="1" x14ac:dyDescent="0.25">
      <c r="A150"/>
      <c r="D150" s="9" t="str" cm="1">
        <f t="array" ref="D150">SourceData_PastureBeef.SourceData_PastureBeef_LiveweightGain_Title()</f>
        <v>Beef pasture cattle - Liveweight gain (kg) (LWGjkl)</v>
      </c>
      <c r="M150" s="8"/>
    </row>
    <row r="151" spans="1:16" ht="20.100000000000001" customHeight="1" x14ac:dyDescent="0.25">
      <c r="A151"/>
      <c r="D151" s="11" t="str" cm="1">
        <f t="array" ref="D151">SourceData_PastureBeef.SourceData_PastureBeef_LiveweightGain_Source()</f>
        <v>VEERG 2026: Table A.1.2.3</v>
      </c>
      <c r="M151" s="8"/>
    </row>
    <row r="152" spans="1:16" ht="20.100000000000001" customHeight="1" x14ac:dyDescent="0.25">
      <c r="A152"/>
      <c r="D152" s="8" t="str" cm="1">
        <f t="array" ref="D152">SourceData_PastureBeef.SourceData_PastureBeef_LiveweightGain_Variable()</f>
        <v>LWGjkl</v>
      </c>
      <c r="M152" s="8"/>
    </row>
    <row r="153" spans="1:16" ht="20.100000000000001" customHeight="1" x14ac:dyDescent="0.25">
      <c r="A153"/>
      <c r="D153" s="13" t="str" cm="1">
        <f t="array" ref="D153">SourceData_PastureBeef.SourceData_PastureBeef_LiveweightGain_Unit()</f>
        <v>kg</v>
      </c>
      <c r="M153" s="8"/>
    </row>
    <row r="154" spans="1:16" ht="20.100000000000001" customHeight="1" x14ac:dyDescent="0.25">
      <c r="A154"/>
      <c r="D154" s="10" t="s">
        <v>274</v>
      </c>
      <c r="E154" s="10" t="s">
        <v>380</v>
      </c>
      <c r="F154" s="10" t="s">
        <v>47</v>
      </c>
      <c r="G154" s="10" t="s">
        <v>465</v>
      </c>
      <c r="H154" s="10" t="s">
        <v>466</v>
      </c>
      <c r="I154" s="10" t="s">
        <v>489</v>
      </c>
      <c r="J154" s="10" t="s">
        <v>459</v>
      </c>
      <c r="K154" s="10" t="s">
        <v>490</v>
      </c>
      <c r="L154" s="10" t="s">
        <v>471</v>
      </c>
      <c r="M154" s="10" t="s">
        <v>491</v>
      </c>
    </row>
    <row r="155" spans="1:16" ht="20.100000000000001" customHeight="1" x14ac:dyDescent="0.25">
      <c r="A15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1:16" ht="20.100000000000001" customHeight="1" x14ac:dyDescent="0.25">
      <c r="A156"/>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1:16" ht="20.100000000000001" customHeight="1" x14ac:dyDescent="0.25">
      <c r="A157"/>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1:16" ht="20.100000000000001" customHeight="1" x14ac:dyDescent="0.25">
      <c r="A158"/>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1:16" ht="20.100000000000001" customHeight="1" x14ac:dyDescent="0.25">
      <c r="A159"/>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1:16" ht="20.100000000000001" customHeight="1" x14ac:dyDescent="0.25">
      <c r="A160"/>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ht="20.100000000000001" customHeight="1"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ht="20.100000000000001" customHeight="1"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ht="20.100000000000001" customHeight="1"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ht="20.100000000000001" customHeight="1"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ht="20.100000000000001" customHeight="1"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ht="20.100000000000001" customHeight="1"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ht="20.100000000000001" customHeight="1"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ht="20.100000000000001" customHeight="1"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ht="20.100000000000001" customHeight="1"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ht="20.100000000000001" customHeight="1"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ht="20.100000000000001" customHeight="1"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ht="20.100000000000001" customHeight="1"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ht="20.100000000000001" customHeight="1"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ht="20.100000000000001" customHeight="1"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ht="20.100000000000001" customHeight="1"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ht="20.100000000000001" customHeight="1"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ht="20.100000000000001" customHeight="1"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ht="20.100000000000001" customHeight="1" x14ac:dyDescent="0.25">
      <c r="M183" s="8"/>
    </row>
    <row r="184" spans="4:16" ht="20.100000000000001" customHeight="1" x14ac:dyDescent="0.25">
      <c r="M184" s="8"/>
    </row>
    <row r="185" spans="4:16" ht="20.100000000000001" customHeight="1" x14ac:dyDescent="0.25">
      <c r="D185" s="9" t="str" cm="1">
        <f t="array" ref="D185">SourceData_PastureBeef.SourceData_PastureBeef_LiveweightGainNTQLD_Title()</f>
        <v>Beef pasture cattle - Liveweight gain (kg) (LWGjkl) for NT and QLD</v>
      </c>
      <c r="M185" s="8"/>
    </row>
    <row r="186" spans="4:16" ht="20.100000000000001" customHeight="1" x14ac:dyDescent="0.25">
      <c r="D186" s="11" t="str" cm="1">
        <f t="array" ref="D186">SourceData_PastureBeef.SourceData_PastureBeef_LiveweightGainNTQLD_Source()</f>
        <v>VEERG 2026: Table A.1.2.4</v>
      </c>
      <c r="M186" s="8"/>
    </row>
    <row r="187" spans="4:16" ht="20.100000000000001" customHeight="1" x14ac:dyDescent="0.25">
      <c r="D187" s="8" t="str" cm="1">
        <f t="array" ref="D187">SourceData_PastureBeef.SourceData_PastureBeef_LiveweightGainNTQLD_Variable()</f>
        <v>LWGjkl</v>
      </c>
      <c r="M187" s="8"/>
    </row>
    <row r="188" spans="4:16" ht="20.100000000000001" customHeight="1" x14ac:dyDescent="0.25">
      <c r="D188" s="13" t="str" cm="1">
        <f t="array" ref="D188">SourceData_PastureBeef.SourceData_PastureBeef_LiveweightGainNTQLD_Unit()</f>
        <v>kg</v>
      </c>
      <c r="M188" s="8"/>
    </row>
    <row r="189" spans="4:16" ht="20.100000000000001" customHeight="1" x14ac:dyDescent="0.25">
      <c r="D189" s="10" t="s">
        <v>274</v>
      </c>
      <c r="E189" s="10" t="s">
        <v>380</v>
      </c>
      <c r="F189" s="10" t="s">
        <v>47</v>
      </c>
      <c r="G189" s="10" t="s">
        <v>465</v>
      </c>
      <c r="H189" s="10" t="s">
        <v>466</v>
      </c>
      <c r="I189" s="10" t="s">
        <v>489</v>
      </c>
      <c r="J189" s="10" t="s">
        <v>459</v>
      </c>
      <c r="K189" s="10" t="s">
        <v>492</v>
      </c>
      <c r="L189" s="10" t="s">
        <v>493</v>
      </c>
      <c r="M189" s="10" t="s">
        <v>471</v>
      </c>
      <c r="N189" s="10" t="s">
        <v>472</v>
      </c>
      <c r="O189" s="10" t="s">
        <v>473</v>
      </c>
      <c r="P189" s="10" t="s">
        <v>474</v>
      </c>
    </row>
    <row r="190" spans="4:16" ht="20.100000000000001" customHeight="1"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ht="20.100000000000001" customHeight="1"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ht="20.100000000000001" customHeight="1"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ht="20.100000000000001" customHeight="1"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ht="20.100000000000001" customHeight="1"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ht="20.100000000000001" customHeight="1"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ht="20.100000000000001" customHeight="1"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ht="20.100000000000001" customHeight="1"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ht="20.100000000000001" customHeight="1"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ht="20.100000000000001" customHeight="1"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ht="20.100000000000001" customHeight="1"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ht="20.100000000000001" customHeight="1"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ht="20.100000000000001" customHeight="1"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ht="20.100000000000001" customHeight="1"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ht="20.100000000000001" customHeight="1"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ht="20.100000000000001" customHeight="1"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ht="20.100000000000001" customHeight="1"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ht="20.100000000000001" customHeight="1"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ht="20.100000000000001" customHeight="1"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ht="20.100000000000001" customHeight="1"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ht="20.100000000000001" customHeight="1"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ht="20.100000000000001" customHeight="1"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ht="20.100000000000001" customHeight="1"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ht="20.100000000000001" customHeight="1"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ht="20.100000000000001" customHeight="1"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ht="20.100000000000001" customHeight="1"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ht="20.100000000000001" customHeight="1"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ht="20.100000000000001" customHeight="1"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ht="20.100000000000001" customHeight="1" x14ac:dyDescent="0.25">
      <c r="M218" s="8"/>
    </row>
    <row r="219" spans="4:16" ht="20.100000000000001" customHeight="1" x14ac:dyDescent="0.25">
      <c r="M219" s="8"/>
    </row>
    <row r="220" spans="4:16" ht="20.100000000000001" customHeight="1" x14ac:dyDescent="0.25">
      <c r="D220" s="9" t="s">
        <v>475</v>
      </c>
      <c r="M220" s="8"/>
    </row>
    <row r="221" spans="4:16" ht="20.100000000000001" customHeight="1" x14ac:dyDescent="0.25">
      <c r="M221" s="8"/>
    </row>
    <row r="222" spans="4:16" ht="20.100000000000001" customHeight="1" x14ac:dyDescent="0.25">
      <c r="D222" s="10" t="s">
        <v>274</v>
      </c>
      <c r="E222" s="10" t="s">
        <v>380</v>
      </c>
      <c r="F222" s="10" t="s">
        <v>47</v>
      </c>
      <c r="G222" s="147" t="s">
        <v>476</v>
      </c>
      <c r="H222" s="147" t="s">
        <v>477</v>
      </c>
      <c r="I222" s="147" t="s">
        <v>478</v>
      </c>
      <c r="J222" s="147" t="s">
        <v>479</v>
      </c>
      <c r="K222" s="147" t="s">
        <v>480</v>
      </c>
      <c r="L222" s="147" t="s">
        <v>481</v>
      </c>
      <c r="M222" s="147" t="s">
        <v>482</v>
      </c>
      <c r="N222" s="147" t="s">
        <v>483</v>
      </c>
      <c r="O222" s="147" t="s">
        <v>484</v>
      </c>
      <c r="P222" s="147" t="s">
        <v>485</v>
      </c>
    </row>
    <row r="223" spans="4:16" ht="20.100000000000001" customHeight="1" x14ac:dyDescent="0.25">
      <c r="D223" s="10" t="s">
        <v>308</v>
      </c>
      <c r="E223" s="10" t="s">
        <v>426</v>
      </c>
      <c r="F223" s="10" t="str">
        <f>F155</f>
        <v>Spring</v>
      </c>
      <c r="G223" s="10">
        <f>G155</f>
        <v>0.5</v>
      </c>
      <c r="H223" s="10">
        <f t="shared" ref="H223:J223" si="34">H155</f>
        <v>0.2</v>
      </c>
      <c r="I223" s="10">
        <f t="shared" si="34"/>
        <v>0.5</v>
      </c>
      <c r="J223" s="10">
        <f t="shared" si="34"/>
        <v>0.4</v>
      </c>
      <c r="K223" s="10">
        <f>K155</f>
        <v>0.3</v>
      </c>
      <c r="L223" s="10">
        <f>K155</f>
        <v>0.3</v>
      </c>
      <c r="M223" s="10">
        <f>L155</f>
        <v>0.5</v>
      </c>
      <c r="N223" s="10">
        <f>M155</f>
        <v>0.4</v>
      </c>
      <c r="O223" s="10">
        <f>M155</f>
        <v>0.4</v>
      </c>
      <c r="P223" s="10">
        <f>M155</f>
        <v>0.4</v>
      </c>
    </row>
    <row r="224" spans="4:16" ht="20.100000000000001" customHeight="1" x14ac:dyDescent="0.25">
      <c r="D224" s="10" t="s">
        <v>308</v>
      </c>
      <c r="E224" s="10" t="s">
        <v>426</v>
      </c>
      <c r="F224" s="10" t="str">
        <f t="shared" ref="F224:K226" si="35">F156</f>
        <v>Summer</v>
      </c>
      <c r="G224" s="10">
        <f t="shared" si="35"/>
        <v>1</v>
      </c>
      <c r="H224" s="10">
        <f t="shared" si="35"/>
        <v>0.4</v>
      </c>
      <c r="I224" s="10">
        <f t="shared" si="35"/>
        <v>0.9</v>
      </c>
      <c r="J224" s="10">
        <f t="shared" si="35"/>
        <v>0.7</v>
      </c>
      <c r="K224" s="10">
        <f t="shared" si="35"/>
        <v>0.3</v>
      </c>
      <c r="L224" s="10">
        <f t="shared" ref="L224:N226" si="36">K156</f>
        <v>0.3</v>
      </c>
      <c r="M224" s="10">
        <f t="shared" si="36"/>
        <v>0.9</v>
      </c>
      <c r="N224" s="10">
        <f t="shared" si="36"/>
        <v>0.4</v>
      </c>
      <c r="O224" s="10">
        <f t="shared" ref="O224:O226" si="37">M156</f>
        <v>0.4</v>
      </c>
      <c r="P224" s="10">
        <f t="shared" ref="P224:P226" si="38">M156</f>
        <v>0.4</v>
      </c>
    </row>
    <row r="225" spans="4:16" ht="20.100000000000001" customHeight="1" x14ac:dyDescent="0.25">
      <c r="D225" s="10" t="s">
        <v>308</v>
      </c>
      <c r="E225" s="10" t="s">
        <v>426</v>
      </c>
      <c r="F225" s="10" t="str">
        <f t="shared" si="35"/>
        <v>Autumn</v>
      </c>
      <c r="G225" s="10">
        <f t="shared" si="35"/>
        <v>0.8</v>
      </c>
      <c r="H225" s="10">
        <f t="shared" si="35"/>
        <v>0.3</v>
      </c>
      <c r="I225" s="10">
        <f t="shared" si="35"/>
        <v>0.7</v>
      </c>
      <c r="J225" s="10">
        <f t="shared" si="35"/>
        <v>0.3</v>
      </c>
      <c r="K225" s="10">
        <f t="shared" si="35"/>
        <v>0.2</v>
      </c>
      <c r="L225" s="10">
        <f t="shared" si="36"/>
        <v>0.2</v>
      </c>
      <c r="M225" s="10">
        <f t="shared" si="36"/>
        <v>0.7</v>
      </c>
      <c r="N225" s="10">
        <f t="shared" si="36"/>
        <v>0.3</v>
      </c>
      <c r="O225" s="10">
        <f t="shared" si="37"/>
        <v>0.3</v>
      </c>
      <c r="P225" s="10">
        <f t="shared" si="38"/>
        <v>0.3</v>
      </c>
    </row>
    <row r="226" spans="4:16" ht="20.100000000000001" customHeight="1" x14ac:dyDescent="0.25">
      <c r="D226" s="10" t="s">
        <v>308</v>
      </c>
      <c r="E226" s="10" t="s">
        <v>426</v>
      </c>
      <c r="F226" s="10" t="str">
        <f t="shared" si="35"/>
        <v>Winter</v>
      </c>
      <c r="G226" s="10">
        <f t="shared" si="35"/>
        <v>0.4</v>
      </c>
      <c r="H226" s="10">
        <f t="shared" si="35"/>
        <v>0.1</v>
      </c>
      <c r="I226" s="10">
        <f t="shared" si="35"/>
        <v>0.4</v>
      </c>
      <c r="J226" s="10">
        <f t="shared" si="35"/>
        <v>0.2</v>
      </c>
      <c r="K226" s="10">
        <f t="shared" si="35"/>
        <v>0.1</v>
      </c>
      <c r="L226" s="10">
        <f t="shared" si="36"/>
        <v>0.1</v>
      </c>
      <c r="M226" s="10">
        <f t="shared" si="36"/>
        <v>0.4</v>
      </c>
      <c r="N226" s="10">
        <f t="shared" si="36"/>
        <v>0.1</v>
      </c>
      <c r="O226" s="10">
        <f t="shared" si="37"/>
        <v>0.1</v>
      </c>
      <c r="P226" s="10">
        <f t="shared" si="38"/>
        <v>0.1</v>
      </c>
    </row>
    <row r="227" spans="4:16" ht="20.100000000000001" customHeight="1" x14ac:dyDescent="0.25">
      <c r="D227" s="10" t="s">
        <v>331</v>
      </c>
      <c r="E227" s="10" t="s">
        <v>426</v>
      </c>
      <c r="F227" s="10" t="str">
        <f>F155</f>
        <v>Spring</v>
      </c>
      <c r="G227" s="10">
        <f>G155</f>
        <v>0.5</v>
      </c>
      <c r="H227" s="10">
        <f t="shared" ref="H227:J227" si="39">H155</f>
        <v>0.2</v>
      </c>
      <c r="I227" s="10">
        <f t="shared" si="39"/>
        <v>0.5</v>
      </c>
      <c r="J227" s="10">
        <f t="shared" si="39"/>
        <v>0.4</v>
      </c>
      <c r="K227" s="10">
        <f>K155</f>
        <v>0.3</v>
      </c>
      <c r="L227" s="10">
        <f>K155</f>
        <v>0.3</v>
      </c>
      <c r="M227" s="10">
        <f t="shared" ref="M227" si="40">L155</f>
        <v>0.5</v>
      </c>
      <c r="N227" s="10">
        <f>M155</f>
        <v>0.4</v>
      </c>
      <c r="O227" s="10">
        <f>M155</f>
        <v>0.4</v>
      </c>
      <c r="P227" s="10">
        <f>M155</f>
        <v>0.4</v>
      </c>
    </row>
    <row r="228" spans="4:16" ht="20.100000000000001" customHeight="1" x14ac:dyDescent="0.25">
      <c r="D228" s="10" t="s">
        <v>331</v>
      </c>
      <c r="E228" s="10" t="s">
        <v>426</v>
      </c>
      <c r="F228" s="10" t="str">
        <f t="shared" ref="F228:K231" si="41">F156</f>
        <v>Summer</v>
      </c>
      <c r="G228" s="10">
        <f t="shared" si="41"/>
        <v>1</v>
      </c>
      <c r="H228" s="10">
        <f t="shared" si="41"/>
        <v>0.4</v>
      </c>
      <c r="I228" s="10">
        <f t="shared" si="41"/>
        <v>0.9</v>
      </c>
      <c r="J228" s="10">
        <f t="shared" si="41"/>
        <v>0.7</v>
      </c>
      <c r="K228" s="10">
        <f t="shared" si="41"/>
        <v>0.3</v>
      </c>
      <c r="L228" s="10">
        <f t="shared" ref="L228:N231" si="42">K156</f>
        <v>0.3</v>
      </c>
      <c r="M228" s="10">
        <f t="shared" si="42"/>
        <v>0.9</v>
      </c>
      <c r="N228" s="10">
        <f t="shared" si="42"/>
        <v>0.4</v>
      </c>
      <c r="O228" s="10">
        <f t="shared" ref="O228:O230" si="43">M156</f>
        <v>0.4</v>
      </c>
      <c r="P228" s="10">
        <f t="shared" ref="P228:P230" si="44">M156</f>
        <v>0.4</v>
      </c>
    </row>
    <row r="229" spans="4:16" ht="20.100000000000001" customHeight="1" x14ac:dyDescent="0.25">
      <c r="D229" s="10" t="s">
        <v>331</v>
      </c>
      <c r="E229" s="10" t="s">
        <v>426</v>
      </c>
      <c r="F229" s="10" t="str">
        <f t="shared" si="41"/>
        <v>Autumn</v>
      </c>
      <c r="G229" s="10">
        <f t="shared" si="41"/>
        <v>0.8</v>
      </c>
      <c r="H229" s="10">
        <f t="shared" si="41"/>
        <v>0.3</v>
      </c>
      <c r="I229" s="10">
        <f t="shared" si="41"/>
        <v>0.7</v>
      </c>
      <c r="J229" s="10">
        <f t="shared" si="41"/>
        <v>0.3</v>
      </c>
      <c r="K229" s="10">
        <f t="shared" si="41"/>
        <v>0.2</v>
      </c>
      <c r="L229" s="10">
        <f t="shared" si="42"/>
        <v>0.2</v>
      </c>
      <c r="M229" s="10">
        <f t="shared" si="42"/>
        <v>0.7</v>
      </c>
      <c r="N229" s="10">
        <f t="shared" si="42"/>
        <v>0.3</v>
      </c>
      <c r="O229" s="10">
        <f t="shared" si="43"/>
        <v>0.3</v>
      </c>
      <c r="P229" s="10">
        <f t="shared" si="44"/>
        <v>0.3</v>
      </c>
    </row>
    <row r="230" spans="4:16" ht="20.100000000000001" customHeight="1" x14ac:dyDescent="0.25">
      <c r="D230" s="10" t="s">
        <v>331</v>
      </c>
      <c r="E230" s="10" t="s">
        <v>426</v>
      </c>
      <c r="F230" s="10" t="str">
        <f t="shared" si="41"/>
        <v>Winter</v>
      </c>
      <c r="G230" s="10">
        <f t="shared" si="41"/>
        <v>0.4</v>
      </c>
      <c r="H230" s="10">
        <f t="shared" si="41"/>
        <v>0.1</v>
      </c>
      <c r="I230" s="10">
        <f t="shared" si="41"/>
        <v>0.4</v>
      </c>
      <c r="J230" s="10">
        <f t="shared" si="41"/>
        <v>0.2</v>
      </c>
      <c r="K230" s="10">
        <f t="shared" si="41"/>
        <v>0.1</v>
      </c>
      <c r="L230" s="10">
        <f t="shared" si="42"/>
        <v>0.1</v>
      </c>
      <c r="M230" s="10">
        <f t="shared" si="42"/>
        <v>0.4</v>
      </c>
      <c r="N230" s="10">
        <f t="shared" si="42"/>
        <v>0.1</v>
      </c>
      <c r="O230" s="10">
        <f t="shared" si="43"/>
        <v>0.1</v>
      </c>
      <c r="P230" s="10">
        <f t="shared" si="44"/>
        <v>0.1</v>
      </c>
    </row>
    <row r="231" spans="4:16" ht="20.100000000000001" customHeight="1" x14ac:dyDescent="0.25">
      <c r="D231" s="10" t="s">
        <v>386</v>
      </c>
      <c r="E231" s="10" t="s">
        <v>426</v>
      </c>
      <c r="F231" s="10" t="str">
        <f>F159</f>
        <v>Spring</v>
      </c>
      <c r="G231" s="10">
        <f>G159</f>
        <v>0.99</v>
      </c>
      <c r="H231" s="10">
        <f t="shared" si="41"/>
        <v>1.1000000000000001</v>
      </c>
      <c r="I231" s="10">
        <f t="shared" si="41"/>
        <v>0.88</v>
      </c>
      <c r="J231" s="10">
        <f t="shared" si="41"/>
        <v>0.55000000000000004</v>
      </c>
      <c r="K231" s="10">
        <f>K159</f>
        <v>0.55000000000000004</v>
      </c>
      <c r="L231" s="10">
        <f>K159</f>
        <v>0.55000000000000004</v>
      </c>
      <c r="M231" s="10">
        <f t="shared" si="42"/>
        <v>0.88</v>
      </c>
      <c r="N231" s="10">
        <f>M159</f>
        <v>0.22</v>
      </c>
      <c r="O231" s="10">
        <f>M159</f>
        <v>0.22</v>
      </c>
      <c r="P231" s="10">
        <f>M159</f>
        <v>0.22</v>
      </c>
    </row>
    <row r="232" spans="4:16" ht="20.100000000000001" customHeight="1" x14ac:dyDescent="0.25">
      <c r="D232" s="10" t="s">
        <v>386</v>
      </c>
      <c r="E232" s="10" t="s">
        <v>426</v>
      </c>
      <c r="F232" s="10" t="str">
        <f t="shared" ref="F232:K247" si="45">F160</f>
        <v>Summer</v>
      </c>
      <c r="G232" s="10">
        <f t="shared" si="45"/>
        <v>0.77</v>
      </c>
      <c r="H232" s="10">
        <f t="shared" si="45"/>
        <v>0</v>
      </c>
      <c r="I232" s="10">
        <f t="shared" si="45"/>
        <v>0.66</v>
      </c>
      <c r="J232" s="10">
        <f t="shared" si="45"/>
        <v>0.22</v>
      </c>
      <c r="K232" s="10">
        <f t="shared" si="45"/>
        <v>0</v>
      </c>
      <c r="L232" s="10">
        <f t="shared" ref="L232:N247" si="46">K160</f>
        <v>0</v>
      </c>
      <c r="M232" s="10">
        <f t="shared" si="46"/>
        <v>0.66</v>
      </c>
      <c r="N232" s="10">
        <f t="shared" si="46"/>
        <v>0</v>
      </c>
      <c r="O232" s="10">
        <f t="shared" ref="O232:O254" si="47">M160</f>
        <v>0</v>
      </c>
      <c r="P232" s="10">
        <f t="shared" ref="P232:P254" si="48">M160</f>
        <v>0</v>
      </c>
    </row>
    <row r="233" spans="4:16" ht="20.100000000000001" customHeight="1" x14ac:dyDescent="0.25">
      <c r="D233" s="10" t="s">
        <v>386</v>
      </c>
      <c r="E233" s="10" t="s">
        <v>426</v>
      </c>
      <c r="F233" s="10" t="str">
        <f t="shared" si="45"/>
        <v>Autumn</v>
      </c>
      <c r="G233" s="10">
        <f t="shared" si="45"/>
        <v>0.9</v>
      </c>
      <c r="H233" s="10">
        <f t="shared" si="45"/>
        <v>-1.1000000000000001</v>
      </c>
      <c r="I233" s="10">
        <f t="shared" si="45"/>
        <v>0.7</v>
      </c>
      <c r="J233" s="10">
        <f t="shared" si="45"/>
        <v>0.22</v>
      </c>
      <c r="K233" s="10">
        <f t="shared" si="45"/>
        <v>-0.55000000000000004</v>
      </c>
      <c r="L233" s="10">
        <f t="shared" si="46"/>
        <v>-0.55000000000000004</v>
      </c>
      <c r="M233" s="10">
        <f t="shared" si="46"/>
        <v>0.8</v>
      </c>
      <c r="N233" s="10">
        <f t="shared" si="46"/>
        <v>-0.22</v>
      </c>
      <c r="O233" s="10">
        <f t="shared" si="47"/>
        <v>-0.22</v>
      </c>
      <c r="P233" s="10">
        <f t="shared" si="48"/>
        <v>-0.22</v>
      </c>
    </row>
    <row r="234" spans="4:16" ht="20.100000000000001" customHeight="1" x14ac:dyDescent="0.25">
      <c r="D234" s="10" t="s">
        <v>386</v>
      </c>
      <c r="E234" s="10" t="s">
        <v>426</v>
      </c>
      <c r="F234" s="10" t="str">
        <f t="shared" si="45"/>
        <v>Winter</v>
      </c>
      <c r="G234" s="10">
        <f t="shared" si="45"/>
        <v>0.88</v>
      </c>
      <c r="H234" s="10">
        <f t="shared" si="45"/>
        <v>0</v>
      </c>
      <c r="I234" s="10">
        <f t="shared" si="45"/>
        <v>0.77</v>
      </c>
      <c r="J234" s="10">
        <f t="shared" si="45"/>
        <v>0.55000000000000004</v>
      </c>
      <c r="K234" s="10">
        <f t="shared" si="45"/>
        <v>0</v>
      </c>
      <c r="L234" s="10">
        <f t="shared" si="46"/>
        <v>0</v>
      </c>
      <c r="M234" s="10">
        <f t="shared" si="46"/>
        <v>0.82</v>
      </c>
      <c r="N234" s="10">
        <f t="shared" si="46"/>
        <v>0</v>
      </c>
      <c r="O234" s="10">
        <f t="shared" si="47"/>
        <v>0</v>
      </c>
      <c r="P234" s="10">
        <f t="shared" si="48"/>
        <v>0</v>
      </c>
    </row>
    <row r="235" spans="4:16" ht="20.100000000000001" customHeight="1" x14ac:dyDescent="0.25">
      <c r="D235" s="10" t="s">
        <v>384</v>
      </c>
      <c r="E235" s="10" t="s">
        <v>426</v>
      </c>
      <c r="F235" s="10" t="str">
        <f t="shared" si="45"/>
        <v>Spring</v>
      </c>
      <c r="G235" s="10">
        <f t="shared" si="45"/>
        <v>1</v>
      </c>
      <c r="H235" s="10">
        <f t="shared" si="45"/>
        <v>0.5</v>
      </c>
      <c r="I235" s="10">
        <f t="shared" si="45"/>
        <v>1</v>
      </c>
      <c r="J235" s="10">
        <f t="shared" si="45"/>
        <v>1</v>
      </c>
      <c r="K235" s="10">
        <f t="shared" si="45"/>
        <v>-0.44</v>
      </c>
      <c r="L235" s="10">
        <f t="shared" si="46"/>
        <v>-0.44</v>
      </c>
      <c r="M235" s="10">
        <f t="shared" si="46"/>
        <v>1</v>
      </c>
      <c r="N235" s="10">
        <f t="shared" si="46"/>
        <v>0.5</v>
      </c>
      <c r="O235" s="10">
        <f t="shared" si="47"/>
        <v>0.5</v>
      </c>
      <c r="P235" s="10">
        <f t="shared" si="48"/>
        <v>0.5</v>
      </c>
    </row>
    <row r="236" spans="4:16" ht="20.100000000000001" customHeight="1" x14ac:dyDescent="0.25">
      <c r="D236" s="10" t="s">
        <v>384</v>
      </c>
      <c r="E236" s="10" t="s">
        <v>426</v>
      </c>
      <c r="F236" s="10" t="str">
        <f t="shared" si="45"/>
        <v>Summer</v>
      </c>
      <c r="G236" s="10">
        <f t="shared" si="45"/>
        <v>0.82</v>
      </c>
      <c r="H236" s="10">
        <f t="shared" si="45"/>
        <v>0.55000000000000004</v>
      </c>
      <c r="I236" s="10">
        <f t="shared" si="45"/>
        <v>0.71</v>
      </c>
      <c r="J236" s="10">
        <f t="shared" si="45"/>
        <v>0.55000000000000004</v>
      </c>
      <c r="K236" s="10">
        <f t="shared" si="45"/>
        <v>0.99</v>
      </c>
      <c r="L236" s="10">
        <f t="shared" si="46"/>
        <v>0.99</v>
      </c>
      <c r="M236" s="10">
        <f t="shared" si="46"/>
        <v>0.77</v>
      </c>
      <c r="N236" s="10">
        <f t="shared" si="46"/>
        <v>0.5</v>
      </c>
      <c r="O236" s="10">
        <f t="shared" si="47"/>
        <v>0.5</v>
      </c>
      <c r="P236" s="10">
        <f t="shared" si="48"/>
        <v>0.5</v>
      </c>
    </row>
    <row r="237" spans="4:16" ht="20.100000000000001" customHeight="1" x14ac:dyDescent="0.25">
      <c r="D237" s="10" t="s">
        <v>384</v>
      </c>
      <c r="E237" s="10" t="s">
        <v>426</v>
      </c>
      <c r="F237" s="10" t="str">
        <f t="shared" si="45"/>
        <v>Autumn</v>
      </c>
      <c r="G237" s="10">
        <f t="shared" si="45"/>
        <v>0.77</v>
      </c>
      <c r="H237" s="10">
        <f t="shared" si="45"/>
        <v>0.5</v>
      </c>
      <c r="I237" s="10">
        <f t="shared" si="45"/>
        <v>0.55000000000000004</v>
      </c>
      <c r="J237" s="10">
        <f t="shared" si="45"/>
        <v>0.11</v>
      </c>
      <c r="K237" s="10">
        <f t="shared" si="45"/>
        <v>-0.33</v>
      </c>
      <c r="L237" s="10">
        <f t="shared" si="46"/>
        <v>-0.33</v>
      </c>
      <c r="M237" s="10">
        <f t="shared" si="46"/>
        <v>0.6</v>
      </c>
      <c r="N237" s="10">
        <f t="shared" si="46"/>
        <v>0.33</v>
      </c>
      <c r="O237" s="10">
        <f t="shared" si="47"/>
        <v>0.33</v>
      </c>
      <c r="P237" s="10">
        <f t="shared" si="48"/>
        <v>0.33</v>
      </c>
    </row>
    <row r="238" spans="4:16" ht="20.100000000000001" customHeight="1" x14ac:dyDescent="0.25">
      <c r="D238" s="10" t="s">
        <v>384</v>
      </c>
      <c r="E238" s="10" t="s">
        <v>426</v>
      </c>
      <c r="F238" s="10" t="str">
        <f t="shared" si="45"/>
        <v>Winter</v>
      </c>
      <c r="G238" s="10">
        <f t="shared" si="45"/>
        <v>0.11</v>
      </c>
      <c r="H238" s="10">
        <f t="shared" si="45"/>
        <v>-0.27</v>
      </c>
      <c r="I238" s="10">
        <f t="shared" si="45"/>
        <v>0.11</v>
      </c>
      <c r="J238" s="10">
        <f t="shared" si="45"/>
        <v>0.22</v>
      </c>
      <c r="K238" s="10">
        <f t="shared" si="45"/>
        <v>-0.44</v>
      </c>
      <c r="L238" s="10">
        <f t="shared" si="46"/>
        <v>-0.44</v>
      </c>
      <c r="M238" s="10">
        <f t="shared" si="46"/>
        <v>0.16</v>
      </c>
      <c r="N238" s="10">
        <f t="shared" si="46"/>
        <v>-0.22</v>
      </c>
      <c r="O238" s="10">
        <f t="shared" si="47"/>
        <v>-0.22</v>
      </c>
      <c r="P238" s="10">
        <f t="shared" si="48"/>
        <v>-0.22</v>
      </c>
    </row>
    <row r="239" spans="4:16" ht="20.100000000000001" customHeight="1" x14ac:dyDescent="0.25">
      <c r="D239" s="10" t="s">
        <v>337</v>
      </c>
      <c r="E239" s="10" t="s">
        <v>426</v>
      </c>
      <c r="F239" s="10" t="str">
        <f t="shared" si="45"/>
        <v>Spring</v>
      </c>
      <c r="G239" s="10">
        <f t="shared" si="45"/>
        <v>1.1000000000000001</v>
      </c>
      <c r="H239" s="10">
        <f t="shared" si="45"/>
        <v>1.1000000000000001</v>
      </c>
      <c r="I239" s="10">
        <f t="shared" si="45"/>
        <v>1.1000000000000001</v>
      </c>
      <c r="J239" s="10">
        <f t="shared" si="45"/>
        <v>0.99</v>
      </c>
      <c r="K239" s="10">
        <f t="shared" si="45"/>
        <v>0.99</v>
      </c>
      <c r="L239" s="10">
        <f t="shared" si="46"/>
        <v>0.99</v>
      </c>
      <c r="M239" s="10">
        <f t="shared" si="46"/>
        <v>1.1000000000000001</v>
      </c>
      <c r="N239" s="10">
        <f t="shared" si="46"/>
        <v>0.77</v>
      </c>
      <c r="O239" s="10">
        <f t="shared" si="47"/>
        <v>0.77</v>
      </c>
      <c r="P239" s="10">
        <f t="shared" si="48"/>
        <v>0.77</v>
      </c>
    </row>
    <row r="240" spans="4:16" ht="20.100000000000001" customHeight="1" x14ac:dyDescent="0.25">
      <c r="D240" s="10" t="s">
        <v>337</v>
      </c>
      <c r="E240" s="10" t="s">
        <v>426</v>
      </c>
      <c r="F240" s="10" t="str">
        <f t="shared" si="45"/>
        <v>Summer</v>
      </c>
      <c r="G240" s="10">
        <f t="shared" si="45"/>
        <v>0.33</v>
      </c>
      <c r="H240" s="10">
        <f t="shared" si="45"/>
        <v>0.33</v>
      </c>
      <c r="I240" s="10">
        <f t="shared" si="45"/>
        <v>0.22</v>
      </c>
      <c r="J240" s="10">
        <f t="shared" si="45"/>
        <v>0.33</v>
      </c>
      <c r="K240" s="10">
        <f t="shared" si="45"/>
        <v>-0.1</v>
      </c>
      <c r="L240" s="10">
        <f t="shared" si="46"/>
        <v>-0.1</v>
      </c>
      <c r="M240" s="10">
        <f t="shared" si="46"/>
        <v>0.33</v>
      </c>
      <c r="N240" s="10">
        <f t="shared" si="46"/>
        <v>0.11</v>
      </c>
      <c r="O240" s="10">
        <f t="shared" si="47"/>
        <v>0.11</v>
      </c>
      <c r="P240" s="10">
        <f t="shared" si="48"/>
        <v>0.11</v>
      </c>
    </row>
    <row r="241" spans="4:16" ht="20.100000000000001" customHeight="1" x14ac:dyDescent="0.25">
      <c r="D241" s="10" t="s">
        <v>337</v>
      </c>
      <c r="E241" s="10" t="s">
        <v>426</v>
      </c>
      <c r="F241" s="10" t="str">
        <f t="shared" si="45"/>
        <v>Autumn</v>
      </c>
      <c r="G241" s="10">
        <f t="shared" si="45"/>
        <v>0.5</v>
      </c>
      <c r="H241" s="10">
        <f t="shared" si="45"/>
        <v>0.2</v>
      </c>
      <c r="I241" s="10">
        <f t="shared" si="45"/>
        <v>0.55000000000000004</v>
      </c>
      <c r="J241" s="10">
        <f t="shared" si="45"/>
        <v>0.44</v>
      </c>
      <c r="K241" s="10">
        <f t="shared" si="45"/>
        <v>0.2</v>
      </c>
      <c r="L241" s="10">
        <f t="shared" si="46"/>
        <v>0.2</v>
      </c>
      <c r="M241" s="10">
        <f t="shared" si="46"/>
        <v>0.55000000000000004</v>
      </c>
      <c r="N241" s="10">
        <f t="shared" si="46"/>
        <v>0.2</v>
      </c>
      <c r="O241" s="10">
        <f t="shared" si="47"/>
        <v>0.2</v>
      </c>
      <c r="P241" s="10">
        <f t="shared" si="48"/>
        <v>0.2</v>
      </c>
    </row>
    <row r="242" spans="4:16" ht="20.100000000000001" customHeight="1" x14ac:dyDescent="0.25">
      <c r="D242" s="10" t="s">
        <v>337</v>
      </c>
      <c r="E242" s="10" t="s">
        <v>426</v>
      </c>
      <c r="F242" s="10" t="str">
        <f t="shared" si="45"/>
        <v>Winter</v>
      </c>
      <c r="G242" s="10">
        <f t="shared" si="45"/>
        <v>0.55000000000000004</v>
      </c>
      <c r="H242" s="10">
        <f t="shared" si="45"/>
        <v>0.22</v>
      </c>
      <c r="I242" s="10">
        <f t="shared" si="45"/>
        <v>0.49</v>
      </c>
      <c r="J242" s="10">
        <f t="shared" si="45"/>
        <v>0.22</v>
      </c>
      <c r="K242" s="10">
        <f t="shared" si="45"/>
        <v>0.22</v>
      </c>
      <c r="L242" s="10">
        <f t="shared" si="46"/>
        <v>0.22</v>
      </c>
      <c r="M242" s="10">
        <f t="shared" si="46"/>
        <v>0.49</v>
      </c>
      <c r="N242" s="10">
        <f t="shared" si="46"/>
        <v>0.33</v>
      </c>
      <c r="O242" s="10">
        <f t="shared" si="47"/>
        <v>0.33</v>
      </c>
      <c r="P242" s="10">
        <f t="shared" si="48"/>
        <v>0.33</v>
      </c>
    </row>
    <row r="243" spans="4:16" ht="20.100000000000001" customHeight="1" x14ac:dyDescent="0.25">
      <c r="D243" s="10" t="s">
        <v>338</v>
      </c>
      <c r="E243" s="10" t="str">
        <f>E171</f>
        <v>South West</v>
      </c>
      <c r="F243" s="10" t="str">
        <f t="shared" si="45"/>
        <v>Spring</v>
      </c>
      <c r="G243" s="10">
        <f t="shared" si="45"/>
        <v>1.64</v>
      </c>
      <c r="H243" s="10">
        <f t="shared" si="45"/>
        <v>1.1000000000000001</v>
      </c>
      <c r="I243" s="10">
        <f t="shared" si="45"/>
        <v>1.21</v>
      </c>
      <c r="J243" s="10">
        <f t="shared" si="45"/>
        <v>0.99</v>
      </c>
      <c r="K243" s="10">
        <f t="shared" si="45"/>
        <v>0.66</v>
      </c>
      <c r="L243" s="10">
        <f t="shared" si="46"/>
        <v>0.66</v>
      </c>
      <c r="M243" s="10">
        <f t="shared" si="46"/>
        <v>1.42</v>
      </c>
      <c r="N243" s="10">
        <f t="shared" si="46"/>
        <v>1.1000000000000001</v>
      </c>
      <c r="O243" s="10">
        <f t="shared" si="47"/>
        <v>1.1000000000000001</v>
      </c>
      <c r="P243" s="10">
        <f t="shared" si="48"/>
        <v>1.1000000000000001</v>
      </c>
    </row>
    <row r="244" spans="4:16" ht="20.100000000000001" customHeight="1" x14ac:dyDescent="0.25">
      <c r="D244" s="10" t="s">
        <v>338</v>
      </c>
      <c r="E244" s="10" t="str">
        <f t="shared" ref="E244:K254" si="49">E172</f>
        <v>South West</v>
      </c>
      <c r="F244" s="10" t="str">
        <f t="shared" si="45"/>
        <v>Summer</v>
      </c>
      <c r="G244" s="10">
        <f t="shared" si="45"/>
        <v>0.44</v>
      </c>
      <c r="H244" s="10">
        <f t="shared" si="45"/>
        <v>-0.22</v>
      </c>
      <c r="I244" s="10">
        <f t="shared" si="45"/>
        <v>0.44</v>
      </c>
      <c r="J244" s="10">
        <f t="shared" si="45"/>
        <v>0.33</v>
      </c>
      <c r="K244" s="10">
        <f t="shared" si="45"/>
        <v>-0.22</v>
      </c>
      <c r="L244" s="10">
        <f t="shared" si="46"/>
        <v>-0.22</v>
      </c>
      <c r="M244" s="10">
        <f t="shared" si="46"/>
        <v>0.44</v>
      </c>
      <c r="N244" s="10">
        <f t="shared" si="46"/>
        <v>-0.11</v>
      </c>
      <c r="O244" s="10">
        <f t="shared" si="47"/>
        <v>-0.11</v>
      </c>
      <c r="P244" s="10">
        <f t="shared" si="48"/>
        <v>-0.11</v>
      </c>
    </row>
    <row r="245" spans="4:16" ht="20.100000000000001" customHeight="1" x14ac:dyDescent="0.25">
      <c r="D245" s="10" t="s">
        <v>338</v>
      </c>
      <c r="E245" s="10" t="str">
        <f t="shared" si="49"/>
        <v>South West</v>
      </c>
      <c r="F245" s="10" t="str">
        <f t="shared" si="45"/>
        <v>Autumn</v>
      </c>
      <c r="G245" s="10">
        <f t="shared" si="45"/>
        <v>0.6</v>
      </c>
      <c r="H245" s="10">
        <f t="shared" si="45"/>
        <v>0</v>
      </c>
      <c r="I245" s="10">
        <f t="shared" si="45"/>
        <v>0.6</v>
      </c>
      <c r="J245" s="10">
        <f t="shared" si="45"/>
        <v>0.22</v>
      </c>
      <c r="K245" s="10">
        <f t="shared" si="45"/>
        <v>-0.55000000000000004</v>
      </c>
      <c r="L245" s="10">
        <f t="shared" si="46"/>
        <v>-0.55000000000000004</v>
      </c>
      <c r="M245" s="10">
        <f t="shared" si="46"/>
        <v>0.6</v>
      </c>
      <c r="N245" s="10">
        <f t="shared" si="46"/>
        <v>0</v>
      </c>
      <c r="O245" s="10">
        <f t="shared" si="47"/>
        <v>0</v>
      </c>
      <c r="P245" s="10">
        <f t="shared" si="48"/>
        <v>0</v>
      </c>
    </row>
    <row r="246" spans="4:16" ht="20.100000000000001" customHeight="1" x14ac:dyDescent="0.25">
      <c r="D246" s="10" t="s">
        <v>338</v>
      </c>
      <c r="E246" s="10" t="str">
        <f t="shared" si="49"/>
        <v>South West</v>
      </c>
      <c r="F246" s="10" t="str">
        <f t="shared" si="45"/>
        <v>Winter</v>
      </c>
      <c r="G246" s="10">
        <f t="shared" si="45"/>
        <v>0.99</v>
      </c>
      <c r="H246" s="10">
        <f t="shared" si="45"/>
        <v>0.22</v>
      </c>
      <c r="I246" s="10">
        <f t="shared" si="45"/>
        <v>0.77</v>
      </c>
      <c r="J246" s="10">
        <f t="shared" si="45"/>
        <v>0.11</v>
      </c>
      <c r="K246" s="10">
        <f t="shared" si="45"/>
        <v>0.11</v>
      </c>
      <c r="L246" s="10">
        <f t="shared" si="46"/>
        <v>0.11</v>
      </c>
      <c r="M246" s="10">
        <f t="shared" si="46"/>
        <v>0.77</v>
      </c>
      <c r="N246" s="10">
        <f t="shared" si="46"/>
        <v>0.44</v>
      </c>
      <c r="O246" s="10">
        <f t="shared" si="47"/>
        <v>0.44</v>
      </c>
      <c r="P246" s="10">
        <f t="shared" si="48"/>
        <v>0.44</v>
      </c>
    </row>
    <row r="247" spans="4:16" ht="20.100000000000001" customHeight="1" x14ac:dyDescent="0.25">
      <c r="D247" s="10" t="s">
        <v>338</v>
      </c>
      <c r="E247" s="10" t="str">
        <f t="shared" si="49"/>
        <v>Pilbara</v>
      </c>
      <c r="F247" s="10" t="str">
        <f t="shared" si="45"/>
        <v>Spring</v>
      </c>
      <c r="G247" s="10">
        <f t="shared" si="45"/>
        <v>0.7</v>
      </c>
      <c r="H247" s="10">
        <f t="shared" si="45"/>
        <v>-0.55000000000000004</v>
      </c>
      <c r="I247" s="10">
        <f t="shared" si="45"/>
        <v>0.7</v>
      </c>
      <c r="J247" s="10">
        <f t="shared" si="45"/>
        <v>0.22</v>
      </c>
      <c r="K247" s="10">
        <f t="shared" si="45"/>
        <v>-0.22</v>
      </c>
      <c r="L247" s="10">
        <f t="shared" si="46"/>
        <v>-0.22</v>
      </c>
      <c r="M247" s="10">
        <f t="shared" si="46"/>
        <v>0.7</v>
      </c>
      <c r="N247" s="10">
        <f t="shared" si="46"/>
        <v>-0.22</v>
      </c>
      <c r="O247" s="10">
        <f t="shared" si="47"/>
        <v>-0.22</v>
      </c>
      <c r="P247" s="10">
        <f t="shared" si="48"/>
        <v>-0.22</v>
      </c>
    </row>
    <row r="248" spans="4:16" ht="20.100000000000001" customHeight="1" x14ac:dyDescent="0.25">
      <c r="D248" s="10" t="s">
        <v>338</v>
      </c>
      <c r="E248" s="10" t="str">
        <f t="shared" si="49"/>
        <v>Pilbara</v>
      </c>
      <c r="F248" s="10" t="str">
        <f t="shared" si="49"/>
        <v>Summer</v>
      </c>
      <c r="G248" s="10">
        <f t="shared" si="49"/>
        <v>0.77</v>
      </c>
      <c r="H248" s="10">
        <f t="shared" si="49"/>
        <v>0.55000000000000004</v>
      </c>
      <c r="I248" s="10">
        <f t="shared" si="49"/>
        <v>0.77</v>
      </c>
      <c r="J248" s="10">
        <f t="shared" si="49"/>
        <v>0.66</v>
      </c>
      <c r="K248" s="10">
        <f t="shared" si="49"/>
        <v>0.55000000000000004</v>
      </c>
      <c r="L248" s="10">
        <f t="shared" ref="L248:N254" si="50">K176</f>
        <v>0.55000000000000004</v>
      </c>
      <c r="M248" s="10">
        <f t="shared" si="50"/>
        <v>0.77</v>
      </c>
      <c r="N248" s="10">
        <f t="shared" si="50"/>
        <v>0.33</v>
      </c>
      <c r="O248" s="10">
        <f t="shared" si="47"/>
        <v>0.33</v>
      </c>
      <c r="P248" s="10">
        <f t="shared" si="48"/>
        <v>0.33</v>
      </c>
    </row>
    <row r="249" spans="4:16" ht="20.100000000000001" customHeight="1" x14ac:dyDescent="0.25">
      <c r="D249" s="10" t="s">
        <v>338</v>
      </c>
      <c r="E249" s="10" t="str">
        <f t="shared" si="49"/>
        <v>Pilbara</v>
      </c>
      <c r="F249" s="10" t="str">
        <f t="shared" si="49"/>
        <v>Autumn</v>
      </c>
      <c r="G249" s="10">
        <f t="shared" si="49"/>
        <v>0.88</v>
      </c>
      <c r="H249" s="10">
        <f t="shared" si="49"/>
        <v>0.55000000000000004</v>
      </c>
      <c r="I249" s="10">
        <f t="shared" si="49"/>
        <v>0.88</v>
      </c>
      <c r="J249" s="10">
        <f t="shared" si="49"/>
        <v>0.22</v>
      </c>
      <c r="K249" s="10">
        <f t="shared" si="49"/>
        <v>0.22</v>
      </c>
      <c r="L249" s="10">
        <f t="shared" si="50"/>
        <v>0.22</v>
      </c>
      <c r="M249" s="10">
        <f t="shared" si="50"/>
        <v>0.88</v>
      </c>
      <c r="N249" s="10">
        <f t="shared" si="50"/>
        <v>0.22</v>
      </c>
      <c r="O249" s="10">
        <f t="shared" si="47"/>
        <v>0.22</v>
      </c>
      <c r="P249" s="10">
        <f t="shared" si="48"/>
        <v>0.22</v>
      </c>
    </row>
    <row r="250" spans="4:16" ht="20.100000000000001" customHeight="1" x14ac:dyDescent="0.25">
      <c r="D250" s="10" t="s">
        <v>338</v>
      </c>
      <c r="E250" s="10" t="str">
        <f t="shared" si="49"/>
        <v>Pilbara</v>
      </c>
      <c r="F250" s="10" t="str">
        <f t="shared" si="49"/>
        <v>Winter</v>
      </c>
      <c r="G250" s="10">
        <f t="shared" si="49"/>
        <v>0.22</v>
      </c>
      <c r="H250" s="10">
        <f t="shared" si="49"/>
        <v>-0.55000000000000004</v>
      </c>
      <c r="I250" s="10">
        <f t="shared" si="49"/>
        <v>0.22</v>
      </c>
      <c r="J250" s="10">
        <f t="shared" si="49"/>
        <v>0.11</v>
      </c>
      <c r="K250" s="10">
        <f t="shared" si="49"/>
        <v>-0.22</v>
      </c>
      <c r="L250" s="10">
        <f t="shared" si="50"/>
        <v>-0.22</v>
      </c>
      <c r="M250" s="10">
        <f t="shared" si="50"/>
        <v>0.22</v>
      </c>
      <c r="N250" s="10">
        <f t="shared" si="50"/>
        <v>-0.33</v>
      </c>
      <c r="O250" s="10">
        <f t="shared" si="47"/>
        <v>-0.33</v>
      </c>
      <c r="P250" s="10">
        <f t="shared" si="48"/>
        <v>-0.33</v>
      </c>
    </row>
    <row r="251" spans="4:16" ht="20.100000000000001" customHeight="1" x14ac:dyDescent="0.25">
      <c r="D251" s="10" t="s">
        <v>338</v>
      </c>
      <c r="E251" s="10" t="str">
        <f t="shared" si="49"/>
        <v>Kimberley</v>
      </c>
      <c r="F251" s="10" t="str">
        <f t="shared" si="49"/>
        <v>Spring</v>
      </c>
      <c r="G251" s="10">
        <f t="shared" si="49"/>
        <v>0.22</v>
      </c>
      <c r="H251" s="10">
        <f t="shared" si="49"/>
        <v>-0.55000000000000004</v>
      </c>
      <c r="I251" s="10">
        <f t="shared" si="49"/>
        <v>0.33</v>
      </c>
      <c r="J251" s="10">
        <f t="shared" si="49"/>
        <v>0.22</v>
      </c>
      <c r="K251" s="10">
        <f t="shared" si="49"/>
        <v>-0.33</v>
      </c>
      <c r="L251" s="10">
        <f t="shared" si="50"/>
        <v>-0.33</v>
      </c>
      <c r="M251" s="10">
        <f t="shared" si="50"/>
        <v>0.22</v>
      </c>
      <c r="N251" s="10">
        <f t="shared" si="50"/>
        <v>-0.55000000000000004</v>
      </c>
      <c r="O251" s="10">
        <f t="shared" si="47"/>
        <v>-0.55000000000000004</v>
      </c>
      <c r="P251" s="10">
        <f t="shared" si="48"/>
        <v>-0.55000000000000004</v>
      </c>
    </row>
    <row r="252" spans="4:16" ht="20.100000000000001" customHeight="1" x14ac:dyDescent="0.25">
      <c r="D252" s="10" t="s">
        <v>338</v>
      </c>
      <c r="E252" s="10" t="str">
        <f t="shared" si="49"/>
        <v>Kimberley</v>
      </c>
      <c r="F252" s="10" t="str">
        <f t="shared" si="49"/>
        <v>Summer</v>
      </c>
      <c r="G252" s="10">
        <f t="shared" si="49"/>
        <v>0.8</v>
      </c>
      <c r="H252" s="10">
        <f t="shared" si="49"/>
        <v>0.55000000000000004</v>
      </c>
      <c r="I252" s="10">
        <f t="shared" si="49"/>
        <v>0.7</v>
      </c>
      <c r="J252" s="10">
        <f t="shared" si="49"/>
        <v>0.44</v>
      </c>
      <c r="K252" s="10">
        <f t="shared" si="49"/>
        <v>0.66</v>
      </c>
      <c r="L252" s="10">
        <f t="shared" si="50"/>
        <v>0.66</v>
      </c>
      <c r="M252" s="10">
        <f t="shared" si="50"/>
        <v>0.8</v>
      </c>
      <c r="N252" s="10">
        <f t="shared" si="50"/>
        <v>0.55000000000000004</v>
      </c>
      <c r="O252" s="10">
        <f t="shared" si="47"/>
        <v>0.55000000000000004</v>
      </c>
      <c r="P252" s="10">
        <f t="shared" si="48"/>
        <v>0.55000000000000004</v>
      </c>
    </row>
    <row r="253" spans="4:16" ht="20.100000000000001" customHeight="1" x14ac:dyDescent="0.25">
      <c r="D253" s="10" t="s">
        <v>338</v>
      </c>
      <c r="E253" s="10" t="str">
        <f t="shared" si="49"/>
        <v>Kimberley</v>
      </c>
      <c r="F253" s="10" t="str">
        <f t="shared" si="49"/>
        <v>Autumn</v>
      </c>
      <c r="G253" s="10">
        <f t="shared" si="49"/>
        <v>0.66</v>
      </c>
      <c r="H253" s="10">
        <f t="shared" si="49"/>
        <v>0.55000000000000004</v>
      </c>
      <c r="I253" s="10">
        <f t="shared" si="49"/>
        <v>0.55000000000000004</v>
      </c>
      <c r="J253" s="10">
        <f t="shared" si="49"/>
        <v>0.55000000000000004</v>
      </c>
      <c r="K253" s="10">
        <f t="shared" si="49"/>
        <v>0.11</v>
      </c>
      <c r="L253" s="10">
        <f t="shared" si="50"/>
        <v>0.11</v>
      </c>
      <c r="M253" s="10">
        <f t="shared" si="50"/>
        <v>0.66</v>
      </c>
      <c r="N253" s="10">
        <f t="shared" si="50"/>
        <v>0.55000000000000004</v>
      </c>
      <c r="O253" s="10">
        <f t="shared" si="47"/>
        <v>0.55000000000000004</v>
      </c>
      <c r="P253" s="10">
        <f t="shared" si="48"/>
        <v>0.55000000000000004</v>
      </c>
    </row>
    <row r="254" spans="4:16" ht="20.100000000000001" customHeight="1" x14ac:dyDescent="0.25">
      <c r="D254" s="10" t="s">
        <v>338</v>
      </c>
      <c r="E254" s="10" t="str">
        <f t="shared" si="49"/>
        <v>Kimberley</v>
      </c>
      <c r="F254" s="10" t="str">
        <f t="shared" si="49"/>
        <v>Winter</v>
      </c>
      <c r="G254" s="10">
        <f t="shared" si="49"/>
        <v>0.33</v>
      </c>
      <c r="H254" s="10">
        <f t="shared" si="49"/>
        <v>-0.55000000000000004</v>
      </c>
      <c r="I254" s="10">
        <f t="shared" si="49"/>
        <v>0.11</v>
      </c>
      <c r="J254" s="10">
        <f t="shared" si="49"/>
        <v>0.11</v>
      </c>
      <c r="K254" s="10">
        <f t="shared" si="49"/>
        <v>-0.44</v>
      </c>
      <c r="L254" s="10">
        <f t="shared" si="50"/>
        <v>-0.44</v>
      </c>
      <c r="M254" s="10">
        <f t="shared" si="50"/>
        <v>0.33</v>
      </c>
      <c r="N254" s="10">
        <f t="shared" si="50"/>
        <v>-0.55000000000000004</v>
      </c>
      <c r="O254" s="10">
        <f t="shared" si="47"/>
        <v>-0.55000000000000004</v>
      </c>
      <c r="P254" s="10">
        <f t="shared" si="48"/>
        <v>-0.55000000000000004</v>
      </c>
    </row>
    <row r="255" spans="4:16" ht="20.100000000000001" customHeight="1" x14ac:dyDescent="0.25">
      <c r="D255" s="10" t="s">
        <v>427</v>
      </c>
      <c r="E255" s="10" t="str">
        <f>E190</f>
        <v>Alice Springs</v>
      </c>
      <c r="F255" s="10" t="str">
        <f>F190</f>
        <v>Spring</v>
      </c>
      <c r="G255" s="10">
        <f>G190</f>
        <v>0.22</v>
      </c>
      <c r="H255" s="10">
        <f t="shared" ref="H255:P255" si="51">H190</f>
        <v>-0.23</v>
      </c>
      <c r="I255" s="10">
        <f t="shared" si="51"/>
        <v>0.25</v>
      </c>
      <c r="J255" s="10">
        <f t="shared" si="51"/>
        <v>0.17</v>
      </c>
      <c r="K255" s="10">
        <f t="shared" si="51"/>
        <v>0.18</v>
      </c>
      <c r="L255" s="10">
        <f t="shared" si="51"/>
        <v>-0.28000000000000003</v>
      </c>
      <c r="M255" s="10">
        <f t="shared" si="51"/>
        <v>0.32</v>
      </c>
      <c r="N255" s="10">
        <f t="shared" si="51"/>
        <v>0.24</v>
      </c>
      <c r="O255" s="10">
        <f t="shared" si="51"/>
        <v>0.25</v>
      </c>
      <c r="P255" s="10">
        <f t="shared" si="51"/>
        <v>-0.05</v>
      </c>
    </row>
    <row r="256" spans="4:16" ht="20.100000000000001" customHeight="1" x14ac:dyDescent="0.25">
      <c r="D256" s="10" t="s">
        <v>427</v>
      </c>
      <c r="E256" s="10" t="str">
        <f t="shared" ref="E256:P271" si="52">E191</f>
        <v>Alice Springs</v>
      </c>
      <c r="F256" s="10" t="str">
        <f t="shared" si="52"/>
        <v>Summer</v>
      </c>
      <c r="G256" s="10">
        <f t="shared" si="52"/>
        <v>0.66</v>
      </c>
      <c r="H256" s="10">
        <f t="shared" si="52"/>
        <v>0.2</v>
      </c>
      <c r="I256" s="10">
        <f t="shared" si="52"/>
        <v>0.62</v>
      </c>
      <c r="J256" s="10">
        <f t="shared" si="52"/>
        <v>0.54</v>
      </c>
      <c r="K256" s="10">
        <f t="shared" si="52"/>
        <v>0.38</v>
      </c>
      <c r="L256" s="10">
        <f t="shared" si="52"/>
        <v>0.27</v>
      </c>
      <c r="M256" s="10">
        <f t="shared" si="52"/>
        <v>0.75</v>
      </c>
      <c r="N256" s="10">
        <f t="shared" si="52"/>
        <v>0.64</v>
      </c>
      <c r="O256" s="10">
        <f t="shared" si="52"/>
        <v>0.55000000000000004</v>
      </c>
      <c r="P256" s="10">
        <f t="shared" si="52"/>
        <v>0.48</v>
      </c>
    </row>
    <row r="257" spans="4:16" ht="20.100000000000001" customHeight="1" x14ac:dyDescent="0.25">
      <c r="D257" s="10" t="s">
        <v>427</v>
      </c>
      <c r="E257" s="10" t="str">
        <f t="shared" si="52"/>
        <v>Alice Springs</v>
      </c>
      <c r="F257" s="10" t="str">
        <f t="shared" si="52"/>
        <v>Autumn</v>
      </c>
      <c r="G257" s="10">
        <f t="shared" si="52"/>
        <v>0.49</v>
      </c>
      <c r="H257" s="10">
        <f t="shared" si="52"/>
        <v>0.13</v>
      </c>
      <c r="I257" s="10">
        <f t="shared" si="52"/>
        <v>0.54</v>
      </c>
      <c r="J257" s="10">
        <f t="shared" si="52"/>
        <v>0.45</v>
      </c>
      <c r="K257" s="10">
        <f t="shared" si="52"/>
        <v>0.35</v>
      </c>
      <c r="L257" s="10">
        <f t="shared" si="52"/>
        <v>0.15</v>
      </c>
      <c r="M257" s="10">
        <f t="shared" si="52"/>
        <v>0.63</v>
      </c>
      <c r="N257" s="10">
        <f t="shared" si="52"/>
        <v>0.54</v>
      </c>
      <c r="O257" s="10">
        <f t="shared" si="52"/>
        <v>0.42</v>
      </c>
      <c r="P257" s="10">
        <f t="shared" si="52"/>
        <v>0.26</v>
      </c>
    </row>
    <row r="258" spans="4:16" ht="20.100000000000001" customHeight="1" x14ac:dyDescent="0.25">
      <c r="D258" s="10" t="s">
        <v>427</v>
      </c>
      <c r="E258" s="10" t="str">
        <f t="shared" si="52"/>
        <v>Alice Springs</v>
      </c>
      <c r="F258" s="10" t="str">
        <f t="shared" si="52"/>
        <v>Winter</v>
      </c>
      <c r="G258" s="10">
        <f t="shared" si="52"/>
        <v>0.27</v>
      </c>
      <c r="H258" s="10">
        <f t="shared" si="52"/>
        <v>-0.8</v>
      </c>
      <c r="I258" s="10">
        <f t="shared" si="52"/>
        <v>0.22</v>
      </c>
      <c r="J258" s="10">
        <f t="shared" si="52"/>
        <v>0.09</v>
      </c>
      <c r="K258" s="10">
        <f t="shared" si="52"/>
        <v>0.12</v>
      </c>
      <c r="L258" s="10">
        <f t="shared" si="52"/>
        <v>0.02</v>
      </c>
      <c r="M258" s="10">
        <f t="shared" si="52"/>
        <v>0.25</v>
      </c>
      <c r="N258" s="10">
        <f t="shared" si="52"/>
        <v>0.18</v>
      </c>
      <c r="O258" s="10">
        <f t="shared" si="52"/>
        <v>0.12</v>
      </c>
      <c r="P258" s="10">
        <f t="shared" si="52"/>
        <v>0.03</v>
      </c>
    </row>
    <row r="259" spans="4:16" ht="20.100000000000001" customHeight="1" x14ac:dyDescent="0.25">
      <c r="D259" s="10" t="s">
        <v>427</v>
      </c>
      <c r="E259" s="10" t="str">
        <f t="shared" si="52"/>
        <v>Barkly</v>
      </c>
      <c r="F259" s="10" t="str">
        <f t="shared" si="52"/>
        <v>Spring</v>
      </c>
      <c r="G259" s="10">
        <f t="shared" si="52"/>
        <v>0.22</v>
      </c>
      <c r="H259" s="10">
        <f t="shared" si="52"/>
        <v>-0.44</v>
      </c>
      <c r="I259" s="10">
        <f t="shared" si="52"/>
        <v>0.2</v>
      </c>
      <c r="J259" s="10">
        <f t="shared" si="52"/>
        <v>0.21</v>
      </c>
      <c r="K259" s="10">
        <f t="shared" si="52"/>
        <v>0.18</v>
      </c>
      <c r="L259" s="10">
        <f t="shared" si="52"/>
        <v>0.01</v>
      </c>
      <c r="M259" s="10">
        <f t="shared" si="52"/>
        <v>0.12</v>
      </c>
      <c r="N259" s="10">
        <f t="shared" si="52"/>
        <v>0.09</v>
      </c>
      <c r="O259" s="10" t="str">
        <f t="shared" si="52"/>
        <v>NO</v>
      </c>
      <c r="P259" s="10" t="str">
        <f t="shared" si="52"/>
        <v>NO</v>
      </c>
    </row>
    <row r="260" spans="4:16" ht="20.100000000000001" customHeight="1" x14ac:dyDescent="0.25">
      <c r="D260" s="10" t="s">
        <v>427</v>
      </c>
      <c r="E260" s="10" t="str">
        <f t="shared" si="52"/>
        <v>Barkly</v>
      </c>
      <c r="F260" s="10" t="str">
        <f t="shared" si="52"/>
        <v>Summer</v>
      </c>
      <c r="G260" s="10">
        <f t="shared" si="52"/>
        <v>0.66</v>
      </c>
      <c r="H260" s="10">
        <f t="shared" si="52"/>
        <v>0.22</v>
      </c>
      <c r="I260" s="10">
        <f t="shared" si="52"/>
        <v>0.68</v>
      </c>
      <c r="J260" s="10">
        <f t="shared" si="52"/>
        <v>0.22</v>
      </c>
      <c r="K260" s="10">
        <f t="shared" si="52"/>
        <v>0.24</v>
      </c>
      <c r="L260" s="10">
        <f t="shared" si="52"/>
        <v>0.25</v>
      </c>
      <c r="M260" s="10">
        <f t="shared" si="52"/>
        <v>0.64</v>
      </c>
      <c r="N260" s="10">
        <f t="shared" si="52"/>
        <v>0.37</v>
      </c>
      <c r="O260" s="10" t="str">
        <f t="shared" si="52"/>
        <v>NO</v>
      </c>
      <c r="P260" s="10" t="str">
        <f t="shared" si="52"/>
        <v>NO</v>
      </c>
    </row>
    <row r="261" spans="4:16" ht="20.100000000000001" customHeight="1" x14ac:dyDescent="0.25">
      <c r="D261" s="10" t="s">
        <v>427</v>
      </c>
      <c r="E261" s="10" t="str">
        <f t="shared" si="52"/>
        <v>Barkly</v>
      </c>
      <c r="F261" s="10" t="str">
        <f t="shared" si="52"/>
        <v>Autumn</v>
      </c>
      <c r="G261" s="10">
        <f t="shared" si="52"/>
        <v>0.49</v>
      </c>
      <c r="H261" s="10">
        <f t="shared" si="52"/>
        <v>0.05</v>
      </c>
      <c r="I261" s="10">
        <f t="shared" si="52"/>
        <v>0.64</v>
      </c>
      <c r="J261" s="10">
        <f t="shared" si="52"/>
        <v>0.25</v>
      </c>
      <c r="K261" s="10">
        <f t="shared" si="52"/>
        <v>0.28999999999999998</v>
      </c>
      <c r="L261" s="10">
        <f t="shared" si="52"/>
        <v>0.12</v>
      </c>
      <c r="M261" s="10">
        <f t="shared" si="52"/>
        <v>0.56999999999999995</v>
      </c>
      <c r="N261" s="10">
        <f t="shared" si="52"/>
        <v>0.49</v>
      </c>
      <c r="O261" s="10" t="str">
        <f t="shared" si="52"/>
        <v>NO</v>
      </c>
      <c r="P261" s="10" t="str">
        <f t="shared" si="52"/>
        <v>NO</v>
      </c>
    </row>
    <row r="262" spans="4:16" ht="20.100000000000001" customHeight="1" x14ac:dyDescent="0.25">
      <c r="D262" s="10" t="s">
        <v>427</v>
      </c>
      <c r="E262" s="10" t="str">
        <f t="shared" si="52"/>
        <v>Barkly</v>
      </c>
      <c r="F262" s="10" t="str">
        <f t="shared" si="52"/>
        <v>Winter</v>
      </c>
      <c r="G262" s="10">
        <f t="shared" si="52"/>
        <v>0.27</v>
      </c>
      <c r="H262" s="10">
        <f t="shared" si="52"/>
        <v>-0.27</v>
      </c>
      <c r="I262" s="10">
        <f t="shared" si="52"/>
        <v>0.31</v>
      </c>
      <c r="J262" s="10">
        <f t="shared" si="52"/>
        <v>0.28999999999999998</v>
      </c>
      <c r="K262" s="10">
        <f t="shared" si="52"/>
        <v>0.19</v>
      </c>
      <c r="L262" s="10">
        <f t="shared" si="52"/>
        <v>0.04</v>
      </c>
      <c r="M262" s="10">
        <f t="shared" si="52"/>
        <v>0.26</v>
      </c>
      <c r="N262" s="10">
        <f t="shared" si="52"/>
        <v>0.28000000000000003</v>
      </c>
      <c r="O262" s="10" t="str">
        <f t="shared" si="52"/>
        <v>NO</v>
      </c>
      <c r="P262" s="10" t="str">
        <f t="shared" si="52"/>
        <v>NO</v>
      </c>
    </row>
    <row r="263" spans="4:16" ht="20.100000000000001" customHeight="1" x14ac:dyDescent="0.25">
      <c r="D263" s="10" t="s">
        <v>427</v>
      </c>
      <c r="E263" s="10" t="str">
        <f t="shared" si="52"/>
        <v>Northern</v>
      </c>
      <c r="F263" s="10" t="str">
        <f t="shared" si="52"/>
        <v>Spring</v>
      </c>
      <c r="G263" s="10">
        <f t="shared" si="52"/>
        <v>0.22</v>
      </c>
      <c r="H263" s="10">
        <f t="shared" si="52"/>
        <v>-0.44</v>
      </c>
      <c r="I263" s="10">
        <f t="shared" si="52"/>
        <v>0</v>
      </c>
      <c r="J263" s="10">
        <f t="shared" si="52"/>
        <v>0.15</v>
      </c>
      <c r="K263" s="10">
        <f t="shared" si="52"/>
        <v>0.08</v>
      </c>
      <c r="L263" s="10">
        <f t="shared" si="52"/>
        <v>0.17</v>
      </c>
      <c r="M263" s="10">
        <f t="shared" si="52"/>
        <v>0.06</v>
      </c>
      <c r="N263" s="10">
        <f t="shared" si="52"/>
        <v>0.02</v>
      </c>
      <c r="O263" s="10">
        <f t="shared" si="52"/>
        <v>-0.14000000000000001</v>
      </c>
      <c r="P263" s="10" t="str">
        <f t="shared" si="52"/>
        <v>NO</v>
      </c>
    </row>
    <row r="264" spans="4:16" ht="20.100000000000001" customHeight="1" x14ac:dyDescent="0.25">
      <c r="D264" s="10" t="s">
        <v>427</v>
      </c>
      <c r="E264" s="10" t="str">
        <f t="shared" si="52"/>
        <v>Northern</v>
      </c>
      <c r="F264" s="10" t="str">
        <f t="shared" si="52"/>
        <v>Summer</v>
      </c>
      <c r="G264" s="10">
        <f t="shared" si="52"/>
        <v>0.66</v>
      </c>
      <c r="H264" s="10">
        <f t="shared" si="52"/>
        <v>0.22</v>
      </c>
      <c r="I264" s="10">
        <f t="shared" si="52"/>
        <v>0.79</v>
      </c>
      <c r="J264" s="10">
        <f t="shared" si="52"/>
        <v>0.4</v>
      </c>
      <c r="K264" s="10">
        <f t="shared" si="52"/>
        <v>0.38</v>
      </c>
      <c r="L264" s="10">
        <f t="shared" si="52"/>
        <v>0.27</v>
      </c>
      <c r="M264" s="10">
        <f t="shared" si="52"/>
        <v>0.8</v>
      </c>
      <c r="N264" s="10">
        <f t="shared" si="52"/>
        <v>0.16</v>
      </c>
      <c r="O264" s="10">
        <f t="shared" si="52"/>
        <v>0.3</v>
      </c>
      <c r="P264" s="10" t="str">
        <f t="shared" si="52"/>
        <v>NO</v>
      </c>
    </row>
    <row r="265" spans="4:16" ht="20.100000000000001" customHeight="1" x14ac:dyDescent="0.25">
      <c r="D265" s="10" t="s">
        <v>427</v>
      </c>
      <c r="E265" s="10" t="str">
        <f t="shared" si="52"/>
        <v>Northern</v>
      </c>
      <c r="F265" s="10" t="str">
        <f t="shared" si="52"/>
        <v>Autumn</v>
      </c>
      <c r="G265" s="10">
        <f t="shared" si="52"/>
        <v>0.49</v>
      </c>
      <c r="H265" s="10">
        <f t="shared" si="52"/>
        <v>0.05</v>
      </c>
      <c r="I265" s="10">
        <f t="shared" si="52"/>
        <v>0.55000000000000004</v>
      </c>
      <c r="J265" s="10">
        <f t="shared" si="52"/>
        <v>0.38</v>
      </c>
      <c r="K265" s="10">
        <f t="shared" si="52"/>
        <v>0.36</v>
      </c>
      <c r="L265" s="10">
        <f t="shared" si="52"/>
        <v>0.06</v>
      </c>
      <c r="M265" s="10">
        <f t="shared" si="52"/>
        <v>0.57999999999999996</v>
      </c>
      <c r="N265" s="10">
        <f t="shared" si="52"/>
        <v>0.23</v>
      </c>
      <c r="O265" s="10">
        <f t="shared" si="52"/>
        <v>0.4</v>
      </c>
      <c r="P265" s="10" t="str">
        <f t="shared" si="52"/>
        <v>NO</v>
      </c>
    </row>
    <row r="266" spans="4:16" ht="20.100000000000001" customHeight="1" x14ac:dyDescent="0.25">
      <c r="D266" s="10" t="s">
        <v>427</v>
      </c>
      <c r="E266" s="10" t="str">
        <f t="shared" si="52"/>
        <v>Northern</v>
      </c>
      <c r="F266" s="10" t="str">
        <f t="shared" si="52"/>
        <v>Winter</v>
      </c>
      <c r="G266" s="10">
        <f t="shared" si="52"/>
        <v>0.27</v>
      </c>
      <c r="H266" s="10">
        <f t="shared" si="52"/>
        <v>-0.27</v>
      </c>
      <c r="I266" s="10">
        <f t="shared" si="52"/>
        <v>0.02</v>
      </c>
      <c r="J266" s="10">
        <f t="shared" si="52"/>
        <v>0.09</v>
      </c>
      <c r="K266" s="10">
        <f t="shared" si="52"/>
        <v>0.16</v>
      </c>
      <c r="L266" s="10">
        <f t="shared" si="52"/>
        <v>-0.04</v>
      </c>
      <c r="M266" s="10">
        <f t="shared" si="52"/>
        <v>0.21</v>
      </c>
      <c r="N266" s="10">
        <f t="shared" si="52"/>
        <v>0.03</v>
      </c>
      <c r="O266" s="10">
        <f t="shared" si="52"/>
        <v>0.11</v>
      </c>
      <c r="P266" s="10" t="str">
        <f t="shared" si="52"/>
        <v>NO</v>
      </c>
    </row>
    <row r="267" spans="4:16" ht="20.100000000000001" customHeight="1" x14ac:dyDescent="0.25">
      <c r="D267" s="10" t="s">
        <v>332</v>
      </c>
      <c r="E267" s="10" t="str">
        <f t="shared" si="52"/>
        <v>High</v>
      </c>
      <c r="F267" s="10" t="str">
        <f t="shared" si="52"/>
        <v>Spring</v>
      </c>
      <c r="G267" s="10">
        <f t="shared" si="52"/>
        <v>0.27</v>
      </c>
      <c r="H267" s="10">
        <f t="shared" si="52"/>
        <v>-0.19</v>
      </c>
      <c r="I267" s="10">
        <f t="shared" si="52"/>
        <v>0.38</v>
      </c>
      <c r="J267" s="10">
        <f t="shared" si="52"/>
        <v>0.25</v>
      </c>
      <c r="K267" s="10">
        <f t="shared" si="52"/>
        <v>7.0000000000000007E-2</v>
      </c>
      <c r="L267" s="10">
        <f t="shared" si="52"/>
        <v>0.05</v>
      </c>
      <c r="M267" s="10">
        <f t="shared" si="52"/>
        <v>0.52</v>
      </c>
      <c r="N267" s="10">
        <f t="shared" si="52"/>
        <v>0.55000000000000004</v>
      </c>
      <c r="O267" s="10">
        <f t="shared" si="52"/>
        <v>0.19</v>
      </c>
      <c r="P267" s="10">
        <f t="shared" si="52"/>
        <v>0.6</v>
      </c>
    </row>
    <row r="268" spans="4:16" ht="20.100000000000001" customHeight="1" x14ac:dyDescent="0.25">
      <c r="D268" s="10" t="s">
        <v>332</v>
      </c>
      <c r="E268" s="10" t="str">
        <f t="shared" si="52"/>
        <v>High</v>
      </c>
      <c r="F268" s="10" t="str">
        <f t="shared" si="52"/>
        <v>Summer</v>
      </c>
      <c r="G268" s="10">
        <f t="shared" si="52"/>
        <v>0.16</v>
      </c>
      <c r="H268" s="10">
        <f t="shared" si="52"/>
        <v>0.16</v>
      </c>
      <c r="I268" s="10">
        <f t="shared" si="52"/>
        <v>0.8</v>
      </c>
      <c r="J268" s="10">
        <f t="shared" si="52"/>
        <v>0.56999999999999995</v>
      </c>
      <c r="K268" s="10">
        <f t="shared" si="52"/>
        <v>0.76</v>
      </c>
      <c r="L268" s="10">
        <f t="shared" si="52"/>
        <v>0.49</v>
      </c>
      <c r="M268" s="10">
        <f t="shared" si="52"/>
        <v>0.84</v>
      </c>
      <c r="N268" s="10">
        <f t="shared" si="52"/>
        <v>0.51</v>
      </c>
      <c r="O268" s="10">
        <f t="shared" si="52"/>
        <v>0.36</v>
      </c>
      <c r="P268" s="10">
        <f t="shared" si="52"/>
        <v>0.17</v>
      </c>
    </row>
    <row r="269" spans="4:16" ht="20.100000000000001" customHeight="1" x14ac:dyDescent="0.25">
      <c r="D269" s="10" t="s">
        <v>332</v>
      </c>
      <c r="E269" s="10" t="str">
        <f t="shared" si="52"/>
        <v>High</v>
      </c>
      <c r="F269" s="10" t="str">
        <f t="shared" si="52"/>
        <v>Autumn</v>
      </c>
      <c r="G269" s="10">
        <f t="shared" si="52"/>
        <v>0.45</v>
      </c>
      <c r="H269" s="10">
        <f t="shared" si="52"/>
        <v>0.1</v>
      </c>
      <c r="I269" s="10">
        <f t="shared" si="52"/>
        <v>0.49</v>
      </c>
      <c r="J269" s="10">
        <f t="shared" si="52"/>
        <v>0.41</v>
      </c>
      <c r="K269" s="10">
        <f t="shared" si="52"/>
        <v>0.4</v>
      </c>
      <c r="L269" s="10">
        <f t="shared" si="52"/>
        <v>0.17</v>
      </c>
      <c r="M269" s="10">
        <f t="shared" si="52"/>
        <v>0.54</v>
      </c>
      <c r="N269" s="10">
        <f t="shared" si="52"/>
        <v>0.64</v>
      </c>
      <c r="O269" s="10">
        <f t="shared" si="52"/>
        <v>-0.05</v>
      </c>
      <c r="P269" s="10">
        <f t="shared" si="52"/>
        <v>0.32</v>
      </c>
    </row>
    <row r="270" spans="4:16" ht="20.100000000000001" customHeight="1" x14ac:dyDescent="0.25">
      <c r="D270" s="10" t="s">
        <v>332</v>
      </c>
      <c r="E270" s="10" t="str">
        <f t="shared" si="52"/>
        <v>High</v>
      </c>
      <c r="F270" s="10" t="str">
        <f t="shared" si="52"/>
        <v>Winter</v>
      </c>
      <c r="G270" s="10">
        <f t="shared" si="52"/>
        <v>0.51</v>
      </c>
      <c r="H270" s="10">
        <f t="shared" si="52"/>
        <v>-7.0000000000000007E-2</v>
      </c>
      <c r="I270" s="10">
        <f t="shared" si="52"/>
        <v>0.13</v>
      </c>
      <c r="J270" s="10">
        <f t="shared" si="52"/>
        <v>-0.09</v>
      </c>
      <c r="K270" s="10">
        <f t="shared" si="52"/>
        <v>-0.13</v>
      </c>
      <c r="L270" s="10">
        <f t="shared" si="52"/>
        <v>7.0000000000000007E-2</v>
      </c>
      <c r="M270" s="10">
        <f t="shared" si="52"/>
        <v>0.25</v>
      </c>
      <c r="N270" s="10">
        <f t="shared" si="52"/>
        <v>0.71</v>
      </c>
      <c r="O270" s="10">
        <f t="shared" si="52"/>
        <v>0.17</v>
      </c>
      <c r="P270" s="10">
        <f t="shared" si="52"/>
        <v>0.43</v>
      </c>
    </row>
    <row r="271" spans="4:16" ht="20.100000000000001" customHeight="1" x14ac:dyDescent="0.25">
      <c r="D271" s="10" t="s">
        <v>332</v>
      </c>
      <c r="E271" s="10" t="str">
        <f t="shared" si="52"/>
        <v>Moderate/High</v>
      </c>
      <c r="F271" s="10" t="str">
        <f t="shared" si="52"/>
        <v>Spring</v>
      </c>
      <c r="G271" s="10">
        <f t="shared" si="52"/>
        <v>-0.12</v>
      </c>
      <c r="H271" s="10">
        <f t="shared" si="52"/>
        <v>-0.19</v>
      </c>
      <c r="I271" s="10">
        <f t="shared" si="52"/>
        <v>0.41</v>
      </c>
      <c r="J271" s="10">
        <f t="shared" si="52"/>
        <v>0.09</v>
      </c>
      <c r="K271" s="10">
        <f t="shared" si="52"/>
        <v>0.41</v>
      </c>
      <c r="L271" s="10">
        <f t="shared" si="52"/>
        <v>-0.19</v>
      </c>
      <c r="M271" s="10">
        <f t="shared" si="52"/>
        <v>7.0000000000000007E-2</v>
      </c>
      <c r="N271" s="10">
        <f t="shared" si="52"/>
        <v>1.07</v>
      </c>
      <c r="O271" s="10">
        <f t="shared" si="52"/>
        <v>-0.08</v>
      </c>
      <c r="P271" s="10">
        <f t="shared" si="52"/>
        <v>0</v>
      </c>
    </row>
    <row r="272" spans="4:16" ht="20.100000000000001" customHeight="1" x14ac:dyDescent="0.25">
      <c r="D272" s="10" t="s">
        <v>332</v>
      </c>
      <c r="E272" s="10" t="str">
        <f t="shared" ref="E272:P282" si="53">E207</f>
        <v>Moderate/High</v>
      </c>
      <c r="F272" s="10" t="str">
        <f t="shared" si="53"/>
        <v>Summer</v>
      </c>
      <c r="G272" s="10">
        <f t="shared" si="53"/>
        <v>0.65</v>
      </c>
      <c r="H272" s="10">
        <f t="shared" si="53"/>
        <v>0.19</v>
      </c>
      <c r="I272" s="10">
        <f t="shared" si="53"/>
        <v>0.65</v>
      </c>
      <c r="J272" s="10">
        <f t="shared" si="53"/>
        <v>0.51</v>
      </c>
      <c r="K272" s="10">
        <f t="shared" si="53"/>
        <v>0.18</v>
      </c>
      <c r="L272" s="10">
        <f t="shared" si="53"/>
        <v>0.63</v>
      </c>
      <c r="M272" s="10">
        <f t="shared" si="53"/>
        <v>1.3</v>
      </c>
      <c r="N272" s="10">
        <f t="shared" si="53"/>
        <v>0.48</v>
      </c>
      <c r="O272" s="10">
        <f t="shared" si="53"/>
        <v>1.1200000000000001</v>
      </c>
      <c r="P272" s="10">
        <f t="shared" si="53"/>
        <v>0.38</v>
      </c>
    </row>
    <row r="273" spans="4:16" ht="20.100000000000001" customHeight="1" x14ac:dyDescent="0.25">
      <c r="D273" s="10" t="s">
        <v>332</v>
      </c>
      <c r="E273" s="10" t="str">
        <f t="shared" si="53"/>
        <v>Moderate/High</v>
      </c>
      <c r="F273" s="10" t="str">
        <f t="shared" si="53"/>
        <v>Autumn</v>
      </c>
      <c r="G273" s="10">
        <f t="shared" si="53"/>
        <v>0.7</v>
      </c>
      <c r="H273" s="10">
        <f t="shared" si="53"/>
        <v>0.13</v>
      </c>
      <c r="I273" s="10">
        <f t="shared" si="53"/>
        <v>0.52</v>
      </c>
      <c r="J273" s="10">
        <f t="shared" si="53"/>
        <v>0.34</v>
      </c>
      <c r="K273" s="10">
        <f t="shared" si="53"/>
        <v>0.02</v>
      </c>
      <c r="L273" s="10">
        <f t="shared" si="53"/>
        <v>0.04</v>
      </c>
      <c r="M273" s="10">
        <f t="shared" si="53"/>
        <v>0.77</v>
      </c>
      <c r="N273" s="10">
        <f t="shared" si="53"/>
        <v>0.42</v>
      </c>
      <c r="O273" s="10">
        <f t="shared" si="53"/>
        <v>0.12</v>
      </c>
      <c r="P273" s="10">
        <f t="shared" si="53"/>
        <v>0.74</v>
      </c>
    </row>
    <row r="274" spans="4:16" ht="20.100000000000001" customHeight="1" x14ac:dyDescent="0.25">
      <c r="D274" s="10" t="s">
        <v>332</v>
      </c>
      <c r="E274" s="10" t="str">
        <f t="shared" si="53"/>
        <v>Moderate/High</v>
      </c>
      <c r="F274" s="10" t="str">
        <f t="shared" si="53"/>
        <v>Winter</v>
      </c>
      <c r="G274" s="10">
        <f t="shared" si="53"/>
        <v>0.32</v>
      </c>
      <c r="H274" s="10">
        <f t="shared" si="53"/>
        <v>-0.06</v>
      </c>
      <c r="I274" s="10">
        <f t="shared" si="53"/>
        <v>0.25</v>
      </c>
      <c r="J274" s="10">
        <f t="shared" si="53"/>
        <v>0.19</v>
      </c>
      <c r="K274" s="10">
        <f t="shared" si="53"/>
        <v>-0.1</v>
      </c>
      <c r="L274" s="10">
        <f t="shared" si="53"/>
        <v>-0.02</v>
      </c>
      <c r="M274" s="10">
        <f t="shared" si="53"/>
        <v>0.02</v>
      </c>
      <c r="N274" s="10">
        <f t="shared" si="53"/>
        <v>0.23</v>
      </c>
      <c r="O274" s="10">
        <f t="shared" si="53"/>
        <v>-0.13</v>
      </c>
      <c r="P274" s="10">
        <f t="shared" si="53"/>
        <v>0</v>
      </c>
    </row>
    <row r="275" spans="4:16" ht="20.100000000000001" customHeight="1" x14ac:dyDescent="0.25">
      <c r="D275" s="10" t="s">
        <v>332</v>
      </c>
      <c r="E275" s="10" t="str">
        <f t="shared" si="53"/>
        <v>Moderate/Low</v>
      </c>
      <c r="F275" s="10" t="str">
        <f t="shared" si="53"/>
        <v>Spring</v>
      </c>
      <c r="G275" s="10">
        <f t="shared" si="53"/>
        <v>0.62</v>
      </c>
      <c r="H275" s="10">
        <f t="shared" si="53"/>
        <v>-0.19</v>
      </c>
      <c r="I275" s="10">
        <f t="shared" si="53"/>
        <v>0.37</v>
      </c>
      <c r="J275" s="10">
        <f t="shared" si="53"/>
        <v>0.41</v>
      </c>
      <c r="K275" s="10">
        <f t="shared" si="53"/>
        <v>0.06</v>
      </c>
      <c r="L275" s="10">
        <f t="shared" si="53"/>
        <v>-0.02</v>
      </c>
      <c r="M275" s="10">
        <f t="shared" si="53"/>
        <v>0.47</v>
      </c>
      <c r="N275" s="10">
        <f t="shared" si="53"/>
        <v>0.44</v>
      </c>
      <c r="O275" s="10">
        <f t="shared" si="53"/>
        <v>0.3</v>
      </c>
      <c r="P275" s="10">
        <f t="shared" si="53"/>
        <v>0.13</v>
      </c>
    </row>
    <row r="276" spans="4:16" ht="20.100000000000001" customHeight="1" x14ac:dyDescent="0.25">
      <c r="D276" s="10" t="s">
        <v>332</v>
      </c>
      <c r="E276" s="10" t="str">
        <f t="shared" si="53"/>
        <v>Moderate/Low</v>
      </c>
      <c r="F276" s="10" t="str">
        <f t="shared" si="53"/>
        <v>Summer</v>
      </c>
      <c r="G276" s="10">
        <f t="shared" si="53"/>
        <v>0.05</v>
      </c>
      <c r="H276" s="10">
        <f t="shared" si="53"/>
        <v>0.19</v>
      </c>
      <c r="I276" s="10">
        <f t="shared" si="53"/>
        <v>0.31</v>
      </c>
      <c r="J276" s="10">
        <f t="shared" si="53"/>
        <v>0.54</v>
      </c>
      <c r="K276" s="10">
        <f t="shared" si="53"/>
        <v>0.53</v>
      </c>
      <c r="L276" s="10">
        <f t="shared" si="53"/>
        <v>0.15</v>
      </c>
      <c r="M276" s="10">
        <f t="shared" si="53"/>
        <v>0.28000000000000003</v>
      </c>
      <c r="N276" s="10">
        <f t="shared" si="53"/>
        <v>0.56999999999999995</v>
      </c>
      <c r="O276" s="10">
        <f t="shared" si="53"/>
        <v>0.42</v>
      </c>
      <c r="P276" s="10">
        <f t="shared" si="53"/>
        <v>0.4</v>
      </c>
    </row>
    <row r="277" spans="4:16" ht="20.100000000000001" customHeight="1" x14ac:dyDescent="0.25">
      <c r="D277" s="10" t="s">
        <v>332</v>
      </c>
      <c r="E277" s="10" t="str">
        <f t="shared" si="53"/>
        <v>Moderate/Low</v>
      </c>
      <c r="F277" s="10" t="str">
        <f t="shared" si="53"/>
        <v>Autumn</v>
      </c>
      <c r="G277" s="10">
        <f t="shared" si="53"/>
        <v>0.33</v>
      </c>
      <c r="H277" s="10">
        <f t="shared" si="53"/>
        <v>0.13</v>
      </c>
      <c r="I277" s="10">
        <f t="shared" si="53"/>
        <v>0.39</v>
      </c>
      <c r="J277" s="10">
        <f t="shared" si="53"/>
        <v>0.36</v>
      </c>
      <c r="K277" s="10">
        <f t="shared" si="53"/>
        <v>0.26</v>
      </c>
      <c r="L277" s="10">
        <f t="shared" si="53"/>
        <v>0.11</v>
      </c>
      <c r="M277" s="10">
        <f t="shared" si="53"/>
        <v>0.4</v>
      </c>
      <c r="N277" s="10">
        <f t="shared" si="53"/>
        <v>0.44</v>
      </c>
      <c r="O277" s="10">
        <f t="shared" si="53"/>
        <v>0.37</v>
      </c>
      <c r="P277" s="10">
        <f t="shared" si="53"/>
        <v>-0.01</v>
      </c>
    </row>
    <row r="278" spans="4:16" ht="20.100000000000001" customHeight="1" x14ac:dyDescent="0.25">
      <c r="D278" s="10" t="s">
        <v>332</v>
      </c>
      <c r="E278" s="10" t="str">
        <f t="shared" si="53"/>
        <v>Moderate/Low</v>
      </c>
      <c r="F278" s="10" t="str">
        <f t="shared" si="53"/>
        <v>Winter</v>
      </c>
      <c r="G278" s="10">
        <f t="shared" si="53"/>
        <v>0.61</v>
      </c>
      <c r="H278" s="10">
        <f t="shared" si="53"/>
        <v>-0.06</v>
      </c>
      <c r="I278" s="10">
        <f t="shared" si="53"/>
        <v>0.21</v>
      </c>
      <c r="J278" s="10">
        <f t="shared" si="53"/>
        <v>0.18</v>
      </c>
      <c r="K278" s="10">
        <f t="shared" si="53"/>
        <v>0.12</v>
      </c>
      <c r="L278" s="10">
        <f t="shared" si="53"/>
        <v>0.06</v>
      </c>
      <c r="M278" s="10">
        <f t="shared" si="53"/>
        <v>0.28999999999999998</v>
      </c>
      <c r="N278" s="10">
        <f t="shared" si="53"/>
        <v>0.41</v>
      </c>
      <c r="O278" s="10">
        <f t="shared" si="53"/>
        <v>0.41</v>
      </c>
      <c r="P278" s="10">
        <f t="shared" si="53"/>
        <v>-0.15</v>
      </c>
    </row>
    <row r="279" spans="4:16" ht="20.100000000000001" customHeight="1" x14ac:dyDescent="0.25">
      <c r="D279" s="10" t="s">
        <v>332</v>
      </c>
      <c r="E279" s="10" t="str">
        <f t="shared" si="53"/>
        <v>Low</v>
      </c>
      <c r="F279" s="10" t="str">
        <f t="shared" si="53"/>
        <v>Spring</v>
      </c>
      <c r="G279" s="10">
        <f t="shared" si="53"/>
        <v>-0.2</v>
      </c>
      <c r="H279" s="10">
        <f t="shared" si="53"/>
        <v>0.02</v>
      </c>
      <c r="I279" s="10">
        <f t="shared" si="53"/>
        <v>0.24</v>
      </c>
      <c r="J279" s="10">
        <f t="shared" si="53"/>
        <v>0.3</v>
      </c>
      <c r="K279" s="10">
        <f t="shared" si="53"/>
        <v>0.23</v>
      </c>
      <c r="L279" s="10">
        <f t="shared" si="53"/>
        <v>-0.05</v>
      </c>
      <c r="M279" s="10">
        <f t="shared" si="53"/>
        <v>0.34</v>
      </c>
      <c r="N279" s="10">
        <f t="shared" si="53"/>
        <v>0.3</v>
      </c>
      <c r="O279" s="10">
        <f t="shared" si="53"/>
        <v>0.56999999999999995</v>
      </c>
      <c r="P279" s="10">
        <f t="shared" si="53"/>
        <v>0.52</v>
      </c>
    </row>
    <row r="280" spans="4:16" ht="20.100000000000001" customHeight="1" x14ac:dyDescent="0.25">
      <c r="D280" s="10" t="s">
        <v>332</v>
      </c>
      <c r="E280" s="10" t="str">
        <f t="shared" si="53"/>
        <v>Low</v>
      </c>
      <c r="F280" s="10" t="str">
        <f t="shared" si="53"/>
        <v>Summer</v>
      </c>
      <c r="G280" s="10">
        <f t="shared" si="53"/>
        <v>0.62</v>
      </c>
      <c r="H280" s="10">
        <f t="shared" si="53"/>
        <v>0.21</v>
      </c>
      <c r="I280" s="10">
        <f t="shared" si="53"/>
        <v>0.25</v>
      </c>
      <c r="J280" s="10">
        <f t="shared" si="53"/>
        <v>0.32</v>
      </c>
      <c r="K280" s="10">
        <f t="shared" si="53"/>
        <v>0.47</v>
      </c>
      <c r="L280" s="10">
        <f t="shared" si="53"/>
        <v>0.31</v>
      </c>
      <c r="M280" s="10">
        <f t="shared" si="53"/>
        <v>0.14000000000000001</v>
      </c>
      <c r="N280" s="10">
        <f t="shared" si="53"/>
        <v>0.4</v>
      </c>
      <c r="O280" s="10">
        <f t="shared" si="53"/>
        <v>0.26</v>
      </c>
      <c r="P280" s="10">
        <f t="shared" si="53"/>
        <v>0.43</v>
      </c>
    </row>
    <row r="281" spans="4:16" ht="20.100000000000001" customHeight="1" x14ac:dyDescent="0.25">
      <c r="D281" s="10" t="s">
        <v>332</v>
      </c>
      <c r="E281" s="10" t="str">
        <f t="shared" si="53"/>
        <v>Low</v>
      </c>
      <c r="F281" s="10" t="str">
        <f t="shared" si="53"/>
        <v>Autumn</v>
      </c>
      <c r="G281" s="10">
        <f t="shared" si="53"/>
        <v>0.4</v>
      </c>
      <c r="H281" s="10">
        <f t="shared" si="53"/>
        <v>0.13</v>
      </c>
      <c r="I281" s="10">
        <f t="shared" si="53"/>
        <v>0.12</v>
      </c>
      <c r="J281" s="10">
        <f t="shared" si="53"/>
        <v>0.27</v>
      </c>
      <c r="K281" s="10">
        <f t="shared" si="53"/>
        <v>0.3</v>
      </c>
      <c r="L281" s="10">
        <f t="shared" si="53"/>
        <v>0.08</v>
      </c>
      <c r="M281" s="10">
        <f t="shared" si="53"/>
        <v>0.13</v>
      </c>
      <c r="N281" s="10">
        <f t="shared" si="53"/>
        <v>0.24</v>
      </c>
      <c r="O281" s="10">
        <f t="shared" si="53"/>
        <v>0.15</v>
      </c>
      <c r="P281" s="10">
        <f t="shared" si="53"/>
        <v>0.21</v>
      </c>
    </row>
    <row r="282" spans="4:16" ht="20.100000000000001" customHeight="1" x14ac:dyDescent="0.25">
      <c r="D282" s="10" t="s">
        <v>332</v>
      </c>
      <c r="E282" s="10" t="str">
        <f t="shared" si="53"/>
        <v>Low</v>
      </c>
      <c r="F282" s="10" t="str">
        <f t="shared" si="53"/>
        <v>Winter</v>
      </c>
      <c r="G282" s="10">
        <f t="shared" si="53"/>
        <v>0.08</v>
      </c>
      <c r="H282" s="10">
        <f t="shared" si="53"/>
        <v>0.04</v>
      </c>
      <c r="I282" s="10">
        <f t="shared" si="53"/>
        <v>0.06</v>
      </c>
      <c r="J282" s="10">
        <f t="shared" si="53"/>
        <v>0.18</v>
      </c>
      <c r="K282" s="10">
        <f t="shared" si="53"/>
        <v>0.11</v>
      </c>
      <c r="L282" s="10">
        <f t="shared" si="53"/>
        <v>-7.0000000000000007E-2</v>
      </c>
      <c r="M282" s="10">
        <f t="shared" si="53"/>
        <v>0.13</v>
      </c>
      <c r="N282" s="10">
        <f t="shared" si="53"/>
        <v>0.16</v>
      </c>
      <c r="O282" s="10">
        <f t="shared" si="53"/>
        <v>0.4</v>
      </c>
      <c r="P282" s="10">
        <f t="shared" si="53"/>
        <v>0.33</v>
      </c>
    </row>
    <row r="283" spans="4:16" ht="20.100000000000001" customHeight="1" x14ac:dyDescent="0.25">
      <c r="M283" s="14"/>
    </row>
    <row r="284" spans="4:16" ht="20.100000000000001" customHeight="1" x14ac:dyDescent="0.25">
      <c r="M284" s="14"/>
    </row>
    <row r="285" spans="4:16" ht="20.100000000000001" customHeight="1" x14ac:dyDescent="0.25">
      <c r="D285" s="9" t="str" cm="1">
        <f t="array" ref="D285">SourceData_PastureBeef.SourceData_PastureBeef_DryMatterDigestibility_Title()</f>
        <v>Beef pasture cattle - Dry matter digestibility of feed intake (fraction) (DMDj)</v>
      </c>
      <c r="M285" s="14"/>
    </row>
    <row r="286" spans="4:16" ht="20.100000000000001" customHeight="1" x14ac:dyDescent="0.25">
      <c r="D286" s="11" t="str" cm="1">
        <f t="array" ref="D286">SourceData_PastureBeef.SourceData_PastureBeef_DryMatterDigestibility_Source()</f>
        <v>VEERG 2026: Table A.1.2.5</v>
      </c>
      <c r="M286" s="14"/>
    </row>
    <row r="287" spans="4:16" ht="20.100000000000001" customHeight="1" x14ac:dyDescent="0.25">
      <c r="D287" s="8" t="str" cm="1">
        <f t="array" ref="D287">SourceData_PastureBeef.SourceData_PastureBeef_DryMatterDigestibility_Variable()</f>
        <v>DMDj</v>
      </c>
      <c r="M287" s="14"/>
    </row>
    <row r="288" spans="4:16" ht="20.100000000000001" customHeight="1" x14ac:dyDescent="0.25">
      <c r="D288" s="13" t="str" cm="1">
        <f t="array" ref="D288">SourceData_PastureBeef.SourceData_PastureBeef_DryMatterDigestibility_Unit()</f>
        <v>fraction</v>
      </c>
      <c r="M288" s="14"/>
    </row>
    <row r="289" spans="4:13" ht="20.100000000000001" customHeight="1"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ht="20.100000000000001" customHeight="1" x14ac:dyDescent="0.25">
      <c r="D290" s="10" t="s">
        <v>274</v>
      </c>
      <c r="E290" s="10" t="s">
        <v>380</v>
      </c>
      <c r="F290" s="10" t="s">
        <v>494</v>
      </c>
      <c r="G290" s="10" t="s">
        <v>486</v>
      </c>
      <c r="H290" s="10" t="s">
        <v>487</v>
      </c>
      <c r="I290" s="10" t="s">
        <v>488</v>
      </c>
      <c r="M290" s="14"/>
    </row>
    <row r="291" spans="4:13" ht="20.100000000000001" customHeight="1"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ht="20.100000000000001" customHeight="1"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ht="20.100000000000001" customHeight="1"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ht="20.100000000000001" customHeight="1"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ht="20.100000000000001" customHeight="1"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ht="20.100000000000001" customHeight="1"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ht="20.100000000000001" customHeight="1"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ht="20.100000000000001" customHeight="1"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ht="20.100000000000001" customHeight="1"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ht="20.100000000000001" customHeight="1"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ht="20.100000000000001" customHeight="1"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ht="20.100000000000001" customHeight="1"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ht="20.100000000000001" customHeight="1"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ht="20.100000000000001" customHeight="1"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ht="20.100000000000001" customHeight="1"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ht="20.100000000000001" customHeight="1" x14ac:dyDescent="0.25">
      <c r="M306" s="14"/>
    </row>
    <row r="307" spans="4:13" ht="20.100000000000001" customHeight="1" x14ac:dyDescent="0.25">
      <c r="M307" s="14"/>
    </row>
    <row r="308" spans="4:13" ht="20.100000000000001" customHeight="1" x14ac:dyDescent="0.25">
      <c r="D308" s="9" t="str" cm="1">
        <f t="array" ref="D308">SourceData_PastureBeef.SourceData_PastureBeef_CrudeProteinContent_Title()</f>
        <v>Beef pasture cattle - Crude protein content of feed intake (fraction) (CPj)</v>
      </c>
      <c r="M308" s="14"/>
    </row>
    <row r="309" spans="4:13" ht="20.100000000000001" customHeight="1" x14ac:dyDescent="0.25">
      <c r="D309" s="11" t="str" cm="1">
        <f t="array" ref="D309">SourceData_PastureBeef.SourceData_PastureBeef_CrudeProteinContent_Source()</f>
        <v>VEERG 2026: Table A.1.2.6</v>
      </c>
      <c r="M309" s="14"/>
    </row>
    <row r="310" spans="4:13" ht="20.100000000000001" customHeight="1" x14ac:dyDescent="0.25">
      <c r="D310" s="8" t="str" cm="1">
        <f t="array" ref="D310">SourceData_PastureBeef.SourceData_PastureBeef_CrudeProteinContent_Variable()</f>
        <v>CPj</v>
      </c>
      <c r="M310" s="14"/>
    </row>
    <row r="311" spans="4:13" ht="20.100000000000001" customHeight="1" x14ac:dyDescent="0.25">
      <c r="D311" s="13" t="str" cm="1">
        <f t="array" ref="D311">SourceData_PastureBeef.SourceData_PastureBeef_CrudeProteinContent_Unit()</f>
        <v>fraction</v>
      </c>
      <c r="M311" s="14"/>
    </row>
    <row r="312" spans="4:13" ht="20.100000000000001" customHeight="1"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ht="20.100000000000001" customHeight="1" x14ac:dyDescent="0.25">
      <c r="D313" s="10" t="s">
        <v>274</v>
      </c>
      <c r="E313" s="10" t="s">
        <v>380</v>
      </c>
      <c r="F313" s="10" t="s">
        <v>494</v>
      </c>
      <c r="G313" s="10" t="s">
        <v>486</v>
      </c>
      <c r="H313" s="10" t="s">
        <v>487</v>
      </c>
      <c r="I313" s="10" t="s">
        <v>488</v>
      </c>
      <c r="M313" s="14"/>
    </row>
    <row r="314" spans="4:13" ht="20.100000000000001" customHeight="1"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ht="20.100000000000001" customHeight="1"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ht="20.100000000000001" customHeight="1"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ht="20.100000000000001" customHeight="1"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ht="20.100000000000001" customHeight="1"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ht="20.100000000000001" customHeight="1"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ht="20.100000000000001" customHeight="1"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ht="20.100000000000001" customHeight="1"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ht="20.100000000000001" customHeight="1"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ht="20.100000000000001" customHeight="1"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ht="20.100000000000001" customHeight="1"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ht="20.100000000000001" customHeight="1"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ht="20.100000000000001" customHeight="1"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ht="20.100000000000001" customHeight="1"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ht="20.100000000000001" customHeight="1"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ht="20.100000000000001" customHeight="1" x14ac:dyDescent="0.25">
      <c r="M329" s="8"/>
    </row>
    <row r="330" spans="4:13" ht="20.100000000000001" customHeight="1" x14ac:dyDescent="0.25">
      <c r="M330" s="8"/>
    </row>
    <row r="331" spans="4:13" ht="20.100000000000001" customHeight="1" x14ac:dyDescent="0.25">
      <c r="D331" s="9" t="str" cm="1">
        <f t="array" ref="D331">SourceData_PastureBeef.SourceData_PastureBeef_FeedAdjustmentAndMilkProduction_Title()</f>
        <v>Beef pasture cattle - Feed intake adjustment and milk production (kg/head/day)</v>
      </c>
      <c r="M331" s="8"/>
    </row>
    <row r="332" spans="4:13" ht="20.100000000000001" customHeight="1" x14ac:dyDescent="0.25">
      <c r="D332" s="11" t="str" cm="1">
        <f t="array" ref="D332">SourceData_PastureBeef.SourceData_PastureBeef_FeedAdjustmentAndMilkProduction_Source()</f>
        <v>VEERG 2026: Table A.1.2.7</v>
      </c>
      <c r="M332" s="8"/>
    </row>
    <row r="333" spans="4:13" ht="20.100000000000001" customHeight="1" x14ac:dyDescent="0.25">
      <c r="D333" s="8" t="str" cm="1">
        <f t="array" ref="D333">SourceData_PastureBeef.SourceData_PastureBeef_FeedAdjustmentAndMilkProduction_Variable()</f>
        <v>MCjk=1,3,6; DMPjk=5</v>
      </c>
      <c r="I333" s="12" t="s">
        <v>495</v>
      </c>
      <c r="M333" s="8"/>
    </row>
    <row r="334" spans="4:13" ht="20.100000000000001" customHeight="1" x14ac:dyDescent="0.25">
      <c r="D334" s="10" t="s">
        <v>496</v>
      </c>
      <c r="E334" s="10" t="s">
        <v>47</v>
      </c>
      <c r="F334" s="10" t="s">
        <v>497</v>
      </c>
      <c r="G334" s="10" t="s">
        <v>498</v>
      </c>
      <c r="I334" s="10" t="s">
        <v>496</v>
      </c>
      <c r="J334" s="10" t="s">
        <v>47</v>
      </c>
      <c r="K334" s="10" t="s">
        <v>497</v>
      </c>
      <c r="L334" s="10" t="s">
        <v>498</v>
      </c>
      <c r="M334" s="8"/>
    </row>
    <row r="335" spans="4:13" ht="20.100000000000001" customHeight="1"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499</v>
      </c>
      <c r="K335" s="10">
        <f>Table_SourceData_PastureBeef_FeedIntakeAdjustment[[#This Row],[Feed adjustment]]</f>
        <v>1.3</v>
      </c>
      <c r="L335" s="10">
        <f>Table_SourceData_PastureBeef_FeedIntakeAdjustment[[#This Row],[Milk intake/production]]</f>
        <v>6</v>
      </c>
      <c r="M335" s="8"/>
    </row>
    <row r="336" spans="4:13" ht="20.100000000000001" customHeight="1"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500</v>
      </c>
      <c r="K336" s="10">
        <f>Table_SourceData_PastureBeef_FeedIntakeAdjustment[[#This Row],[Feed adjustment]]</f>
        <v>1.1000000000000001</v>
      </c>
      <c r="L336" s="10">
        <f>Table_SourceData_PastureBeef_FeedIntakeAdjustment[[#This Row],[Milk intake/production]]</f>
        <v>4</v>
      </c>
      <c r="M336" s="8"/>
    </row>
    <row r="337" spans="4:13" ht="20.100000000000001" customHeight="1"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499</v>
      </c>
      <c r="K337" s="10">
        <f>F340</f>
        <v>1.3</v>
      </c>
      <c r="L337" s="10">
        <f t="shared" ref="L337:L338" si="54">G340</f>
        <v>4</v>
      </c>
      <c r="M337" s="8"/>
    </row>
    <row r="338" spans="4:13" ht="20.100000000000001" customHeight="1"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500</v>
      </c>
      <c r="K338" s="10">
        <f t="shared" ref="K338" si="55">F341</f>
        <v>1.1000000000000001</v>
      </c>
      <c r="L338" s="10">
        <f t="shared" si="54"/>
        <v>3</v>
      </c>
      <c r="M338" s="8"/>
    </row>
    <row r="339" spans="4:13" ht="20.100000000000001" customHeight="1"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ht="20.100000000000001" customHeight="1"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ht="20.100000000000001" customHeight="1"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ht="20.100000000000001" customHeight="1"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ht="20.100000000000001" customHeight="1" x14ac:dyDescent="0.25">
      <c r="M343" s="8"/>
    </row>
    <row r="344" spans="4:13" ht="20.100000000000001" customHeight="1" x14ac:dyDescent="0.25">
      <c r="M344" s="8"/>
    </row>
    <row r="345" spans="4:13" ht="20.100000000000001" customHeight="1" x14ac:dyDescent="0.25">
      <c r="D345" s="9" t="str" cm="1">
        <f t="array" ref="D345">SourceData_PastureBeef.SourceData_PastureBeef_StandardReferenceWeights_Title()</f>
        <v>Beef pasture cattle - Standard reference weights (kg) (SRWk)</v>
      </c>
      <c r="M345" s="8"/>
    </row>
    <row r="346" spans="4:13" ht="20.100000000000001" customHeight="1" x14ac:dyDescent="0.25">
      <c r="D346" s="11" t="str" cm="1">
        <f t="array" ref="D346">SourceData_PastureBeef.SourceData_PastureBeef_StandardReferenceWeights_Source()</f>
        <v>VEERG 2026: Table A.1.2.8</v>
      </c>
      <c r="M346" s="8"/>
    </row>
    <row r="347" spans="4:13" ht="20.100000000000001" customHeight="1" x14ac:dyDescent="0.25">
      <c r="D347" s="8" t="str" cm="1">
        <f t="array" ref="D347">SourceData_PastureBeef.SourceData_PastureBeef_StandardReferenceWeights_Variable()</f>
        <v>SRWk</v>
      </c>
      <c r="M347" s="8"/>
    </row>
    <row r="348" spans="4:13" ht="20.100000000000001" customHeight="1" x14ac:dyDescent="0.25">
      <c r="D348" s="13" t="str" cm="1">
        <f t="array" ref="D348">SourceData_PastureBeef.SourceData_PastureBeef_StandardReferenceWeights_Unit()</f>
        <v>kg</v>
      </c>
      <c r="M348" s="8"/>
    </row>
    <row r="349" spans="4:13" ht="20.100000000000001" customHeight="1" x14ac:dyDescent="0.25">
      <c r="D349" s="12" t="str" cm="1">
        <f t="array" ref="D349">SourceData_PastureBeef.SourceData_PastureBeef_StandardReferenceWeights_Variation()</f>
        <v>VARIATION ON SOURCE: Split ACT and NSW into separate rows. Added 'State abbreviation' column to aid lookup.</v>
      </c>
      <c r="M349" s="8"/>
    </row>
    <row r="350" spans="4:13" ht="20.100000000000001" customHeight="1" x14ac:dyDescent="0.25">
      <c r="D350" s="10" t="s">
        <v>274</v>
      </c>
      <c r="E350" s="10" t="s">
        <v>501</v>
      </c>
      <c r="F350" s="10" t="s">
        <v>502</v>
      </c>
      <c r="G350" s="10" t="s">
        <v>467</v>
      </c>
      <c r="H350" s="10" t="s">
        <v>468</v>
      </c>
      <c r="I350" s="10" t="s">
        <v>503</v>
      </c>
      <c r="J350" s="10" t="s">
        <v>471</v>
      </c>
      <c r="K350" s="10" t="s">
        <v>491</v>
      </c>
      <c r="L350" s="10" t="s">
        <v>504</v>
      </c>
      <c r="M350" s="8"/>
    </row>
    <row r="351" spans="4:13" ht="20.100000000000001" customHeight="1"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ht="20.100000000000001" customHeight="1"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ht="20.100000000000001" customHeight="1"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ht="20.100000000000001" customHeight="1"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ht="20.100000000000001" customHeight="1"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ht="20.100000000000001" customHeight="1"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ht="20.100000000000001" customHeight="1"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ht="20.100000000000001" customHeight="1"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ht="20.100000000000001" customHeight="1" x14ac:dyDescent="0.25">
      <c r="M359" s="8"/>
    </row>
    <row r="360" spans="4:15" ht="20.100000000000001" customHeight="1" x14ac:dyDescent="0.25">
      <c r="M360" s="8"/>
    </row>
    <row r="361" spans="4:15" ht="20.100000000000001" customHeight="1" x14ac:dyDescent="0.25">
      <c r="D361" s="10" t="s">
        <v>274</v>
      </c>
      <c r="E361" s="147" t="s">
        <v>476</v>
      </c>
      <c r="F361" s="147" t="s">
        <v>477</v>
      </c>
      <c r="G361" s="147" t="s">
        <v>478</v>
      </c>
      <c r="H361" s="147" t="s">
        <v>479</v>
      </c>
      <c r="I361" s="147" t="s">
        <v>480</v>
      </c>
      <c r="J361" s="147" t="s">
        <v>481</v>
      </c>
      <c r="K361" s="147" t="s">
        <v>482</v>
      </c>
      <c r="L361" s="147" t="s">
        <v>483</v>
      </c>
      <c r="M361" s="147" t="s">
        <v>484</v>
      </c>
      <c r="N361" s="147" t="s">
        <v>485</v>
      </c>
      <c r="O361" s="10" t="s">
        <v>504</v>
      </c>
    </row>
    <row r="362" spans="4:15" ht="20.100000000000001" customHeight="1" x14ac:dyDescent="0.25">
      <c r="D362" s="10" t="str">
        <f>D351</f>
        <v>ACT</v>
      </c>
      <c r="E362" s="10">
        <f t="shared" ref="E362:H362" si="56">E351</f>
        <v>700</v>
      </c>
      <c r="F362" s="10">
        <f t="shared" si="56"/>
        <v>700</v>
      </c>
      <c r="G362" s="10">
        <f t="shared" si="56"/>
        <v>500</v>
      </c>
      <c r="H362" s="10">
        <f t="shared" si="56"/>
        <v>500</v>
      </c>
      <c r="I362" s="10">
        <f>I351</f>
        <v>500</v>
      </c>
      <c r="J362" s="10">
        <f>I351</f>
        <v>500</v>
      </c>
      <c r="K362" s="10">
        <f t="shared" ref="K362" si="57">J351</f>
        <v>600</v>
      </c>
      <c r="L362" s="10">
        <f>K351</f>
        <v>600</v>
      </c>
      <c r="M362" s="10">
        <f>K351</f>
        <v>600</v>
      </c>
      <c r="N362" s="10">
        <f>K351</f>
        <v>600</v>
      </c>
      <c r="O362" s="10" t="str">
        <f>L351</f>
        <v>ACT</v>
      </c>
    </row>
    <row r="363" spans="4:15" ht="20.100000000000001" customHeight="1" x14ac:dyDescent="0.25">
      <c r="D363" s="10" t="str">
        <f t="shared" ref="D363:I369" si="58">D352</f>
        <v>NSW</v>
      </c>
      <c r="E363" s="10">
        <f t="shared" si="58"/>
        <v>700</v>
      </c>
      <c r="F363" s="10">
        <f t="shared" si="58"/>
        <v>700</v>
      </c>
      <c r="G363" s="10">
        <f t="shared" si="58"/>
        <v>500</v>
      </c>
      <c r="H363" s="10">
        <f t="shared" si="58"/>
        <v>500</v>
      </c>
      <c r="I363" s="10">
        <f t="shared" si="58"/>
        <v>500</v>
      </c>
      <c r="J363" s="10">
        <f t="shared" ref="J363:L369" si="59">I352</f>
        <v>500</v>
      </c>
      <c r="K363" s="10">
        <f t="shared" si="59"/>
        <v>600</v>
      </c>
      <c r="L363" s="10">
        <f t="shared" si="59"/>
        <v>600</v>
      </c>
      <c r="M363" s="10">
        <f t="shared" ref="M363:M369" si="60">K352</f>
        <v>600</v>
      </c>
      <c r="N363" s="10">
        <f t="shared" ref="N363:O369" si="61">K352</f>
        <v>600</v>
      </c>
      <c r="O363" s="10" t="str">
        <f t="shared" si="61"/>
        <v>NSW</v>
      </c>
    </row>
    <row r="364" spans="4:15" ht="20.100000000000001" customHeight="1" x14ac:dyDescent="0.25">
      <c r="D364" s="10" t="str">
        <f t="shared" si="58"/>
        <v>Northern Territory</v>
      </c>
      <c r="E364" s="10">
        <f t="shared" si="58"/>
        <v>770</v>
      </c>
      <c r="F364" s="10">
        <f t="shared" si="58"/>
        <v>770</v>
      </c>
      <c r="G364" s="10">
        <f t="shared" si="58"/>
        <v>550</v>
      </c>
      <c r="H364" s="10">
        <f t="shared" si="58"/>
        <v>550</v>
      </c>
      <c r="I364" s="10">
        <f t="shared" si="58"/>
        <v>550</v>
      </c>
      <c r="J364" s="10">
        <f t="shared" si="59"/>
        <v>550</v>
      </c>
      <c r="K364" s="10">
        <f t="shared" si="59"/>
        <v>660</v>
      </c>
      <c r="L364" s="10">
        <f t="shared" si="59"/>
        <v>660</v>
      </c>
      <c r="M364" s="10">
        <f t="shared" si="60"/>
        <v>660</v>
      </c>
      <c r="N364" s="10">
        <f t="shared" si="61"/>
        <v>660</v>
      </c>
      <c r="O364" s="10" t="str">
        <f t="shared" si="61"/>
        <v>NT</v>
      </c>
    </row>
    <row r="365" spans="4:15" ht="20.100000000000001" customHeight="1" x14ac:dyDescent="0.25">
      <c r="D365" s="10" t="str">
        <f t="shared" si="58"/>
        <v>Queensland</v>
      </c>
      <c r="E365" s="10">
        <f t="shared" si="58"/>
        <v>770</v>
      </c>
      <c r="F365" s="10">
        <f t="shared" si="58"/>
        <v>770</v>
      </c>
      <c r="G365" s="10">
        <f t="shared" si="58"/>
        <v>550</v>
      </c>
      <c r="H365" s="10">
        <f t="shared" si="58"/>
        <v>550</v>
      </c>
      <c r="I365" s="10">
        <f t="shared" si="58"/>
        <v>550</v>
      </c>
      <c r="J365" s="10">
        <f t="shared" si="59"/>
        <v>550</v>
      </c>
      <c r="K365" s="10">
        <f t="shared" si="59"/>
        <v>660</v>
      </c>
      <c r="L365" s="10">
        <f t="shared" si="59"/>
        <v>660</v>
      </c>
      <c r="M365" s="10">
        <f t="shared" si="60"/>
        <v>660</v>
      </c>
      <c r="N365" s="10">
        <f t="shared" si="61"/>
        <v>660</v>
      </c>
      <c r="O365" s="10" t="str">
        <f t="shared" si="61"/>
        <v>QLD</v>
      </c>
    </row>
    <row r="366" spans="4:15" ht="20.100000000000001" customHeight="1" x14ac:dyDescent="0.25">
      <c r="D366" s="10" t="str">
        <f t="shared" si="58"/>
        <v>South Australia</v>
      </c>
      <c r="E366" s="10">
        <f t="shared" si="58"/>
        <v>770</v>
      </c>
      <c r="F366" s="10">
        <f t="shared" si="58"/>
        <v>770</v>
      </c>
      <c r="G366" s="10">
        <f t="shared" si="58"/>
        <v>550</v>
      </c>
      <c r="H366" s="10">
        <f t="shared" si="58"/>
        <v>550</v>
      </c>
      <c r="I366" s="10">
        <f t="shared" si="58"/>
        <v>550</v>
      </c>
      <c r="J366" s="10">
        <f t="shared" si="59"/>
        <v>550</v>
      </c>
      <c r="K366" s="10">
        <f t="shared" si="59"/>
        <v>660</v>
      </c>
      <c r="L366" s="10">
        <f t="shared" si="59"/>
        <v>660</v>
      </c>
      <c r="M366" s="10">
        <f t="shared" si="60"/>
        <v>660</v>
      </c>
      <c r="N366" s="10">
        <f t="shared" si="61"/>
        <v>660</v>
      </c>
      <c r="O366" s="10" t="str">
        <f t="shared" si="61"/>
        <v>SA</v>
      </c>
    </row>
    <row r="367" spans="4:15" ht="20.100000000000001" customHeight="1" x14ac:dyDescent="0.25">
      <c r="D367" s="10" t="str">
        <f t="shared" si="58"/>
        <v>Tasmania</v>
      </c>
      <c r="E367" s="10">
        <f t="shared" si="58"/>
        <v>770</v>
      </c>
      <c r="F367" s="10">
        <f t="shared" si="58"/>
        <v>770</v>
      </c>
      <c r="G367" s="10">
        <f t="shared" si="58"/>
        <v>550</v>
      </c>
      <c r="H367" s="10">
        <f t="shared" si="58"/>
        <v>550</v>
      </c>
      <c r="I367" s="10">
        <f t="shared" si="58"/>
        <v>550</v>
      </c>
      <c r="J367" s="10">
        <f t="shared" si="59"/>
        <v>550</v>
      </c>
      <c r="K367" s="10">
        <f t="shared" si="59"/>
        <v>660</v>
      </c>
      <c r="L367" s="10">
        <f t="shared" si="59"/>
        <v>660</v>
      </c>
      <c r="M367" s="10">
        <f t="shared" si="60"/>
        <v>660</v>
      </c>
      <c r="N367" s="10">
        <f t="shared" si="61"/>
        <v>660</v>
      </c>
      <c r="O367" s="10" t="str">
        <f t="shared" si="61"/>
        <v>TAS</v>
      </c>
    </row>
    <row r="368" spans="4:15" ht="20.100000000000001" customHeight="1" x14ac:dyDescent="0.25">
      <c r="D368" s="10" t="str">
        <f t="shared" si="58"/>
        <v>Victoria</v>
      </c>
      <c r="E368" s="10">
        <f t="shared" si="58"/>
        <v>770</v>
      </c>
      <c r="F368" s="10">
        <f t="shared" si="58"/>
        <v>770</v>
      </c>
      <c r="G368" s="10">
        <f t="shared" si="58"/>
        <v>550</v>
      </c>
      <c r="H368" s="10">
        <f t="shared" si="58"/>
        <v>550</v>
      </c>
      <c r="I368" s="10">
        <f t="shared" si="58"/>
        <v>550</v>
      </c>
      <c r="J368" s="10">
        <f t="shared" si="59"/>
        <v>550</v>
      </c>
      <c r="K368" s="10">
        <f t="shared" si="59"/>
        <v>660</v>
      </c>
      <c r="L368" s="10">
        <f t="shared" si="59"/>
        <v>660</v>
      </c>
      <c r="M368" s="10">
        <f t="shared" si="60"/>
        <v>660</v>
      </c>
      <c r="N368" s="10">
        <f t="shared" si="61"/>
        <v>660</v>
      </c>
      <c r="O368" s="10" t="str">
        <f t="shared" si="61"/>
        <v>VIC</v>
      </c>
    </row>
    <row r="369" spans="4:15" ht="20.100000000000001" customHeight="1" x14ac:dyDescent="0.25">
      <c r="D369" s="10" t="str">
        <f t="shared" si="58"/>
        <v>Western Australia</v>
      </c>
      <c r="E369" s="10">
        <f t="shared" si="58"/>
        <v>770</v>
      </c>
      <c r="F369" s="10">
        <f t="shared" si="58"/>
        <v>770</v>
      </c>
      <c r="G369" s="10">
        <f t="shared" si="58"/>
        <v>550</v>
      </c>
      <c r="H369" s="10">
        <f t="shared" si="58"/>
        <v>550</v>
      </c>
      <c r="I369" s="10">
        <f t="shared" si="58"/>
        <v>550</v>
      </c>
      <c r="J369" s="10">
        <f t="shared" si="59"/>
        <v>550</v>
      </c>
      <c r="K369" s="10">
        <f t="shared" si="59"/>
        <v>660</v>
      </c>
      <c r="L369" s="10">
        <f t="shared" si="59"/>
        <v>660</v>
      </c>
      <c r="M369" s="10">
        <f t="shared" si="60"/>
        <v>660</v>
      </c>
      <c r="N369" s="10">
        <f t="shared" si="61"/>
        <v>660</v>
      </c>
      <c r="O369" s="10" t="str">
        <f t="shared" si="61"/>
        <v>WA</v>
      </c>
    </row>
    <row r="370" spans="4:15" ht="20.100000000000001" customHeight="1" x14ac:dyDescent="0.25">
      <c r="M370" s="8"/>
    </row>
    <row r="371" spans="4:15" ht="20.100000000000001" customHeight="1" x14ac:dyDescent="0.25">
      <c r="M371" s="8"/>
    </row>
    <row r="372" spans="4:15" ht="20.100000000000001" customHeight="1" x14ac:dyDescent="0.25">
      <c r="D372" s="9" t="str" cm="1">
        <f t="array" ref="D372">SourceData_PastureBeef.SourceData_PastureBeef_FractionOfManureToMMS_Title()</f>
        <v>Beef pasture cattle - Fraction of manure to each manure management system (fraction) (MMSm)</v>
      </c>
      <c r="M372" s="8"/>
    </row>
    <row r="373" spans="4:15" ht="20.100000000000001" customHeight="1" x14ac:dyDescent="0.25">
      <c r="D373" s="11" t="str" cm="1">
        <f t="array" ref="D373">SourceData_PastureBeef.SourceData_PastureBeef_FractionOfManureToMMS_Source()</f>
        <v>VEERG 2026: Table A.1.2.9</v>
      </c>
      <c r="M373" s="8"/>
    </row>
    <row r="374" spans="4:15" ht="20.100000000000001" customHeight="1" x14ac:dyDescent="0.25">
      <c r="D374" s="8" t="str" cm="1">
        <f t="array" ref="D374">SourceData_PastureBeef.SourceData_PastureBeef_FractionOfManureToMMS_Variable()</f>
        <v>MMSm</v>
      </c>
      <c r="M374" s="8"/>
    </row>
    <row r="375" spans="4:15" ht="20.100000000000001" customHeight="1" x14ac:dyDescent="0.25">
      <c r="D375" s="13" t="str" cm="1">
        <f t="array" ref="D375">SourceData_PastureBeef.SourceData_PastureBeef_FractionOfManureToMMS_Unit()</f>
        <v>fraction</v>
      </c>
      <c r="E375" s="148" t="s">
        <v>505</v>
      </c>
      <c r="M375" s="8"/>
    </row>
    <row r="376" spans="4:15" ht="20.100000000000001" customHeight="1" x14ac:dyDescent="0.25">
      <c r="D376" s="12" t="str" cm="1">
        <f t="array" ref="D376">SourceData_PastureBeef.SourceData_PastureBeef_FractionOfManureToMMS_Variation()</f>
        <v>VARIATION ON SOURCE: Removed comma from 'Pasture range and paddock' to aid lookup</v>
      </c>
      <c r="M376" s="8"/>
    </row>
    <row r="377" spans="4:15" ht="20.100000000000001" customHeight="1" x14ac:dyDescent="0.25">
      <c r="D377" s="10" t="s">
        <v>274</v>
      </c>
      <c r="E377" s="10" t="s">
        <v>380</v>
      </c>
      <c r="F377" s="10" t="s">
        <v>62</v>
      </c>
      <c r="G377" s="10" t="s">
        <v>506</v>
      </c>
      <c r="M377" s="8"/>
    </row>
    <row r="378" spans="4:15" ht="20.100000000000001" customHeight="1"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ht="20.100000000000001" customHeight="1"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ht="20.100000000000001" customHeight="1"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ht="20.100000000000001" customHeight="1"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ht="20.100000000000001" customHeight="1"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ht="20.100000000000001" customHeight="1"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ht="20.100000000000001" customHeight="1"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ht="20.100000000000001" customHeight="1"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ht="20.100000000000001" customHeight="1"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ht="20.100000000000001" customHeight="1"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ht="20.100000000000001" customHeight="1"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ht="20.100000000000001" customHeight="1"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ht="20.100000000000001" customHeight="1"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ht="20.100000000000001" customHeight="1"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ht="20.100000000000001" customHeight="1"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ht="20.100000000000001" customHeight="1" x14ac:dyDescent="0.25">
      <c r="M393" s="8"/>
    </row>
    <row r="394" spans="4:13" ht="20.100000000000001" customHeight="1" x14ac:dyDescent="0.25">
      <c r="M394" s="8"/>
    </row>
    <row r="395" spans="4:13" ht="20.100000000000001" customHeight="1" x14ac:dyDescent="0.25">
      <c r="D395" s="9" t="str" cm="1">
        <f t="array" ref="D395">SourceData_PastureBeef.SourceData_PastureBeef_MethaneConversionFactorPerRegion_Title()</f>
        <v>Beef pasture cattle - Methane conversion factor per region (fraction) (MCFim)</v>
      </c>
      <c r="M395" s="8"/>
    </row>
    <row r="396" spans="4:13" ht="20.100000000000001" customHeight="1" x14ac:dyDescent="0.25">
      <c r="D396" s="11" t="str" cm="1">
        <f t="array" ref="D396">SourceData_PastureBeef.SourceData_PastureBeef_MethaneConversionFactorPerRegion_Source()</f>
        <v>VEERG 2026: Table A.1.2.10</v>
      </c>
      <c r="M396" s="8"/>
    </row>
    <row r="397" spans="4:13" ht="20.100000000000001" customHeight="1" x14ac:dyDescent="0.25">
      <c r="D397" s="8" t="str" cm="1">
        <f t="array" ref="D397">SourceData_PastureBeef.SourceData_PastureBeef_MethaneConversionFactorPerRegion_Variable()</f>
        <v>MCFim</v>
      </c>
      <c r="M397" s="8"/>
    </row>
    <row r="398" spans="4:13" ht="20.100000000000001" customHeight="1" x14ac:dyDescent="0.25">
      <c r="D398" s="13" t="str" cm="1">
        <f t="array" ref="D398">SourceData_PastureBeef.SourceData_PastureBeef_MethaneConversionFactorPerRegion_Unit()</f>
        <v>fraction</v>
      </c>
      <c r="M398" s="8"/>
    </row>
    <row r="399" spans="4:13" ht="20.100000000000001" customHeight="1" x14ac:dyDescent="0.25">
      <c r="D399" s="12" t="str" cm="1">
        <f t="array" ref="D399">SourceData_PastureBeef.SourceData_PastureBeef_MethaneConversionFactorPerRegion_Variation()</f>
        <v>VARIATION ON SOURCE: Removed comma from 'Pasture range and paddock' to aid lookup</v>
      </c>
      <c r="M399" s="8"/>
    </row>
    <row r="400" spans="4:13" ht="20.100000000000001" customHeight="1" x14ac:dyDescent="0.25">
      <c r="D400" s="10" t="s">
        <v>274</v>
      </c>
      <c r="E400" s="10" t="s">
        <v>380</v>
      </c>
      <c r="F400" s="10" t="s">
        <v>62</v>
      </c>
      <c r="G400" s="10" t="s">
        <v>506</v>
      </c>
      <c r="M400" s="8"/>
    </row>
    <row r="401" spans="4:13" ht="20.100000000000001" customHeight="1"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ht="20.100000000000001" customHeight="1"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ht="20.100000000000001" customHeight="1"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ht="20.100000000000001" customHeight="1"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ht="20.100000000000001" customHeight="1"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ht="20.100000000000001" customHeight="1"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ht="20.100000000000001" customHeight="1"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ht="20.100000000000001" customHeight="1"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ht="20.100000000000001" customHeight="1"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ht="20.100000000000001" customHeight="1"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ht="20.100000000000001" customHeight="1"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ht="20.100000000000001" customHeight="1"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ht="20.100000000000001" customHeight="1"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ht="20.100000000000001" customHeight="1"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ht="20.100000000000001" customHeight="1"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ht="20.100000000000001" customHeight="1" x14ac:dyDescent="0.25">
      <c r="M416" s="8"/>
    </row>
    <row r="417" spans="4:13" ht="20.100000000000001" customHeight="1" x14ac:dyDescent="0.25">
      <c r="M417" s="8"/>
    </row>
    <row r="418" spans="4:13" ht="20.100000000000001" customHeight="1" x14ac:dyDescent="0.25">
      <c r="D418" s="9" t="str" cm="1">
        <f t="array" ref="D418">SourceData_PastureBeef.SourceData_PastureBeef_AshContentOfFeedIntake_Title()</f>
        <v>Ash content of feed intake</v>
      </c>
      <c r="M418" s="8"/>
    </row>
    <row r="419" spans="4:13" ht="20.100000000000001" customHeight="1" x14ac:dyDescent="0.25">
      <c r="D419" s="11" t="str" cm="1">
        <f t="array" ref="D419">SourceData_PastureBeef.SourceData_PastureBeef_AshContentOfFeedIntake_Source()</f>
        <v>VEERG 2026: 4.2.2.3 CONSTANTS</v>
      </c>
      <c r="M419" s="8"/>
    </row>
    <row r="420" spans="4:13" ht="20.100000000000001" customHeight="1" x14ac:dyDescent="0.25">
      <c r="D420" s="8" t="str" cm="1">
        <f t="array" ref="D420">SourceData_PastureBeef.SourceData_PastureBeef_AshContentOfFeedIntake_Variable()</f>
        <v>A</v>
      </c>
      <c r="M420" s="8"/>
    </row>
    <row r="421" spans="4:13" ht="20.100000000000001" customHeight="1" x14ac:dyDescent="0.25">
      <c r="D421" s="13" t="str" cm="1">
        <f t="array" ref="D421">SourceData_PastureBeef.SourceData_PastureBeef_AshContentOfFeedIntake_Unit()</f>
        <v>fraction</v>
      </c>
      <c r="M421" s="8"/>
    </row>
    <row r="422" spans="4:13" ht="20.100000000000001" customHeight="1" x14ac:dyDescent="0.25">
      <c r="D422" s="27" cm="1">
        <f t="array" ref="D422">SourceData_PastureBeef.SourceData_PastureBeef_AshContentOfFeedIntake_Data()</f>
        <v>0.08</v>
      </c>
      <c r="M422" s="8"/>
    </row>
    <row r="423" spans="4:13" ht="20.100000000000001" customHeight="1" x14ac:dyDescent="0.25">
      <c r="M423" s="8"/>
    </row>
    <row r="424" spans="4:13" ht="20.100000000000001" customHeight="1" x14ac:dyDescent="0.25">
      <c r="D424" s="9" t="str" cm="1">
        <f t="array" ref="D424">SourceData_PastureBeef.SourceData_PastureBeef_MethaneEmissionsPotential_Title()</f>
        <v>Methane emissions potential</v>
      </c>
      <c r="M424" s="8"/>
    </row>
    <row r="425" spans="4:13" ht="20.100000000000001" customHeight="1" x14ac:dyDescent="0.25">
      <c r="D425" s="11" t="str" cm="1">
        <f t="array" ref="D425">SourceData_PastureBeef.SourceData_PastureBeef_MethaneEmissionsPotential_Source()</f>
        <v>VEERG 2026: 4.2.2.3 CONSTANTS</v>
      </c>
      <c r="M425" s="8"/>
    </row>
    <row r="426" spans="4:13" ht="20.100000000000001" customHeight="1" x14ac:dyDescent="0.25">
      <c r="D426" s="8" t="str" cm="1">
        <f t="array" ref="D426">SourceData_PastureBeef.SourceData_PastureBeef_MethaneEmissionsPotential_Variable()</f>
        <v>B0</v>
      </c>
      <c r="M426" s="8"/>
    </row>
    <row r="427" spans="4:13" ht="20.100000000000001" customHeight="1" x14ac:dyDescent="0.25">
      <c r="D427" s="13" t="str" cm="1">
        <f t="array" ref="D427">SourceData_PastureBeef.SourceData_PastureBeef_MethaneEmissionsPotential_Unit()</f>
        <v>m3 CH4 / kg VS</v>
      </c>
      <c r="M427" s="8"/>
    </row>
    <row r="428" spans="4:13" ht="20.100000000000001" customHeight="1" x14ac:dyDescent="0.25">
      <c r="D428" s="27" cm="1">
        <f t="array" ref="D428">SourceData_PastureBeef.SourceData_PastureBeef_MethaneEmissionsPotential_Data()</f>
        <v>0.19</v>
      </c>
      <c r="M428" s="8"/>
    </row>
    <row r="429" spans="4:13" ht="20.100000000000001" customHeight="1" x14ac:dyDescent="0.25">
      <c r="M429" s="8"/>
    </row>
    <row r="430" spans="4:13" ht="20.100000000000001" customHeight="1" x14ac:dyDescent="0.25">
      <c r="D430" s="9" t="str" cm="1">
        <f t="array" ref="D430">SourceData_PastureBeef.SourceData_PastureBeef_FracGASMSoil_Title()</f>
        <v>Fraction of nitrogen volatilised from urine and faeces deposited on pasture</v>
      </c>
      <c r="M430" s="8"/>
    </row>
    <row r="431" spans="4:13" ht="20.100000000000001" customHeight="1" x14ac:dyDescent="0.25">
      <c r="D431" s="11" t="str" cm="1">
        <f t="array" ref="D431">SourceData_PastureBeef.SourceData_PastureBeef_FracGASMSoil_Source()</f>
        <v>VEERG 2026: 4.2.2.3 CONSTANTS</v>
      </c>
      <c r="M431" s="8"/>
    </row>
    <row r="432" spans="4:13" ht="20.100000000000001" customHeight="1" x14ac:dyDescent="0.25">
      <c r="D432" s="8" t="str" cm="1">
        <f t="array" ref="D432">SourceData_PastureBeef.SourceData_PastureBeef_FracGASMSoil_Variable()</f>
        <v>FracGASMSoil</v>
      </c>
      <c r="M432" s="8"/>
    </row>
    <row r="433" spans="4:13" ht="20.100000000000001" customHeight="1" x14ac:dyDescent="0.25">
      <c r="D433" s="13" t="str" cm="1">
        <f t="array" ref="D433">SourceData_PastureBeef.SourceData_PastureBeef_FracGASMSoil_Unit()</f>
        <v>fraction</v>
      </c>
      <c r="M433" s="8"/>
    </row>
    <row r="434" spans="4:13" ht="20.100000000000001" customHeight="1" x14ac:dyDescent="0.25">
      <c r="D434" s="27" cm="1">
        <f t="array" ref="D434">SourceData_PastureBeef.SourceData_PastureBeef_FracGASMSoil_Data()</f>
        <v>0.21</v>
      </c>
      <c r="M434" s="8"/>
    </row>
    <row r="435" spans="4:13" ht="20.100000000000001" customHeight="1" x14ac:dyDescent="0.25">
      <c r="M435" s="8"/>
    </row>
    <row r="436" spans="4:13" ht="20.100000000000001" customHeight="1" x14ac:dyDescent="0.25">
      <c r="D436" s="9" t="str" cm="1">
        <f t="array" ref="D436">SourceData_PastureBeef.SourceData_PastureBeef_FracLEACH_Title()</f>
        <v>Default fraction of N that is lost through leaching and runoff</v>
      </c>
      <c r="M436" s="8"/>
    </row>
    <row r="437" spans="4:13" ht="20.100000000000001" customHeight="1" x14ac:dyDescent="0.25">
      <c r="D437" s="11" t="str" cm="1">
        <f t="array" ref="D437">SourceData_PastureBeef.SourceData_PastureBeef_FracLEACH_Source()</f>
        <v>VEERG 2026: 4.2.2.3 CONSTANTS</v>
      </c>
      <c r="M437" s="8"/>
    </row>
    <row r="438" spans="4:13" ht="20.100000000000001" customHeight="1" x14ac:dyDescent="0.25">
      <c r="D438" s="8" t="str" cm="1">
        <f t="array" ref="D438">SourceData_PastureBeef.SourceData_PastureBeef_FracLEACH_Variable()</f>
        <v>FracLEACH</v>
      </c>
      <c r="M438" s="8"/>
    </row>
    <row r="439" spans="4:13" ht="20.100000000000001" customHeight="1" x14ac:dyDescent="0.25">
      <c r="D439" s="13" t="str" cm="1">
        <f t="array" ref="D439">SourceData_PastureBeef.SourceData_PastureBeef_FracLEACH_Unit()</f>
        <v>fraction</v>
      </c>
      <c r="M439" s="8"/>
    </row>
    <row r="440" spans="4:13" ht="20.100000000000001" customHeight="1" x14ac:dyDescent="0.25">
      <c r="D440" s="27" cm="1">
        <f t="array" ref="D440">SourceData_PastureBeef.SourceData_PastureBeef_FracLEACH_Data()</f>
        <v>0.24</v>
      </c>
      <c r="M440" s="8"/>
    </row>
    <row r="441" spans="4:13" ht="20.100000000000001" customHeight="1" x14ac:dyDescent="0.25">
      <c r="M441" s="8"/>
    </row>
    <row r="442" spans="4:13" ht="20.100000000000001" customHeight="1" x14ac:dyDescent="0.25">
      <c r="M442" s="8"/>
    </row>
    <row r="443" spans="4:13" ht="20.100000000000001" customHeight="1" x14ac:dyDescent="0.25">
      <c r="M443" s="8"/>
    </row>
    <row r="444" spans="4:13" ht="20.100000000000001" customHeight="1" x14ac:dyDescent="0.25">
      <c r="M444" s="8"/>
    </row>
    <row r="445" spans="4:13" ht="20.100000000000001" customHeight="1" x14ac:dyDescent="0.25">
      <c r="M445" s="8"/>
    </row>
    <row r="446" spans="4:13" ht="20.100000000000001" customHeight="1" x14ac:dyDescent="0.25">
      <c r="M446" s="8"/>
    </row>
    <row r="447" spans="4:13" ht="20.100000000000001" customHeight="1" x14ac:dyDescent="0.25">
      <c r="M447" s="8"/>
    </row>
    <row r="448" spans="4:13" ht="20.100000000000001" customHeight="1" x14ac:dyDescent="0.25">
      <c r="M448" s="8"/>
    </row>
    <row r="449" spans="13:13" ht="20.100000000000001" customHeight="1" x14ac:dyDescent="0.25">
      <c r="M449" s="8"/>
    </row>
    <row r="450" spans="13:13" ht="20.100000000000001" customHeight="1" x14ac:dyDescent="0.25">
      <c r="M450" s="8"/>
    </row>
    <row r="451" spans="13:13" ht="20.100000000000001" customHeight="1" x14ac:dyDescent="0.25">
      <c r="M451" s="8"/>
    </row>
    <row r="452" spans="13:13" ht="20.100000000000001" customHeight="1" x14ac:dyDescent="0.25">
      <c r="M452" s="8"/>
    </row>
    <row r="453" spans="13:13" ht="20.100000000000001" customHeight="1" x14ac:dyDescent="0.25">
      <c r="M453" s="8"/>
    </row>
    <row r="454" spans="13:13" ht="20.100000000000001" customHeight="1" x14ac:dyDescent="0.25">
      <c r="M454" s="8"/>
    </row>
  </sheetData>
  <pageMargins left="0.7" right="0.7" top="0.75" bottom="0.75" header="0.3" footer="0.3"/>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E42C-5876-4A28-9CD6-6FAFED639EAA}">
  <sheetPr>
    <tabColor theme="2" tint="-0.499984740745262"/>
  </sheetPr>
  <dimension ref="A1:Q202"/>
  <sheetViews>
    <sheetView showGridLines="0" topLeftCell="A14" zoomScaleNormal="100" workbookViewId="0">
      <selection activeCell="A38" sqref="A38"/>
    </sheetView>
  </sheetViews>
  <sheetFormatPr defaultRowHeight="20.100000000000001" customHeight="1" x14ac:dyDescent="0.2"/>
  <cols>
    <col min="1" max="1" width="30.5703125" customWidth="1"/>
    <col min="2" max="2" width="4.5703125" customWidth="1"/>
    <col min="3" max="3" width="4.5703125" style="8" customWidth="1"/>
    <col min="4" max="10" width="30.5703125" style="8" customWidth="1"/>
    <col min="11" max="11" width="4.5703125" style="8" customWidth="1"/>
  </cols>
  <sheetData>
    <row r="1" spans="1:11" ht="30" customHeight="1" x14ac:dyDescent="0.35">
      <c r="A1" s="37" t="e" vm="1">
        <v>#VALUE!</v>
      </c>
      <c r="C1" s="1"/>
      <c r="D1" s="1"/>
      <c r="E1" s="1"/>
      <c r="F1" s="1"/>
      <c r="G1" s="1"/>
      <c r="H1" s="1"/>
      <c r="I1" s="1"/>
      <c r="J1" s="1"/>
      <c r="K1" s="1"/>
    </row>
    <row r="2" spans="1:11" ht="20.100000000000001" customHeight="1" x14ac:dyDescent="0.2">
      <c r="C2" s="5"/>
      <c r="D2" s="5"/>
      <c r="E2" s="5"/>
      <c r="F2" s="5"/>
      <c r="G2" s="5"/>
      <c r="H2" s="5"/>
      <c r="I2" s="5"/>
      <c r="J2" s="5"/>
      <c r="K2" s="5"/>
    </row>
    <row r="3" spans="1:11" ht="20.100000000000001" customHeight="1" x14ac:dyDescent="0.2">
      <c r="A3" s="16" t="str">
        <f>HYPERLINK("#'Overview'!A1", "Overview")</f>
        <v>Overview</v>
      </c>
    </row>
    <row r="4" spans="1:11" ht="20.100000000000001" customHeight="1" x14ac:dyDescent="0.2">
      <c r="A4" s="16" t="str">
        <f>HYPERLINK("#'Results'!A1", "Results")</f>
        <v>Results</v>
      </c>
      <c r="D4" s="9" t="str" cm="1">
        <f t="array" ref="D4">CommonLivestock_SourceData.SourceData_Livestock_Common_SymbolsMMS_Title()</f>
        <v>Table 5.12 Additional symbols used in algorithms for manure related emissions</v>
      </c>
    </row>
    <row r="5" spans="1:11" ht="20.100000000000001" customHeight="1" x14ac:dyDescent="0.2">
      <c r="D5" s="11" t="str" cm="1">
        <f t="array" ref="D5">CommonLivestock_SourceData.SourceData_Livestock_Common_SymbolsMMS_Source()</f>
        <v>National Inventory Report 2023 Volume 1: Table 5.12</v>
      </c>
    </row>
    <row r="6" spans="1:11" ht="20.100000000000001" customHeight="1" x14ac:dyDescent="0.2">
      <c r="D6" s="10" t="s">
        <v>322</v>
      </c>
      <c r="E6" s="10" t="s">
        <v>323</v>
      </c>
      <c r="F6" s="10" t="s">
        <v>324</v>
      </c>
    </row>
    <row r="7" spans="1:11" ht="20.100000000000001" customHeight="1" x14ac:dyDescent="0.2">
      <c r="A7" s="19" t="s">
        <v>67</v>
      </c>
      <c r="D7" s="10" t="str" cm="1">
        <f t="array" ref="D7">Common_InputFunctions.Utility_DisplayArrayInTable(CommonLivestock_SourceData.SourceData_Livestock_Common_SymbolsMMS_Data(), Table_Data_MMSSymbols[[#Headers],[Symbol]], 0)</f>
        <v>1</v>
      </c>
      <c r="E7" s="10" t="str" cm="1">
        <f t="array" ref="E7">Common_InputFunctions.Utility_DisplayArrayInTable(CommonLivestock_SourceData.SourceData_Livestock_Common_SymbolsMMS_Data(), Table_Data_MMSSymbols[[#Headers],[Symbol]], 0)</f>
        <v>Anaerobic lagoon</v>
      </c>
      <c r="F7" s="10" t="str" cm="1">
        <f t="array" ref="F7">Common_InputFunctions.Utility_DisplayArrayInTable(CommonLivestock_SourceData.SourceData_Livestock_Common_SymbolsMMS_Data(), Table_Data_MMSSymbols[[#Headers],[Symbol]], 0)</f>
        <v>Anaerobic lagoon (m=1)</v>
      </c>
    </row>
    <row r="8" spans="1:11" ht="20.100000000000001" customHeight="1" x14ac:dyDescent="0.2">
      <c r="A8" s="16" t="str">
        <f>HYPERLINK("#'Input - Site'!A1", "Site")</f>
        <v>Site</v>
      </c>
      <c r="D8" s="10" t="str" cm="1">
        <f t="array" ref="D8">Common_InputFunctions.Utility_DisplayArrayInTable(CommonLivestock_SourceData.SourceData_Livestock_Common_SymbolsMMS_Data(), Table_Data_MMSSymbols[[#Headers],[Symbol]], 0)</f>
        <v>2</v>
      </c>
      <c r="E8" s="10" t="str" cm="1">
        <f t="array" ref="E8">Common_InputFunctions.Utility_DisplayArrayInTable(CommonLivestock_SourceData.SourceData_Livestock_Common_SymbolsMMS_Data(), Table_Data_MMSSymbols[[#Headers],[Symbol]], 0)</f>
        <v>Liquid systems</v>
      </c>
      <c r="F8" s="10" t="str" cm="1">
        <f t="array" ref="F8">Common_InputFunctions.Utility_DisplayArrayInTable(CommonLivestock_SourceData.SourceData_Livestock_Common_SymbolsMMS_Data(), Table_Data_MMSSymbols[[#Headers],[Symbol]], 0)</f>
        <v>Liquid systems (m=2)</v>
      </c>
    </row>
    <row r="9" spans="1:11" ht="20.100000000000001" customHeight="1" x14ac:dyDescent="0.2">
      <c r="A9" s="16" t="str">
        <f>HYPERLINK("#'Input - Fuel'!A1", "Fuel")</f>
        <v>Fuel</v>
      </c>
      <c r="D9" s="10" t="str" cm="1">
        <f t="array" ref="D9">Common_InputFunctions.Utility_DisplayArrayInTable(CommonLivestock_SourceData.SourceData_Livestock_Common_SymbolsMMS_Data(), Table_Data_MMSSymbols[[#Headers],[Symbol]], 0)</f>
        <v>3</v>
      </c>
      <c r="E9" s="10" t="str" cm="1">
        <f t="array" ref="E9">Common_InputFunctions.Utility_DisplayArrayInTable(CommonLivestock_SourceData.SourceData_Livestock_Common_SymbolsMMS_Data(), Table_Data_MMSSymbols[[#Headers],[Symbol]], 0)</f>
        <v>Daily spread</v>
      </c>
      <c r="F9" s="10" t="str" cm="1">
        <f t="array" ref="F9">Common_InputFunctions.Utility_DisplayArrayInTable(CommonLivestock_SourceData.SourceData_Livestock_Common_SymbolsMMS_Data(), Table_Data_MMSSymbols[[#Headers],[Symbol]], 0)</f>
        <v>Daily spread (m=3)</v>
      </c>
    </row>
    <row r="10" spans="1:11" ht="20.100000000000001" customHeight="1" x14ac:dyDescent="0.2">
      <c r="A10" s="16" t="str">
        <f>HYPERLINK("#'Input - Fertiliser'!A1", "Fertiliser")</f>
        <v>Fertiliser</v>
      </c>
      <c r="D10" s="10" t="str" cm="1">
        <f t="array" ref="D10">Common_InputFunctions.Utility_DisplayArrayInTable(CommonLivestock_SourceData.SourceData_Livestock_Common_SymbolsMMS_Data(), Table_Data_MMSSymbols[[#Headers],[Symbol]], 0)</f>
        <v>3a</v>
      </c>
      <c r="E10" s="10" t="str" cm="1">
        <f t="array" ref="E10">Common_InputFunctions.Utility_DisplayArrayInTable(CommonLivestock_SourceData.SourceData_Livestock_Common_SymbolsMMS_Data(), Table_Data_MMSSymbols[[#Headers],[Symbol]], 0)</f>
        <v>Sump and dispersal system</v>
      </c>
      <c r="F10" s="10" t="str" cm="1">
        <f t="array" ref="F10">Common_InputFunctions.Utility_DisplayArrayInTable(CommonLivestock_SourceData.SourceData_Livestock_Common_SymbolsMMS_Data(), Table_Data_MMSSymbols[[#Headers],[Symbol]], 0)</f>
        <v>Sump and dispersal system (m=3a)</v>
      </c>
    </row>
    <row r="11" spans="1:11" ht="20.100000000000001" customHeight="1" x14ac:dyDescent="0.2">
      <c r="A11" s="16" t="str">
        <f>HYPERLINK("#'Input - Farm Inputs'!A1", "Farm Inputs")</f>
        <v>Farm Inputs</v>
      </c>
      <c r="D11" s="10" t="str" cm="1">
        <f t="array" ref="D11">Common_InputFunctions.Utility_DisplayArrayInTable(CommonLivestock_SourceData.SourceData_Livestock_Common_SymbolsMMS_Data(), Table_Data_MMSSymbols[[#Headers],[Symbol]], 0)</f>
        <v>3b</v>
      </c>
      <c r="E11" s="10" t="str" cm="1">
        <f t="array" ref="E11">Common_InputFunctions.Utility_DisplayArrayInTable(CommonLivestock_SourceData.SourceData_Livestock_Common_SymbolsMMS_Data(), Table_Data_MMSSymbols[[#Headers],[Symbol]], 0)</f>
        <v>Drains to paddock</v>
      </c>
      <c r="F11" s="10" t="str" cm="1">
        <f t="array" ref="F11">Common_InputFunctions.Utility_DisplayArrayInTable(CommonLivestock_SourceData.SourceData_Livestock_Common_SymbolsMMS_Data(), Table_Data_MMSSymbols[[#Headers],[Symbol]], 0)</f>
        <v>Drains to paddock (m=3b)</v>
      </c>
    </row>
    <row r="12" spans="1:11" ht="20.100000000000001" customHeight="1" x14ac:dyDescent="0.2">
      <c r="A12" s="16" t="str">
        <f>HYPERLINK("#'Input - Livestock purchases'!A1", "Livestock purchases")</f>
        <v>Livestock purchases</v>
      </c>
      <c r="D12" s="10" t="str" cm="1">
        <f t="array" ref="D12">Common_InputFunctions.Utility_DisplayArrayInTable(CommonLivestock_SourceData.SourceData_Livestock_Common_SymbolsMMS_Data(), Table_Data_MMSSymbols[[#Headers],[Symbol]], 0)</f>
        <v>4</v>
      </c>
      <c r="E12" s="10" t="str" cm="1">
        <f t="array" ref="E12">Common_InputFunctions.Utility_DisplayArrayInTable(CommonLivestock_SourceData.SourceData_Livestock_Common_SymbolsMMS_Data(), Table_Data_MMSSymbols[[#Headers],[Symbol]], 0)</f>
        <v>Solid storage</v>
      </c>
      <c r="F12" s="10" t="str" cm="1">
        <f t="array" ref="F12">Common_InputFunctions.Utility_DisplayArrayInTable(CommonLivestock_SourceData.SourceData_Livestock_Common_SymbolsMMS_Data(), Table_Data_MMSSymbols[[#Headers],[Symbol]], 0)</f>
        <v>Solid storage (m=4)</v>
      </c>
    </row>
    <row r="13" spans="1:11" ht="20.100000000000001" customHeight="1" x14ac:dyDescent="0.2">
      <c r="A13" s="16" t="str">
        <f>HYPERLINK("#'Input - Freight'!A1", "Freight")</f>
        <v>Freight</v>
      </c>
      <c r="D13" s="10" t="str" cm="1">
        <f t="array" ref="D13">Common_InputFunctions.Utility_DisplayArrayInTable(CommonLivestock_SourceData.SourceData_Livestock_Common_SymbolsMMS_Data(), Table_Data_MMSSymbols[[#Headers],[Symbol]], 0)</f>
        <v>5</v>
      </c>
      <c r="E13" s="10" t="str" cm="1">
        <f t="array" ref="E13">Common_InputFunctions.Utility_DisplayArrayInTable(CommonLivestock_SourceData.SourceData_Livestock_Common_SymbolsMMS_Data(), Table_Data_MMSSymbols[[#Headers],[Symbol]], 0)</f>
        <v>Drylot (feed pad)</v>
      </c>
      <c r="F13" s="10" t="str" cm="1">
        <f t="array" ref="F13">Common_InputFunctions.Utility_DisplayArrayInTable(CommonLivestock_SourceData.SourceData_Livestock_Common_SymbolsMMS_Data(), Table_Data_MMSSymbols[[#Headers],[Symbol]], 0)</f>
        <v>Drylot (feed pad) (m=5)</v>
      </c>
    </row>
    <row r="14" spans="1:11" ht="20.100000000000001" customHeight="1" x14ac:dyDescent="0.2">
      <c r="A14" s="16" t="str">
        <f>HYPERLINK("#'Input - Solid waste'!A1", "Solid waste")</f>
        <v>Solid waste</v>
      </c>
      <c r="D14" s="10" t="str" cm="1">
        <f t="array" ref="D14">Common_InputFunctions.Utility_DisplayArrayInTable(CommonLivestock_SourceData.SourceData_Livestock_Common_SymbolsMMS_Data(), Table_Data_MMSSymbols[[#Headers],[Symbol]], 0)</f>
        <v>6</v>
      </c>
      <c r="E14" s="10" t="str" cm="1">
        <f t="array" ref="E14">Common_InputFunctions.Utility_DisplayArrayInTable(CommonLivestock_SourceData.SourceData_Livestock_Common_SymbolsMMS_Data(), Table_Data_MMSSymbols[[#Headers],[Symbol]], 0)</f>
        <v>Composting (passive windrow)</v>
      </c>
      <c r="F14" s="10" t="str" cm="1">
        <f t="array" ref="F14">Common_InputFunctions.Utility_DisplayArrayInTable(CommonLivestock_SourceData.SourceData_Livestock_Common_SymbolsMMS_Data(), Table_Data_MMSSymbols[[#Headers],[Symbol]], 0)</f>
        <v>Composting (passive windrow) (m=6)</v>
      </c>
    </row>
    <row r="15" spans="1:11" ht="20.100000000000001" customHeight="1" x14ac:dyDescent="0.2">
      <c r="A15" s="16" t="str">
        <f>HYPERLINK("#'Input - Manure sent off-site'!A1", "Manure sent off-site")</f>
        <v>Manure sent off-site</v>
      </c>
      <c r="D15" s="10" t="str" cm="1">
        <f t="array" ref="D15">Common_InputFunctions.Utility_DisplayArrayInTable(CommonLivestock_SourceData.SourceData_Livestock_Common_SymbolsMMS_Data(), Table_Data_MMSSymbols[[#Headers],[Symbol]], 0)</f>
        <v>7</v>
      </c>
      <c r="E15" s="10" t="str" cm="1">
        <f t="array" ref="E15">Common_InputFunctions.Utility_DisplayArrayInTable(CommonLivestock_SourceData.SourceData_Livestock_Common_SymbolsMMS_Data(), Table_Data_MMSSymbols[[#Headers],[Symbol]], 0)</f>
        <v>Digester / covered lagoons</v>
      </c>
      <c r="F15" s="10" t="str" cm="1">
        <f t="array" ref="F15">Common_InputFunctions.Utility_DisplayArrayInTable(CommonLivestock_SourceData.SourceData_Livestock_Common_SymbolsMMS_Data(), Table_Data_MMSSymbols[[#Headers],[Symbol]], 0)</f>
        <v>Digester / covered lagoons (m=7)</v>
      </c>
    </row>
    <row r="16" spans="1:11" ht="20.100000000000001" customHeight="1" x14ac:dyDescent="0.2">
      <c r="A16" s="16" t="str">
        <f>HYPERLINK("#'Input - Electricity'!A1", "Electricity")</f>
        <v>Electricity</v>
      </c>
      <c r="D16" s="10" t="str" cm="1">
        <f t="array" ref="D16">Common_InputFunctions.Utility_DisplayArrayInTable(CommonLivestock_SourceData.SourceData_Livestock_Common_SymbolsMMS_Data(), Table_Data_MMSSymbols[[#Headers],[Symbol]], 0)</f>
        <v>8</v>
      </c>
      <c r="E16" s="10" t="str" cm="1">
        <f t="array" ref="E16">Common_InputFunctions.Utility_DisplayArrayInTable(CommonLivestock_SourceData.SourceData_Livestock_Common_SymbolsMMS_Data(), Table_Data_MMSSymbols[[#Headers],[Symbol]], 0)</f>
        <v>Deep litter</v>
      </c>
      <c r="F16" s="10" t="str" cm="1">
        <f t="array" ref="F16">Common_InputFunctions.Utility_DisplayArrayInTable(CommonLivestock_SourceData.SourceData_Livestock_Common_SymbolsMMS_Data(), Table_Data_MMSSymbols[[#Headers],[Symbol]], 0)</f>
        <v>Deep litter (m=8)</v>
      </c>
    </row>
    <row r="17" spans="1:6" ht="20.100000000000001" customHeight="1" x14ac:dyDescent="0.2">
      <c r="D17" s="10" t="str" cm="1">
        <f t="array" ref="D17">Common_InputFunctions.Utility_DisplayArrayInTable(CommonLivestock_SourceData.SourceData_Livestock_Common_SymbolsMMS_Data(), Table_Data_MMSSymbols[[#Headers],[Symbol]], 0)</f>
        <v>9</v>
      </c>
      <c r="E17" s="10" t="str" cm="1">
        <f t="array" ref="E17">Common_InputFunctions.Utility_DisplayArrayInTable(CommonLivestock_SourceData.SourceData_Livestock_Common_SymbolsMMS_Data(), Table_Data_MMSSymbols[[#Headers],[Symbol]], 0)</f>
        <v>Pit storage</v>
      </c>
      <c r="F17" s="10" t="str" cm="1">
        <f t="array" ref="F17">Common_InputFunctions.Utility_DisplayArrayInTable(CommonLivestock_SourceData.SourceData_Livestock_Common_SymbolsMMS_Data(), Table_Data_MMSSymbols[[#Headers],[Symbol]], 0)</f>
        <v>Pit storage (m=9)</v>
      </c>
    </row>
    <row r="18" spans="1:6" ht="20.100000000000001" customHeight="1" x14ac:dyDescent="0.2">
      <c r="D18" s="10" t="str" cm="1">
        <f t="array" ref="D18">Common_InputFunctions.Utility_DisplayArrayInTable(CommonLivestock_SourceData.SourceData_Livestock_Common_SymbolsMMS_Data(), Table_Data_MMSSymbols[[#Headers],[Symbol]], 0)</f>
        <v>10</v>
      </c>
      <c r="E18" s="10" t="str" cm="1">
        <f t="array" ref="E18">Common_InputFunctions.Utility_DisplayArrayInTable(CommonLivestock_SourceData.SourceData_Livestock_Common_SymbolsMMS_Data(), Table_Data_MMSSymbols[[#Headers],[Symbol]], 0)</f>
        <v>Poultry manure with bedding</v>
      </c>
      <c r="F18" s="10" t="str" cm="1">
        <f t="array" ref="F18">Common_InputFunctions.Utility_DisplayArrayInTable(CommonLivestock_SourceData.SourceData_Livestock_Common_SymbolsMMS_Data(), Table_Data_MMSSymbols[[#Headers],[Symbol]], 0)</f>
        <v>Poultry manure with bedding (m=10)</v>
      </c>
    </row>
    <row r="19" spans="1:6" ht="20.100000000000001" customHeight="1" x14ac:dyDescent="0.2">
      <c r="A19" s="21" t="s">
        <v>77</v>
      </c>
      <c r="D19" s="10" t="str" cm="1">
        <f t="array" ref="D19">Common_InputFunctions.Utility_DisplayArrayInTable(CommonLivestock_SourceData.SourceData_Livestock_Common_SymbolsMMS_Data(), Table_Data_MMSSymbols[[#Headers],[Symbol]], 0)</f>
        <v>11</v>
      </c>
      <c r="E19" s="10" t="str" cm="1">
        <f t="array" ref="E19">Common_InputFunctions.Utility_DisplayArrayInTable(CommonLivestock_SourceData.SourceData_Livestock_Common_SymbolsMMS_Data(), Table_Data_MMSSymbols[[#Headers],[Symbol]], 0)</f>
        <v>Poultry manure without bedding</v>
      </c>
      <c r="F19" s="10" t="str" cm="1">
        <f t="array" ref="F19">Common_InputFunctions.Utility_DisplayArrayInTable(CommonLivestock_SourceData.SourceData_Livestock_Common_SymbolsMMS_Data(), Table_Data_MMSSymbols[[#Headers],[Symbol]], 0)</f>
        <v>Poultry manure without bedding (m=11)</v>
      </c>
    </row>
    <row r="20" spans="1:6" ht="20.100000000000001" customHeight="1" x14ac:dyDescent="0.2">
      <c r="A20" s="16" t="str">
        <f>HYPERLINK("#'15 Scope 3'!A1", "15 Scope 3")</f>
        <v>15 Scope 3</v>
      </c>
      <c r="D20" s="10" t="str" cm="1">
        <f t="array" ref="D20">Common_InputFunctions.Utility_DisplayArrayInTable(CommonLivestock_SourceData.SourceData_Livestock_Common_SymbolsMMS_Data(), Table_Data_MMSSymbols[[#Headers],[Symbol]], 0)</f>
        <v>11a</v>
      </c>
      <c r="E20" s="10" t="str" cm="1">
        <f t="array" ref="E20">Common_InputFunctions.Utility_DisplayArrayInTable(CommonLivestock_SourceData.SourceData_Livestock_Common_SymbolsMMS_Data(), Table_Data_MMSSymbols[[#Headers],[Symbol]], 0)</f>
        <v>Belt manure removal</v>
      </c>
      <c r="F20" s="10" t="str" cm="1">
        <f t="array" ref="F20">Common_InputFunctions.Utility_DisplayArrayInTable(CommonLivestock_SourceData.SourceData_Livestock_Common_SymbolsMMS_Data(), Table_Data_MMSSymbols[[#Headers],[Symbol]], 0)</f>
        <v>Belt manure removal (m=11a)</v>
      </c>
    </row>
    <row r="21" spans="1:6" ht="20.100000000000001" customHeight="1" x14ac:dyDescent="0.2">
      <c r="A21" s="16" t="str">
        <f>HYPERLINK("#'10.1.1-2 Solid waste treatment'!A1", "10.1.1-2 Solid waste treatment")</f>
        <v>10.1.1-2 Solid waste treatment</v>
      </c>
      <c r="D21" s="10" t="str" cm="1">
        <f t="array" ref="D21">Common_InputFunctions.Utility_DisplayArrayInTable(CommonLivestock_SourceData.SourceData_Livestock_Common_SymbolsMMS_Data(), Table_Data_MMSSymbols[[#Headers],[Symbol]], 0)</f>
        <v>11b</v>
      </c>
      <c r="E21" s="10" t="str" cm="1">
        <f t="array" ref="E21">Common_InputFunctions.Utility_DisplayArrayInTable(CommonLivestock_SourceData.SourceData_Livestock_Common_SymbolsMMS_Data(), Table_Data_MMSSymbols[[#Headers],[Symbol]], 0)</f>
        <v>Manure stored in house</v>
      </c>
      <c r="F21" s="10" t="str" cm="1">
        <f t="array" ref="F21">Common_InputFunctions.Utility_DisplayArrayInTable(CommonLivestock_SourceData.SourceData_Livestock_Common_SymbolsMMS_Data(), Table_Data_MMSSymbols[[#Headers],[Symbol]], 0)</f>
        <v>Manure stored in house (m=11b)</v>
      </c>
    </row>
    <row r="22" spans="1:6" ht="20.100000000000001" customHeight="1" x14ac:dyDescent="0.2">
      <c r="A22" s="16" t="str">
        <f>HYPERLINK("#'Calcs - Manure sent off-site'!A1", "Calcs - Manure sent off-site")</f>
        <v>Calcs - Manure sent off-site</v>
      </c>
      <c r="D22" s="10" t="str" cm="1">
        <f t="array" ref="D22">Common_InputFunctions.Utility_DisplayArrayInTable(CommonLivestock_SourceData.SourceData_Livestock_Common_SymbolsMMS_Data(), Table_Data_MMSSymbols[[#Headers],[Symbol]], 0)</f>
        <v>12</v>
      </c>
      <c r="E22" s="10" t="str" cm="1">
        <f t="array" ref="E22">Common_InputFunctions.Utility_DisplayArrayInTable(CommonLivestock_SourceData.SourceData_Livestock_Common_SymbolsMMS_Data(), Table_Data_MMSSymbols[[#Headers],[Symbol]], 0)</f>
        <v>Direct processing</v>
      </c>
      <c r="F22" s="10" t="str" cm="1">
        <f t="array" ref="F22">Common_InputFunctions.Utility_DisplayArrayInTable(CommonLivestock_SourceData.SourceData_Livestock_Common_SymbolsMMS_Data(), Table_Data_MMSSymbols[[#Headers],[Symbol]], 0)</f>
        <v>Direct processing (m=12)</v>
      </c>
    </row>
    <row r="23" spans="1:6" ht="20.100000000000001" customHeight="1" x14ac:dyDescent="0.2">
      <c r="A23" s="16" t="str">
        <f>HYPERLINK("#'8.1.1.1-2 Transport fuel'!A1", "8.1.1.1-2 Transport fuel")</f>
        <v>8.1.1.1-2 Transport fuel</v>
      </c>
      <c r="D23" s="10" t="str" cm="1">
        <f t="array" ref="D23">Common_InputFunctions.Utility_DisplayArrayInTable(CommonLivestock_SourceData.SourceData_Livestock_Common_SymbolsMMS_Data(), Table_Data_MMSSymbols[[#Headers],[Symbol]], 0)</f>
        <v>13</v>
      </c>
      <c r="E23" s="10" t="str" cm="1">
        <f t="array" ref="E23">Common_InputFunctions.Utility_DisplayArrayInTable(CommonLivestock_SourceData.SourceData_Livestock_Common_SymbolsMMS_Data(), Table_Data_MMSSymbols[[#Headers],[Symbol]], 0)</f>
        <v>Direct application</v>
      </c>
      <c r="F23" s="10" t="str" cm="1">
        <f t="array" ref="F23">Common_InputFunctions.Utility_DisplayArrayInTable(CommonLivestock_SourceData.SourceData_Livestock_Common_SymbolsMMS_Data(), Table_Data_MMSSymbols[[#Headers],[Symbol]], 0)</f>
        <v>Direct application (m=13)</v>
      </c>
    </row>
    <row r="24" spans="1:6" ht="20.100000000000001" customHeight="1" x14ac:dyDescent="0.2">
      <c r="A24" s="16" t="str">
        <f>HYPERLINK("#'8.2.1.1-2 Stationary fuel'!A1", "8.2.1.1-2 Stationary fuel")</f>
        <v>8.2.1.1-2 Stationary fuel</v>
      </c>
      <c r="D24" s="10" t="str" cm="1">
        <f t="array" ref="D24">Common_InputFunctions.Utility_DisplayArrayInTable(CommonLivestock_SourceData.SourceData_Livestock_Common_SymbolsMMS_Data(), Table_Data_MMSSymbols[[#Headers],[Symbol]], 0)</f>
        <v>14</v>
      </c>
      <c r="E24" s="10" t="str" cm="1">
        <f t="array" ref="E24">Common_InputFunctions.Utility_DisplayArrayInTable(CommonLivestock_SourceData.SourceData_Livestock_Common_SymbolsMMS_Data(), Table_Data_MMSSymbols[[#Headers],[Symbol]], 0)</f>
        <v>Pasture range and paddock</v>
      </c>
      <c r="F24" s="10" t="str" cm="1">
        <f t="array" ref="F24">Common_InputFunctions.Utility_DisplayArrayInTable(CommonLivestock_SourceData.SourceData_Livestock_Common_SymbolsMMS_Data(), Table_Data_MMSSymbols[[#Headers],[Symbol]], 0)</f>
        <v>Pasture range and paddock (m=14)</v>
      </c>
    </row>
    <row r="26" spans="1:6" ht="20.100000000000001" customHeight="1" x14ac:dyDescent="0.2">
      <c r="D26" s="9" t="str" cm="1">
        <f t="array" ref="D26">CommonLivestock_SourceData.SourceData_Livestock_Product_BeefCattle_Title()</f>
        <v>Beef cattle products for scope 3</v>
      </c>
    </row>
    <row r="27" spans="1:6" ht="20.100000000000001" customHeight="1" x14ac:dyDescent="0.2">
      <c r="A27" s="213" t="s">
        <v>78</v>
      </c>
      <c r="D27" s="11" t="str" cm="1">
        <f t="array" ref="D27">CommonLivestock_SourceData.SourceData_Livestock_Product_BeefCattle_Source()</f>
        <v>Lifecycles. (2026). Greenhouse Gas Emission Intensities for Material Inputs to Australian Agriculture, Fisheries and Forestry. Version 48. doi 10.5281/zenodo.19656580</v>
      </c>
    </row>
    <row r="28" spans="1:6" ht="20.100000000000001" customHeight="1" x14ac:dyDescent="0.2">
      <c r="A28" s="16" t="str">
        <f>HYPERLINK("#'Constants - Scope 3'!A1", "Constants - Scope 3")</f>
        <v>Constants - Scope 3</v>
      </c>
      <c r="D28" s="10" t="s">
        <v>212</v>
      </c>
      <c r="E28" s="10" t="s">
        <v>325</v>
      </c>
      <c r="F28" s="8" t="s">
        <v>326</v>
      </c>
    </row>
    <row r="29" spans="1:6" ht="20.100000000000001" customHeight="1" x14ac:dyDescent="0.2">
      <c r="A29" s="16" t="str">
        <f>HYPERLINK("#'Constants - Solid Waste'!A1", "Constants - Solid Waste")</f>
        <v>Constants - Solid Waste</v>
      </c>
      <c r="D29" s="10" t="str" cm="1">
        <f t="array" ref="D29">Common_InputFunctions.Utility_DisplayArrayInTable(CommonLivestock_SourceData.SourceData_Livestock_Product_BeefCattle_Data(),Table_SourceData_LivestockProduct_Beefcattle[[#Headers],[Product]],0)</f>
        <v>Cattle, for manufacturing beef</v>
      </c>
      <c r="E29" s="10" t="str" cm="1">
        <f t="array" ref="E29">Common_InputFunctions.Utility_DisplayArrayInTable(CommonLivestock_SourceData.SourceData_Livestock_Product_BeefCattle_Data(),Table_SourceData_LivestockProduct_Beefcattle[[#Headers],[Product]],0)</f>
        <v>Australia</v>
      </c>
    </row>
    <row r="30" spans="1:6" ht="20.100000000000001" customHeight="1" x14ac:dyDescent="0.2">
      <c r="A30" s="16" t="str">
        <f>HYPERLINK("#'Constants - Fuel'!A1", "Constants - Fuel")</f>
        <v>Constants - Fuel</v>
      </c>
      <c r="D30" s="8" t="str" cm="1">
        <f t="array" ref="D30">Common_InputFunctions.Utility_DisplayArrayInTable(CommonLivestock_SourceData.SourceData_Livestock_Product_BeefCattle_Data(),Table_SourceData_LivestockProduct_Beefcattle[[#Headers],[Product]],0)</f>
        <v>Cattle, for prime beef</v>
      </c>
      <c r="E30" s="10" t="str" cm="1">
        <f t="array" ref="E30">Common_InputFunctions.Utility_DisplayArrayInTable(CommonLivestock_SourceData.SourceData_Livestock_Product_BeefCattle_Data(),Table_SourceData_LivestockProduct_Beefcattle[[#Headers],[Product]],0)</f>
        <v>NSW</v>
      </c>
    </row>
    <row r="31" spans="1:6" ht="20.100000000000001" customHeight="1" x14ac:dyDescent="0.2">
      <c r="A31" s="16" t="str">
        <f>HYPERLINK("#'Constants - Poultry'!A1", "Constants - Poultry")</f>
        <v>Constants - Poultry</v>
      </c>
      <c r="D31" s="8" t="str" cm="1">
        <f t="array" ref="D31">Common_InputFunctions.Utility_DisplayArrayInTable(CommonLivestock_SourceData.SourceData_Livestock_Product_BeefCattle_Data(),Table_SourceData_LivestockProduct_Beefcattle[[#Headers],[Product]],0)</f>
        <v>Cattle, weaners</v>
      </c>
      <c r="E31" s="10" t="str" cm="1">
        <f t="array" ref="E31">Common_InputFunctions.Utility_DisplayArrayInTable(CommonLivestock_SourceData.SourceData_Livestock_Product_BeefCattle_Data(),Table_SourceData_LivestockProduct_Beefcattle[[#Headers],[Product]],0)</f>
        <v>NT</v>
      </c>
    </row>
    <row r="32" spans="1:6" ht="20.100000000000001" customHeight="1" x14ac:dyDescent="0.2">
      <c r="A32" s="16" t="str">
        <f>HYPERLINK("#'Constants - Swine'!A1", "Constants - Swine")</f>
        <v>Constants - Swine</v>
      </c>
      <c r="D32" s="8" t="str" cm="1">
        <f t="array" ref="D32">Common_InputFunctions.Utility_DisplayArrayInTable(CommonLivestock_SourceData.SourceData_Livestock_Product_BeefCattle_Data(),Table_SourceData_LivestockProduct_Beefcattle[[#Headers],[Product]],0)</f>
        <v/>
      </c>
      <c r="E32" s="10" t="str" cm="1">
        <f t="array" ref="E32">Common_InputFunctions.Utility_DisplayArrayInTable(CommonLivestock_SourceData.SourceData_Livestock_Product_BeefCattle_Data(),Table_SourceData_LivestockProduct_Beefcattle[[#Headers],[Product]],0)</f>
        <v>QLD</v>
      </c>
    </row>
    <row r="33" spans="1:6" ht="20.100000000000001" customHeight="1" x14ac:dyDescent="0.2">
      <c r="A33" s="16" t="str">
        <f>HYPERLINK("#'Constants - Dairy'!A1", "Constants - Dairy")</f>
        <v>Constants - Dairy</v>
      </c>
      <c r="D33" s="8" t="str" cm="1">
        <f t="array" ref="D33">Common_InputFunctions.Utility_DisplayArrayInTable(CommonLivestock_SourceData.SourceData_Livestock_Product_BeefCattle_Data(),Table_SourceData_LivestockProduct_Beefcattle[[#Headers],[Product]],0)</f>
        <v/>
      </c>
      <c r="E33" s="10" t="str" cm="1">
        <f t="array" ref="E33">Common_InputFunctions.Utility_DisplayArrayInTable(CommonLivestock_SourceData.SourceData_Livestock_Product_BeefCattle_Data(),Table_SourceData_LivestockProduct_Beefcattle[[#Headers],[Product]],0)</f>
        <v>SA</v>
      </c>
    </row>
    <row r="34" spans="1:6" ht="20.100000000000001" customHeight="1" x14ac:dyDescent="0.2">
      <c r="A34" s="16" t="str">
        <f>HYPERLINK("#'Constants - Pasture Beef'!A1", "Constants - Pasture Beef")</f>
        <v>Constants - Pasture Beef</v>
      </c>
      <c r="D34" s="8" t="str" cm="1">
        <f t="array" ref="D34">Common_InputFunctions.Utility_DisplayArrayInTable(CommonLivestock_SourceData.SourceData_Livestock_Product_BeefCattle_Data(),Table_SourceData_LivestockProduct_Beefcattle[[#Headers],[Product]],0)</f>
        <v/>
      </c>
      <c r="E34" s="10" t="str" cm="1">
        <f t="array" ref="E34">Common_InputFunctions.Utility_DisplayArrayInTable(CommonLivestock_SourceData.SourceData_Livestock_Product_BeefCattle_Data(),Table_SourceData_LivestockProduct_Beefcattle[[#Headers],[Product]],0)</f>
        <v>TAS</v>
      </c>
    </row>
    <row r="35" spans="1:6" ht="20.100000000000001" customHeight="1" x14ac:dyDescent="0.2">
      <c r="A35" s="23" t="str">
        <f>HYPERLINK("#'Constants - Common Livestock'!A1", "Constants - Common Livestock")</f>
        <v>Constants - Common Livestock</v>
      </c>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VIC</v>
      </c>
    </row>
    <row r="36" spans="1:6" ht="20.100000000000001" customHeight="1" x14ac:dyDescent="0.2">
      <c r="A36" s="16" t="str">
        <f>HYPERLINK("#'Constants - Fertiliser'!A1", "Constants - Fertiliser")</f>
        <v>Constants - Fertiliser</v>
      </c>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WA</v>
      </c>
    </row>
    <row r="37" spans="1:6" ht="20.100000000000001" customHeight="1" x14ac:dyDescent="0.2">
      <c r="A37" s="16" t="str">
        <f>HYPERLINK("#'Constants - Electricity'!A1", "Constants - Electricity")</f>
        <v>Constants - Electricity</v>
      </c>
    </row>
    <row r="38" spans="1:6" ht="20.100000000000001" customHeight="1" x14ac:dyDescent="0.2">
      <c r="A38" s="16" t="str">
        <f>HYPERLINK("#'Constants - Common'!A1", "Constants - Common")</f>
        <v>Constants - Common</v>
      </c>
      <c r="D38" s="9" t="str" cm="1">
        <f t="array" ref="D38">CommonLivestock_SourceData.SourceData_Livestock_Product_Sheep_Title()</f>
        <v>Sheep products for scope 3</v>
      </c>
    </row>
    <row r="39" spans="1:6" ht="20.100000000000001" customHeight="1" x14ac:dyDescent="0.2">
      <c r="D39" s="11" t="str" cm="1">
        <f t="array" ref="D39">CommonLivestock_SourceData.SourceData_Livestock_Product_Sheep_Source()</f>
        <v>Lifecycles. (2026). Greenhouse Gas Emission Intensities for Material Inputs to Australian Agriculture, Fisheries and Forestry. Version 48. doi 10.5281/zenodo.19656580</v>
      </c>
    </row>
    <row r="40" spans="1:6" ht="20.100000000000001" customHeight="1" x14ac:dyDescent="0.2">
      <c r="D40" s="10" t="s">
        <v>212</v>
      </c>
      <c r="E40" s="10" t="s">
        <v>325</v>
      </c>
      <c r="F40" s="8" t="s">
        <v>327</v>
      </c>
    </row>
    <row r="41" spans="1:6" ht="20.100000000000001" customHeight="1" x14ac:dyDescent="0.2">
      <c r="D41" s="10" t="str" cm="1">
        <f t="array" ref="D41">Common_InputFunctions.Utility_DisplayArrayInTable(CommonLivestock_SourceData.SourceData_Livestock_Product_Sheep_Data(),Table_SourceData_LivestockProduct_Sheep[[#Headers],[Product]],0)</f>
        <v>Sheep, for mutton</v>
      </c>
      <c r="E41" s="10" t="str" cm="1">
        <f t="array" ref="E41">Common_InputFunctions.Utility_DisplayArrayInTable(CommonLivestock_SourceData.SourceData_Livestock_Product_Sheep_Data(),Table_SourceData_LivestockProduct_Sheep[[#Headers],[Product]],0)</f>
        <v>Australia</v>
      </c>
    </row>
    <row r="42" spans="1:6" ht="20.100000000000001" customHeight="1" x14ac:dyDescent="0.2">
      <c r="D42" s="10" t="str" cm="1">
        <f t="array" ref="D42">Common_InputFunctions.Utility_DisplayArrayInTable(CommonLivestock_SourceData.SourceData_Livestock_Product_Sheep_Data(),Table_SourceData_LivestockProduct_Sheep[[#Headers],[Product]],0)</f>
        <v>Sheep, for prime lamb</v>
      </c>
      <c r="E42" s="10" t="str" cm="1">
        <f t="array" ref="E42">Common_InputFunctions.Utility_DisplayArrayInTable(CommonLivestock_SourceData.SourceData_Livestock_Product_Sheep_Data(),Table_SourceData_LivestockProduct_Sheep[[#Headers],[Product]],0)</f>
        <v>NSW</v>
      </c>
    </row>
    <row r="43" spans="1:6" ht="20.100000000000001" customHeight="1" x14ac:dyDescent="0.2">
      <c r="D43" s="10" t="str" cm="1">
        <f t="array" ref="D43">Common_InputFunctions.Utility_DisplayArrayInTable(CommonLivestock_SourceData.SourceData_Livestock_Product_Sheep_Data(),Table_SourceData_LivestockProduct_Sheep[[#Headers],[Product]],0)</f>
        <v/>
      </c>
      <c r="E43" s="10" t="str" cm="1">
        <f t="array" ref="E43">Common_InputFunctions.Utility_DisplayArrayInTable(CommonLivestock_SourceData.SourceData_Livestock_Product_Sheep_Data(),Table_SourceData_LivestockProduct_Sheep[[#Headers],[Product]],0)</f>
        <v>QLD</v>
      </c>
    </row>
    <row r="44" spans="1:6" ht="20.100000000000001" customHeight="1" x14ac:dyDescent="0.2">
      <c r="D44" s="10" t="str" cm="1">
        <f t="array" ref="D44">Common_InputFunctions.Utility_DisplayArrayInTable(CommonLivestock_SourceData.SourceData_Livestock_Product_Sheep_Data(),Table_SourceData_LivestockProduct_Sheep[[#Headers],[Product]],0)</f>
        <v/>
      </c>
      <c r="E44" s="10" t="str" cm="1">
        <f t="array" ref="E44">Common_InputFunctions.Utility_DisplayArrayInTable(CommonLivestock_SourceData.SourceData_Livestock_Product_Sheep_Data(),Table_SourceData_LivestockProduct_Sheep[[#Headers],[Product]],0)</f>
        <v>SA</v>
      </c>
    </row>
    <row r="45" spans="1:6" ht="20.100000000000001" customHeight="1" x14ac:dyDescent="0.2">
      <c r="D45" s="10" t="str" cm="1">
        <f t="array" ref="D45">Common_InputFunctions.Utility_DisplayArrayInTable(CommonLivestock_SourceData.SourceData_Livestock_Product_Sheep_Data(),Table_SourceData_LivestockProduct_Sheep[[#Headers],[Product]],0)</f>
        <v/>
      </c>
      <c r="E45" s="10" t="str" cm="1">
        <f t="array" ref="E45">Common_InputFunctions.Utility_DisplayArrayInTable(CommonLivestock_SourceData.SourceData_Livestock_Product_Sheep_Data(),Table_SourceData_LivestockProduct_Sheep[[#Headers],[Product]],0)</f>
        <v>TAS</v>
      </c>
    </row>
    <row r="46" spans="1:6" ht="20.100000000000001" customHeight="1" x14ac:dyDescent="0.2">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VIC</v>
      </c>
    </row>
    <row r="47" spans="1:6" ht="20.100000000000001" customHeight="1" x14ac:dyDescent="0.2">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WA</v>
      </c>
    </row>
    <row r="49" spans="4:6" ht="20.100000000000001" customHeight="1" x14ac:dyDescent="0.2">
      <c r="D49" s="9" t="str" cm="1">
        <f t="array" ref="D49">CommonLivestock_SourceData.SourceData_Livestock_Product_Chickens_Title()</f>
        <v>Chickens products for scope 3</v>
      </c>
    </row>
    <row r="50" spans="4:6" ht="20.100000000000001" customHeight="1" x14ac:dyDescent="0.2">
      <c r="D50" s="11" t="str" cm="1">
        <f t="array" ref="D50">CommonLivestock_SourceData.SourceData_Livestock_Product_Chickens_Source()</f>
        <v>Lifecycles. (2026). Greenhouse Gas Emission Intensities for Material Inputs to Australian Agriculture, Fisheries and Forestry. Version 48. doi 10.5281/zenodo.19656580</v>
      </c>
    </row>
    <row r="51" spans="4:6" ht="20.100000000000001" customHeight="1" x14ac:dyDescent="0.2">
      <c r="D51" s="10" t="s">
        <v>212</v>
      </c>
      <c r="E51" s="10" t="s">
        <v>325</v>
      </c>
      <c r="F51" s="8" t="s">
        <v>333</v>
      </c>
    </row>
    <row r="52" spans="4:6" ht="20.100000000000001" customHeight="1" x14ac:dyDescent="0.2">
      <c r="D52" s="10" t="str" cm="1">
        <f t="array" ref="D52">Common_InputFunctions.Utility_DisplayArrayInTable(CommonLivestock_SourceData.SourceData_Livestock_Product_Chickens_Data(),Table_SourceData_LivestockProduct_Chickens[[#Headers],[Product]],0)</f>
        <v>Chickens</v>
      </c>
      <c r="E52" s="10" t="str" cm="1">
        <f t="array" ref="E52">Common_InputFunctions.Utility_DisplayArrayInTable(CommonLivestock_SourceData.SourceData_Livestock_Product_Chickens_Data(),Table_SourceData_LivestockProduct_Chickens[[#Headers],[Product]],0)</f>
        <v>Australia</v>
      </c>
    </row>
    <row r="54" spans="4:6" ht="20.100000000000001" customHeight="1" x14ac:dyDescent="0.2">
      <c r="D54" s="9" t="str" cm="1">
        <f t="array" ref="D54">CommonLivestock_SourceData.SourceData_Livestock_Product_Dairycattle_Title()</f>
        <v>Dairy cattle products for scope 3</v>
      </c>
    </row>
    <row r="55" spans="4:6" ht="20.100000000000001" customHeight="1" x14ac:dyDescent="0.2">
      <c r="D55" s="11" t="str" cm="1">
        <f t="array" ref="D55">CommonLivestock_SourceData.SourceData_Livestock_Product_Dairycattle_Source()</f>
        <v>Lifecycles. (2026). Greenhouse Gas Emission Intensities for Material Inputs to Australian Agriculture, Fisheries and Forestry. Version 48. doi 10.5281/zenodo.19656580</v>
      </c>
    </row>
    <row r="56" spans="4:6" ht="20.100000000000001" customHeight="1" x14ac:dyDescent="0.2">
      <c r="D56" s="10" t="s">
        <v>212</v>
      </c>
      <c r="E56" s="10" t="s">
        <v>325</v>
      </c>
      <c r="F56" s="8" t="s">
        <v>334</v>
      </c>
    </row>
    <row r="57" spans="4:6" ht="20.100000000000001" customHeight="1" x14ac:dyDescent="0.2">
      <c r="D57" s="10" t="str" cm="1">
        <f t="array" ref="D57">Common_InputFunctions.Utility_DisplayArrayInTable(CommonLivestock_SourceData.SourceData_Livestock_Product_Dairycattle_Data(),Table_SourceData_LivestockProduct_Dairycattle[[#Headers],[Product]],0)</f>
        <v>Dairy cows</v>
      </c>
      <c r="E57" s="10" t="str" cm="1">
        <f t="array" ref="E57">Common_InputFunctions.Utility_DisplayArrayInTable(CommonLivestock_SourceData.SourceData_Livestock_Product_Dairycattle_Data(),Table_SourceData_LivestockProduct_Dairycattle[[#Headers],[Product]],0)</f>
        <v>VIC</v>
      </c>
    </row>
    <row r="59" spans="4:6" ht="20.100000000000001" customHeight="1" x14ac:dyDescent="0.2">
      <c r="D59" s="9" t="str" cm="1">
        <f t="array" ref="D59">CommonLivestock_SourceData.SourceData_Livestock_Product_Pigs_Title()</f>
        <v>Pigs products for scope 3</v>
      </c>
    </row>
    <row r="60" spans="4:6" ht="20.100000000000001" customHeight="1" x14ac:dyDescent="0.2">
      <c r="D60" s="11" t="str" cm="1">
        <f t="array" ref="D60">CommonLivestock_SourceData.SourceData_Livestock_Product_Pigs_Source()</f>
        <v>Lifecycles. (2026). Greenhouse Gas Emission Intensities for Material Inputs to Australian Agriculture, Fisheries and Forestry. Version 48. doi 10.5281/zenodo.19656580</v>
      </c>
    </row>
    <row r="61" spans="4:6" ht="20.100000000000001" customHeight="1" x14ac:dyDescent="0.2">
      <c r="D61" s="10" t="s">
        <v>212</v>
      </c>
      <c r="E61" s="10" t="s">
        <v>325</v>
      </c>
      <c r="F61" s="8" t="s">
        <v>335</v>
      </c>
    </row>
    <row r="62" spans="4:6" ht="20.100000000000001" customHeight="1" x14ac:dyDescent="0.2">
      <c r="D62" s="10" t="str" cm="1">
        <f t="array" ref="D62">Common_InputFunctions.Utility_DisplayArrayInTable(CommonLivestock_SourceData.SourceData_Livestock_Product_Pigs_Data(),Table_SourceData_LivestockProduct_Pigs[[#Headers],[Product]],0)</f>
        <v>Pigs</v>
      </c>
      <c r="E62" s="10" t="str" cm="1">
        <f t="array" ref="E62">Common_InputFunctions.Utility_DisplayArrayInTable(CommonLivestock_SourceData.SourceData_Livestock_Product_Pigs_Data(),Table_SourceData_LivestockProduct_Pigs[[#Headers],[Product]],0)</f>
        <v>Australia</v>
      </c>
    </row>
    <row r="65" spans="12:17" ht="20.100000000000001" customHeight="1" x14ac:dyDescent="0.2">
      <c r="L65" s="8"/>
      <c r="M65" s="8"/>
      <c r="N65" s="8"/>
      <c r="O65" s="8"/>
      <c r="P65" s="8"/>
      <c r="Q65" s="8"/>
    </row>
    <row r="66" spans="12:17" ht="20.100000000000001" customHeight="1" x14ac:dyDescent="0.2">
      <c r="L66" s="8"/>
      <c r="M66" s="8"/>
      <c r="N66" s="8"/>
      <c r="O66" s="8"/>
      <c r="P66" s="8"/>
      <c r="Q66" s="8"/>
    </row>
    <row r="67" spans="12:17" ht="20.100000000000001" customHeight="1" x14ac:dyDescent="0.2">
      <c r="L67" s="8"/>
      <c r="M67" s="8"/>
      <c r="N67" s="8"/>
      <c r="O67" s="8"/>
      <c r="P67" s="8"/>
      <c r="Q67" s="8"/>
    </row>
    <row r="68" spans="12:17" ht="20.100000000000001" customHeight="1" x14ac:dyDescent="0.2">
      <c r="L68" s="8"/>
      <c r="M68" s="8"/>
      <c r="N68" s="8"/>
      <c r="O68" s="8"/>
      <c r="P68" s="8"/>
      <c r="Q68" s="8"/>
    </row>
    <row r="69" spans="12:17" ht="20.100000000000001" customHeight="1" x14ac:dyDescent="0.2">
      <c r="L69" s="8"/>
      <c r="M69" s="8"/>
      <c r="N69" s="8"/>
      <c r="O69" s="8"/>
      <c r="P69" s="8"/>
      <c r="Q69" s="8"/>
    </row>
    <row r="70" spans="12:17" ht="20.100000000000001" customHeight="1" x14ac:dyDescent="0.2">
      <c r="L70" s="8"/>
      <c r="M70" s="8"/>
      <c r="N70" s="8"/>
      <c r="O70" s="8"/>
      <c r="P70" s="8"/>
      <c r="Q70" s="8"/>
    </row>
    <row r="71" spans="12:17" ht="20.100000000000001" customHeight="1" x14ac:dyDescent="0.2">
      <c r="L71" s="8"/>
      <c r="M71" s="8"/>
      <c r="N71" s="8"/>
      <c r="O71" s="8"/>
      <c r="P71" s="8"/>
      <c r="Q71" s="8"/>
    </row>
    <row r="72" spans="12:17" ht="20.100000000000001" customHeight="1" x14ac:dyDescent="0.2">
      <c r="L72" s="8"/>
      <c r="M72" s="8"/>
      <c r="N72" s="8"/>
      <c r="O72" s="8"/>
      <c r="P72" s="8"/>
      <c r="Q72" s="8"/>
    </row>
    <row r="73" spans="12:17" ht="20.100000000000001" customHeight="1" x14ac:dyDescent="0.2">
      <c r="L73" s="8"/>
      <c r="M73" s="8"/>
      <c r="N73" s="8"/>
      <c r="O73" s="8"/>
      <c r="P73" s="8"/>
      <c r="Q73" s="8"/>
    </row>
    <row r="74" spans="12:17" ht="20.100000000000001" customHeight="1" x14ac:dyDescent="0.2">
      <c r="L74" s="8"/>
      <c r="M74" s="8"/>
      <c r="N74" s="8"/>
      <c r="O74" s="8"/>
      <c r="P74" s="8"/>
      <c r="Q74" s="8"/>
    </row>
    <row r="75" spans="12:17" ht="20.100000000000001" customHeight="1" x14ac:dyDescent="0.2">
      <c r="L75" s="8"/>
      <c r="M75" s="8"/>
      <c r="N75" s="8"/>
      <c r="O75" s="8"/>
      <c r="P75" s="8"/>
      <c r="Q75" s="8"/>
    </row>
    <row r="76" spans="12:17" ht="20.100000000000001" customHeight="1" x14ac:dyDescent="0.2">
      <c r="L76" s="8"/>
      <c r="M76" s="8"/>
      <c r="N76" s="8"/>
      <c r="O76" s="8"/>
      <c r="P76" s="8"/>
      <c r="Q76" s="8"/>
    </row>
    <row r="77" spans="12:17" ht="20.100000000000001" customHeight="1" x14ac:dyDescent="0.2">
      <c r="L77" s="8"/>
      <c r="M77" s="8"/>
      <c r="N77" s="8"/>
      <c r="O77" s="8"/>
      <c r="P77" s="8"/>
      <c r="Q77" s="8"/>
    </row>
    <row r="78" spans="12:17" ht="20.100000000000001" customHeight="1" x14ac:dyDescent="0.2">
      <c r="L78" s="8"/>
      <c r="M78" s="8"/>
      <c r="N78" s="8"/>
      <c r="O78" s="8"/>
      <c r="P78" s="8"/>
      <c r="Q78" s="8"/>
    </row>
    <row r="79" spans="12:17" ht="20.100000000000001" customHeight="1" x14ac:dyDescent="0.2">
      <c r="L79" s="8"/>
      <c r="M79" s="8"/>
      <c r="N79" s="8"/>
      <c r="O79" s="8"/>
      <c r="P79" s="8"/>
      <c r="Q79" s="8"/>
    </row>
    <row r="80" spans="12:17" ht="20.100000000000001" customHeight="1" x14ac:dyDescent="0.2">
      <c r="L80" s="8"/>
      <c r="M80" s="8"/>
      <c r="N80" s="8"/>
      <c r="O80" s="8"/>
      <c r="P80" s="8"/>
      <c r="Q80" s="8"/>
    </row>
    <row r="81" spans="12:17" ht="20.100000000000001" customHeight="1" x14ac:dyDescent="0.2">
      <c r="L81" s="8"/>
      <c r="M81" s="8"/>
      <c r="N81" s="8"/>
      <c r="O81" s="8"/>
      <c r="P81" s="8"/>
      <c r="Q81" s="8"/>
    </row>
    <row r="82" spans="12:17" ht="20.100000000000001" customHeight="1" x14ac:dyDescent="0.2">
      <c r="L82" s="8"/>
      <c r="M82" s="8"/>
      <c r="N82" s="8"/>
      <c r="O82" s="8"/>
      <c r="P82" s="8"/>
      <c r="Q82" s="8"/>
    </row>
    <row r="83" spans="12:17" ht="20.100000000000001" customHeight="1" x14ac:dyDescent="0.2">
      <c r="L83" s="8"/>
      <c r="M83" s="8"/>
      <c r="N83" s="8"/>
      <c r="O83" s="8"/>
      <c r="P83" s="8"/>
      <c r="Q83" s="8"/>
    </row>
    <row r="84" spans="12:17" ht="20.100000000000001" customHeight="1" x14ac:dyDescent="0.2">
      <c r="L84" s="8"/>
      <c r="M84" s="8"/>
      <c r="N84" s="8"/>
      <c r="O84" s="8"/>
      <c r="P84" s="8"/>
      <c r="Q84" s="8"/>
    </row>
    <row r="85" spans="12:17" ht="20.100000000000001" customHeight="1" x14ac:dyDescent="0.2">
      <c r="L85" s="8"/>
      <c r="M85" s="8"/>
      <c r="N85" s="8"/>
      <c r="O85" s="8"/>
      <c r="P85" s="8"/>
      <c r="Q85" s="8"/>
    </row>
    <row r="86" spans="12:17" ht="20.100000000000001" customHeight="1" x14ac:dyDescent="0.2">
      <c r="L86" s="8"/>
      <c r="M86" s="8"/>
      <c r="N86" s="8"/>
      <c r="O86" s="8"/>
      <c r="P86" s="8"/>
      <c r="Q86" s="8"/>
    </row>
    <row r="87" spans="12:17" ht="20.100000000000001" customHeight="1" x14ac:dyDescent="0.2">
      <c r="L87" s="8"/>
      <c r="M87" s="8"/>
      <c r="N87" s="8"/>
      <c r="O87" s="8"/>
      <c r="P87" s="8"/>
      <c r="Q87" s="8"/>
    </row>
    <row r="88" spans="12:17" ht="20.100000000000001" customHeight="1" x14ac:dyDescent="0.2">
      <c r="L88" s="8"/>
      <c r="M88" s="8"/>
      <c r="N88" s="8"/>
      <c r="O88" s="8"/>
      <c r="P88" s="8"/>
      <c r="Q88" s="8"/>
    </row>
    <row r="89" spans="12:17" ht="20.100000000000001" customHeight="1" x14ac:dyDescent="0.2">
      <c r="L89" s="8"/>
      <c r="M89" s="8"/>
      <c r="N89" s="8"/>
      <c r="O89" s="8"/>
      <c r="P89" s="8"/>
      <c r="Q89" s="8"/>
    </row>
    <row r="90" spans="12:17" ht="20.100000000000001" customHeight="1" x14ac:dyDescent="0.2">
      <c r="L90" s="8"/>
      <c r="M90" s="8"/>
      <c r="N90" s="8"/>
      <c r="O90" s="8"/>
      <c r="P90" s="8"/>
      <c r="Q90" s="8"/>
    </row>
    <row r="91" spans="12:17" ht="20.100000000000001" customHeight="1" x14ac:dyDescent="0.2">
      <c r="L91" s="8"/>
      <c r="M91" s="8"/>
      <c r="N91" s="8"/>
      <c r="O91" s="8"/>
      <c r="P91" s="8"/>
      <c r="Q91" s="8"/>
    </row>
    <row r="92" spans="12:17" ht="20.100000000000001" customHeight="1" x14ac:dyDescent="0.2">
      <c r="L92" s="8"/>
      <c r="M92" s="8"/>
      <c r="N92" s="8"/>
      <c r="O92" s="8"/>
      <c r="P92" s="8"/>
      <c r="Q92" s="8"/>
    </row>
    <row r="93" spans="12:17" ht="20.100000000000001" customHeight="1" x14ac:dyDescent="0.2">
      <c r="L93" s="8"/>
      <c r="M93" s="8"/>
      <c r="N93" s="8"/>
      <c r="O93" s="8"/>
      <c r="P93" s="8"/>
      <c r="Q93" s="8"/>
    </row>
    <row r="94" spans="12:17" ht="20.100000000000001" customHeight="1" x14ac:dyDescent="0.2">
      <c r="L94" s="8"/>
      <c r="M94" s="8"/>
      <c r="N94" s="8"/>
      <c r="O94" s="8"/>
      <c r="P94" s="8"/>
      <c r="Q94" s="8"/>
    </row>
    <row r="95" spans="12:17" ht="20.100000000000001" customHeight="1" x14ac:dyDescent="0.2">
      <c r="L95" s="8"/>
      <c r="M95" s="8"/>
      <c r="N95" s="8"/>
      <c r="O95" s="8"/>
      <c r="P95" s="8"/>
      <c r="Q95" s="8"/>
    </row>
    <row r="96" spans="12:17" ht="20.100000000000001" customHeight="1" x14ac:dyDescent="0.2">
      <c r="L96" s="8"/>
      <c r="M96" s="8"/>
      <c r="N96" s="8"/>
      <c r="O96" s="8"/>
      <c r="P96" s="8"/>
      <c r="Q96" s="8"/>
    </row>
    <row r="97" spans="12:17" ht="20.100000000000001" customHeight="1" x14ac:dyDescent="0.2">
      <c r="L97" s="8"/>
      <c r="M97" s="8"/>
      <c r="N97" s="8"/>
      <c r="O97" s="8"/>
      <c r="P97" s="8"/>
      <c r="Q97" s="8"/>
    </row>
    <row r="98" spans="12:17" ht="20.100000000000001" customHeight="1" x14ac:dyDescent="0.2">
      <c r="L98" s="8"/>
      <c r="M98" s="8"/>
      <c r="N98" s="8"/>
      <c r="O98" s="8"/>
      <c r="P98" s="8"/>
      <c r="Q98" s="8"/>
    </row>
    <row r="99" spans="12:17" ht="20.100000000000001" customHeight="1" x14ac:dyDescent="0.2">
      <c r="L99" s="8"/>
      <c r="M99" s="8"/>
      <c r="N99" s="8"/>
      <c r="O99" s="8"/>
      <c r="P99" s="8"/>
      <c r="Q99" s="8"/>
    </row>
    <row r="100" spans="12:17" ht="20.100000000000001" customHeight="1" x14ac:dyDescent="0.2">
      <c r="L100" s="8"/>
      <c r="M100" s="8"/>
      <c r="N100" s="8"/>
      <c r="O100" s="8"/>
      <c r="P100" s="8"/>
      <c r="Q100" s="8"/>
    </row>
    <row r="101" spans="12:17" ht="20.100000000000001" customHeight="1" x14ac:dyDescent="0.2">
      <c r="L101" s="8"/>
      <c r="M101" s="8"/>
      <c r="N101" s="8"/>
      <c r="O101" s="8"/>
      <c r="P101" s="8"/>
      <c r="Q101" s="8"/>
    </row>
    <row r="102" spans="12:17" ht="20.100000000000001" customHeight="1" x14ac:dyDescent="0.2">
      <c r="L102" s="8"/>
      <c r="M102" s="8"/>
      <c r="N102" s="8"/>
      <c r="O102" s="8"/>
      <c r="P102" s="8"/>
      <c r="Q102" s="8"/>
    </row>
    <row r="103" spans="12:17" ht="20.100000000000001" customHeight="1" x14ac:dyDescent="0.2">
      <c r="L103" s="8"/>
      <c r="M103" s="8"/>
      <c r="N103" s="8"/>
      <c r="O103" s="8"/>
      <c r="P103" s="8"/>
      <c r="Q103" s="8"/>
    </row>
    <row r="104" spans="12:17" ht="20.100000000000001" customHeight="1" x14ac:dyDescent="0.2">
      <c r="L104" s="8"/>
      <c r="M104" s="8"/>
      <c r="N104" s="8"/>
      <c r="O104" s="8"/>
      <c r="P104" s="8"/>
      <c r="Q104" s="8"/>
    </row>
    <row r="105" spans="12:17" ht="20.100000000000001" customHeight="1" x14ac:dyDescent="0.2">
      <c r="L105" s="8"/>
      <c r="M105" s="8"/>
      <c r="N105" s="8"/>
      <c r="O105" s="8"/>
      <c r="P105" s="8"/>
      <c r="Q105" s="8"/>
    </row>
    <row r="106" spans="12:17" ht="20.100000000000001" customHeight="1" x14ac:dyDescent="0.2">
      <c r="L106" s="8"/>
      <c r="M106" s="8"/>
      <c r="N106" s="8"/>
      <c r="O106" s="8"/>
      <c r="P106" s="8"/>
      <c r="Q106" s="8"/>
    </row>
    <row r="107" spans="12:17" ht="20.100000000000001" customHeight="1" x14ac:dyDescent="0.2">
      <c r="L107" s="8"/>
      <c r="M107" s="8"/>
      <c r="N107" s="8"/>
      <c r="O107" s="8"/>
      <c r="P107" s="8"/>
      <c r="Q107" s="8"/>
    </row>
    <row r="108" spans="12:17" ht="20.100000000000001" customHeight="1" x14ac:dyDescent="0.2">
      <c r="L108" s="8"/>
      <c r="M108" s="8"/>
      <c r="N108" s="8"/>
      <c r="O108" s="8"/>
      <c r="P108" s="8"/>
      <c r="Q108" s="8"/>
    </row>
    <row r="109" spans="12:17" ht="20.100000000000001" customHeight="1" x14ac:dyDescent="0.2">
      <c r="L109" s="8"/>
      <c r="M109" s="8"/>
      <c r="N109" s="8"/>
      <c r="O109" s="8"/>
      <c r="P109" s="8"/>
      <c r="Q109" s="8"/>
    </row>
    <row r="110" spans="12:17" ht="20.100000000000001" customHeight="1" x14ac:dyDescent="0.2">
      <c r="L110" s="8"/>
      <c r="M110" s="8"/>
      <c r="N110" s="8"/>
      <c r="O110" s="8"/>
      <c r="P110" s="8"/>
      <c r="Q110" s="8"/>
    </row>
    <row r="111" spans="12:17" ht="20.100000000000001" customHeight="1" x14ac:dyDescent="0.2">
      <c r="L111" s="8"/>
      <c r="M111" s="8"/>
      <c r="N111" s="8"/>
      <c r="O111" s="8"/>
      <c r="P111" s="8"/>
      <c r="Q111" s="8"/>
    </row>
    <row r="112" spans="12:17" ht="20.100000000000001" customHeight="1" x14ac:dyDescent="0.2">
      <c r="L112" s="8"/>
      <c r="M112" s="8"/>
      <c r="N112" s="8"/>
      <c r="O112" s="8"/>
      <c r="P112" s="8"/>
      <c r="Q112" s="8"/>
    </row>
    <row r="113" spans="12:17" ht="20.100000000000001" customHeight="1" x14ac:dyDescent="0.2">
      <c r="L113" s="8"/>
      <c r="M113" s="8"/>
      <c r="N113" s="8"/>
      <c r="O113" s="8"/>
      <c r="P113" s="8"/>
      <c r="Q113" s="8"/>
    </row>
    <row r="114" spans="12:17" ht="20.100000000000001" customHeight="1" x14ac:dyDescent="0.2">
      <c r="L114" s="8"/>
      <c r="M114" s="8"/>
      <c r="N114" s="8"/>
      <c r="O114" s="8"/>
      <c r="P114" s="8"/>
      <c r="Q114" s="8"/>
    </row>
    <row r="115" spans="12:17" ht="20.100000000000001" customHeight="1" x14ac:dyDescent="0.2">
      <c r="L115" s="8"/>
      <c r="M115" s="8"/>
      <c r="N115" s="8"/>
      <c r="O115" s="8"/>
      <c r="P115" s="8"/>
      <c r="Q115" s="8"/>
    </row>
    <row r="116" spans="12:17" ht="20.100000000000001" customHeight="1" x14ac:dyDescent="0.2">
      <c r="L116" s="8"/>
      <c r="M116" s="8"/>
      <c r="N116" s="8"/>
      <c r="O116" s="8"/>
      <c r="P116" s="8"/>
      <c r="Q116" s="8"/>
    </row>
    <row r="117" spans="12:17" ht="20.100000000000001" customHeight="1" x14ac:dyDescent="0.2">
      <c r="L117" s="8"/>
      <c r="M117" s="8"/>
      <c r="N117" s="8"/>
      <c r="O117" s="8"/>
      <c r="P117" s="8"/>
      <c r="Q117" s="8"/>
    </row>
    <row r="118" spans="12:17" ht="20.100000000000001" customHeight="1" x14ac:dyDescent="0.2">
      <c r="L118" s="8"/>
      <c r="M118" s="8"/>
      <c r="N118" s="8"/>
      <c r="O118" s="8"/>
      <c r="P118" s="8"/>
      <c r="Q118" s="8"/>
    </row>
    <row r="119" spans="12:17" ht="20.100000000000001" customHeight="1" x14ac:dyDescent="0.2">
      <c r="L119" s="8"/>
      <c r="M119" s="8"/>
      <c r="N119" s="8"/>
      <c r="O119" s="8"/>
      <c r="P119" s="8"/>
      <c r="Q119" s="8"/>
    </row>
    <row r="120" spans="12:17" ht="20.100000000000001" customHeight="1" x14ac:dyDescent="0.2">
      <c r="L120" s="8"/>
      <c r="M120" s="8"/>
      <c r="N120" s="8"/>
      <c r="O120" s="8"/>
      <c r="P120" s="8"/>
      <c r="Q120" s="8"/>
    </row>
    <row r="121" spans="12:17" ht="20.100000000000001" customHeight="1" x14ac:dyDescent="0.2">
      <c r="L121" s="8"/>
      <c r="M121" s="8"/>
      <c r="N121" s="8"/>
      <c r="O121" s="8"/>
      <c r="P121" s="8"/>
      <c r="Q121" s="8"/>
    </row>
    <row r="122" spans="12:17" ht="20.100000000000001" customHeight="1" x14ac:dyDescent="0.2">
      <c r="L122" s="8"/>
      <c r="M122" s="8"/>
      <c r="N122" s="8"/>
      <c r="O122" s="8"/>
      <c r="P122" s="8"/>
      <c r="Q122" s="8"/>
    </row>
    <row r="123" spans="12:17" ht="20.100000000000001" customHeight="1" x14ac:dyDescent="0.2">
      <c r="L123" s="8"/>
      <c r="M123" s="8"/>
      <c r="N123" s="8"/>
      <c r="O123" s="8"/>
      <c r="P123" s="8"/>
      <c r="Q123" s="8"/>
    </row>
    <row r="124" spans="12:17" ht="20.100000000000001" customHeight="1" x14ac:dyDescent="0.2">
      <c r="L124" s="8"/>
      <c r="M124" s="8"/>
      <c r="N124" s="8"/>
      <c r="O124" s="8"/>
      <c r="P124" s="8"/>
      <c r="Q124" s="8"/>
    </row>
    <row r="125" spans="12:17" ht="20.100000000000001" customHeight="1" x14ac:dyDescent="0.2">
      <c r="L125" s="8"/>
      <c r="M125" s="8"/>
      <c r="N125" s="8"/>
      <c r="O125" s="8"/>
      <c r="P125" s="8"/>
      <c r="Q125" s="8"/>
    </row>
    <row r="126" spans="12:17" ht="20.100000000000001" customHeight="1" x14ac:dyDescent="0.2">
      <c r="L126" s="8"/>
      <c r="M126" s="8"/>
      <c r="N126" s="8"/>
      <c r="O126" s="8"/>
      <c r="P126" s="8"/>
      <c r="Q126" s="8"/>
    </row>
    <row r="127" spans="12:17" ht="20.100000000000001" customHeight="1" x14ac:dyDescent="0.2">
      <c r="L127" s="8"/>
      <c r="M127" s="8"/>
      <c r="N127" s="8"/>
      <c r="O127" s="8"/>
      <c r="P127" s="8"/>
      <c r="Q127" s="8"/>
    </row>
    <row r="128" spans="12:17" ht="20.100000000000001" customHeight="1" x14ac:dyDescent="0.2">
      <c r="L128" s="8"/>
      <c r="M128" s="8"/>
      <c r="N128" s="8"/>
      <c r="O128" s="8"/>
      <c r="P128" s="8"/>
      <c r="Q128" s="8"/>
    </row>
    <row r="129" spans="12:17" ht="20.100000000000001" customHeight="1" x14ac:dyDescent="0.2">
      <c r="L129" s="8"/>
      <c r="M129" s="8"/>
      <c r="N129" s="8"/>
      <c r="O129" s="8"/>
      <c r="P129" s="8"/>
      <c r="Q129" s="8"/>
    </row>
    <row r="130" spans="12:17" ht="20.100000000000001" customHeight="1" x14ac:dyDescent="0.2">
      <c r="L130" s="8"/>
      <c r="M130" s="8"/>
      <c r="N130" s="8"/>
      <c r="O130" s="8"/>
      <c r="P130" s="8"/>
      <c r="Q130" s="8"/>
    </row>
    <row r="131" spans="12:17" ht="20.100000000000001" customHeight="1" x14ac:dyDescent="0.2">
      <c r="L131" s="8"/>
      <c r="M131" s="8"/>
      <c r="N131" s="8"/>
      <c r="O131" s="8"/>
      <c r="P131" s="8"/>
      <c r="Q131" s="8"/>
    </row>
    <row r="132" spans="12:17" ht="20.100000000000001" customHeight="1" x14ac:dyDescent="0.2">
      <c r="L132" s="8"/>
      <c r="M132" s="8"/>
      <c r="N132" s="8"/>
      <c r="O132" s="8"/>
      <c r="P132" s="8"/>
      <c r="Q132" s="8"/>
    </row>
    <row r="133" spans="12:17" ht="20.100000000000001" customHeight="1" x14ac:dyDescent="0.2">
      <c r="L133" s="8"/>
      <c r="M133" s="8"/>
      <c r="N133" s="8"/>
      <c r="O133" s="8"/>
      <c r="P133" s="8"/>
      <c r="Q133" s="8"/>
    </row>
    <row r="134" spans="12:17" ht="20.100000000000001" customHeight="1" x14ac:dyDescent="0.2">
      <c r="L134" s="8"/>
      <c r="M134" s="8"/>
      <c r="N134" s="8"/>
      <c r="O134" s="8"/>
      <c r="P134" s="8"/>
      <c r="Q134" s="8"/>
    </row>
    <row r="135" spans="12:17" ht="20.100000000000001" customHeight="1" x14ac:dyDescent="0.2">
      <c r="L135" s="8"/>
      <c r="M135" s="8"/>
      <c r="N135" s="8"/>
      <c r="O135" s="8"/>
      <c r="P135" s="8"/>
      <c r="Q135" s="8"/>
    </row>
    <row r="136" spans="12:17" ht="20.100000000000001" customHeight="1" x14ac:dyDescent="0.2">
      <c r="L136" s="8"/>
      <c r="M136" s="8"/>
      <c r="N136" s="8"/>
      <c r="O136" s="8"/>
      <c r="P136" s="8"/>
      <c r="Q136" s="8"/>
    </row>
    <row r="137" spans="12:17" ht="20.100000000000001" customHeight="1" x14ac:dyDescent="0.2">
      <c r="L137" s="8"/>
      <c r="M137" s="8"/>
      <c r="N137" s="8"/>
      <c r="O137" s="8"/>
      <c r="P137" s="8"/>
      <c r="Q137" s="8"/>
    </row>
    <row r="138" spans="12:17" ht="20.100000000000001" customHeight="1" x14ac:dyDescent="0.2">
      <c r="L138" s="8"/>
      <c r="M138" s="8"/>
      <c r="N138" s="8"/>
      <c r="O138" s="8"/>
      <c r="P138" s="8"/>
      <c r="Q138" s="8"/>
    </row>
    <row r="139" spans="12:17" ht="20.100000000000001" customHeight="1" x14ac:dyDescent="0.2">
      <c r="L139" s="8"/>
      <c r="M139" s="8"/>
      <c r="N139" s="8"/>
      <c r="O139" s="8"/>
      <c r="P139" s="8"/>
      <c r="Q139" s="8"/>
    </row>
    <row r="140" spans="12:17" ht="20.100000000000001" customHeight="1" x14ac:dyDescent="0.2">
      <c r="L140" s="8"/>
      <c r="M140" s="8"/>
      <c r="N140" s="8"/>
      <c r="O140" s="8"/>
      <c r="P140" s="8"/>
      <c r="Q140" s="8"/>
    </row>
    <row r="141" spans="12:17" ht="20.100000000000001" customHeight="1" x14ac:dyDescent="0.2">
      <c r="L141" s="8"/>
      <c r="M141" s="8"/>
      <c r="N141" s="8"/>
      <c r="O141" s="8"/>
      <c r="P141" s="8"/>
      <c r="Q141" s="8"/>
    </row>
    <row r="142" spans="12:17" ht="20.100000000000001" customHeight="1" x14ac:dyDescent="0.2">
      <c r="L142" s="8"/>
      <c r="M142" s="8"/>
      <c r="N142" s="8"/>
      <c r="O142" s="8"/>
      <c r="P142" s="8"/>
      <c r="Q142" s="8"/>
    </row>
    <row r="143" spans="12:17" ht="20.100000000000001" customHeight="1" x14ac:dyDescent="0.2">
      <c r="L143" s="8"/>
      <c r="M143" s="8"/>
      <c r="N143" s="8"/>
      <c r="O143" s="8"/>
      <c r="P143" s="8"/>
      <c r="Q143" s="8"/>
    </row>
    <row r="144" spans="12:17" ht="20.100000000000001" customHeight="1" x14ac:dyDescent="0.2">
      <c r="L144" s="8"/>
      <c r="M144" s="8"/>
      <c r="N144" s="8"/>
      <c r="O144" s="8"/>
      <c r="P144" s="8"/>
      <c r="Q144" s="8"/>
    </row>
    <row r="145" spans="12:17" ht="20.100000000000001" customHeight="1" x14ac:dyDescent="0.2">
      <c r="L145" s="8"/>
      <c r="M145" s="8"/>
      <c r="N145" s="8"/>
      <c r="O145" s="8"/>
      <c r="P145" s="8"/>
      <c r="Q145" s="8"/>
    </row>
    <row r="146" spans="12:17" ht="20.100000000000001" customHeight="1" x14ac:dyDescent="0.2">
      <c r="L146" s="8"/>
      <c r="M146" s="8"/>
      <c r="N146" s="8"/>
      <c r="O146" s="8"/>
      <c r="P146" s="8"/>
      <c r="Q146" s="8"/>
    </row>
    <row r="147" spans="12:17" ht="20.100000000000001" customHeight="1" x14ac:dyDescent="0.2">
      <c r="L147" s="8"/>
      <c r="M147" s="8"/>
      <c r="N147" s="8"/>
      <c r="O147" s="8"/>
      <c r="P147" s="8"/>
      <c r="Q147" s="8"/>
    </row>
    <row r="148" spans="12:17" ht="20.100000000000001" customHeight="1" x14ac:dyDescent="0.2">
      <c r="L148" s="8"/>
      <c r="M148" s="8"/>
      <c r="N148" s="8"/>
      <c r="O148" s="8"/>
      <c r="P148" s="8"/>
      <c r="Q148" s="8"/>
    </row>
    <row r="149" spans="12:17" ht="20.100000000000001" customHeight="1" x14ac:dyDescent="0.2">
      <c r="L149" s="8"/>
      <c r="M149" s="8"/>
      <c r="N149" s="8"/>
      <c r="O149" s="8"/>
      <c r="P149" s="8"/>
      <c r="Q149" s="8"/>
    </row>
    <row r="150" spans="12:17" ht="20.100000000000001" customHeight="1" x14ac:dyDescent="0.2">
      <c r="L150" s="8"/>
      <c r="M150" s="8"/>
      <c r="N150" s="8"/>
      <c r="O150" s="8"/>
      <c r="P150" s="8"/>
      <c r="Q150" s="8"/>
    </row>
    <row r="151" spans="12:17" ht="20.100000000000001" customHeight="1" x14ac:dyDescent="0.2">
      <c r="L151" s="8"/>
      <c r="M151" s="8"/>
      <c r="N151" s="8"/>
      <c r="O151" s="8"/>
      <c r="P151" s="8"/>
      <c r="Q151" s="8"/>
    </row>
    <row r="152" spans="12:17" ht="20.100000000000001" customHeight="1" x14ac:dyDescent="0.2">
      <c r="L152" s="8"/>
      <c r="M152" s="8"/>
      <c r="N152" s="8"/>
      <c r="O152" s="8"/>
      <c r="P152" s="8"/>
      <c r="Q152" s="8"/>
    </row>
    <row r="153" spans="12:17" ht="20.100000000000001" customHeight="1" x14ac:dyDescent="0.2">
      <c r="L153" s="8"/>
      <c r="M153" s="8"/>
      <c r="N153" s="8"/>
      <c r="O153" s="8"/>
      <c r="P153" s="8"/>
      <c r="Q153" s="8"/>
    </row>
    <row r="154" spans="12:17" ht="20.100000000000001" customHeight="1" x14ac:dyDescent="0.2">
      <c r="L154" s="8"/>
      <c r="M154" s="8"/>
      <c r="N154" s="8"/>
      <c r="O154" s="8"/>
      <c r="P154" s="8"/>
      <c r="Q154" s="8"/>
    </row>
    <row r="155" spans="12:17" ht="20.100000000000001" customHeight="1" x14ac:dyDescent="0.2">
      <c r="L155" s="8"/>
      <c r="M155" s="8"/>
      <c r="N155" s="8"/>
      <c r="O155" s="8"/>
      <c r="P155" s="8"/>
      <c r="Q155" s="8"/>
    </row>
    <row r="156" spans="12:17" ht="20.100000000000001" customHeight="1" x14ac:dyDescent="0.2">
      <c r="L156" s="8"/>
      <c r="M156" s="8"/>
      <c r="N156" s="8"/>
      <c r="O156" s="8"/>
      <c r="P156" s="8"/>
      <c r="Q156" s="8"/>
    </row>
    <row r="157" spans="12:17" ht="20.100000000000001" customHeight="1" x14ac:dyDescent="0.2">
      <c r="L157" s="8"/>
      <c r="M157" s="8"/>
      <c r="N157" s="8"/>
      <c r="O157" s="8"/>
      <c r="P157" s="8"/>
      <c r="Q157" s="8"/>
    </row>
    <row r="158" spans="12:17" ht="20.100000000000001" customHeight="1" x14ac:dyDescent="0.2">
      <c r="L158" s="8"/>
      <c r="M158" s="8"/>
      <c r="N158" s="8"/>
      <c r="O158" s="8"/>
      <c r="P158" s="8"/>
      <c r="Q158" s="8"/>
    </row>
    <row r="159" spans="12:17" ht="20.100000000000001" customHeight="1" x14ac:dyDescent="0.2">
      <c r="L159" s="8"/>
      <c r="M159" s="8"/>
      <c r="N159" s="8"/>
      <c r="O159" s="8"/>
      <c r="P159" s="8"/>
      <c r="Q159" s="8"/>
    </row>
    <row r="160" spans="12:17" ht="20.100000000000001" customHeight="1" x14ac:dyDescent="0.2">
      <c r="L160" s="8"/>
      <c r="M160" s="8"/>
      <c r="N160" s="8"/>
      <c r="O160" s="8"/>
      <c r="P160" s="8"/>
      <c r="Q160" s="8"/>
    </row>
    <row r="161" spans="12:17" ht="20.100000000000001" customHeight="1" x14ac:dyDescent="0.2">
      <c r="L161" s="8"/>
      <c r="M161" s="8"/>
      <c r="N161" s="8"/>
      <c r="O161" s="8"/>
      <c r="P161" s="8"/>
      <c r="Q161" s="8"/>
    </row>
    <row r="162" spans="12:17" ht="20.100000000000001" customHeight="1" x14ac:dyDescent="0.2">
      <c r="L162" s="8"/>
      <c r="M162" s="8"/>
      <c r="N162" s="8"/>
      <c r="O162" s="8"/>
      <c r="P162" s="8"/>
      <c r="Q162" s="8"/>
    </row>
    <row r="163" spans="12:17" ht="20.100000000000001" customHeight="1" x14ac:dyDescent="0.2">
      <c r="L163" s="8"/>
      <c r="M163" s="8"/>
      <c r="N163" s="8"/>
      <c r="O163" s="8"/>
      <c r="P163" s="8"/>
      <c r="Q163" s="8"/>
    </row>
    <row r="164" spans="12:17" ht="20.100000000000001" customHeight="1" x14ac:dyDescent="0.2">
      <c r="L164" s="8"/>
      <c r="M164" s="8"/>
      <c r="N164" s="8"/>
      <c r="O164" s="8"/>
      <c r="P164" s="8"/>
      <c r="Q164" s="8"/>
    </row>
    <row r="165" spans="12:17" ht="20.100000000000001" customHeight="1" x14ac:dyDescent="0.2">
      <c r="L165" s="8"/>
      <c r="M165" s="8"/>
      <c r="N165" s="8"/>
      <c r="O165" s="8"/>
      <c r="P165" s="8"/>
      <c r="Q165" s="8"/>
    </row>
    <row r="166" spans="12:17" ht="20.100000000000001" customHeight="1" x14ac:dyDescent="0.2">
      <c r="L166" s="8"/>
      <c r="M166" s="8"/>
      <c r="N166" s="8"/>
      <c r="O166" s="8"/>
      <c r="P166" s="8"/>
      <c r="Q166" s="8"/>
    </row>
    <row r="167" spans="12:17" ht="20.100000000000001" customHeight="1" x14ac:dyDescent="0.2">
      <c r="L167" s="8"/>
      <c r="M167" s="8"/>
      <c r="N167" s="8"/>
      <c r="O167" s="8"/>
      <c r="P167" s="8"/>
      <c r="Q167" s="8"/>
    </row>
    <row r="168" spans="12:17" ht="20.100000000000001" customHeight="1" x14ac:dyDescent="0.2">
      <c r="L168" s="8"/>
      <c r="M168" s="8"/>
      <c r="N168" s="8"/>
      <c r="O168" s="8"/>
      <c r="P168" s="8"/>
      <c r="Q168" s="8"/>
    </row>
    <row r="169" spans="12:17" ht="20.100000000000001" customHeight="1" x14ac:dyDescent="0.2">
      <c r="L169" s="8"/>
      <c r="M169" s="8"/>
      <c r="N169" s="8"/>
      <c r="O169" s="8"/>
      <c r="P169" s="8"/>
      <c r="Q169" s="8"/>
    </row>
    <row r="170" spans="12:17" ht="20.100000000000001" customHeight="1" x14ac:dyDescent="0.2">
      <c r="L170" s="8"/>
      <c r="M170" s="8"/>
      <c r="N170" s="8"/>
      <c r="O170" s="8"/>
      <c r="P170" s="8"/>
      <c r="Q170" s="8"/>
    </row>
    <row r="171" spans="12:17" ht="20.100000000000001" customHeight="1" x14ac:dyDescent="0.2">
      <c r="L171" s="8"/>
      <c r="M171" s="8"/>
      <c r="N171" s="8"/>
      <c r="O171" s="8"/>
      <c r="P171" s="8"/>
      <c r="Q171" s="8"/>
    </row>
    <row r="172" spans="12:17" ht="20.100000000000001" customHeight="1" x14ac:dyDescent="0.2">
      <c r="L172" s="8"/>
      <c r="M172" s="8"/>
      <c r="N172" s="8"/>
      <c r="O172" s="8"/>
      <c r="P172" s="8"/>
      <c r="Q172" s="8"/>
    </row>
    <row r="173" spans="12:17" ht="20.100000000000001" customHeight="1" x14ac:dyDescent="0.2">
      <c r="L173" s="8"/>
      <c r="M173" s="8"/>
      <c r="N173" s="8"/>
      <c r="O173" s="8"/>
      <c r="P173" s="8"/>
      <c r="Q173" s="8"/>
    </row>
    <row r="174" spans="12:17" ht="20.100000000000001" customHeight="1" x14ac:dyDescent="0.2">
      <c r="L174" s="8"/>
      <c r="M174" s="8"/>
      <c r="N174" s="8"/>
      <c r="O174" s="8"/>
      <c r="P174" s="8"/>
      <c r="Q174" s="8"/>
    </row>
    <row r="175" spans="12:17" ht="20.100000000000001" customHeight="1" x14ac:dyDescent="0.2">
      <c r="L175" s="8"/>
      <c r="M175" s="8"/>
      <c r="N175" s="8"/>
      <c r="O175" s="8"/>
      <c r="P175" s="8"/>
      <c r="Q175" s="8"/>
    </row>
    <row r="176" spans="12:17" ht="20.100000000000001" customHeight="1" x14ac:dyDescent="0.2">
      <c r="L176" s="8"/>
      <c r="M176" s="8"/>
      <c r="N176" s="8"/>
      <c r="O176" s="8"/>
      <c r="P176" s="8"/>
      <c r="Q176" s="8"/>
    </row>
    <row r="177" spans="12:17" ht="20.100000000000001" customHeight="1" x14ac:dyDescent="0.2">
      <c r="L177" s="8"/>
      <c r="M177" s="8"/>
      <c r="N177" s="8"/>
      <c r="O177" s="8"/>
      <c r="P177" s="8"/>
      <c r="Q177" s="8"/>
    </row>
    <row r="178" spans="12:17" ht="20.100000000000001" customHeight="1" x14ac:dyDescent="0.2">
      <c r="L178" s="8"/>
      <c r="M178" s="8"/>
      <c r="N178" s="8"/>
      <c r="O178" s="8"/>
      <c r="P178" s="8"/>
      <c r="Q178" s="8"/>
    </row>
    <row r="179" spans="12:17" ht="20.100000000000001" customHeight="1" x14ac:dyDescent="0.2">
      <c r="L179" s="8"/>
      <c r="M179" s="8"/>
      <c r="N179" s="8"/>
      <c r="O179" s="8"/>
      <c r="P179" s="8"/>
      <c r="Q179" s="8"/>
    </row>
    <row r="180" spans="12:17" ht="20.100000000000001" customHeight="1" x14ac:dyDescent="0.2">
      <c r="L180" s="8"/>
      <c r="M180" s="8"/>
      <c r="N180" s="8"/>
      <c r="O180" s="8"/>
      <c r="P180" s="8"/>
      <c r="Q180" s="8"/>
    </row>
    <row r="181" spans="12:17" ht="20.100000000000001" customHeight="1" x14ac:dyDescent="0.2">
      <c r="L181" s="8"/>
      <c r="M181" s="8"/>
      <c r="N181" s="8"/>
      <c r="O181" s="8"/>
      <c r="P181" s="8"/>
      <c r="Q181" s="8"/>
    </row>
    <row r="182" spans="12:17" ht="20.100000000000001" customHeight="1" x14ac:dyDescent="0.2">
      <c r="L182" s="8"/>
      <c r="M182" s="8"/>
      <c r="N182" s="8"/>
      <c r="O182" s="8"/>
      <c r="P182" s="8"/>
      <c r="Q182" s="8"/>
    </row>
    <row r="183" spans="12:17" ht="20.100000000000001" customHeight="1" x14ac:dyDescent="0.2">
      <c r="L183" s="8"/>
      <c r="M183" s="8"/>
      <c r="N183" s="8"/>
      <c r="O183" s="8"/>
      <c r="P183" s="8"/>
      <c r="Q183" s="8"/>
    </row>
    <row r="184" spans="12:17" ht="20.100000000000001" customHeight="1" x14ac:dyDescent="0.2">
      <c r="L184" s="8"/>
      <c r="M184" s="8"/>
      <c r="N184" s="8"/>
      <c r="O184" s="8"/>
      <c r="P184" s="8"/>
      <c r="Q184" s="8"/>
    </row>
    <row r="185" spans="12:17" ht="20.100000000000001" customHeight="1" x14ac:dyDescent="0.2">
      <c r="L185" s="8"/>
      <c r="M185" s="8"/>
      <c r="N185" s="8"/>
      <c r="O185" s="8"/>
      <c r="P185" s="8"/>
      <c r="Q185" s="8"/>
    </row>
    <row r="186" spans="12:17" ht="20.100000000000001" customHeight="1" x14ac:dyDescent="0.2">
      <c r="L186" s="8"/>
      <c r="M186" s="8"/>
      <c r="N186" s="8"/>
      <c r="O186" s="8"/>
      <c r="P186" s="8"/>
      <c r="Q186" s="8"/>
    </row>
    <row r="187" spans="12:17" ht="20.100000000000001" customHeight="1" x14ac:dyDescent="0.2">
      <c r="L187" s="8"/>
      <c r="M187" s="8"/>
      <c r="N187" s="8"/>
      <c r="O187" s="8"/>
      <c r="P187" s="8"/>
      <c r="Q187" s="8"/>
    </row>
    <row r="188" spans="12:17" ht="20.100000000000001" customHeight="1" x14ac:dyDescent="0.2">
      <c r="L188" s="8"/>
      <c r="M188" s="8"/>
      <c r="N188" s="8"/>
      <c r="O188" s="8"/>
      <c r="P188" s="8"/>
      <c r="Q188" s="8"/>
    </row>
    <row r="189" spans="12:17" ht="20.100000000000001" customHeight="1" x14ac:dyDescent="0.2">
      <c r="L189" s="8"/>
      <c r="M189" s="8"/>
      <c r="N189" s="8"/>
      <c r="O189" s="8"/>
      <c r="P189" s="8"/>
      <c r="Q189" s="8"/>
    </row>
    <row r="190" spans="12:17" ht="20.100000000000001" customHeight="1" x14ac:dyDescent="0.2">
      <c r="L190" s="8"/>
      <c r="M190" s="8"/>
      <c r="N190" s="8"/>
      <c r="O190" s="8"/>
      <c r="P190" s="8"/>
      <c r="Q190" s="8"/>
    </row>
    <row r="191" spans="12:17" ht="20.100000000000001" customHeight="1" x14ac:dyDescent="0.2">
      <c r="L191" s="8"/>
      <c r="M191" s="8"/>
      <c r="N191" s="8"/>
      <c r="O191" s="8"/>
      <c r="P191" s="8"/>
      <c r="Q191" s="8"/>
    </row>
    <row r="192" spans="12:17" ht="20.100000000000001" customHeight="1" x14ac:dyDescent="0.2">
      <c r="L192" s="8"/>
      <c r="M192" s="8"/>
      <c r="N192" s="8"/>
      <c r="O192" s="8"/>
      <c r="P192" s="8"/>
      <c r="Q192" s="8"/>
    </row>
    <row r="193" spans="12:17" ht="20.100000000000001" customHeight="1" x14ac:dyDescent="0.2">
      <c r="L193" s="8"/>
      <c r="M193" s="8"/>
      <c r="N193" s="8"/>
      <c r="O193" s="8"/>
      <c r="P193" s="8"/>
      <c r="Q193" s="8"/>
    </row>
    <row r="194" spans="12:17" ht="20.100000000000001" customHeight="1" x14ac:dyDescent="0.2">
      <c r="L194" s="8"/>
      <c r="M194" s="8"/>
      <c r="N194" s="8"/>
      <c r="O194" s="8"/>
      <c r="P194" s="8"/>
      <c r="Q194" s="8"/>
    </row>
    <row r="195" spans="12:17" ht="20.100000000000001" customHeight="1" x14ac:dyDescent="0.2">
      <c r="L195" s="8"/>
      <c r="M195" s="8"/>
      <c r="N195" s="8"/>
      <c r="O195" s="8"/>
      <c r="P195" s="8"/>
      <c r="Q195" s="8"/>
    </row>
    <row r="196" spans="12:17" ht="20.100000000000001" customHeight="1" x14ac:dyDescent="0.2">
      <c r="L196" s="8"/>
      <c r="M196" s="8"/>
      <c r="N196" s="8"/>
      <c r="O196" s="8"/>
      <c r="P196" s="8"/>
      <c r="Q196" s="8"/>
    </row>
    <row r="197" spans="12:17" ht="20.100000000000001" customHeight="1" x14ac:dyDescent="0.2">
      <c r="L197" s="8"/>
      <c r="M197" s="8"/>
      <c r="N197" s="8"/>
      <c r="O197" s="8"/>
      <c r="P197" s="8"/>
      <c r="Q197" s="8"/>
    </row>
    <row r="198" spans="12:17" ht="20.100000000000001" customHeight="1" x14ac:dyDescent="0.2">
      <c r="L198" s="8"/>
      <c r="M198" s="8"/>
      <c r="N198" s="8"/>
      <c r="O198" s="8"/>
      <c r="P198" s="8"/>
      <c r="Q198" s="8"/>
    </row>
    <row r="199" spans="12:17" ht="20.100000000000001" customHeight="1" x14ac:dyDescent="0.2">
      <c r="L199" s="8"/>
      <c r="M199" s="8"/>
      <c r="N199" s="8"/>
      <c r="O199" s="8"/>
      <c r="P199" s="8"/>
      <c r="Q199" s="8"/>
    </row>
    <row r="200" spans="12:17" ht="20.100000000000001" customHeight="1" x14ac:dyDescent="0.2">
      <c r="L200" s="8"/>
      <c r="M200" s="8"/>
      <c r="N200" s="8"/>
      <c r="O200" s="8"/>
      <c r="P200" s="8"/>
      <c r="Q200" s="8"/>
    </row>
    <row r="201" spans="12:17" ht="20.100000000000001" customHeight="1" x14ac:dyDescent="0.2">
      <c r="L201" s="8"/>
      <c r="M201" s="8"/>
      <c r="N201" s="8"/>
      <c r="O201" s="8"/>
      <c r="P201" s="8"/>
      <c r="Q201" s="8"/>
    </row>
    <row r="202" spans="12:17" ht="20.100000000000001" customHeight="1" x14ac:dyDescent="0.2">
      <c r="L202" s="8"/>
      <c r="M202" s="8"/>
      <c r="N202" s="8"/>
      <c r="O202" s="8"/>
      <c r="P202" s="8"/>
      <c r="Q202" s="8"/>
    </row>
  </sheetData>
  <phoneticPr fontId="53" type="noConversion"/>
  <pageMargins left="0.7" right="0.7" top="0.75" bottom="0.75" header="0.3" footer="0.3"/>
  <tableParts count="6">
    <tablePart r:id="rId1"/>
    <tablePart r:id="rId2"/>
    <tablePart r:id="rId3"/>
    <tablePart r:id="rId4"/>
    <tablePart r:id="rId5"/>
    <tablePart r:id="rId6"/>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1E6-7866-4801-882F-E1A523B12899}">
  <sheetPr>
    <tabColor theme="2" tint="-0.499984740745262"/>
  </sheetPr>
  <dimension ref="A1:AI223"/>
  <sheetViews>
    <sheetView showGridLines="0" topLeftCell="A85" zoomScaleNormal="100" workbookViewId="0">
      <selection activeCell="E91" sqref="E91"/>
    </sheetView>
  </sheetViews>
  <sheetFormatPr defaultColWidth="9" defaultRowHeight="20.100000000000001" customHeight="1" x14ac:dyDescent="0.25"/>
  <cols>
    <col min="1" max="1" width="26.85546875" style="3" customWidth="1"/>
    <col min="2" max="2" width="4.140625" style="3" customWidth="1"/>
    <col min="3" max="3" width="4.140625" style="8" customWidth="1"/>
    <col min="4" max="9" width="18.140625" style="8" customWidth="1"/>
    <col min="10" max="10" width="23" style="8" customWidth="1"/>
    <col min="11" max="31" width="18.140625" style="8" customWidth="1"/>
    <col min="32" max="32" width="4.140625" style="8" customWidth="1"/>
    <col min="33" max="16384" width="9" style="3"/>
  </cols>
  <sheetData>
    <row r="1" spans="1:35" s="1" customFormat="1" ht="30" customHeight="1" x14ac:dyDescent="0.35">
      <c r="A1" s="37" t="e" vm="1">
        <v>#VALUE!</v>
      </c>
      <c r="C1" s="1" t="s">
        <v>134</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Fertiliser_SourceData.Fertiliser_ChemicalCompoundElements_Title()</f>
        <v>Common inorganic fertilisers</v>
      </c>
      <c r="E5" s="17"/>
      <c r="F5" s="17"/>
      <c r="G5" s="17"/>
      <c r="H5" s="17"/>
      <c r="I5" s="17"/>
      <c r="J5" s="17"/>
    </row>
    <row r="6" spans="1:35" ht="20.100000000000001" customHeight="1" x14ac:dyDescent="0.25">
      <c r="A6"/>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Fuel'!A1", "Fuel")</f>
        <v>Fuel</v>
      </c>
      <c r="D9" s="12" t="str">
        <v>Added extra fertiliser types and generic chemical compounds to allow for custom NPKS blends</v>
      </c>
    </row>
    <row r="10" spans="1:35" ht="20.100000000000001" customHeight="1" x14ac:dyDescent="0.25">
      <c r="A10" s="16" t="str">
        <f>HYPERLINK("#'Input - Fertiliser'!A1", "Fertiliser")</f>
        <v>Fertiliser</v>
      </c>
      <c r="D10" s="12" t="str">
        <v>Added extra 'Scope 3 definition' column to allow mapping with scope 3 data</v>
      </c>
    </row>
    <row r="11" spans="1:35" ht="20.100000000000001" customHeight="1" x14ac:dyDescent="0.25">
      <c r="A11" s="16" t="str">
        <f>HYPERLINK("#'Input - Farm Inputs'!A1", "Farm Inputs")</f>
        <v>Farm Inputs</v>
      </c>
      <c r="D11" s="12" t="str">
        <v>Added 'Source' column</v>
      </c>
    </row>
    <row r="12" spans="1:35" ht="20.100000000000001" customHeight="1" x14ac:dyDescent="0.25">
      <c r="A12" s="16" t="str">
        <f>HYPERLINK("#'Input - Livestock purchases'!A1", "Livestock purchases")</f>
        <v>Livestock purchases</v>
      </c>
      <c r="D12" s="12" t="str">
        <v>Combined data from Table A.2.2.3 and Table A.2.2.4 into one table to aid lookup.</v>
      </c>
    </row>
    <row r="13" spans="1:35" ht="20.100000000000001" customHeight="1" x14ac:dyDescent="0.25">
      <c r="A13" s="16" t="str">
        <f>HYPERLINK("#'Input - Freight'!A1", "Freight")</f>
        <v>Freight</v>
      </c>
      <c r="D13" s="12" t="str">
        <v>Excluded 'References' column</v>
      </c>
    </row>
    <row r="14" spans="1:35" ht="20.100000000000001" customHeight="1" x14ac:dyDescent="0.25">
      <c r="A14" s="16" t="str">
        <f>HYPERLINK("#'Input - Solid waste'!A1", "Solid waste")</f>
        <v>Solid waste</v>
      </c>
      <c r="D14" s="12" t="str">
        <v>Excluded 'Ammonium sulfate' as it is a duplicate of 'Sulphate of ammonia (SOA)'</v>
      </c>
    </row>
    <row r="15" spans="1:35" ht="20.100000000000001" customHeight="1" x14ac:dyDescent="0.25">
      <c r="A15" s="16" t="str">
        <f>HYPERLINK("#'Input - Manure sent off-site'!A1", "Manure sent off-site")</f>
        <v>Manure sent off-site</v>
      </c>
      <c r="D15" s="12" t="str">
        <v>Excluded 'Calcium nitrate' as no scope 3 value available.</v>
      </c>
    </row>
    <row r="16" spans="1:35" ht="20.100000000000001" customHeight="1" x14ac:dyDescent="0.25">
      <c r="A16" s="16" t="str">
        <f>HYPERLINK("#'Input - Electricity'!A1", "Electricity")</f>
        <v>Electricity</v>
      </c>
      <c r="D16" s="12" t="str">
        <v>Set 'Nitrogen - Generic' basis as 'Urea-based fertilisers, as urea is the most commonly used form of nitrogen in Australian fertilisers</v>
      </c>
    </row>
    <row r="17" spans="1:22" ht="20.100000000000001" customHeight="1" x14ac:dyDescent="0.25">
      <c r="A17"/>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A18"/>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1" t="s">
        <v>77</v>
      </c>
      <c r="D19" s="3" t="s">
        <v>135</v>
      </c>
      <c r="E19" s="3" t="s">
        <v>136</v>
      </c>
      <c r="F19" s="3" t="s">
        <v>137</v>
      </c>
      <c r="G19" s="3" t="s">
        <v>138</v>
      </c>
      <c r="H19" s="3" t="s">
        <v>139</v>
      </c>
      <c r="I19" s="3" t="s">
        <v>140</v>
      </c>
      <c r="K19" s="10" t="s">
        <v>135</v>
      </c>
      <c r="L19" s="10" t="s">
        <v>136</v>
      </c>
      <c r="Q19" s="10" t="s">
        <v>135</v>
      </c>
      <c r="R19" s="10" t="s">
        <v>136</v>
      </c>
      <c r="V19" s="10" t="s">
        <v>140</v>
      </c>
    </row>
    <row r="20" spans="1:22" ht="20.100000000000001" customHeight="1" x14ac:dyDescent="0.25">
      <c r="A20" s="16" t="str">
        <f>HYPERLINK("#'15 Scope 3'!A1", "15 Scope 3")</f>
        <v>15 Scope 3</v>
      </c>
      <c r="D20" s="62" t="str" cm="1">
        <f t="array" ref="D20">Common_InputFunctions.Utility_DisplayArrayInTable(Fertiliser_SourceData.Fertiliser_ChemicalCompoundElements_Data(),Table_Fertiliser_ChemicalCompounds[[#Headers],[Fertiliser type f]], 0)</f>
        <v>Monoammonium phosphate (MAP)</v>
      </c>
      <c r="E20" s="62" cm="1">
        <f t="array" ref="E20">Common_InputFunctions.Utility_DisplayArrayInTable(Fertiliser_SourceData.Fertiliser_ChemicalCompoundElements_Data(),Table_Fertiliser_ChemicalCompounds[[#Headers],[Fertiliser type f]], 0)</f>
        <v>0.1</v>
      </c>
      <c r="F20" s="62" cm="1">
        <f t="array" ref="F20">Common_InputFunctions.Utility_DisplayArrayInTable(Fertiliser_SourceData.Fertiliser_ChemicalCompoundElements_Data(),Table_Fertiliser_ChemicalCompounds[[#Headers],[Fertiliser type f]], 0)</f>
        <v>0</v>
      </c>
      <c r="G20" s="62" t="str" cm="1">
        <f t="array" ref="G20">Common_InputFunctions.Utility_DisplayArrayInTable(Fertiliser_SourceData.Fertiliser_ChemicalCompoundElements_Data(),Table_Fertiliser_ChemicalCompounds[[#Headers],[Fertiliser type f]], 0)</f>
        <v>Ammonium-based fertilisers</v>
      </c>
      <c r="H20" s="62" t="str" cm="1">
        <f t="array" ref="H20">Common_InputFunctions.Utility_DisplayArrayInTable(Fertiliser_SourceData.Fertiliser_ChemicalCompoundElements_Data(),Table_Fertiliser_ChemicalCompounds[[#Headers],[Fertiliser type f]], 0)</f>
        <v>Monoammonium phosphate (MAP)</v>
      </c>
      <c r="I20" s="62"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HYPERLINK("#'10.1.1-2 Solid waste treatment'!A1", "10.1.1-2 Solid waste treatment")</f>
        <v>10.1.1-2 Solid waste treatment</v>
      </c>
      <c r="D21" s="62" t="str" cm="1">
        <f t="array" ref="D21">Common_InputFunctions.Utility_DisplayArrayInTable(Fertiliser_SourceData.Fertiliser_ChemicalCompoundElements_Data(),Table_Fertiliser_ChemicalCompounds[[#Headers],[Fertiliser type f]], 0)</f>
        <v>Diammonium phosphate (DAP)</v>
      </c>
      <c r="E21" s="62" cm="1">
        <f t="array" ref="E21">Common_InputFunctions.Utility_DisplayArrayInTable(Fertiliser_SourceData.Fertiliser_ChemicalCompoundElements_Data(),Table_Fertiliser_ChemicalCompounds[[#Headers],[Fertiliser type f]], 0)</f>
        <v>0.18</v>
      </c>
      <c r="F21" s="62" cm="1">
        <f t="array" ref="F21">Common_InputFunctions.Utility_DisplayArrayInTable(Fertiliser_SourceData.Fertiliser_ChemicalCompoundElements_Data(),Table_Fertiliser_ChemicalCompounds[[#Headers],[Fertiliser type f]], 0)</f>
        <v>0</v>
      </c>
      <c r="G21" s="62" t="str" cm="1">
        <f t="array" ref="G21">Common_InputFunctions.Utility_DisplayArrayInTable(Fertiliser_SourceData.Fertiliser_ChemicalCompoundElements_Data(),Table_Fertiliser_ChemicalCompounds[[#Headers],[Fertiliser type f]], 0)</f>
        <v>Ammonium-based fertilisers</v>
      </c>
      <c r="H21" s="62" t="str" cm="1">
        <f t="array" ref="H21">Common_InputFunctions.Utility_DisplayArrayInTable(Fertiliser_SourceData.Fertiliser_ChemicalCompoundElements_Data(),Table_Fertiliser_ChemicalCompounds[[#Headers],[Fertiliser type f]], 0)</f>
        <v>Diammonium phosphate (DAP)</v>
      </c>
      <c r="I21" s="62"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16" t="str">
        <f>HYPERLINK("#'Calcs - Manure sent off-site'!A1", "Calcs - Manure sent off-site")</f>
        <v>Calcs - Manure sent off-site</v>
      </c>
      <c r="D22" s="62" t="str" cm="1">
        <f t="array" ref="D22">Common_InputFunctions.Utility_DisplayArrayInTable(Fertiliser_SourceData.Fertiliser_ChemicalCompoundElements_Data(),Table_Fertiliser_ChemicalCompounds[[#Headers],[Fertiliser type f]], 0)</f>
        <v>Urea</v>
      </c>
      <c r="E22" s="62" cm="1">
        <f t="array" ref="E22">Common_InputFunctions.Utility_DisplayArrayInTable(Fertiliser_SourceData.Fertiliser_ChemicalCompoundElements_Data(),Table_Fertiliser_ChemicalCompounds[[#Headers],[Fertiliser type f]], 0)</f>
        <v>0.46</v>
      </c>
      <c r="F22" s="62" cm="1">
        <f t="array" ref="F22">Common_InputFunctions.Utility_DisplayArrayInTable(Fertiliser_SourceData.Fertiliser_ChemicalCompoundElements_Data(),Table_Fertiliser_ChemicalCompounds[[#Headers],[Fertiliser type f]], 0)</f>
        <v>1</v>
      </c>
      <c r="G22" s="62" t="str" cm="1">
        <f t="array" ref="G22">Common_InputFunctions.Utility_DisplayArrayInTable(Fertiliser_SourceData.Fertiliser_ChemicalCompoundElements_Data(),Table_Fertiliser_ChemicalCompounds[[#Headers],[Fertiliser type f]], 0)</f>
        <v>Urea-based fertilisers</v>
      </c>
      <c r="H22" s="62" t="str" cm="1">
        <f t="array" ref="H22">Common_InputFunctions.Utility_DisplayArrayInTable(Fertiliser_SourceData.Fertiliser_ChemicalCompoundElements_Data(),Table_Fertiliser_ChemicalCompounds[[#Headers],[Fertiliser type f]], 0)</f>
        <v>Urea</v>
      </c>
      <c r="I22" s="62"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t="str">
        <f>HYPERLINK("#'8.1.1.1-2 Transport fuel'!A1", "8.1.1.1-2 Transport fuel")</f>
        <v>8.1.1.1-2 Transport fuel</v>
      </c>
      <c r="D23" s="62" t="str" cm="1">
        <f t="array" ref="D23">Common_InputFunctions.Utility_DisplayArrayInTable(Fertiliser_SourceData.Fertiliser_ChemicalCompoundElements_Data(),Table_Fertiliser_ChemicalCompounds[[#Headers],[Fertiliser type f]], 0)</f>
        <v>Sulphate of ammonia (SOA)</v>
      </c>
      <c r="E23" s="62" cm="1">
        <f t="array" ref="E23">Common_InputFunctions.Utility_DisplayArrayInTable(Fertiliser_SourceData.Fertiliser_ChemicalCompoundElements_Data(),Table_Fertiliser_ChemicalCompounds[[#Headers],[Fertiliser type f]], 0)</f>
        <v>0.21</v>
      </c>
      <c r="F23" s="62" cm="1">
        <f t="array" ref="F23">Common_InputFunctions.Utility_DisplayArrayInTable(Fertiliser_SourceData.Fertiliser_ChemicalCompoundElements_Data(),Table_Fertiliser_ChemicalCompounds[[#Headers],[Fertiliser type f]], 0)</f>
        <v>0</v>
      </c>
      <c r="G23" s="62" t="str" cm="1">
        <f t="array" ref="G23">Common_InputFunctions.Utility_DisplayArrayInTable(Fertiliser_SourceData.Fertiliser_ChemicalCompoundElements_Data(),Table_Fertiliser_ChemicalCompounds[[#Headers],[Fertiliser type f]], 0)</f>
        <v>Ammonium-based fertilisers</v>
      </c>
      <c r="H23" s="62" t="str" cm="1">
        <f t="array" ref="H23">Common_InputFunctions.Utility_DisplayArrayInTable(Fertiliser_SourceData.Fertiliser_ChemicalCompoundElements_Data(),Table_Fertiliser_ChemicalCompounds[[#Headers],[Fertiliser type f]], 0)</f>
        <v>Sulphate of ammonia (SOA)</v>
      </c>
      <c r="I23" s="62"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6" t="str">
        <f>HYPERLINK("#'8.2.1.1-2 Stationary fuel'!A1", "8.2.1.1-2 Stationary fuel")</f>
        <v>8.2.1.1-2 Stationary fuel</v>
      </c>
      <c r="D24" s="62" t="str" cm="1">
        <f t="array" ref="D24">Common_InputFunctions.Utility_DisplayArrayInTable(Fertiliser_SourceData.Fertiliser_ChemicalCompoundElements_Data(),Table_Fertiliser_ChemicalCompounds[[#Headers],[Fertiliser type f]], 0)</f>
        <v>Urea-ammonium nitrate (UAN)</v>
      </c>
      <c r="E24" s="62" cm="1">
        <f t="array" ref="E24">Common_InputFunctions.Utility_DisplayArrayInTable(Fertiliser_SourceData.Fertiliser_ChemicalCompoundElements_Data(),Table_Fertiliser_ChemicalCompounds[[#Headers],[Fertiliser type f]], 0)</f>
        <v>0.32</v>
      </c>
      <c r="F24" s="62" cm="1">
        <f t="array" ref="F24">Common_InputFunctions.Utility_DisplayArrayInTable(Fertiliser_SourceData.Fertiliser_ChemicalCompoundElements_Data(),Table_Fertiliser_ChemicalCompounds[[#Headers],[Fertiliser type f]], 0)</f>
        <v>0.35</v>
      </c>
      <c r="G24" s="62" t="str" cm="1">
        <f t="array" ref="G24">Common_InputFunctions.Utility_DisplayArrayInTable(Fertiliser_SourceData.Fertiliser_ChemicalCompoundElements_Data(),Table_Fertiliser_ChemicalCompounds[[#Headers],[Fertiliser type f]], 0)</f>
        <v>Urea-based fertilisers</v>
      </c>
      <c r="H24" s="62" t="str" cm="1">
        <f t="array" ref="H24">Common_InputFunctions.Utility_DisplayArrayInTable(Fertiliser_SourceData.Fertiliser_ChemicalCompoundElements_Data(),Table_Fertiliser_ChemicalCompounds[[#Headers],[Fertiliser type f]], 0)</f>
        <v>Urea-ammonium nitrate (UAN)</v>
      </c>
      <c r="I24" s="62"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A25"/>
      <c r="D25" s="62" t="str" cm="1">
        <f t="array" ref="D25">Common_InputFunctions.Utility_DisplayArrayInTable(Fertiliser_SourceData.Fertiliser_ChemicalCompoundElements_Data(),Table_Fertiliser_ChemicalCompounds[[#Headers],[Fertiliser type f]], 0)</f>
        <v>Ammonium nitrate (AN)</v>
      </c>
      <c r="E25" s="62" cm="1">
        <f t="array" ref="E25">Common_InputFunctions.Utility_DisplayArrayInTable(Fertiliser_SourceData.Fertiliser_ChemicalCompoundElements_Data(),Table_Fertiliser_ChemicalCompounds[[#Headers],[Fertiliser type f]], 0)</f>
        <v>0.33700000000000002</v>
      </c>
      <c r="F25" s="62" cm="1">
        <f t="array" ref="F25">Common_InputFunctions.Utility_DisplayArrayInTable(Fertiliser_SourceData.Fertiliser_ChemicalCompoundElements_Data(),Table_Fertiliser_ChemicalCompounds[[#Headers],[Fertiliser type f]], 0)</f>
        <v>0</v>
      </c>
      <c r="G25" s="62" t="str" cm="1">
        <f t="array" ref="G25">Common_InputFunctions.Utility_DisplayArrayInTable(Fertiliser_SourceData.Fertiliser_ChemicalCompoundElements_Data(),Table_Fertiliser_ChemicalCompounds[[#Headers],[Fertiliser type f]], 0)</f>
        <v>Ammonium-nitrate based fertilisers</v>
      </c>
      <c r="H25" s="62" t="str" cm="1">
        <f t="array" ref="H25">Common_InputFunctions.Utility_DisplayArrayInTable(Fertiliser_SourceData.Fertiliser_ChemicalCompoundElements_Data(),Table_Fertiliser_ChemicalCompounds[[#Headers],[Fertiliser type f]], 0)</f>
        <v>Ammonium nitrate (AN)</v>
      </c>
      <c r="I25" s="62"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A26"/>
      <c r="D26" s="62" t="str" cm="1">
        <f t="array" ref="D26">Common_InputFunctions.Utility_DisplayArrayInTable(Fertiliser_SourceData.Fertiliser_ChemicalCompoundElements_Data(),Table_Fertiliser_ChemicalCompounds[[#Headers],[Fertiliser type f]], 0)</f>
        <v>Calcium ammonium nitrate (CAN)</v>
      </c>
      <c r="E26" s="62" cm="1">
        <f t="array" ref="E26">Common_InputFunctions.Utility_DisplayArrayInTable(Fertiliser_SourceData.Fertiliser_ChemicalCompoundElements_Data(),Table_Fertiliser_ChemicalCompounds[[#Headers],[Fertiliser type f]], 0)</f>
        <v>0.27</v>
      </c>
      <c r="F26" s="62" cm="1">
        <f t="array" ref="F26">Common_InputFunctions.Utility_DisplayArrayInTable(Fertiliser_SourceData.Fertiliser_ChemicalCompoundElements_Data(),Table_Fertiliser_ChemicalCompounds[[#Headers],[Fertiliser type f]], 0)</f>
        <v>0</v>
      </c>
      <c r="G26" s="62" t="str" cm="1">
        <f t="array" ref="G26">Common_InputFunctions.Utility_DisplayArrayInTable(Fertiliser_SourceData.Fertiliser_ChemicalCompoundElements_Data(),Table_Fertiliser_ChemicalCompounds[[#Headers],[Fertiliser type f]], 0)</f>
        <v>Ammonium-nitrate based fertilisers</v>
      </c>
      <c r="H26" s="62" t="str" cm="1">
        <f t="array" ref="H26">Common_InputFunctions.Utility_DisplayArrayInTable(Fertiliser_SourceData.Fertiliser_ChemicalCompoundElements_Data(),Table_Fertiliser_ChemicalCompounds[[#Headers],[Fertiliser type f]], 0)</f>
        <v>Calcium ammonium nitrate (CAN)</v>
      </c>
      <c r="I26" s="62"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A27" s="213" t="s">
        <v>78</v>
      </c>
      <c r="D27" s="62" t="str" cm="1">
        <f t="array" ref="D27">Common_InputFunctions.Utility_DisplayArrayInTable(Fertiliser_SourceData.Fertiliser_ChemicalCompoundElements_Data(),Table_Fertiliser_ChemicalCompounds[[#Headers],[Fertiliser type f]], 0)</f>
        <v>Nitrogen - Ammoniacal</v>
      </c>
      <c r="E27" s="62" cm="1">
        <f t="array" ref="E27">Common_InputFunctions.Utility_DisplayArrayInTable(Fertiliser_SourceData.Fertiliser_ChemicalCompoundElements_Data(),Table_Fertiliser_ChemicalCompounds[[#Headers],[Fertiliser type f]], 0)</f>
        <v>1</v>
      </c>
      <c r="F27" s="62" cm="1">
        <f t="array" ref="F27">Common_InputFunctions.Utility_DisplayArrayInTable(Fertiliser_SourceData.Fertiliser_ChemicalCompoundElements_Data(),Table_Fertiliser_ChemicalCompounds[[#Headers],[Fertiliser type f]], 0)</f>
        <v>0</v>
      </c>
      <c r="G27" s="62" t="str" cm="1">
        <f t="array" ref="G27">Common_InputFunctions.Utility_DisplayArrayInTable(Fertiliser_SourceData.Fertiliser_ChemicalCompoundElements_Data(),Table_Fertiliser_ChemicalCompounds[[#Headers],[Fertiliser type f]], 0)</f>
        <v>Ammonium-based fertilisers</v>
      </c>
      <c r="H27" s="62" t="str" cm="1">
        <f t="array" ref="H27">Common_InputFunctions.Utility_DisplayArrayInTable(Fertiliser_SourceData.Fertiliser_ChemicalCompoundElements_Data(),Table_Fertiliser_ChemicalCompounds[[#Headers],[Fertiliser type f]], 0)</f>
        <v>Nitrogen - Ammoniacal</v>
      </c>
      <c r="I27" s="62"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A28" s="16" t="str">
        <f>HYPERLINK("#'Constants - Scope 3'!A1", "Constants - Scope 3")</f>
        <v>Constants - Scope 3</v>
      </c>
      <c r="D28" s="62" t="str" cm="1">
        <f t="array" ref="D28">Common_InputFunctions.Utility_DisplayArrayInTable(Fertiliser_SourceData.Fertiliser_ChemicalCompoundElements_Data(),Table_Fertiliser_ChemicalCompounds[[#Headers],[Fertiliser type f]], 0)</f>
        <v>Nitrogen - Nitrate</v>
      </c>
      <c r="E28" s="62" cm="1">
        <f t="array" ref="E28">Common_InputFunctions.Utility_DisplayArrayInTable(Fertiliser_SourceData.Fertiliser_ChemicalCompoundElements_Data(),Table_Fertiliser_ChemicalCompounds[[#Headers],[Fertiliser type f]], 0)</f>
        <v>1</v>
      </c>
      <c r="F28" s="62" cm="1">
        <f t="array" ref="F28">Common_InputFunctions.Utility_DisplayArrayInTable(Fertiliser_SourceData.Fertiliser_ChemicalCompoundElements_Data(),Table_Fertiliser_ChemicalCompounds[[#Headers],[Fertiliser type f]], 0)</f>
        <v>0</v>
      </c>
      <c r="G28" s="62" t="str" cm="1">
        <f t="array" ref="G28">Common_InputFunctions.Utility_DisplayArrayInTable(Fertiliser_SourceData.Fertiliser_ChemicalCompoundElements_Data(),Table_Fertiliser_ChemicalCompounds[[#Headers],[Fertiliser type f]], 0)</f>
        <v>Nitrate-based fertilisers</v>
      </c>
      <c r="H28" s="62" t="str" cm="1">
        <f t="array" ref="H28">Common_InputFunctions.Utility_DisplayArrayInTable(Fertiliser_SourceData.Fertiliser_ChemicalCompoundElements_Data(),Table_Fertiliser_ChemicalCompounds[[#Headers],[Fertiliser type f]], 0)</f>
        <v>Nitrogen from Nitrate</v>
      </c>
      <c r="I28" s="62"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A29" s="16" t="str">
        <f>HYPERLINK("#'Constants - Solid Waste'!A1", "Constants - Solid Waste")</f>
        <v>Constants - Solid Waste</v>
      </c>
      <c r="D29" s="62" t="str" cm="1">
        <f t="array" ref="D29">Common_InputFunctions.Utility_DisplayArrayInTable(Fertiliser_SourceData.Fertiliser_ChemicalCompoundElements_Data(),Table_Fertiliser_ChemicalCompounds[[#Headers],[Fertiliser type f]], 0)</f>
        <v>Nitrogen - Generic</v>
      </c>
      <c r="E29" s="62" cm="1">
        <f t="array" ref="E29">Common_InputFunctions.Utility_DisplayArrayInTable(Fertiliser_SourceData.Fertiliser_ChemicalCompoundElements_Data(),Table_Fertiliser_ChemicalCompounds[[#Headers],[Fertiliser type f]], 0)</f>
        <v>1</v>
      </c>
      <c r="F29" s="62" cm="1">
        <f t="array" ref="F29">Common_InputFunctions.Utility_DisplayArrayInTable(Fertiliser_SourceData.Fertiliser_ChemicalCompoundElements_Data(),Table_Fertiliser_ChemicalCompounds[[#Headers],[Fertiliser type f]], 0)</f>
        <v>0</v>
      </c>
      <c r="G29" s="62" t="str" cm="1">
        <f t="array" ref="G29">Common_InputFunctions.Utility_DisplayArrayInTable(Fertiliser_SourceData.Fertiliser_ChemicalCompoundElements_Data(),Table_Fertiliser_ChemicalCompounds[[#Headers],[Fertiliser type f]], 0)</f>
        <v>Urea-based fertilisers</v>
      </c>
      <c r="H29" s="62" t="str" cm="1">
        <f t="array" ref="H29">Common_InputFunctions.Utility_DisplayArrayInTable(Fertiliser_SourceData.Fertiliser_ChemicalCompoundElements_Data(),Table_Fertiliser_ChemicalCompounds[[#Headers],[Fertiliser type f]], 0)</f>
        <v>Nitrogen from fertiliser</v>
      </c>
      <c r="I29" s="62"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16" t="str">
        <f>HYPERLINK("#'Constants - Fuel'!A1", "Constants - Fuel")</f>
        <v>Constants - Fuel</v>
      </c>
      <c r="D30" s="62" t="str" cm="1">
        <f t="array" ref="D30">Common_InputFunctions.Utility_DisplayArrayInTable(Fertiliser_SourceData.Fertiliser_ChemicalCompoundElements_Data(),Table_Fertiliser_ChemicalCompounds[[#Headers],[Fertiliser type f]], 0)</f>
        <v>Phosphorus - Generic</v>
      </c>
      <c r="E30" s="62" cm="1">
        <f t="array" ref="E30">Common_InputFunctions.Utility_DisplayArrayInTable(Fertiliser_SourceData.Fertiliser_ChemicalCompoundElements_Data(),Table_Fertiliser_ChemicalCompounds[[#Headers],[Fertiliser type f]], 0)</f>
        <v>0</v>
      </c>
      <c r="F30" s="62" cm="1">
        <f t="array" ref="F30">Common_InputFunctions.Utility_DisplayArrayInTable(Fertiliser_SourceData.Fertiliser_ChemicalCompoundElements_Data(),Table_Fertiliser_ChemicalCompounds[[#Headers],[Fertiliser type f]], 0)</f>
        <v>0</v>
      </c>
      <c r="G30" s="62" t="str" cm="1">
        <f t="array" ref="G30">Common_InputFunctions.Utility_DisplayArrayInTable(Fertiliser_SourceData.Fertiliser_ChemicalCompoundElements_Data(),Table_Fertiliser_ChemicalCompounds[[#Headers],[Fertiliser type f]], 0)</f>
        <v>Other fertilisers</v>
      </c>
      <c r="H30" s="62" t="str" cm="1">
        <f t="array" ref="H30">Common_InputFunctions.Utility_DisplayArrayInTable(Fertiliser_SourceData.Fertiliser_ChemicalCompoundElements_Data(),Table_Fertiliser_ChemicalCompounds[[#Headers],[Fertiliser type f]], 0)</f>
        <v>Phosphorus from fertiliser</v>
      </c>
      <c r="I30" s="62"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16" t="str">
        <f>HYPERLINK("#'Constants - Poultry'!A1", "Constants - Poultry")</f>
        <v>Constants - Poultry</v>
      </c>
      <c r="D31" s="62" t="str" cm="1">
        <f t="array" ref="D31">Common_InputFunctions.Utility_DisplayArrayInTable(Fertiliser_SourceData.Fertiliser_ChemicalCompoundElements_Data(),Table_Fertiliser_ChemicalCompounds[[#Headers],[Fertiliser type f]], 0)</f>
        <v>Potassium - Generic</v>
      </c>
      <c r="E31" s="62" cm="1">
        <f t="array" ref="E31">Common_InputFunctions.Utility_DisplayArrayInTable(Fertiliser_SourceData.Fertiliser_ChemicalCompoundElements_Data(),Table_Fertiliser_ChemicalCompounds[[#Headers],[Fertiliser type f]], 0)</f>
        <v>0</v>
      </c>
      <c r="F31" s="62" cm="1">
        <f t="array" ref="F31">Common_InputFunctions.Utility_DisplayArrayInTable(Fertiliser_SourceData.Fertiliser_ChemicalCompoundElements_Data(),Table_Fertiliser_ChemicalCompounds[[#Headers],[Fertiliser type f]], 0)</f>
        <v>0</v>
      </c>
      <c r="G31" s="62" t="str" cm="1">
        <f t="array" ref="G31">Common_InputFunctions.Utility_DisplayArrayInTable(Fertiliser_SourceData.Fertiliser_ChemicalCompoundElements_Data(),Table_Fertiliser_ChemicalCompounds[[#Headers],[Fertiliser type f]], 0)</f>
        <v>Other fertilisers</v>
      </c>
      <c r="H31" s="62" t="str" cm="1">
        <f t="array" ref="H31">Common_InputFunctions.Utility_DisplayArrayInTable(Fertiliser_SourceData.Fertiliser_ChemicalCompoundElements_Data(),Table_Fertiliser_ChemicalCompounds[[#Headers],[Fertiliser type f]], 0)</f>
        <v>Potassium from fertiliser</v>
      </c>
      <c r="I31" s="62"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16" t="str">
        <f>HYPERLINK("#'Constants - Swine'!A1", "Constants - Swine")</f>
        <v>Constants - Swine</v>
      </c>
      <c r="D32" s="62" t="str" cm="1">
        <f t="array" ref="D32">Common_InputFunctions.Utility_DisplayArrayInTable(Fertiliser_SourceData.Fertiliser_ChemicalCompoundElements_Data(),Table_Fertiliser_ChemicalCompounds[[#Headers],[Fertiliser type f]], 0)</f>
        <v>Sulfur - Generic</v>
      </c>
      <c r="E32" s="62" cm="1">
        <f t="array" ref="E32">Common_InputFunctions.Utility_DisplayArrayInTable(Fertiliser_SourceData.Fertiliser_ChemicalCompoundElements_Data(),Table_Fertiliser_ChemicalCompounds[[#Headers],[Fertiliser type f]], 0)</f>
        <v>0</v>
      </c>
      <c r="F32" s="62" cm="1">
        <f t="array" ref="F32">Common_InputFunctions.Utility_DisplayArrayInTable(Fertiliser_SourceData.Fertiliser_ChemicalCompoundElements_Data(),Table_Fertiliser_ChemicalCompounds[[#Headers],[Fertiliser type f]], 0)</f>
        <v>0</v>
      </c>
      <c r="G32" s="62" t="str" cm="1">
        <f t="array" ref="G32">Common_InputFunctions.Utility_DisplayArrayInTable(Fertiliser_SourceData.Fertiliser_ChemicalCompoundElements_Data(),Table_Fertiliser_ChemicalCompounds[[#Headers],[Fertiliser type f]], 0)</f>
        <v>Other fertilisers</v>
      </c>
      <c r="H32" s="62" t="str" cm="1">
        <f t="array" ref="H32">Common_InputFunctions.Utility_DisplayArrayInTable(Fertiliser_SourceData.Fertiliser_ChemicalCompoundElements_Data(),Table_Fertiliser_ChemicalCompounds[[#Headers],[Fertiliser type f]], 0)</f>
        <v>Sulfur from fertiliser</v>
      </c>
      <c r="I32" s="62"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16" t="str">
        <f>HYPERLINK("#'Constants - Dairy'!A1", "Constants - Dairy")</f>
        <v>Constants - Dairy</v>
      </c>
      <c r="D33" s="62" t="str" cm="1">
        <f t="array" ref="D33">Common_InputFunctions.Utility_DisplayArrayInTable(Fertiliser_SourceData.Fertiliser_ChemicalCompoundElements_Data(),Table_Fertiliser_ChemicalCompounds[[#Headers],[Fertiliser type f]], 0)</f>
        <v>Zinc - Generic</v>
      </c>
      <c r="E33" s="62" cm="1">
        <f t="array" ref="E33">Common_InputFunctions.Utility_DisplayArrayInTable(Fertiliser_SourceData.Fertiliser_ChemicalCompoundElements_Data(),Table_Fertiliser_ChemicalCompounds[[#Headers],[Fertiliser type f]], 0)</f>
        <v>0</v>
      </c>
      <c r="F33" s="62" cm="1">
        <f t="array" ref="F33">Common_InputFunctions.Utility_DisplayArrayInTable(Fertiliser_SourceData.Fertiliser_ChemicalCompoundElements_Data(),Table_Fertiliser_ChemicalCompounds[[#Headers],[Fertiliser type f]], 0)</f>
        <v>0</v>
      </c>
      <c r="G33" s="62" t="str" cm="1">
        <f t="array" ref="G33">Common_InputFunctions.Utility_DisplayArrayInTable(Fertiliser_SourceData.Fertiliser_ChemicalCompoundElements_Data(),Table_Fertiliser_ChemicalCompounds[[#Headers],[Fertiliser type f]], 0)</f>
        <v>Other fertilisers</v>
      </c>
      <c r="H33" s="62" t="str" cm="1">
        <f t="array" ref="H33">Common_InputFunctions.Utility_DisplayArrayInTable(Fertiliser_SourceData.Fertiliser_ChemicalCompoundElements_Data(),Table_Fertiliser_ChemicalCompounds[[#Headers],[Fertiliser type f]], 0)</f>
        <v>Zinc from fertiliser</v>
      </c>
      <c r="I33" s="62"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16" t="str">
        <f>HYPERLINK("#'Constants - Pasture Beef'!A1", "Constants - Pasture Beef")</f>
        <v>Constants - Pasture Beef</v>
      </c>
      <c r="D34" s="62" t="str" cm="1">
        <f t="array" ref="D34">Common_InputFunctions.Utility_DisplayArrayInTable(Fertiliser_SourceData.Fertiliser_ChemicalCompoundElements_Data(),Table_Fertiliser_ChemicalCompounds[[#Headers],[Fertiliser type f]], 0)</f>
        <v>Muriate of potash (MOP)</v>
      </c>
      <c r="E34" s="62" cm="1">
        <f t="array" ref="E34">Common_InputFunctions.Utility_DisplayArrayInTable(Fertiliser_SourceData.Fertiliser_ChemicalCompoundElements_Data(),Table_Fertiliser_ChemicalCompounds[[#Headers],[Fertiliser type f]], 0)</f>
        <v>0</v>
      </c>
      <c r="F34" s="62" cm="1">
        <f t="array" ref="F34">Common_InputFunctions.Utility_DisplayArrayInTable(Fertiliser_SourceData.Fertiliser_ChemicalCompoundElements_Data(),Table_Fertiliser_ChemicalCompounds[[#Headers],[Fertiliser type f]], 0)</f>
        <v>0</v>
      </c>
      <c r="G34" s="62" t="str" cm="1">
        <f t="array" ref="G34">Common_InputFunctions.Utility_DisplayArrayInTable(Fertiliser_SourceData.Fertiliser_ChemicalCompoundElements_Data(),Table_Fertiliser_ChemicalCompounds[[#Headers],[Fertiliser type f]], 0)</f>
        <v>Other fertilisers</v>
      </c>
      <c r="H34" s="62" t="str" cm="1">
        <f t="array" ref="H34">Common_InputFunctions.Utility_DisplayArrayInTable(Fertiliser_SourceData.Fertiliser_ChemicalCompoundElements_Data(),Table_Fertiliser_ChemicalCompounds[[#Headers],[Fertiliser type f]], 0)</f>
        <v>Muriate of potash (MOP)</v>
      </c>
      <c r="I34" s="62"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16" t="str">
        <f>HYPERLINK("#'Constants - Common Livestock'!A1", "Constants - Common Livestock")</f>
        <v>Constants - Common Livestock</v>
      </c>
      <c r="D35" s="62" t="str" cm="1">
        <f t="array" ref="D35">Common_InputFunctions.Utility_DisplayArrayInTable(Fertiliser_SourceData.Fertiliser_ChemicalCompoundElements_Data(),Table_Fertiliser_ChemicalCompounds[[#Headers],[Fertiliser type f]], 0)</f>
        <v>Double superphosphate</v>
      </c>
      <c r="E35" s="62" cm="1">
        <f t="array" ref="E35">Common_InputFunctions.Utility_DisplayArrayInTable(Fertiliser_SourceData.Fertiliser_ChemicalCompoundElements_Data(),Table_Fertiliser_ChemicalCompounds[[#Headers],[Fertiliser type f]], 0)</f>
        <v>0</v>
      </c>
      <c r="F35" s="62" cm="1">
        <f t="array" ref="F35">Common_InputFunctions.Utility_DisplayArrayInTable(Fertiliser_SourceData.Fertiliser_ChemicalCompoundElements_Data(),Table_Fertiliser_ChemicalCompounds[[#Headers],[Fertiliser type f]], 0)</f>
        <v>0</v>
      </c>
      <c r="G35" s="62" t="str" cm="1">
        <f t="array" ref="G35">Common_InputFunctions.Utility_DisplayArrayInTable(Fertiliser_SourceData.Fertiliser_ChemicalCompoundElements_Data(),Table_Fertiliser_ChemicalCompounds[[#Headers],[Fertiliser type f]], 0)</f>
        <v>Other fertilisers</v>
      </c>
      <c r="H35" s="62" t="str" cm="1">
        <f t="array" ref="H35">Common_InputFunctions.Utility_DisplayArrayInTable(Fertiliser_SourceData.Fertiliser_ChemicalCompoundElements_Data(),Table_Fertiliser_ChemicalCompounds[[#Headers],[Fertiliser type f]], 0)</f>
        <v>Double superphosphate</v>
      </c>
      <c r="I35" s="62"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23" t="str">
        <f>HYPERLINK("#'Constants - Fertiliser'!A1", "Constants - Fertiliser")</f>
        <v>Constants - Fertiliser</v>
      </c>
      <c r="D36" s="62" t="str" cm="1">
        <f t="array" ref="D36">Common_InputFunctions.Utility_DisplayArrayInTable(Fertiliser_SourceData.Fertiliser_ChemicalCompoundElements_Data(),Table_Fertiliser_ChemicalCompounds[[#Headers],[Fertiliser type f]], 0)</f>
        <v>Single superphosphate (SSP)</v>
      </c>
      <c r="E36" s="62" cm="1">
        <f t="array" ref="E36">Common_InputFunctions.Utility_DisplayArrayInTable(Fertiliser_SourceData.Fertiliser_ChemicalCompoundElements_Data(),Table_Fertiliser_ChemicalCompounds[[#Headers],[Fertiliser type f]], 0)</f>
        <v>0</v>
      </c>
      <c r="F36" s="62" cm="1">
        <f t="array" ref="F36">Common_InputFunctions.Utility_DisplayArrayInTable(Fertiliser_SourceData.Fertiliser_ChemicalCompoundElements_Data(),Table_Fertiliser_ChemicalCompounds[[#Headers],[Fertiliser type f]], 0)</f>
        <v>0</v>
      </c>
      <c r="G36" s="62" t="str" cm="1">
        <f t="array" ref="G36">Common_InputFunctions.Utility_DisplayArrayInTable(Fertiliser_SourceData.Fertiliser_ChemicalCompoundElements_Data(),Table_Fertiliser_ChemicalCompounds[[#Headers],[Fertiliser type f]], 0)</f>
        <v>Other fertilisers</v>
      </c>
      <c r="H36" s="62" t="str" cm="1">
        <f t="array" ref="H36">Common_InputFunctions.Utility_DisplayArrayInTable(Fertiliser_SourceData.Fertiliser_ChemicalCompoundElements_Data(),Table_Fertiliser_ChemicalCompounds[[#Headers],[Fertiliser type f]], 0)</f>
        <v>Single superphosphate (SSP)</v>
      </c>
      <c r="I36" s="62"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16" t="str">
        <f>HYPERLINK("#'Constants - Electricity'!A1", "Constants - Electricity")</f>
        <v>Constants - Electricity</v>
      </c>
      <c r="D37" s="62" t="str" cm="1">
        <f t="array" ref="D37">Common_InputFunctions.Utility_DisplayArrayInTable(Fertiliser_SourceData.Fertiliser_ChemicalCompoundElements_Data(),Table_Fertiliser_ChemicalCompounds[[#Headers],[Fertiliser type f]], 0)</f>
        <v>Ammonia</v>
      </c>
      <c r="E37" s="62" cm="1">
        <f t="array" ref="E37">Common_InputFunctions.Utility_DisplayArrayInTable(Fertiliser_SourceData.Fertiliser_ChemicalCompoundElements_Data(),Table_Fertiliser_ChemicalCompounds[[#Headers],[Fertiliser type f]], 0)</f>
        <v>0.82350000000000001</v>
      </c>
      <c r="F37" s="62" cm="1">
        <f t="array" ref="F37">Common_InputFunctions.Utility_DisplayArrayInTable(Fertiliser_SourceData.Fertiliser_ChemicalCompoundElements_Data(),Table_Fertiliser_ChemicalCompounds[[#Headers],[Fertiliser type f]], 0)</f>
        <v>0</v>
      </c>
      <c r="G37" s="62" t="str" cm="1">
        <f t="array" ref="G37">Common_InputFunctions.Utility_DisplayArrayInTable(Fertiliser_SourceData.Fertiliser_ChemicalCompoundElements_Data(),Table_Fertiliser_ChemicalCompounds[[#Headers],[Fertiliser type f]], 0)</f>
        <v>Ammonium-based fertilisers</v>
      </c>
      <c r="H37" s="62" t="str" cm="1">
        <f t="array" ref="H37">Common_InputFunctions.Utility_DisplayArrayInTable(Fertiliser_SourceData.Fertiliser_ChemicalCompoundElements_Data(),Table_Fertiliser_ChemicalCompounds[[#Headers],[Fertiliser type f]], 0)</f>
        <v>Ammonia</v>
      </c>
      <c r="I37" s="62"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16" t="str">
        <f>HYPERLINK("#'Constants - Common'!A1", "Constants - Common")</f>
        <v>Constants - Common</v>
      </c>
      <c r="D38" s="8" t="str" cm="1">
        <f t="array" ref="D38">Common_InputFunctions.Utility_DisplayArrayInTable(Fertiliser_SourceData.Fertiliser_ChemicalCompoundElements_Data(),Table_Fertiliser_ChemicalCompounds[[#Headers],[Fertiliser type f]], 0)</f>
        <v>Calcium nitrate</v>
      </c>
      <c r="E38" s="8" cm="1">
        <f t="array" ref="E38">Common_InputFunctions.Utility_DisplayArrayInTable(Fertiliser_SourceData.Fertiliser_ChemicalCompoundElements_Data(),Table_Fertiliser_ChemicalCompounds[[#Headers],[Fertiliser type f]], 0)</f>
        <v>0.155</v>
      </c>
      <c r="F38" s="8" cm="1">
        <f t="array" ref="F38">Common_InputFunctions.Utility_DisplayArrayInTable(Fertiliser_SourceData.Fertiliser_ChemicalCompoundElements_Data(),Table_Fertiliser_ChemicalCompounds[[#Headers],[Fertiliser type f]], 0)</f>
        <v>0</v>
      </c>
      <c r="G38" s="8" t="str" cm="1">
        <f t="array" ref="G38">Common_InputFunctions.Utility_DisplayArrayInTable(Fertiliser_SourceData.Fertiliser_ChemicalCompoundElements_Data(),Table_Fertiliser_ChemicalCompounds[[#Headers],[Fertiliser type f]], 0)</f>
        <v>Nitrate-based fertilisers</v>
      </c>
      <c r="H38" s="8" t="str" cm="1">
        <f t="array" ref="H38">Common_InputFunctions.Utility_DisplayArrayInTable(Fertiliser_SourceData.Fertiliser_ChemicalCompoundElements_Data(),Table_Fertiliser_ChemicalCompounds[[#Headers],[Fertiliser type f]], 0)</f>
        <v>Calcium nitrate</v>
      </c>
      <c r="I38" s="8"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row>
    <row r="40" spans="1:10" ht="20.100000000000001" customHeight="1" x14ac:dyDescent="0.25">
      <c r="A40"/>
      <c r="D40" s="9" t="s">
        <v>141</v>
      </c>
      <c r="F40" s="9" t="s">
        <v>142</v>
      </c>
      <c r="H40" s="9" t="s">
        <v>143</v>
      </c>
      <c r="J40" s="9" t="s">
        <v>144</v>
      </c>
    </row>
    <row r="41" spans="1:10" ht="20.100000000000001" customHeight="1" x14ac:dyDescent="0.25">
      <c r="A41"/>
      <c r="D41" s="10" t="s">
        <v>145</v>
      </c>
      <c r="F41" s="10" t="s">
        <v>145</v>
      </c>
      <c r="H41" s="10" t="s">
        <v>43</v>
      </c>
      <c r="J41" s="10" t="s">
        <v>146</v>
      </c>
    </row>
    <row r="42" spans="1:10" ht="20.100000000000001" customHeight="1" x14ac:dyDescent="0.25">
      <c r="A42"/>
      <c r="D42" s="10" t="s">
        <v>147</v>
      </c>
      <c r="F42" s="10" t="s">
        <v>147</v>
      </c>
      <c r="H42" s="10" t="s">
        <v>148</v>
      </c>
      <c r="J42" s="10" t="s">
        <v>149</v>
      </c>
    </row>
    <row r="43" spans="1:10" ht="20.100000000000001" customHeight="1" x14ac:dyDescent="0.25">
      <c r="A43"/>
      <c r="D43" s="8" t="s">
        <v>150</v>
      </c>
      <c r="F43" s="8" t="s">
        <v>151</v>
      </c>
      <c r="H43" s="10" t="s">
        <v>152</v>
      </c>
      <c r="J43" s="8" t="s">
        <v>153</v>
      </c>
    </row>
    <row r="44" spans="1:10" ht="20.100000000000001" customHeight="1" x14ac:dyDescent="0.25">
      <c r="A44"/>
      <c r="F44" s="8" t="s">
        <v>154</v>
      </c>
      <c r="H44" s="8" t="s">
        <v>155</v>
      </c>
      <c r="J44" s="8" t="s">
        <v>156</v>
      </c>
    </row>
    <row r="45" spans="1:10" ht="20.100000000000001" customHeight="1" x14ac:dyDescent="0.25">
      <c r="A45"/>
      <c r="F45" s="8" t="s">
        <v>157</v>
      </c>
      <c r="H45" s="8" t="s">
        <v>158</v>
      </c>
      <c r="J45" s="8" t="s">
        <v>159</v>
      </c>
    </row>
    <row r="46" spans="1:10" ht="20.100000000000001" customHeight="1" x14ac:dyDescent="0.25">
      <c r="A46"/>
      <c r="H46" s="8" t="s">
        <v>160</v>
      </c>
      <c r="J46" s="8" t="s">
        <v>161</v>
      </c>
    </row>
    <row r="47" spans="1:10" ht="20.100000000000001" customHeight="1" x14ac:dyDescent="0.25">
      <c r="A47"/>
    </row>
    <row r="48" spans="1:10" ht="20.100000000000001" customHeight="1" x14ac:dyDescent="0.25">
      <c r="A48"/>
      <c r="D48" s="9" t="str" cm="1">
        <f t="array" ref="D48">Fertiliser_SourceData.Fertiliser_FracGASF_Title()</f>
        <v>Fraction of inorganic fertiliser that volatilises as NH3 and NOx</v>
      </c>
      <c r="G48" s="17"/>
    </row>
    <row r="49" spans="1:8" ht="20.100000000000001" customHeight="1" x14ac:dyDescent="0.25">
      <c r="A49"/>
      <c r="D49" s="11" t="str" cm="1">
        <f t="array" ref="D49">Fertiliser_SourceData.Fertiliser_FracGASF_Source()</f>
        <v>Table A.2.2.6: Fraction of inorganic fertiliser f that volatilises as NH3 and NOx ((kg NH3-N + NOx-N)/kg N) (FracGASFf)</v>
      </c>
      <c r="G49" s="17"/>
    </row>
    <row r="50" spans="1:8" ht="20.100000000000001" customHeight="1" x14ac:dyDescent="0.25">
      <c r="A50"/>
      <c r="D50" s="10" t="s">
        <v>135</v>
      </c>
      <c r="E50" s="10" t="s">
        <v>162</v>
      </c>
      <c r="G50" s="17"/>
    </row>
    <row r="51" spans="1:8" ht="20.100000000000001" customHeight="1" x14ac:dyDescent="0.25">
      <c r="A51"/>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1:8" ht="20.100000000000001" customHeight="1" x14ac:dyDescent="0.25">
      <c r="A52"/>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1:8" ht="20.100000000000001" customHeight="1" x14ac:dyDescent="0.25">
      <c r="A53"/>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1:8" ht="20.100000000000001" customHeight="1" x14ac:dyDescent="0.25">
      <c r="A54"/>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1:8" ht="20.100000000000001" customHeight="1" x14ac:dyDescent="0.25">
      <c r="A5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1:8" ht="20.100000000000001" customHeight="1" x14ac:dyDescent="0.25">
      <c r="A56"/>
    </row>
    <row r="57" spans="1:8" ht="20.100000000000001" customHeight="1" x14ac:dyDescent="0.25">
      <c r="A57"/>
    </row>
    <row r="58" spans="1:8" ht="20.100000000000001" customHeight="1" x14ac:dyDescent="0.25">
      <c r="A58"/>
      <c r="D58" s="9" t="str" cm="1">
        <f t="array" ref="D58">Fertiliser_SourceData.Fertiliser_EFUreaCO2_Title()</f>
        <v>Emission factor for carbon emissions from urea application</v>
      </c>
    </row>
    <row r="59" spans="1:8" ht="20.100000000000001" customHeight="1" x14ac:dyDescent="0.25">
      <c r="A59"/>
      <c r="D59" s="11" t="str" cm="1">
        <f t="array" ref="D59">Fertiliser_SourceData.Fertiliser_EFUreaCO2_Source()</f>
        <v>VEERG 2026: 5.1.2.2 Constant Parameters</v>
      </c>
    </row>
    <row r="60" spans="1:8" ht="20.100000000000001" customHeight="1" x14ac:dyDescent="0.25">
      <c r="A60"/>
      <c r="D60" s="27"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1:8" ht="20.100000000000001" customHeight="1" x14ac:dyDescent="0.25">
      <c r="A61"/>
    </row>
    <row r="62" spans="1:8" ht="20.100000000000001" customHeight="1" x14ac:dyDescent="0.25">
      <c r="A62"/>
    </row>
    <row r="63" spans="1:8" ht="20.100000000000001" customHeight="1" x14ac:dyDescent="0.25">
      <c r="A63"/>
      <c r="D63" s="9" t="str" cm="1">
        <f t="array" ref="D63">Fertiliser_SourceData.Fertiliser_LimeDolomiteGypsumConstants_Title()</f>
        <v>Constants for lime, dolomite and gypsum</v>
      </c>
    </row>
    <row r="64" spans="1:8" ht="20.100000000000001" customHeight="1" x14ac:dyDescent="0.25">
      <c r="A64"/>
      <c r="D64" s="11" t="str" cm="1">
        <f t="array" ref="D64">Fertiliser_SourceData.Fertiliser_LimeDolomiteGypsumConstants_Source()</f>
        <v>VEERG 2026: 5.3.2.3 Constant Parameters</v>
      </c>
    </row>
    <row r="65" spans="1:6" ht="20.100000000000001" customHeight="1" x14ac:dyDescent="0.25">
      <c r="A65"/>
      <c r="D65" s="10" t="s">
        <v>163</v>
      </c>
      <c r="E65" s="10" t="s">
        <v>164</v>
      </c>
      <c r="F65" s="10" t="s">
        <v>165</v>
      </c>
    </row>
    <row r="66" spans="1:6" ht="20.100000000000001" customHeight="1" x14ac:dyDescent="0.25">
      <c r="A66"/>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1:6" ht="20.100000000000001" customHeight="1" x14ac:dyDescent="0.25">
      <c r="A67"/>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1:6" ht="20.100000000000001" customHeight="1" x14ac:dyDescent="0.25">
      <c r="A68"/>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1:6" ht="20.100000000000001" customHeight="1" x14ac:dyDescent="0.25">
      <c r="A69"/>
    </row>
    <row r="70" spans="1:6" ht="20.100000000000001" customHeight="1" x14ac:dyDescent="0.25">
      <c r="A70"/>
    </row>
    <row r="71" spans="1:6" ht="20.100000000000001" customHeight="1" x14ac:dyDescent="0.25">
      <c r="A71"/>
      <c r="D71" s="9" t="str" cm="1">
        <f t="array" ref="D71">Fertiliser_SourceData.Fertiliser_FracGASMSoil_Title()</f>
        <v>Fraction of organic fertiliser that volatilises as NH3 and NOx</v>
      </c>
    </row>
    <row r="72" spans="1:6" ht="20.100000000000001" customHeight="1" x14ac:dyDescent="0.25">
      <c r="A72"/>
      <c r="D72" s="11" t="str" cm="1">
        <f t="array" ref="D72">Fertiliser_SourceData.Fertiliser_FracGASMSoil_Source()</f>
        <v>VEERG 2026: 5.4.2.3 Constant Parameters</v>
      </c>
    </row>
    <row r="73" spans="1:6" ht="20.100000000000001" customHeight="1" x14ac:dyDescent="0.25">
      <c r="A73"/>
      <c r="D73" s="27"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1:6" ht="20.100000000000001" customHeight="1" x14ac:dyDescent="0.25">
      <c r="A74"/>
    </row>
    <row r="75" spans="1:6" ht="20.100000000000001" customHeight="1" x14ac:dyDescent="0.25">
      <c r="A75"/>
    </row>
    <row r="76" spans="1:6" ht="20.100000000000001" customHeight="1" x14ac:dyDescent="0.25">
      <c r="A76"/>
      <c r="D76" s="9" t="str" cm="1">
        <f t="array" ref="D76">Fertiliser_SourceData.Fertiliser_FracLEACH_Title()</f>
        <v>Fraction of nitrogen that is lost through leaching and runoff</v>
      </c>
    </row>
    <row r="77" spans="1:6" ht="20.100000000000001" customHeight="1" x14ac:dyDescent="0.25">
      <c r="A77"/>
      <c r="D77" s="11" t="str" cm="1">
        <f t="array" ref="D77">Fertiliser_SourceData.Fertiliser_FracLEACH_Source()</f>
        <v>VEERG 2026: 5.5.2.3 Constant Parameters</v>
      </c>
    </row>
    <row r="78" spans="1:6" ht="20.100000000000001" customHeight="1" x14ac:dyDescent="0.25">
      <c r="A78"/>
      <c r="D78" s="27"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1:6" ht="20.100000000000001" customHeight="1" x14ac:dyDescent="0.25">
      <c r="A79"/>
    </row>
    <row r="80" spans="1:6" ht="20.100000000000001" customHeight="1" x14ac:dyDescent="0.25">
      <c r="A80"/>
    </row>
    <row r="81" spans="1:34" ht="20.100000000000001" customHeight="1" x14ac:dyDescent="0.25">
      <c r="A81"/>
      <c r="D81" s="9" t="str" cm="1">
        <f t="array" ref="D81">Fertiliser_SourceData.Fertiliser_EFLeach_Title()</f>
        <v>Emission factor for nitrogen leaching and runoff</v>
      </c>
    </row>
    <row r="82" spans="1:34" ht="20.100000000000001" customHeight="1" x14ac:dyDescent="0.25">
      <c r="A82"/>
      <c r="D82" s="11" t="str" cm="1">
        <f t="array" ref="D82">Fertiliser_SourceData.Fertiliser_EFLeach_Source()</f>
        <v>VEERG 2026: 5.5.2.3 Constant Parameters</v>
      </c>
    </row>
    <row r="83" spans="1:34" ht="20.100000000000001" customHeight="1" x14ac:dyDescent="0.25">
      <c r="A83"/>
      <c r="D83" s="27"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1:34" ht="20.100000000000001" customHeight="1" x14ac:dyDescent="0.25">
      <c r="A84"/>
    </row>
    <row r="85" spans="1:34" ht="20.100000000000001" customHeight="1" x14ac:dyDescent="0.25">
      <c r="A85"/>
    </row>
    <row r="86" spans="1:34" ht="20.100000000000001" customHeight="1" x14ac:dyDescent="0.25">
      <c r="A86"/>
    </row>
    <row r="87" spans="1:34" ht="20.100000000000001" customHeight="1" x14ac:dyDescent="0.25">
      <c r="A87"/>
      <c r="D87" s="9" t="s">
        <v>166</v>
      </c>
      <c r="E87" s="17"/>
      <c r="F87" s="17"/>
      <c r="G87" s="17"/>
      <c r="H87" s="17"/>
      <c r="I87" s="17"/>
      <c r="J87" s="17"/>
      <c r="K87" s="17"/>
      <c r="L87" s="17"/>
      <c r="N87" s="17"/>
      <c r="O87" s="17"/>
      <c r="P87" s="17"/>
      <c r="Q87" s="17"/>
      <c r="R87" s="17"/>
      <c r="S87" s="17"/>
      <c r="T87" s="17"/>
      <c r="U87" s="17"/>
    </row>
    <row r="88" spans="1:34" ht="20.100000000000001" customHeight="1" x14ac:dyDescent="0.25">
      <c r="A88"/>
      <c r="D88" s="17"/>
    </row>
    <row r="89" spans="1:34" ht="20.100000000000001" customHeight="1" x14ac:dyDescent="0.25">
      <c r="A89"/>
      <c r="D89" s="214" t="s">
        <v>167</v>
      </c>
      <c r="E89" s="10" t="s">
        <v>212</v>
      </c>
      <c r="F89" s="10" t="s">
        <v>97</v>
      </c>
      <c r="G89" s="145" t="s">
        <v>311</v>
      </c>
      <c r="H89" s="145" t="s">
        <v>926</v>
      </c>
      <c r="I89" s="145" t="s">
        <v>169</v>
      </c>
      <c r="J89" s="145" t="s">
        <v>170</v>
      </c>
      <c r="K89" s="145" t="s">
        <v>927</v>
      </c>
      <c r="L89" s="145" t="s">
        <v>928</v>
      </c>
      <c r="M89" s="145" t="s">
        <v>929</v>
      </c>
      <c r="N89" s="145" t="s">
        <v>930</v>
      </c>
      <c r="O89" s="145" t="s">
        <v>171</v>
      </c>
      <c r="P89" s="145" t="s">
        <v>172</v>
      </c>
      <c r="Q89" s="10" t="s">
        <v>173</v>
      </c>
      <c r="R89" s="10" t="s">
        <v>174</v>
      </c>
      <c r="S89" s="10" t="s">
        <v>175</v>
      </c>
      <c r="T89" s="10" t="s">
        <v>176</v>
      </c>
      <c r="U89" s="145" t="s">
        <v>177</v>
      </c>
      <c r="V89" s="145" t="s">
        <v>178</v>
      </c>
      <c r="W89" s="10" t="s">
        <v>179</v>
      </c>
      <c r="X89" s="145" t="s">
        <v>180</v>
      </c>
      <c r="Y89" s="145" t="s">
        <v>181</v>
      </c>
      <c r="Z89" s="145" t="s">
        <v>182</v>
      </c>
      <c r="AA89" s="145" t="s">
        <v>183</v>
      </c>
      <c r="AB89" s="145" t="s">
        <v>184</v>
      </c>
      <c r="AC89" s="10" t="s">
        <v>185</v>
      </c>
      <c r="AD89" s="10" t="s">
        <v>186</v>
      </c>
      <c r="AE89" s="10" t="s">
        <v>187</v>
      </c>
      <c r="AF89" s="10" t="s">
        <v>188</v>
      </c>
      <c r="AG89" s="10" t="s">
        <v>931</v>
      </c>
      <c r="AH89" s="10" t="s">
        <v>189</v>
      </c>
    </row>
    <row r="90" spans="1:34" ht="20.100000000000001" customHeight="1" x14ac:dyDescent="0.25">
      <c r="A90"/>
      <c r="D90" s="215" t="str" cm="1">
        <f t="array" ref="D90">Common_InputFunctions.Utility_DisplayArrayInTable(Fertiliser_SourceData.Fertiliser_Products_Data1(), FertiliserProducts[[#Headers],[Company]],1)</f>
        <v>Campbells fertilisers Australia</v>
      </c>
      <c r="E90" s="215" t="str" cm="1">
        <f t="array" ref="E90">Common_InputFunctions.Utility_DisplayArrayInTable(Fertiliser_SourceData.Fertiliser_Products_Data1(), FertiliserProducts[[#Headers],[Company]],1)</f>
        <v>Aqua Finish</v>
      </c>
      <c r="F90" s="215" t="str" cm="1">
        <f t="array" ref="F90">Common_InputFunctions.Utility_DisplayArrayInTable(Fertiliser_SourceData.Fertiliser_Products_Data1(), FertiliserProducts[[#Headers],[Company]],1)</f>
        <v>L</v>
      </c>
      <c r="G90" s="215" cm="1">
        <f t="array" ref="G90">Common_InputFunctions.Utility_DisplayArrayInTable(Fertiliser_SourceData.Fertiliser_Products_Data1(), FertiliserProducts[[#Headers],[Company]],1)</f>
        <v>1.26</v>
      </c>
      <c r="H90" s="215" t="str" cm="1">
        <f t="array" ref="H90">Common_InputFunctions.Utility_DisplayArrayInTable(Fertiliser_SourceData.Fertiliser_Products_Data1(), FertiliserProducts[[#Headers],[Company]],1)</f>
        <v/>
      </c>
      <c r="I90" s="215" t="str" cm="1">
        <f t="array" ref="I90">Common_InputFunctions.Utility_DisplayArrayInTable(Fertiliser_SourceData.Fertiliser_Products_Data1(), FertiliserProducts[[#Headers],[Company]],1)</f>
        <v/>
      </c>
      <c r="J90" s="215" t="str" cm="1">
        <f t="array" ref="J90">Common_InputFunctions.Utility_DisplayArrayInTable(Fertiliser_SourceData.Fertiliser_Products_Data1(), FertiliserProducts[[#Headers],[Company]],1)</f>
        <v/>
      </c>
      <c r="K90" s="215" cm="1">
        <f t="array" ref="K90">Common_InputFunctions.Utility_DisplayArrayInTable(Fertiliser_SourceData.Fertiliser_Products_Data1(), FertiliserProducts[[#Headers],[Company]],1)</f>
        <v>2.6</v>
      </c>
      <c r="L90" s="215" cm="1">
        <f t="array" ref="L90">Common_InputFunctions.Utility_DisplayArrayInTable(Fertiliser_SourceData.Fertiliser_Products_Data1(), FertiliserProducts[[#Headers],[Company]],1)</f>
        <v>4</v>
      </c>
      <c r="M90" s="215" cm="1">
        <f t="array" ref="M90">Common_InputFunctions.Utility_DisplayArrayInTable(Fertiliser_SourceData.Fertiliser_Products_Data1(), FertiliserProducts[[#Headers],[Company]],1)</f>
        <v>22.5</v>
      </c>
      <c r="N90" s="215" t="str" cm="1">
        <f t="array" ref="N90">Common_InputFunctions.Utility_DisplayArrayInTable(Fertiliser_SourceData.Fertiliser_Products_Data1(), FertiliserProducts[[#Headers],[Company]],1)</f>
        <v/>
      </c>
      <c r="O90" s="215" t="str" cm="1">
        <f t="array" ref="O90">Common_InputFunctions.Utility_DisplayArrayInTable(Fertiliser_SourceData.Fertiliser_Products_Data1(), FertiliserProducts[[#Headers],[Company]],1)</f>
        <v>Potassium - Generic</v>
      </c>
      <c r="P90" s="215" cm="1">
        <f t="array" ref="P90">Common_InputFunctions.Utility_DisplayArrayInTable(Fertiliser_SourceData.Fertiliser_Products_Data1(), FertiliserProducts[[#Headers],[Company]],1)</f>
        <v>0.22500000000000001</v>
      </c>
      <c r="Q90" s="215" t="str" cm="1">
        <f t="array" ref="Q90">Common_InputFunctions.Utility_DisplayArrayInTable(Fertiliser_SourceData.Fertiliser_Products_Data1(), FertiliserProducts[[#Headers],[Company]],1)</f>
        <v>Phosphorus - Generic</v>
      </c>
      <c r="R90" s="215" cm="1">
        <f t="array" ref="R90">Common_InputFunctions.Utility_DisplayArrayInTable(Fertiliser_SourceData.Fertiliser_Products_Data1(), FertiliserProducts[[#Headers],[Company]],1)</f>
        <v>0.04</v>
      </c>
      <c r="S90" s="215" t="str" cm="1">
        <f t="array" ref="S90">Common_InputFunctions.Utility_DisplayArrayInTable(Fertiliser_SourceData.Fertiliser_Products_Data1(), FertiliserProducts[[#Headers],[Company]],1)</f>
        <v>Nitrogen - Generic</v>
      </c>
      <c r="T90" s="215" cm="1">
        <f t="array" ref="T90">Common_InputFunctions.Utility_DisplayArrayInTable(Fertiliser_SourceData.Fertiliser_Products_Data1(), FertiliserProducts[[#Headers],[Company]],1)</f>
        <v>2.5999999999999999E-2</v>
      </c>
      <c r="U90" s="215" t="str" cm="1">
        <f t="array" ref="U90">Common_InputFunctions.Utility_DisplayArrayInTable(Fertiliser_SourceData.Fertiliser_Products_Data1(), FertiliserProducts[[#Headers],[Company]],1)</f>
        <v/>
      </c>
      <c r="V90" s="215" t="str" cm="1">
        <f t="array" ref="V90">Common_InputFunctions.Utility_DisplayArrayInTable(Fertiliser_SourceData.Fertiliser_Products_Data1(), FertiliserProducts[[#Headers],[Company]],1)</f>
        <v/>
      </c>
      <c r="W90" s="215" t="str" cm="1">
        <f t="array" ref="W90">Common_InputFunctions.Utility_DisplayArrayInTable(Fertiliser_SourceData.Fertiliser_Products_Data1(), FertiliserProducts[[#Headers],[Company]],1)</f>
        <v/>
      </c>
      <c r="X90" s="215" t="str" cm="1">
        <f t="array" ref="X90">Common_InputFunctions.Utility_DisplayArrayInTable(Fertiliser_SourceData.Fertiliser_Products_Data1(), FertiliserProducts[[#Headers],[Company]],1)</f>
        <v/>
      </c>
      <c r="Y90" s="215" t="str" cm="1">
        <f t="array" ref="Y90">Common_InputFunctions.Utility_DisplayArrayInTable(Fertiliser_SourceData.Fertiliser_Products_Data1(), FertiliserProducts[[#Headers],[Company]],1)</f>
        <v/>
      </c>
      <c r="Z90" s="215" t="str" cm="1">
        <f t="array" ref="Z90">Common_InputFunctions.Utility_DisplayArrayInTable(Fertiliser_SourceData.Fertiliser_Products_Data1(), FertiliserProducts[[#Headers],[Company]],1)</f>
        <v/>
      </c>
      <c r="AA90" s="215" t="str" cm="1">
        <f t="array" ref="AA90">Common_InputFunctions.Utility_DisplayArrayInTable(Fertiliser_SourceData.Fertiliser_Products_Data1(), FertiliserProducts[[#Headers],[Company]],1)</f>
        <v/>
      </c>
      <c r="AB90" s="215" t="str" cm="1">
        <f t="array" ref="AB90">Common_InputFunctions.Utility_DisplayArrayInTable(Fertiliser_SourceData.Fertiliser_Products_Data1(), FertiliserProducts[[#Headers],[Company]],1)</f>
        <v/>
      </c>
      <c r="AC90" s="215" t="str" cm="1">
        <f t="array" ref="AC90">Common_InputFunctions.Utility_DisplayArrayInTable(Fertiliser_SourceData.Fertiliser_Products_Data1(), FertiliserProducts[[#Headers],[Company]],1)</f>
        <v/>
      </c>
      <c r="AD90" s="215" t="str" cm="1">
        <f t="array" ref="AD90">Common_InputFunctions.Utility_DisplayArrayInTable(Fertiliser_SourceData.Fertiliser_Products_Data1(), FertiliserProducts[[#Headers],[Company]],1)</f>
        <v/>
      </c>
      <c r="AE90" s="215" t="str" cm="1">
        <f t="array" ref="AE90">Common_InputFunctions.Utility_DisplayArrayInTable(Fertiliser_SourceData.Fertiliser_Products_Data1(), FertiliserProducts[[#Headers],[Company]],1)</f>
        <v/>
      </c>
      <c r="AF90" s="215" t="str" cm="1">
        <f t="array" ref="AF90">Common_InputFunctions.Utility_DisplayArrayInTable(Fertiliser_SourceData.Fertiliser_Products_Data1(), FertiliserProducts[[#Headers],[Company]],1)</f>
        <v/>
      </c>
      <c r="AG90" s="215" t="str" cm="1">
        <f t="array" ref="AG90">Common_InputFunctions.Utility_DisplayArrayInTable(Fertiliser_SourceData.Fertiliser_Products_Data1(), FertiliserProducts[[#Headers],[Company]],1)</f>
        <v/>
      </c>
      <c r="AH90" s="215" t="str" cm="1">
        <f t="array" ref="AH90">Common_InputFunctions.Utility_DisplayArrayInTable(Fertiliser_SourceData.Fertiliser_Products_Data1(), FertiliserProducts[[#Headers],[Company]],1)</f>
        <v/>
      </c>
    </row>
    <row r="91" spans="1:34" ht="20.100000000000001" customHeight="1" x14ac:dyDescent="0.25">
      <c r="A91"/>
      <c r="D91" s="215" t="str" cm="1">
        <f t="array" ref="D91">Common_InputFunctions.Utility_DisplayArrayInTable(Fertiliser_SourceData.Fertiliser_Products_Data1(), FertiliserProducts[[#Headers],[Company]],1)</f>
        <v>Campbells fertilisers Australia</v>
      </c>
      <c r="E91" s="215" t="str" cm="1">
        <f t="array" ref="E91">Common_InputFunctions.Utility_DisplayArrayInTable(Fertiliser_SourceData.Fertiliser_Products_Data1(), FertiliserProducts[[#Headers],[Company]],1)</f>
        <v>Aqua Grow</v>
      </c>
      <c r="F91" s="215" t="str" cm="1">
        <f t="array" ref="F91">Common_InputFunctions.Utility_DisplayArrayInTable(Fertiliser_SourceData.Fertiliser_Products_Data1(), FertiliserProducts[[#Headers],[Company]],1)</f>
        <v>L</v>
      </c>
      <c r="G91" s="215" cm="1">
        <f t="array" ref="G91">Common_InputFunctions.Utility_DisplayArrayInTable(Fertiliser_SourceData.Fertiliser_Products_Data1(), FertiliserProducts[[#Headers],[Company]],1)</f>
        <v>1.26</v>
      </c>
      <c r="H91" s="215" t="str" cm="1">
        <f t="array" ref="H91">Common_InputFunctions.Utility_DisplayArrayInTable(Fertiliser_SourceData.Fertiliser_Products_Data1(), FertiliserProducts[[#Headers],[Company]],1)</f>
        <v/>
      </c>
      <c r="I91" s="215" t="str" cm="1">
        <f t="array" ref="I91">Common_InputFunctions.Utility_DisplayArrayInTable(Fertiliser_SourceData.Fertiliser_Products_Data1(), FertiliserProducts[[#Headers],[Company]],1)</f>
        <v/>
      </c>
      <c r="J91" s="215" t="str" cm="1">
        <f t="array" ref="J91">Common_InputFunctions.Utility_DisplayArrayInTable(Fertiliser_SourceData.Fertiliser_Products_Data1(), FertiliserProducts[[#Headers],[Company]],1)</f>
        <v/>
      </c>
      <c r="K91" s="215" cm="1">
        <f t="array" ref="K91">Common_InputFunctions.Utility_DisplayArrayInTable(Fertiliser_SourceData.Fertiliser_Products_Data1(), FertiliserProducts[[#Headers],[Company]],1)</f>
        <v>9.6</v>
      </c>
      <c r="L91" s="215" cm="1">
        <f t="array" ref="L91">Common_InputFunctions.Utility_DisplayArrayInTable(Fertiliser_SourceData.Fertiliser_Products_Data1(), FertiliserProducts[[#Headers],[Company]],1)</f>
        <v>5</v>
      </c>
      <c r="M91" s="215" cm="1">
        <f t="array" ref="M91">Common_InputFunctions.Utility_DisplayArrayInTable(Fertiliser_SourceData.Fertiliser_Products_Data1(), FertiliserProducts[[#Headers],[Company]],1)</f>
        <v>10.5</v>
      </c>
      <c r="N91" s="215" t="str" cm="1">
        <f t="array" ref="N91">Common_InputFunctions.Utility_DisplayArrayInTable(Fertiliser_SourceData.Fertiliser_Products_Data1(), FertiliserProducts[[#Headers],[Company]],1)</f>
        <v/>
      </c>
      <c r="O91" s="215" t="str" cm="1">
        <f t="array" ref="O91">Common_InputFunctions.Utility_DisplayArrayInTable(Fertiliser_SourceData.Fertiliser_Products_Data1(), FertiliserProducts[[#Headers],[Company]],1)</f>
        <v>Potassium - Generic</v>
      </c>
      <c r="P91" s="215" cm="1">
        <f t="array" ref="P91">Common_InputFunctions.Utility_DisplayArrayInTable(Fertiliser_SourceData.Fertiliser_Products_Data1(), FertiliserProducts[[#Headers],[Company]],1)</f>
        <v>0.105</v>
      </c>
      <c r="Q91" s="215" t="str" cm="1">
        <f t="array" ref="Q91">Common_InputFunctions.Utility_DisplayArrayInTable(Fertiliser_SourceData.Fertiliser_Products_Data1(), FertiliserProducts[[#Headers],[Company]],1)</f>
        <v>Nitrogen - Generic</v>
      </c>
      <c r="R91" s="215" cm="1">
        <f t="array" ref="R91">Common_InputFunctions.Utility_DisplayArrayInTable(Fertiliser_SourceData.Fertiliser_Products_Data1(), FertiliserProducts[[#Headers],[Company]],1)</f>
        <v>9.6000000000000002E-2</v>
      </c>
      <c r="S91" s="215" t="str" cm="1">
        <f t="array" ref="S91">Common_InputFunctions.Utility_DisplayArrayInTable(Fertiliser_SourceData.Fertiliser_Products_Data1(), FertiliserProducts[[#Headers],[Company]],1)</f>
        <v>Phosphorus - Generic</v>
      </c>
      <c r="T91" s="215" cm="1">
        <f t="array" ref="T91">Common_InputFunctions.Utility_DisplayArrayInTable(Fertiliser_SourceData.Fertiliser_Products_Data1(), FertiliserProducts[[#Headers],[Company]],1)</f>
        <v>0.05</v>
      </c>
      <c r="U91" s="215" t="str" cm="1">
        <f t="array" ref="U91">Common_InputFunctions.Utility_DisplayArrayInTable(Fertiliser_SourceData.Fertiliser_Products_Data1(), FertiliserProducts[[#Headers],[Company]],1)</f>
        <v/>
      </c>
      <c r="V91" s="215" t="str" cm="1">
        <f t="array" ref="V91">Common_InputFunctions.Utility_DisplayArrayInTable(Fertiliser_SourceData.Fertiliser_Products_Data1(), FertiliserProducts[[#Headers],[Company]],1)</f>
        <v/>
      </c>
      <c r="W91" s="215" t="str" cm="1">
        <f t="array" ref="W91">Common_InputFunctions.Utility_DisplayArrayInTable(Fertiliser_SourceData.Fertiliser_Products_Data1(), FertiliserProducts[[#Headers],[Company]],1)</f>
        <v/>
      </c>
      <c r="X91" s="215" t="str" cm="1">
        <f t="array" ref="X91">Common_InputFunctions.Utility_DisplayArrayInTable(Fertiliser_SourceData.Fertiliser_Products_Data1(), FertiliserProducts[[#Headers],[Company]],1)</f>
        <v/>
      </c>
      <c r="Y91" s="215" t="str" cm="1">
        <f t="array" ref="Y91">Common_InputFunctions.Utility_DisplayArrayInTable(Fertiliser_SourceData.Fertiliser_Products_Data1(), FertiliserProducts[[#Headers],[Company]],1)</f>
        <v/>
      </c>
      <c r="Z91" s="215" t="str" cm="1">
        <f t="array" ref="Z91">Common_InputFunctions.Utility_DisplayArrayInTable(Fertiliser_SourceData.Fertiliser_Products_Data1(), FertiliserProducts[[#Headers],[Company]],1)</f>
        <v/>
      </c>
      <c r="AA91" s="215" t="str" cm="1">
        <f t="array" ref="AA91">Common_InputFunctions.Utility_DisplayArrayInTable(Fertiliser_SourceData.Fertiliser_Products_Data1(), FertiliserProducts[[#Headers],[Company]],1)</f>
        <v/>
      </c>
      <c r="AB91" s="215" t="str" cm="1">
        <f t="array" ref="AB91">Common_InputFunctions.Utility_DisplayArrayInTable(Fertiliser_SourceData.Fertiliser_Products_Data1(), FertiliserProducts[[#Headers],[Company]],1)</f>
        <v/>
      </c>
      <c r="AC91" s="215" t="str" cm="1">
        <f t="array" ref="AC91">Common_InputFunctions.Utility_DisplayArrayInTable(Fertiliser_SourceData.Fertiliser_Products_Data1(), FertiliserProducts[[#Headers],[Company]],1)</f>
        <v/>
      </c>
      <c r="AD91" s="215" t="str" cm="1">
        <f t="array" ref="AD91">Common_InputFunctions.Utility_DisplayArrayInTable(Fertiliser_SourceData.Fertiliser_Products_Data1(), FertiliserProducts[[#Headers],[Company]],1)</f>
        <v/>
      </c>
      <c r="AE91" s="215" t="str" cm="1">
        <f t="array" ref="AE91">Common_InputFunctions.Utility_DisplayArrayInTable(Fertiliser_SourceData.Fertiliser_Products_Data1(), FertiliserProducts[[#Headers],[Company]],1)</f>
        <v/>
      </c>
      <c r="AF91" s="215" t="str" cm="1">
        <f t="array" ref="AF91">Common_InputFunctions.Utility_DisplayArrayInTable(Fertiliser_SourceData.Fertiliser_Products_Data1(), FertiliserProducts[[#Headers],[Company]],1)</f>
        <v/>
      </c>
      <c r="AG91" s="215" t="str" cm="1">
        <f t="array" ref="AG91">Common_InputFunctions.Utility_DisplayArrayInTable(Fertiliser_SourceData.Fertiliser_Products_Data1(), FertiliserProducts[[#Headers],[Company]],1)</f>
        <v/>
      </c>
      <c r="AH91" s="215" t="str" cm="1">
        <f t="array" ref="AH91">Common_InputFunctions.Utility_DisplayArrayInTable(Fertiliser_SourceData.Fertiliser_Products_Data1(), FertiliserProducts[[#Headers],[Company]],1)</f>
        <v/>
      </c>
    </row>
    <row r="92" spans="1:34" ht="20.100000000000001" customHeight="1" x14ac:dyDescent="0.25">
      <c r="A92"/>
      <c r="D92" s="215" t="str" cm="1">
        <f t="array" ref="D92">Common_InputFunctions.Utility_DisplayArrayInTable(Fertiliser_SourceData.Fertiliser_Products_Data1(), FertiliserProducts[[#Headers],[Company]],1)</f>
        <v>Campbells fertilisers Australia</v>
      </c>
      <c r="E92" s="215" t="str" cm="1">
        <f t="array" ref="E92">Common_InputFunctions.Utility_DisplayArrayInTable(Fertiliser_SourceData.Fertiliser_Products_Data1(), FertiliserProducts[[#Headers],[Company]],1)</f>
        <v>Aqua Nitro AN</v>
      </c>
      <c r="F92" s="215" t="str" cm="1">
        <f t="array" ref="F92">Common_InputFunctions.Utility_DisplayArrayInTable(Fertiliser_SourceData.Fertiliser_Products_Data1(), FertiliserProducts[[#Headers],[Company]],1)</f>
        <v>L</v>
      </c>
      <c r="G92" s="215" cm="1">
        <f t="array" ref="G92">Common_InputFunctions.Utility_DisplayArrayInTable(Fertiliser_SourceData.Fertiliser_Products_Data1(), FertiliserProducts[[#Headers],[Company]],1)</f>
        <v>1.24</v>
      </c>
      <c r="H92" s="215" t="str" cm="1">
        <f t="array" ref="H92">Common_InputFunctions.Utility_DisplayArrayInTable(Fertiliser_SourceData.Fertiliser_Products_Data1(), FertiliserProducts[[#Headers],[Company]],1)</f>
        <v/>
      </c>
      <c r="I92" s="215" t="str" cm="1">
        <f t="array" ref="I92">Common_InputFunctions.Utility_DisplayArrayInTable(Fertiliser_SourceData.Fertiliser_Products_Data1(), FertiliserProducts[[#Headers],[Company]],1)</f>
        <v/>
      </c>
      <c r="J92" s="215" t="str" cm="1">
        <f t="array" ref="J92">Common_InputFunctions.Utility_DisplayArrayInTable(Fertiliser_SourceData.Fertiliser_Products_Data1(), FertiliserProducts[[#Headers],[Company]],1)</f>
        <v/>
      </c>
      <c r="K92" s="215" cm="1">
        <f t="array" ref="K92">Common_InputFunctions.Utility_DisplayArrayInTable(Fertiliser_SourceData.Fertiliser_Products_Data1(), FertiliserProducts[[#Headers],[Company]],1)</f>
        <v>22.3</v>
      </c>
      <c r="L92" s="215" t="str" cm="1">
        <f t="array" ref="L92">Common_InputFunctions.Utility_DisplayArrayInTable(Fertiliser_SourceData.Fertiliser_Products_Data1(), FertiliserProducts[[#Headers],[Company]],1)</f>
        <v/>
      </c>
      <c r="M92" s="215" t="str" cm="1">
        <f t="array" ref="M92">Common_InputFunctions.Utility_DisplayArrayInTable(Fertiliser_SourceData.Fertiliser_Products_Data1(), FertiliserProducts[[#Headers],[Company]],1)</f>
        <v/>
      </c>
      <c r="N92" s="215" t="str" cm="1">
        <f t="array" ref="N92">Common_InputFunctions.Utility_DisplayArrayInTable(Fertiliser_SourceData.Fertiliser_Products_Data1(), FertiliserProducts[[#Headers],[Company]],1)</f>
        <v/>
      </c>
      <c r="O92" s="215" t="str" cm="1">
        <f t="array" ref="O92">Common_InputFunctions.Utility_DisplayArrayInTable(Fertiliser_SourceData.Fertiliser_Products_Data1(), FertiliserProducts[[#Headers],[Company]],1)</f>
        <v>Nitrogen - Ammoniacal</v>
      </c>
      <c r="P92" s="215" cm="1">
        <f t="array" ref="P92">Common_InputFunctions.Utility_DisplayArrayInTable(Fertiliser_SourceData.Fertiliser_Products_Data1(), FertiliserProducts[[#Headers],[Company]],1)</f>
        <v>0.223</v>
      </c>
      <c r="Q92" s="215" t="str" cm="1">
        <f t="array" ref="Q92">Common_InputFunctions.Utility_DisplayArrayInTable(Fertiliser_SourceData.Fertiliser_Products_Data1(), FertiliserProducts[[#Headers],[Company]],1)</f>
        <v/>
      </c>
      <c r="R92" s="215" t="str" cm="1">
        <f t="array" ref="R92">Common_InputFunctions.Utility_DisplayArrayInTable(Fertiliser_SourceData.Fertiliser_Products_Data1(), FertiliserProducts[[#Headers],[Company]],1)</f>
        <v/>
      </c>
      <c r="S92" s="215" t="str" cm="1">
        <f t="array" ref="S92">Common_InputFunctions.Utility_DisplayArrayInTable(Fertiliser_SourceData.Fertiliser_Products_Data1(), FertiliserProducts[[#Headers],[Company]],1)</f>
        <v/>
      </c>
      <c r="T92" s="215" t="str" cm="1">
        <f t="array" ref="T92">Common_InputFunctions.Utility_DisplayArrayInTable(Fertiliser_SourceData.Fertiliser_Products_Data1(), FertiliserProducts[[#Headers],[Company]],1)</f>
        <v/>
      </c>
      <c r="U92" s="215" t="str" cm="1">
        <f t="array" ref="U92">Common_InputFunctions.Utility_DisplayArrayInTable(Fertiliser_SourceData.Fertiliser_Products_Data1(), FertiliserProducts[[#Headers],[Company]],1)</f>
        <v/>
      </c>
      <c r="V92" s="215" t="str" cm="1">
        <f t="array" ref="V92">Common_InputFunctions.Utility_DisplayArrayInTable(Fertiliser_SourceData.Fertiliser_Products_Data1(), FertiliserProducts[[#Headers],[Company]],1)</f>
        <v/>
      </c>
      <c r="W92" s="215" t="str" cm="1">
        <f t="array" ref="W92">Common_InputFunctions.Utility_DisplayArrayInTable(Fertiliser_SourceData.Fertiliser_Products_Data1(), FertiliserProducts[[#Headers],[Company]],1)</f>
        <v/>
      </c>
      <c r="X92" s="215" t="str" cm="1">
        <f t="array" ref="X92">Common_InputFunctions.Utility_DisplayArrayInTable(Fertiliser_SourceData.Fertiliser_Products_Data1(), FertiliserProducts[[#Headers],[Company]],1)</f>
        <v/>
      </c>
      <c r="Y92" s="215" t="str" cm="1">
        <f t="array" ref="Y92">Common_InputFunctions.Utility_DisplayArrayInTable(Fertiliser_SourceData.Fertiliser_Products_Data1(), FertiliserProducts[[#Headers],[Company]],1)</f>
        <v/>
      </c>
      <c r="Z92" s="215" t="str" cm="1">
        <f t="array" ref="Z92">Common_InputFunctions.Utility_DisplayArrayInTable(Fertiliser_SourceData.Fertiliser_Products_Data1(), FertiliserProducts[[#Headers],[Company]],1)</f>
        <v/>
      </c>
      <c r="AA92" s="215" t="str" cm="1">
        <f t="array" ref="AA92">Common_InputFunctions.Utility_DisplayArrayInTable(Fertiliser_SourceData.Fertiliser_Products_Data1(), FertiliserProducts[[#Headers],[Company]],1)</f>
        <v/>
      </c>
      <c r="AB92" s="215" t="str" cm="1">
        <f t="array" ref="AB92">Common_InputFunctions.Utility_DisplayArrayInTable(Fertiliser_SourceData.Fertiliser_Products_Data1(), FertiliserProducts[[#Headers],[Company]],1)</f>
        <v/>
      </c>
      <c r="AC92" s="215" t="str" cm="1">
        <f t="array" ref="AC92">Common_InputFunctions.Utility_DisplayArrayInTable(Fertiliser_SourceData.Fertiliser_Products_Data1(), FertiliserProducts[[#Headers],[Company]],1)</f>
        <v/>
      </c>
      <c r="AD92" s="215" t="str" cm="1">
        <f t="array" ref="AD92">Common_InputFunctions.Utility_DisplayArrayInTable(Fertiliser_SourceData.Fertiliser_Products_Data1(), FertiliserProducts[[#Headers],[Company]],1)</f>
        <v/>
      </c>
      <c r="AE92" s="215" t="str" cm="1">
        <f t="array" ref="AE92">Common_InputFunctions.Utility_DisplayArrayInTable(Fertiliser_SourceData.Fertiliser_Products_Data1(), FertiliserProducts[[#Headers],[Company]],1)</f>
        <v/>
      </c>
      <c r="AF92" s="215" t="str" cm="1">
        <f t="array" ref="AF92">Common_InputFunctions.Utility_DisplayArrayInTable(Fertiliser_SourceData.Fertiliser_Products_Data1(), FertiliserProducts[[#Headers],[Company]],1)</f>
        <v/>
      </c>
      <c r="AG92" s="215" t="str" cm="1">
        <f t="array" ref="AG92">Common_InputFunctions.Utility_DisplayArrayInTable(Fertiliser_SourceData.Fertiliser_Products_Data1(), FertiliserProducts[[#Headers],[Company]],1)</f>
        <v/>
      </c>
      <c r="AH92" s="215" t="str" cm="1">
        <f t="array" ref="AH92">Common_InputFunctions.Utility_DisplayArrayInTable(Fertiliser_SourceData.Fertiliser_Products_Data1(), FertiliserProducts[[#Headers],[Company]],1)</f>
        <v/>
      </c>
    </row>
    <row r="93" spans="1:34" ht="20.100000000000001" customHeight="1" x14ac:dyDescent="0.25">
      <c r="A93"/>
      <c r="D93" s="215" t="str" cm="1">
        <f t="array" ref="D93">Common_InputFunctions.Utility_DisplayArrayInTable(Fertiliser_SourceData.Fertiliser_Products_Data1(), FertiliserProducts[[#Headers],[Company]],1)</f>
        <v>Campbells fertilisers Australia</v>
      </c>
      <c r="E93" s="215" t="str" cm="1">
        <f t="array" ref="E93">Common_InputFunctions.Utility_DisplayArrayInTable(Fertiliser_SourceData.Fertiliser_Products_Data1(), FertiliserProducts[[#Headers],[Company]],1)</f>
        <v>Aqua NitroCal</v>
      </c>
      <c r="F93" s="215" t="str" cm="1">
        <f t="array" ref="F93">Common_InputFunctions.Utility_DisplayArrayInTable(Fertiliser_SourceData.Fertiliser_Products_Data1(), FertiliserProducts[[#Headers],[Company]],1)</f>
        <v>L</v>
      </c>
      <c r="G93" s="215" cm="1">
        <f t="array" ref="G93">Common_InputFunctions.Utility_DisplayArrayInTable(Fertiliser_SourceData.Fertiliser_Products_Data1(), FertiliserProducts[[#Headers],[Company]],1)</f>
        <v>1.5</v>
      </c>
      <c r="H93" s="215" t="str" cm="1">
        <f t="array" ref="H93">Common_InputFunctions.Utility_DisplayArrayInTable(Fertiliser_SourceData.Fertiliser_Products_Data1(), FertiliserProducts[[#Headers],[Company]],1)</f>
        <v/>
      </c>
      <c r="I93" s="215" t="str" cm="1">
        <f t="array" ref="I93">Common_InputFunctions.Utility_DisplayArrayInTable(Fertiliser_SourceData.Fertiliser_Products_Data1(), FertiliserProducts[[#Headers],[Company]],1)</f>
        <v/>
      </c>
      <c r="J93" s="215" t="str" cm="1">
        <f t="array" ref="J93">Common_InputFunctions.Utility_DisplayArrayInTable(Fertiliser_SourceData.Fertiliser_Products_Data1(), FertiliserProducts[[#Headers],[Company]],1)</f>
        <v/>
      </c>
      <c r="K93" s="215" cm="1">
        <f t="array" ref="K93">Common_InputFunctions.Utility_DisplayArrayInTable(Fertiliser_SourceData.Fertiliser_Products_Data1(), FertiliserProducts[[#Headers],[Company]],1)</f>
        <v>13.2</v>
      </c>
      <c r="L93" s="215" t="str" cm="1">
        <f t="array" ref="L93">Common_InputFunctions.Utility_DisplayArrayInTable(Fertiliser_SourceData.Fertiliser_Products_Data1(), FertiliserProducts[[#Headers],[Company]],1)</f>
        <v/>
      </c>
      <c r="M93" s="215" t="str" cm="1">
        <f t="array" ref="M93">Common_InputFunctions.Utility_DisplayArrayInTable(Fertiliser_SourceData.Fertiliser_Products_Data1(), FertiliserProducts[[#Headers],[Company]],1)</f>
        <v/>
      </c>
      <c r="N93" s="215" t="str" cm="1">
        <f t="array" ref="N93">Common_InputFunctions.Utility_DisplayArrayInTable(Fertiliser_SourceData.Fertiliser_Products_Data1(), FertiliserProducts[[#Headers],[Company]],1)</f>
        <v/>
      </c>
      <c r="O93" s="215" t="str" cm="1">
        <f t="array" ref="O93">Common_InputFunctions.Utility_DisplayArrayInTable(Fertiliser_SourceData.Fertiliser_Products_Data1(), FertiliserProducts[[#Headers],[Company]],1)</f>
        <v>Calcium</v>
      </c>
      <c r="P93" s="215" cm="1">
        <f t="array" ref="P93">Common_InputFunctions.Utility_DisplayArrayInTable(Fertiliser_SourceData.Fertiliser_Products_Data1(), FertiliserProducts[[#Headers],[Company]],1)</f>
        <v>0.16200000000000001</v>
      </c>
      <c r="Q93" s="215" t="str" cm="1">
        <f t="array" ref="Q93">Common_InputFunctions.Utility_DisplayArrayInTable(Fertiliser_SourceData.Fertiliser_Products_Data1(), FertiliserProducts[[#Headers],[Company]],1)</f>
        <v>Nitrogen - Nitrate</v>
      </c>
      <c r="R93" s="215" cm="1">
        <f t="array" ref="R93">Common_InputFunctions.Utility_DisplayArrayInTable(Fertiliser_SourceData.Fertiliser_Products_Data1(), FertiliserProducts[[#Headers],[Company]],1)</f>
        <v>0.13200000000000001</v>
      </c>
      <c r="S93" s="215" t="str" cm="1">
        <f t="array" ref="S93">Common_InputFunctions.Utility_DisplayArrayInTable(Fertiliser_SourceData.Fertiliser_Products_Data1(), FertiliserProducts[[#Headers],[Company]],1)</f>
        <v/>
      </c>
      <c r="T93" s="215" t="str" cm="1">
        <f t="array" ref="T93">Common_InputFunctions.Utility_DisplayArrayInTable(Fertiliser_SourceData.Fertiliser_Products_Data1(), FertiliserProducts[[#Headers],[Company]],1)</f>
        <v/>
      </c>
      <c r="U93" s="215" t="str" cm="1">
        <f t="array" ref="U93">Common_InputFunctions.Utility_DisplayArrayInTable(Fertiliser_SourceData.Fertiliser_Products_Data1(), FertiliserProducts[[#Headers],[Company]],1)</f>
        <v/>
      </c>
      <c r="V93" s="215" t="str" cm="1">
        <f t="array" ref="V93">Common_InputFunctions.Utility_DisplayArrayInTable(Fertiliser_SourceData.Fertiliser_Products_Data1(), FertiliserProducts[[#Headers],[Company]],1)</f>
        <v/>
      </c>
      <c r="W93" s="215" t="str" cm="1">
        <f t="array" ref="W93">Common_InputFunctions.Utility_DisplayArrayInTable(Fertiliser_SourceData.Fertiliser_Products_Data1(), FertiliserProducts[[#Headers],[Company]],1)</f>
        <v/>
      </c>
      <c r="X93" s="215" t="str" cm="1">
        <f t="array" ref="X93">Common_InputFunctions.Utility_DisplayArrayInTable(Fertiliser_SourceData.Fertiliser_Products_Data1(), FertiliserProducts[[#Headers],[Company]],1)</f>
        <v/>
      </c>
      <c r="Y93" s="215" t="str" cm="1">
        <f t="array" ref="Y93">Common_InputFunctions.Utility_DisplayArrayInTable(Fertiliser_SourceData.Fertiliser_Products_Data1(), FertiliserProducts[[#Headers],[Company]],1)</f>
        <v/>
      </c>
      <c r="Z93" s="215" t="str" cm="1">
        <f t="array" ref="Z93">Common_InputFunctions.Utility_DisplayArrayInTable(Fertiliser_SourceData.Fertiliser_Products_Data1(), FertiliserProducts[[#Headers],[Company]],1)</f>
        <v/>
      </c>
      <c r="AA93" s="215" t="str" cm="1">
        <f t="array" ref="AA93">Common_InputFunctions.Utility_DisplayArrayInTable(Fertiliser_SourceData.Fertiliser_Products_Data1(), FertiliserProducts[[#Headers],[Company]],1)</f>
        <v/>
      </c>
      <c r="AB93" s="215" t="str" cm="1">
        <f t="array" ref="AB93">Common_InputFunctions.Utility_DisplayArrayInTable(Fertiliser_SourceData.Fertiliser_Products_Data1(), FertiliserProducts[[#Headers],[Company]],1)</f>
        <v/>
      </c>
      <c r="AC93" s="215" t="str" cm="1">
        <f t="array" ref="AC93">Common_InputFunctions.Utility_DisplayArrayInTable(Fertiliser_SourceData.Fertiliser_Products_Data1(), FertiliserProducts[[#Headers],[Company]],1)</f>
        <v/>
      </c>
      <c r="AD93" s="215" t="str" cm="1">
        <f t="array" ref="AD93">Common_InputFunctions.Utility_DisplayArrayInTable(Fertiliser_SourceData.Fertiliser_Products_Data1(), FertiliserProducts[[#Headers],[Company]],1)</f>
        <v/>
      </c>
      <c r="AE93" s="215" t="str" cm="1">
        <f t="array" ref="AE93">Common_InputFunctions.Utility_DisplayArrayInTable(Fertiliser_SourceData.Fertiliser_Products_Data1(), FertiliserProducts[[#Headers],[Company]],1)</f>
        <v/>
      </c>
      <c r="AF93" s="215" t="str" cm="1">
        <f t="array" ref="AF93">Common_InputFunctions.Utility_DisplayArrayInTable(Fertiliser_SourceData.Fertiliser_Products_Data1(), FertiliserProducts[[#Headers],[Company]],1)</f>
        <v/>
      </c>
      <c r="AG93" s="215" t="str" cm="1">
        <f t="array" ref="AG93">Common_InputFunctions.Utility_DisplayArrayInTable(Fertiliser_SourceData.Fertiliser_Products_Data1(), FertiliserProducts[[#Headers],[Company]],1)</f>
        <v/>
      </c>
      <c r="AH93" s="215" t="str" cm="1">
        <f t="array" ref="AH93">Common_InputFunctions.Utility_DisplayArrayInTable(Fertiliser_SourceData.Fertiliser_Products_Data1(), FertiliserProducts[[#Headers],[Company]],1)</f>
        <v/>
      </c>
    </row>
    <row r="94" spans="1:34" ht="20.100000000000001" customHeight="1" x14ac:dyDescent="0.25">
      <c r="A94"/>
      <c r="D94" s="215" t="str" cm="1">
        <f t="array" ref="D94">Common_InputFunctions.Utility_DisplayArrayInTable(Fertiliser_SourceData.Fertiliser_Products_Data1(), FertiliserProducts[[#Headers],[Company]],1)</f>
        <v>Campbells fertilisers Australia</v>
      </c>
      <c r="E94" s="215" t="str" cm="1">
        <f t="array" ref="E94">Common_InputFunctions.Utility_DisplayArrayInTable(Fertiliser_SourceData.Fertiliser_Products_Data1(), FertiliserProducts[[#Headers],[Company]],1)</f>
        <v>Aqua NitroCal (VI)</v>
      </c>
      <c r="F94" s="215" t="str" cm="1">
        <f t="array" ref="F94">Common_InputFunctions.Utility_DisplayArrayInTable(Fertiliser_SourceData.Fertiliser_Products_Data1(), FertiliserProducts[[#Headers],[Company]],1)</f>
        <v>L</v>
      </c>
      <c r="G94" s="215" cm="1">
        <f t="array" ref="G94">Common_InputFunctions.Utility_DisplayArrayInTable(Fertiliser_SourceData.Fertiliser_Products_Data1(), FertiliserProducts[[#Headers],[Company]],1)</f>
        <v>1.5</v>
      </c>
      <c r="H94" s="215" t="str" cm="1">
        <f t="array" ref="H94">Common_InputFunctions.Utility_DisplayArrayInTable(Fertiliser_SourceData.Fertiliser_Products_Data1(), FertiliserProducts[[#Headers],[Company]],1)</f>
        <v/>
      </c>
      <c r="I94" s="215" t="str" cm="1">
        <f t="array" ref="I94">Common_InputFunctions.Utility_DisplayArrayInTable(Fertiliser_SourceData.Fertiliser_Products_Data1(), FertiliserProducts[[#Headers],[Company]],1)</f>
        <v/>
      </c>
      <c r="J94" s="215" t="str" cm="1">
        <f t="array" ref="J94">Common_InputFunctions.Utility_DisplayArrayInTable(Fertiliser_SourceData.Fertiliser_Products_Data1(), FertiliserProducts[[#Headers],[Company]],1)</f>
        <v/>
      </c>
      <c r="K94" s="215" cm="1">
        <f t="array" ref="K94">Common_InputFunctions.Utility_DisplayArrayInTable(Fertiliser_SourceData.Fertiliser_Products_Data1(), FertiliserProducts[[#Headers],[Company]],1)</f>
        <v>13.2</v>
      </c>
      <c r="L94" s="215" t="str" cm="1">
        <f t="array" ref="L94">Common_InputFunctions.Utility_DisplayArrayInTable(Fertiliser_SourceData.Fertiliser_Products_Data1(), FertiliserProducts[[#Headers],[Company]],1)</f>
        <v/>
      </c>
      <c r="M94" s="215" t="str" cm="1">
        <f t="array" ref="M94">Common_InputFunctions.Utility_DisplayArrayInTable(Fertiliser_SourceData.Fertiliser_Products_Data1(), FertiliserProducts[[#Headers],[Company]],1)</f>
        <v/>
      </c>
      <c r="N94" s="215" t="str" cm="1">
        <f t="array" ref="N94">Common_InputFunctions.Utility_DisplayArrayInTable(Fertiliser_SourceData.Fertiliser_Products_Data1(), FertiliserProducts[[#Headers],[Company]],1)</f>
        <v/>
      </c>
      <c r="O94" s="215" t="str" cm="1">
        <f t="array" ref="O94">Common_InputFunctions.Utility_DisplayArrayInTable(Fertiliser_SourceData.Fertiliser_Products_Data1(), FertiliserProducts[[#Headers],[Company]],1)</f>
        <v>Calcium</v>
      </c>
      <c r="P94" s="215" cm="1">
        <f t="array" ref="P94">Common_InputFunctions.Utility_DisplayArrayInTable(Fertiliser_SourceData.Fertiliser_Products_Data1(), FertiliserProducts[[#Headers],[Company]],1)</f>
        <v>0.187</v>
      </c>
      <c r="Q94" s="215" t="str" cm="1">
        <f t="array" ref="Q94">Common_InputFunctions.Utility_DisplayArrayInTable(Fertiliser_SourceData.Fertiliser_Products_Data1(), FertiliserProducts[[#Headers],[Company]],1)</f>
        <v>Nitrogen - Nitrate</v>
      </c>
      <c r="R94" s="215" cm="1">
        <f t="array" ref="R94">Common_InputFunctions.Utility_DisplayArrayInTable(Fertiliser_SourceData.Fertiliser_Products_Data1(), FertiliserProducts[[#Headers],[Company]],1)</f>
        <v>0.13200000000000001</v>
      </c>
      <c r="S94" s="215" t="str" cm="1">
        <f t="array" ref="S94">Common_InputFunctions.Utility_DisplayArrayInTable(Fertiliser_SourceData.Fertiliser_Products_Data1(), FertiliserProducts[[#Headers],[Company]],1)</f>
        <v/>
      </c>
      <c r="T94" s="215" t="str" cm="1">
        <f t="array" ref="T94">Common_InputFunctions.Utility_DisplayArrayInTable(Fertiliser_SourceData.Fertiliser_Products_Data1(), FertiliserProducts[[#Headers],[Company]],1)</f>
        <v/>
      </c>
      <c r="U94" s="215" t="str" cm="1">
        <f t="array" ref="U94">Common_InputFunctions.Utility_DisplayArrayInTable(Fertiliser_SourceData.Fertiliser_Products_Data1(), FertiliserProducts[[#Headers],[Company]],1)</f>
        <v/>
      </c>
      <c r="V94" s="215" t="str" cm="1">
        <f t="array" ref="V94">Common_InputFunctions.Utility_DisplayArrayInTable(Fertiliser_SourceData.Fertiliser_Products_Data1(), FertiliserProducts[[#Headers],[Company]],1)</f>
        <v/>
      </c>
      <c r="W94" s="215" t="str" cm="1">
        <f t="array" ref="W94">Common_InputFunctions.Utility_DisplayArrayInTable(Fertiliser_SourceData.Fertiliser_Products_Data1(), FertiliserProducts[[#Headers],[Company]],1)</f>
        <v/>
      </c>
      <c r="X94" s="215" t="str" cm="1">
        <f t="array" ref="X94">Common_InputFunctions.Utility_DisplayArrayInTable(Fertiliser_SourceData.Fertiliser_Products_Data1(), FertiliserProducts[[#Headers],[Company]],1)</f>
        <v/>
      </c>
      <c r="Y94" s="215" t="str" cm="1">
        <f t="array" ref="Y94">Common_InputFunctions.Utility_DisplayArrayInTable(Fertiliser_SourceData.Fertiliser_Products_Data1(), FertiliserProducts[[#Headers],[Company]],1)</f>
        <v/>
      </c>
      <c r="Z94" s="215" t="str" cm="1">
        <f t="array" ref="Z94">Common_InputFunctions.Utility_DisplayArrayInTable(Fertiliser_SourceData.Fertiliser_Products_Data1(), FertiliserProducts[[#Headers],[Company]],1)</f>
        <v/>
      </c>
      <c r="AA94" s="215" t="str" cm="1">
        <f t="array" ref="AA94">Common_InputFunctions.Utility_DisplayArrayInTable(Fertiliser_SourceData.Fertiliser_Products_Data1(), FertiliserProducts[[#Headers],[Company]],1)</f>
        <v/>
      </c>
      <c r="AB94" s="215" t="str" cm="1">
        <f t="array" ref="AB94">Common_InputFunctions.Utility_DisplayArrayInTable(Fertiliser_SourceData.Fertiliser_Products_Data1(), FertiliserProducts[[#Headers],[Company]],1)</f>
        <v/>
      </c>
      <c r="AC94" s="215" t="str" cm="1">
        <f t="array" ref="AC94">Common_InputFunctions.Utility_DisplayArrayInTable(Fertiliser_SourceData.Fertiliser_Products_Data1(), FertiliserProducts[[#Headers],[Company]],1)</f>
        <v/>
      </c>
      <c r="AD94" s="215" t="str" cm="1">
        <f t="array" ref="AD94">Common_InputFunctions.Utility_DisplayArrayInTable(Fertiliser_SourceData.Fertiliser_Products_Data1(), FertiliserProducts[[#Headers],[Company]],1)</f>
        <v/>
      </c>
      <c r="AE94" s="215" t="str" cm="1">
        <f t="array" ref="AE94">Common_InputFunctions.Utility_DisplayArrayInTable(Fertiliser_SourceData.Fertiliser_Products_Data1(), FertiliserProducts[[#Headers],[Company]],1)</f>
        <v/>
      </c>
      <c r="AF94" s="215" t="str" cm="1">
        <f t="array" ref="AF94">Common_InputFunctions.Utility_DisplayArrayInTable(Fertiliser_SourceData.Fertiliser_Products_Data1(), FertiliserProducts[[#Headers],[Company]],1)</f>
        <v/>
      </c>
      <c r="AG94" s="215" t="str" cm="1">
        <f t="array" ref="AG94">Common_InputFunctions.Utility_DisplayArrayInTable(Fertiliser_SourceData.Fertiliser_Products_Data1(), FertiliserProducts[[#Headers],[Company]],1)</f>
        <v/>
      </c>
      <c r="AH94" s="215" t="str" cm="1">
        <f t="array" ref="AH94">Common_InputFunctions.Utility_DisplayArrayInTable(Fertiliser_SourceData.Fertiliser_Products_Data1(), FertiliserProducts[[#Headers],[Company]],1)</f>
        <v/>
      </c>
    </row>
    <row r="95" spans="1:34" ht="20.100000000000001" customHeight="1" x14ac:dyDescent="0.25">
      <c r="A95"/>
      <c r="D95" s="215" t="str" cm="1">
        <f t="array" ref="D95">Common_InputFunctions.Utility_DisplayArrayInTable(Fertiliser_SourceData.Fertiliser_Products_Data1(), FertiliserProducts[[#Headers],[Company]],1)</f>
        <v>Campbells fertilisers Australia</v>
      </c>
      <c r="E95" s="215" t="str" cm="1">
        <f t="array" ref="E95">Common_InputFunctions.Utility_DisplayArrayInTable(Fertiliser_SourceData.Fertiliser_Products_Data1(), FertiliserProducts[[#Headers],[Company]],1)</f>
        <v>Aqua NitroCal Ultimate</v>
      </c>
      <c r="F95" s="215" t="str" cm="1">
        <f t="array" ref="F95">Common_InputFunctions.Utility_DisplayArrayInTable(Fertiliser_SourceData.Fertiliser_Products_Data1(), FertiliserProducts[[#Headers],[Company]],1)</f>
        <v>L</v>
      </c>
      <c r="G95" s="215" cm="1">
        <f t="array" ref="G95">Common_InputFunctions.Utility_DisplayArrayInTable(Fertiliser_SourceData.Fertiliser_Products_Data1(), FertiliserProducts[[#Headers],[Company]],1)</f>
        <v>1.5</v>
      </c>
      <c r="H95" s="215" t="str" cm="1">
        <f t="array" ref="H95">Common_InputFunctions.Utility_DisplayArrayInTable(Fertiliser_SourceData.Fertiliser_Products_Data1(), FertiliserProducts[[#Headers],[Company]],1)</f>
        <v/>
      </c>
      <c r="I95" s="215" t="str" cm="1">
        <f t="array" ref="I95">Common_InputFunctions.Utility_DisplayArrayInTable(Fertiliser_SourceData.Fertiliser_Products_Data1(), FertiliserProducts[[#Headers],[Company]],1)</f>
        <v/>
      </c>
      <c r="J95" s="215" t="str" cm="1">
        <f t="array" ref="J95">Common_InputFunctions.Utility_DisplayArrayInTable(Fertiliser_SourceData.Fertiliser_Products_Data1(), FertiliserProducts[[#Headers],[Company]],1)</f>
        <v/>
      </c>
      <c r="K95" s="215" cm="1">
        <f t="array" ref="K95">Common_InputFunctions.Utility_DisplayArrayInTable(Fertiliser_SourceData.Fertiliser_Products_Data1(), FertiliserProducts[[#Headers],[Company]],1)</f>
        <v>13.2</v>
      </c>
      <c r="L95" s="215" t="str" cm="1">
        <f t="array" ref="L95">Common_InputFunctions.Utility_DisplayArrayInTable(Fertiliser_SourceData.Fertiliser_Products_Data1(), FertiliserProducts[[#Headers],[Company]],1)</f>
        <v/>
      </c>
      <c r="M95" s="215" t="str" cm="1">
        <f t="array" ref="M95">Common_InputFunctions.Utility_DisplayArrayInTable(Fertiliser_SourceData.Fertiliser_Products_Data1(), FertiliserProducts[[#Headers],[Company]],1)</f>
        <v/>
      </c>
      <c r="N95" s="215" t="str" cm="1">
        <f t="array" ref="N95">Common_InputFunctions.Utility_DisplayArrayInTable(Fertiliser_SourceData.Fertiliser_Products_Data1(), FertiliserProducts[[#Headers],[Company]],1)</f>
        <v/>
      </c>
      <c r="O95" s="215" t="str" cm="1">
        <f t="array" ref="O95">Common_InputFunctions.Utility_DisplayArrayInTable(Fertiliser_SourceData.Fertiliser_Products_Data1(), FertiliserProducts[[#Headers],[Company]],1)</f>
        <v>Calcium</v>
      </c>
      <c r="P95" s="215" cm="1">
        <f t="array" ref="P95">Common_InputFunctions.Utility_DisplayArrayInTable(Fertiliser_SourceData.Fertiliser_Products_Data1(), FertiliserProducts[[#Headers],[Company]],1)</f>
        <v>0.183</v>
      </c>
      <c r="Q95" s="215" t="str" cm="1">
        <f t="array" ref="Q95">Common_InputFunctions.Utility_DisplayArrayInTable(Fertiliser_SourceData.Fertiliser_Products_Data1(), FertiliserProducts[[#Headers],[Company]],1)</f>
        <v>Nitrogen - Nitrate</v>
      </c>
      <c r="R95" s="215" cm="1">
        <f t="array" ref="R95">Common_InputFunctions.Utility_DisplayArrayInTable(Fertiliser_SourceData.Fertiliser_Products_Data1(), FertiliserProducts[[#Headers],[Company]],1)</f>
        <v>0.13200000000000001</v>
      </c>
      <c r="S95" s="215" t="str" cm="1">
        <f t="array" ref="S95">Common_InputFunctions.Utility_DisplayArrayInTable(Fertiliser_SourceData.Fertiliser_Products_Data1(), FertiliserProducts[[#Headers],[Company]],1)</f>
        <v/>
      </c>
      <c r="T95" s="215" t="str" cm="1">
        <f t="array" ref="T95">Common_InputFunctions.Utility_DisplayArrayInTable(Fertiliser_SourceData.Fertiliser_Products_Data1(), FertiliserProducts[[#Headers],[Company]],1)</f>
        <v/>
      </c>
      <c r="U95" s="215" t="str" cm="1">
        <f t="array" ref="U95">Common_InputFunctions.Utility_DisplayArrayInTable(Fertiliser_SourceData.Fertiliser_Products_Data1(), FertiliserProducts[[#Headers],[Company]],1)</f>
        <v/>
      </c>
      <c r="V95" s="215" t="str" cm="1">
        <f t="array" ref="V95">Common_InputFunctions.Utility_DisplayArrayInTable(Fertiliser_SourceData.Fertiliser_Products_Data1(), FertiliserProducts[[#Headers],[Company]],1)</f>
        <v/>
      </c>
      <c r="W95" s="215" t="str" cm="1">
        <f t="array" ref="W95">Common_InputFunctions.Utility_DisplayArrayInTable(Fertiliser_SourceData.Fertiliser_Products_Data1(), FertiliserProducts[[#Headers],[Company]],1)</f>
        <v/>
      </c>
      <c r="X95" s="215" t="str" cm="1">
        <f t="array" ref="X95">Common_InputFunctions.Utility_DisplayArrayInTable(Fertiliser_SourceData.Fertiliser_Products_Data1(), FertiliserProducts[[#Headers],[Company]],1)</f>
        <v/>
      </c>
      <c r="Y95" s="215" t="str" cm="1">
        <f t="array" ref="Y95">Common_InputFunctions.Utility_DisplayArrayInTable(Fertiliser_SourceData.Fertiliser_Products_Data1(), FertiliserProducts[[#Headers],[Company]],1)</f>
        <v/>
      </c>
      <c r="Z95" s="215" t="str" cm="1">
        <f t="array" ref="Z95">Common_InputFunctions.Utility_DisplayArrayInTable(Fertiliser_SourceData.Fertiliser_Products_Data1(), FertiliserProducts[[#Headers],[Company]],1)</f>
        <v/>
      </c>
      <c r="AA95" s="215" t="str" cm="1">
        <f t="array" ref="AA95">Common_InputFunctions.Utility_DisplayArrayInTable(Fertiliser_SourceData.Fertiliser_Products_Data1(), FertiliserProducts[[#Headers],[Company]],1)</f>
        <v/>
      </c>
      <c r="AB95" s="215" t="str" cm="1">
        <f t="array" ref="AB95">Common_InputFunctions.Utility_DisplayArrayInTable(Fertiliser_SourceData.Fertiliser_Products_Data1(), FertiliserProducts[[#Headers],[Company]],1)</f>
        <v/>
      </c>
      <c r="AC95" s="215" t="str" cm="1">
        <f t="array" ref="AC95">Common_InputFunctions.Utility_DisplayArrayInTable(Fertiliser_SourceData.Fertiliser_Products_Data1(), FertiliserProducts[[#Headers],[Company]],1)</f>
        <v/>
      </c>
      <c r="AD95" s="215" t="str" cm="1">
        <f t="array" ref="AD95">Common_InputFunctions.Utility_DisplayArrayInTable(Fertiliser_SourceData.Fertiliser_Products_Data1(), FertiliserProducts[[#Headers],[Company]],1)</f>
        <v/>
      </c>
      <c r="AE95" s="215" t="str" cm="1">
        <f t="array" ref="AE95">Common_InputFunctions.Utility_DisplayArrayInTable(Fertiliser_SourceData.Fertiliser_Products_Data1(), FertiliserProducts[[#Headers],[Company]],1)</f>
        <v/>
      </c>
      <c r="AF95" s="215" t="str" cm="1">
        <f t="array" ref="AF95">Common_InputFunctions.Utility_DisplayArrayInTable(Fertiliser_SourceData.Fertiliser_Products_Data1(), FertiliserProducts[[#Headers],[Company]],1)</f>
        <v/>
      </c>
      <c r="AG95" s="215" t="str" cm="1">
        <f t="array" ref="AG95">Common_InputFunctions.Utility_DisplayArrayInTable(Fertiliser_SourceData.Fertiliser_Products_Data1(), FertiliserProducts[[#Headers],[Company]],1)</f>
        <v/>
      </c>
      <c r="AH95" s="215" t="str" cm="1">
        <f t="array" ref="AH95">Common_InputFunctions.Utility_DisplayArrayInTable(Fertiliser_SourceData.Fertiliser_Products_Data1(), FertiliserProducts[[#Headers],[Company]],1)</f>
        <v/>
      </c>
    </row>
    <row r="96" spans="1:34" ht="20.100000000000001" customHeight="1" x14ac:dyDescent="0.25">
      <c r="A96"/>
      <c r="D96" s="215" t="str" cm="1">
        <f t="array" ref="D96">Common_InputFunctions.Utility_DisplayArrayInTable(Fertiliser_SourceData.Fertiliser_Products_Data1(), FertiliserProducts[[#Headers],[Company]],1)</f>
        <v>Campbells fertilisers Australia</v>
      </c>
      <c r="E96" s="215" t="str" cm="1">
        <f t="array" ref="E96">Common_InputFunctions.Utility_DisplayArrayInTable(Fertiliser_SourceData.Fertiliser_Products_Data1(), FertiliserProducts[[#Headers],[Company]],1)</f>
        <v>Aqua Start</v>
      </c>
      <c r="F96" s="215" t="str" cm="1">
        <f t="array" ref="F96">Common_InputFunctions.Utility_DisplayArrayInTable(Fertiliser_SourceData.Fertiliser_Products_Data1(), FertiliserProducts[[#Headers],[Company]],1)</f>
        <v>L</v>
      </c>
      <c r="G96" s="215" cm="1">
        <f t="array" ref="G96">Common_InputFunctions.Utility_DisplayArrayInTable(Fertiliser_SourceData.Fertiliser_Products_Data1(), FertiliserProducts[[#Headers],[Company]],1)</f>
        <v>1.25</v>
      </c>
      <c r="H96" s="215" t="str" cm="1">
        <f t="array" ref="H96">Common_InputFunctions.Utility_DisplayArrayInTable(Fertiliser_SourceData.Fertiliser_Products_Data1(), FertiliserProducts[[#Headers],[Company]],1)</f>
        <v/>
      </c>
      <c r="I96" s="215" t="str" cm="1">
        <f t="array" ref="I96">Common_InputFunctions.Utility_DisplayArrayInTable(Fertiliser_SourceData.Fertiliser_Products_Data1(), FertiliserProducts[[#Headers],[Company]],1)</f>
        <v/>
      </c>
      <c r="J96" s="215" t="str" cm="1">
        <f t="array" ref="J96">Common_InputFunctions.Utility_DisplayArrayInTable(Fertiliser_SourceData.Fertiliser_Products_Data1(), FertiliserProducts[[#Headers],[Company]],1)</f>
        <v/>
      </c>
      <c r="K96" s="215" cm="1">
        <f t="array" ref="K96">Common_InputFunctions.Utility_DisplayArrayInTable(Fertiliser_SourceData.Fertiliser_Products_Data1(), FertiliserProducts[[#Headers],[Company]],1)</f>
        <v>10.3</v>
      </c>
      <c r="L96" s="215" cm="1">
        <f t="array" ref="L96">Common_InputFunctions.Utility_DisplayArrayInTable(Fertiliser_SourceData.Fertiliser_Products_Data1(), FertiliserProducts[[#Headers],[Company]],1)</f>
        <v>10</v>
      </c>
      <c r="M96" s="215" cm="1">
        <f t="array" ref="M96">Common_InputFunctions.Utility_DisplayArrayInTable(Fertiliser_SourceData.Fertiliser_Products_Data1(), FertiliserProducts[[#Headers],[Company]],1)</f>
        <v>3.4</v>
      </c>
      <c r="N96" s="215" t="str" cm="1">
        <f t="array" ref="N96">Common_InputFunctions.Utility_DisplayArrayInTable(Fertiliser_SourceData.Fertiliser_Products_Data1(), FertiliserProducts[[#Headers],[Company]],1)</f>
        <v/>
      </c>
      <c r="O96" s="215" t="str" cm="1">
        <f t="array" ref="O96">Common_InputFunctions.Utility_DisplayArrayInTable(Fertiliser_SourceData.Fertiliser_Products_Data1(), FertiliserProducts[[#Headers],[Company]],1)</f>
        <v>Nitrogen - Generic</v>
      </c>
      <c r="P96" s="215" cm="1">
        <f t="array" ref="P96">Common_InputFunctions.Utility_DisplayArrayInTable(Fertiliser_SourceData.Fertiliser_Products_Data1(), FertiliserProducts[[#Headers],[Company]],1)</f>
        <v>0.10299999999999999</v>
      </c>
      <c r="Q96" s="215" t="str" cm="1">
        <f t="array" ref="Q96">Common_InputFunctions.Utility_DisplayArrayInTable(Fertiliser_SourceData.Fertiliser_Products_Data1(), FertiliserProducts[[#Headers],[Company]],1)</f>
        <v>Phosphorus - Generic</v>
      </c>
      <c r="R96" s="215" cm="1">
        <f t="array" ref="R96">Common_InputFunctions.Utility_DisplayArrayInTable(Fertiliser_SourceData.Fertiliser_Products_Data1(), FertiliserProducts[[#Headers],[Company]],1)</f>
        <v>0.1</v>
      </c>
      <c r="S96" s="215" t="str" cm="1">
        <f t="array" ref="S96">Common_InputFunctions.Utility_DisplayArrayInTable(Fertiliser_SourceData.Fertiliser_Products_Data1(), FertiliserProducts[[#Headers],[Company]],1)</f>
        <v>Potassium - Generic</v>
      </c>
      <c r="T96" s="215" cm="1">
        <f t="array" ref="T96">Common_InputFunctions.Utility_DisplayArrayInTable(Fertiliser_SourceData.Fertiliser_Products_Data1(), FertiliserProducts[[#Headers],[Company]],1)</f>
        <v>3.4000000000000002E-2</v>
      </c>
      <c r="U96" s="215" t="str" cm="1">
        <f t="array" ref="U96">Common_InputFunctions.Utility_DisplayArrayInTable(Fertiliser_SourceData.Fertiliser_Products_Data1(), FertiliserProducts[[#Headers],[Company]],1)</f>
        <v/>
      </c>
      <c r="V96" s="215" t="str" cm="1">
        <f t="array" ref="V96">Common_InputFunctions.Utility_DisplayArrayInTable(Fertiliser_SourceData.Fertiliser_Products_Data1(), FertiliserProducts[[#Headers],[Company]],1)</f>
        <v/>
      </c>
      <c r="W96" s="215" t="str" cm="1">
        <f t="array" ref="W96">Common_InputFunctions.Utility_DisplayArrayInTable(Fertiliser_SourceData.Fertiliser_Products_Data1(), FertiliserProducts[[#Headers],[Company]],1)</f>
        <v/>
      </c>
      <c r="X96" s="215" t="str" cm="1">
        <f t="array" ref="X96">Common_InputFunctions.Utility_DisplayArrayInTable(Fertiliser_SourceData.Fertiliser_Products_Data1(), FertiliserProducts[[#Headers],[Company]],1)</f>
        <v/>
      </c>
      <c r="Y96" s="215" t="str" cm="1">
        <f t="array" ref="Y96">Common_InputFunctions.Utility_DisplayArrayInTable(Fertiliser_SourceData.Fertiliser_Products_Data1(), FertiliserProducts[[#Headers],[Company]],1)</f>
        <v/>
      </c>
      <c r="Z96" s="215" t="str" cm="1">
        <f t="array" ref="Z96">Common_InputFunctions.Utility_DisplayArrayInTable(Fertiliser_SourceData.Fertiliser_Products_Data1(), FertiliserProducts[[#Headers],[Company]],1)</f>
        <v/>
      </c>
      <c r="AA96" s="215" t="str" cm="1">
        <f t="array" ref="AA96">Common_InputFunctions.Utility_DisplayArrayInTable(Fertiliser_SourceData.Fertiliser_Products_Data1(), FertiliserProducts[[#Headers],[Company]],1)</f>
        <v/>
      </c>
      <c r="AB96" s="215" t="str" cm="1">
        <f t="array" ref="AB96">Common_InputFunctions.Utility_DisplayArrayInTable(Fertiliser_SourceData.Fertiliser_Products_Data1(), FertiliserProducts[[#Headers],[Company]],1)</f>
        <v/>
      </c>
      <c r="AC96" s="215" t="str" cm="1">
        <f t="array" ref="AC96">Common_InputFunctions.Utility_DisplayArrayInTable(Fertiliser_SourceData.Fertiliser_Products_Data1(), FertiliserProducts[[#Headers],[Company]],1)</f>
        <v/>
      </c>
      <c r="AD96" s="215" t="str" cm="1">
        <f t="array" ref="AD96">Common_InputFunctions.Utility_DisplayArrayInTable(Fertiliser_SourceData.Fertiliser_Products_Data1(), FertiliserProducts[[#Headers],[Company]],1)</f>
        <v/>
      </c>
      <c r="AE96" s="215" t="str" cm="1">
        <f t="array" ref="AE96">Common_InputFunctions.Utility_DisplayArrayInTable(Fertiliser_SourceData.Fertiliser_Products_Data1(), FertiliserProducts[[#Headers],[Company]],1)</f>
        <v/>
      </c>
      <c r="AF96" s="215" t="str" cm="1">
        <f t="array" ref="AF96">Common_InputFunctions.Utility_DisplayArrayInTable(Fertiliser_SourceData.Fertiliser_Products_Data1(), FertiliserProducts[[#Headers],[Company]],1)</f>
        <v/>
      </c>
      <c r="AG96" s="215" t="str" cm="1">
        <f t="array" ref="AG96">Common_InputFunctions.Utility_DisplayArrayInTable(Fertiliser_SourceData.Fertiliser_Products_Data1(), FertiliserProducts[[#Headers],[Company]],1)</f>
        <v/>
      </c>
      <c r="AH96" s="215" t="str" cm="1">
        <f t="array" ref="AH96">Common_InputFunctions.Utility_DisplayArrayInTable(Fertiliser_SourceData.Fertiliser_Products_Data1(), FertiliserProducts[[#Headers],[Company]],1)</f>
        <v/>
      </c>
    </row>
    <row r="97" spans="1:34" ht="20.100000000000001" customHeight="1" x14ac:dyDescent="0.25">
      <c r="A97"/>
      <c r="D97" s="215" t="str" cm="1">
        <f t="array" ref="D97">Common_InputFunctions.Utility_DisplayArrayInTable(Fertiliser_SourceData.Fertiliser_Products_Data1(), FertiliserProducts[[#Headers],[Company]],1)</f>
        <v>Campbells fertilisers Australia</v>
      </c>
      <c r="E97" s="215" t="str" cm="1">
        <f t="array" ref="E97">Common_InputFunctions.Utility_DisplayArrayInTable(Fertiliser_SourceData.Fertiliser_Products_Data1(), FertiliserProducts[[#Headers],[Company]],1)</f>
        <v>Aqua Thio-Complete</v>
      </c>
      <c r="F97" s="215" t="str" cm="1">
        <f t="array" ref="F97">Common_InputFunctions.Utility_DisplayArrayInTable(Fertiliser_SourceData.Fertiliser_Products_Data1(), FertiliserProducts[[#Headers],[Company]],1)</f>
        <v>L</v>
      </c>
      <c r="G97" s="215" cm="1">
        <f t="array" ref="G97">Common_InputFunctions.Utility_DisplayArrayInTable(Fertiliser_SourceData.Fertiliser_Products_Data1(), FertiliserProducts[[#Headers],[Company]],1)</f>
        <v>1.43</v>
      </c>
      <c r="H97" s="215" t="str" cm="1">
        <f t="array" ref="H97">Common_InputFunctions.Utility_DisplayArrayInTable(Fertiliser_SourceData.Fertiliser_Products_Data1(), FertiliserProducts[[#Headers],[Company]],1)</f>
        <v/>
      </c>
      <c r="I97" s="215" t="str" cm="1">
        <f t="array" ref="I97">Common_InputFunctions.Utility_DisplayArrayInTable(Fertiliser_SourceData.Fertiliser_Products_Data1(), FertiliserProducts[[#Headers],[Company]],1)</f>
        <v/>
      </c>
      <c r="J97" s="215" t="str" cm="1">
        <f t="array" ref="J97">Common_InputFunctions.Utility_DisplayArrayInTable(Fertiliser_SourceData.Fertiliser_Products_Data1(), FertiliserProducts[[#Headers],[Company]],1)</f>
        <v/>
      </c>
      <c r="K97" s="215" cm="1">
        <f t="array" ref="K97">Common_InputFunctions.Utility_DisplayArrayInTable(Fertiliser_SourceData.Fertiliser_Products_Data1(), FertiliserProducts[[#Headers],[Company]],1)</f>
        <v>2.5</v>
      </c>
      <c r="L97" s="215" cm="1">
        <f t="array" ref="L97">Common_InputFunctions.Utility_DisplayArrayInTable(Fertiliser_SourceData.Fertiliser_Products_Data1(), FertiliserProducts[[#Headers],[Company]],1)</f>
        <v>3.8</v>
      </c>
      <c r="M97" s="215" cm="1">
        <f t="array" ref="M97">Common_InputFunctions.Utility_DisplayArrayInTable(Fertiliser_SourceData.Fertiliser_Products_Data1(), FertiliserProducts[[#Headers],[Company]],1)</f>
        <v>22.5</v>
      </c>
      <c r="N97" s="215" t="str" cm="1">
        <f t="array" ref="N97">Common_InputFunctions.Utility_DisplayArrayInTable(Fertiliser_SourceData.Fertiliser_Products_Data1(), FertiliserProducts[[#Headers],[Company]],1)</f>
        <v/>
      </c>
      <c r="O97" s="215" t="str" cm="1">
        <f t="array" ref="O97">Common_InputFunctions.Utility_DisplayArrayInTable(Fertiliser_SourceData.Fertiliser_Products_Data1(), FertiliserProducts[[#Headers],[Company]],1)</f>
        <v>Potassium - Generic</v>
      </c>
      <c r="P97" s="215" cm="1">
        <f t="array" ref="P97">Common_InputFunctions.Utility_DisplayArrayInTable(Fertiliser_SourceData.Fertiliser_Products_Data1(), FertiliserProducts[[#Headers],[Company]],1)</f>
        <v>0.22500000000000001</v>
      </c>
      <c r="Q97" s="215" t="str" cm="1">
        <f t="array" ref="Q97">Common_InputFunctions.Utility_DisplayArrayInTable(Fertiliser_SourceData.Fertiliser_Products_Data1(), FertiliserProducts[[#Headers],[Company]],1)</f>
        <v>Phosphorus - Generic</v>
      </c>
      <c r="R97" s="215" cm="1">
        <f t="array" ref="R97">Common_InputFunctions.Utility_DisplayArrayInTable(Fertiliser_SourceData.Fertiliser_Products_Data1(), FertiliserProducts[[#Headers],[Company]],1)</f>
        <v>3.7999999999999999E-2</v>
      </c>
      <c r="S97" s="215" t="str" cm="1">
        <f t="array" ref="S97">Common_InputFunctions.Utility_DisplayArrayInTable(Fertiliser_SourceData.Fertiliser_Products_Data1(), FertiliserProducts[[#Headers],[Company]],1)</f>
        <v>Nitrogen - Generic</v>
      </c>
      <c r="T97" s="215" cm="1">
        <f t="array" ref="T97">Common_InputFunctions.Utility_DisplayArrayInTable(Fertiliser_SourceData.Fertiliser_Products_Data1(), FertiliserProducts[[#Headers],[Company]],1)</f>
        <v>2.5000000000000001E-2</v>
      </c>
      <c r="U97" s="215" t="str" cm="1">
        <f t="array" ref="U97">Common_InputFunctions.Utility_DisplayArrayInTable(Fertiliser_SourceData.Fertiliser_Products_Data1(), FertiliserProducts[[#Headers],[Company]],1)</f>
        <v/>
      </c>
      <c r="V97" s="215" t="str" cm="1">
        <f t="array" ref="V97">Common_InputFunctions.Utility_DisplayArrayInTable(Fertiliser_SourceData.Fertiliser_Products_Data1(), FertiliserProducts[[#Headers],[Company]],1)</f>
        <v/>
      </c>
      <c r="W97" s="215" t="str" cm="1">
        <f t="array" ref="W97">Common_InputFunctions.Utility_DisplayArrayInTable(Fertiliser_SourceData.Fertiliser_Products_Data1(), FertiliserProducts[[#Headers],[Company]],1)</f>
        <v/>
      </c>
      <c r="X97" s="215" t="str" cm="1">
        <f t="array" ref="X97">Common_InputFunctions.Utility_DisplayArrayInTable(Fertiliser_SourceData.Fertiliser_Products_Data1(), FertiliserProducts[[#Headers],[Company]],1)</f>
        <v/>
      </c>
      <c r="Y97" s="215" t="str" cm="1">
        <f t="array" ref="Y97">Common_InputFunctions.Utility_DisplayArrayInTable(Fertiliser_SourceData.Fertiliser_Products_Data1(), FertiliserProducts[[#Headers],[Company]],1)</f>
        <v/>
      </c>
      <c r="Z97" s="215" t="str" cm="1">
        <f t="array" ref="Z97">Common_InputFunctions.Utility_DisplayArrayInTable(Fertiliser_SourceData.Fertiliser_Products_Data1(), FertiliserProducts[[#Headers],[Company]],1)</f>
        <v/>
      </c>
      <c r="AA97" s="215" t="str" cm="1">
        <f t="array" ref="AA97">Common_InputFunctions.Utility_DisplayArrayInTable(Fertiliser_SourceData.Fertiliser_Products_Data1(), FertiliserProducts[[#Headers],[Company]],1)</f>
        <v/>
      </c>
      <c r="AB97" s="215" t="str" cm="1">
        <f t="array" ref="AB97">Common_InputFunctions.Utility_DisplayArrayInTable(Fertiliser_SourceData.Fertiliser_Products_Data1(), FertiliserProducts[[#Headers],[Company]],1)</f>
        <v/>
      </c>
      <c r="AC97" s="215" t="str" cm="1">
        <f t="array" ref="AC97">Common_InputFunctions.Utility_DisplayArrayInTable(Fertiliser_SourceData.Fertiliser_Products_Data1(), FertiliserProducts[[#Headers],[Company]],1)</f>
        <v/>
      </c>
      <c r="AD97" s="215" t="str" cm="1">
        <f t="array" ref="AD97">Common_InputFunctions.Utility_DisplayArrayInTable(Fertiliser_SourceData.Fertiliser_Products_Data1(), FertiliserProducts[[#Headers],[Company]],1)</f>
        <v/>
      </c>
      <c r="AE97" s="215" t="str" cm="1">
        <f t="array" ref="AE97">Common_InputFunctions.Utility_DisplayArrayInTable(Fertiliser_SourceData.Fertiliser_Products_Data1(), FertiliserProducts[[#Headers],[Company]],1)</f>
        <v/>
      </c>
      <c r="AF97" s="215" t="str" cm="1">
        <f t="array" ref="AF97">Common_InputFunctions.Utility_DisplayArrayInTable(Fertiliser_SourceData.Fertiliser_Products_Data1(), FertiliserProducts[[#Headers],[Company]],1)</f>
        <v/>
      </c>
      <c r="AG97" s="215" t="str" cm="1">
        <f t="array" ref="AG97">Common_InputFunctions.Utility_DisplayArrayInTable(Fertiliser_SourceData.Fertiliser_Products_Data1(), FertiliserProducts[[#Headers],[Company]],1)</f>
        <v/>
      </c>
      <c r="AH97" s="215" t="str" cm="1">
        <f t="array" ref="AH97">Common_InputFunctions.Utility_DisplayArrayInTable(Fertiliser_SourceData.Fertiliser_Products_Data1(), FertiliserProducts[[#Headers],[Company]],1)</f>
        <v/>
      </c>
    </row>
    <row r="98" spans="1:34" ht="20.100000000000001" customHeight="1" x14ac:dyDescent="0.25">
      <c r="A98"/>
      <c r="D98" s="215" t="str" cm="1">
        <f t="array" ref="D98">Common_InputFunctions.Utility_DisplayArrayInTable(Fertiliser_SourceData.Fertiliser_Products_Data1(), FertiliserProducts[[#Headers],[Company]],1)</f>
        <v>Campbells fertilisers Australia</v>
      </c>
      <c r="E98" s="215" t="str" cm="1">
        <f t="array" ref="E98">Common_InputFunctions.Utility_DisplayArrayInTable(Fertiliser_SourceData.Fertiliser_Products_Data1(), FertiliserProducts[[#Headers],[Company]],1)</f>
        <v>Aqua Thio-Emerge</v>
      </c>
      <c r="F98" s="215" t="str" cm="1">
        <f t="array" ref="F98">Common_InputFunctions.Utility_DisplayArrayInTable(Fertiliser_SourceData.Fertiliser_Products_Data1(), FertiliserProducts[[#Headers],[Company]],1)</f>
        <v>L</v>
      </c>
      <c r="G98" s="215" cm="1">
        <f t="array" ref="G98">Common_InputFunctions.Utility_DisplayArrayInTable(Fertiliser_SourceData.Fertiliser_Products_Data1(), FertiliserProducts[[#Headers],[Company]],1)</f>
        <v>1.29</v>
      </c>
      <c r="H98" s="215" t="str" cm="1">
        <f t="array" ref="H98">Common_InputFunctions.Utility_DisplayArrayInTable(Fertiliser_SourceData.Fertiliser_Products_Data1(), FertiliserProducts[[#Headers],[Company]],1)</f>
        <v/>
      </c>
      <c r="I98" s="215" t="str" cm="1">
        <f t="array" ref="I98">Common_InputFunctions.Utility_DisplayArrayInTable(Fertiliser_SourceData.Fertiliser_Products_Data1(), FertiliserProducts[[#Headers],[Company]],1)</f>
        <v/>
      </c>
      <c r="J98" s="215" t="str" cm="1">
        <f t="array" ref="J98">Common_InputFunctions.Utility_DisplayArrayInTable(Fertiliser_SourceData.Fertiliser_Products_Data1(), FertiliserProducts[[#Headers],[Company]],1)</f>
        <v/>
      </c>
      <c r="K98" s="215" cm="1">
        <f t="array" ref="K98">Common_InputFunctions.Utility_DisplayArrayInTable(Fertiliser_SourceData.Fertiliser_Products_Data1(), FertiliserProducts[[#Headers],[Company]],1)</f>
        <v>10.5</v>
      </c>
      <c r="L98" s="215" cm="1">
        <f t="array" ref="L98">Common_InputFunctions.Utility_DisplayArrayInTable(Fertiliser_SourceData.Fertiliser_Products_Data1(), FertiliserProducts[[#Headers],[Company]],1)</f>
        <v>9.4</v>
      </c>
      <c r="M98" s="215" cm="1">
        <f t="array" ref="M98">Common_InputFunctions.Utility_DisplayArrayInTable(Fertiliser_SourceData.Fertiliser_Products_Data1(), FertiliserProducts[[#Headers],[Company]],1)</f>
        <v>4</v>
      </c>
      <c r="N98" s="215" cm="1">
        <f t="array" ref="N98">Common_InputFunctions.Utility_DisplayArrayInTable(Fertiliser_SourceData.Fertiliser_Products_Data1(), FertiliserProducts[[#Headers],[Company]],1)</f>
        <v>3</v>
      </c>
      <c r="O98" s="215" t="str" cm="1">
        <f t="array" ref="O98">Common_InputFunctions.Utility_DisplayArrayInTable(Fertiliser_SourceData.Fertiliser_Products_Data1(), FertiliserProducts[[#Headers],[Company]],1)</f>
        <v>Nitrogen - Generic</v>
      </c>
      <c r="P98" s="215" cm="1">
        <f t="array" ref="P98">Common_InputFunctions.Utility_DisplayArrayInTable(Fertiliser_SourceData.Fertiliser_Products_Data1(), FertiliserProducts[[#Headers],[Company]],1)</f>
        <v>0.105</v>
      </c>
      <c r="Q98" s="215" t="str" cm="1">
        <f t="array" ref="Q98">Common_InputFunctions.Utility_DisplayArrayInTable(Fertiliser_SourceData.Fertiliser_Products_Data1(), FertiliserProducts[[#Headers],[Company]],1)</f>
        <v>Phosphorus - Generic</v>
      </c>
      <c r="R98" s="215" cm="1">
        <f t="array" ref="R98">Common_InputFunctions.Utility_DisplayArrayInTable(Fertiliser_SourceData.Fertiliser_Products_Data1(), FertiliserProducts[[#Headers],[Company]],1)</f>
        <v>9.4E-2</v>
      </c>
      <c r="S98" s="215" t="str" cm="1">
        <f t="array" ref="S98">Common_InputFunctions.Utility_DisplayArrayInTable(Fertiliser_SourceData.Fertiliser_Products_Data1(), FertiliserProducts[[#Headers],[Company]],1)</f>
        <v>Potassium - Generic</v>
      </c>
      <c r="T98" s="215" cm="1">
        <f t="array" ref="T98">Common_InputFunctions.Utility_DisplayArrayInTable(Fertiliser_SourceData.Fertiliser_Products_Data1(), FertiliserProducts[[#Headers],[Company]],1)</f>
        <v>0.04</v>
      </c>
      <c r="U98" s="215" t="str" cm="1">
        <f t="array" ref="U98">Common_InputFunctions.Utility_DisplayArrayInTable(Fertiliser_SourceData.Fertiliser_Products_Data1(), FertiliserProducts[[#Headers],[Company]],1)</f>
        <v>Sulfur - Generic</v>
      </c>
      <c r="V98" s="215" cm="1">
        <f t="array" ref="V98">Common_InputFunctions.Utility_DisplayArrayInTable(Fertiliser_SourceData.Fertiliser_Products_Data1(), FertiliserProducts[[#Headers],[Company]],1)</f>
        <v>0.03</v>
      </c>
      <c r="W98" s="215" t="str" cm="1">
        <f t="array" ref="W98">Common_InputFunctions.Utility_DisplayArrayInTable(Fertiliser_SourceData.Fertiliser_Products_Data1(), FertiliserProducts[[#Headers],[Company]],1)</f>
        <v/>
      </c>
      <c r="X98" s="215" t="str" cm="1">
        <f t="array" ref="X98">Common_InputFunctions.Utility_DisplayArrayInTable(Fertiliser_SourceData.Fertiliser_Products_Data1(), FertiliserProducts[[#Headers],[Company]],1)</f>
        <v/>
      </c>
      <c r="Y98" s="215" t="str" cm="1">
        <f t="array" ref="Y98">Common_InputFunctions.Utility_DisplayArrayInTable(Fertiliser_SourceData.Fertiliser_Products_Data1(), FertiliserProducts[[#Headers],[Company]],1)</f>
        <v/>
      </c>
      <c r="Z98" s="215" t="str" cm="1">
        <f t="array" ref="Z98">Common_InputFunctions.Utility_DisplayArrayInTable(Fertiliser_SourceData.Fertiliser_Products_Data1(), FertiliserProducts[[#Headers],[Company]],1)</f>
        <v/>
      </c>
      <c r="AA98" s="215" t="str" cm="1">
        <f t="array" ref="AA98">Common_InputFunctions.Utility_DisplayArrayInTable(Fertiliser_SourceData.Fertiliser_Products_Data1(), FertiliserProducts[[#Headers],[Company]],1)</f>
        <v/>
      </c>
      <c r="AB98" s="215" t="str" cm="1">
        <f t="array" ref="AB98">Common_InputFunctions.Utility_DisplayArrayInTable(Fertiliser_SourceData.Fertiliser_Products_Data1(), FertiliserProducts[[#Headers],[Company]],1)</f>
        <v/>
      </c>
      <c r="AC98" s="215" t="str" cm="1">
        <f t="array" ref="AC98">Common_InputFunctions.Utility_DisplayArrayInTable(Fertiliser_SourceData.Fertiliser_Products_Data1(), FertiliserProducts[[#Headers],[Company]],1)</f>
        <v/>
      </c>
      <c r="AD98" s="215" t="str" cm="1">
        <f t="array" ref="AD98">Common_InputFunctions.Utility_DisplayArrayInTable(Fertiliser_SourceData.Fertiliser_Products_Data1(), FertiliserProducts[[#Headers],[Company]],1)</f>
        <v/>
      </c>
      <c r="AE98" s="215" t="str" cm="1">
        <f t="array" ref="AE98">Common_InputFunctions.Utility_DisplayArrayInTable(Fertiliser_SourceData.Fertiliser_Products_Data1(), FertiliserProducts[[#Headers],[Company]],1)</f>
        <v/>
      </c>
      <c r="AF98" s="215" t="str" cm="1">
        <f t="array" ref="AF98">Common_InputFunctions.Utility_DisplayArrayInTable(Fertiliser_SourceData.Fertiliser_Products_Data1(), FertiliserProducts[[#Headers],[Company]],1)</f>
        <v/>
      </c>
      <c r="AG98" s="215" t="str" cm="1">
        <f t="array" ref="AG98">Common_InputFunctions.Utility_DisplayArrayInTable(Fertiliser_SourceData.Fertiliser_Products_Data1(), FertiliserProducts[[#Headers],[Company]],1)</f>
        <v/>
      </c>
      <c r="AH98" s="215" t="str" cm="1">
        <f t="array" ref="AH98">Common_InputFunctions.Utility_DisplayArrayInTable(Fertiliser_SourceData.Fertiliser_Products_Data1(), FertiliserProducts[[#Headers],[Company]],1)</f>
        <v/>
      </c>
    </row>
    <row r="99" spans="1:34" ht="20.100000000000001" customHeight="1" x14ac:dyDescent="0.25">
      <c r="A99"/>
      <c r="D99" s="215" t="str" cm="1">
        <f t="array" ref="D99">Common_InputFunctions.Utility_DisplayArrayInTable(Fertiliser_SourceData.Fertiliser_Products_Data1(), FertiliserProducts[[#Headers],[Company]],1)</f>
        <v>Campbells fertilisers Australia</v>
      </c>
      <c r="E99" s="215" t="str" cm="1">
        <f t="array" ref="E99">Common_InputFunctions.Utility_DisplayArrayInTable(Fertiliser_SourceData.Fertiliser_Products_Data1(), FertiliserProducts[[#Headers],[Company]],1)</f>
        <v>Aqua Thio-Flourish</v>
      </c>
      <c r="F99" s="215" t="str" cm="1">
        <f t="array" ref="F99">Common_InputFunctions.Utility_DisplayArrayInTable(Fertiliser_SourceData.Fertiliser_Products_Data1(), FertiliserProducts[[#Headers],[Company]],1)</f>
        <v>L</v>
      </c>
      <c r="G99" s="215" cm="1">
        <f t="array" ref="G99">Common_InputFunctions.Utility_DisplayArrayInTable(Fertiliser_SourceData.Fertiliser_Products_Data1(), FertiliserProducts[[#Headers],[Company]],1)</f>
        <v>1.32</v>
      </c>
      <c r="H99" s="215" t="str" cm="1">
        <f t="array" ref="H99">Common_InputFunctions.Utility_DisplayArrayInTable(Fertiliser_SourceData.Fertiliser_Products_Data1(), FertiliserProducts[[#Headers],[Company]],1)</f>
        <v/>
      </c>
      <c r="I99" s="215" t="str" cm="1">
        <f t="array" ref="I99">Common_InputFunctions.Utility_DisplayArrayInTable(Fertiliser_SourceData.Fertiliser_Products_Data1(), FertiliserProducts[[#Headers],[Company]],1)</f>
        <v/>
      </c>
      <c r="J99" s="215" t="str" cm="1">
        <f t="array" ref="J99">Common_InputFunctions.Utility_DisplayArrayInTable(Fertiliser_SourceData.Fertiliser_Products_Data1(), FertiliserProducts[[#Headers],[Company]],1)</f>
        <v/>
      </c>
      <c r="K99" s="215" cm="1">
        <f t="array" ref="K99">Common_InputFunctions.Utility_DisplayArrayInTable(Fertiliser_SourceData.Fertiliser_Products_Data1(), FertiliserProducts[[#Headers],[Company]],1)</f>
        <v>9.5</v>
      </c>
      <c r="L99" s="215" cm="1">
        <f t="array" ref="L99">Common_InputFunctions.Utility_DisplayArrayInTable(Fertiliser_SourceData.Fertiliser_Products_Data1(), FertiliserProducts[[#Headers],[Company]],1)</f>
        <v>4.7</v>
      </c>
      <c r="M99" s="215" cm="1">
        <f t="array" ref="M99">Common_InputFunctions.Utility_DisplayArrayInTable(Fertiliser_SourceData.Fertiliser_Products_Data1(), FertiliserProducts[[#Headers],[Company]],1)</f>
        <v>10.8</v>
      </c>
      <c r="N99" s="215" cm="1">
        <f t="array" ref="N99">Common_InputFunctions.Utility_DisplayArrayInTable(Fertiliser_SourceData.Fertiliser_Products_Data1(), FertiliserProducts[[#Headers],[Company]],1)</f>
        <v>8.1</v>
      </c>
      <c r="O99" s="215" t="str" cm="1">
        <f t="array" ref="O99">Common_InputFunctions.Utility_DisplayArrayInTable(Fertiliser_SourceData.Fertiliser_Products_Data1(), FertiliserProducts[[#Headers],[Company]],1)</f>
        <v>Potassium - Generic</v>
      </c>
      <c r="P99" s="215" cm="1">
        <f t="array" ref="P99">Common_InputFunctions.Utility_DisplayArrayInTable(Fertiliser_SourceData.Fertiliser_Products_Data1(), FertiliserProducts[[#Headers],[Company]],1)</f>
        <v>0.108</v>
      </c>
      <c r="Q99" s="215" t="str" cm="1">
        <f t="array" ref="Q99">Common_InputFunctions.Utility_DisplayArrayInTable(Fertiliser_SourceData.Fertiliser_Products_Data1(), FertiliserProducts[[#Headers],[Company]],1)</f>
        <v>Nitrogen - Generic</v>
      </c>
      <c r="R99" s="215" cm="1">
        <f t="array" ref="R99">Common_InputFunctions.Utility_DisplayArrayInTable(Fertiliser_SourceData.Fertiliser_Products_Data1(), FertiliserProducts[[#Headers],[Company]],1)</f>
        <v>9.5000000000000001E-2</v>
      </c>
      <c r="S99" s="215" t="str" cm="1">
        <f t="array" ref="S99">Common_InputFunctions.Utility_DisplayArrayInTable(Fertiliser_SourceData.Fertiliser_Products_Data1(), FertiliserProducts[[#Headers],[Company]],1)</f>
        <v>Sulfur - Generic</v>
      </c>
      <c r="T99" s="215" cm="1">
        <f t="array" ref="T99">Common_InputFunctions.Utility_DisplayArrayInTable(Fertiliser_SourceData.Fertiliser_Products_Data1(), FertiliserProducts[[#Headers],[Company]],1)</f>
        <v>8.1000000000000003E-2</v>
      </c>
      <c r="U99" s="215" t="str" cm="1">
        <f t="array" ref="U99">Common_InputFunctions.Utility_DisplayArrayInTable(Fertiliser_SourceData.Fertiliser_Products_Data1(), FertiliserProducts[[#Headers],[Company]],1)</f>
        <v>Phosphorus - Generic</v>
      </c>
      <c r="V99" s="215" cm="1">
        <f t="array" ref="V99">Common_InputFunctions.Utility_DisplayArrayInTable(Fertiliser_SourceData.Fertiliser_Products_Data1(), FertiliserProducts[[#Headers],[Company]],1)</f>
        <v>4.7E-2</v>
      </c>
      <c r="W99" s="215" t="str" cm="1">
        <f t="array" ref="W99">Common_InputFunctions.Utility_DisplayArrayInTable(Fertiliser_SourceData.Fertiliser_Products_Data1(), FertiliserProducts[[#Headers],[Company]],1)</f>
        <v/>
      </c>
      <c r="X99" s="215" t="str" cm="1">
        <f t="array" ref="X99">Common_InputFunctions.Utility_DisplayArrayInTable(Fertiliser_SourceData.Fertiliser_Products_Data1(), FertiliserProducts[[#Headers],[Company]],1)</f>
        <v/>
      </c>
      <c r="Y99" s="215" t="str" cm="1">
        <f t="array" ref="Y99">Common_InputFunctions.Utility_DisplayArrayInTable(Fertiliser_SourceData.Fertiliser_Products_Data1(), FertiliserProducts[[#Headers],[Company]],1)</f>
        <v/>
      </c>
      <c r="Z99" s="215" t="str" cm="1">
        <f t="array" ref="Z99">Common_InputFunctions.Utility_DisplayArrayInTable(Fertiliser_SourceData.Fertiliser_Products_Data1(), FertiliserProducts[[#Headers],[Company]],1)</f>
        <v/>
      </c>
      <c r="AA99" s="215" t="str" cm="1">
        <f t="array" ref="AA99">Common_InputFunctions.Utility_DisplayArrayInTable(Fertiliser_SourceData.Fertiliser_Products_Data1(), FertiliserProducts[[#Headers],[Company]],1)</f>
        <v/>
      </c>
      <c r="AB99" s="215" t="str" cm="1">
        <f t="array" ref="AB99">Common_InputFunctions.Utility_DisplayArrayInTable(Fertiliser_SourceData.Fertiliser_Products_Data1(), FertiliserProducts[[#Headers],[Company]],1)</f>
        <v/>
      </c>
      <c r="AC99" s="215" t="str" cm="1">
        <f t="array" ref="AC99">Common_InputFunctions.Utility_DisplayArrayInTable(Fertiliser_SourceData.Fertiliser_Products_Data1(), FertiliserProducts[[#Headers],[Company]],1)</f>
        <v/>
      </c>
      <c r="AD99" s="215" t="str" cm="1">
        <f t="array" ref="AD99">Common_InputFunctions.Utility_DisplayArrayInTable(Fertiliser_SourceData.Fertiliser_Products_Data1(), FertiliserProducts[[#Headers],[Company]],1)</f>
        <v/>
      </c>
      <c r="AE99" s="215" t="str" cm="1">
        <f t="array" ref="AE99">Common_InputFunctions.Utility_DisplayArrayInTable(Fertiliser_SourceData.Fertiliser_Products_Data1(), FertiliserProducts[[#Headers],[Company]],1)</f>
        <v/>
      </c>
      <c r="AF99" s="215" t="str" cm="1">
        <f t="array" ref="AF99">Common_InputFunctions.Utility_DisplayArrayInTable(Fertiliser_SourceData.Fertiliser_Products_Data1(), FertiliserProducts[[#Headers],[Company]],1)</f>
        <v/>
      </c>
      <c r="AG99" s="215" t="str" cm="1">
        <f t="array" ref="AG99">Common_InputFunctions.Utility_DisplayArrayInTable(Fertiliser_SourceData.Fertiliser_Products_Data1(), FertiliserProducts[[#Headers],[Company]],1)</f>
        <v/>
      </c>
      <c r="AH99" s="215" t="str" cm="1">
        <f t="array" ref="AH99">Common_InputFunctions.Utility_DisplayArrayInTable(Fertiliser_SourceData.Fertiliser_Products_Data1(), FertiliserProducts[[#Headers],[Company]],1)</f>
        <v/>
      </c>
    </row>
    <row r="100" spans="1:34" ht="20.100000000000001" customHeight="1" x14ac:dyDescent="0.25">
      <c r="A100"/>
      <c r="D100" s="215" t="str" cm="1">
        <f t="array" ref="D100">Common_InputFunctions.Utility_DisplayArrayInTable(Fertiliser_SourceData.Fertiliser_Products_Data1(), FertiliserProducts[[#Headers],[Company]],1)</f>
        <v>Campbells fertilisers Australia</v>
      </c>
      <c r="E100" s="215" t="str" cm="1">
        <f t="array" ref="E100">Common_InputFunctions.Utility_DisplayArrayInTable(Fertiliser_SourceData.Fertiliser_Products_Data1(), FertiliserProducts[[#Headers],[Company]],1)</f>
        <v>Boost-It</v>
      </c>
      <c r="F100" s="215" t="str" cm="1">
        <f t="array" ref="F100">Common_InputFunctions.Utility_DisplayArrayInTable(Fertiliser_SourceData.Fertiliser_Products_Data1(), FertiliserProducts[[#Headers],[Company]],1)</f>
        <v>kg</v>
      </c>
      <c r="G100" s="215" cm="1">
        <f t="array" ref="G100">Common_InputFunctions.Utility_DisplayArrayInTable(Fertiliser_SourceData.Fertiliser_Products_Data1(), FertiliserProducts[[#Headers],[Company]],1)</f>
        <v>1</v>
      </c>
      <c r="H100" s="215" t="str" cm="1">
        <f t="array" ref="H100">Common_InputFunctions.Utility_DisplayArrayInTable(Fertiliser_SourceData.Fertiliser_Products_Data1(), FertiliserProducts[[#Headers],[Company]],1)</f>
        <v/>
      </c>
      <c r="I100" s="215" t="str" cm="1">
        <f t="array" ref="I100">Common_InputFunctions.Utility_DisplayArrayInTable(Fertiliser_SourceData.Fertiliser_Products_Data1(), FertiliserProducts[[#Headers],[Company]],1)</f>
        <v/>
      </c>
      <c r="J100" s="215" t="str" cm="1">
        <f t="array" ref="J100">Common_InputFunctions.Utility_DisplayArrayInTable(Fertiliser_SourceData.Fertiliser_Products_Data1(), FertiliserProducts[[#Headers],[Company]],1)</f>
        <v/>
      </c>
      <c r="K100" s="215" cm="1">
        <f t="array" ref="K100">Common_InputFunctions.Utility_DisplayArrayInTable(Fertiliser_SourceData.Fertiliser_Products_Data1(), FertiliserProducts[[#Headers],[Company]],1)</f>
        <v>24</v>
      </c>
      <c r="L100" s="215" cm="1">
        <f t="array" ref="L100">Common_InputFunctions.Utility_DisplayArrayInTable(Fertiliser_SourceData.Fertiliser_Products_Data1(), FertiliserProducts[[#Headers],[Company]],1)</f>
        <v>5.2</v>
      </c>
      <c r="M100" s="215" cm="1">
        <f t="array" ref="M100">Common_InputFunctions.Utility_DisplayArrayInTable(Fertiliser_SourceData.Fertiliser_Products_Data1(), FertiliserProducts[[#Headers],[Company]],1)</f>
        <v>8</v>
      </c>
      <c r="N100" s="215" cm="1">
        <f t="array" ref="N100">Common_InputFunctions.Utility_DisplayArrayInTable(Fertiliser_SourceData.Fertiliser_Products_Data1(), FertiliserProducts[[#Headers],[Company]],1)</f>
        <v>5.3</v>
      </c>
      <c r="O100" s="215" t="str" cm="1">
        <f t="array" ref="O100">Common_InputFunctions.Utility_DisplayArrayInTable(Fertiliser_SourceData.Fertiliser_Products_Data1(), FertiliserProducts[[#Headers],[Company]],1)</f>
        <v>Urea</v>
      </c>
      <c r="P100" s="215" cm="1">
        <f t="array" ref="P100">Common_InputFunctions.Utility_DisplayArrayInTable(Fertiliser_SourceData.Fertiliser_Products_Data1(), FertiliserProducts[[#Headers],[Company]],1)</f>
        <v>0.52173899999999995</v>
      </c>
      <c r="Q100" s="215" t="str" cm="1">
        <f t="array" ref="Q100">Common_InputFunctions.Utility_DisplayArrayInTable(Fertiliser_SourceData.Fertiliser_Products_Data1(), FertiliserProducts[[#Headers],[Company]],1)</f>
        <v>Potassium - Generic</v>
      </c>
      <c r="R100" s="215" cm="1">
        <f t="array" ref="R100">Common_InputFunctions.Utility_DisplayArrayInTable(Fertiliser_SourceData.Fertiliser_Products_Data1(), FertiliserProducts[[#Headers],[Company]],1)</f>
        <v>0.08</v>
      </c>
      <c r="S100" s="215" t="str" cm="1">
        <f t="array" ref="S100">Common_InputFunctions.Utility_DisplayArrayInTable(Fertiliser_SourceData.Fertiliser_Products_Data1(), FertiliserProducts[[#Headers],[Company]],1)</f>
        <v>Sulfur - Generic</v>
      </c>
      <c r="T100" s="215" cm="1">
        <f t="array" ref="T100">Common_InputFunctions.Utility_DisplayArrayInTable(Fertiliser_SourceData.Fertiliser_Products_Data1(), FertiliserProducts[[#Headers],[Company]],1)</f>
        <v>5.2999999999999999E-2</v>
      </c>
      <c r="U100" s="215" t="str" cm="1">
        <f t="array" ref="U100">Common_InputFunctions.Utility_DisplayArrayInTable(Fertiliser_SourceData.Fertiliser_Products_Data1(), FertiliserProducts[[#Headers],[Company]],1)</f>
        <v>Phosphorus - Generic</v>
      </c>
      <c r="V100" s="215" cm="1">
        <f t="array" ref="V100">Common_InputFunctions.Utility_DisplayArrayInTable(Fertiliser_SourceData.Fertiliser_Products_Data1(), FertiliserProducts[[#Headers],[Company]],1)</f>
        <v>5.1999999999999998E-2</v>
      </c>
      <c r="W100" s="215" t="str" cm="1">
        <f t="array" ref="W100">Common_InputFunctions.Utility_DisplayArrayInTable(Fertiliser_SourceData.Fertiliser_Products_Data1(), FertiliserProducts[[#Headers],[Company]],1)</f>
        <v>Magnesium</v>
      </c>
      <c r="X100" s="215" cm="1">
        <f t="array" ref="X100">Common_InputFunctions.Utility_DisplayArrayInTable(Fertiliser_SourceData.Fertiliser_Products_Data1(), FertiliserProducts[[#Headers],[Company]],1)</f>
        <v>1.2999999999999999E-2</v>
      </c>
      <c r="Y100" s="215" t="str" cm="1">
        <f t="array" ref="Y100">Common_InputFunctions.Utility_DisplayArrayInTable(Fertiliser_SourceData.Fertiliser_Products_Data1(), FertiliserProducts[[#Headers],[Company]],1)</f>
        <v>Zinc</v>
      </c>
      <c r="Z100" s="215" cm="1">
        <f t="array" ref="Z100">Common_InputFunctions.Utility_DisplayArrayInTable(Fertiliser_SourceData.Fertiliser_Products_Data1(), FertiliserProducts[[#Headers],[Company]],1)</f>
        <v>2E-3</v>
      </c>
      <c r="AA100" s="215" t="str" cm="1">
        <f t="array" ref="AA100">Common_InputFunctions.Utility_DisplayArrayInTable(Fertiliser_SourceData.Fertiliser_Products_Data1(), FertiliserProducts[[#Headers],[Company]],1)</f>
        <v>Manganese</v>
      </c>
      <c r="AB100" s="215" cm="1">
        <f t="array" ref="AB100">Common_InputFunctions.Utility_DisplayArrayInTable(Fertiliser_SourceData.Fertiliser_Products_Data1(), FertiliserProducts[[#Headers],[Company]],1)</f>
        <v>3.5000000000000001E-3</v>
      </c>
      <c r="AC100" s="215" t="str" cm="1">
        <f t="array" ref="AC100">Common_InputFunctions.Utility_DisplayArrayInTable(Fertiliser_SourceData.Fertiliser_Products_Data1(), FertiliserProducts[[#Headers],[Company]],1)</f>
        <v>Iron</v>
      </c>
      <c r="AD100" s="215" cm="1">
        <f t="array" ref="AD100">Common_InputFunctions.Utility_DisplayArrayInTable(Fertiliser_SourceData.Fertiliser_Products_Data1(), FertiliserProducts[[#Headers],[Company]],1)</f>
        <v>1.2999999999999999E-3</v>
      </c>
      <c r="AE100" s="215" t="str" cm="1">
        <f t="array" ref="AE100">Common_InputFunctions.Utility_DisplayArrayInTable(Fertiliser_SourceData.Fertiliser_Products_Data1(), FertiliserProducts[[#Headers],[Company]],1)</f>
        <v>Copper</v>
      </c>
      <c r="AF100" s="215" cm="1">
        <f t="array" ref="AF100">Common_InputFunctions.Utility_DisplayArrayInTable(Fertiliser_SourceData.Fertiliser_Products_Data1(), FertiliserProducts[[#Headers],[Company]],1)</f>
        <v>6.9999999999999999E-4</v>
      </c>
      <c r="AG100" s="215" t="str" cm="1">
        <f t="array" ref="AG100">Common_InputFunctions.Utility_DisplayArrayInTable(Fertiliser_SourceData.Fertiliser_Products_Data1(), FertiliserProducts[[#Headers],[Company]],1)</f>
        <v>Boron</v>
      </c>
      <c r="AH100" s="215" cm="1">
        <f t="array" ref="AH100">Common_InputFunctions.Utility_DisplayArrayInTable(Fertiliser_SourceData.Fertiliser_Products_Data1(), FertiliserProducts[[#Headers],[Company]],1)</f>
        <v>6.9999999999999999E-4</v>
      </c>
    </row>
    <row r="101" spans="1:34" ht="20.100000000000001" customHeight="1" x14ac:dyDescent="0.25">
      <c r="A101"/>
      <c r="D101" s="215" t="str" cm="1">
        <f t="array" ref="D101">Common_InputFunctions.Utility_DisplayArrayInTable(Fertiliser_SourceData.Fertiliser_Products_Data1(), FertiliserProducts[[#Headers],[Company]],1)</f>
        <v>Campbells fertilisers Australia</v>
      </c>
      <c r="E101" s="215" t="str" cm="1">
        <f t="array" ref="E101">Common_InputFunctions.Utility_DisplayArrayInTable(Fertiliser_SourceData.Fertiliser_Products_Data1(), FertiliserProducts[[#Headers],[Company]],1)</f>
        <v>Bronze</v>
      </c>
      <c r="F101" s="215" t="str" cm="1">
        <f t="array" ref="F101">Common_InputFunctions.Utility_DisplayArrayInTable(Fertiliser_SourceData.Fertiliser_Products_Data1(), FertiliserProducts[[#Headers],[Company]],1)</f>
        <v>kg</v>
      </c>
      <c r="G101" s="215" cm="1">
        <f t="array" ref="G101">Common_InputFunctions.Utility_DisplayArrayInTable(Fertiliser_SourceData.Fertiliser_Products_Data1(), FertiliserProducts[[#Headers],[Company]],1)</f>
        <v>1</v>
      </c>
      <c r="H101" s="215" t="str" cm="1">
        <f t="array" ref="H101">Common_InputFunctions.Utility_DisplayArrayInTable(Fertiliser_SourceData.Fertiliser_Products_Data1(), FertiliserProducts[[#Headers],[Company]],1)</f>
        <v/>
      </c>
      <c r="I101" s="215" t="str" cm="1">
        <f t="array" ref="I101">Common_InputFunctions.Utility_DisplayArrayInTable(Fertiliser_SourceData.Fertiliser_Products_Data1(), FertiliserProducts[[#Headers],[Company]],1)</f>
        <v/>
      </c>
      <c r="J101" s="215" t="str" cm="1">
        <f t="array" ref="J101">Common_InputFunctions.Utility_DisplayArrayInTable(Fertiliser_SourceData.Fertiliser_Products_Data1(), FertiliserProducts[[#Headers],[Company]],1)</f>
        <v/>
      </c>
      <c r="K101" s="215" cm="1">
        <f t="array" ref="K101">Common_InputFunctions.Utility_DisplayArrayInTable(Fertiliser_SourceData.Fertiliser_Products_Data1(), FertiliserProducts[[#Headers],[Company]],1)</f>
        <v>17</v>
      </c>
      <c r="L101" s="215" cm="1">
        <f t="array" ref="L101">Common_InputFunctions.Utility_DisplayArrayInTable(Fertiliser_SourceData.Fertiliser_Products_Data1(), FertiliserProducts[[#Headers],[Company]],1)</f>
        <v>0.04</v>
      </c>
      <c r="M101" s="215" cm="1">
        <f t="array" ref="M101">Common_InputFunctions.Utility_DisplayArrayInTable(Fertiliser_SourceData.Fertiliser_Products_Data1(), FertiliserProducts[[#Headers],[Company]],1)</f>
        <v>11.6</v>
      </c>
      <c r="N101" s="215" cm="1">
        <f t="array" ref="N101">Common_InputFunctions.Utility_DisplayArrayInTable(Fertiliser_SourceData.Fertiliser_Products_Data1(), FertiliserProducts[[#Headers],[Company]],1)</f>
        <v>0.5</v>
      </c>
      <c r="O101" s="215" t="str" cm="1">
        <f t="array" ref="O101">Common_InputFunctions.Utility_DisplayArrayInTable(Fertiliser_SourceData.Fertiliser_Products_Data1(), FertiliserProducts[[#Headers],[Company]],1)</f>
        <v>Muriate of potash (MOP)</v>
      </c>
      <c r="P101" s="215" cm="1">
        <f t="array" ref="P101">Common_InputFunctions.Utility_DisplayArrayInTable(Fertiliser_SourceData.Fertiliser_Products_Data1(), FertiliserProducts[[#Headers],[Company]],1)</f>
        <v>0.23200000000000001</v>
      </c>
      <c r="Q101" s="215" t="str" cm="1">
        <f t="array" ref="Q101">Common_InputFunctions.Utility_DisplayArrayInTable(Fertiliser_SourceData.Fertiliser_Products_Data1(), FertiliserProducts[[#Headers],[Company]],1)</f>
        <v>Nitrogen - Generic</v>
      </c>
      <c r="R101" s="215" cm="1">
        <f t="array" ref="R101">Common_InputFunctions.Utility_DisplayArrayInTable(Fertiliser_SourceData.Fertiliser_Products_Data1(), FertiliserProducts[[#Headers],[Company]],1)</f>
        <v>0.17</v>
      </c>
      <c r="S101" s="215" t="str" cm="1">
        <f t="array" ref="S101">Common_InputFunctions.Utility_DisplayArrayInTable(Fertiliser_SourceData.Fertiliser_Products_Data1(), FertiliserProducts[[#Headers],[Company]],1)</f>
        <v>Sulfur - Generic</v>
      </c>
      <c r="T101" s="215" cm="1">
        <f t="array" ref="T101">Common_InputFunctions.Utility_DisplayArrayInTable(Fertiliser_SourceData.Fertiliser_Products_Data1(), FertiliserProducts[[#Headers],[Company]],1)</f>
        <v>5.0000000000000001E-3</v>
      </c>
      <c r="U101" s="215" t="str" cm="1">
        <f t="array" ref="U101">Common_InputFunctions.Utility_DisplayArrayInTable(Fertiliser_SourceData.Fertiliser_Products_Data1(), FertiliserProducts[[#Headers],[Company]],1)</f>
        <v>Magnesium</v>
      </c>
      <c r="V101" s="215" cm="1">
        <f t="array" ref="V101">Common_InputFunctions.Utility_DisplayArrayInTable(Fertiliser_SourceData.Fertiliser_Products_Data1(), FertiliserProducts[[#Headers],[Company]],1)</f>
        <v>2.3999999999999998E-3</v>
      </c>
      <c r="W101" s="215" t="str" cm="1">
        <f t="array" ref="W101">Common_InputFunctions.Utility_DisplayArrayInTable(Fertiliser_SourceData.Fertiliser_Products_Data1(), FertiliserProducts[[#Headers],[Company]],1)</f>
        <v>Phosphorus - Generic</v>
      </c>
      <c r="X101" s="215" cm="1">
        <f t="array" ref="X101">Common_InputFunctions.Utility_DisplayArrayInTable(Fertiliser_SourceData.Fertiliser_Products_Data1(), FertiliserProducts[[#Headers],[Company]],1)</f>
        <v>4.0000000000000002E-4</v>
      </c>
      <c r="Y101" s="215" t="str" cm="1">
        <f t="array" ref="Y101">Common_InputFunctions.Utility_DisplayArrayInTable(Fertiliser_SourceData.Fertiliser_Products_Data1(), FertiliserProducts[[#Headers],[Company]],1)</f>
        <v/>
      </c>
      <c r="Z101" s="215" t="str" cm="1">
        <f t="array" ref="Z101">Common_InputFunctions.Utility_DisplayArrayInTable(Fertiliser_SourceData.Fertiliser_Products_Data1(), FertiliserProducts[[#Headers],[Company]],1)</f>
        <v/>
      </c>
      <c r="AA101" s="215" t="str" cm="1">
        <f t="array" ref="AA101">Common_InputFunctions.Utility_DisplayArrayInTable(Fertiliser_SourceData.Fertiliser_Products_Data1(), FertiliserProducts[[#Headers],[Company]],1)</f>
        <v/>
      </c>
      <c r="AB101" s="215" t="str" cm="1">
        <f t="array" ref="AB101">Common_InputFunctions.Utility_DisplayArrayInTable(Fertiliser_SourceData.Fertiliser_Products_Data1(), FertiliserProducts[[#Headers],[Company]],1)</f>
        <v/>
      </c>
      <c r="AC101" s="215" t="str" cm="1">
        <f t="array" ref="AC101">Common_InputFunctions.Utility_DisplayArrayInTable(Fertiliser_SourceData.Fertiliser_Products_Data1(), FertiliserProducts[[#Headers],[Company]],1)</f>
        <v/>
      </c>
      <c r="AD101" s="215" t="str" cm="1">
        <f t="array" ref="AD101">Common_InputFunctions.Utility_DisplayArrayInTable(Fertiliser_SourceData.Fertiliser_Products_Data1(), FertiliserProducts[[#Headers],[Company]],1)</f>
        <v/>
      </c>
      <c r="AE101" s="215" t="str" cm="1">
        <f t="array" ref="AE101">Common_InputFunctions.Utility_DisplayArrayInTable(Fertiliser_SourceData.Fertiliser_Products_Data1(), FertiliserProducts[[#Headers],[Company]],1)</f>
        <v/>
      </c>
      <c r="AF101" s="215" t="str" cm="1">
        <f t="array" ref="AF101">Common_InputFunctions.Utility_DisplayArrayInTable(Fertiliser_SourceData.Fertiliser_Products_Data1(), FertiliserProducts[[#Headers],[Company]],1)</f>
        <v/>
      </c>
      <c r="AG101" s="215" t="str" cm="1">
        <f t="array" ref="AG101">Common_InputFunctions.Utility_DisplayArrayInTable(Fertiliser_SourceData.Fertiliser_Products_Data1(), FertiliserProducts[[#Headers],[Company]],1)</f>
        <v/>
      </c>
      <c r="AH101" s="215" t="str" cm="1">
        <f t="array" ref="AH101">Common_InputFunctions.Utility_DisplayArrayInTable(Fertiliser_SourceData.Fertiliser_Products_Data1(), FertiliserProducts[[#Headers],[Company]],1)</f>
        <v/>
      </c>
    </row>
    <row r="102" spans="1:34" ht="20.100000000000001" customHeight="1" x14ac:dyDescent="0.25">
      <c r="A102"/>
      <c r="D102" s="215" t="str" cm="1">
        <f t="array" ref="D102">Common_InputFunctions.Utility_DisplayArrayInTable(Fertiliser_SourceData.Fertiliser_Products_Data1(), FertiliserProducts[[#Headers],[Company]],1)</f>
        <v>Campbells fertilisers Australia</v>
      </c>
      <c r="E102" s="215" t="str" cm="1">
        <f t="array" ref="E102">Common_InputFunctions.Utility_DisplayArrayInTable(Fertiliser_SourceData.Fertiliser_Products_Data1(), FertiliserProducts[[#Headers],[Company]],1)</f>
        <v>Calbit C</v>
      </c>
      <c r="F102" s="215" t="str" cm="1">
        <f t="array" ref="F102">Common_InputFunctions.Utility_DisplayArrayInTable(Fertiliser_SourceData.Fertiliser_Products_Data1(), FertiliserProducts[[#Headers],[Company]],1)</f>
        <v>L</v>
      </c>
      <c r="G102" s="215" cm="1">
        <f t="array" ref="G102">Common_InputFunctions.Utility_DisplayArrayInTable(Fertiliser_SourceData.Fertiliser_Products_Data1(), FertiliserProducts[[#Headers],[Company]],1)</f>
        <v>1.45</v>
      </c>
      <c r="H102" s="215" t="str" cm="1">
        <f t="array" ref="H102">Common_InputFunctions.Utility_DisplayArrayInTable(Fertiliser_SourceData.Fertiliser_Products_Data1(), FertiliserProducts[[#Headers],[Company]],1)</f>
        <v/>
      </c>
      <c r="I102" s="215" t="str" cm="1">
        <f t="array" ref="I102">Common_InputFunctions.Utility_DisplayArrayInTable(Fertiliser_SourceData.Fertiliser_Products_Data1(), FertiliserProducts[[#Headers],[Company]],1)</f>
        <v/>
      </c>
      <c r="J102" s="215" t="str" cm="1">
        <f t="array" ref="J102">Common_InputFunctions.Utility_DisplayArrayInTable(Fertiliser_SourceData.Fertiliser_Products_Data1(), FertiliserProducts[[#Headers],[Company]],1)</f>
        <v/>
      </c>
      <c r="K102" s="215" t="str" cm="1">
        <f t="array" ref="K102">Common_InputFunctions.Utility_DisplayArrayInTable(Fertiliser_SourceData.Fertiliser_Products_Data1(), FertiliserProducts[[#Headers],[Company]],1)</f>
        <v/>
      </c>
      <c r="L102" s="215" t="str" cm="1">
        <f t="array" ref="L102">Common_InputFunctions.Utility_DisplayArrayInTable(Fertiliser_SourceData.Fertiliser_Products_Data1(), FertiliserProducts[[#Headers],[Company]],1)</f>
        <v/>
      </c>
      <c r="M102" s="215" t="str" cm="1">
        <f t="array" ref="M102">Common_InputFunctions.Utility_DisplayArrayInTable(Fertiliser_SourceData.Fertiliser_Products_Data1(), FertiliserProducts[[#Headers],[Company]],1)</f>
        <v/>
      </c>
      <c r="N102" s="215" t="str" cm="1">
        <f t="array" ref="N102">Common_InputFunctions.Utility_DisplayArrayInTable(Fertiliser_SourceData.Fertiliser_Products_Data1(), FertiliserProducts[[#Headers],[Company]],1)</f>
        <v/>
      </c>
      <c r="O102" s="215" t="str" cm="1">
        <f t="array" ref="O102">Common_InputFunctions.Utility_DisplayArrayInTable(Fertiliser_SourceData.Fertiliser_Products_Data1(), FertiliserProducts[[#Headers],[Company]],1)</f>
        <v>Calcium</v>
      </c>
      <c r="P102" s="215" cm="1">
        <f t="array" ref="P102">Common_InputFunctions.Utility_DisplayArrayInTable(Fertiliser_SourceData.Fertiliser_Products_Data1(), FertiliserProducts[[#Headers],[Company]],1)</f>
        <v>0.107</v>
      </c>
      <c r="Q102" s="215" t="str" cm="1">
        <f t="array" ref="Q102">Common_InputFunctions.Utility_DisplayArrayInTable(Fertiliser_SourceData.Fertiliser_Products_Data1(), FertiliserProducts[[#Headers],[Company]],1)</f>
        <v/>
      </c>
      <c r="R102" s="215" t="str" cm="1">
        <f t="array" ref="R102">Common_InputFunctions.Utility_DisplayArrayInTable(Fertiliser_SourceData.Fertiliser_Products_Data1(), FertiliserProducts[[#Headers],[Company]],1)</f>
        <v/>
      </c>
      <c r="S102" s="215" t="str" cm="1">
        <f t="array" ref="S102">Common_InputFunctions.Utility_DisplayArrayInTable(Fertiliser_SourceData.Fertiliser_Products_Data1(), FertiliserProducts[[#Headers],[Company]],1)</f>
        <v/>
      </c>
      <c r="T102" s="215" t="str" cm="1">
        <f t="array" ref="T102">Common_InputFunctions.Utility_DisplayArrayInTable(Fertiliser_SourceData.Fertiliser_Products_Data1(), FertiliserProducts[[#Headers],[Company]],1)</f>
        <v/>
      </c>
      <c r="U102" s="215" t="str" cm="1">
        <f t="array" ref="U102">Common_InputFunctions.Utility_DisplayArrayInTable(Fertiliser_SourceData.Fertiliser_Products_Data1(), FertiliserProducts[[#Headers],[Company]],1)</f>
        <v/>
      </c>
      <c r="V102" s="215" t="str" cm="1">
        <f t="array" ref="V102">Common_InputFunctions.Utility_DisplayArrayInTable(Fertiliser_SourceData.Fertiliser_Products_Data1(), FertiliserProducts[[#Headers],[Company]],1)</f>
        <v/>
      </c>
      <c r="W102" s="215" t="str" cm="1">
        <f t="array" ref="W102">Common_InputFunctions.Utility_DisplayArrayInTable(Fertiliser_SourceData.Fertiliser_Products_Data1(), FertiliserProducts[[#Headers],[Company]],1)</f>
        <v/>
      </c>
      <c r="X102" s="215" t="str" cm="1">
        <f t="array" ref="X102">Common_InputFunctions.Utility_DisplayArrayInTable(Fertiliser_SourceData.Fertiliser_Products_Data1(), FertiliserProducts[[#Headers],[Company]],1)</f>
        <v/>
      </c>
      <c r="Y102" s="215" t="str" cm="1">
        <f t="array" ref="Y102">Common_InputFunctions.Utility_DisplayArrayInTable(Fertiliser_SourceData.Fertiliser_Products_Data1(), FertiliserProducts[[#Headers],[Company]],1)</f>
        <v/>
      </c>
      <c r="Z102" s="215" t="str" cm="1">
        <f t="array" ref="Z102">Common_InputFunctions.Utility_DisplayArrayInTable(Fertiliser_SourceData.Fertiliser_Products_Data1(), FertiliserProducts[[#Headers],[Company]],1)</f>
        <v/>
      </c>
      <c r="AA102" s="215" t="str" cm="1">
        <f t="array" ref="AA102">Common_InputFunctions.Utility_DisplayArrayInTable(Fertiliser_SourceData.Fertiliser_Products_Data1(), FertiliserProducts[[#Headers],[Company]],1)</f>
        <v/>
      </c>
      <c r="AB102" s="215" t="str" cm="1">
        <f t="array" ref="AB102">Common_InputFunctions.Utility_DisplayArrayInTable(Fertiliser_SourceData.Fertiliser_Products_Data1(), FertiliserProducts[[#Headers],[Company]],1)</f>
        <v/>
      </c>
      <c r="AC102" s="215" t="str" cm="1">
        <f t="array" ref="AC102">Common_InputFunctions.Utility_DisplayArrayInTable(Fertiliser_SourceData.Fertiliser_Products_Data1(), FertiliserProducts[[#Headers],[Company]],1)</f>
        <v/>
      </c>
      <c r="AD102" s="215" t="str" cm="1">
        <f t="array" ref="AD102">Common_InputFunctions.Utility_DisplayArrayInTable(Fertiliser_SourceData.Fertiliser_Products_Data1(), FertiliserProducts[[#Headers],[Company]],1)</f>
        <v/>
      </c>
      <c r="AE102" s="215" t="str" cm="1">
        <f t="array" ref="AE102">Common_InputFunctions.Utility_DisplayArrayInTable(Fertiliser_SourceData.Fertiliser_Products_Data1(), FertiliserProducts[[#Headers],[Company]],1)</f>
        <v/>
      </c>
      <c r="AF102" s="215" t="str" cm="1">
        <f t="array" ref="AF102">Common_InputFunctions.Utility_DisplayArrayInTable(Fertiliser_SourceData.Fertiliser_Products_Data1(), FertiliserProducts[[#Headers],[Company]],1)</f>
        <v/>
      </c>
      <c r="AG102" s="215" t="str" cm="1">
        <f t="array" ref="AG102">Common_InputFunctions.Utility_DisplayArrayInTable(Fertiliser_SourceData.Fertiliser_Products_Data1(), FertiliserProducts[[#Headers],[Company]],1)</f>
        <v/>
      </c>
      <c r="AH102" s="215" t="str" cm="1">
        <f t="array" ref="AH102">Common_InputFunctions.Utility_DisplayArrayInTable(Fertiliser_SourceData.Fertiliser_Products_Data1(), FertiliserProducts[[#Headers],[Company]],1)</f>
        <v/>
      </c>
    </row>
    <row r="103" spans="1:34" ht="20.100000000000001" customHeight="1" x14ac:dyDescent="0.25">
      <c r="A103"/>
      <c r="D103" s="215" t="str" cm="1">
        <f t="array" ref="D103">Common_InputFunctions.Utility_DisplayArrayInTable(Fertiliser_SourceData.Fertiliser_Products_Data1(), FertiliserProducts[[#Headers],[Company]],1)</f>
        <v>Campbells fertilisers Australia</v>
      </c>
      <c r="E103" s="215" t="str" cm="1">
        <f t="array" ref="E103">Common_InputFunctions.Utility_DisplayArrayInTable(Fertiliser_SourceData.Fertiliser_Products_Data1(), FertiliserProducts[[#Headers],[Company]],1)</f>
        <v>Compass</v>
      </c>
      <c r="F103" s="215" t="str" cm="1">
        <f t="array" ref="F103">Common_InputFunctions.Utility_DisplayArrayInTable(Fertiliser_SourceData.Fertiliser_Products_Data1(), FertiliserProducts[[#Headers],[Company]],1)</f>
        <v>kg</v>
      </c>
      <c r="G103" s="215" cm="1">
        <f t="array" ref="G103">Common_InputFunctions.Utility_DisplayArrayInTable(Fertiliser_SourceData.Fertiliser_Products_Data1(), FertiliserProducts[[#Headers],[Company]],1)</f>
        <v>1</v>
      </c>
      <c r="H103" s="215" t="str" cm="1">
        <f t="array" ref="H103">Common_InputFunctions.Utility_DisplayArrayInTable(Fertiliser_SourceData.Fertiliser_Products_Data1(), FertiliserProducts[[#Headers],[Company]],1)</f>
        <v/>
      </c>
      <c r="I103" s="215" t="str" cm="1">
        <f t="array" ref="I103">Common_InputFunctions.Utility_DisplayArrayInTable(Fertiliser_SourceData.Fertiliser_Products_Data1(), FertiliserProducts[[#Headers],[Company]],1)</f>
        <v/>
      </c>
      <c r="J103" s="215" t="str" cm="1">
        <f t="array" ref="J103">Common_InputFunctions.Utility_DisplayArrayInTable(Fertiliser_SourceData.Fertiliser_Products_Data1(), FertiliserProducts[[#Headers],[Company]],1)</f>
        <v/>
      </c>
      <c r="K103" s="215" cm="1">
        <f t="array" ref="K103">Common_InputFunctions.Utility_DisplayArrayInTable(Fertiliser_SourceData.Fertiliser_Products_Data1(), FertiliserProducts[[#Headers],[Company]],1)</f>
        <v>15</v>
      </c>
      <c r="L103" s="215" cm="1">
        <f t="array" ref="L103">Common_InputFunctions.Utility_DisplayArrayInTable(Fertiliser_SourceData.Fertiliser_Products_Data1(), FertiliserProducts[[#Headers],[Company]],1)</f>
        <v>6.5</v>
      </c>
      <c r="M103" s="215" cm="1">
        <f t="array" ref="M103">Common_InputFunctions.Utility_DisplayArrayInTable(Fertiliser_SourceData.Fertiliser_Products_Data1(), FertiliserProducts[[#Headers],[Company]],1)</f>
        <v>12.5</v>
      </c>
      <c r="N103" s="215" cm="1">
        <f t="array" ref="N103">Common_InputFunctions.Utility_DisplayArrayInTable(Fertiliser_SourceData.Fertiliser_Products_Data1(), FertiliserProducts[[#Headers],[Company]],1)</f>
        <v>6</v>
      </c>
      <c r="O103" s="215" t="str" cm="1">
        <f t="array" ref="O103">Common_InputFunctions.Utility_DisplayArrayInTable(Fertiliser_SourceData.Fertiliser_Products_Data1(), FertiliserProducts[[#Headers],[Company]],1)</f>
        <v>Nitrogen - Ammoniacal</v>
      </c>
      <c r="P103" s="215" cm="1">
        <f t="array" ref="P103">Common_InputFunctions.Utility_DisplayArrayInTable(Fertiliser_SourceData.Fertiliser_Products_Data1(), FertiliserProducts[[#Headers],[Company]],1)</f>
        <v>7.4999999999999997E-2</v>
      </c>
      <c r="Q103" s="215" t="str" cm="1">
        <f t="array" ref="Q103">Common_InputFunctions.Utility_DisplayArrayInTable(Fertiliser_SourceData.Fertiliser_Products_Data1(), FertiliserProducts[[#Headers],[Company]],1)</f>
        <v>Nitrogen - Nitrate</v>
      </c>
      <c r="R103" s="215" cm="1">
        <f t="array" ref="R103">Common_InputFunctions.Utility_DisplayArrayInTable(Fertiliser_SourceData.Fertiliser_Products_Data1(), FertiliserProducts[[#Headers],[Company]],1)</f>
        <v>7.4999999999999997E-2</v>
      </c>
      <c r="S103" s="215" t="str" cm="1">
        <f t="array" ref="S103">Common_InputFunctions.Utility_DisplayArrayInTable(Fertiliser_SourceData.Fertiliser_Products_Data1(), FertiliserProducts[[#Headers],[Company]],1)</f>
        <v>Potassium - Generic</v>
      </c>
      <c r="T103" s="215" cm="1">
        <f t="array" ref="T103">Common_InputFunctions.Utility_DisplayArrayInTable(Fertiliser_SourceData.Fertiliser_Products_Data1(), FertiliserProducts[[#Headers],[Company]],1)</f>
        <v>0.125</v>
      </c>
      <c r="U103" s="215" t="str" cm="1">
        <f t="array" ref="U103">Common_InputFunctions.Utility_DisplayArrayInTable(Fertiliser_SourceData.Fertiliser_Products_Data1(), FertiliserProducts[[#Headers],[Company]],1)</f>
        <v>Phosphorus - Generic</v>
      </c>
      <c r="V103" s="215" cm="1">
        <f t="array" ref="V103">Common_InputFunctions.Utility_DisplayArrayInTable(Fertiliser_SourceData.Fertiliser_Products_Data1(), FertiliserProducts[[#Headers],[Company]],1)</f>
        <v>6.5000000000000002E-2</v>
      </c>
      <c r="W103" s="215" t="str" cm="1">
        <f t="array" ref="W103">Common_InputFunctions.Utility_DisplayArrayInTable(Fertiliser_SourceData.Fertiliser_Products_Data1(), FertiliserProducts[[#Headers],[Company]],1)</f>
        <v>Sulfur - Generic</v>
      </c>
      <c r="X103" s="215" cm="1">
        <f t="array" ref="X103">Common_InputFunctions.Utility_DisplayArrayInTable(Fertiliser_SourceData.Fertiliser_Products_Data1(), FertiliserProducts[[#Headers],[Company]],1)</f>
        <v>0.06</v>
      </c>
      <c r="Y103" s="215" t="str" cm="1">
        <f t="array" ref="Y103">Common_InputFunctions.Utility_DisplayArrayInTable(Fertiliser_SourceData.Fertiliser_Products_Data1(), FertiliserProducts[[#Headers],[Company]],1)</f>
        <v/>
      </c>
      <c r="Z103" s="215" t="str" cm="1">
        <f t="array" ref="Z103">Common_InputFunctions.Utility_DisplayArrayInTable(Fertiliser_SourceData.Fertiliser_Products_Data1(), FertiliserProducts[[#Headers],[Company]],1)</f>
        <v/>
      </c>
      <c r="AA103" s="215" t="str" cm="1">
        <f t="array" ref="AA103">Common_InputFunctions.Utility_DisplayArrayInTable(Fertiliser_SourceData.Fertiliser_Products_Data1(), FertiliserProducts[[#Headers],[Company]],1)</f>
        <v/>
      </c>
      <c r="AB103" s="215" t="str" cm="1">
        <f t="array" ref="AB103">Common_InputFunctions.Utility_DisplayArrayInTable(Fertiliser_SourceData.Fertiliser_Products_Data1(), FertiliserProducts[[#Headers],[Company]],1)</f>
        <v/>
      </c>
      <c r="AC103" s="215" t="str" cm="1">
        <f t="array" ref="AC103">Common_InputFunctions.Utility_DisplayArrayInTable(Fertiliser_SourceData.Fertiliser_Products_Data1(), FertiliserProducts[[#Headers],[Company]],1)</f>
        <v/>
      </c>
      <c r="AD103" s="215" t="str" cm="1">
        <f t="array" ref="AD103">Common_InputFunctions.Utility_DisplayArrayInTable(Fertiliser_SourceData.Fertiliser_Products_Data1(), FertiliserProducts[[#Headers],[Company]],1)</f>
        <v/>
      </c>
      <c r="AE103" s="215" t="str" cm="1">
        <f t="array" ref="AE103">Common_InputFunctions.Utility_DisplayArrayInTable(Fertiliser_SourceData.Fertiliser_Products_Data1(), FertiliserProducts[[#Headers],[Company]],1)</f>
        <v/>
      </c>
      <c r="AF103" s="215" t="str" cm="1">
        <f t="array" ref="AF103">Common_InputFunctions.Utility_DisplayArrayInTable(Fertiliser_SourceData.Fertiliser_Products_Data1(), FertiliserProducts[[#Headers],[Company]],1)</f>
        <v/>
      </c>
      <c r="AG103" s="215" t="str" cm="1">
        <f t="array" ref="AG103">Common_InputFunctions.Utility_DisplayArrayInTable(Fertiliser_SourceData.Fertiliser_Products_Data1(), FertiliserProducts[[#Headers],[Company]],1)</f>
        <v/>
      </c>
      <c r="AH103" s="215" t="str" cm="1">
        <f t="array" ref="AH103">Common_InputFunctions.Utility_DisplayArrayInTable(Fertiliser_SourceData.Fertiliser_Products_Data1(), FertiliserProducts[[#Headers],[Company]],1)</f>
        <v/>
      </c>
    </row>
    <row r="104" spans="1:34" ht="20.100000000000001" customHeight="1" x14ac:dyDescent="0.25">
      <c r="A104"/>
      <c r="D104" s="215" t="str" cm="1">
        <f t="array" ref="D104">Common_InputFunctions.Utility_DisplayArrayInTable(Fertiliser_SourceData.Fertiliser_Products_Data1(), FertiliserProducts[[#Headers],[Company]],1)</f>
        <v>Campbells fertilisers Australia</v>
      </c>
      <c r="E104" s="215" t="str" cm="1">
        <f t="array" ref="E104">Common_InputFunctions.Utility_DisplayArrayInTable(Fertiliser_SourceData.Fertiliser_Products_Data1(), FertiliserProducts[[#Headers],[Company]],1)</f>
        <v>CoRoN 12-0-10</v>
      </c>
      <c r="F104" s="215" t="str" cm="1">
        <f t="array" ref="F104">Common_InputFunctions.Utility_DisplayArrayInTable(Fertiliser_SourceData.Fertiliser_Products_Data1(), FertiliserProducts[[#Headers],[Company]],1)</f>
        <v>L</v>
      </c>
      <c r="G104" s="215" cm="1">
        <f t="array" ref="G104">Common_InputFunctions.Utility_DisplayArrayInTable(Fertiliser_SourceData.Fertiliser_Products_Data1(), FertiliserProducts[[#Headers],[Company]],1)</f>
        <v>1.2150000000000001</v>
      </c>
      <c r="H104" s="215" t="str" cm="1">
        <f t="array" ref="H104">Common_InputFunctions.Utility_DisplayArrayInTable(Fertiliser_SourceData.Fertiliser_Products_Data1(), FertiliserProducts[[#Headers],[Company]],1)</f>
        <v/>
      </c>
      <c r="I104" s="215" t="str" cm="1">
        <f t="array" ref="I104">Common_InputFunctions.Utility_DisplayArrayInTable(Fertiliser_SourceData.Fertiliser_Products_Data1(), FertiliserProducts[[#Headers],[Company]],1)</f>
        <v/>
      </c>
      <c r="J104" s="215" t="str" cm="1">
        <f t="array" ref="J104">Common_InputFunctions.Utility_DisplayArrayInTable(Fertiliser_SourceData.Fertiliser_Products_Data1(), FertiliserProducts[[#Headers],[Company]],1)</f>
        <v/>
      </c>
      <c r="K104" s="215" cm="1">
        <f t="array" ref="K104">Common_InputFunctions.Utility_DisplayArrayInTable(Fertiliser_SourceData.Fertiliser_Products_Data1(), FertiliserProducts[[#Headers],[Company]],1)</f>
        <v>12</v>
      </c>
      <c r="L104" s="215" t="str" cm="1">
        <f t="array" ref="L104">Common_InputFunctions.Utility_DisplayArrayInTable(Fertiliser_SourceData.Fertiliser_Products_Data1(), FertiliserProducts[[#Headers],[Company]],1)</f>
        <v/>
      </c>
      <c r="M104" s="215" cm="1">
        <f t="array" ref="M104">Common_InputFunctions.Utility_DisplayArrayInTable(Fertiliser_SourceData.Fertiliser_Products_Data1(), FertiliserProducts[[#Headers],[Company]],1)</f>
        <v>10</v>
      </c>
      <c r="N104" s="215" t="str" cm="1">
        <f t="array" ref="N104">Common_InputFunctions.Utility_DisplayArrayInTable(Fertiliser_SourceData.Fertiliser_Products_Data1(), FertiliserProducts[[#Headers],[Company]],1)</f>
        <v/>
      </c>
      <c r="O104" s="215" t="str" cm="1">
        <f t="array" ref="O104">Common_InputFunctions.Utility_DisplayArrayInTable(Fertiliser_SourceData.Fertiliser_Products_Data1(), FertiliserProducts[[#Headers],[Company]],1)</f>
        <v>Urea</v>
      </c>
      <c r="P104" s="215" cm="1">
        <f t="array" ref="P104">Common_InputFunctions.Utility_DisplayArrayInTable(Fertiliser_SourceData.Fertiliser_Products_Data1(), FertiliserProducts[[#Headers],[Company]],1)</f>
        <v>0.19565199999999999</v>
      </c>
      <c r="Q104" s="215" t="str" cm="1">
        <f t="array" ref="Q104">Common_InputFunctions.Utility_DisplayArrayInTable(Fertiliser_SourceData.Fertiliser_Products_Data1(), FertiliserProducts[[#Headers],[Company]],1)</f>
        <v>Potassium - Generic</v>
      </c>
      <c r="R104" s="215" cm="1">
        <f t="array" ref="R104">Common_InputFunctions.Utility_DisplayArrayInTable(Fertiliser_SourceData.Fertiliser_Products_Data1(), FertiliserProducts[[#Headers],[Company]],1)</f>
        <v>0.1</v>
      </c>
      <c r="S104" s="215" t="str" cm="1">
        <f t="array" ref="S104">Common_InputFunctions.Utility_DisplayArrayInTable(Fertiliser_SourceData.Fertiliser_Products_Data1(), FertiliserProducts[[#Headers],[Company]],1)</f>
        <v>Nitrogen - Generic</v>
      </c>
      <c r="T104" s="215" cm="1">
        <f t="array" ref="T104">Common_InputFunctions.Utility_DisplayArrayInTable(Fertiliser_SourceData.Fertiliser_Products_Data1(), FertiliserProducts[[#Headers],[Company]],1)</f>
        <v>0.03</v>
      </c>
      <c r="U104" s="215" t="str" cm="1">
        <f t="array" ref="U104">Common_InputFunctions.Utility_DisplayArrayInTable(Fertiliser_SourceData.Fertiliser_Products_Data1(), FertiliserProducts[[#Headers],[Company]],1)</f>
        <v>Boron</v>
      </c>
      <c r="V104" s="215" cm="1">
        <f t="array" ref="V104">Common_InputFunctions.Utility_DisplayArrayInTable(Fertiliser_SourceData.Fertiliser_Products_Data1(), FertiliserProducts[[#Headers],[Company]],1)</f>
        <v>5.0000000000000001E-3</v>
      </c>
      <c r="W104" s="215" t="str" cm="1">
        <f t="array" ref="W104">Common_InputFunctions.Utility_DisplayArrayInTable(Fertiliser_SourceData.Fertiliser_Products_Data1(), FertiliserProducts[[#Headers],[Company]],1)</f>
        <v/>
      </c>
      <c r="X104" s="215" t="str" cm="1">
        <f t="array" ref="X104">Common_InputFunctions.Utility_DisplayArrayInTable(Fertiliser_SourceData.Fertiliser_Products_Data1(), FertiliserProducts[[#Headers],[Company]],1)</f>
        <v/>
      </c>
      <c r="Y104" s="215" t="str" cm="1">
        <f t="array" ref="Y104">Common_InputFunctions.Utility_DisplayArrayInTable(Fertiliser_SourceData.Fertiliser_Products_Data1(), FertiliserProducts[[#Headers],[Company]],1)</f>
        <v/>
      </c>
      <c r="Z104" s="215" t="str" cm="1">
        <f t="array" ref="Z104">Common_InputFunctions.Utility_DisplayArrayInTable(Fertiliser_SourceData.Fertiliser_Products_Data1(), FertiliserProducts[[#Headers],[Company]],1)</f>
        <v/>
      </c>
      <c r="AA104" s="215" t="str" cm="1">
        <f t="array" ref="AA104">Common_InputFunctions.Utility_DisplayArrayInTable(Fertiliser_SourceData.Fertiliser_Products_Data1(), FertiliserProducts[[#Headers],[Company]],1)</f>
        <v/>
      </c>
      <c r="AB104" s="215" t="str" cm="1">
        <f t="array" ref="AB104">Common_InputFunctions.Utility_DisplayArrayInTable(Fertiliser_SourceData.Fertiliser_Products_Data1(), FertiliserProducts[[#Headers],[Company]],1)</f>
        <v/>
      </c>
      <c r="AC104" s="215" t="str" cm="1">
        <f t="array" ref="AC104">Common_InputFunctions.Utility_DisplayArrayInTable(Fertiliser_SourceData.Fertiliser_Products_Data1(), FertiliserProducts[[#Headers],[Company]],1)</f>
        <v/>
      </c>
      <c r="AD104" s="215" t="str" cm="1">
        <f t="array" ref="AD104">Common_InputFunctions.Utility_DisplayArrayInTable(Fertiliser_SourceData.Fertiliser_Products_Data1(), FertiliserProducts[[#Headers],[Company]],1)</f>
        <v/>
      </c>
      <c r="AE104" s="215" t="str" cm="1">
        <f t="array" ref="AE104">Common_InputFunctions.Utility_DisplayArrayInTable(Fertiliser_SourceData.Fertiliser_Products_Data1(), FertiliserProducts[[#Headers],[Company]],1)</f>
        <v/>
      </c>
      <c r="AF104" s="215" t="str" cm="1">
        <f t="array" ref="AF104">Common_InputFunctions.Utility_DisplayArrayInTable(Fertiliser_SourceData.Fertiliser_Products_Data1(), FertiliserProducts[[#Headers],[Company]],1)</f>
        <v/>
      </c>
      <c r="AG104" s="215" t="str" cm="1">
        <f t="array" ref="AG104">Common_InputFunctions.Utility_DisplayArrayInTable(Fertiliser_SourceData.Fertiliser_Products_Data1(), FertiliserProducts[[#Headers],[Company]],1)</f>
        <v/>
      </c>
      <c r="AH104" s="215" t="str" cm="1">
        <f t="array" ref="AH104">Common_InputFunctions.Utility_DisplayArrayInTable(Fertiliser_SourceData.Fertiliser_Products_Data1(), FertiliserProducts[[#Headers],[Company]],1)</f>
        <v/>
      </c>
    </row>
    <row r="105" spans="1:34" ht="20.100000000000001" customHeight="1" x14ac:dyDescent="0.25">
      <c r="A105"/>
      <c r="D105" s="215" t="str" cm="1">
        <f t="array" ref="D105">Common_InputFunctions.Utility_DisplayArrayInTable(Fertiliser_SourceData.Fertiliser_Products_Data1(), FertiliserProducts[[#Headers],[Company]],1)</f>
        <v>Campbells fertilisers Australia</v>
      </c>
      <c r="E105" s="215" t="str" cm="1">
        <f t="array" ref="E105">Common_InputFunctions.Utility_DisplayArrayInTable(Fertiliser_SourceData.Fertiliser_Products_Data1(), FertiliserProducts[[#Headers],[Company]],1)</f>
        <v>Maximum Quick-N</v>
      </c>
      <c r="F105" s="215" t="str" cm="1">
        <f t="array" ref="F105">Common_InputFunctions.Utility_DisplayArrayInTable(Fertiliser_SourceData.Fertiliser_Products_Data1(), FertiliserProducts[[#Headers],[Company]],1)</f>
        <v>kg</v>
      </c>
      <c r="G105" s="215" cm="1">
        <f t="array" ref="G105">Common_InputFunctions.Utility_DisplayArrayInTable(Fertiliser_SourceData.Fertiliser_Products_Data1(), FertiliserProducts[[#Headers],[Company]],1)</f>
        <v>1</v>
      </c>
      <c r="H105" s="215" t="str" cm="1">
        <f t="array" ref="H105">Common_InputFunctions.Utility_DisplayArrayInTable(Fertiliser_SourceData.Fertiliser_Products_Data1(), FertiliserProducts[[#Headers],[Company]],1)</f>
        <v/>
      </c>
      <c r="I105" s="215" t="str" cm="1">
        <f t="array" ref="I105">Common_InputFunctions.Utility_DisplayArrayInTable(Fertiliser_SourceData.Fertiliser_Products_Data1(), FertiliserProducts[[#Headers],[Company]],1)</f>
        <v/>
      </c>
      <c r="J105" s="215" t="str" cm="1">
        <f t="array" ref="J105">Common_InputFunctions.Utility_DisplayArrayInTable(Fertiliser_SourceData.Fertiliser_Products_Data1(), FertiliserProducts[[#Headers],[Company]],1)</f>
        <v/>
      </c>
      <c r="K105" s="215" cm="1">
        <f t="array" ref="K105">Common_InputFunctions.Utility_DisplayArrayInTable(Fertiliser_SourceData.Fertiliser_Products_Data1(), FertiliserProducts[[#Headers],[Company]],1)</f>
        <v>21.66</v>
      </c>
      <c r="L105" s="215" t="str" cm="1">
        <f t="array" ref="L105">Common_InputFunctions.Utility_DisplayArrayInTable(Fertiliser_SourceData.Fertiliser_Products_Data1(), FertiliserProducts[[#Headers],[Company]],1)</f>
        <v/>
      </c>
      <c r="M105" s="215" t="str" cm="1">
        <f t="array" ref="M105">Common_InputFunctions.Utility_DisplayArrayInTable(Fertiliser_SourceData.Fertiliser_Products_Data1(), FertiliserProducts[[#Headers],[Company]],1)</f>
        <v/>
      </c>
      <c r="N105" s="215" cm="1">
        <f t="array" ref="N105">Common_InputFunctions.Utility_DisplayArrayInTable(Fertiliser_SourceData.Fertiliser_Products_Data1(), FertiliserProducts[[#Headers],[Company]],1)</f>
        <v>13.2</v>
      </c>
      <c r="O105" s="215" t="str" cm="1">
        <f t="array" ref="O105">Common_InputFunctions.Utility_DisplayArrayInTable(Fertiliser_SourceData.Fertiliser_Products_Data1(), FertiliserProducts[[#Headers],[Company]],1)</f>
        <v>Sulphate of ammonia (SOA)</v>
      </c>
      <c r="P105" s="215" cm="1">
        <f t="array" ref="P105">Common_InputFunctions.Utility_DisplayArrayInTable(Fertiliser_SourceData.Fertiliser_Products_Data1(), FertiliserProducts[[#Headers],[Company]],1)</f>
        <v>0.55000000000000004</v>
      </c>
      <c r="Q105" s="215" t="str" cm="1">
        <f t="array" ref="Q105">Common_InputFunctions.Utility_DisplayArrayInTable(Fertiliser_SourceData.Fertiliser_Products_Data1(), FertiliserProducts[[#Headers],[Company]],1)</f>
        <v>Ammonium nitrate (AN)</v>
      </c>
      <c r="R105" s="215" cm="1">
        <f t="array" ref="R105">Common_InputFunctions.Utility_DisplayArrayInTable(Fertiliser_SourceData.Fertiliser_Products_Data1(), FertiliserProducts[[#Headers],[Company]],1)</f>
        <v>0.3</v>
      </c>
      <c r="S105" s="215" t="str" cm="1">
        <f t="array" ref="S105">Common_InputFunctions.Utility_DisplayArrayInTable(Fertiliser_SourceData.Fertiliser_Products_Data1(), FertiliserProducts[[#Headers],[Company]],1)</f>
        <v/>
      </c>
      <c r="T105" s="215" t="str" cm="1">
        <f t="array" ref="T105">Common_InputFunctions.Utility_DisplayArrayInTable(Fertiliser_SourceData.Fertiliser_Products_Data1(), FertiliserProducts[[#Headers],[Company]],1)</f>
        <v/>
      </c>
      <c r="U105" s="215" t="str" cm="1">
        <f t="array" ref="U105">Common_InputFunctions.Utility_DisplayArrayInTable(Fertiliser_SourceData.Fertiliser_Products_Data1(), FertiliserProducts[[#Headers],[Company]],1)</f>
        <v/>
      </c>
      <c r="V105" s="215" t="str" cm="1">
        <f t="array" ref="V105">Common_InputFunctions.Utility_DisplayArrayInTable(Fertiliser_SourceData.Fertiliser_Products_Data1(), FertiliserProducts[[#Headers],[Company]],1)</f>
        <v/>
      </c>
      <c r="W105" s="215" t="str" cm="1">
        <f t="array" ref="W105">Common_InputFunctions.Utility_DisplayArrayInTable(Fertiliser_SourceData.Fertiliser_Products_Data1(), FertiliserProducts[[#Headers],[Company]],1)</f>
        <v/>
      </c>
      <c r="X105" s="215" t="str" cm="1">
        <f t="array" ref="X105">Common_InputFunctions.Utility_DisplayArrayInTable(Fertiliser_SourceData.Fertiliser_Products_Data1(), FertiliserProducts[[#Headers],[Company]],1)</f>
        <v/>
      </c>
      <c r="Y105" s="215" t="str" cm="1">
        <f t="array" ref="Y105">Common_InputFunctions.Utility_DisplayArrayInTable(Fertiliser_SourceData.Fertiliser_Products_Data1(), FertiliserProducts[[#Headers],[Company]],1)</f>
        <v/>
      </c>
      <c r="Z105" s="215" t="str" cm="1">
        <f t="array" ref="Z105">Common_InputFunctions.Utility_DisplayArrayInTable(Fertiliser_SourceData.Fertiliser_Products_Data1(), FertiliserProducts[[#Headers],[Company]],1)</f>
        <v/>
      </c>
      <c r="AA105" s="215" t="str" cm="1">
        <f t="array" ref="AA105">Common_InputFunctions.Utility_DisplayArrayInTable(Fertiliser_SourceData.Fertiliser_Products_Data1(), FertiliserProducts[[#Headers],[Company]],1)</f>
        <v/>
      </c>
      <c r="AB105" s="215" t="str" cm="1">
        <f t="array" ref="AB105">Common_InputFunctions.Utility_DisplayArrayInTable(Fertiliser_SourceData.Fertiliser_Products_Data1(), FertiliserProducts[[#Headers],[Company]],1)</f>
        <v/>
      </c>
      <c r="AC105" s="215" t="str" cm="1">
        <f t="array" ref="AC105">Common_InputFunctions.Utility_DisplayArrayInTable(Fertiliser_SourceData.Fertiliser_Products_Data1(), FertiliserProducts[[#Headers],[Company]],1)</f>
        <v/>
      </c>
      <c r="AD105" s="215" t="str" cm="1">
        <f t="array" ref="AD105">Common_InputFunctions.Utility_DisplayArrayInTable(Fertiliser_SourceData.Fertiliser_Products_Data1(), FertiliserProducts[[#Headers],[Company]],1)</f>
        <v/>
      </c>
      <c r="AE105" s="215" t="str" cm="1">
        <f t="array" ref="AE105">Common_InputFunctions.Utility_DisplayArrayInTable(Fertiliser_SourceData.Fertiliser_Products_Data1(), FertiliserProducts[[#Headers],[Company]],1)</f>
        <v/>
      </c>
      <c r="AF105" s="215" t="str" cm="1">
        <f t="array" ref="AF105">Common_InputFunctions.Utility_DisplayArrayInTable(Fertiliser_SourceData.Fertiliser_Products_Data1(), FertiliserProducts[[#Headers],[Company]],1)</f>
        <v/>
      </c>
      <c r="AG105" s="215" t="str" cm="1">
        <f t="array" ref="AG105">Common_InputFunctions.Utility_DisplayArrayInTable(Fertiliser_SourceData.Fertiliser_Products_Data1(), FertiliserProducts[[#Headers],[Company]],1)</f>
        <v/>
      </c>
      <c r="AH105" s="215" t="str" cm="1">
        <f t="array" ref="AH105">Common_InputFunctions.Utility_DisplayArrayInTable(Fertiliser_SourceData.Fertiliser_Products_Data1(), FertiliserProducts[[#Headers],[Company]],1)</f>
        <v/>
      </c>
    </row>
    <row r="106" spans="1:34" ht="20.100000000000001" customHeight="1" x14ac:dyDescent="0.25">
      <c r="A106"/>
      <c r="D106" s="215" t="str" cm="1">
        <f t="array" ref="D106">Common_InputFunctions.Utility_DisplayArrayInTable(Fertiliser_SourceData.Fertiliser_Products_Data1(), FertiliserProducts[[#Headers],[Company]],1)</f>
        <v>SL Tec</v>
      </c>
      <c r="E106" s="215" t="str" cm="1">
        <f t="array" ref="E106">Common_InputFunctions.Utility_DisplayArrayInTable(Fertiliser_SourceData.Fertiliser_Products_Data1(), FertiliserProducts[[#Headers],[Company]],1)</f>
        <v>Crop Booster PLUS</v>
      </c>
      <c r="F106" s="215" t="str" cm="1">
        <f t="array" ref="F106">Common_InputFunctions.Utility_DisplayArrayInTable(Fertiliser_SourceData.Fertiliser_Products_Data1(), FertiliserProducts[[#Headers],[Company]],1)</f>
        <v>L</v>
      </c>
      <c r="G106" s="215" cm="1">
        <f t="array" ref="G106">Common_InputFunctions.Utility_DisplayArrayInTable(Fertiliser_SourceData.Fertiliser_Products_Data1(), FertiliserProducts[[#Headers],[Company]],1)</f>
        <v>1.319</v>
      </c>
      <c r="H106" s="215" t="str" cm="1">
        <f t="array" ref="H106">Common_InputFunctions.Utility_DisplayArrayInTable(Fertiliser_SourceData.Fertiliser_Products_Data1(), FertiliserProducts[[#Headers],[Company]],1)</f>
        <v/>
      </c>
      <c r="I106" s="215" t="str" cm="1">
        <f t="array" ref="I106">Common_InputFunctions.Utility_DisplayArrayInTable(Fertiliser_SourceData.Fertiliser_Products_Data1(), FertiliserProducts[[#Headers],[Company]],1)</f>
        <v/>
      </c>
      <c r="J106" s="215" t="str" cm="1">
        <f t="array" ref="J106">Common_InputFunctions.Utility_DisplayArrayInTable(Fertiliser_SourceData.Fertiliser_Products_Data1(), FertiliserProducts[[#Headers],[Company]],1)</f>
        <v/>
      </c>
      <c r="K106" s="215" cm="1">
        <f t="array" ref="K106">Common_InputFunctions.Utility_DisplayArrayInTable(Fertiliser_SourceData.Fertiliser_Products_Data1(), FertiliserProducts[[#Headers],[Company]],1)</f>
        <v>5</v>
      </c>
      <c r="L106" s="215" cm="1">
        <f t="array" ref="L106">Common_InputFunctions.Utility_DisplayArrayInTable(Fertiliser_SourceData.Fertiliser_Products_Data1(), FertiliserProducts[[#Headers],[Company]],1)</f>
        <v>15</v>
      </c>
      <c r="M106" s="215" cm="1">
        <f t="array" ref="M106">Common_InputFunctions.Utility_DisplayArrayInTable(Fertiliser_SourceData.Fertiliser_Products_Data1(), FertiliserProducts[[#Headers],[Company]],1)</f>
        <v>2.1</v>
      </c>
      <c r="N106" s="215" t="str" cm="1">
        <f t="array" ref="N106">Common_InputFunctions.Utility_DisplayArrayInTable(Fertiliser_SourceData.Fertiliser_Products_Data1(), FertiliserProducts[[#Headers],[Company]],1)</f>
        <v/>
      </c>
      <c r="O106" s="215" t="str" cm="1">
        <f t="array" ref="O106">Common_InputFunctions.Utility_DisplayArrayInTable(Fertiliser_SourceData.Fertiliser_Products_Data1(), FertiliserProducts[[#Headers],[Company]],1)</f>
        <v>Phosphorus - Generic</v>
      </c>
      <c r="P106" s="215" cm="1">
        <f t="array" ref="P106">Common_InputFunctions.Utility_DisplayArrayInTable(Fertiliser_SourceData.Fertiliser_Products_Data1(), FertiliserProducts[[#Headers],[Company]],1)</f>
        <v>0.15</v>
      </c>
      <c r="Q106" s="215" t="str" cm="1">
        <f t="array" ref="Q106">Common_InputFunctions.Utility_DisplayArrayInTable(Fertiliser_SourceData.Fertiliser_Products_Data1(), FertiliserProducts[[#Headers],[Company]],1)</f>
        <v>Calcium</v>
      </c>
      <c r="R106" s="215" cm="1">
        <f t="array" ref="R106">Common_InputFunctions.Utility_DisplayArrayInTable(Fertiliser_SourceData.Fertiliser_Products_Data1(), FertiliserProducts[[#Headers],[Company]],1)</f>
        <v>0.04</v>
      </c>
      <c r="S106" s="215" t="str" cm="1">
        <f t="array" ref="S106">Common_InputFunctions.Utility_DisplayArrayInTable(Fertiliser_SourceData.Fertiliser_Products_Data1(), FertiliserProducts[[#Headers],[Company]],1)</f>
        <v>Nitrogen - Ammoniacal</v>
      </c>
      <c r="T106" s="215" cm="1">
        <f t="array" ref="T106">Common_InputFunctions.Utility_DisplayArrayInTable(Fertiliser_SourceData.Fertiliser_Products_Data1(), FertiliserProducts[[#Headers],[Company]],1)</f>
        <v>2.9000000000000001E-2</v>
      </c>
      <c r="U106" s="215" t="str" cm="1">
        <f t="array" ref="U106">Common_InputFunctions.Utility_DisplayArrayInTable(Fertiliser_SourceData.Fertiliser_Products_Data1(), FertiliserProducts[[#Headers],[Company]],1)</f>
        <v>Nitrogen - Nitrate</v>
      </c>
      <c r="V106" s="215" cm="1">
        <f t="array" ref="V106">Common_InputFunctions.Utility_DisplayArrayInTable(Fertiliser_SourceData.Fertiliser_Products_Data1(), FertiliserProducts[[#Headers],[Company]],1)</f>
        <v>2.1000000000000001E-2</v>
      </c>
      <c r="W106" s="215" t="str" cm="1">
        <f t="array" ref="W106">Common_InputFunctions.Utility_DisplayArrayInTable(Fertiliser_SourceData.Fertiliser_Products_Data1(), FertiliserProducts[[#Headers],[Company]],1)</f>
        <v>Potassium - Generic</v>
      </c>
      <c r="X106" s="215" cm="1">
        <f t="array" ref="X106">Common_InputFunctions.Utility_DisplayArrayInTable(Fertiliser_SourceData.Fertiliser_Products_Data1(), FertiliserProducts[[#Headers],[Company]],1)</f>
        <v>2.1000000000000001E-2</v>
      </c>
      <c r="Y106" s="215" t="str" cm="1">
        <f t="array" ref="Y106">Common_InputFunctions.Utility_DisplayArrayInTable(Fertiliser_SourceData.Fertiliser_Products_Data1(), FertiliserProducts[[#Headers],[Company]],1)</f>
        <v>Copper</v>
      </c>
      <c r="Z106" s="215" cm="1">
        <f t="array" ref="Z106">Common_InputFunctions.Utility_DisplayArrayInTable(Fertiliser_SourceData.Fertiliser_Products_Data1(), FertiliserProducts[[#Headers],[Company]],1)</f>
        <v>5.0000000000000001E-3</v>
      </c>
      <c r="AA106" s="215" t="str" cm="1">
        <f t="array" ref="AA106">Common_InputFunctions.Utility_DisplayArrayInTable(Fertiliser_SourceData.Fertiliser_Products_Data1(), FertiliserProducts[[#Headers],[Company]],1)</f>
        <v>Zinc</v>
      </c>
      <c r="AB106" s="215" cm="1">
        <f t="array" ref="AB106">Common_InputFunctions.Utility_DisplayArrayInTable(Fertiliser_SourceData.Fertiliser_Products_Data1(), FertiliserProducts[[#Headers],[Company]],1)</f>
        <v>4.0000000000000001E-3</v>
      </c>
      <c r="AC106" s="215" t="str" cm="1">
        <f t="array" ref="AC106">Common_InputFunctions.Utility_DisplayArrayInTable(Fertiliser_SourceData.Fertiliser_Products_Data1(), FertiliserProducts[[#Headers],[Company]],1)</f>
        <v>Manganese</v>
      </c>
      <c r="AD106" s="215" cm="1">
        <f t="array" ref="AD106">Common_InputFunctions.Utility_DisplayArrayInTable(Fertiliser_SourceData.Fertiliser_Products_Data1(), FertiliserProducts[[#Headers],[Company]],1)</f>
        <v>4.0000000000000001E-3</v>
      </c>
      <c r="AE106" s="215" t="str" cm="1">
        <f t="array" ref="AE106">Common_InputFunctions.Utility_DisplayArrayInTable(Fertiliser_SourceData.Fertiliser_Products_Data1(), FertiliserProducts[[#Headers],[Company]],1)</f>
        <v>Magnesium</v>
      </c>
      <c r="AF106" s="215" cm="1">
        <f t="array" ref="AF106">Common_InputFunctions.Utility_DisplayArrayInTable(Fertiliser_SourceData.Fertiliser_Products_Data1(), FertiliserProducts[[#Headers],[Company]],1)</f>
        <v>2E-3</v>
      </c>
      <c r="AG106" s="215" t="str" cm="1">
        <f t="array" ref="AG106">Common_InputFunctions.Utility_DisplayArrayInTable(Fertiliser_SourceData.Fertiliser_Products_Data1(), FertiliserProducts[[#Headers],[Company]],1)</f>
        <v/>
      </c>
      <c r="AH106" s="215" t="str" cm="1">
        <f t="array" ref="AH106">Common_InputFunctions.Utility_DisplayArrayInTable(Fertiliser_SourceData.Fertiliser_Products_Data1(), FertiliserProducts[[#Headers],[Company]],1)</f>
        <v/>
      </c>
    </row>
    <row r="107" spans="1:34" ht="20.100000000000001" customHeight="1" x14ac:dyDescent="0.25">
      <c r="A107"/>
      <c r="D107" s="215" t="str" cm="1">
        <f t="array" ref="D107">Common_InputFunctions.Utility_DisplayArrayInTable(Fertiliser_SourceData.Fertiliser_Products_Data1(), FertiliserProducts[[#Headers],[Company]],1)</f>
        <v>Risso-Chemical</v>
      </c>
      <c r="E107" s="215" t="str" cm="1">
        <f t="array" ref="E107">Common_InputFunctions.Utility_DisplayArrayInTable(Fertiliser_SourceData.Fertiliser_Products_Data1(), FertiliserProducts[[#Headers],[Company]],1)</f>
        <v>Ammonium Bicarbonate</v>
      </c>
      <c r="F107" s="215" t="str" cm="1">
        <f t="array" ref="F107">Common_InputFunctions.Utility_DisplayArrayInTable(Fertiliser_SourceData.Fertiliser_Products_Data1(), FertiliserProducts[[#Headers],[Company]],1)</f>
        <v>kg</v>
      </c>
      <c r="G107" s="215" cm="1">
        <f t="array" ref="G107">Common_InputFunctions.Utility_DisplayArrayInTable(Fertiliser_SourceData.Fertiliser_Products_Data1(), FertiliserProducts[[#Headers],[Company]],1)</f>
        <v>1</v>
      </c>
      <c r="H107" s="215" t="str" cm="1">
        <f t="array" ref="H107">Common_InputFunctions.Utility_DisplayArrayInTable(Fertiliser_SourceData.Fertiliser_Products_Data1(), FertiliserProducts[[#Headers],[Company]],1)</f>
        <v/>
      </c>
      <c r="I107" s="215" t="str" cm="1">
        <f t="array" ref="I107">Common_InputFunctions.Utility_DisplayArrayInTable(Fertiliser_SourceData.Fertiliser_Products_Data1(), FertiliserProducts[[#Headers],[Company]],1)</f>
        <v/>
      </c>
      <c r="J107" s="215" t="str" cm="1">
        <f t="array" ref="J107">Common_InputFunctions.Utility_DisplayArrayInTable(Fertiliser_SourceData.Fertiliser_Products_Data1(), FertiliserProducts[[#Headers],[Company]],1)</f>
        <v>China</v>
      </c>
      <c r="K107" s="215" cm="1">
        <f t="array" ref="K107">Common_InputFunctions.Utility_DisplayArrayInTable(Fertiliser_SourceData.Fertiliser_Products_Data1(), FertiliserProducts[[#Headers],[Company]],1)</f>
        <v>17.7</v>
      </c>
      <c r="L107" s="215" t="str" cm="1">
        <f t="array" ref="L107">Common_InputFunctions.Utility_DisplayArrayInTable(Fertiliser_SourceData.Fertiliser_Products_Data1(), FertiliserProducts[[#Headers],[Company]],1)</f>
        <v/>
      </c>
      <c r="M107" s="215" t="str" cm="1">
        <f t="array" ref="M107">Common_InputFunctions.Utility_DisplayArrayInTable(Fertiliser_SourceData.Fertiliser_Products_Data1(), FertiliserProducts[[#Headers],[Company]],1)</f>
        <v/>
      </c>
      <c r="N107" s="215" t="str" cm="1">
        <f t="array" ref="N107">Common_InputFunctions.Utility_DisplayArrayInTable(Fertiliser_SourceData.Fertiliser_Products_Data1(), FertiliserProducts[[#Headers],[Company]],1)</f>
        <v/>
      </c>
      <c r="O107" s="215" t="str" cm="1">
        <f t="array" ref="O107">Common_InputFunctions.Utility_DisplayArrayInTable(Fertiliser_SourceData.Fertiliser_Products_Data1(), FertiliserProducts[[#Headers],[Company]],1)</f>
        <v>Nitrogen - Ammoniacal</v>
      </c>
      <c r="P107" s="215" cm="1">
        <f t="array" ref="P107">Common_InputFunctions.Utility_DisplayArrayInTable(Fertiliser_SourceData.Fertiliser_Products_Data1(), FertiliserProducts[[#Headers],[Company]],1)</f>
        <v>0.17699999999999999</v>
      </c>
      <c r="Q107" s="215" t="str" cm="1">
        <f t="array" ref="Q107">Common_InputFunctions.Utility_DisplayArrayInTable(Fertiliser_SourceData.Fertiliser_Products_Data1(), FertiliserProducts[[#Headers],[Company]],1)</f>
        <v/>
      </c>
      <c r="R107" s="215" t="str" cm="1">
        <f t="array" ref="R107">Common_InputFunctions.Utility_DisplayArrayInTable(Fertiliser_SourceData.Fertiliser_Products_Data1(), FertiliserProducts[[#Headers],[Company]],1)</f>
        <v/>
      </c>
      <c r="S107" s="215" t="str" cm="1">
        <f t="array" ref="S107">Common_InputFunctions.Utility_DisplayArrayInTable(Fertiliser_SourceData.Fertiliser_Products_Data1(), FertiliserProducts[[#Headers],[Company]],1)</f>
        <v/>
      </c>
      <c r="T107" s="215" t="str" cm="1">
        <f t="array" ref="T107">Common_InputFunctions.Utility_DisplayArrayInTable(Fertiliser_SourceData.Fertiliser_Products_Data1(), FertiliserProducts[[#Headers],[Company]],1)</f>
        <v/>
      </c>
      <c r="U107" s="215" t="str" cm="1">
        <f t="array" ref="U107">Common_InputFunctions.Utility_DisplayArrayInTable(Fertiliser_SourceData.Fertiliser_Products_Data1(), FertiliserProducts[[#Headers],[Company]],1)</f>
        <v/>
      </c>
      <c r="V107" s="215" t="str" cm="1">
        <f t="array" ref="V107">Common_InputFunctions.Utility_DisplayArrayInTable(Fertiliser_SourceData.Fertiliser_Products_Data1(), FertiliserProducts[[#Headers],[Company]],1)</f>
        <v/>
      </c>
      <c r="W107" s="215" t="str" cm="1">
        <f t="array" ref="W107">Common_InputFunctions.Utility_DisplayArrayInTable(Fertiliser_SourceData.Fertiliser_Products_Data1(), FertiliserProducts[[#Headers],[Company]],1)</f>
        <v/>
      </c>
      <c r="X107" s="215" t="str" cm="1">
        <f t="array" ref="X107">Common_InputFunctions.Utility_DisplayArrayInTable(Fertiliser_SourceData.Fertiliser_Products_Data1(), FertiliserProducts[[#Headers],[Company]],1)</f>
        <v/>
      </c>
      <c r="Y107" s="215" t="str" cm="1">
        <f t="array" ref="Y107">Common_InputFunctions.Utility_DisplayArrayInTable(Fertiliser_SourceData.Fertiliser_Products_Data1(), FertiliserProducts[[#Headers],[Company]],1)</f>
        <v/>
      </c>
      <c r="Z107" s="215" t="str" cm="1">
        <f t="array" ref="Z107">Common_InputFunctions.Utility_DisplayArrayInTable(Fertiliser_SourceData.Fertiliser_Products_Data1(), FertiliserProducts[[#Headers],[Company]],1)</f>
        <v/>
      </c>
      <c r="AA107" s="215" t="str" cm="1">
        <f t="array" ref="AA107">Common_InputFunctions.Utility_DisplayArrayInTable(Fertiliser_SourceData.Fertiliser_Products_Data1(), FertiliserProducts[[#Headers],[Company]],1)</f>
        <v/>
      </c>
      <c r="AB107" s="215" t="str" cm="1">
        <f t="array" ref="AB107">Common_InputFunctions.Utility_DisplayArrayInTable(Fertiliser_SourceData.Fertiliser_Products_Data1(), FertiliserProducts[[#Headers],[Company]],1)</f>
        <v/>
      </c>
      <c r="AC107" s="215" t="str" cm="1">
        <f t="array" ref="AC107">Common_InputFunctions.Utility_DisplayArrayInTable(Fertiliser_SourceData.Fertiliser_Products_Data1(), FertiliserProducts[[#Headers],[Company]],1)</f>
        <v/>
      </c>
      <c r="AD107" s="215" t="str" cm="1">
        <f t="array" ref="AD107">Common_InputFunctions.Utility_DisplayArrayInTable(Fertiliser_SourceData.Fertiliser_Products_Data1(), FertiliserProducts[[#Headers],[Company]],1)</f>
        <v/>
      </c>
      <c r="AE107" s="215" t="str" cm="1">
        <f t="array" ref="AE107">Common_InputFunctions.Utility_DisplayArrayInTable(Fertiliser_SourceData.Fertiliser_Products_Data1(), FertiliserProducts[[#Headers],[Company]],1)</f>
        <v/>
      </c>
      <c r="AF107" s="215" t="str" cm="1">
        <f t="array" ref="AF107">Common_InputFunctions.Utility_DisplayArrayInTable(Fertiliser_SourceData.Fertiliser_Products_Data1(), FertiliserProducts[[#Headers],[Company]],1)</f>
        <v/>
      </c>
      <c r="AG107" s="215" t="str" cm="1">
        <f t="array" ref="AG107">Common_InputFunctions.Utility_DisplayArrayInTable(Fertiliser_SourceData.Fertiliser_Products_Data1(), FertiliserProducts[[#Headers],[Company]],1)</f>
        <v/>
      </c>
      <c r="AH107" s="215" t="str" cm="1">
        <f t="array" ref="AH107">Common_InputFunctions.Utility_DisplayArrayInTable(Fertiliser_SourceData.Fertiliser_Products_Data1(), FertiliserProducts[[#Headers],[Company]],1)</f>
        <v/>
      </c>
    </row>
    <row r="108" spans="1:34" ht="20.100000000000001" customHeight="1" x14ac:dyDescent="0.25">
      <c r="A108"/>
      <c r="D108" s="215" t="str" cm="1">
        <f t="array" ref="D108">Common_InputFunctions.Utility_DisplayArrayInTable(Fertiliser_SourceData.Fertiliser_Products_Data1(), FertiliserProducts[[#Headers],[Company]],1)</f>
        <v>Risso-Chemical</v>
      </c>
      <c r="E108" s="215" t="str" cm="1">
        <f t="array" ref="E108">Common_InputFunctions.Utility_DisplayArrayInTable(Fertiliser_SourceData.Fertiliser_Products_Data1(), FertiliserProducts[[#Headers],[Company]],1)</f>
        <v>Ammonium Sulfate</v>
      </c>
      <c r="F108" s="215" t="str" cm="1">
        <f t="array" ref="F108">Common_InputFunctions.Utility_DisplayArrayInTable(Fertiliser_SourceData.Fertiliser_Products_Data1(), FertiliserProducts[[#Headers],[Company]],1)</f>
        <v>kg</v>
      </c>
      <c r="G108" s="215" cm="1">
        <f t="array" ref="G108">Common_InputFunctions.Utility_DisplayArrayInTable(Fertiliser_SourceData.Fertiliser_Products_Data1(), FertiliserProducts[[#Headers],[Company]],1)</f>
        <v>1</v>
      </c>
      <c r="H108" s="215" t="str" cm="1">
        <f t="array" ref="H108">Common_InputFunctions.Utility_DisplayArrayInTable(Fertiliser_SourceData.Fertiliser_Products_Data1(), FertiliserProducts[[#Headers],[Company]],1)</f>
        <v/>
      </c>
      <c r="I108" s="215" t="str" cm="1">
        <f t="array" ref="I108">Common_InputFunctions.Utility_DisplayArrayInTable(Fertiliser_SourceData.Fertiliser_Products_Data1(), FertiliserProducts[[#Headers],[Company]],1)</f>
        <v/>
      </c>
      <c r="J108" s="215" t="str" cm="1">
        <f t="array" ref="J108">Common_InputFunctions.Utility_DisplayArrayInTable(Fertiliser_SourceData.Fertiliser_Products_Data1(), FertiliserProducts[[#Headers],[Company]],1)</f>
        <v>China</v>
      </c>
      <c r="K108" s="215" cm="1">
        <f t="array" ref="K108">Common_InputFunctions.Utility_DisplayArrayInTable(Fertiliser_SourceData.Fertiliser_Products_Data1(), FertiliserProducts[[#Headers],[Company]],1)</f>
        <v>21</v>
      </c>
      <c r="L108" s="215" t="str" cm="1">
        <f t="array" ref="L108">Common_InputFunctions.Utility_DisplayArrayInTable(Fertiliser_SourceData.Fertiliser_Products_Data1(), FertiliserProducts[[#Headers],[Company]],1)</f>
        <v/>
      </c>
      <c r="M108" s="215" t="str" cm="1">
        <f t="array" ref="M108">Common_InputFunctions.Utility_DisplayArrayInTable(Fertiliser_SourceData.Fertiliser_Products_Data1(), FertiliserProducts[[#Headers],[Company]],1)</f>
        <v/>
      </c>
      <c r="N108" s="215" cm="1">
        <f t="array" ref="N108">Common_InputFunctions.Utility_DisplayArrayInTable(Fertiliser_SourceData.Fertiliser_Products_Data1(), FertiliserProducts[[#Headers],[Company]],1)</f>
        <v>24</v>
      </c>
      <c r="O108" s="215" t="str" cm="1">
        <f t="array" ref="O108">Common_InputFunctions.Utility_DisplayArrayInTable(Fertiliser_SourceData.Fertiliser_Products_Data1(), FertiliserProducts[[#Headers],[Company]],1)</f>
        <v>Sulfur - Generic</v>
      </c>
      <c r="P108" s="215" cm="1">
        <f t="array" ref="P108">Common_InputFunctions.Utility_DisplayArrayInTable(Fertiliser_SourceData.Fertiliser_Products_Data1(), FertiliserProducts[[#Headers],[Company]],1)</f>
        <v>0.24</v>
      </c>
      <c r="Q108" s="215" t="str" cm="1">
        <f t="array" ref="Q108">Common_InputFunctions.Utility_DisplayArrayInTable(Fertiliser_SourceData.Fertiliser_Products_Data1(), FertiliserProducts[[#Headers],[Company]],1)</f>
        <v>Nitrogen - Ammoniacal</v>
      </c>
      <c r="R108" s="215" cm="1">
        <f t="array" ref="R108">Common_InputFunctions.Utility_DisplayArrayInTable(Fertiliser_SourceData.Fertiliser_Products_Data1(), FertiliserProducts[[#Headers],[Company]],1)</f>
        <v>0.21</v>
      </c>
      <c r="S108" s="215" t="str" cm="1">
        <f t="array" ref="S108">Common_InputFunctions.Utility_DisplayArrayInTable(Fertiliser_SourceData.Fertiliser_Products_Data1(), FertiliserProducts[[#Headers],[Company]],1)</f>
        <v/>
      </c>
      <c r="T108" s="215" t="str" cm="1">
        <f t="array" ref="T108">Common_InputFunctions.Utility_DisplayArrayInTable(Fertiliser_SourceData.Fertiliser_Products_Data1(), FertiliserProducts[[#Headers],[Company]],1)</f>
        <v/>
      </c>
      <c r="U108" s="215" t="str" cm="1">
        <f t="array" ref="U108">Common_InputFunctions.Utility_DisplayArrayInTable(Fertiliser_SourceData.Fertiliser_Products_Data1(), FertiliserProducts[[#Headers],[Company]],1)</f>
        <v/>
      </c>
      <c r="V108" s="215" t="str" cm="1">
        <f t="array" ref="V108">Common_InputFunctions.Utility_DisplayArrayInTable(Fertiliser_SourceData.Fertiliser_Products_Data1(), FertiliserProducts[[#Headers],[Company]],1)</f>
        <v/>
      </c>
      <c r="W108" s="215" t="str" cm="1">
        <f t="array" ref="W108">Common_InputFunctions.Utility_DisplayArrayInTable(Fertiliser_SourceData.Fertiliser_Products_Data1(), FertiliserProducts[[#Headers],[Company]],1)</f>
        <v/>
      </c>
      <c r="X108" s="215" t="str" cm="1">
        <f t="array" ref="X108">Common_InputFunctions.Utility_DisplayArrayInTable(Fertiliser_SourceData.Fertiliser_Products_Data1(), FertiliserProducts[[#Headers],[Company]],1)</f>
        <v/>
      </c>
      <c r="Y108" s="215" t="str" cm="1">
        <f t="array" ref="Y108">Common_InputFunctions.Utility_DisplayArrayInTable(Fertiliser_SourceData.Fertiliser_Products_Data1(), FertiliserProducts[[#Headers],[Company]],1)</f>
        <v/>
      </c>
      <c r="Z108" s="215" t="str" cm="1">
        <f t="array" ref="Z108">Common_InputFunctions.Utility_DisplayArrayInTable(Fertiliser_SourceData.Fertiliser_Products_Data1(), FertiliserProducts[[#Headers],[Company]],1)</f>
        <v/>
      </c>
      <c r="AA108" s="215" t="str" cm="1">
        <f t="array" ref="AA108">Common_InputFunctions.Utility_DisplayArrayInTable(Fertiliser_SourceData.Fertiliser_Products_Data1(), FertiliserProducts[[#Headers],[Company]],1)</f>
        <v/>
      </c>
      <c r="AB108" s="215" t="str" cm="1">
        <f t="array" ref="AB108">Common_InputFunctions.Utility_DisplayArrayInTable(Fertiliser_SourceData.Fertiliser_Products_Data1(), FertiliserProducts[[#Headers],[Company]],1)</f>
        <v/>
      </c>
      <c r="AC108" s="215" t="str" cm="1">
        <f t="array" ref="AC108">Common_InputFunctions.Utility_DisplayArrayInTable(Fertiliser_SourceData.Fertiliser_Products_Data1(), FertiliserProducts[[#Headers],[Company]],1)</f>
        <v/>
      </c>
      <c r="AD108" s="215" t="str" cm="1">
        <f t="array" ref="AD108">Common_InputFunctions.Utility_DisplayArrayInTable(Fertiliser_SourceData.Fertiliser_Products_Data1(), FertiliserProducts[[#Headers],[Company]],1)</f>
        <v/>
      </c>
      <c r="AE108" s="215" t="str" cm="1">
        <f t="array" ref="AE108">Common_InputFunctions.Utility_DisplayArrayInTable(Fertiliser_SourceData.Fertiliser_Products_Data1(), FertiliserProducts[[#Headers],[Company]],1)</f>
        <v/>
      </c>
      <c r="AF108" s="215" t="str" cm="1">
        <f t="array" ref="AF108">Common_InputFunctions.Utility_DisplayArrayInTable(Fertiliser_SourceData.Fertiliser_Products_Data1(), FertiliserProducts[[#Headers],[Company]],1)</f>
        <v/>
      </c>
      <c r="AG108" s="215" t="str" cm="1">
        <f t="array" ref="AG108">Common_InputFunctions.Utility_DisplayArrayInTable(Fertiliser_SourceData.Fertiliser_Products_Data1(), FertiliserProducts[[#Headers],[Company]],1)</f>
        <v/>
      </c>
      <c r="AH108" s="215" t="str" cm="1">
        <f t="array" ref="AH108">Common_InputFunctions.Utility_DisplayArrayInTable(Fertiliser_SourceData.Fertiliser_Products_Data1(), FertiliserProducts[[#Headers],[Company]],1)</f>
        <v/>
      </c>
    </row>
    <row r="109" spans="1:34" ht="20.100000000000001" customHeight="1" x14ac:dyDescent="0.25">
      <c r="A109"/>
      <c r="D109" s="215" t="str" cm="1">
        <f t="array" ref="D109">Common_InputFunctions.Utility_DisplayArrayInTable(Fertiliser_SourceData.Fertiliser_Products_Data1(), FertiliserProducts[[#Headers],[Company]],1)</f>
        <v>Ravensdown</v>
      </c>
      <c r="E109" s="215" t="str" cm="1">
        <f t="array" ref="E109">Common_InputFunctions.Utility_DisplayArrayInTable(Fertiliser_SourceData.Fertiliser_Products_Data1(), FertiliserProducts[[#Headers],[Company]],1)</f>
        <v>Ammonium Sulphate - Granular</v>
      </c>
      <c r="F109" s="215" t="str" cm="1">
        <f t="array" ref="F109">Common_InputFunctions.Utility_DisplayArrayInTable(Fertiliser_SourceData.Fertiliser_Products_Data1(), FertiliserProducts[[#Headers],[Company]],1)</f>
        <v>kg</v>
      </c>
      <c r="G109" s="215" cm="1">
        <f t="array" ref="G109">Common_InputFunctions.Utility_DisplayArrayInTable(Fertiliser_SourceData.Fertiliser_Products_Data1(), FertiliserProducts[[#Headers],[Company]],1)</f>
        <v>1</v>
      </c>
      <c r="H109" s="215" t="str" cm="1">
        <f t="array" ref="H109">Common_InputFunctions.Utility_DisplayArrayInTable(Fertiliser_SourceData.Fertiliser_Products_Data1(), FertiliserProducts[[#Headers],[Company]],1)</f>
        <v/>
      </c>
      <c r="I109" s="215" t="str" cm="1">
        <f t="array" ref="I109">Common_InputFunctions.Utility_DisplayArrayInTable(Fertiliser_SourceData.Fertiliser_Products_Data1(), FertiliserProducts[[#Headers],[Company]],1)</f>
        <v/>
      </c>
      <c r="J109" s="215" t="str" cm="1">
        <f t="array" ref="J109">Common_InputFunctions.Utility_DisplayArrayInTable(Fertiliser_SourceData.Fertiliser_Products_Data1(), FertiliserProducts[[#Headers],[Company]],1)</f>
        <v/>
      </c>
      <c r="K109" s="215" cm="1">
        <f t="array" ref="K109">Common_InputFunctions.Utility_DisplayArrayInTable(Fertiliser_SourceData.Fertiliser_Products_Data1(), FertiliserProducts[[#Headers],[Company]],1)</f>
        <v>21</v>
      </c>
      <c r="L109" s="215" t="str" cm="1">
        <f t="array" ref="L109">Common_InputFunctions.Utility_DisplayArrayInTable(Fertiliser_SourceData.Fertiliser_Products_Data1(), FertiliserProducts[[#Headers],[Company]],1)</f>
        <v/>
      </c>
      <c r="M109" s="215" t="str" cm="1">
        <f t="array" ref="M109">Common_InputFunctions.Utility_DisplayArrayInTable(Fertiliser_SourceData.Fertiliser_Products_Data1(), FertiliserProducts[[#Headers],[Company]],1)</f>
        <v/>
      </c>
      <c r="N109" s="215" cm="1">
        <f t="array" ref="N109">Common_InputFunctions.Utility_DisplayArrayInTable(Fertiliser_SourceData.Fertiliser_Products_Data1(), FertiliserProducts[[#Headers],[Company]],1)</f>
        <v>24</v>
      </c>
      <c r="O109" s="215" t="str" cm="1">
        <f t="array" ref="O109">Common_InputFunctions.Utility_DisplayArrayInTable(Fertiliser_SourceData.Fertiliser_Products_Data1(), FertiliserProducts[[#Headers],[Company]],1)</f>
        <v>Sulphate of ammonia (SOA)</v>
      </c>
      <c r="P109" s="215" cm="1">
        <f t="array" ref="P109">Common_InputFunctions.Utility_DisplayArrayInTable(Fertiliser_SourceData.Fertiliser_Products_Data1(), FertiliserProducts[[#Headers],[Company]],1)</f>
        <v>1</v>
      </c>
      <c r="Q109" s="215" t="str" cm="1">
        <f t="array" ref="Q109">Common_InputFunctions.Utility_DisplayArrayInTable(Fertiliser_SourceData.Fertiliser_Products_Data1(), FertiliserProducts[[#Headers],[Company]],1)</f>
        <v/>
      </c>
      <c r="R109" s="215" t="str" cm="1">
        <f t="array" ref="R109">Common_InputFunctions.Utility_DisplayArrayInTable(Fertiliser_SourceData.Fertiliser_Products_Data1(), FertiliserProducts[[#Headers],[Company]],1)</f>
        <v/>
      </c>
      <c r="S109" s="215" t="str" cm="1">
        <f t="array" ref="S109">Common_InputFunctions.Utility_DisplayArrayInTable(Fertiliser_SourceData.Fertiliser_Products_Data1(), FertiliserProducts[[#Headers],[Company]],1)</f>
        <v/>
      </c>
      <c r="T109" s="215" t="str" cm="1">
        <f t="array" ref="T109">Common_InputFunctions.Utility_DisplayArrayInTable(Fertiliser_SourceData.Fertiliser_Products_Data1(), FertiliserProducts[[#Headers],[Company]],1)</f>
        <v/>
      </c>
      <c r="U109" s="215" t="str" cm="1">
        <f t="array" ref="U109">Common_InputFunctions.Utility_DisplayArrayInTable(Fertiliser_SourceData.Fertiliser_Products_Data1(), FertiliserProducts[[#Headers],[Company]],1)</f>
        <v/>
      </c>
      <c r="V109" s="215" t="str" cm="1">
        <f t="array" ref="V109">Common_InputFunctions.Utility_DisplayArrayInTable(Fertiliser_SourceData.Fertiliser_Products_Data1(), FertiliserProducts[[#Headers],[Company]],1)</f>
        <v/>
      </c>
      <c r="W109" s="215" t="str" cm="1">
        <f t="array" ref="W109">Common_InputFunctions.Utility_DisplayArrayInTable(Fertiliser_SourceData.Fertiliser_Products_Data1(), FertiliserProducts[[#Headers],[Company]],1)</f>
        <v/>
      </c>
      <c r="X109" s="215" t="str" cm="1">
        <f t="array" ref="X109">Common_InputFunctions.Utility_DisplayArrayInTable(Fertiliser_SourceData.Fertiliser_Products_Data1(), FertiliserProducts[[#Headers],[Company]],1)</f>
        <v/>
      </c>
      <c r="Y109" s="215" t="str" cm="1">
        <f t="array" ref="Y109">Common_InputFunctions.Utility_DisplayArrayInTable(Fertiliser_SourceData.Fertiliser_Products_Data1(), FertiliserProducts[[#Headers],[Company]],1)</f>
        <v/>
      </c>
      <c r="Z109" s="215" t="str" cm="1">
        <f t="array" ref="Z109">Common_InputFunctions.Utility_DisplayArrayInTable(Fertiliser_SourceData.Fertiliser_Products_Data1(), FertiliserProducts[[#Headers],[Company]],1)</f>
        <v/>
      </c>
      <c r="AA109" s="215" t="str" cm="1">
        <f t="array" ref="AA109">Common_InputFunctions.Utility_DisplayArrayInTable(Fertiliser_SourceData.Fertiliser_Products_Data1(), FertiliserProducts[[#Headers],[Company]],1)</f>
        <v/>
      </c>
      <c r="AB109" s="215" t="str" cm="1">
        <f t="array" ref="AB109">Common_InputFunctions.Utility_DisplayArrayInTable(Fertiliser_SourceData.Fertiliser_Products_Data1(), FertiliserProducts[[#Headers],[Company]],1)</f>
        <v/>
      </c>
      <c r="AC109" s="215" t="str" cm="1">
        <f t="array" ref="AC109">Common_InputFunctions.Utility_DisplayArrayInTable(Fertiliser_SourceData.Fertiliser_Products_Data1(), FertiliserProducts[[#Headers],[Company]],1)</f>
        <v/>
      </c>
      <c r="AD109" s="215" t="str" cm="1">
        <f t="array" ref="AD109">Common_InputFunctions.Utility_DisplayArrayInTable(Fertiliser_SourceData.Fertiliser_Products_Data1(), FertiliserProducts[[#Headers],[Company]],1)</f>
        <v/>
      </c>
      <c r="AE109" s="215" t="str" cm="1">
        <f t="array" ref="AE109">Common_InputFunctions.Utility_DisplayArrayInTable(Fertiliser_SourceData.Fertiliser_Products_Data1(), FertiliserProducts[[#Headers],[Company]],1)</f>
        <v/>
      </c>
      <c r="AF109" s="215" t="str" cm="1">
        <f t="array" ref="AF109">Common_InputFunctions.Utility_DisplayArrayInTable(Fertiliser_SourceData.Fertiliser_Products_Data1(), FertiliserProducts[[#Headers],[Company]],1)</f>
        <v/>
      </c>
      <c r="AG109" s="215" t="str" cm="1">
        <f t="array" ref="AG109">Common_InputFunctions.Utility_DisplayArrayInTable(Fertiliser_SourceData.Fertiliser_Products_Data1(), FertiliserProducts[[#Headers],[Company]],1)</f>
        <v/>
      </c>
      <c r="AH109" s="215" t="str" cm="1">
        <f t="array" ref="AH109">Common_InputFunctions.Utility_DisplayArrayInTable(Fertiliser_SourceData.Fertiliser_Products_Data1(), FertiliserProducts[[#Headers],[Company]],1)</f>
        <v/>
      </c>
    </row>
    <row r="110" spans="1:34" ht="20.100000000000001" customHeight="1" x14ac:dyDescent="0.25">
      <c r="A110"/>
      <c r="D110" s="215" t="str" cm="1">
        <f t="array" ref="D110">Common_InputFunctions.Utility_DisplayArrayInTable(Fertiliser_SourceData.Fertiliser_Products_Data1(), FertiliserProducts[[#Headers],[Company]],1)</f>
        <v>Impact Fertilisers</v>
      </c>
      <c r="E110" s="215" t="str" cm="1">
        <f t="array" ref="E110">Common_InputFunctions.Utility_DisplayArrayInTable(Fertiliser_SourceData.Fertiliser_Products_Data1(), FertiliserProducts[[#Headers],[Company]],1)</f>
        <v>Di-Ammonium Phosphate (DAP)</v>
      </c>
      <c r="F110" s="215" t="str" cm="1">
        <f t="array" ref="F110">Common_InputFunctions.Utility_DisplayArrayInTable(Fertiliser_SourceData.Fertiliser_Products_Data1(), FertiliserProducts[[#Headers],[Company]],1)</f>
        <v>kg</v>
      </c>
      <c r="G110" s="215" cm="1">
        <f t="array" ref="G110">Common_InputFunctions.Utility_DisplayArrayInTable(Fertiliser_SourceData.Fertiliser_Products_Data1(), FertiliserProducts[[#Headers],[Company]],1)</f>
        <v>1</v>
      </c>
      <c r="H110" s="215" t="str" cm="1">
        <f t="array" ref="H110">Common_InputFunctions.Utility_DisplayArrayInTable(Fertiliser_SourceData.Fertiliser_Products_Data1(), FertiliserProducts[[#Headers],[Company]],1)</f>
        <v/>
      </c>
      <c r="I110" s="215" t="str" cm="1">
        <f t="array" ref="I110">Common_InputFunctions.Utility_DisplayArrayInTable(Fertiliser_SourceData.Fertiliser_Products_Data1(), FertiliserProducts[[#Headers],[Company]],1)</f>
        <v/>
      </c>
      <c r="J110" s="215" t="str" cm="1">
        <f t="array" ref="J110">Common_InputFunctions.Utility_DisplayArrayInTable(Fertiliser_SourceData.Fertiliser_Products_Data1(), FertiliserProducts[[#Headers],[Company]],1)</f>
        <v/>
      </c>
      <c r="K110" s="215" cm="1">
        <f t="array" ref="K110">Common_InputFunctions.Utility_DisplayArrayInTable(Fertiliser_SourceData.Fertiliser_Products_Data1(), FertiliserProducts[[#Headers],[Company]],1)</f>
        <v>18</v>
      </c>
      <c r="L110" s="215" cm="1">
        <f t="array" ref="L110">Common_InputFunctions.Utility_DisplayArrayInTable(Fertiliser_SourceData.Fertiliser_Products_Data1(), FertiliserProducts[[#Headers],[Company]],1)</f>
        <v>20</v>
      </c>
      <c r="M110" s="215" t="str" cm="1">
        <f t="array" ref="M110">Common_InputFunctions.Utility_DisplayArrayInTable(Fertiliser_SourceData.Fertiliser_Products_Data1(), FertiliserProducts[[#Headers],[Company]],1)</f>
        <v/>
      </c>
      <c r="N110" s="215" t="str" cm="1">
        <f t="array" ref="N110">Common_InputFunctions.Utility_DisplayArrayInTable(Fertiliser_SourceData.Fertiliser_Products_Data1(), FertiliserProducts[[#Headers],[Company]],1)</f>
        <v/>
      </c>
      <c r="O110" s="215" t="str" cm="1">
        <f t="array" ref="O110">Common_InputFunctions.Utility_DisplayArrayInTable(Fertiliser_SourceData.Fertiliser_Products_Data1(), FertiliserProducts[[#Headers],[Company]],1)</f>
        <v>Diammonium phosphate (DAP)</v>
      </c>
      <c r="P110" s="215" cm="1">
        <f t="array" ref="P110">Common_InputFunctions.Utility_DisplayArrayInTable(Fertiliser_SourceData.Fertiliser_Products_Data1(), FertiliserProducts[[#Headers],[Company]],1)</f>
        <v>1</v>
      </c>
      <c r="Q110" s="215" t="str" cm="1">
        <f t="array" ref="Q110">Common_InputFunctions.Utility_DisplayArrayInTable(Fertiliser_SourceData.Fertiliser_Products_Data1(), FertiliserProducts[[#Headers],[Company]],1)</f>
        <v/>
      </c>
      <c r="R110" s="215" t="str" cm="1">
        <f t="array" ref="R110">Common_InputFunctions.Utility_DisplayArrayInTable(Fertiliser_SourceData.Fertiliser_Products_Data1(), FertiliserProducts[[#Headers],[Company]],1)</f>
        <v/>
      </c>
      <c r="S110" s="215" t="str" cm="1">
        <f t="array" ref="S110">Common_InputFunctions.Utility_DisplayArrayInTable(Fertiliser_SourceData.Fertiliser_Products_Data1(), FertiliserProducts[[#Headers],[Company]],1)</f>
        <v/>
      </c>
      <c r="T110" s="215" t="str" cm="1">
        <f t="array" ref="T110">Common_InputFunctions.Utility_DisplayArrayInTable(Fertiliser_SourceData.Fertiliser_Products_Data1(), FertiliserProducts[[#Headers],[Company]],1)</f>
        <v/>
      </c>
      <c r="U110" s="215" t="str" cm="1">
        <f t="array" ref="U110">Common_InputFunctions.Utility_DisplayArrayInTable(Fertiliser_SourceData.Fertiliser_Products_Data1(), FertiliserProducts[[#Headers],[Company]],1)</f>
        <v/>
      </c>
      <c r="V110" s="215" t="str" cm="1">
        <f t="array" ref="V110">Common_InputFunctions.Utility_DisplayArrayInTable(Fertiliser_SourceData.Fertiliser_Products_Data1(), FertiliserProducts[[#Headers],[Company]],1)</f>
        <v/>
      </c>
      <c r="W110" s="215" t="str" cm="1">
        <f t="array" ref="W110">Common_InputFunctions.Utility_DisplayArrayInTable(Fertiliser_SourceData.Fertiliser_Products_Data1(), FertiliserProducts[[#Headers],[Company]],1)</f>
        <v/>
      </c>
      <c r="X110" s="215" t="str" cm="1">
        <f t="array" ref="X110">Common_InputFunctions.Utility_DisplayArrayInTable(Fertiliser_SourceData.Fertiliser_Products_Data1(), FertiliserProducts[[#Headers],[Company]],1)</f>
        <v/>
      </c>
      <c r="Y110" s="215" t="str" cm="1">
        <f t="array" ref="Y110">Common_InputFunctions.Utility_DisplayArrayInTable(Fertiliser_SourceData.Fertiliser_Products_Data1(), FertiliserProducts[[#Headers],[Company]],1)</f>
        <v/>
      </c>
      <c r="Z110" s="215" t="str" cm="1">
        <f t="array" ref="Z110">Common_InputFunctions.Utility_DisplayArrayInTable(Fertiliser_SourceData.Fertiliser_Products_Data1(), FertiliserProducts[[#Headers],[Company]],1)</f>
        <v/>
      </c>
      <c r="AA110" s="215" t="str" cm="1">
        <f t="array" ref="AA110">Common_InputFunctions.Utility_DisplayArrayInTable(Fertiliser_SourceData.Fertiliser_Products_Data1(), FertiliserProducts[[#Headers],[Company]],1)</f>
        <v/>
      </c>
      <c r="AB110" s="215" t="str" cm="1">
        <f t="array" ref="AB110">Common_InputFunctions.Utility_DisplayArrayInTable(Fertiliser_SourceData.Fertiliser_Products_Data1(), FertiliserProducts[[#Headers],[Company]],1)</f>
        <v/>
      </c>
      <c r="AC110" s="215" t="str" cm="1">
        <f t="array" ref="AC110">Common_InputFunctions.Utility_DisplayArrayInTable(Fertiliser_SourceData.Fertiliser_Products_Data1(), FertiliserProducts[[#Headers],[Company]],1)</f>
        <v/>
      </c>
      <c r="AD110" s="215" t="str" cm="1">
        <f t="array" ref="AD110">Common_InputFunctions.Utility_DisplayArrayInTable(Fertiliser_SourceData.Fertiliser_Products_Data1(), FertiliserProducts[[#Headers],[Company]],1)</f>
        <v/>
      </c>
      <c r="AE110" s="215" t="str" cm="1">
        <f t="array" ref="AE110">Common_InputFunctions.Utility_DisplayArrayInTable(Fertiliser_SourceData.Fertiliser_Products_Data1(), FertiliserProducts[[#Headers],[Company]],1)</f>
        <v/>
      </c>
      <c r="AF110" s="215" t="str" cm="1">
        <f t="array" ref="AF110">Common_InputFunctions.Utility_DisplayArrayInTable(Fertiliser_SourceData.Fertiliser_Products_Data1(), FertiliserProducts[[#Headers],[Company]],1)</f>
        <v/>
      </c>
      <c r="AG110" s="215" t="str" cm="1">
        <f t="array" ref="AG110">Common_InputFunctions.Utility_DisplayArrayInTable(Fertiliser_SourceData.Fertiliser_Products_Data1(), FertiliserProducts[[#Headers],[Company]],1)</f>
        <v/>
      </c>
      <c r="AH110" s="215" t="str" cm="1">
        <f t="array" ref="AH110">Common_InputFunctions.Utility_DisplayArrayInTable(Fertiliser_SourceData.Fertiliser_Products_Data1(), FertiliserProducts[[#Headers],[Company]],1)</f>
        <v/>
      </c>
    </row>
    <row r="111" spans="1:34" ht="20.100000000000001" customHeight="1" x14ac:dyDescent="0.25">
      <c r="A111"/>
      <c r="D111" s="215" t="str" cm="1">
        <f t="array" ref="D111">Common_InputFunctions.Utility_DisplayArrayInTable(Fertiliser_SourceData.Fertiliser_Products_Data1(), FertiliserProducts[[#Headers],[Company]],1)</f>
        <v>Incitec Pivot Fertilisers</v>
      </c>
      <c r="E111" s="215" t="str" cm="1">
        <f t="array" ref="E111">Common_InputFunctions.Utility_DisplayArrayInTable(Fertiliser_SourceData.Fertiliser_Products_Data1(), FertiliserProducts[[#Headers],[Company]],1)</f>
        <v>Basalt BooSSta</v>
      </c>
      <c r="F111" s="215" t="str" cm="1">
        <f t="array" ref="F111">Common_InputFunctions.Utility_DisplayArrayInTable(Fertiliser_SourceData.Fertiliser_Products_Data1(), FertiliserProducts[[#Headers],[Company]],1)</f>
        <v>kg</v>
      </c>
      <c r="G111" s="215" cm="1">
        <f t="array" ref="G111">Common_InputFunctions.Utility_DisplayArrayInTable(Fertiliser_SourceData.Fertiliser_Products_Data1(), FertiliserProducts[[#Headers],[Company]],1)</f>
        <v>1</v>
      </c>
      <c r="H111" s="215" t="str" cm="1">
        <f t="array" ref="H111">Common_InputFunctions.Utility_DisplayArrayInTable(Fertiliser_SourceData.Fertiliser_Products_Data1(), FertiliserProducts[[#Headers],[Company]],1)</f>
        <v/>
      </c>
      <c r="I111" s="215" t="str" cm="1">
        <f t="array" ref="I111">Common_InputFunctions.Utility_DisplayArrayInTable(Fertiliser_SourceData.Fertiliser_Products_Data1(), FertiliserProducts[[#Headers],[Company]],1)</f>
        <v/>
      </c>
      <c r="J111" s="215" t="str" cm="1">
        <f t="array" ref="J111">Common_InputFunctions.Utility_DisplayArrayInTable(Fertiliser_SourceData.Fertiliser_Products_Data1(), FertiliserProducts[[#Headers],[Company]],1)</f>
        <v/>
      </c>
      <c r="K111" s="215" cm="1">
        <f t="array" ref="K111">Common_InputFunctions.Utility_DisplayArrayInTable(Fertiliser_SourceData.Fertiliser_Products_Data1(), FertiliserProducts[[#Headers],[Company]],1)</f>
        <v>8</v>
      </c>
      <c r="L111" s="215" cm="1">
        <f t="array" ref="L111">Common_InputFunctions.Utility_DisplayArrayInTable(Fertiliser_SourceData.Fertiliser_Products_Data1(), FertiliserProducts[[#Headers],[Company]],1)</f>
        <v>14</v>
      </c>
      <c r="M111" s="215" t="str" cm="1">
        <f t="array" ref="M111">Common_InputFunctions.Utility_DisplayArrayInTable(Fertiliser_SourceData.Fertiliser_Products_Data1(), FertiliserProducts[[#Headers],[Company]],1)</f>
        <v/>
      </c>
      <c r="N111" s="215" cm="1">
        <f t="array" ref="N111">Common_InputFunctions.Utility_DisplayArrayInTable(Fertiliser_SourceData.Fertiliser_Products_Data1(), FertiliserProducts[[#Headers],[Company]],1)</f>
        <v>27.6</v>
      </c>
      <c r="O111" s="215" t="str" cm="1">
        <f t="array" ref="O111">Common_InputFunctions.Utility_DisplayArrayInTable(Fertiliser_SourceData.Fertiliser_Products_Data1(), FertiliserProducts[[#Headers],[Company]],1)</f>
        <v>Sulfur - Generic</v>
      </c>
      <c r="P111" s="215" cm="1">
        <f t="array" ref="P111">Common_InputFunctions.Utility_DisplayArrayInTable(Fertiliser_SourceData.Fertiliser_Products_Data1(), FertiliserProducts[[#Headers],[Company]],1)</f>
        <v>0.27600000000000002</v>
      </c>
      <c r="Q111" s="215" t="str" cm="1">
        <f t="array" ref="Q111">Common_InputFunctions.Utility_DisplayArrayInTable(Fertiliser_SourceData.Fertiliser_Products_Data1(), FertiliserProducts[[#Headers],[Company]],1)</f>
        <v>Phosphorus - Generic</v>
      </c>
      <c r="R111" s="215" cm="1">
        <f t="array" ref="R111">Common_InputFunctions.Utility_DisplayArrayInTable(Fertiliser_SourceData.Fertiliser_Products_Data1(), FertiliserProducts[[#Headers],[Company]],1)</f>
        <v>0.14000000000000001</v>
      </c>
      <c r="S111" s="215" t="str" cm="1">
        <f t="array" ref="S111">Common_InputFunctions.Utility_DisplayArrayInTable(Fertiliser_SourceData.Fertiliser_Products_Data1(), FertiliserProducts[[#Headers],[Company]],1)</f>
        <v>Nitrogen - Generic</v>
      </c>
      <c r="T111" s="215" cm="1">
        <f t="array" ref="T111">Common_InputFunctions.Utility_DisplayArrayInTable(Fertiliser_SourceData.Fertiliser_Products_Data1(), FertiliserProducts[[#Headers],[Company]],1)</f>
        <v>0.08</v>
      </c>
      <c r="U111" s="215" t="str" cm="1">
        <f t="array" ref="U111">Common_InputFunctions.Utility_DisplayArrayInTable(Fertiliser_SourceData.Fertiliser_Products_Data1(), FertiliserProducts[[#Headers],[Company]],1)</f>
        <v>Fluoride</v>
      </c>
      <c r="V111" s="215" cm="1">
        <f t="array" ref="V111">Common_InputFunctions.Utility_DisplayArrayInTable(Fertiliser_SourceData.Fertiliser_Products_Data1(), FertiliserProducts[[#Headers],[Company]],1)</f>
        <v>2.4E-2</v>
      </c>
      <c r="W111" s="215" t="str" cm="1">
        <f t="array" ref="W111">Common_InputFunctions.Utility_DisplayArrayInTable(Fertiliser_SourceData.Fertiliser_Products_Data1(), FertiliserProducts[[#Headers],[Company]],1)</f>
        <v/>
      </c>
      <c r="X111" s="215" t="str" cm="1">
        <f t="array" ref="X111">Common_InputFunctions.Utility_DisplayArrayInTable(Fertiliser_SourceData.Fertiliser_Products_Data1(), FertiliserProducts[[#Headers],[Company]],1)</f>
        <v/>
      </c>
      <c r="Y111" s="215" t="str" cm="1">
        <f t="array" ref="Y111">Common_InputFunctions.Utility_DisplayArrayInTable(Fertiliser_SourceData.Fertiliser_Products_Data1(), FertiliserProducts[[#Headers],[Company]],1)</f>
        <v/>
      </c>
      <c r="Z111" s="215" t="str" cm="1">
        <f t="array" ref="Z111">Common_InputFunctions.Utility_DisplayArrayInTable(Fertiliser_SourceData.Fertiliser_Products_Data1(), FertiliserProducts[[#Headers],[Company]],1)</f>
        <v/>
      </c>
      <c r="AA111" s="215" t="str" cm="1">
        <f t="array" ref="AA111">Common_InputFunctions.Utility_DisplayArrayInTable(Fertiliser_SourceData.Fertiliser_Products_Data1(), FertiliserProducts[[#Headers],[Company]],1)</f>
        <v/>
      </c>
      <c r="AB111" s="215" t="str" cm="1">
        <f t="array" ref="AB111">Common_InputFunctions.Utility_DisplayArrayInTable(Fertiliser_SourceData.Fertiliser_Products_Data1(), FertiliserProducts[[#Headers],[Company]],1)</f>
        <v/>
      </c>
      <c r="AC111" s="215" t="str" cm="1">
        <f t="array" ref="AC111">Common_InputFunctions.Utility_DisplayArrayInTable(Fertiliser_SourceData.Fertiliser_Products_Data1(), FertiliserProducts[[#Headers],[Company]],1)</f>
        <v/>
      </c>
      <c r="AD111" s="215" t="str" cm="1">
        <f t="array" ref="AD111">Common_InputFunctions.Utility_DisplayArrayInTable(Fertiliser_SourceData.Fertiliser_Products_Data1(), FertiliserProducts[[#Headers],[Company]],1)</f>
        <v/>
      </c>
      <c r="AE111" s="215" t="str" cm="1">
        <f t="array" ref="AE111">Common_InputFunctions.Utility_DisplayArrayInTable(Fertiliser_SourceData.Fertiliser_Products_Data1(), FertiliserProducts[[#Headers],[Company]],1)</f>
        <v/>
      </c>
      <c r="AF111" s="215" t="str" cm="1">
        <f t="array" ref="AF111">Common_InputFunctions.Utility_DisplayArrayInTable(Fertiliser_SourceData.Fertiliser_Products_Data1(), FertiliserProducts[[#Headers],[Company]],1)</f>
        <v/>
      </c>
      <c r="AG111" s="215" t="str" cm="1">
        <f t="array" ref="AG111">Common_InputFunctions.Utility_DisplayArrayInTable(Fertiliser_SourceData.Fertiliser_Products_Data1(), FertiliserProducts[[#Headers],[Company]],1)</f>
        <v/>
      </c>
      <c r="AH111" s="215" t="str" cm="1">
        <f t="array" ref="AH111">Common_InputFunctions.Utility_DisplayArrayInTable(Fertiliser_SourceData.Fertiliser_Products_Data1(), FertiliserProducts[[#Headers],[Company]],1)</f>
        <v/>
      </c>
    </row>
    <row r="112" spans="1:34" ht="20.100000000000001" customHeight="1" x14ac:dyDescent="0.25">
      <c r="A112"/>
      <c r="D112" s="215" t="str" cm="1">
        <f t="array" ref="D112">Common_InputFunctions.Utility_DisplayArrayInTable(Fertiliser_SourceData.Fertiliser_Products_Data1(), FertiliserProducts[[#Headers],[Company]],1)</f>
        <v>Summit Fertilizers</v>
      </c>
      <c r="E112" s="215" t="str" cm="1">
        <f t="array" ref="E112">Common_InputFunctions.Utility_DisplayArrayInTable(Fertiliser_SourceData.Fertiliser_Products_Data1(), FertiliserProducts[[#Headers],[Company]],1)</f>
        <v>DAPSZC</v>
      </c>
      <c r="F112" s="215" t="str" cm="1">
        <f t="array" ref="F112">Common_InputFunctions.Utility_DisplayArrayInTable(Fertiliser_SourceData.Fertiliser_Products_Data1(), FertiliserProducts[[#Headers],[Company]],1)</f>
        <v>kg</v>
      </c>
      <c r="G112" s="215" cm="1">
        <f t="array" ref="G112">Common_InputFunctions.Utility_DisplayArrayInTable(Fertiliser_SourceData.Fertiliser_Products_Data1(), FertiliserProducts[[#Headers],[Company]],1)</f>
        <v>1</v>
      </c>
      <c r="H112" s="215" t="str" cm="1">
        <f t="array" ref="H112">Common_InputFunctions.Utility_DisplayArrayInTable(Fertiliser_SourceData.Fertiliser_Products_Data1(), FertiliserProducts[[#Headers],[Company]],1)</f>
        <v/>
      </c>
      <c r="I112" s="215" t="str" cm="1">
        <f t="array" ref="I112">Common_InputFunctions.Utility_DisplayArrayInTable(Fertiliser_SourceData.Fertiliser_Products_Data1(), FertiliserProducts[[#Headers],[Company]],1)</f>
        <v/>
      </c>
      <c r="J112" s="215" t="str" cm="1">
        <f t="array" ref="J112">Common_InputFunctions.Utility_DisplayArrayInTable(Fertiliser_SourceData.Fertiliser_Products_Data1(), FertiliserProducts[[#Headers],[Company]],1)</f>
        <v/>
      </c>
      <c r="K112" s="215" cm="1">
        <f t="array" ref="K112">Common_InputFunctions.Utility_DisplayArrayInTable(Fertiliser_SourceData.Fertiliser_Products_Data1(), FertiliserProducts[[#Headers],[Company]],1)</f>
        <v>16.899999999999999</v>
      </c>
      <c r="L112" s="215" cm="1">
        <f t="array" ref="L112">Common_InputFunctions.Utility_DisplayArrayInTable(Fertiliser_SourceData.Fertiliser_Products_Data1(), FertiliserProducts[[#Headers],[Company]],1)</f>
        <v>18.2</v>
      </c>
      <c r="M112" s="215" t="str" cm="1">
        <f t="array" ref="M112">Common_InputFunctions.Utility_DisplayArrayInTable(Fertiliser_SourceData.Fertiliser_Products_Data1(), FertiliserProducts[[#Headers],[Company]],1)</f>
        <v/>
      </c>
      <c r="N112" s="215" cm="1">
        <f t="array" ref="N112">Common_InputFunctions.Utility_DisplayArrayInTable(Fertiliser_SourceData.Fertiliser_Products_Data1(), FertiliserProducts[[#Headers],[Company]],1)</f>
        <v>8</v>
      </c>
      <c r="O112" s="215" t="str" cm="1">
        <f t="array" ref="O112">Common_InputFunctions.Utility_DisplayArrayInTable(Fertiliser_SourceData.Fertiliser_Products_Data1(), FertiliserProducts[[#Headers],[Company]],1)</f>
        <v>Phosphorus - Generic</v>
      </c>
      <c r="P112" s="215" cm="1">
        <f t="array" ref="P112">Common_InputFunctions.Utility_DisplayArrayInTable(Fertiliser_SourceData.Fertiliser_Products_Data1(), FertiliserProducts[[#Headers],[Company]],1)</f>
        <v>0.182</v>
      </c>
      <c r="Q112" s="215" t="str" cm="1">
        <f t="array" ref="Q112">Common_InputFunctions.Utility_DisplayArrayInTable(Fertiliser_SourceData.Fertiliser_Products_Data1(), FertiliserProducts[[#Headers],[Company]],1)</f>
        <v>Nitrogen - Generic</v>
      </c>
      <c r="R112" s="215" cm="1">
        <f t="array" ref="R112">Common_InputFunctions.Utility_DisplayArrayInTable(Fertiliser_SourceData.Fertiliser_Products_Data1(), FertiliserProducts[[#Headers],[Company]],1)</f>
        <v>0.16900000000000001</v>
      </c>
      <c r="S112" s="215" t="str" cm="1">
        <f t="array" ref="S112">Common_InputFunctions.Utility_DisplayArrayInTable(Fertiliser_SourceData.Fertiliser_Products_Data1(), FertiliserProducts[[#Headers],[Company]],1)</f>
        <v>Sulfur - Generic</v>
      </c>
      <c r="T112" s="215" cm="1">
        <f t="array" ref="T112">Common_InputFunctions.Utility_DisplayArrayInTable(Fertiliser_SourceData.Fertiliser_Products_Data1(), FertiliserProducts[[#Headers],[Company]],1)</f>
        <v>0.08</v>
      </c>
      <c r="U112" s="215" t="str" cm="1">
        <f t="array" ref="U112">Common_InputFunctions.Utility_DisplayArrayInTable(Fertiliser_SourceData.Fertiliser_Products_Data1(), FertiliserProducts[[#Headers],[Company]],1)</f>
        <v>Zinc</v>
      </c>
      <c r="V112" s="215" cm="1">
        <f t="array" ref="V112">Common_InputFunctions.Utility_DisplayArrayInTable(Fertiliser_SourceData.Fertiliser_Products_Data1(), FertiliserProducts[[#Headers],[Company]],1)</f>
        <v>2E-3</v>
      </c>
      <c r="W112" s="215" t="str" cm="1">
        <f t="array" ref="W112">Common_InputFunctions.Utility_DisplayArrayInTable(Fertiliser_SourceData.Fertiliser_Products_Data1(), FertiliserProducts[[#Headers],[Company]],1)</f>
        <v>Copper</v>
      </c>
      <c r="X112" s="215" cm="1">
        <f t="array" ref="X112">Common_InputFunctions.Utility_DisplayArrayInTable(Fertiliser_SourceData.Fertiliser_Products_Data1(), FertiliserProducts[[#Headers],[Company]],1)</f>
        <v>1E-3</v>
      </c>
      <c r="Y112" s="215" t="str" cm="1">
        <f t="array" ref="Y112">Common_InputFunctions.Utility_DisplayArrayInTable(Fertiliser_SourceData.Fertiliser_Products_Data1(), FertiliserProducts[[#Headers],[Company]],1)</f>
        <v/>
      </c>
      <c r="Z112" s="215" t="str" cm="1">
        <f t="array" ref="Z112">Common_InputFunctions.Utility_DisplayArrayInTable(Fertiliser_SourceData.Fertiliser_Products_Data1(), FertiliserProducts[[#Headers],[Company]],1)</f>
        <v/>
      </c>
      <c r="AA112" s="215" t="str" cm="1">
        <f t="array" ref="AA112">Common_InputFunctions.Utility_DisplayArrayInTable(Fertiliser_SourceData.Fertiliser_Products_Data1(), FertiliserProducts[[#Headers],[Company]],1)</f>
        <v/>
      </c>
      <c r="AB112" s="215" t="str" cm="1">
        <f t="array" ref="AB112">Common_InputFunctions.Utility_DisplayArrayInTable(Fertiliser_SourceData.Fertiliser_Products_Data1(), FertiliserProducts[[#Headers],[Company]],1)</f>
        <v/>
      </c>
      <c r="AC112" s="215" t="str" cm="1">
        <f t="array" ref="AC112">Common_InputFunctions.Utility_DisplayArrayInTable(Fertiliser_SourceData.Fertiliser_Products_Data1(), FertiliserProducts[[#Headers],[Company]],1)</f>
        <v/>
      </c>
      <c r="AD112" s="215" t="str" cm="1">
        <f t="array" ref="AD112">Common_InputFunctions.Utility_DisplayArrayInTable(Fertiliser_SourceData.Fertiliser_Products_Data1(), FertiliserProducts[[#Headers],[Company]],1)</f>
        <v/>
      </c>
      <c r="AE112" s="215" t="str" cm="1">
        <f t="array" ref="AE112">Common_InputFunctions.Utility_DisplayArrayInTable(Fertiliser_SourceData.Fertiliser_Products_Data1(), FertiliserProducts[[#Headers],[Company]],1)</f>
        <v/>
      </c>
      <c r="AF112" s="215" t="str" cm="1">
        <f t="array" ref="AF112">Common_InputFunctions.Utility_DisplayArrayInTable(Fertiliser_SourceData.Fertiliser_Products_Data1(), FertiliserProducts[[#Headers],[Company]],1)</f>
        <v/>
      </c>
      <c r="AG112" s="215" t="str" cm="1">
        <f t="array" ref="AG112">Common_InputFunctions.Utility_DisplayArrayInTable(Fertiliser_SourceData.Fertiliser_Products_Data1(), FertiliserProducts[[#Headers],[Company]],1)</f>
        <v/>
      </c>
      <c r="AH112" s="215" t="str" cm="1">
        <f t="array" ref="AH112">Common_InputFunctions.Utility_DisplayArrayInTable(Fertiliser_SourceData.Fertiliser_Products_Data1(), FertiliserProducts[[#Headers],[Company]],1)</f>
        <v/>
      </c>
    </row>
    <row r="113" spans="1:34" ht="20.100000000000001" customHeight="1" x14ac:dyDescent="0.25">
      <c r="A113"/>
      <c r="D113" s="215" t="str" cm="1">
        <f t="array" ref="D113">Common_InputFunctions.Utility_DisplayArrayInTable(Fertiliser_SourceData.Fertiliser_Products_Data1(), FertiliserProducts[[#Headers],[Company]],1)</f>
        <v>Incitec Pivot Fertilisers</v>
      </c>
      <c r="E113" s="215" t="str" cm="1">
        <f t="array" ref="E113">Common_InputFunctions.Utility_DisplayArrayInTable(Fertiliser_SourceData.Fertiliser_Products_Data1(), FertiliserProducts[[#Headers],[Company]],1)</f>
        <v>Easy N</v>
      </c>
      <c r="F113" s="215" t="str" cm="1">
        <f t="array" ref="F113">Common_InputFunctions.Utility_DisplayArrayInTable(Fertiliser_SourceData.Fertiliser_Products_Data1(), FertiliserProducts[[#Headers],[Company]],1)</f>
        <v>L</v>
      </c>
      <c r="G113" s="215" cm="1">
        <f t="array" ref="G113">Common_InputFunctions.Utility_DisplayArrayInTable(Fertiliser_SourceData.Fertiliser_Products_Data1(), FertiliserProducts[[#Headers],[Company]],1)</f>
        <v>1.32</v>
      </c>
      <c r="H113" s="215" t="str" cm="1">
        <f t="array" ref="H113">Common_InputFunctions.Utility_DisplayArrayInTable(Fertiliser_SourceData.Fertiliser_Products_Data1(), FertiliserProducts[[#Headers],[Company]],1)</f>
        <v/>
      </c>
      <c r="I113" s="215" t="str" cm="1">
        <f t="array" ref="I113">Common_InputFunctions.Utility_DisplayArrayInTable(Fertiliser_SourceData.Fertiliser_Products_Data1(), FertiliserProducts[[#Headers],[Company]],1)</f>
        <v/>
      </c>
      <c r="J113" s="215" t="str" cm="1">
        <f t="array" ref="J113">Common_InputFunctions.Utility_DisplayArrayInTable(Fertiliser_SourceData.Fertiliser_Products_Data1(), FertiliserProducts[[#Headers],[Company]],1)</f>
        <v/>
      </c>
      <c r="K113" s="215" cm="1">
        <f t="array" ref="K113">Common_InputFunctions.Utility_DisplayArrayInTable(Fertiliser_SourceData.Fertiliser_Products_Data1(), FertiliserProducts[[#Headers],[Company]],1)</f>
        <v>42.5</v>
      </c>
      <c r="L113" s="215" t="str" cm="1">
        <f t="array" ref="L113">Common_InputFunctions.Utility_DisplayArrayInTable(Fertiliser_SourceData.Fertiliser_Products_Data1(), FertiliserProducts[[#Headers],[Company]],1)</f>
        <v/>
      </c>
      <c r="M113" s="215" t="str" cm="1">
        <f t="array" ref="M113">Common_InputFunctions.Utility_DisplayArrayInTable(Fertiliser_SourceData.Fertiliser_Products_Data1(), FertiliserProducts[[#Headers],[Company]],1)</f>
        <v/>
      </c>
      <c r="N113" s="215" t="str" cm="1">
        <f t="array" ref="N113">Common_InputFunctions.Utility_DisplayArrayInTable(Fertiliser_SourceData.Fertiliser_Products_Data1(), FertiliserProducts[[#Headers],[Company]],1)</f>
        <v/>
      </c>
      <c r="O113" s="215" t="str" cm="1">
        <f t="array" ref="O113">Common_InputFunctions.Utility_DisplayArrayInTable(Fertiliser_SourceData.Fertiliser_Products_Data1(), FertiliserProducts[[#Headers],[Company]],1)</f>
        <v>Urea</v>
      </c>
      <c r="P113" s="215" cm="1">
        <f t="array" ref="P113">Common_InputFunctions.Utility_DisplayArrayInTable(Fertiliser_SourceData.Fertiliser_Products_Data1(), FertiliserProducts[[#Headers],[Company]],1)</f>
        <v>0.467391</v>
      </c>
      <c r="Q113" s="215" t="str" cm="1">
        <f t="array" ref="Q113">Common_InputFunctions.Utility_DisplayArrayInTable(Fertiliser_SourceData.Fertiliser_Products_Data1(), FertiliserProducts[[#Headers],[Company]],1)</f>
        <v>Nitrogen - Nitrate</v>
      </c>
      <c r="R113" s="215" cm="1">
        <f t="array" ref="R113">Common_InputFunctions.Utility_DisplayArrayInTable(Fertiliser_SourceData.Fertiliser_Products_Data1(), FertiliserProducts[[#Headers],[Company]],1)</f>
        <v>0.105</v>
      </c>
      <c r="S113" s="215" t="str" cm="1">
        <f t="array" ref="S113">Common_InputFunctions.Utility_DisplayArrayInTable(Fertiliser_SourceData.Fertiliser_Products_Data1(), FertiliserProducts[[#Headers],[Company]],1)</f>
        <v>Nitrogen - Ammoniacal</v>
      </c>
      <c r="T113" s="215" cm="1">
        <f t="array" ref="T113">Common_InputFunctions.Utility_DisplayArrayInTable(Fertiliser_SourceData.Fertiliser_Products_Data1(), FertiliserProducts[[#Headers],[Company]],1)</f>
        <v>0.105</v>
      </c>
      <c r="U113" s="215" t="str" cm="1">
        <f t="array" ref="U113">Common_InputFunctions.Utility_DisplayArrayInTable(Fertiliser_SourceData.Fertiliser_Products_Data1(), FertiliserProducts[[#Headers],[Company]],1)</f>
        <v>Biuret</v>
      </c>
      <c r="V113" s="215" cm="1">
        <f t="array" ref="V113">Common_InputFunctions.Utility_DisplayArrayInTable(Fertiliser_SourceData.Fertiliser_Products_Data1(), FertiliserProducts[[#Headers],[Company]],1)</f>
        <v>6.0000000000000001E-3</v>
      </c>
      <c r="W113" s="215" t="str" cm="1">
        <f t="array" ref="W113">Common_InputFunctions.Utility_DisplayArrayInTable(Fertiliser_SourceData.Fertiliser_Products_Data1(), FertiliserProducts[[#Headers],[Company]],1)</f>
        <v/>
      </c>
      <c r="X113" s="215" t="str" cm="1">
        <f t="array" ref="X113">Common_InputFunctions.Utility_DisplayArrayInTable(Fertiliser_SourceData.Fertiliser_Products_Data1(), FertiliserProducts[[#Headers],[Company]],1)</f>
        <v/>
      </c>
      <c r="Y113" s="215" t="str" cm="1">
        <f t="array" ref="Y113">Common_InputFunctions.Utility_DisplayArrayInTable(Fertiliser_SourceData.Fertiliser_Products_Data1(), FertiliserProducts[[#Headers],[Company]],1)</f>
        <v/>
      </c>
      <c r="Z113" s="215" t="str" cm="1">
        <f t="array" ref="Z113">Common_InputFunctions.Utility_DisplayArrayInTable(Fertiliser_SourceData.Fertiliser_Products_Data1(), FertiliserProducts[[#Headers],[Company]],1)</f>
        <v/>
      </c>
      <c r="AA113" s="215" t="str" cm="1">
        <f t="array" ref="AA113">Common_InputFunctions.Utility_DisplayArrayInTable(Fertiliser_SourceData.Fertiliser_Products_Data1(), FertiliserProducts[[#Headers],[Company]],1)</f>
        <v/>
      </c>
      <c r="AB113" s="215" t="str" cm="1">
        <f t="array" ref="AB113">Common_InputFunctions.Utility_DisplayArrayInTable(Fertiliser_SourceData.Fertiliser_Products_Data1(), FertiliserProducts[[#Headers],[Company]],1)</f>
        <v/>
      </c>
      <c r="AC113" s="215" t="str" cm="1">
        <f t="array" ref="AC113">Common_InputFunctions.Utility_DisplayArrayInTable(Fertiliser_SourceData.Fertiliser_Products_Data1(), FertiliserProducts[[#Headers],[Company]],1)</f>
        <v/>
      </c>
      <c r="AD113" s="215" t="str" cm="1">
        <f t="array" ref="AD113">Common_InputFunctions.Utility_DisplayArrayInTable(Fertiliser_SourceData.Fertiliser_Products_Data1(), FertiliserProducts[[#Headers],[Company]],1)</f>
        <v/>
      </c>
      <c r="AE113" s="215" t="str" cm="1">
        <f t="array" ref="AE113">Common_InputFunctions.Utility_DisplayArrayInTable(Fertiliser_SourceData.Fertiliser_Products_Data1(), FertiliserProducts[[#Headers],[Company]],1)</f>
        <v/>
      </c>
      <c r="AF113" s="215" t="str" cm="1">
        <f t="array" ref="AF113">Common_InputFunctions.Utility_DisplayArrayInTable(Fertiliser_SourceData.Fertiliser_Products_Data1(), FertiliserProducts[[#Headers],[Company]],1)</f>
        <v/>
      </c>
      <c r="AG113" s="215" t="str" cm="1">
        <f t="array" ref="AG113">Common_InputFunctions.Utility_DisplayArrayInTable(Fertiliser_SourceData.Fertiliser_Products_Data1(), FertiliserProducts[[#Headers],[Company]],1)</f>
        <v/>
      </c>
      <c r="AH113" s="215" t="str" cm="1">
        <f t="array" ref="AH113">Common_InputFunctions.Utility_DisplayArrayInTable(Fertiliser_SourceData.Fertiliser_Products_Data1(), FertiliserProducts[[#Headers],[Company]],1)</f>
        <v/>
      </c>
    </row>
    <row r="114" spans="1:34" ht="20.100000000000001" customHeight="1" x14ac:dyDescent="0.25">
      <c r="A114"/>
      <c r="D114" s="215" t="str" cm="1">
        <f t="array" ref="D114">Common_InputFunctions.Utility_DisplayArrayInTable(Fertiliser_SourceData.Fertiliser_Products_Data1(), FertiliserProducts[[#Headers],[Company]],1)</f>
        <v>Risso-Chemical</v>
      </c>
      <c r="E114" s="215" t="str" cm="1">
        <f t="array" ref="E114">Common_InputFunctions.Utility_DisplayArrayInTable(Fertiliser_SourceData.Fertiliser_Products_Data1(), FertiliserProducts[[#Headers],[Company]],1)</f>
        <v>Calcium Ammonium nitrate</v>
      </c>
      <c r="F114" s="215" t="str" cm="1">
        <f t="array" ref="F114">Common_InputFunctions.Utility_DisplayArrayInTable(Fertiliser_SourceData.Fertiliser_Products_Data1(), FertiliserProducts[[#Headers],[Company]],1)</f>
        <v>kg</v>
      </c>
      <c r="G114" s="215" cm="1">
        <f t="array" ref="G114">Common_InputFunctions.Utility_DisplayArrayInTable(Fertiliser_SourceData.Fertiliser_Products_Data1(), FertiliserProducts[[#Headers],[Company]],1)</f>
        <v>1</v>
      </c>
      <c r="H114" s="215" t="str" cm="1">
        <f t="array" ref="H114">Common_InputFunctions.Utility_DisplayArrayInTable(Fertiliser_SourceData.Fertiliser_Products_Data1(), FertiliserProducts[[#Headers],[Company]],1)</f>
        <v/>
      </c>
      <c r="I114" s="215" t="str" cm="1">
        <f t="array" ref="I114">Common_InputFunctions.Utility_DisplayArrayInTable(Fertiliser_SourceData.Fertiliser_Products_Data1(), FertiliserProducts[[#Headers],[Company]],1)</f>
        <v/>
      </c>
      <c r="J114" s="215" t="str" cm="1">
        <f t="array" ref="J114">Common_InputFunctions.Utility_DisplayArrayInTable(Fertiliser_SourceData.Fertiliser_Products_Data1(), FertiliserProducts[[#Headers],[Company]],1)</f>
        <v>China</v>
      </c>
      <c r="K114" s="215" cm="1">
        <f t="array" ref="K114">Common_InputFunctions.Utility_DisplayArrayInTable(Fertiliser_SourceData.Fertiliser_Products_Data1(), FertiliserProducts[[#Headers],[Company]],1)</f>
        <v>40.5</v>
      </c>
      <c r="L114" s="215" t="str" cm="1">
        <f t="array" ref="L114">Common_InputFunctions.Utility_DisplayArrayInTable(Fertiliser_SourceData.Fertiliser_Products_Data1(), FertiliserProducts[[#Headers],[Company]],1)</f>
        <v/>
      </c>
      <c r="M114" s="215" t="str" cm="1">
        <f t="array" ref="M114">Common_InputFunctions.Utility_DisplayArrayInTable(Fertiliser_SourceData.Fertiliser_Products_Data1(), FertiliserProducts[[#Headers],[Company]],1)</f>
        <v/>
      </c>
      <c r="N114" s="215" t="str" cm="1">
        <f t="array" ref="N114">Common_InputFunctions.Utility_DisplayArrayInTable(Fertiliser_SourceData.Fertiliser_Products_Data1(), FertiliserProducts[[#Headers],[Company]],1)</f>
        <v/>
      </c>
      <c r="O114" s="215" t="str" cm="1">
        <f t="array" ref="O114">Common_InputFunctions.Utility_DisplayArrayInTable(Fertiliser_SourceData.Fertiliser_Products_Data1(), FertiliserProducts[[#Headers],[Company]],1)</f>
        <v>Nitrogen - Ammoniacal</v>
      </c>
      <c r="P114" s="215" cm="1">
        <f t="array" ref="P114">Common_InputFunctions.Utility_DisplayArrayInTable(Fertiliser_SourceData.Fertiliser_Products_Data1(), FertiliserProducts[[#Headers],[Company]],1)</f>
        <v>0.27</v>
      </c>
      <c r="Q114" s="215" t="str" cm="1">
        <f t="array" ref="Q114">Common_InputFunctions.Utility_DisplayArrayInTable(Fertiliser_SourceData.Fertiliser_Products_Data1(), FertiliserProducts[[#Headers],[Company]],1)</f>
        <v>Nitrogen - Nitrate</v>
      </c>
      <c r="R114" s="215" cm="1">
        <f t="array" ref="R114">Common_InputFunctions.Utility_DisplayArrayInTable(Fertiliser_SourceData.Fertiliser_Products_Data1(), FertiliserProducts[[#Headers],[Company]],1)</f>
        <v>0.13500000000000001</v>
      </c>
      <c r="S114" s="215" t="str" cm="1">
        <f t="array" ref="S114">Common_InputFunctions.Utility_DisplayArrayInTable(Fertiliser_SourceData.Fertiliser_Products_Data1(), FertiliserProducts[[#Headers],[Company]],1)</f>
        <v>Calcium</v>
      </c>
      <c r="T114" s="215" cm="1">
        <f t="array" ref="T114">Common_InputFunctions.Utility_DisplayArrayInTable(Fertiliser_SourceData.Fertiliser_Products_Data1(), FertiliserProducts[[#Headers],[Company]],1)</f>
        <v>0.12</v>
      </c>
      <c r="U114" s="215" t="str" cm="1">
        <f t="array" ref="U114">Common_InputFunctions.Utility_DisplayArrayInTable(Fertiliser_SourceData.Fertiliser_Products_Data1(), FertiliserProducts[[#Headers],[Company]],1)</f>
        <v/>
      </c>
      <c r="V114" s="215" t="str" cm="1">
        <f t="array" ref="V114">Common_InputFunctions.Utility_DisplayArrayInTable(Fertiliser_SourceData.Fertiliser_Products_Data1(), FertiliserProducts[[#Headers],[Company]],1)</f>
        <v/>
      </c>
      <c r="W114" s="215" t="str" cm="1">
        <f t="array" ref="W114">Common_InputFunctions.Utility_DisplayArrayInTable(Fertiliser_SourceData.Fertiliser_Products_Data1(), FertiliserProducts[[#Headers],[Company]],1)</f>
        <v/>
      </c>
      <c r="X114" s="215" t="str" cm="1">
        <f t="array" ref="X114">Common_InputFunctions.Utility_DisplayArrayInTable(Fertiliser_SourceData.Fertiliser_Products_Data1(), FertiliserProducts[[#Headers],[Company]],1)</f>
        <v/>
      </c>
      <c r="Y114" s="215" t="str" cm="1">
        <f t="array" ref="Y114">Common_InputFunctions.Utility_DisplayArrayInTable(Fertiliser_SourceData.Fertiliser_Products_Data1(), FertiliserProducts[[#Headers],[Company]],1)</f>
        <v/>
      </c>
      <c r="Z114" s="215" t="str" cm="1">
        <f t="array" ref="Z114">Common_InputFunctions.Utility_DisplayArrayInTable(Fertiliser_SourceData.Fertiliser_Products_Data1(), FertiliserProducts[[#Headers],[Company]],1)</f>
        <v/>
      </c>
      <c r="AA114" s="215" t="str" cm="1">
        <f t="array" ref="AA114">Common_InputFunctions.Utility_DisplayArrayInTable(Fertiliser_SourceData.Fertiliser_Products_Data1(), FertiliserProducts[[#Headers],[Company]],1)</f>
        <v/>
      </c>
      <c r="AB114" s="215" t="str" cm="1">
        <f t="array" ref="AB114">Common_InputFunctions.Utility_DisplayArrayInTable(Fertiliser_SourceData.Fertiliser_Products_Data1(), FertiliserProducts[[#Headers],[Company]],1)</f>
        <v/>
      </c>
      <c r="AC114" s="215" t="str" cm="1">
        <f t="array" ref="AC114">Common_InputFunctions.Utility_DisplayArrayInTable(Fertiliser_SourceData.Fertiliser_Products_Data1(), FertiliserProducts[[#Headers],[Company]],1)</f>
        <v/>
      </c>
      <c r="AD114" s="215" t="str" cm="1">
        <f t="array" ref="AD114">Common_InputFunctions.Utility_DisplayArrayInTable(Fertiliser_SourceData.Fertiliser_Products_Data1(), FertiliserProducts[[#Headers],[Company]],1)</f>
        <v/>
      </c>
      <c r="AE114" s="215" t="str" cm="1">
        <f t="array" ref="AE114">Common_InputFunctions.Utility_DisplayArrayInTable(Fertiliser_SourceData.Fertiliser_Products_Data1(), FertiliserProducts[[#Headers],[Company]],1)</f>
        <v/>
      </c>
      <c r="AF114" s="215" t="str" cm="1">
        <f t="array" ref="AF114">Common_InputFunctions.Utility_DisplayArrayInTable(Fertiliser_SourceData.Fertiliser_Products_Data1(), FertiliserProducts[[#Headers],[Company]],1)</f>
        <v/>
      </c>
      <c r="AG114" s="215" t="str" cm="1">
        <f t="array" ref="AG114">Common_InputFunctions.Utility_DisplayArrayInTable(Fertiliser_SourceData.Fertiliser_Products_Data1(), FertiliserProducts[[#Headers],[Company]],1)</f>
        <v/>
      </c>
      <c r="AH114" s="215" t="str" cm="1">
        <f t="array" ref="AH114">Common_InputFunctions.Utility_DisplayArrayInTable(Fertiliser_SourceData.Fertiliser_Products_Data1(), FertiliserProducts[[#Headers],[Company]],1)</f>
        <v/>
      </c>
    </row>
    <row r="115" spans="1:34" ht="20.100000000000001" customHeight="1" x14ac:dyDescent="0.25">
      <c r="A115"/>
      <c r="D115" s="215" t="str" cm="1">
        <f t="array" ref="D115">Common_InputFunctions.Utility_DisplayArrayInTable(Fertiliser_SourceData.Fertiliser_Products_Data1(), FertiliserProducts[[#Headers],[Company]],1)</f>
        <v>SL Tec</v>
      </c>
      <c r="E115" s="215" t="str" cm="1">
        <f t="array" ref="E115">Common_InputFunctions.Utility_DisplayArrayInTable(Fertiliser_SourceData.Fertiliser_Products_Data1(), FertiliserProducts[[#Headers],[Company]],1)</f>
        <v>CellCAL Plus</v>
      </c>
      <c r="F115" s="215" t="str" cm="1">
        <f t="array" ref="F115">Common_InputFunctions.Utility_DisplayArrayInTable(Fertiliser_SourceData.Fertiliser_Products_Data1(), FertiliserProducts[[#Headers],[Company]],1)</f>
        <v>L</v>
      </c>
      <c r="G115" s="215" cm="1">
        <f t="array" ref="G115">Common_InputFunctions.Utility_DisplayArrayInTable(Fertiliser_SourceData.Fertiliser_Products_Data1(), FertiliserProducts[[#Headers],[Company]],1)</f>
        <v>1.1379999999999999</v>
      </c>
      <c r="H115" s="215" t="str" cm="1">
        <f t="array" ref="H115">Common_InputFunctions.Utility_DisplayArrayInTable(Fertiliser_SourceData.Fertiliser_Products_Data1(), FertiliserProducts[[#Headers],[Company]],1)</f>
        <v/>
      </c>
      <c r="I115" s="215" t="str" cm="1">
        <f t="array" ref="I115">Common_InputFunctions.Utility_DisplayArrayInTable(Fertiliser_SourceData.Fertiliser_Products_Data1(), FertiliserProducts[[#Headers],[Company]],1)</f>
        <v/>
      </c>
      <c r="J115" s="215" t="str" cm="1">
        <f t="array" ref="J115">Common_InputFunctions.Utility_DisplayArrayInTable(Fertiliser_SourceData.Fertiliser_Products_Data1(), FertiliserProducts[[#Headers],[Company]],1)</f>
        <v/>
      </c>
      <c r="K115" s="215" t="str" cm="1">
        <f t="array" ref="K115">Common_InputFunctions.Utility_DisplayArrayInTable(Fertiliser_SourceData.Fertiliser_Products_Data1(), FertiliserProducts[[#Headers],[Company]],1)</f>
        <v/>
      </c>
      <c r="L115" s="215" t="str" cm="1">
        <f t="array" ref="L115">Common_InputFunctions.Utility_DisplayArrayInTable(Fertiliser_SourceData.Fertiliser_Products_Data1(), FertiliserProducts[[#Headers],[Company]],1)</f>
        <v/>
      </c>
      <c r="M115" s="215" t="str" cm="1">
        <f t="array" ref="M115">Common_InputFunctions.Utility_DisplayArrayInTable(Fertiliser_SourceData.Fertiliser_Products_Data1(), FertiliserProducts[[#Headers],[Company]],1)</f>
        <v/>
      </c>
      <c r="N115" s="215" t="str" cm="1">
        <f t="array" ref="N115">Common_InputFunctions.Utility_DisplayArrayInTable(Fertiliser_SourceData.Fertiliser_Products_Data1(), FertiliserProducts[[#Headers],[Company]],1)</f>
        <v/>
      </c>
      <c r="O115" s="215" t="str" cm="1">
        <f t="array" ref="O115">Common_InputFunctions.Utility_DisplayArrayInTable(Fertiliser_SourceData.Fertiliser_Products_Data1(), FertiliserProducts[[#Headers],[Company]],1)</f>
        <v>Calcium</v>
      </c>
      <c r="P115" s="215" cm="1">
        <f t="array" ref="P115">Common_InputFunctions.Utility_DisplayArrayInTable(Fertiliser_SourceData.Fertiliser_Products_Data1(), FertiliserProducts[[#Headers],[Company]],1)</f>
        <v>5.8999999999999997E-2</v>
      </c>
      <c r="Q115" s="215" t="str" cm="1">
        <f t="array" ref="Q115">Common_InputFunctions.Utility_DisplayArrayInTable(Fertiliser_SourceData.Fertiliser_Products_Data1(), FertiliserProducts[[#Headers],[Company]],1)</f>
        <v>Copper</v>
      </c>
      <c r="R115" s="215" cm="1">
        <f t="array" ref="R115">Common_InputFunctions.Utility_DisplayArrayInTable(Fertiliser_SourceData.Fertiliser_Products_Data1(), FertiliserProducts[[#Headers],[Company]],1)</f>
        <v>3.0000000000000001E-3</v>
      </c>
      <c r="S115" s="215" t="str" cm="1">
        <f t="array" ref="S115">Common_InputFunctions.Utility_DisplayArrayInTable(Fertiliser_SourceData.Fertiliser_Products_Data1(), FertiliserProducts[[#Headers],[Company]],1)</f>
        <v>Boron</v>
      </c>
      <c r="T115" s="215" cm="1">
        <f t="array" ref="T115">Common_InputFunctions.Utility_DisplayArrayInTable(Fertiliser_SourceData.Fertiliser_Products_Data1(), FertiliserProducts[[#Headers],[Company]],1)</f>
        <v>1E-3</v>
      </c>
      <c r="U115" s="215" t="str" cm="1">
        <f t="array" ref="U115">Common_InputFunctions.Utility_DisplayArrayInTable(Fertiliser_SourceData.Fertiliser_Products_Data1(), FertiliserProducts[[#Headers],[Company]],1)</f>
        <v/>
      </c>
      <c r="V115" s="215" t="str" cm="1">
        <f t="array" ref="V115">Common_InputFunctions.Utility_DisplayArrayInTable(Fertiliser_SourceData.Fertiliser_Products_Data1(), FertiliserProducts[[#Headers],[Company]],1)</f>
        <v/>
      </c>
      <c r="W115" s="215" t="str" cm="1">
        <f t="array" ref="W115">Common_InputFunctions.Utility_DisplayArrayInTable(Fertiliser_SourceData.Fertiliser_Products_Data1(), FertiliserProducts[[#Headers],[Company]],1)</f>
        <v/>
      </c>
      <c r="X115" s="215" t="str" cm="1">
        <f t="array" ref="X115">Common_InputFunctions.Utility_DisplayArrayInTable(Fertiliser_SourceData.Fertiliser_Products_Data1(), FertiliserProducts[[#Headers],[Company]],1)</f>
        <v/>
      </c>
      <c r="Y115" s="215" t="str" cm="1">
        <f t="array" ref="Y115">Common_InputFunctions.Utility_DisplayArrayInTable(Fertiliser_SourceData.Fertiliser_Products_Data1(), FertiliserProducts[[#Headers],[Company]],1)</f>
        <v/>
      </c>
      <c r="Z115" s="215" t="str" cm="1">
        <f t="array" ref="Z115">Common_InputFunctions.Utility_DisplayArrayInTable(Fertiliser_SourceData.Fertiliser_Products_Data1(), FertiliserProducts[[#Headers],[Company]],1)</f>
        <v/>
      </c>
      <c r="AA115" s="215" t="str" cm="1">
        <f t="array" ref="AA115">Common_InputFunctions.Utility_DisplayArrayInTable(Fertiliser_SourceData.Fertiliser_Products_Data1(), FertiliserProducts[[#Headers],[Company]],1)</f>
        <v/>
      </c>
      <c r="AB115" s="215" t="str" cm="1">
        <f t="array" ref="AB115">Common_InputFunctions.Utility_DisplayArrayInTable(Fertiliser_SourceData.Fertiliser_Products_Data1(), FertiliserProducts[[#Headers],[Company]],1)</f>
        <v/>
      </c>
      <c r="AC115" s="215" t="str" cm="1">
        <f t="array" ref="AC115">Common_InputFunctions.Utility_DisplayArrayInTable(Fertiliser_SourceData.Fertiliser_Products_Data1(), FertiliserProducts[[#Headers],[Company]],1)</f>
        <v/>
      </c>
      <c r="AD115" s="215" t="str" cm="1">
        <f t="array" ref="AD115">Common_InputFunctions.Utility_DisplayArrayInTable(Fertiliser_SourceData.Fertiliser_Products_Data1(), FertiliserProducts[[#Headers],[Company]],1)</f>
        <v/>
      </c>
      <c r="AE115" s="215" t="str" cm="1">
        <f t="array" ref="AE115">Common_InputFunctions.Utility_DisplayArrayInTable(Fertiliser_SourceData.Fertiliser_Products_Data1(), FertiliserProducts[[#Headers],[Company]],1)</f>
        <v/>
      </c>
      <c r="AF115" s="215" t="str" cm="1">
        <f t="array" ref="AF115">Common_InputFunctions.Utility_DisplayArrayInTable(Fertiliser_SourceData.Fertiliser_Products_Data1(), FertiliserProducts[[#Headers],[Company]],1)</f>
        <v/>
      </c>
      <c r="AG115" s="215" t="str" cm="1">
        <f t="array" ref="AG115">Common_InputFunctions.Utility_DisplayArrayInTable(Fertiliser_SourceData.Fertiliser_Products_Data1(), FertiliserProducts[[#Headers],[Company]],1)</f>
        <v/>
      </c>
      <c r="AH115" s="215" t="str" cm="1">
        <f t="array" ref="AH115">Common_InputFunctions.Utility_DisplayArrayInTable(Fertiliser_SourceData.Fertiliser_Products_Data1(), FertiliserProducts[[#Headers],[Company]],1)</f>
        <v/>
      </c>
    </row>
    <row r="116" spans="1:34" ht="20.100000000000001" customHeight="1" x14ac:dyDescent="0.25">
      <c r="A116"/>
      <c r="D116" s="215" t="str" cm="1">
        <f t="array" ref="D116">Common_InputFunctions.Utility_DisplayArrayInTable(Fertiliser_SourceData.Fertiliser_Products_Data1(), FertiliserProducts[[#Headers],[Company]],1)</f>
        <v>Incitec Pivot Fertilisers</v>
      </c>
      <c r="E116" s="215" t="str" cm="1">
        <f t="array" ref="E116">Common_InputFunctions.Utility_DisplayArrayInTable(Fertiliser_SourceData.Fertiliser_Products_Data1(), FertiliserProducts[[#Headers],[Company]],1)</f>
        <v>CK55</v>
      </c>
      <c r="F116" s="215" t="str" cm="1">
        <f t="array" ref="F116">Common_InputFunctions.Utility_DisplayArrayInTable(Fertiliser_SourceData.Fertiliser_Products_Data1(), FertiliserProducts[[#Headers],[Company]],1)</f>
        <v>kg</v>
      </c>
      <c r="G116" s="215" cm="1">
        <f t="array" ref="G116">Common_InputFunctions.Utility_DisplayArrayInTable(Fertiliser_SourceData.Fertiliser_Products_Data1(), FertiliserProducts[[#Headers],[Company]],1)</f>
        <v>1</v>
      </c>
      <c r="H116" s="215" t="str" cm="1">
        <f t="array" ref="H116">Common_InputFunctions.Utility_DisplayArrayInTable(Fertiliser_SourceData.Fertiliser_Products_Data1(), FertiliserProducts[[#Headers],[Company]],1)</f>
        <v/>
      </c>
      <c r="I116" s="215" t="str" cm="1">
        <f t="array" ref="I116">Common_InputFunctions.Utility_DisplayArrayInTable(Fertiliser_SourceData.Fertiliser_Products_Data1(), FertiliserProducts[[#Headers],[Company]],1)</f>
        <v/>
      </c>
      <c r="J116" s="215" t="str" cm="1">
        <f t="array" ref="J116">Common_InputFunctions.Utility_DisplayArrayInTable(Fertiliser_SourceData.Fertiliser_Products_Data1(), FertiliserProducts[[#Headers],[Company]],1)</f>
        <v/>
      </c>
      <c r="K116" s="215" cm="1">
        <f t="array" ref="K116">Common_InputFunctions.Utility_DisplayArrayInTable(Fertiliser_SourceData.Fertiliser_Products_Data1(), FertiliserProducts[[#Headers],[Company]],1)</f>
        <v>13.5</v>
      </c>
      <c r="L116" s="215" cm="1">
        <f t="array" ref="L116">Common_InputFunctions.Utility_DisplayArrayInTable(Fertiliser_SourceData.Fertiliser_Products_Data1(), FertiliserProducts[[#Headers],[Company]],1)</f>
        <v>15</v>
      </c>
      <c r="M116" s="215" cm="1">
        <f t="array" ref="M116">Common_InputFunctions.Utility_DisplayArrayInTable(Fertiliser_SourceData.Fertiliser_Products_Data1(), FertiliserProducts[[#Headers],[Company]],1)</f>
        <v>6.25</v>
      </c>
      <c r="N116" s="215" cm="1">
        <f t="array" ref="N116">Common_InputFunctions.Utility_DisplayArrayInTable(Fertiliser_SourceData.Fertiliser_Products_Data1(), FertiliserProducts[[#Headers],[Company]],1)</f>
        <v>1.2</v>
      </c>
      <c r="O116" s="215" t="str" cm="1">
        <f t="array" ref="O116">Common_InputFunctions.Utility_DisplayArrayInTable(Fertiliser_SourceData.Fertiliser_Products_Data1(), FertiliserProducts[[#Headers],[Company]],1)</f>
        <v>Phosphorus - Generic</v>
      </c>
      <c r="P116" s="215" cm="1">
        <f t="array" ref="P116">Common_InputFunctions.Utility_DisplayArrayInTable(Fertiliser_SourceData.Fertiliser_Products_Data1(), FertiliserProducts[[#Headers],[Company]],1)</f>
        <v>0.15</v>
      </c>
      <c r="Q116" s="215" t="str" cm="1">
        <f t="array" ref="Q116">Common_InputFunctions.Utility_DisplayArrayInTable(Fertiliser_SourceData.Fertiliser_Products_Data1(), FertiliserProducts[[#Headers],[Company]],1)</f>
        <v>Nitrogen - Ammoniacal</v>
      </c>
      <c r="R116" s="215" cm="1">
        <f t="array" ref="R116">Common_InputFunctions.Utility_DisplayArrayInTable(Fertiliser_SourceData.Fertiliser_Products_Data1(), FertiliserProducts[[#Headers],[Company]],1)</f>
        <v>0.13500000000000001</v>
      </c>
      <c r="S116" s="215" t="str" cm="1">
        <f t="array" ref="S116">Common_InputFunctions.Utility_DisplayArrayInTable(Fertiliser_SourceData.Fertiliser_Products_Data1(), FertiliserProducts[[#Headers],[Company]],1)</f>
        <v>Muriate of potash (MOP)</v>
      </c>
      <c r="T116" s="215" cm="1">
        <f t="array" ref="T116">Common_InputFunctions.Utility_DisplayArrayInTable(Fertiliser_SourceData.Fertiliser_Products_Data1(), FertiliserProducts[[#Headers],[Company]],1)</f>
        <v>0.125</v>
      </c>
      <c r="U116" s="215" t="str" cm="1">
        <f t="array" ref="U116">Common_InputFunctions.Utility_DisplayArrayInTable(Fertiliser_SourceData.Fertiliser_Products_Data1(), FertiliserProducts[[#Headers],[Company]],1)</f>
        <v>Fluoride</v>
      </c>
      <c r="V116" s="215" cm="1">
        <f t="array" ref="V116">Common_InputFunctions.Utility_DisplayArrayInTable(Fertiliser_SourceData.Fertiliser_Products_Data1(), FertiliserProducts[[#Headers],[Company]],1)</f>
        <v>2.3E-2</v>
      </c>
      <c r="W116" s="215" t="str" cm="1">
        <f t="array" ref="W116">Common_InputFunctions.Utility_DisplayArrayInTable(Fertiliser_SourceData.Fertiliser_Products_Data1(), FertiliserProducts[[#Headers],[Company]],1)</f>
        <v>Sulfur - Generic</v>
      </c>
      <c r="X116" s="215" cm="1">
        <f t="array" ref="X116">Common_InputFunctions.Utility_DisplayArrayInTable(Fertiliser_SourceData.Fertiliser_Products_Data1(), FertiliserProducts[[#Headers],[Company]],1)</f>
        <v>1.2E-2</v>
      </c>
      <c r="Y116" s="215" t="str" cm="1">
        <f t="array" ref="Y116">Common_InputFunctions.Utility_DisplayArrayInTable(Fertiliser_SourceData.Fertiliser_Products_Data1(), FertiliserProducts[[#Headers],[Company]],1)</f>
        <v/>
      </c>
      <c r="Z116" s="215" t="str" cm="1">
        <f t="array" ref="Z116">Common_InputFunctions.Utility_DisplayArrayInTable(Fertiliser_SourceData.Fertiliser_Products_Data1(), FertiliserProducts[[#Headers],[Company]],1)</f>
        <v/>
      </c>
      <c r="AA116" s="215" t="str" cm="1">
        <f t="array" ref="AA116">Common_InputFunctions.Utility_DisplayArrayInTable(Fertiliser_SourceData.Fertiliser_Products_Data1(), FertiliserProducts[[#Headers],[Company]],1)</f>
        <v/>
      </c>
      <c r="AB116" s="215" t="str" cm="1">
        <f t="array" ref="AB116">Common_InputFunctions.Utility_DisplayArrayInTable(Fertiliser_SourceData.Fertiliser_Products_Data1(), FertiliserProducts[[#Headers],[Company]],1)</f>
        <v/>
      </c>
      <c r="AC116" s="215" t="str" cm="1">
        <f t="array" ref="AC116">Common_InputFunctions.Utility_DisplayArrayInTable(Fertiliser_SourceData.Fertiliser_Products_Data1(), FertiliserProducts[[#Headers],[Company]],1)</f>
        <v/>
      </c>
      <c r="AD116" s="215" t="str" cm="1">
        <f t="array" ref="AD116">Common_InputFunctions.Utility_DisplayArrayInTable(Fertiliser_SourceData.Fertiliser_Products_Data1(), FertiliserProducts[[#Headers],[Company]],1)</f>
        <v/>
      </c>
      <c r="AE116" s="215" t="str" cm="1">
        <f t="array" ref="AE116">Common_InputFunctions.Utility_DisplayArrayInTable(Fertiliser_SourceData.Fertiliser_Products_Data1(), FertiliserProducts[[#Headers],[Company]],1)</f>
        <v/>
      </c>
      <c r="AF116" s="215" t="str" cm="1">
        <f t="array" ref="AF116">Common_InputFunctions.Utility_DisplayArrayInTable(Fertiliser_SourceData.Fertiliser_Products_Data1(), FertiliserProducts[[#Headers],[Company]],1)</f>
        <v/>
      </c>
      <c r="AG116" s="215" t="str" cm="1">
        <f t="array" ref="AG116">Common_InputFunctions.Utility_DisplayArrayInTable(Fertiliser_SourceData.Fertiliser_Products_Data1(), FertiliserProducts[[#Headers],[Company]],1)</f>
        <v/>
      </c>
      <c r="AH116" s="215" t="str" cm="1">
        <f t="array" ref="AH116">Common_InputFunctions.Utility_DisplayArrayInTable(Fertiliser_SourceData.Fertiliser_Products_Data1(), FertiliserProducts[[#Headers],[Company]],1)</f>
        <v/>
      </c>
    </row>
    <row r="117" spans="1:34" ht="20.100000000000001" customHeight="1" x14ac:dyDescent="0.25">
      <c r="A117"/>
      <c r="D117" s="215" t="str" cm="1">
        <f t="array" ref="D117">Common_InputFunctions.Utility_DisplayArrayInTable(Fertiliser_SourceData.Fertiliser_Products_Data1(), FertiliserProducts[[#Headers],[Company]],1)</f>
        <v>Switch Ag</v>
      </c>
      <c r="E117" s="215" t="str" cm="1">
        <f t="array" ref="E117">Common_InputFunctions.Utility_DisplayArrayInTable(Fertiliser_SourceData.Fertiliser_Products_Data1(), FertiliserProducts[[#Headers],[Company]],1)</f>
        <v>Crop K</v>
      </c>
      <c r="F117" s="215" t="str" cm="1">
        <f t="array" ref="F117">Common_InputFunctions.Utility_DisplayArrayInTable(Fertiliser_SourceData.Fertiliser_Products_Data1(), FertiliserProducts[[#Headers],[Company]],1)</f>
        <v>L</v>
      </c>
      <c r="G117" s="215" cm="1">
        <f t="array" ref="G117">Common_InputFunctions.Utility_DisplayArrayInTable(Fertiliser_SourceData.Fertiliser_Products_Data1(), FertiliserProducts[[#Headers],[Company]],1)</f>
        <v>1.25</v>
      </c>
      <c r="H117" s="215" t="str" cm="1">
        <f t="array" ref="H117">Common_InputFunctions.Utility_DisplayArrayInTable(Fertiliser_SourceData.Fertiliser_Products_Data1(), FertiliserProducts[[#Headers],[Company]],1)</f>
        <v/>
      </c>
      <c r="I117" s="215" t="str" cm="1">
        <f t="array" ref="I117">Common_InputFunctions.Utility_DisplayArrayInTable(Fertiliser_SourceData.Fertiliser_Products_Data1(), FertiliserProducts[[#Headers],[Company]],1)</f>
        <v/>
      </c>
      <c r="J117" s="215" t="str" cm="1">
        <f t="array" ref="J117">Common_InputFunctions.Utility_DisplayArrayInTable(Fertiliser_SourceData.Fertiliser_Products_Data1(), FertiliserProducts[[#Headers],[Company]],1)</f>
        <v/>
      </c>
      <c r="K117" s="215" cm="1">
        <f t="array" ref="K117">Common_InputFunctions.Utility_DisplayArrayInTable(Fertiliser_SourceData.Fertiliser_Products_Data1(), FertiliserProducts[[#Headers],[Company]],1)</f>
        <v>3</v>
      </c>
      <c r="L117" s="215" t="str" cm="1">
        <f t="array" ref="L117">Common_InputFunctions.Utility_DisplayArrayInTable(Fertiliser_SourceData.Fertiliser_Products_Data1(), FertiliserProducts[[#Headers],[Company]],1)</f>
        <v/>
      </c>
      <c r="M117" s="215" cm="1">
        <f t="array" ref="M117">Common_InputFunctions.Utility_DisplayArrayInTable(Fertiliser_SourceData.Fertiliser_Products_Data1(), FertiliserProducts[[#Headers],[Company]],1)</f>
        <v>21</v>
      </c>
      <c r="N117" s="215" t="str" cm="1">
        <f t="array" ref="N117">Common_InputFunctions.Utility_DisplayArrayInTable(Fertiliser_SourceData.Fertiliser_Products_Data1(), FertiliserProducts[[#Headers],[Company]],1)</f>
        <v/>
      </c>
      <c r="O117" s="215" t="str" cm="1">
        <f t="array" ref="O117">Common_InputFunctions.Utility_DisplayArrayInTable(Fertiliser_SourceData.Fertiliser_Products_Data1(), FertiliserProducts[[#Headers],[Company]],1)</f>
        <v>Potassium - Generic</v>
      </c>
      <c r="P117" s="215" cm="1">
        <f t="array" ref="P117">Common_InputFunctions.Utility_DisplayArrayInTable(Fertiliser_SourceData.Fertiliser_Products_Data1(), FertiliserProducts[[#Headers],[Company]],1)</f>
        <v>0.21</v>
      </c>
      <c r="Q117" s="215" t="str" cm="1">
        <f t="array" ref="Q117">Common_InputFunctions.Utility_DisplayArrayInTable(Fertiliser_SourceData.Fertiliser_Products_Data1(), FertiliserProducts[[#Headers],[Company]],1)</f>
        <v>Nitrogen - Generic</v>
      </c>
      <c r="R117" s="215" cm="1">
        <f t="array" ref="R117">Common_InputFunctions.Utility_DisplayArrayInTable(Fertiliser_SourceData.Fertiliser_Products_Data1(), FertiliserProducts[[#Headers],[Company]],1)</f>
        <v>0.03</v>
      </c>
      <c r="S117" s="215" t="str" cm="1">
        <f t="array" ref="S117">Common_InputFunctions.Utility_DisplayArrayInTable(Fertiliser_SourceData.Fertiliser_Products_Data1(), FertiliserProducts[[#Headers],[Company]],1)</f>
        <v/>
      </c>
      <c r="T117" s="215" t="str" cm="1">
        <f t="array" ref="T117">Common_InputFunctions.Utility_DisplayArrayInTable(Fertiliser_SourceData.Fertiliser_Products_Data1(), FertiliserProducts[[#Headers],[Company]],1)</f>
        <v/>
      </c>
      <c r="U117" s="215" t="str" cm="1">
        <f t="array" ref="U117">Common_InputFunctions.Utility_DisplayArrayInTable(Fertiliser_SourceData.Fertiliser_Products_Data1(), FertiliserProducts[[#Headers],[Company]],1)</f>
        <v/>
      </c>
      <c r="V117" s="215" t="str" cm="1">
        <f t="array" ref="V117">Common_InputFunctions.Utility_DisplayArrayInTable(Fertiliser_SourceData.Fertiliser_Products_Data1(), FertiliserProducts[[#Headers],[Company]],1)</f>
        <v/>
      </c>
      <c r="W117" s="215" t="str" cm="1">
        <f t="array" ref="W117">Common_InputFunctions.Utility_DisplayArrayInTable(Fertiliser_SourceData.Fertiliser_Products_Data1(), FertiliserProducts[[#Headers],[Company]],1)</f>
        <v/>
      </c>
      <c r="X117" s="215" t="str" cm="1">
        <f t="array" ref="X117">Common_InputFunctions.Utility_DisplayArrayInTable(Fertiliser_SourceData.Fertiliser_Products_Data1(), FertiliserProducts[[#Headers],[Company]],1)</f>
        <v/>
      </c>
      <c r="Y117" s="215" t="str" cm="1">
        <f t="array" ref="Y117">Common_InputFunctions.Utility_DisplayArrayInTable(Fertiliser_SourceData.Fertiliser_Products_Data1(), FertiliserProducts[[#Headers],[Company]],1)</f>
        <v/>
      </c>
      <c r="Z117" s="215" t="str" cm="1">
        <f t="array" ref="Z117">Common_InputFunctions.Utility_DisplayArrayInTable(Fertiliser_SourceData.Fertiliser_Products_Data1(), FertiliserProducts[[#Headers],[Company]],1)</f>
        <v/>
      </c>
      <c r="AA117" s="215" t="str" cm="1">
        <f t="array" ref="AA117">Common_InputFunctions.Utility_DisplayArrayInTable(Fertiliser_SourceData.Fertiliser_Products_Data1(), FertiliserProducts[[#Headers],[Company]],1)</f>
        <v/>
      </c>
      <c r="AB117" s="215" t="str" cm="1">
        <f t="array" ref="AB117">Common_InputFunctions.Utility_DisplayArrayInTable(Fertiliser_SourceData.Fertiliser_Products_Data1(), FertiliserProducts[[#Headers],[Company]],1)</f>
        <v/>
      </c>
      <c r="AC117" s="215" t="str" cm="1">
        <f t="array" ref="AC117">Common_InputFunctions.Utility_DisplayArrayInTable(Fertiliser_SourceData.Fertiliser_Products_Data1(), FertiliserProducts[[#Headers],[Company]],1)</f>
        <v/>
      </c>
      <c r="AD117" s="215" t="str" cm="1">
        <f t="array" ref="AD117">Common_InputFunctions.Utility_DisplayArrayInTable(Fertiliser_SourceData.Fertiliser_Products_Data1(), FertiliserProducts[[#Headers],[Company]],1)</f>
        <v/>
      </c>
      <c r="AE117" s="215" t="str" cm="1">
        <f t="array" ref="AE117">Common_InputFunctions.Utility_DisplayArrayInTable(Fertiliser_SourceData.Fertiliser_Products_Data1(), FertiliserProducts[[#Headers],[Company]],1)</f>
        <v/>
      </c>
      <c r="AF117" s="215" t="str" cm="1">
        <f t="array" ref="AF117">Common_InputFunctions.Utility_DisplayArrayInTable(Fertiliser_SourceData.Fertiliser_Products_Data1(), FertiliserProducts[[#Headers],[Company]],1)</f>
        <v/>
      </c>
      <c r="AG117" s="215" t="str" cm="1">
        <f t="array" ref="AG117">Common_InputFunctions.Utility_DisplayArrayInTable(Fertiliser_SourceData.Fertiliser_Products_Data1(), FertiliserProducts[[#Headers],[Company]],1)</f>
        <v/>
      </c>
      <c r="AH117" s="215" t="str" cm="1">
        <f t="array" ref="AH117">Common_InputFunctions.Utility_DisplayArrayInTable(Fertiliser_SourceData.Fertiliser_Products_Data1(), FertiliserProducts[[#Headers],[Company]],1)</f>
        <v/>
      </c>
    </row>
    <row r="118" spans="1:34" ht="20.100000000000001" customHeight="1" x14ac:dyDescent="0.25">
      <c r="A118"/>
      <c r="D118" s="215" t="str" cm="1">
        <f t="array" ref="D118">Common_InputFunctions.Utility_DisplayArrayInTable(Fertiliser_SourceData.Fertiliser_Products_Data1(), FertiliserProducts[[#Headers],[Company]],1)</f>
        <v>Switch Ag</v>
      </c>
      <c r="E118" s="215" t="str" cm="1">
        <f t="array" ref="E118">Common_InputFunctions.Utility_DisplayArrayInTable(Fertiliser_SourceData.Fertiliser_Products_Data1(), FertiliserProducts[[#Headers],[Company]],1)</f>
        <v>Crop Starter</v>
      </c>
      <c r="F118" s="215" t="str" cm="1">
        <f t="array" ref="F118">Common_InputFunctions.Utility_DisplayArrayInTable(Fertiliser_SourceData.Fertiliser_Products_Data1(), FertiliserProducts[[#Headers],[Company]],1)</f>
        <v>L</v>
      </c>
      <c r="G118" s="215" cm="1">
        <f t="array" ref="G118">Common_InputFunctions.Utility_DisplayArrayInTable(Fertiliser_SourceData.Fertiliser_Products_Data1(), FertiliserProducts[[#Headers],[Company]],1)</f>
        <v>1.2</v>
      </c>
      <c r="H118" s="215" t="str" cm="1">
        <f t="array" ref="H118">Common_InputFunctions.Utility_DisplayArrayInTable(Fertiliser_SourceData.Fertiliser_Products_Data1(), FertiliserProducts[[#Headers],[Company]],1)</f>
        <v/>
      </c>
      <c r="I118" s="215" t="str" cm="1">
        <f t="array" ref="I118">Common_InputFunctions.Utility_DisplayArrayInTable(Fertiliser_SourceData.Fertiliser_Products_Data1(), FertiliserProducts[[#Headers],[Company]],1)</f>
        <v/>
      </c>
      <c r="J118" s="215" t="str" cm="1">
        <f t="array" ref="J118">Common_InputFunctions.Utility_DisplayArrayInTable(Fertiliser_SourceData.Fertiliser_Products_Data1(), FertiliserProducts[[#Headers],[Company]],1)</f>
        <v/>
      </c>
      <c r="K118" s="215" cm="1">
        <f t="array" ref="K118">Common_InputFunctions.Utility_DisplayArrayInTable(Fertiliser_SourceData.Fertiliser_Products_Data1(), FertiliserProducts[[#Headers],[Company]],1)</f>
        <v>5</v>
      </c>
      <c r="L118" s="215" cm="1">
        <f t="array" ref="L118">Common_InputFunctions.Utility_DisplayArrayInTable(Fertiliser_SourceData.Fertiliser_Products_Data1(), FertiliserProducts[[#Headers],[Company]],1)</f>
        <v>3</v>
      </c>
      <c r="M118" s="215" cm="1">
        <f t="array" ref="M118">Common_InputFunctions.Utility_DisplayArrayInTable(Fertiliser_SourceData.Fertiliser_Products_Data1(), FertiliserProducts[[#Headers],[Company]],1)</f>
        <v>8</v>
      </c>
      <c r="N118" s="215" t="str" cm="1">
        <f t="array" ref="N118">Common_InputFunctions.Utility_DisplayArrayInTable(Fertiliser_SourceData.Fertiliser_Products_Data1(), FertiliserProducts[[#Headers],[Company]],1)</f>
        <v/>
      </c>
      <c r="O118" s="215" t="str" cm="1">
        <f t="array" ref="O118">Common_InputFunctions.Utility_DisplayArrayInTable(Fertiliser_SourceData.Fertiliser_Products_Data1(), FertiliserProducts[[#Headers],[Company]],1)</f>
        <v>Potassium - Generic</v>
      </c>
      <c r="P118" s="215" cm="1">
        <f t="array" ref="P118">Common_InputFunctions.Utility_DisplayArrayInTable(Fertiliser_SourceData.Fertiliser_Products_Data1(), FertiliserProducts[[#Headers],[Company]],1)</f>
        <v>0.08</v>
      </c>
      <c r="Q118" s="215" t="str" cm="1">
        <f t="array" ref="Q118">Common_InputFunctions.Utility_DisplayArrayInTable(Fertiliser_SourceData.Fertiliser_Products_Data1(), FertiliserProducts[[#Headers],[Company]],1)</f>
        <v>Nitrogen - Generic</v>
      </c>
      <c r="R118" s="215" cm="1">
        <f t="array" ref="R118">Common_InputFunctions.Utility_DisplayArrayInTable(Fertiliser_SourceData.Fertiliser_Products_Data1(), FertiliserProducts[[#Headers],[Company]],1)</f>
        <v>0.05</v>
      </c>
      <c r="S118" s="215" t="str" cm="1">
        <f t="array" ref="S118">Common_InputFunctions.Utility_DisplayArrayInTable(Fertiliser_SourceData.Fertiliser_Products_Data1(), FertiliserProducts[[#Headers],[Company]],1)</f>
        <v>Phosphorus - Generic</v>
      </c>
      <c r="T118" s="215" cm="1">
        <f t="array" ref="T118">Common_InputFunctions.Utility_DisplayArrayInTable(Fertiliser_SourceData.Fertiliser_Products_Data1(), FertiliserProducts[[#Headers],[Company]],1)</f>
        <v>0.03</v>
      </c>
      <c r="U118" s="215" t="str" cm="1">
        <f t="array" ref="U118">Common_InputFunctions.Utility_DisplayArrayInTable(Fertiliser_SourceData.Fertiliser_Products_Data1(), FertiliserProducts[[#Headers],[Company]],1)</f>
        <v/>
      </c>
      <c r="V118" s="215" t="str" cm="1">
        <f t="array" ref="V118">Common_InputFunctions.Utility_DisplayArrayInTable(Fertiliser_SourceData.Fertiliser_Products_Data1(), FertiliserProducts[[#Headers],[Company]],1)</f>
        <v/>
      </c>
      <c r="W118" s="215" t="str" cm="1">
        <f t="array" ref="W118">Common_InputFunctions.Utility_DisplayArrayInTable(Fertiliser_SourceData.Fertiliser_Products_Data1(), FertiliserProducts[[#Headers],[Company]],1)</f>
        <v/>
      </c>
      <c r="X118" s="215" t="str" cm="1">
        <f t="array" ref="X118">Common_InputFunctions.Utility_DisplayArrayInTable(Fertiliser_SourceData.Fertiliser_Products_Data1(), FertiliserProducts[[#Headers],[Company]],1)</f>
        <v/>
      </c>
      <c r="Y118" s="215" t="str" cm="1">
        <f t="array" ref="Y118">Common_InputFunctions.Utility_DisplayArrayInTable(Fertiliser_SourceData.Fertiliser_Products_Data1(), FertiliserProducts[[#Headers],[Company]],1)</f>
        <v/>
      </c>
      <c r="Z118" s="215" t="str" cm="1">
        <f t="array" ref="Z118">Common_InputFunctions.Utility_DisplayArrayInTable(Fertiliser_SourceData.Fertiliser_Products_Data1(), FertiliserProducts[[#Headers],[Company]],1)</f>
        <v/>
      </c>
      <c r="AA118" s="215" t="str" cm="1">
        <f t="array" ref="AA118">Common_InputFunctions.Utility_DisplayArrayInTable(Fertiliser_SourceData.Fertiliser_Products_Data1(), FertiliserProducts[[#Headers],[Company]],1)</f>
        <v/>
      </c>
      <c r="AB118" s="215" t="str" cm="1">
        <f t="array" ref="AB118">Common_InputFunctions.Utility_DisplayArrayInTable(Fertiliser_SourceData.Fertiliser_Products_Data1(), FertiliserProducts[[#Headers],[Company]],1)</f>
        <v/>
      </c>
      <c r="AC118" s="215" t="str" cm="1">
        <f t="array" ref="AC118">Common_InputFunctions.Utility_DisplayArrayInTable(Fertiliser_SourceData.Fertiliser_Products_Data1(), FertiliserProducts[[#Headers],[Company]],1)</f>
        <v/>
      </c>
      <c r="AD118" s="215" t="str" cm="1">
        <f t="array" ref="AD118">Common_InputFunctions.Utility_DisplayArrayInTable(Fertiliser_SourceData.Fertiliser_Products_Data1(), FertiliserProducts[[#Headers],[Company]],1)</f>
        <v/>
      </c>
      <c r="AE118" s="215" t="str" cm="1">
        <f t="array" ref="AE118">Common_InputFunctions.Utility_DisplayArrayInTable(Fertiliser_SourceData.Fertiliser_Products_Data1(), FertiliserProducts[[#Headers],[Company]],1)</f>
        <v/>
      </c>
      <c r="AF118" s="215" t="str" cm="1">
        <f t="array" ref="AF118">Common_InputFunctions.Utility_DisplayArrayInTable(Fertiliser_SourceData.Fertiliser_Products_Data1(), FertiliserProducts[[#Headers],[Company]],1)</f>
        <v/>
      </c>
      <c r="AG118" s="215" t="str" cm="1">
        <f t="array" ref="AG118">Common_InputFunctions.Utility_DisplayArrayInTable(Fertiliser_SourceData.Fertiliser_Products_Data1(), FertiliserProducts[[#Headers],[Company]],1)</f>
        <v/>
      </c>
      <c r="AH118" s="215" t="str" cm="1">
        <f t="array" ref="AH118">Common_InputFunctions.Utility_DisplayArrayInTable(Fertiliser_SourceData.Fertiliser_Products_Data1(), FertiliserProducts[[#Headers],[Company]],1)</f>
        <v/>
      </c>
    </row>
    <row r="119" spans="1:34" ht="20.100000000000001" customHeight="1" x14ac:dyDescent="0.25">
      <c r="A119"/>
      <c r="D119" s="215" t="str" cm="1">
        <f t="array" ref="D119">Common_InputFunctions.Utility_DisplayArrayInTable(Fertiliser_SourceData.Fertiliser_Products_Data1(), FertiliserProducts[[#Headers],[Company]],1)</f>
        <v>Incitec Pivot Fertilisers</v>
      </c>
      <c r="E119" s="215" t="str" cm="1">
        <f t="array" ref="E119">Common_InputFunctions.Utility_DisplayArrayInTable(Fertiliser_SourceData.Fertiliser_Products_Data1(), FertiliserProducts[[#Headers],[Company]],1)</f>
        <v>Gran-Am</v>
      </c>
      <c r="F119" s="215" t="str" cm="1">
        <f t="array" ref="F119">Common_InputFunctions.Utility_DisplayArrayInTable(Fertiliser_SourceData.Fertiliser_Products_Data1(), FertiliserProducts[[#Headers],[Company]],1)</f>
        <v>kg</v>
      </c>
      <c r="G119" s="215" cm="1">
        <f t="array" ref="G119">Common_InputFunctions.Utility_DisplayArrayInTable(Fertiliser_SourceData.Fertiliser_Products_Data1(), FertiliserProducts[[#Headers],[Company]],1)</f>
        <v>1</v>
      </c>
      <c r="H119" s="215" t="str" cm="1">
        <f t="array" ref="H119">Common_InputFunctions.Utility_DisplayArrayInTable(Fertiliser_SourceData.Fertiliser_Products_Data1(), FertiliserProducts[[#Headers],[Company]],1)</f>
        <v/>
      </c>
      <c r="I119" s="215" t="str" cm="1">
        <f t="array" ref="I119">Common_InputFunctions.Utility_DisplayArrayInTable(Fertiliser_SourceData.Fertiliser_Products_Data1(), FertiliserProducts[[#Headers],[Company]],1)</f>
        <v/>
      </c>
      <c r="J119" s="215" t="str" cm="1">
        <f t="array" ref="J119">Common_InputFunctions.Utility_DisplayArrayInTable(Fertiliser_SourceData.Fertiliser_Products_Data1(), FertiliserProducts[[#Headers],[Company]],1)</f>
        <v/>
      </c>
      <c r="K119" s="215" cm="1">
        <f t="array" ref="K119">Common_InputFunctions.Utility_DisplayArrayInTable(Fertiliser_SourceData.Fertiliser_Products_Data1(), FertiliserProducts[[#Headers],[Company]],1)</f>
        <v>21</v>
      </c>
      <c r="L119" s="215" t="str" cm="1">
        <f t="array" ref="L119">Common_InputFunctions.Utility_DisplayArrayInTable(Fertiliser_SourceData.Fertiliser_Products_Data1(), FertiliserProducts[[#Headers],[Company]],1)</f>
        <v/>
      </c>
      <c r="M119" s="215" t="str" cm="1">
        <f t="array" ref="M119">Common_InputFunctions.Utility_DisplayArrayInTable(Fertiliser_SourceData.Fertiliser_Products_Data1(), FertiliserProducts[[#Headers],[Company]],1)</f>
        <v/>
      </c>
      <c r="N119" s="215" cm="1">
        <f t="array" ref="N119">Common_InputFunctions.Utility_DisplayArrayInTable(Fertiliser_SourceData.Fertiliser_Products_Data1(), FertiliserProducts[[#Headers],[Company]],1)</f>
        <v>24</v>
      </c>
      <c r="O119" s="215" t="str" cm="1">
        <f t="array" ref="O119">Common_InputFunctions.Utility_DisplayArrayInTable(Fertiliser_SourceData.Fertiliser_Products_Data1(), FertiliserProducts[[#Headers],[Company]],1)</f>
        <v>Sulphate of ammonia (SOA)</v>
      </c>
      <c r="P119" s="215" cm="1">
        <f t="array" ref="P119">Common_InputFunctions.Utility_DisplayArrayInTable(Fertiliser_SourceData.Fertiliser_Products_Data1(), FertiliserProducts[[#Headers],[Company]],1)</f>
        <v>1</v>
      </c>
      <c r="Q119" s="215" t="str" cm="1">
        <f t="array" ref="Q119">Common_InputFunctions.Utility_DisplayArrayInTable(Fertiliser_SourceData.Fertiliser_Products_Data1(), FertiliserProducts[[#Headers],[Company]],1)</f>
        <v/>
      </c>
      <c r="R119" s="215" t="str" cm="1">
        <f t="array" ref="R119">Common_InputFunctions.Utility_DisplayArrayInTable(Fertiliser_SourceData.Fertiliser_Products_Data1(), FertiliserProducts[[#Headers],[Company]],1)</f>
        <v/>
      </c>
      <c r="S119" s="215" t="str" cm="1">
        <f t="array" ref="S119">Common_InputFunctions.Utility_DisplayArrayInTable(Fertiliser_SourceData.Fertiliser_Products_Data1(), FertiliserProducts[[#Headers],[Company]],1)</f>
        <v/>
      </c>
      <c r="T119" s="215" t="str" cm="1">
        <f t="array" ref="T119">Common_InputFunctions.Utility_DisplayArrayInTable(Fertiliser_SourceData.Fertiliser_Products_Data1(), FertiliserProducts[[#Headers],[Company]],1)</f>
        <v/>
      </c>
      <c r="U119" s="215" t="str" cm="1">
        <f t="array" ref="U119">Common_InputFunctions.Utility_DisplayArrayInTable(Fertiliser_SourceData.Fertiliser_Products_Data1(), FertiliserProducts[[#Headers],[Company]],1)</f>
        <v/>
      </c>
      <c r="V119" s="215" t="str" cm="1">
        <f t="array" ref="V119">Common_InputFunctions.Utility_DisplayArrayInTable(Fertiliser_SourceData.Fertiliser_Products_Data1(), FertiliserProducts[[#Headers],[Company]],1)</f>
        <v/>
      </c>
      <c r="W119" s="215" t="str" cm="1">
        <f t="array" ref="W119">Common_InputFunctions.Utility_DisplayArrayInTable(Fertiliser_SourceData.Fertiliser_Products_Data1(), FertiliserProducts[[#Headers],[Company]],1)</f>
        <v/>
      </c>
      <c r="X119" s="215" t="str" cm="1">
        <f t="array" ref="X119">Common_InputFunctions.Utility_DisplayArrayInTable(Fertiliser_SourceData.Fertiliser_Products_Data1(), FertiliserProducts[[#Headers],[Company]],1)</f>
        <v/>
      </c>
      <c r="Y119" s="215" t="str" cm="1">
        <f t="array" ref="Y119">Common_InputFunctions.Utility_DisplayArrayInTable(Fertiliser_SourceData.Fertiliser_Products_Data1(), FertiliserProducts[[#Headers],[Company]],1)</f>
        <v/>
      </c>
      <c r="Z119" s="215" t="str" cm="1">
        <f t="array" ref="Z119">Common_InputFunctions.Utility_DisplayArrayInTable(Fertiliser_SourceData.Fertiliser_Products_Data1(), FertiliserProducts[[#Headers],[Company]],1)</f>
        <v/>
      </c>
      <c r="AA119" s="215" t="str" cm="1">
        <f t="array" ref="AA119">Common_InputFunctions.Utility_DisplayArrayInTable(Fertiliser_SourceData.Fertiliser_Products_Data1(), FertiliserProducts[[#Headers],[Company]],1)</f>
        <v/>
      </c>
      <c r="AB119" s="215" t="str" cm="1">
        <f t="array" ref="AB119">Common_InputFunctions.Utility_DisplayArrayInTable(Fertiliser_SourceData.Fertiliser_Products_Data1(), FertiliserProducts[[#Headers],[Company]],1)</f>
        <v/>
      </c>
      <c r="AC119" s="215" t="str" cm="1">
        <f t="array" ref="AC119">Common_InputFunctions.Utility_DisplayArrayInTable(Fertiliser_SourceData.Fertiliser_Products_Data1(), FertiliserProducts[[#Headers],[Company]],1)</f>
        <v/>
      </c>
      <c r="AD119" s="215" t="str" cm="1">
        <f t="array" ref="AD119">Common_InputFunctions.Utility_DisplayArrayInTable(Fertiliser_SourceData.Fertiliser_Products_Data1(), FertiliserProducts[[#Headers],[Company]],1)</f>
        <v/>
      </c>
      <c r="AE119" s="215" t="str" cm="1">
        <f t="array" ref="AE119">Common_InputFunctions.Utility_DisplayArrayInTable(Fertiliser_SourceData.Fertiliser_Products_Data1(), FertiliserProducts[[#Headers],[Company]],1)</f>
        <v/>
      </c>
      <c r="AF119" s="215" t="str" cm="1">
        <f t="array" ref="AF119">Common_InputFunctions.Utility_DisplayArrayInTable(Fertiliser_SourceData.Fertiliser_Products_Data1(), FertiliserProducts[[#Headers],[Company]],1)</f>
        <v/>
      </c>
      <c r="AG119" s="215" t="str" cm="1">
        <f t="array" ref="AG119">Common_InputFunctions.Utility_DisplayArrayInTable(Fertiliser_SourceData.Fertiliser_Products_Data1(), FertiliserProducts[[#Headers],[Company]],1)</f>
        <v/>
      </c>
      <c r="AH119" s="215" t="str" cm="1">
        <f t="array" ref="AH119">Common_InputFunctions.Utility_DisplayArrayInTable(Fertiliser_SourceData.Fertiliser_Products_Data1(), FertiliserProducts[[#Headers],[Company]],1)</f>
        <v/>
      </c>
    </row>
    <row r="120" spans="1:34" ht="20.100000000000001" customHeight="1" x14ac:dyDescent="0.25">
      <c r="A120"/>
      <c r="D120" s="215" t="str" cm="1">
        <f t="array" ref="D120">Common_InputFunctions.Utility_DisplayArrayInTable(Fertiliser_SourceData.Fertiliser_Products_Data2(), FertiliserProducts[[#Headers],[Company]],31)</f>
        <v>Campbells fertilisers Australia</v>
      </c>
      <c r="E120" s="215" t="str" cm="1">
        <f t="array" ref="E120">Common_InputFunctions.Utility_DisplayArrayInTable(Fertiliser_SourceData.Fertiliser_Products_Data2(), FertiliserProducts[[#Headers],[Company]],31)</f>
        <v>Encal</v>
      </c>
      <c r="F120" s="215" t="str" cm="1">
        <f t="array" ref="F120">Common_InputFunctions.Utility_DisplayArrayInTable(Fertiliser_SourceData.Fertiliser_Products_Data2(), FertiliserProducts[[#Headers],[Company]],31)</f>
        <v>L</v>
      </c>
      <c r="G120" s="215" cm="1">
        <f t="array" ref="G120">Common_InputFunctions.Utility_DisplayArrayInTable(Fertiliser_SourceData.Fertiliser_Products_Data2(), FertiliserProducts[[#Headers],[Company]],31)</f>
        <v>1.5</v>
      </c>
      <c r="H120" s="215" t="str" cm="1">
        <f t="array" ref="H120">Common_InputFunctions.Utility_DisplayArrayInTable(Fertiliser_SourceData.Fertiliser_Products_Data2(), FertiliserProducts[[#Headers],[Company]],31)</f>
        <v/>
      </c>
      <c r="I120" s="215" t="str" cm="1">
        <f t="array" ref="I120">Common_InputFunctions.Utility_DisplayArrayInTable(Fertiliser_SourceData.Fertiliser_Products_Data2(), FertiliserProducts[[#Headers],[Company]],31)</f>
        <v/>
      </c>
      <c r="J120" s="215" t="str" cm="1">
        <f t="array" ref="J120">Common_InputFunctions.Utility_DisplayArrayInTable(Fertiliser_SourceData.Fertiliser_Products_Data2(), FertiliserProducts[[#Headers],[Company]],31)</f>
        <v/>
      </c>
      <c r="K120" s="215" cm="1">
        <f t="array" ref="K120">Common_InputFunctions.Utility_DisplayArrayInTable(Fertiliser_SourceData.Fertiliser_Products_Data2(), FertiliserProducts[[#Headers],[Company]],31)</f>
        <v>9</v>
      </c>
      <c r="L120" s="215" t="str" cm="1">
        <f t="array" ref="L120">Common_InputFunctions.Utility_DisplayArrayInTable(Fertiliser_SourceData.Fertiliser_Products_Data2(), FertiliserProducts[[#Headers],[Company]],31)</f>
        <v/>
      </c>
      <c r="M120" s="215" t="str" cm="1">
        <f t="array" ref="M120">Common_InputFunctions.Utility_DisplayArrayInTable(Fertiliser_SourceData.Fertiliser_Products_Data2(), FertiliserProducts[[#Headers],[Company]],31)</f>
        <v/>
      </c>
      <c r="N120" s="215" cm="1">
        <f t="array" ref="N120">Common_InputFunctions.Utility_DisplayArrayInTable(Fertiliser_SourceData.Fertiliser_Products_Data2(), FertiliserProducts[[#Headers],[Company]],31)</f>
        <v>13.94</v>
      </c>
      <c r="O120" s="215" t="str" cm="1">
        <f t="array" ref="O120">Common_InputFunctions.Utility_DisplayArrayInTable(Fertiliser_SourceData.Fertiliser_Products_Data2(), FertiliserProducts[[#Headers],[Company]],31)</f>
        <v>Sulphate of ammonia (SOA)</v>
      </c>
      <c r="P120" s="215" cm="1">
        <f t="array" ref="P120">Common_InputFunctions.Utility_DisplayArrayInTable(Fertiliser_SourceData.Fertiliser_Products_Data2(), FertiliserProducts[[#Headers],[Company]],31)</f>
        <v>0.58064499999999997</v>
      </c>
      <c r="Q120" s="215" t="str" cm="1">
        <f t="array" ref="Q120">Common_InputFunctions.Utility_DisplayArrayInTable(Fertiliser_SourceData.Fertiliser_Products_Data2(), FertiliserProducts[[#Headers],[Company]],31)</f>
        <v>Magnesium</v>
      </c>
      <c r="R120" s="215" cm="1">
        <f t="array" ref="R120">Common_InputFunctions.Utility_DisplayArrayInTable(Fertiliser_SourceData.Fertiliser_Products_Data2(), FertiliserProducts[[#Headers],[Company]],31)</f>
        <v>1.2E-2</v>
      </c>
      <c r="S120" s="215" t="str" cm="1">
        <f t="array" ref="S120">Common_InputFunctions.Utility_DisplayArrayInTable(Fertiliser_SourceData.Fertiliser_Products_Data2(), FertiliserProducts[[#Headers],[Company]],31)</f>
        <v/>
      </c>
      <c r="T120" s="215" t="str" cm="1">
        <f t="array" ref="T120">Common_InputFunctions.Utility_DisplayArrayInTable(Fertiliser_SourceData.Fertiliser_Products_Data2(), FertiliserProducts[[#Headers],[Company]],31)</f>
        <v/>
      </c>
      <c r="U120" s="215" t="str" cm="1">
        <f t="array" ref="U120">Common_InputFunctions.Utility_DisplayArrayInTable(Fertiliser_SourceData.Fertiliser_Products_Data2(), FertiliserProducts[[#Headers],[Company]],31)</f>
        <v/>
      </c>
      <c r="V120" s="215" t="str" cm="1">
        <f t="array" ref="V120">Common_InputFunctions.Utility_DisplayArrayInTable(Fertiliser_SourceData.Fertiliser_Products_Data2(), FertiliserProducts[[#Headers],[Company]],31)</f>
        <v/>
      </c>
      <c r="W120" s="215" t="str" cm="1">
        <f t="array" ref="W120">Common_InputFunctions.Utility_DisplayArrayInTable(Fertiliser_SourceData.Fertiliser_Products_Data2(), FertiliserProducts[[#Headers],[Company]],31)</f>
        <v/>
      </c>
      <c r="X120" s="215" t="str" cm="1">
        <f t="array" ref="X120">Common_InputFunctions.Utility_DisplayArrayInTable(Fertiliser_SourceData.Fertiliser_Products_Data2(), FertiliserProducts[[#Headers],[Company]],31)</f>
        <v/>
      </c>
      <c r="Y120" s="215" t="str" cm="1">
        <f t="array" ref="Y120">Common_InputFunctions.Utility_DisplayArrayInTable(Fertiliser_SourceData.Fertiliser_Products_Data2(), FertiliserProducts[[#Headers],[Company]],31)</f>
        <v/>
      </c>
      <c r="Z120" s="215" t="str" cm="1">
        <f t="array" ref="Z120">Common_InputFunctions.Utility_DisplayArrayInTable(Fertiliser_SourceData.Fertiliser_Products_Data2(), FertiliserProducts[[#Headers],[Company]],31)</f>
        <v/>
      </c>
      <c r="AA120" s="215" t="str" cm="1">
        <f t="array" ref="AA120">Common_InputFunctions.Utility_DisplayArrayInTable(Fertiliser_SourceData.Fertiliser_Products_Data2(), FertiliserProducts[[#Headers],[Company]],31)</f>
        <v/>
      </c>
      <c r="AB120" s="215" t="str" cm="1">
        <f t="array" ref="AB120">Common_InputFunctions.Utility_DisplayArrayInTable(Fertiliser_SourceData.Fertiliser_Products_Data2(), FertiliserProducts[[#Headers],[Company]],31)</f>
        <v/>
      </c>
      <c r="AC120" s="215" t="str" cm="1">
        <f t="array" ref="AC120">Common_InputFunctions.Utility_DisplayArrayInTable(Fertiliser_SourceData.Fertiliser_Products_Data2(), FertiliserProducts[[#Headers],[Company]],31)</f>
        <v/>
      </c>
      <c r="AD120" s="215" t="str" cm="1">
        <f t="array" ref="AD120">Common_InputFunctions.Utility_DisplayArrayInTable(Fertiliser_SourceData.Fertiliser_Products_Data2(), FertiliserProducts[[#Headers],[Company]],31)</f>
        <v/>
      </c>
      <c r="AE120" s="215" t="str" cm="1">
        <f t="array" ref="AE120">Common_InputFunctions.Utility_DisplayArrayInTable(Fertiliser_SourceData.Fertiliser_Products_Data2(), FertiliserProducts[[#Headers],[Company]],31)</f>
        <v/>
      </c>
      <c r="AF120" s="215" t="str" cm="1">
        <f t="array" ref="AF120">Common_InputFunctions.Utility_DisplayArrayInTable(Fertiliser_SourceData.Fertiliser_Products_Data2(), FertiliserProducts[[#Headers],[Company]],31)</f>
        <v/>
      </c>
      <c r="AG120" s="215" t="str" cm="1">
        <f t="array" ref="AG120">Common_InputFunctions.Utility_DisplayArrayInTable(Fertiliser_SourceData.Fertiliser_Products_Data2(), FertiliserProducts[[#Headers],[Company]],31)</f>
        <v/>
      </c>
      <c r="AH120" s="215" t="str" cm="1">
        <f t="array" ref="AH120">Common_InputFunctions.Utility_DisplayArrayInTable(Fertiliser_SourceData.Fertiliser_Products_Data2(), FertiliserProducts[[#Headers],[Company]],31)</f>
        <v/>
      </c>
    </row>
    <row r="121" spans="1:34" ht="20.100000000000001" customHeight="1" x14ac:dyDescent="0.25">
      <c r="A121"/>
      <c r="D121" s="215" t="str" cm="1">
        <f t="array" ref="D121">Common_InputFunctions.Utility_DisplayArrayInTable(Fertiliser_SourceData.Fertiliser_Products_Data2(), FertiliserProducts[[#Headers],[Company]],31)</f>
        <v>Incitec Pivot Fertilisers</v>
      </c>
      <c r="E121" s="215" t="str" cm="1">
        <f t="array" ref="E121">Common_InputFunctions.Utility_DisplayArrayInTable(Fertiliser_SourceData.Fertiliser_Products_Data2(), FertiliserProducts[[#Headers],[Company]],31)</f>
        <v>Granulock SS</v>
      </c>
      <c r="F121" s="215" t="str" cm="1">
        <f t="array" ref="F121">Common_InputFunctions.Utility_DisplayArrayInTable(Fertiliser_SourceData.Fertiliser_Products_Data2(), FertiliserProducts[[#Headers],[Company]],31)</f>
        <v>kg</v>
      </c>
      <c r="G121" s="215" cm="1">
        <f t="array" ref="G121">Common_InputFunctions.Utility_DisplayArrayInTable(Fertiliser_SourceData.Fertiliser_Products_Data2(), FertiliserProducts[[#Headers],[Company]],31)</f>
        <v>1</v>
      </c>
      <c r="H121" s="215" t="str" cm="1">
        <f t="array" ref="H121">Common_InputFunctions.Utility_DisplayArrayInTable(Fertiliser_SourceData.Fertiliser_Products_Data2(), FertiliserProducts[[#Headers],[Company]],31)</f>
        <v/>
      </c>
      <c r="I121" s="215" t="str" cm="1">
        <f t="array" ref="I121">Common_InputFunctions.Utility_DisplayArrayInTable(Fertiliser_SourceData.Fertiliser_Products_Data2(), FertiliserProducts[[#Headers],[Company]],31)</f>
        <v/>
      </c>
      <c r="J121" s="215" t="str" cm="1">
        <f t="array" ref="J121">Common_InputFunctions.Utility_DisplayArrayInTable(Fertiliser_SourceData.Fertiliser_Products_Data2(), FertiliserProducts[[#Headers],[Company]],31)</f>
        <v/>
      </c>
      <c r="K121" s="215" cm="1">
        <f t="array" ref="K121">Common_InputFunctions.Utility_DisplayArrayInTable(Fertiliser_SourceData.Fertiliser_Products_Data2(), FertiliserProducts[[#Headers],[Company]],31)</f>
        <v>10</v>
      </c>
      <c r="L121" s="215" cm="1">
        <f t="array" ref="L121">Common_InputFunctions.Utility_DisplayArrayInTable(Fertiliser_SourceData.Fertiliser_Products_Data2(), FertiliserProducts[[#Headers],[Company]],31)</f>
        <v>17.5</v>
      </c>
      <c r="M121" s="215" t="str" cm="1">
        <f t="array" ref="M121">Common_InputFunctions.Utility_DisplayArrayInTable(Fertiliser_SourceData.Fertiliser_Products_Data2(), FertiliserProducts[[#Headers],[Company]],31)</f>
        <v/>
      </c>
      <c r="N121" s="215" cm="1">
        <f t="array" ref="N121">Common_InputFunctions.Utility_DisplayArrayInTable(Fertiliser_SourceData.Fertiliser_Products_Data2(), FertiliserProducts[[#Headers],[Company]],31)</f>
        <v>12</v>
      </c>
      <c r="O121" s="215" t="str" cm="1">
        <f t="array" ref="O121">Common_InputFunctions.Utility_DisplayArrayInTable(Fertiliser_SourceData.Fertiliser_Products_Data2(), FertiliserProducts[[#Headers],[Company]],31)</f>
        <v>Phosphorus - Generic</v>
      </c>
      <c r="P121" s="215" cm="1">
        <f t="array" ref="P121">Common_InputFunctions.Utility_DisplayArrayInTable(Fertiliser_SourceData.Fertiliser_Products_Data2(), FertiliserProducts[[#Headers],[Company]],31)</f>
        <v>0.17499999999999999</v>
      </c>
      <c r="Q121" s="215" t="str" cm="1">
        <f t="array" ref="Q121">Common_InputFunctions.Utility_DisplayArrayInTable(Fertiliser_SourceData.Fertiliser_Products_Data2(), FertiliserProducts[[#Headers],[Company]],31)</f>
        <v>Sulfur - Generic</v>
      </c>
      <c r="R121" s="215" cm="1">
        <f t="array" ref="R121">Common_InputFunctions.Utility_DisplayArrayInTable(Fertiliser_SourceData.Fertiliser_Products_Data2(), FertiliserProducts[[#Headers],[Company]],31)</f>
        <v>0.12</v>
      </c>
      <c r="S121" s="215" t="str" cm="1">
        <f t="array" ref="S121">Common_InputFunctions.Utility_DisplayArrayInTable(Fertiliser_SourceData.Fertiliser_Products_Data2(), FertiliserProducts[[#Headers],[Company]],31)</f>
        <v>Nitrogen - Ammoniacal</v>
      </c>
      <c r="T121" s="215" cm="1">
        <f t="array" ref="T121">Common_InputFunctions.Utility_DisplayArrayInTable(Fertiliser_SourceData.Fertiliser_Products_Data2(), FertiliserProducts[[#Headers],[Company]],31)</f>
        <v>0.1</v>
      </c>
      <c r="U121" s="215" t="str" cm="1">
        <f t="array" ref="U121">Common_InputFunctions.Utility_DisplayArrayInTable(Fertiliser_SourceData.Fertiliser_Products_Data2(), FertiliserProducts[[#Headers],[Company]],31)</f>
        <v>Fluoride</v>
      </c>
      <c r="V121" s="215" cm="1">
        <f t="array" ref="V121">Common_InputFunctions.Utility_DisplayArrayInTable(Fertiliser_SourceData.Fertiliser_Products_Data2(), FertiliserProducts[[#Headers],[Company]],31)</f>
        <v>0.03</v>
      </c>
      <c r="W121" s="215" t="str" cm="1">
        <f t="array" ref="W121">Common_InputFunctions.Utility_DisplayArrayInTable(Fertiliser_SourceData.Fertiliser_Products_Data2(), FertiliserProducts[[#Headers],[Company]],31)</f>
        <v/>
      </c>
      <c r="X121" s="215" t="str" cm="1">
        <f t="array" ref="X121">Common_InputFunctions.Utility_DisplayArrayInTable(Fertiliser_SourceData.Fertiliser_Products_Data2(), FertiliserProducts[[#Headers],[Company]],31)</f>
        <v/>
      </c>
      <c r="Y121" s="215" t="str" cm="1">
        <f t="array" ref="Y121">Common_InputFunctions.Utility_DisplayArrayInTable(Fertiliser_SourceData.Fertiliser_Products_Data2(), FertiliserProducts[[#Headers],[Company]],31)</f>
        <v/>
      </c>
      <c r="Z121" s="215" t="str" cm="1">
        <f t="array" ref="Z121">Common_InputFunctions.Utility_DisplayArrayInTable(Fertiliser_SourceData.Fertiliser_Products_Data2(), FertiliserProducts[[#Headers],[Company]],31)</f>
        <v/>
      </c>
      <c r="AA121" s="215" t="str" cm="1">
        <f t="array" ref="AA121">Common_InputFunctions.Utility_DisplayArrayInTable(Fertiliser_SourceData.Fertiliser_Products_Data2(), FertiliserProducts[[#Headers],[Company]],31)</f>
        <v/>
      </c>
      <c r="AB121" s="215" t="str" cm="1">
        <f t="array" ref="AB121">Common_InputFunctions.Utility_DisplayArrayInTable(Fertiliser_SourceData.Fertiliser_Products_Data2(), FertiliserProducts[[#Headers],[Company]],31)</f>
        <v/>
      </c>
      <c r="AC121" s="215" t="str" cm="1">
        <f t="array" ref="AC121">Common_InputFunctions.Utility_DisplayArrayInTable(Fertiliser_SourceData.Fertiliser_Products_Data2(), FertiliserProducts[[#Headers],[Company]],31)</f>
        <v/>
      </c>
      <c r="AD121" s="215" t="str" cm="1">
        <f t="array" ref="AD121">Common_InputFunctions.Utility_DisplayArrayInTable(Fertiliser_SourceData.Fertiliser_Products_Data2(), FertiliserProducts[[#Headers],[Company]],31)</f>
        <v/>
      </c>
      <c r="AE121" s="215" t="str" cm="1">
        <f t="array" ref="AE121">Common_InputFunctions.Utility_DisplayArrayInTable(Fertiliser_SourceData.Fertiliser_Products_Data2(), FertiliserProducts[[#Headers],[Company]],31)</f>
        <v/>
      </c>
      <c r="AF121" s="215" t="str" cm="1">
        <f t="array" ref="AF121">Common_InputFunctions.Utility_DisplayArrayInTable(Fertiliser_SourceData.Fertiliser_Products_Data2(), FertiliserProducts[[#Headers],[Company]],31)</f>
        <v/>
      </c>
      <c r="AG121" s="215" t="str" cm="1">
        <f t="array" ref="AG121">Common_InputFunctions.Utility_DisplayArrayInTable(Fertiliser_SourceData.Fertiliser_Products_Data2(), FertiliserProducts[[#Headers],[Company]],31)</f>
        <v/>
      </c>
      <c r="AH121" s="215" t="str" cm="1">
        <f t="array" ref="AH121">Common_InputFunctions.Utility_DisplayArrayInTable(Fertiliser_SourceData.Fertiliser_Products_Data2(), FertiliserProducts[[#Headers],[Company]],31)</f>
        <v/>
      </c>
    </row>
    <row r="122" spans="1:34" ht="20.100000000000001" customHeight="1" x14ac:dyDescent="0.25">
      <c r="A122"/>
      <c r="D122" s="215" t="str" cm="1">
        <f t="array" ref="D122">Common_InputFunctions.Utility_DisplayArrayInTable(Fertiliser_SourceData.Fertiliser_Products_Data2(), FertiliserProducts[[#Headers],[Company]],31)</f>
        <v>Incitec Pivot Fertilisers</v>
      </c>
      <c r="E122" s="215" t="str" cm="1">
        <f t="array" ref="E122">Common_InputFunctions.Utility_DisplayArrayInTable(Fertiliser_SourceData.Fertiliser_Products_Data2(), FertiliserProducts[[#Headers],[Company]],31)</f>
        <v>Granulock Z</v>
      </c>
      <c r="F122" s="215" t="str" cm="1">
        <f t="array" ref="F122">Common_InputFunctions.Utility_DisplayArrayInTable(Fertiliser_SourceData.Fertiliser_Products_Data2(), FertiliserProducts[[#Headers],[Company]],31)</f>
        <v>kg</v>
      </c>
      <c r="G122" s="215" cm="1">
        <f t="array" ref="G122">Common_InputFunctions.Utility_DisplayArrayInTable(Fertiliser_SourceData.Fertiliser_Products_Data2(), FertiliserProducts[[#Headers],[Company]],31)</f>
        <v>1</v>
      </c>
      <c r="H122" s="215" t="str" cm="1">
        <f t="array" ref="H122">Common_InputFunctions.Utility_DisplayArrayInTable(Fertiliser_SourceData.Fertiliser_Products_Data2(), FertiliserProducts[[#Headers],[Company]],31)</f>
        <v/>
      </c>
      <c r="I122" s="215" t="str" cm="1">
        <f t="array" ref="I122">Common_InputFunctions.Utility_DisplayArrayInTable(Fertiliser_SourceData.Fertiliser_Products_Data2(), FertiliserProducts[[#Headers],[Company]],31)</f>
        <v/>
      </c>
      <c r="J122" s="215" t="str" cm="1">
        <f t="array" ref="J122">Common_InputFunctions.Utility_DisplayArrayInTable(Fertiliser_SourceData.Fertiliser_Products_Data2(), FertiliserProducts[[#Headers],[Company]],31)</f>
        <v/>
      </c>
      <c r="K122" s="215" cm="1">
        <f t="array" ref="K122">Common_InputFunctions.Utility_DisplayArrayInTable(Fertiliser_SourceData.Fertiliser_Products_Data2(), FertiliserProducts[[#Headers],[Company]],31)</f>
        <v>11</v>
      </c>
      <c r="L122" s="215" cm="1">
        <f t="array" ref="L122">Common_InputFunctions.Utility_DisplayArrayInTable(Fertiliser_SourceData.Fertiliser_Products_Data2(), FertiliserProducts[[#Headers],[Company]],31)</f>
        <v>21.8</v>
      </c>
      <c r="M122" s="215" t="str" cm="1">
        <f t="array" ref="M122">Common_InputFunctions.Utility_DisplayArrayInTable(Fertiliser_SourceData.Fertiliser_Products_Data2(), FertiliserProducts[[#Headers],[Company]],31)</f>
        <v/>
      </c>
      <c r="N122" s="215" cm="1">
        <f t="array" ref="N122">Common_InputFunctions.Utility_DisplayArrayInTable(Fertiliser_SourceData.Fertiliser_Products_Data2(), FertiliserProducts[[#Headers],[Company]],31)</f>
        <v>4</v>
      </c>
      <c r="O122" s="215" t="str" cm="1">
        <f t="array" ref="O122">Common_InputFunctions.Utility_DisplayArrayInTable(Fertiliser_SourceData.Fertiliser_Products_Data2(), FertiliserProducts[[#Headers],[Company]],31)</f>
        <v>Phosphorus - Generic</v>
      </c>
      <c r="P122" s="215" cm="1">
        <f t="array" ref="P122">Common_InputFunctions.Utility_DisplayArrayInTable(Fertiliser_SourceData.Fertiliser_Products_Data2(), FertiliserProducts[[#Headers],[Company]],31)</f>
        <v>0.218</v>
      </c>
      <c r="Q122" s="215" t="str" cm="1">
        <f t="array" ref="Q122">Common_InputFunctions.Utility_DisplayArrayInTable(Fertiliser_SourceData.Fertiliser_Products_Data2(), FertiliserProducts[[#Headers],[Company]],31)</f>
        <v>Nitrogen - Generic</v>
      </c>
      <c r="R122" s="215" cm="1">
        <f t="array" ref="R122">Common_InputFunctions.Utility_DisplayArrayInTable(Fertiliser_SourceData.Fertiliser_Products_Data2(), FertiliserProducts[[#Headers],[Company]],31)</f>
        <v>0.11</v>
      </c>
      <c r="S122" s="215" t="str" cm="1">
        <f t="array" ref="S122">Common_InputFunctions.Utility_DisplayArrayInTable(Fertiliser_SourceData.Fertiliser_Products_Data2(), FertiliserProducts[[#Headers],[Company]],31)</f>
        <v>Sulfur - Generic</v>
      </c>
      <c r="T122" s="215" cm="1">
        <f t="array" ref="T122">Common_InputFunctions.Utility_DisplayArrayInTable(Fertiliser_SourceData.Fertiliser_Products_Data2(), FertiliserProducts[[#Headers],[Company]],31)</f>
        <v>0.04</v>
      </c>
      <c r="U122" s="215" t="str" cm="1">
        <f t="array" ref="U122">Common_InputFunctions.Utility_DisplayArrayInTable(Fertiliser_SourceData.Fertiliser_Products_Data2(), FertiliserProducts[[#Headers],[Company]],31)</f>
        <v>Fluoride</v>
      </c>
      <c r="V122" s="215" cm="1">
        <f t="array" ref="V122">Common_InputFunctions.Utility_DisplayArrayInTable(Fertiliser_SourceData.Fertiliser_Products_Data2(), FertiliserProducts[[#Headers],[Company]],31)</f>
        <v>0.03</v>
      </c>
      <c r="W122" s="215" t="str" cm="1">
        <f t="array" ref="W122">Common_InputFunctions.Utility_DisplayArrayInTable(Fertiliser_SourceData.Fertiliser_Products_Data2(), FertiliserProducts[[#Headers],[Company]],31)</f>
        <v>Zinc</v>
      </c>
      <c r="X122" s="215" cm="1">
        <f t="array" ref="X122">Common_InputFunctions.Utility_DisplayArrayInTable(Fertiliser_SourceData.Fertiliser_Products_Data2(), FertiliserProducts[[#Headers],[Company]],31)</f>
        <v>0.01</v>
      </c>
      <c r="Y122" s="215" t="str" cm="1">
        <f t="array" ref="Y122">Common_InputFunctions.Utility_DisplayArrayInTable(Fertiliser_SourceData.Fertiliser_Products_Data2(), FertiliserProducts[[#Headers],[Company]],31)</f>
        <v/>
      </c>
      <c r="Z122" s="215" t="str" cm="1">
        <f t="array" ref="Z122">Common_InputFunctions.Utility_DisplayArrayInTable(Fertiliser_SourceData.Fertiliser_Products_Data2(), FertiliserProducts[[#Headers],[Company]],31)</f>
        <v/>
      </c>
      <c r="AA122" s="215" t="str" cm="1">
        <f t="array" ref="AA122">Common_InputFunctions.Utility_DisplayArrayInTable(Fertiliser_SourceData.Fertiliser_Products_Data2(), FertiliserProducts[[#Headers],[Company]],31)</f>
        <v/>
      </c>
      <c r="AB122" s="215" t="str" cm="1">
        <f t="array" ref="AB122">Common_InputFunctions.Utility_DisplayArrayInTable(Fertiliser_SourceData.Fertiliser_Products_Data2(), FertiliserProducts[[#Headers],[Company]],31)</f>
        <v/>
      </c>
      <c r="AC122" s="215" t="str" cm="1">
        <f t="array" ref="AC122">Common_InputFunctions.Utility_DisplayArrayInTable(Fertiliser_SourceData.Fertiliser_Products_Data2(), FertiliserProducts[[#Headers],[Company]],31)</f>
        <v/>
      </c>
      <c r="AD122" s="215" t="str" cm="1">
        <f t="array" ref="AD122">Common_InputFunctions.Utility_DisplayArrayInTable(Fertiliser_SourceData.Fertiliser_Products_Data2(), FertiliserProducts[[#Headers],[Company]],31)</f>
        <v/>
      </c>
      <c r="AE122" s="215" t="str" cm="1">
        <f t="array" ref="AE122">Common_InputFunctions.Utility_DisplayArrayInTable(Fertiliser_SourceData.Fertiliser_Products_Data2(), FertiliserProducts[[#Headers],[Company]],31)</f>
        <v/>
      </c>
      <c r="AF122" s="215" t="str" cm="1">
        <f t="array" ref="AF122">Common_InputFunctions.Utility_DisplayArrayInTable(Fertiliser_SourceData.Fertiliser_Products_Data2(), FertiliserProducts[[#Headers],[Company]],31)</f>
        <v/>
      </c>
      <c r="AG122" s="215" t="str" cm="1">
        <f t="array" ref="AG122">Common_InputFunctions.Utility_DisplayArrayInTable(Fertiliser_SourceData.Fertiliser_Products_Data2(), FertiliserProducts[[#Headers],[Company]],31)</f>
        <v/>
      </c>
      <c r="AH122" s="215" t="str" cm="1">
        <f t="array" ref="AH122">Common_InputFunctions.Utility_DisplayArrayInTable(Fertiliser_SourceData.Fertiliser_Products_Data2(), FertiliserProducts[[#Headers],[Company]],31)</f>
        <v/>
      </c>
    </row>
    <row r="123" spans="1:34" ht="20.100000000000001" customHeight="1" x14ac:dyDescent="0.25">
      <c r="A123"/>
      <c r="D123" s="215" t="str" cm="1">
        <f t="array" ref="D123">Common_InputFunctions.Utility_DisplayArrayInTable(Fertiliser_SourceData.Fertiliser_Products_Data2(), FertiliserProducts[[#Headers],[Company]],31)</f>
        <v>Incitec Pivot Fertilisers</v>
      </c>
      <c r="E123" s="215" t="str" cm="1">
        <f t="array" ref="E123">Common_InputFunctions.Utility_DisplayArrayInTable(Fertiliser_SourceData.Fertiliser_Products_Data2(), FertiliserProducts[[#Headers],[Company]],31)</f>
        <v>Farm Ag Leichhardt</v>
      </c>
      <c r="F123" s="215" t="str" cm="1">
        <f t="array" ref="F123">Common_InputFunctions.Utility_DisplayArrayInTable(Fertiliser_SourceData.Fertiliser_Products_Data2(), FertiliserProducts[[#Headers],[Company]],31)</f>
        <v>kg</v>
      </c>
      <c r="G123" s="215" cm="1">
        <f t="array" ref="G123">Common_InputFunctions.Utility_DisplayArrayInTable(Fertiliser_SourceData.Fertiliser_Products_Data2(), FertiliserProducts[[#Headers],[Company]],31)</f>
        <v>1</v>
      </c>
      <c r="H123" s="215" t="str" cm="1">
        <f t="array" ref="H123">Common_InputFunctions.Utility_DisplayArrayInTable(Fertiliser_SourceData.Fertiliser_Products_Data2(), FertiliserProducts[[#Headers],[Company]],31)</f>
        <v/>
      </c>
      <c r="I123" s="215" t="str" cm="1">
        <f t="array" ref="I123">Common_InputFunctions.Utility_DisplayArrayInTable(Fertiliser_SourceData.Fertiliser_Products_Data2(), FertiliserProducts[[#Headers],[Company]],31)</f>
        <v/>
      </c>
      <c r="J123" s="215" t="str" cm="1">
        <f t="array" ref="J123">Common_InputFunctions.Utility_DisplayArrayInTable(Fertiliser_SourceData.Fertiliser_Products_Data2(), FertiliserProducts[[#Headers],[Company]],31)</f>
        <v/>
      </c>
      <c r="K123" s="215" cm="1">
        <f t="array" ref="K123">Common_InputFunctions.Utility_DisplayArrayInTable(Fertiliser_SourceData.Fertiliser_Products_Data2(), FertiliserProducts[[#Headers],[Company]],31)</f>
        <v>32.5</v>
      </c>
      <c r="L123" s="215" cm="1">
        <f t="array" ref="L123">Common_InputFunctions.Utility_DisplayArrayInTable(Fertiliser_SourceData.Fertiliser_Products_Data2(), FertiliserProducts[[#Headers],[Company]],31)</f>
        <v>5.4</v>
      </c>
      <c r="M123" s="215" cm="1">
        <f t="array" ref="M123">Common_InputFunctions.Utility_DisplayArrayInTable(Fertiliser_SourceData.Fertiliser_Products_Data2(), FertiliserProducts[[#Headers],[Company]],31)</f>
        <v>6.25</v>
      </c>
      <c r="N123" s="215" t="str" cm="1">
        <f t="array" ref="N123">Common_InputFunctions.Utility_DisplayArrayInTable(Fertiliser_SourceData.Fertiliser_Products_Data2(), FertiliserProducts[[#Headers],[Company]],31)</f>
        <v/>
      </c>
      <c r="O123" s="215" t="str" cm="1">
        <f t="array" ref="O123">Common_InputFunctions.Utility_DisplayArrayInTable(Fertiliser_SourceData.Fertiliser_Products_Data2(), FertiliserProducts[[#Headers],[Company]],31)</f>
        <v>Urea</v>
      </c>
      <c r="P123" s="215" cm="1">
        <f t="array" ref="P123">Common_InputFunctions.Utility_DisplayArrayInTable(Fertiliser_SourceData.Fertiliser_Products_Data2(), FertiliserProducts[[#Headers],[Company]],31)</f>
        <v>0.6</v>
      </c>
      <c r="Q123" s="215" t="str" cm="1">
        <f t="array" ref="Q123">Common_InputFunctions.Utility_DisplayArrayInTable(Fertiliser_SourceData.Fertiliser_Products_Data2(), FertiliserProducts[[#Headers],[Company]],31)</f>
        <v>Nitrogen - Ammoniacal</v>
      </c>
      <c r="R123" s="215" cm="1">
        <f t="array" ref="R123">Common_InputFunctions.Utility_DisplayArrayInTable(Fertiliser_SourceData.Fertiliser_Products_Data2(), FertiliserProducts[[#Headers],[Company]],31)</f>
        <v>4.9000000000000002E-2</v>
      </c>
      <c r="S123" s="215" t="str" cm="1">
        <f t="array" ref="S123">Common_InputFunctions.Utility_DisplayArrayInTable(Fertiliser_SourceData.Fertiliser_Products_Data2(), FertiliserProducts[[#Headers],[Company]],31)</f>
        <v>Phosphorus - Generic</v>
      </c>
      <c r="T123" s="215" cm="1">
        <f t="array" ref="T123">Common_InputFunctions.Utility_DisplayArrayInTable(Fertiliser_SourceData.Fertiliser_Products_Data2(), FertiliserProducts[[#Headers],[Company]],31)</f>
        <v>5.3999999999999999E-2</v>
      </c>
      <c r="U123" s="215" t="str" cm="1">
        <f t="array" ref="U123">Common_InputFunctions.Utility_DisplayArrayInTable(Fertiliser_SourceData.Fertiliser_Products_Data2(), FertiliserProducts[[#Headers],[Company]],31)</f>
        <v>Muriate of potash (MOP)</v>
      </c>
      <c r="V123" s="215" cm="1">
        <f t="array" ref="V123">Common_InputFunctions.Utility_DisplayArrayInTable(Fertiliser_SourceData.Fertiliser_Products_Data2(), FertiliserProducts[[#Headers],[Company]],31)</f>
        <v>0.125</v>
      </c>
      <c r="W123" s="215" t="str" cm="1">
        <f t="array" ref="W123">Common_InputFunctions.Utility_DisplayArrayInTable(Fertiliser_SourceData.Fertiliser_Products_Data2(), FertiliserProducts[[#Headers],[Company]],31)</f>
        <v/>
      </c>
      <c r="X123" s="215" t="str" cm="1">
        <f t="array" ref="X123">Common_InputFunctions.Utility_DisplayArrayInTable(Fertiliser_SourceData.Fertiliser_Products_Data2(), FertiliserProducts[[#Headers],[Company]],31)</f>
        <v/>
      </c>
      <c r="Y123" s="215" t="str" cm="1">
        <f t="array" ref="Y123">Common_InputFunctions.Utility_DisplayArrayInTable(Fertiliser_SourceData.Fertiliser_Products_Data2(), FertiliserProducts[[#Headers],[Company]],31)</f>
        <v/>
      </c>
      <c r="Z123" s="215" t="str" cm="1">
        <f t="array" ref="Z123">Common_InputFunctions.Utility_DisplayArrayInTable(Fertiliser_SourceData.Fertiliser_Products_Data2(), FertiliserProducts[[#Headers],[Company]],31)</f>
        <v/>
      </c>
      <c r="AA123" s="215" t="str" cm="1">
        <f t="array" ref="AA123">Common_InputFunctions.Utility_DisplayArrayInTable(Fertiliser_SourceData.Fertiliser_Products_Data2(), FertiliserProducts[[#Headers],[Company]],31)</f>
        <v/>
      </c>
      <c r="AB123" s="215" t="str" cm="1">
        <f t="array" ref="AB123">Common_InputFunctions.Utility_DisplayArrayInTable(Fertiliser_SourceData.Fertiliser_Products_Data2(), FertiliserProducts[[#Headers],[Company]],31)</f>
        <v/>
      </c>
      <c r="AC123" s="215" t="str" cm="1">
        <f t="array" ref="AC123">Common_InputFunctions.Utility_DisplayArrayInTable(Fertiliser_SourceData.Fertiliser_Products_Data2(), FertiliserProducts[[#Headers],[Company]],31)</f>
        <v/>
      </c>
      <c r="AD123" s="215" t="str" cm="1">
        <f t="array" ref="AD123">Common_InputFunctions.Utility_DisplayArrayInTable(Fertiliser_SourceData.Fertiliser_Products_Data2(), FertiliserProducts[[#Headers],[Company]],31)</f>
        <v/>
      </c>
      <c r="AE123" s="215" t="str" cm="1">
        <f t="array" ref="AE123">Common_InputFunctions.Utility_DisplayArrayInTable(Fertiliser_SourceData.Fertiliser_Products_Data2(), FertiliserProducts[[#Headers],[Company]],31)</f>
        <v/>
      </c>
      <c r="AF123" s="215" t="str" cm="1">
        <f t="array" ref="AF123">Common_InputFunctions.Utility_DisplayArrayInTable(Fertiliser_SourceData.Fertiliser_Products_Data2(), FertiliserProducts[[#Headers],[Company]],31)</f>
        <v/>
      </c>
      <c r="AG123" s="215" t="str" cm="1">
        <f t="array" ref="AG123">Common_InputFunctions.Utility_DisplayArrayInTable(Fertiliser_SourceData.Fertiliser_Products_Data2(), FertiliserProducts[[#Headers],[Company]],31)</f>
        <v/>
      </c>
      <c r="AH123" s="215" t="str" cm="1">
        <f t="array" ref="AH123">Common_InputFunctions.Utility_DisplayArrayInTable(Fertiliser_SourceData.Fertiliser_Products_Data2(), FertiliserProducts[[#Headers],[Company]],31)</f>
        <v/>
      </c>
    </row>
    <row r="124" spans="1:34" ht="20.100000000000001" customHeight="1" x14ac:dyDescent="0.25">
      <c r="A124"/>
      <c r="D124" s="215" t="str" cm="1">
        <f t="array" ref="D124">Common_InputFunctions.Utility_DisplayArrayInTable(Fertiliser_SourceData.Fertiliser_Products_Data2(), FertiliserProducts[[#Headers],[Company]],31)</f>
        <v>Ravensdown</v>
      </c>
      <c r="E124" s="215" t="str" cm="1">
        <f t="array" ref="E124">Common_InputFunctions.Utility_DisplayArrayInTable(Fertiliser_SourceData.Fertiliser_Products_Data2(), FertiliserProducts[[#Headers],[Company]],31)</f>
        <v>Flexi-N NBPT</v>
      </c>
      <c r="F124" s="215" t="str" cm="1">
        <f t="array" ref="F124">Common_InputFunctions.Utility_DisplayArrayInTable(Fertiliser_SourceData.Fertiliser_Products_Data2(), FertiliserProducts[[#Headers],[Company]],31)</f>
        <v>kg</v>
      </c>
      <c r="G124" s="215" cm="1">
        <f t="array" ref="G124">Common_InputFunctions.Utility_DisplayArrayInTable(Fertiliser_SourceData.Fertiliser_Products_Data2(), FertiliserProducts[[#Headers],[Company]],31)</f>
        <v>1</v>
      </c>
      <c r="H124" s="215" t="str" cm="1">
        <f t="array" ref="H124">Common_InputFunctions.Utility_DisplayArrayInTable(Fertiliser_SourceData.Fertiliser_Products_Data2(), FertiliserProducts[[#Headers],[Company]],31)</f>
        <v>Yes</v>
      </c>
      <c r="I124" s="215" t="str" cm="1">
        <f t="array" ref="I124">Common_InputFunctions.Utility_DisplayArrayInTable(Fertiliser_SourceData.Fertiliser_Products_Data2(), FertiliserProducts[[#Headers],[Company]],31)</f>
        <v/>
      </c>
      <c r="J124" s="215" t="str" cm="1">
        <f t="array" ref="J124">Common_InputFunctions.Utility_DisplayArrayInTable(Fertiliser_SourceData.Fertiliser_Products_Data2(), FertiliserProducts[[#Headers],[Company]],31)</f>
        <v/>
      </c>
      <c r="K124" s="215" cm="1">
        <f t="array" ref="K124">Common_InputFunctions.Utility_DisplayArrayInTable(Fertiliser_SourceData.Fertiliser_Products_Data2(), FertiliserProducts[[#Headers],[Company]],31)</f>
        <v>45.54</v>
      </c>
      <c r="L124" s="215" t="str" cm="1">
        <f t="array" ref="L124">Common_InputFunctions.Utility_DisplayArrayInTable(Fertiliser_SourceData.Fertiliser_Products_Data2(), FertiliserProducts[[#Headers],[Company]],31)</f>
        <v/>
      </c>
      <c r="M124" s="215" t="str" cm="1">
        <f t="array" ref="M124">Common_InputFunctions.Utility_DisplayArrayInTable(Fertiliser_SourceData.Fertiliser_Products_Data2(), FertiliserProducts[[#Headers],[Company]],31)</f>
        <v/>
      </c>
      <c r="N124" s="215" t="str" cm="1">
        <f t="array" ref="N124">Common_InputFunctions.Utility_DisplayArrayInTable(Fertiliser_SourceData.Fertiliser_Products_Data2(), FertiliserProducts[[#Headers],[Company]],31)</f>
        <v/>
      </c>
      <c r="O124" s="215" t="str" cm="1">
        <f t="array" ref="O124">Common_InputFunctions.Utility_DisplayArrayInTable(Fertiliser_SourceData.Fertiliser_Products_Data2(), FertiliserProducts[[#Headers],[Company]],31)</f>
        <v>Urea</v>
      </c>
      <c r="P124" s="215" cm="1">
        <f t="array" ref="P124">Common_InputFunctions.Utility_DisplayArrayInTable(Fertiliser_SourceData.Fertiliser_Products_Data2(), FertiliserProducts[[#Headers],[Company]],31)</f>
        <v>0.99</v>
      </c>
      <c r="Q124" s="215" t="str" cm="1">
        <f t="array" ref="Q124">Common_InputFunctions.Utility_DisplayArrayInTable(Fertiliser_SourceData.Fertiliser_Products_Data2(), FertiliserProducts[[#Headers],[Company]],31)</f>
        <v/>
      </c>
      <c r="R124" s="215" t="str" cm="1">
        <f t="array" ref="R124">Common_InputFunctions.Utility_DisplayArrayInTable(Fertiliser_SourceData.Fertiliser_Products_Data2(), FertiliserProducts[[#Headers],[Company]],31)</f>
        <v/>
      </c>
      <c r="S124" s="215" t="str" cm="1">
        <f t="array" ref="S124">Common_InputFunctions.Utility_DisplayArrayInTable(Fertiliser_SourceData.Fertiliser_Products_Data2(), FertiliserProducts[[#Headers],[Company]],31)</f>
        <v/>
      </c>
      <c r="T124" s="215" t="str" cm="1">
        <f t="array" ref="T124">Common_InputFunctions.Utility_DisplayArrayInTable(Fertiliser_SourceData.Fertiliser_Products_Data2(), FertiliserProducts[[#Headers],[Company]],31)</f>
        <v/>
      </c>
      <c r="U124" s="215" t="str" cm="1">
        <f t="array" ref="U124">Common_InputFunctions.Utility_DisplayArrayInTable(Fertiliser_SourceData.Fertiliser_Products_Data2(), FertiliserProducts[[#Headers],[Company]],31)</f>
        <v/>
      </c>
      <c r="V124" s="215" t="str" cm="1">
        <f t="array" ref="V124">Common_InputFunctions.Utility_DisplayArrayInTable(Fertiliser_SourceData.Fertiliser_Products_Data2(), FertiliserProducts[[#Headers],[Company]],31)</f>
        <v/>
      </c>
      <c r="W124" s="215" t="str" cm="1">
        <f t="array" ref="W124">Common_InputFunctions.Utility_DisplayArrayInTable(Fertiliser_SourceData.Fertiliser_Products_Data2(), FertiliserProducts[[#Headers],[Company]],31)</f>
        <v/>
      </c>
      <c r="X124" s="215" t="str" cm="1">
        <f t="array" ref="X124">Common_InputFunctions.Utility_DisplayArrayInTable(Fertiliser_SourceData.Fertiliser_Products_Data2(), FertiliserProducts[[#Headers],[Company]],31)</f>
        <v/>
      </c>
      <c r="Y124" s="215" t="str" cm="1">
        <f t="array" ref="Y124">Common_InputFunctions.Utility_DisplayArrayInTable(Fertiliser_SourceData.Fertiliser_Products_Data2(), FertiliserProducts[[#Headers],[Company]],31)</f>
        <v/>
      </c>
      <c r="Z124" s="215" t="str" cm="1">
        <f t="array" ref="Z124">Common_InputFunctions.Utility_DisplayArrayInTable(Fertiliser_SourceData.Fertiliser_Products_Data2(), FertiliserProducts[[#Headers],[Company]],31)</f>
        <v/>
      </c>
      <c r="AA124" s="215" t="str" cm="1">
        <f t="array" ref="AA124">Common_InputFunctions.Utility_DisplayArrayInTable(Fertiliser_SourceData.Fertiliser_Products_Data2(), FertiliserProducts[[#Headers],[Company]],31)</f>
        <v/>
      </c>
      <c r="AB124" s="215" t="str" cm="1">
        <f t="array" ref="AB124">Common_InputFunctions.Utility_DisplayArrayInTable(Fertiliser_SourceData.Fertiliser_Products_Data2(), FertiliserProducts[[#Headers],[Company]],31)</f>
        <v/>
      </c>
      <c r="AC124" s="215" t="str" cm="1">
        <f t="array" ref="AC124">Common_InputFunctions.Utility_DisplayArrayInTable(Fertiliser_SourceData.Fertiliser_Products_Data2(), FertiliserProducts[[#Headers],[Company]],31)</f>
        <v/>
      </c>
      <c r="AD124" s="215" t="str" cm="1">
        <f t="array" ref="AD124">Common_InputFunctions.Utility_DisplayArrayInTable(Fertiliser_SourceData.Fertiliser_Products_Data2(), FertiliserProducts[[#Headers],[Company]],31)</f>
        <v/>
      </c>
      <c r="AE124" s="215" t="str" cm="1">
        <f t="array" ref="AE124">Common_InputFunctions.Utility_DisplayArrayInTable(Fertiliser_SourceData.Fertiliser_Products_Data2(), FertiliserProducts[[#Headers],[Company]],31)</f>
        <v/>
      </c>
      <c r="AF124" s="215" t="str" cm="1">
        <f t="array" ref="AF124">Common_InputFunctions.Utility_DisplayArrayInTable(Fertiliser_SourceData.Fertiliser_Products_Data2(), FertiliserProducts[[#Headers],[Company]],31)</f>
        <v/>
      </c>
      <c r="AG124" s="215" t="str" cm="1">
        <f t="array" ref="AG124">Common_InputFunctions.Utility_DisplayArrayInTable(Fertiliser_SourceData.Fertiliser_Products_Data2(), FertiliserProducts[[#Headers],[Company]],31)</f>
        <v/>
      </c>
      <c r="AH124" s="215" t="str" cm="1">
        <f t="array" ref="AH124">Common_InputFunctions.Utility_DisplayArrayInTable(Fertiliser_SourceData.Fertiliser_Products_Data2(), FertiliserProducts[[#Headers],[Company]],31)</f>
        <v/>
      </c>
    </row>
    <row r="125" spans="1:34" ht="20.100000000000001" customHeight="1" x14ac:dyDescent="0.25">
      <c r="A125"/>
      <c r="D125" s="215" t="str" cm="1">
        <f t="array" ref="D125">Common_InputFunctions.Utility_DisplayArrayInTable(Fertiliser_SourceData.Fertiliser_Products_Data2(), FertiliserProducts[[#Headers],[Company]],31)</f>
        <v>Campbells fertilisers Australia</v>
      </c>
      <c r="E125" s="215" t="str" cm="1">
        <f t="array" ref="E125">Common_InputFunctions.Utility_DisplayArrayInTable(Fertiliser_SourceData.Fertiliser_Products_Data2(), FertiliserProducts[[#Headers],[Company]],31)</f>
        <v>Gold Premium</v>
      </c>
      <c r="F125" s="215" t="str" cm="1">
        <f t="array" ref="F125">Common_InputFunctions.Utility_DisplayArrayInTable(Fertiliser_SourceData.Fertiliser_Products_Data2(), FertiliserProducts[[#Headers],[Company]],31)</f>
        <v>kg</v>
      </c>
      <c r="G125" s="215" cm="1">
        <f t="array" ref="G125">Common_InputFunctions.Utility_DisplayArrayInTable(Fertiliser_SourceData.Fertiliser_Products_Data2(), FertiliserProducts[[#Headers],[Company]],31)</f>
        <v>1</v>
      </c>
      <c r="H125" s="215" t="str" cm="1">
        <f t="array" ref="H125">Common_InputFunctions.Utility_DisplayArrayInTable(Fertiliser_SourceData.Fertiliser_Products_Data2(), FertiliserProducts[[#Headers],[Company]],31)</f>
        <v/>
      </c>
      <c r="I125" s="215" t="str" cm="1">
        <f t="array" ref="I125">Common_InputFunctions.Utility_DisplayArrayInTable(Fertiliser_SourceData.Fertiliser_Products_Data2(), FertiliserProducts[[#Headers],[Company]],31)</f>
        <v/>
      </c>
      <c r="J125" s="215" t="str" cm="1">
        <f t="array" ref="J125">Common_InputFunctions.Utility_DisplayArrayInTable(Fertiliser_SourceData.Fertiliser_Products_Data2(), FertiliserProducts[[#Headers],[Company]],31)</f>
        <v/>
      </c>
      <c r="K125" s="215" cm="1">
        <f t="array" ref="K125">Common_InputFunctions.Utility_DisplayArrayInTable(Fertiliser_SourceData.Fertiliser_Products_Data2(), FertiliserProducts[[#Headers],[Company]],31)</f>
        <v>14.87</v>
      </c>
      <c r="L125" s="215" cm="1">
        <f t="array" ref="L125">Common_InputFunctions.Utility_DisplayArrayInTable(Fertiliser_SourceData.Fertiliser_Products_Data2(), FertiliserProducts[[#Headers],[Company]],31)</f>
        <v>2.2000000000000002</v>
      </c>
      <c r="M125" s="215" cm="1">
        <f t="array" ref="M125">Common_InputFunctions.Utility_DisplayArrayInTable(Fertiliser_SourceData.Fertiliser_Products_Data2(), FertiliserProducts[[#Headers],[Company]],31)</f>
        <v>16.600000000000001</v>
      </c>
      <c r="N125" s="215" cm="1">
        <f t="array" ref="N125">Common_InputFunctions.Utility_DisplayArrayInTable(Fertiliser_SourceData.Fertiliser_Products_Data2(), FertiliserProducts[[#Headers],[Company]],31)</f>
        <v>8</v>
      </c>
      <c r="O125" s="215" t="str" cm="1">
        <f t="array" ref="O125">Common_InputFunctions.Utility_DisplayArrayInTable(Fertiliser_SourceData.Fertiliser_Products_Data2(), FertiliserProducts[[#Headers],[Company]],31)</f>
        <v>Ammonium nitrate (AN)</v>
      </c>
      <c r="P125" s="215" cm="1">
        <f t="array" ref="P125">Common_InputFunctions.Utility_DisplayArrayInTable(Fertiliser_SourceData.Fertiliser_Products_Data2(), FertiliserProducts[[#Headers],[Company]],31)</f>
        <v>0.44117600000000001</v>
      </c>
      <c r="Q125" s="215" t="str" cm="1">
        <f t="array" ref="Q125">Common_InputFunctions.Utility_DisplayArrayInTable(Fertiliser_SourceData.Fertiliser_Products_Data2(), FertiliserProducts[[#Headers],[Company]],31)</f>
        <v>Potassium - Generic</v>
      </c>
      <c r="R125" s="215" cm="1">
        <f t="array" ref="R125">Common_InputFunctions.Utility_DisplayArrayInTable(Fertiliser_SourceData.Fertiliser_Products_Data2(), FertiliserProducts[[#Headers],[Company]],31)</f>
        <v>0.16600000000000001</v>
      </c>
      <c r="S125" s="215" t="str" cm="1">
        <f t="array" ref="S125">Common_InputFunctions.Utility_DisplayArrayInTable(Fertiliser_SourceData.Fertiliser_Products_Data2(), FertiliserProducts[[#Headers],[Company]],31)</f>
        <v>Sulfur - Generic</v>
      </c>
      <c r="T125" s="215" cm="1">
        <f t="array" ref="T125">Common_InputFunctions.Utility_DisplayArrayInTable(Fertiliser_SourceData.Fertiliser_Products_Data2(), FertiliserProducts[[#Headers],[Company]],31)</f>
        <v>0.08</v>
      </c>
      <c r="U125" s="215" t="str" cm="1">
        <f t="array" ref="U125">Common_InputFunctions.Utility_DisplayArrayInTable(Fertiliser_SourceData.Fertiliser_Products_Data2(), FertiliserProducts[[#Headers],[Company]],31)</f>
        <v>Phosphorus - Generic</v>
      </c>
      <c r="V125" s="215" cm="1">
        <f t="array" ref="V125">Common_InputFunctions.Utility_DisplayArrayInTable(Fertiliser_SourceData.Fertiliser_Products_Data2(), FertiliserProducts[[#Headers],[Company]],31)</f>
        <v>2.1999999999999999E-2</v>
      </c>
      <c r="W125" s="215" t="str" cm="1">
        <f t="array" ref="W125">Common_InputFunctions.Utility_DisplayArrayInTable(Fertiliser_SourceData.Fertiliser_Products_Data2(), FertiliserProducts[[#Headers],[Company]],31)</f>
        <v>Magnesium</v>
      </c>
      <c r="X125" s="215" cm="1">
        <f t="array" ref="X125">Common_InputFunctions.Utility_DisplayArrayInTable(Fertiliser_SourceData.Fertiliser_Products_Data2(), FertiliserProducts[[#Headers],[Company]],31)</f>
        <v>1.2E-2</v>
      </c>
      <c r="Y125" s="215" t="str" cm="1">
        <f t="array" ref="Y125">Common_InputFunctions.Utility_DisplayArrayInTable(Fertiliser_SourceData.Fertiliser_Products_Data2(), FertiliserProducts[[#Headers],[Company]],31)</f>
        <v>Boron</v>
      </c>
      <c r="Z125" s="215" cm="1">
        <f t="array" ref="Z125">Common_InputFunctions.Utility_DisplayArrayInTable(Fertiliser_SourceData.Fertiliser_Products_Data2(), FertiliserProducts[[#Headers],[Company]],31)</f>
        <v>2.0000000000000001E-4</v>
      </c>
      <c r="AA125" s="215" t="str" cm="1">
        <f t="array" ref="AA125">Common_InputFunctions.Utility_DisplayArrayInTable(Fertiliser_SourceData.Fertiliser_Products_Data2(), FertiliserProducts[[#Headers],[Company]],31)</f>
        <v>Zinc</v>
      </c>
      <c r="AB125" s="215" cm="1">
        <f t="array" ref="AB125">Common_InputFunctions.Utility_DisplayArrayInTable(Fertiliser_SourceData.Fertiliser_Products_Data2(), FertiliserProducts[[#Headers],[Company]],31)</f>
        <v>1E-4</v>
      </c>
      <c r="AC125" s="215" t="str" cm="1">
        <f t="array" ref="AC125">Common_InputFunctions.Utility_DisplayArrayInTable(Fertiliser_SourceData.Fertiliser_Products_Data2(), FertiliserProducts[[#Headers],[Company]],31)</f>
        <v/>
      </c>
      <c r="AD125" s="215" t="str" cm="1">
        <f t="array" ref="AD125">Common_InputFunctions.Utility_DisplayArrayInTable(Fertiliser_SourceData.Fertiliser_Products_Data2(), FertiliserProducts[[#Headers],[Company]],31)</f>
        <v/>
      </c>
      <c r="AE125" s="215" t="str" cm="1">
        <f t="array" ref="AE125">Common_InputFunctions.Utility_DisplayArrayInTable(Fertiliser_SourceData.Fertiliser_Products_Data2(), FertiliserProducts[[#Headers],[Company]],31)</f>
        <v/>
      </c>
      <c r="AF125" s="215" t="str" cm="1">
        <f t="array" ref="AF125">Common_InputFunctions.Utility_DisplayArrayInTable(Fertiliser_SourceData.Fertiliser_Products_Data2(), FertiliserProducts[[#Headers],[Company]],31)</f>
        <v/>
      </c>
      <c r="AG125" s="215" t="str" cm="1">
        <f t="array" ref="AG125">Common_InputFunctions.Utility_DisplayArrayInTable(Fertiliser_SourceData.Fertiliser_Products_Data2(), FertiliserProducts[[#Headers],[Company]],31)</f>
        <v/>
      </c>
      <c r="AH125" s="215" t="str" cm="1">
        <f t="array" ref="AH125">Common_InputFunctions.Utility_DisplayArrayInTable(Fertiliser_SourceData.Fertiliser_Products_Data2(), FertiliserProducts[[#Headers],[Company]],31)</f>
        <v/>
      </c>
    </row>
    <row r="126" spans="1:34" ht="20.100000000000001" customHeight="1" x14ac:dyDescent="0.25">
      <c r="A126"/>
      <c r="D126" s="215" t="str" cm="1">
        <f t="array" ref="D126">Common_InputFunctions.Utility_DisplayArrayInTable(Fertiliser_SourceData.Fertiliser_Products_Data2(), FertiliserProducts[[#Headers],[Company]],31)</f>
        <v>SL Tec</v>
      </c>
      <c r="E126" s="215" t="str" cm="1">
        <f t="array" ref="E126">Common_InputFunctions.Utility_DisplayArrayInTable(Fertiliser_SourceData.Fertiliser_Products_Data2(), FertiliserProducts[[#Headers],[Company]],31)</f>
        <v>High NS</v>
      </c>
      <c r="F126" s="215" t="str" cm="1">
        <f t="array" ref="F126">Common_InputFunctions.Utility_DisplayArrayInTable(Fertiliser_SourceData.Fertiliser_Products_Data2(), FertiliserProducts[[#Headers],[Company]],31)</f>
        <v>L</v>
      </c>
      <c r="G126" s="215" cm="1">
        <f t="array" ref="G126">Common_InputFunctions.Utility_DisplayArrayInTable(Fertiliser_SourceData.Fertiliser_Products_Data2(), FertiliserProducts[[#Headers],[Company]],31)</f>
        <v>1.2989999999999999</v>
      </c>
      <c r="H126" s="215" t="str" cm="1">
        <f t="array" ref="H126">Common_InputFunctions.Utility_DisplayArrayInTable(Fertiliser_SourceData.Fertiliser_Products_Data2(), FertiliserProducts[[#Headers],[Company]],31)</f>
        <v/>
      </c>
      <c r="I126" s="215" t="str" cm="1">
        <f t="array" ref="I126">Common_InputFunctions.Utility_DisplayArrayInTable(Fertiliser_SourceData.Fertiliser_Products_Data2(), FertiliserProducts[[#Headers],[Company]],31)</f>
        <v/>
      </c>
      <c r="J126" s="215" t="str" cm="1">
        <f t="array" ref="J126">Common_InputFunctions.Utility_DisplayArrayInTable(Fertiliser_SourceData.Fertiliser_Products_Data2(), FertiliserProducts[[#Headers],[Company]],31)</f>
        <v/>
      </c>
      <c r="K126" s="215" cm="1">
        <f t="array" ref="K126">Common_InputFunctions.Utility_DisplayArrayInTable(Fertiliser_SourceData.Fertiliser_Products_Data2(), FertiliserProducts[[#Headers],[Company]],31)</f>
        <v>38</v>
      </c>
      <c r="L126" s="215" t="str" cm="1">
        <f t="array" ref="L126">Common_InputFunctions.Utility_DisplayArrayInTable(Fertiliser_SourceData.Fertiliser_Products_Data2(), FertiliserProducts[[#Headers],[Company]],31)</f>
        <v/>
      </c>
      <c r="M126" s="215" t="str" cm="1">
        <f t="array" ref="M126">Common_InputFunctions.Utility_DisplayArrayInTable(Fertiliser_SourceData.Fertiliser_Products_Data2(), FertiliserProducts[[#Headers],[Company]],31)</f>
        <v/>
      </c>
      <c r="N126" s="215" cm="1">
        <f t="array" ref="N126">Common_InputFunctions.Utility_DisplayArrayInTable(Fertiliser_SourceData.Fertiliser_Products_Data2(), FertiliserProducts[[#Headers],[Company]],31)</f>
        <v>2</v>
      </c>
      <c r="O126" s="215" t="str" cm="1">
        <f t="array" ref="O126">Common_InputFunctions.Utility_DisplayArrayInTable(Fertiliser_SourceData.Fertiliser_Products_Data2(), FertiliserProducts[[#Headers],[Company]],31)</f>
        <v>Urea</v>
      </c>
      <c r="P126" s="215" cm="1">
        <f t="array" ref="P126">Common_InputFunctions.Utility_DisplayArrayInTable(Fertiliser_SourceData.Fertiliser_Products_Data2(), FertiliserProducts[[#Headers],[Company]],31)</f>
        <v>0.46087</v>
      </c>
      <c r="Q126" s="215" t="str" cm="1">
        <f t="array" ref="Q126">Common_InputFunctions.Utility_DisplayArrayInTable(Fertiliser_SourceData.Fertiliser_Products_Data2(), FertiliserProducts[[#Headers],[Company]],31)</f>
        <v>Nitrogen - Ammoniacal</v>
      </c>
      <c r="R126" s="215" cm="1">
        <f t="array" ref="R126">Common_InputFunctions.Utility_DisplayArrayInTable(Fertiliser_SourceData.Fertiliser_Products_Data2(), FertiliserProducts[[#Headers],[Company]],31)</f>
        <v>9.1999999999999998E-2</v>
      </c>
      <c r="S126" s="215" t="str" cm="1">
        <f t="array" ref="S126">Common_InputFunctions.Utility_DisplayArrayInTable(Fertiliser_SourceData.Fertiliser_Products_Data2(), FertiliserProducts[[#Headers],[Company]],31)</f>
        <v>Nitrogen - Nitrate</v>
      </c>
      <c r="T126" s="215" cm="1">
        <f t="array" ref="T126">Common_InputFunctions.Utility_DisplayArrayInTable(Fertiliser_SourceData.Fertiliser_Products_Data2(), FertiliserProducts[[#Headers],[Company]],31)</f>
        <v>7.5999999999999998E-2</v>
      </c>
      <c r="U126" s="215" t="str" cm="1">
        <f t="array" ref="U126">Common_InputFunctions.Utility_DisplayArrayInTable(Fertiliser_SourceData.Fertiliser_Products_Data2(), FertiliserProducts[[#Headers],[Company]],31)</f>
        <v>Sulfur - Generic</v>
      </c>
      <c r="V126" s="215" cm="1">
        <f t="array" ref="V126">Common_InputFunctions.Utility_DisplayArrayInTable(Fertiliser_SourceData.Fertiliser_Products_Data2(), FertiliserProducts[[#Headers],[Company]],31)</f>
        <v>0.02</v>
      </c>
      <c r="W126" s="215" t="str" cm="1">
        <f t="array" ref="W126">Common_InputFunctions.Utility_DisplayArrayInTable(Fertiliser_SourceData.Fertiliser_Products_Data2(), FertiliserProducts[[#Headers],[Company]],31)</f>
        <v/>
      </c>
      <c r="X126" s="215" t="str" cm="1">
        <f t="array" ref="X126">Common_InputFunctions.Utility_DisplayArrayInTable(Fertiliser_SourceData.Fertiliser_Products_Data2(), FertiliserProducts[[#Headers],[Company]],31)</f>
        <v/>
      </c>
      <c r="Y126" s="215" t="str" cm="1">
        <f t="array" ref="Y126">Common_InputFunctions.Utility_DisplayArrayInTable(Fertiliser_SourceData.Fertiliser_Products_Data2(), FertiliserProducts[[#Headers],[Company]],31)</f>
        <v/>
      </c>
      <c r="Z126" s="215" t="str" cm="1">
        <f t="array" ref="Z126">Common_InputFunctions.Utility_DisplayArrayInTable(Fertiliser_SourceData.Fertiliser_Products_Data2(), FertiliserProducts[[#Headers],[Company]],31)</f>
        <v/>
      </c>
      <c r="AA126" s="215" t="str" cm="1">
        <f t="array" ref="AA126">Common_InputFunctions.Utility_DisplayArrayInTable(Fertiliser_SourceData.Fertiliser_Products_Data2(), FertiliserProducts[[#Headers],[Company]],31)</f>
        <v/>
      </c>
      <c r="AB126" s="215" t="str" cm="1">
        <f t="array" ref="AB126">Common_InputFunctions.Utility_DisplayArrayInTable(Fertiliser_SourceData.Fertiliser_Products_Data2(), FertiliserProducts[[#Headers],[Company]],31)</f>
        <v/>
      </c>
      <c r="AC126" s="215" t="str" cm="1">
        <f t="array" ref="AC126">Common_InputFunctions.Utility_DisplayArrayInTable(Fertiliser_SourceData.Fertiliser_Products_Data2(), FertiliserProducts[[#Headers],[Company]],31)</f>
        <v/>
      </c>
      <c r="AD126" s="215" t="str" cm="1">
        <f t="array" ref="AD126">Common_InputFunctions.Utility_DisplayArrayInTable(Fertiliser_SourceData.Fertiliser_Products_Data2(), FertiliserProducts[[#Headers],[Company]],31)</f>
        <v/>
      </c>
      <c r="AE126" s="215" t="str" cm="1">
        <f t="array" ref="AE126">Common_InputFunctions.Utility_DisplayArrayInTable(Fertiliser_SourceData.Fertiliser_Products_Data2(), FertiliserProducts[[#Headers],[Company]],31)</f>
        <v/>
      </c>
      <c r="AF126" s="215" t="str" cm="1">
        <f t="array" ref="AF126">Common_InputFunctions.Utility_DisplayArrayInTable(Fertiliser_SourceData.Fertiliser_Products_Data2(), FertiliserProducts[[#Headers],[Company]],31)</f>
        <v/>
      </c>
      <c r="AG126" s="215" t="str" cm="1">
        <f t="array" ref="AG126">Common_InputFunctions.Utility_DisplayArrayInTable(Fertiliser_SourceData.Fertiliser_Products_Data2(), FertiliserProducts[[#Headers],[Company]],31)</f>
        <v/>
      </c>
      <c r="AH126" s="215" t="str" cm="1">
        <f t="array" ref="AH126">Common_InputFunctions.Utility_DisplayArrayInTable(Fertiliser_SourceData.Fertiliser_Products_Data2(), FertiliserProducts[[#Headers],[Company]],31)</f>
        <v/>
      </c>
    </row>
    <row r="127" spans="1:34" ht="20.100000000000001" customHeight="1" x14ac:dyDescent="0.25">
      <c r="A127"/>
      <c r="D127" s="215" t="str" cm="1">
        <f t="array" ref="D127">Common_InputFunctions.Utility_DisplayArrayInTable(Fertiliser_SourceData.Fertiliser_Products_Data2(), FertiliserProducts[[#Headers],[Company]],31)</f>
        <v>Impact Fertilisers</v>
      </c>
      <c r="E127" s="215" t="str" cm="1">
        <f t="array" ref="E127">Common_InputFunctions.Utility_DisplayArrayInTable(Fertiliser_SourceData.Fertiliser_Products_Data2(), FertiliserProducts[[#Headers],[Company]],31)</f>
        <v>Impact SSP</v>
      </c>
      <c r="F127" s="215" t="str" cm="1">
        <f t="array" ref="F127">Common_InputFunctions.Utility_DisplayArrayInTable(Fertiliser_SourceData.Fertiliser_Products_Data2(), FertiliserProducts[[#Headers],[Company]],31)</f>
        <v>kg</v>
      </c>
      <c r="G127" s="215" cm="1">
        <f t="array" ref="G127">Common_InputFunctions.Utility_DisplayArrayInTable(Fertiliser_SourceData.Fertiliser_Products_Data2(), FertiliserProducts[[#Headers],[Company]],31)</f>
        <v>1</v>
      </c>
      <c r="H127" s="215" t="str" cm="1">
        <f t="array" ref="H127">Common_InputFunctions.Utility_DisplayArrayInTable(Fertiliser_SourceData.Fertiliser_Products_Data2(), FertiliserProducts[[#Headers],[Company]],31)</f>
        <v/>
      </c>
      <c r="I127" s="215" t="str" cm="1">
        <f t="array" ref="I127">Common_InputFunctions.Utility_DisplayArrayInTable(Fertiliser_SourceData.Fertiliser_Products_Data2(), FertiliserProducts[[#Headers],[Company]],31)</f>
        <v/>
      </c>
      <c r="J127" s="215" t="str" cm="1">
        <f t="array" ref="J127">Common_InputFunctions.Utility_DisplayArrayInTable(Fertiliser_SourceData.Fertiliser_Products_Data2(), FertiliserProducts[[#Headers],[Company]],31)</f>
        <v/>
      </c>
      <c r="K127" s="215" t="str" cm="1">
        <f t="array" ref="K127">Common_InputFunctions.Utility_DisplayArrayInTable(Fertiliser_SourceData.Fertiliser_Products_Data2(), FertiliserProducts[[#Headers],[Company]],31)</f>
        <v/>
      </c>
      <c r="L127" s="215" cm="1">
        <f t="array" ref="L127">Common_InputFunctions.Utility_DisplayArrayInTable(Fertiliser_SourceData.Fertiliser_Products_Data2(), FertiliserProducts[[#Headers],[Company]],31)</f>
        <v>8.8000000000000007</v>
      </c>
      <c r="M127" s="215" t="str" cm="1">
        <f t="array" ref="M127">Common_InputFunctions.Utility_DisplayArrayInTable(Fertiliser_SourceData.Fertiliser_Products_Data2(), FertiliserProducts[[#Headers],[Company]],31)</f>
        <v/>
      </c>
      <c r="N127" s="215" cm="1">
        <f t="array" ref="N127">Common_InputFunctions.Utility_DisplayArrayInTable(Fertiliser_SourceData.Fertiliser_Products_Data2(), FertiliserProducts[[#Headers],[Company]],31)</f>
        <v>11</v>
      </c>
      <c r="O127" s="215" t="str" cm="1">
        <f t="array" ref="O127">Common_InputFunctions.Utility_DisplayArrayInTable(Fertiliser_SourceData.Fertiliser_Products_Data2(), FertiliserProducts[[#Headers],[Company]],31)</f>
        <v>Single superphosphate (SSP)</v>
      </c>
      <c r="P127" s="215" cm="1">
        <f t="array" ref="P127">Common_InputFunctions.Utility_DisplayArrayInTable(Fertiliser_SourceData.Fertiliser_Products_Data2(), FertiliserProducts[[#Headers],[Company]],31)</f>
        <v>1</v>
      </c>
      <c r="Q127" s="215" t="str" cm="1">
        <f t="array" ref="Q127">Common_InputFunctions.Utility_DisplayArrayInTable(Fertiliser_SourceData.Fertiliser_Products_Data2(), FertiliserProducts[[#Headers],[Company]],31)</f>
        <v/>
      </c>
      <c r="R127" s="215" t="str" cm="1">
        <f t="array" ref="R127">Common_InputFunctions.Utility_DisplayArrayInTable(Fertiliser_SourceData.Fertiliser_Products_Data2(), FertiliserProducts[[#Headers],[Company]],31)</f>
        <v/>
      </c>
      <c r="S127" s="215" t="str" cm="1">
        <f t="array" ref="S127">Common_InputFunctions.Utility_DisplayArrayInTable(Fertiliser_SourceData.Fertiliser_Products_Data2(), FertiliserProducts[[#Headers],[Company]],31)</f>
        <v/>
      </c>
      <c r="T127" s="215" t="str" cm="1">
        <f t="array" ref="T127">Common_InputFunctions.Utility_DisplayArrayInTable(Fertiliser_SourceData.Fertiliser_Products_Data2(), FertiliserProducts[[#Headers],[Company]],31)</f>
        <v/>
      </c>
      <c r="U127" s="215" t="str" cm="1">
        <f t="array" ref="U127">Common_InputFunctions.Utility_DisplayArrayInTable(Fertiliser_SourceData.Fertiliser_Products_Data2(), FertiliserProducts[[#Headers],[Company]],31)</f>
        <v/>
      </c>
      <c r="V127" s="215" t="str" cm="1">
        <f t="array" ref="V127">Common_InputFunctions.Utility_DisplayArrayInTable(Fertiliser_SourceData.Fertiliser_Products_Data2(), FertiliserProducts[[#Headers],[Company]],31)</f>
        <v/>
      </c>
      <c r="W127" s="215" t="str" cm="1">
        <f t="array" ref="W127">Common_InputFunctions.Utility_DisplayArrayInTable(Fertiliser_SourceData.Fertiliser_Products_Data2(), FertiliserProducts[[#Headers],[Company]],31)</f>
        <v/>
      </c>
      <c r="X127" s="215" t="str" cm="1">
        <f t="array" ref="X127">Common_InputFunctions.Utility_DisplayArrayInTable(Fertiliser_SourceData.Fertiliser_Products_Data2(), FertiliserProducts[[#Headers],[Company]],31)</f>
        <v/>
      </c>
      <c r="Y127" s="215" t="str" cm="1">
        <f t="array" ref="Y127">Common_InputFunctions.Utility_DisplayArrayInTable(Fertiliser_SourceData.Fertiliser_Products_Data2(), FertiliserProducts[[#Headers],[Company]],31)</f>
        <v/>
      </c>
      <c r="Z127" s="215" t="str" cm="1">
        <f t="array" ref="Z127">Common_InputFunctions.Utility_DisplayArrayInTable(Fertiliser_SourceData.Fertiliser_Products_Data2(), FertiliserProducts[[#Headers],[Company]],31)</f>
        <v/>
      </c>
      <c r="AA127" s="215" t="str" cm="1">
        <f t="array" ref="AA127">Common_InputFunctions.Utility_DisplayArrayInTable(Fertiliser_SourceData.Fertiliser_Products_Data2(), FertiliserProducts[[#Headers],[Company]],31)</f>
        <v/>
      </c>
      <c r="AB127" s="215" t="str" cm="1">
        <f t="array" ref="AB127">Common_InputFunctions.Utility_DisplayArrayInTable(Fertiliser_SourceData.Fertiliser_Products_Data2(), FertiliserProducts[[#Headers],[Company]],31)</f>
        <v/>
      </c>
      <c r="AC127" s="215" t="str" cm="1">
        <f t="array" ref="AC127">Common_InputFunctions.Utility_DisplayArrayInTable(Fertiliser_SourceData.Fertiliser_Products_Data2(), FertiliserProducts[[#Headers],[Company]],31)</f>
        <v/>
      </c>
      <c r="AD127" s="215" t="str" cm="1">
        <f t="array" ref="AD127">Common_InputFunctions.Utility_DisplayArrayInTable(Fertiliser_SourceData.Fertiliser_Products_Data2(), FertiliserProducts[[#Headers],[Company]],31)</f>
        <v/>
      </c>
      <c r="AE127" s="215" t="str" cm="1">
        <f t="array" ref="AE127">Common_InputFunctions.Utility_DisplayArrayInTable(Fertiliser_SourceData.Fertiliser_Products_Data2(), FertiliserProducts[[#Headers],[Company]],31)</f>
        <v/>
      </c>
      <c r="AF127" s="215" t="str" cm="1">
        <f t="array" ref="AF127">Common_InputFunctions.Utility_DisplayArrayInTable(Fertiliser_SourceData.Fertiliser_Products_Data2(), FertiliserProducts[[#Headers],[Company]],31)</f>
        <v/>
      </c>
      <c r="AG127" s="215" t="str" cm="1">
        <f t="array" ref="AG127">Common_InputFunctions.Utility_DisplayArrayInTable(Fertiliser_SourceData.Fertiliser_Products_Data2(), FertiliserProducts[[#Headers],[Company]],31)</f>
        <v/>
      </c>
      <c r="AH127" s="215" t="str" cm="1">
        <f t="array" ref="AH127">Common_InputFunctions.Utility_DisplayArrayInTable(Fertiliser_SourceData.Fertiliser_Products_Data2(), FertiliserProducts[[#Headers],[Company]],31)</f>
        <v/>
      </c>
    </row>
    <row r="128" spans="1:34" ht="20.100000000000001" customHeight="1" x14ac:dyDescent="0.25">
      <c r="A128"/>
      <c r="D128" s="215" t="str" cm="1">
        <f t="array" ref="D128">Common_InputFunctions.Utility_DisplayArrayInTable(Fertiliser_SourceData.Fertiliser_Products_Data2(), FertiliserProducts[[#Headers],[Company]],31)</f>
        <v>Switch Ag</v>
      </c>
      <c r="E128" s="215" t="str" cm="1">
        <f t="array" ref="E128">Common_InputFunctions.Utility_DisplayArrayInTable(Fertiliser_SourceData.Fertiliser_Products_Data2(), FertiliserProducts[[#Headers],[Company]],31)</f>
        <v>In Crop</v>
      </c>
      <c r="F128" s="215" t="str" cm="1">
        <f t="array" ref="F128">Common_InputFunctions.Utility_DisplayArrayInTable(Fertiliser_SourceData.Fertiliser_Products_Data2(), FertiliserProducts[[#Headers],[Company]],31)</f>
        <v>L</v>
      </c>
      <c r="G128" s="215" cm="1">
        <f t="array" ref="G128">Common_InputFunctions.Utility_DisplayArrayInTable(Fertiliser_SourceData.Fertiliser_Products_Data2(), FertiliserProducts[[#Headers],[Company]],31)</f>
        <v>1.2</v>
      </c>
      <c r="H128" s="215" t="str" cm="1">
        <f t="array" ref="H128">Common_InputFunctions.Utility_DisplayArrayInTable(Fertiliser_SourceData.Fertiliser_Products_Data2(), FertiliserProducts[[#Headers],[Company]],31)</f>
        <v/>
      </c>
      <c r="I128" s="215" t="str" cm="1">
        <f t="array" ref="I128">Common_InputFunctions.Utility_DisplayArrayInTable(Fertiliser_SourceData.Fertiliser_Products_Data2(), FertiliserProducts[[#Headers],[Company]],31)</f>
        <v/>
      </c>
      <c r="J128" s="215" t="str" cm="1">
        <f t="array" ref="J128">Common_InputFunctions.Utility_DisplayArrayInTable(Fertiliser_SourceData.Fertiliser_Products_Data2(), FertiliserProducts[[#Headers],[Company]],31)</f>
        <v/>
      </c>
      <c r="K128" s="215" cm="1">
        <f t="array" ref="K128">Common_InputFunctions.Utility_DisplayArrayInTable(Fertiliser_SourceData.Fertiliser_Products_Data2(), FertiliserProducts[[#Headers],[Company]],31)</f>
        <v>10</v>
      </c>
      <c r="L128" s="215" cm="1">
        <f t="array" ref="L128">Common_InputFunctions.Utility_DisplayArrayInTable(Fertiliser_SourceData.Fertiliser_Products_Data2(), FertiliserProducts[[#Headers],[Company]],31)</f>
        <v>1</v>
      </c>
      <c r="M128" s="215" cm="1">
        <f t="array" ref="M128">Common_InputFunctions.Utility_DisplayArrayInTable(Fertiliser_SourceData.Fertiliser_Products_Data2(), FertiliserProducts[[#Headers],[Company]],31)</f>
        <v>11</v>
      </c>
      <c r="N128" s="215" t="str" cm="1">
        <f t="array" ref="N128">Common_InputFunctions.Utility_DisplayArrayInTable(Fertiliser_SourceData.Fertiliser_Products_Data2(), FertiliserProducts[[#Headers],[Company]],31)</f>
        <v/>
      </c>
      <c r="O128" s="215" t="str" cm="1">
        <f t="array" ref="O128">Common_InputFunctions.Utility_DisplayArrayInTable(Fertiliser_SourceData.Fertiliser_Products_Data2(), FertiliserProducts[[#Headers],[Company]],31)</f>
        <v>Potassium - Generic</v>
      </c>
      <c r="P128" s="215" cm="1">
        <f t="array" ref="P128">Common_InputFunctions.Utility_DisplayArrayInTable(Fertiliser_SourceData.Fertiliser_Products_Data2(), FertiliserProducts[[#Headers],[Company]],31)</f>
        <v>0.11</v>
      </c>
      <c r="Q128" s="215" t="str" cm="1">
        <f t="array" ref="Q128">Common_InputFunctions.Utility_DisplayArrayInTable(Fertiliser_SourceData.Fertiliser_Products_Data2(), FertiliserProducts[[#Headers],[Company]],31)</f>
        <v>Nitrogen - Generic</v>
      </c>
      <c r="R128" s="215" cm="1">
        <f t="array" ref="R128">Common_InputFunctions.Utility_DisplayArrayInTable(Fertiliser_SourceData.Fertiliser_Products_Data2(), FertiliserProducts[[#Headers],[Company]],31)</f>
        <v>0.1</v>
      </c>
      <c r="S128" s="215" t="str" cm="1">
        <f t="array" ref="S128">Common_InputFunctions.Utility_DisplayArrayInTable(Fertiliser_SourceData.Fertiliser_Products_Data2(), FertiliserProducts[[#Headers],[Company]],31)</f>
        <v>Phosphorus - Generic</v>
      </c>
      <c r="T128" s="215" cm="1">
        <f t="array" ref="T128">Common_InputFunctions.Utility_DisplayArrayInTable(Fertiliser_SourceData.Fertiliser_Products_Data2(), FertiliserProducts[[#Headers],[Company]],31)</f>
        <v>0.01</v>
      </c>
      <c r="U128" s="215" t="str" cm="1">
        <f t="array" ref="U128">Common_InputFunctions.Utility_DisplayArrayInTable(Fertiliser_SourceData.Fertiliser_Products_Data2(), FertiliserProducts[[#Headers],[Company]],31)</f>
        <v/>
      </c>
      <c r="V128" s="215" t="str" cm="1">
        <f t="array" ref="V128">Common_InputFunctions.Utility_DisplayArrayInTable(Fertiliser_SourceData.Fertiliser_Products_Data2(), FertiliserProducts[[#Headers],[Company]],31)</f>
        <v/>
      </c>
      <c r="W128" s="215" t="str" cm="1">
        <f t="array" ref="W128">Common_InputFunctions.Utility_DisplayArrayInTable(Fertiliser_SourceData.Fertiliser_Products_Data2(), FertiliserProducts[[#Headers],[Company]],31)</f>
        <v/>
      </c>
      <c r="X128" s="215" t="str" cm="1">
        <f t="array" ref="X128">Common_InputFunctions.Utility_DisplayArrayInTable(Fertiliser_SourceData.Fertiliser_Products_Data2(), FertiliserProducts[[#Headers],[Company]],31)</f>
        <v/>
      </c>
      <c r="Y128" s="215" t="str" cm="1">
        <f t="array" ref="Y128">Common_InputFunctions.Utility_DisplayArrayInTable(Fertiliser_SourceData.Fertiliser_Products_Data2(), FertiliserProducts[[#Headers],[Company]],31)</f>
        <v/>
      </c>
      <c r="Z128" s="215" t="str" cm="1">
        <f t="array" ref="Z128">Common_InputFunctions.Utility_DisplayArrayInTable(Fertiliser_SourceData.Fertiliser_Products_Data2(), FertiliserProducts[[#Headers],[Company]],31)</f>
        <v/>
      </c>
      <c r="AA128" s="215" t="str" cm="1">
        <f t="array" ref="AA128">Common_InputFunctions.Utility_DisplayArrayInTable(Fertiliser_SourceData.Fertiliser_Products_Data2(), FertiliserProducts[[#Headers],[Company]],31)</f>
        <v/>
      </c>
      <c r="AB128" s="215" t="str" cm="1">
        <f t="array" ref="AB128">Common_InputFunctions.Utility_DisplayArrayInTable(Fertiliser_SourceData.Fertiliser_Products_Data2(), FertiliserProducts[[#Headers],[Company]],31)</f>
        <v/>
      </c>
      <c r="AC128" s="215" t="str" cm="1">
        <f t="array" ref="AC128">Common_InputFunctions.Utility_DisplayArrayInTable(Fertiliser_SourceData.Fertiliser_Products_Data2(), FertiliserProducts[[#Headers],[Company]],31)</f>
        <v/>
      </c>
      <c r="AD128" s="215" t="str" cm="1">
        <f t="array" ref="AD128">Common_InputFunctions.Utility_DisplayArrayInTable(Fertiliser_SourceData.Fertiliser_Products_Data2(), FertiliserProducts[[#Headers],[Company]],31)</f>
        <v/>
      </c>
      <c r="AE128" s="215" t="str" cm="1">
        <f t="array" ref="AE128">Common_InputFunctions.Utility_DisplayArrayInTable(Fertiliser_SourceData.Fertiliser_Products_Data2(), FertiliserProducts[[#Headers],[Company]],31)</f>
        <v/>
      </c>
      <c r="AF128" s="215" t="str" cm="1">
        <f t="array" ref="AF128">Common_InputFunctions.Utility_DisplayArrayInTable(Fertiliser_SourceData.Fertiliser_Products_Data2(), FertiliserProducts[[#Headers],[Company]],31)</f>
        <v/>
      </c>
      <c r="AG128" s="215" t="str" cm="1">
        <f t="array" ref="AG128">Common_InputFunctions.Utility_DisplayArrayInTable(Fertiliser_SourceData.Fertiliser_Products_Data2(), FertiliserProducts[[#Headers],[Company]],31)</f>
        <v/>
      </c>
      <c r="AH128" s="215" t="str" cm="1">
        <f t="array" ref="AH128">Common_InputFunctions.Utility_DisplayArrayInTable(Fertiliser_SourceData.Fertiliser_Products_Data2(), FertiliserProducts[[#Headers],[Company]],31)</f>
        <v/>
      </c>
    </row>
    <row r="129" spans="1:34" ht="20.100000000000001" customHeight="1" x14ac:dyDescent="0.25">
      <c r="A129"/>
      <c r="D129" s="215" t="str" cm="1">
        <f t="array" ref="D129">Common_InputFunctions.Utility_DisplayArrayInTable(Fertiliser_SourceData.Fertiliser_Products_Data2(), FertiliserProducts[[#Headers],[Company]],31)</f>
        <v>Switch Ag</v>
      </c>
      <c r="E129" s="215" t="str" cm="1">
        <f t="array" ref="E129">Common_InputFunctions.Utility_DisplayArrayInTable(Fertiliser_SourceData.Fertiliser_Products_Data2(), FertiliserProducts[[#Headers],[Company]],31)</f>
        <v>K20</v>
      </c>
      <c r="F129" s="215" t="str" cm="1">
        <f t="array" ref="F129">Common_InputFunctions.Utility_DisplayArrayInTable(Fertiliser_SourceData.Fertiliser_Products_Data2(), FertiliserProducts[[#Headers],[Company]],31)</f>
        <v>L</v>
      </c>
      <c r="G129" s="215" cm="1">
        <f t="array" ref="G129">Common_InputFunctions.Utility_DisplayArrayInTable(Fertiliser_SourceData.Fertiliser_Products_Data2(), FertiliserProducts[[#Headers],[Company]],31)</f>
        <v>1.3</v>
      </c>
      <c r="H129" s="215" t="str" cm="1">
        <f t="array" ref="H129">Common_InputFunctions.Utility_DisplayArrayInTable(Fertiliser_SourceData.Fertiliser_Products_Data2(), FertiliserProducts[[#Headers],[Company]],31)</f>
        <v/>
      </c>
      <c r="I129" s="215" t="str" cm="1">
        <f t="array" ref="I129">Common_InputFunctions.Utility_DisplayArrayInTable(Fertiliser_SourceData.Fertiliser_Products_Data2(), FertiliserProducts[[#Headers],[Company]],31)</f>
        <v/>
      </c>
      <c r="J129" s="215" t="str" cm="1">
        <f t="array" ref="J129">Common_InputFunctions.Utility_DisplayArrayInTable(Fertiliser_SourceData.Fertiliser_Products_Data2(), FertiliserProducts[[#Headers],[Company]],31)</f>
        <v/>
      </c>
      <c r="K129" s="215" cm="1">
        <f t="array" ref="K129">Common_InputFunctions.Utility_DisplayArrayInTable(Fertiliser_SourceData.Fertiliser_Products_Data2(), FertiliserProducts[[#Headers],[Company]],31)</f>
        <v>3</v>
      </c>
      <c r="L129" s="215" t="str" cm="1">
        <f t="array" ref="L129">Common_InputFunctions.Utility_DisplayArrayInTable(Fertiliser_SourceData.Fertiliser_Products_Data2(), FertiliserProducts[[#Headers],[Company]],31)</f>
        <v/>
      </c>
      <c r="M129" s="215" cm="1">
        <f t="array" ref="M129">Common_InputFunctions.Utility_DisplayArrayInTable(Fertiliser_SourceData.Fertiliser_Products_Data2(), FertiliserProducts[[#Headers],[Company]],31)</f>
        <v>22</v>
      </c>
      <c r="N129" s="215" t="str" cm="1">
        <f t="array" ref="N129">Common_InputFunctions.Utility_DisplayArrayInTable(Fertiliser_SourceData.Fertiliser_Products_Data2(), FertiliserProducts[[#Headers],[Company]],31)</f>
        <v/>
      </c>
      <c r="O129" s="215" t="str" cm="1">
        <f t="array" ref="O129">Common_InputFunctions.Utility_DisplayArrayInTable(Fertiliser_SourceData.Fertiliser_Products_Data2(), FertiliserProducts[[#Headers],[Company]],31)</f>
        <v>Potassium - Generic</v>
      </c>
      <c r="P129" s="215" cm="1">
        <f t="array" ref="P129">Common_InputFunctions.Utility_DisplayArrayInTable(Fertiliser_SourceData.Fertiliser_Products_Data2(), FertiliserProducts[[#Headers],[Company]],31)</f>
        <v>0.22</v>
      </c>
      <c r="Q129" s="215" t="str" cm="1">
        <f t="array" ref="Q129">Common_InputFunctions.Utility_DisplayArrayInTable(Fertiliser_SourceData.Fertiliser_Products_Data2(), FertiliserProducts[[#Headers],[Company]],31)</f>
        <v>Nitrogen - Generic</v>
      </c>
      <c r="R129" s="215" cm="1">
        <f t="array" ref="R129">Common_InputFunctions.Utility_DisplayArrayInTable(Fertiliser_SourceData.Fertiliser_Products_Data2(), FertiliserProducts[[#Headers],[Company]],31)</f>
        <v>0.03</v>
      </c>
      <c r="S129" s="215" t="str" cm="1">
        <f t="array" ref="S129">Common_InputFunctions.Utility_DisplayArrayInTable(Fertiliser_SourceData.Fertiliser_Products_Data2(), FertiliserProducts[[#Headers],[Company]],31)</f>
        <v/>
      </c>
      <c r="T129" s="215" t="str" cm="1">
        <f t="array" ref="T129">Common_InputFunctions.Utility_DisplayArrayInTable(Fertiliser_SourceData.Fertiliser_Products_Data2(), FertiliserProducts[[#Headers],[Company]],31)</f>
        <v/>
      </c>
      <c r="U129" s="215" t="str" cm="1">
        <f t="array" ref="U129">Common_InputFunctions.Utility_DisplayArrayInTable(Fertiliser_SourceData.Fertiliser_Products_Data2(), FertiliserProducts[[#Headers],[Company]],31)</f>
        <v/>
      </c>
      <c r="V129" s="215" t="str" cm="1">
        <f t="array" ref="V129">Common_InputFunctions.Utility_DisplayArrayInTable(Fertiliser_SourceData.Fertiliser_Products_Data2(), FertiliserProducts[[#Headers],[Company]],31)</f>
        <v/>
      </c>
      <c r="W129" s="215" t="str" cm="1">
        <f t="array" ref="W129">Common_InputFunctions.Utility_DisplayArrayInTable(Fertiliser_SourceData.Fertiliser_Products_Data2(), FertiliserProducts[[#Headers],[Company]],31)</f>
        <v/>
      </c>
      <c r="X129" s="215" t="str" cm="1">
        <f t="array" ref="X129">Common_InputFunctions.Utility_DisplayArrayInTable(Fertiliser_SourceData.Fertiliser_Products_Data2(), FertiliserProducts[[#Headers],[Company]],31)</f>
        <v/>
      </c>
      <c r="Y129" s="215" t="str" cm="1">
        <f t="array" ref="Y129">Common_InputFunctions.Utility_DisplayArrayInTable(Fertiliser_SourceData.Fertiliser_Products_Data2(), FertiliserProducts[[#Headers],[Company]],31)</f>
        <v/>
      </c>
      <c r="Z129" s="215" t="str" cm="1">
        <f t="array" ref="Z129">Common_InputFunctions.Utility_DisplayArrayInTable(Fertiliser_SourceData.Fertiliser_Products_Data2(), FertiliserProducts[[#Headers],[Company]],31)</f>
        <v/>
      </c>
      <c r="AA129" s="215" t="str" cm="1">
        <f t="array" ref="AA129">Common_InputFunctions.Utility_DisplayArrayInTable(Fertiliser_SourceData.Fertiliser_Products_Data2(), FertiliserProducts[[#Headers],[Company]],31)</f>
        <v/>
      </c>
      <c r="AB129" s="215" t="str" cm="1">
        <f t="array" ref="AB129">Common_InputFunctions.Utility_DisplayArrayInTable(Fertiliser_SourceData.Fertiliser_Products_Data2(), FertiliserProducts[[#Headers],[Company]],31)</f>
        <v/>
      </c>
      <c r="AC129" s="215" t="str" cm="1">
        <f t="array" ref="AC129">Common_InputFunctions.Utility_DisplayArrayInTable(Fertiliser_SourceData.Fertiliser_Products_Data2(), FertiliserProducts[[#Headers],[Company]],31)</f>
        <v/>
      </c>
      <c r="AD129" s="215" t="str" cm="1">
        <f t="array" ref="AD129">Common_InputFunctions.Utility_DisplayArrayInTable(Fertiliser_SourceData.Fertiliser_Products_Data2(), FertiliserProducts[[#Headers],[Company]],31)</f>
        <v/>
      </c>
      <c r="AE129" s="215" t="str" cm="1">
        <f t="array" ref="AE129">Common_InputFunctions.Utility_DisplayArrayInTable(Fertiliser_SourceData.Fertiliser_Products_Data2(), FertiliserProducts[[#Headers],[Company]],31)</f>
        <v/>
      </c>
      <c r="AF129" s="215" t="str" cm="1">
        <f t="array" ref="AF129">Common_InputFunctions.Utility_DisplayArrayInTable(Fertiliser_SourceData.Fertiliser_Products_Data2(), FertiliserProducts[[#Headers],[Company]],31)</f>
        <v/>
      </c>
      <c r="AG129" s="215" t="str" cm="1">
        <f t="array" ref="AG129">Common_InputFunctions.Utility_DisplayArrayInTable(Fertiliser_SourceData.Fertiliser_Products_Data2(), FertiliserProducts[[#Headers],[Company]],31)</f>
        <v/>
      </c>
      <c r="AH129" s="215" t="str" cm="1">
        <f t="array" ref="AH129">Common_InputFunctions.Utility_DisplayArrayInTable(Fertiliser_SourceData.Fertiliser_Products_Data2(), FertiliserProducts[[#Headers],[Company]],31)</f>
        <v/>
      </c>
    </row>
    <row r="130" spans="1:34" ht="20.100000000000001" customHeight="1" x14ac:dyDescent="0.25">
      <c r="A130"/>
      <c r="D130" s="215" t="str" cm="1">
        <f t="array" ref="D130">Common_InputFunctions.Utility_DisplayArrayInTable(Fertiliser_SourceData.Fertiliser_Products_Data2(), FertiliserProducts[[#Headers],[Company]],31)</f>
        <v>Loveland Agriproducts</v>
      </c>
      <c r="E130" s="215" t="str" cm="1">
        <f t="array" ref="E130">Common_InputFunctions.Utility_DisplayArrayInTable(Fertiliser_SourceData.Fertiliser_Products_Data2(), FertiliserProducts[[#Headers],[Company]],31)</f>
        <v>Maximum N-Pact</v>
      </c>
      <c r="F130" s="215" t="str" cm="1">
        <f t="array" ref="F130">Common_InputFunctions.Utility_DisplayArrayInTable(Fertiliser_SourceData.Fertiliser_Products_Data2(), FertiliserProducts[[#Headers],[Company]],31)</f>
        <v>L</v>
      </c>
      <c r="G130" s="215" cm="1">
        <f t="array" ref="G130">Common_InputFunctions.Utility_DisplayArrayInTable(Fertiliser_SourceData.Fertiliser_Products_Data2(), FertiliserProducts[[#Headers],[Company]],31)</f>
        <v>1.1850000000000001</v>
      </c>
      <c r="H130" s="215" t="str" cm="1">
        <f t="array" ref="H130">Common_InputFunctions.Utility_DisplayArrayInTable(Fertiliser_SourceData.Fertiliser_Products_Data2(), FertiliserProducts[[#Headers],[Company]],31)</f>
        <v/>
      </c>
      <c r="I130" s="215" t="str" cm="1">
        <f t="array" ref="I130">Common_InputFunctions.Utility_DisplayArrayInTable(Fertiliser_SourceData.Fertiliser_Products_Data2(), FertiliserProducts[[#Headers],[Company]],31)</f>
        <v/>
      </c>
      <c r="J130" s="215" t="str" cm="1">
        <f t="array" ref="J130">Common_InputFunctions.Utility_DisplayArrayInTable(Fertiliser_SourceData.Fertiliser_Products_Data2(), FertiliserProducts[[#Headers],[Company]],31)</f>
        <v/>
      </c>
      <c r="K130" s="215" cm="1">
        <f t="array" ref="K130">Common_InputFunctions.Utility_DisplayArrayInTable(Fertiliser_SourceData.Fertiliser_Products_Data2(), FertiliserProducts[[#Headers],[Company]],31)</f>
        <v>23.8</v>
      </c>
      <c r="L130" s="215" t="str" cm="1">
        <f t="array" ref="L130">Common_InputFunctions.Utility_DisplayArrayInTable(Fertiliser_SourceData.Fertiliser_Products_Data2(), FertiliserProducts[[#Headers],[Company]],31)</f>
        <v/>
      </c>
      <c r="M130" s="215" t="str" cm="1">
        <f t="array" ref="M130">Common_InputFunctions.Utility_DisplayArrayInTable(Fertiliser_SourceData.Fertiliser_Products_Data2(), FertiliserProducts[[#Headers],[Company]],31)</f>
        <v/>
      </c>
      <c r="N130" s="215" t="str" cm="1">
        <f t="array" ref="N130">Common_InputFunctions.Utility_DisplayArrayInTable(Fertiliser_SourceData.Fertiliser_Products_Data2(), FertiliserProducts[[#Headers],[Company]],31)</f>
        <v/>
      </c>
      <c r="O130" s="215" t="str" cm="1">
        <f t="array" ref="O130">Common_InputFunctions.Utility_DisplayArrayInTable(Fertiliser_SourceData.Fertiliser_Products_Data2(), FertiliserProducts[[#Headers],[Company]],31)</f>
        <v>Urea</v>
      </c>
      <c r="P130" s="215" cm="1">
        <f t="array" ref="P130">Common_InputFunctions.Utility_DisplayArrayInTable(Fertiliser_SourceData.Fertiliser_Products_Data2(), FertiliserProducts[[#Headers],[Company]],31)</f>
        <v>0.51739100000000005</v>
      </c>
      <c r="Q130" s="215" t="str" cm="1">
        <f t="array" ref="Q130">Common_InputFunctions.Utility_DisplayArrayInTable(Fertiliser_SourceData.Fertiliser_Products_Data2(), FertiliserProducts[[#Headers],[Company]],31)</f>
        <v/>
      </c>
      <c r="R130" s="215" t="str" cm="1">
        <f t="array" ref="R130">Common_InputFunctions.Utility_DisplayArrayInTable(Fertiliser_SourceData.Fertiliser_Products_Data2(), FertiliserProducts[[#Headers],[Company]],31)</f>
        <v/>
      </c>
      <c r="S130" s="215" t="str" cm="1">
        <f t="array" ref="S130">Common_InputFunctions.Utility_DisplayArrayInTable(Fertiliser_SourceData.Fertiliser_Products_Data2(), FertiliserProducts[[#Headers],[Company]],31)</f>
        <v/>
      </c>
      <c r="T130" s="215" t="str" cm="1">
        <f t="array" ref="T130">Common_InputFunctions.Utility_DisplayArrayInTable(Fertiliser_SourceData.Fertiliser_Products_Data2(), FertiliserProducts[[#Headers],[Company]],31)</f>
        <v/>
      </c>
      <c r="U130" s="215" t="str" cm="1">
        <f t="array" ref="U130">Common_InputFunctions.Utility_DisplayArrayInTable(Fertiliser_SourceData.Fertiliser_Products_Data2(), FertiliserProducts[[#Headers],[Company]],31)</f>
        <v/>
      </c>
      <c r="V130" s="215" t="str" cm="1">
        <f t="array" ref="V130">Common_InputFunctions.Utility_DisplayArrayInTable(Fertiliser_SourceData.Fertiliser_Products_Data2(), FertiliserProducts[[#Headers],[Company]],31)</f>
        <v/>
      </c>
      <c r="W130" s="215" t="str" cm="1">
        <f t="array" ref="W130">Common_InputFunctions.Utility_DisplayArrayInTable(Fertiliser_SourceData.Fertiliser_Products_Data2(), FertiliserProducts[[#Headers],[Company]],31)</f>
        <v/>
      </c>
      <c r="X130" s="215" t="str" cm="1">
        <f t="array" ref="X130">Common_InputFunctions.Utility_DisplayArrayInTable(Fertiliser_SourceData.Fertiliser_Products_Data2(), FertiliserProducts[[#Headers],[Company]],31)</f>
        <v/>
      </c>
      <c r="Y130" s="215" t="str" cm="1">
        <f t="array" ref="Y130">Common_InputFunctions.Utility_DisplayArrayInTable(Fertiliser_SourceData.Fertiliser_Products_Data2(), FertiliserProducts[[#Headers],[Company]],31)</f>
        <v/>
      </c>
      <c r="Z130" s="215" t="str" cm="1">
        <f t="array" ref="Z130">Common_InputFunctions.Utility_DisplayArrayInTable(Fertiliser_SourceData.Fertiliser_Products_Data2(), FertiliserProducts[[#Headers],[Company]],31)</f>
        <v/>
      </c>
      <c r="AA130" s="215" t="str" cm="1">
        <f t="array" ref="AA130">Common_InputFunctions.Utility_DisplayArrayInTable(Fertiliser_SourceData.Fertiliser_Products_Data2(), FertiliserProducts[[#Headers],[Company]],31)</f>
        <v/>
      </c>
      <c r="AB130" s="215" t="str" cm="1">
        <f t="array" ref="AB130">Common_InputFunctions.Utility_DisplayArrayInTable(Fertiliser_SourceData.Fertiliser_Products_Data2(), FertiliserProducts[[#Headers],[Company]],31)</f>
        <v/>
      </c>
      <c r="AC130" s="215" t="str" cm="1">
        <f t="array" ref="AC130">Common_InputFunctions.Utility_DisplayArrayInTable(Fertiliser_SourceData.Fertiliser_Products_Data2(), FertiliserProducts[[#Headers],[Company]],31)</f>
        <v/>
      </c>
      <c r="AD130" s="215" t="str" cm="1">
        <f t="array" ref="AD130">Common_InputFunctions.Utility_DisplayArrayInTable(Fertiliser_SourceData.Fertiliser_Products_Data2(), FertiliserProducts[[#Headers],[Company]],31)</f>
        <v/>
      </c>
      <c r="AE130" s="215" t="str" cm="1">
        <f t="array" ref="AE130">Common_InputFunctions.Utility_DisplayArrayInTable(Fertiliser_SourceData.Fertiliser_Products_Data2(), FertiliserProducts[[#Headers],[Company]],31)</f>
        <v/>
      </c>
      <c r="AF130" s="215" t="str" cm="1">
        <f t="array" ref="AF130">Common_InputFunctions.Utility_DisplayArrayInTable(Fertiliser_SourceData.Fertiliser_Products_Data2(), FertiliserProducts[[#Headers],[Company]],31)</f>
        <v/>
      </c>
      <c r="AG130" s="215" t="str" cm="1">
        <f t="array" ref="AG130">Common_InputFunctions.Utility_DisplayArrayInTable(Fertiliser_SourceData.Fertiliser_Products_Data2(), FertiliserProducts[[#Headers],[Company]],31)</f>
        <v/>
      </c>
      <c r="AH130" s="215" t="str" cm="1">
        <f t="array" ref="AH130">Common_InputFunctions.Utility_DisplayArrayInTable(Fertiliser_SourceData.Fertiliser_Products_Data2(), FertiliserProducts[[#Headers],[Company]],31)</f>
        <v/>
      </c>
    </row>
    <row r="131" spans="1:34" ht="20.100000000000001" customHeight="1" x14ac:dyDescent="0.25">
      <c r="A131"/>
      <c r="D131" s="215" t="str" cm="1">
        <f t="array" ref="D131">Common_InputFunctions.Utility_DisplayArrayInTable(Fertiliser_SourceData.Fertiliser_Products_Data2(), FertiliserProducts[[#Headers],[Company]],31)</f>
        <v>SL Tec</v>
      </c>
      <c r="E131" s="215" t="str" cm="1">
        <f t="array" ref="E131">Common_InputFunctions.Utility_DisplayArrayInTable(Fertiliser_SourceData.Fertiliser_Products_Data2(), FertiliserProducts[[#Headers],[Company]],31)</f>
        <v>Nitro Combi TE</v>
      </c>
      <c r="F131" s="215" t="str" cm="1">
        <f t="array" ref="F131">Common_InputFunctions.Utility_DisplayArrayInTable(Fertiliser_SourceData.Fertiliser_Products_Data2(), FertiliserProducts[[#Headers],[Company]],31)</f>
        <v>L</v>
      </c>
      <c r="G131" s="215" cm="1">
        <f t="array" ref="G131">Common_InputFunctions.Utility_DisplayArrayInTable(Fertiliser_SourceData.Fertiliser_Products_Data2(), FertiliserProducts[[#Headers],[Company]],31)</f>
        <v>1.2549999999999999</v>
      </c>
      <c r="H131" s="215" t="str" cm="1">
        <f t="array" ref="H131">Common_InputFunctions.Utility_DisplayArrayInTable(Fertiliser_SourceData.Fertiliser_Products_Data2(), FertiliserProducts[[#Headers],[Company]],31)</f>
        <v/>
      </c>
      <c r="I131" s="215" t="str" cm="1">
        <f t="array" ref="I131">Common_InputFunctions.Utility_DisplayArrayInTable(Fertiliser_SourceData.Fertiliser_Products_Data2(), FertiliserProducts[[#Headers],[Company]],31)</f>
        <v/>
      </c>
      <c r="J131" s="215" t="str" cm="1">
        <f t="array" ref="J131">Common_InputFunctions.Utility_DisplayArrayInTable(Fertiliser_SourceData.Fertiliser_Products_Data2(), FertiliserProducts[[#Headers],[Company]],31)</f>
        <v/>
      </c>
      <c r="K131" s="215" t="str" cm="1">
        <f t="array" ref="K131">Common_InputFunctions.Utility_DisplayArrayInTable(Fertiliser_SourceData.Fertiliser_Products_Data2(), FertiliserProducts[[#Headers],[Company]],31)</f>
        <v/>
      </c>
      <c r="L131" s="215" t="str" cm="1">
        <f t="array" ref="L131">Common_InputFunctions.Utility_DisplayArrayInTable(Fertiliser_SourceData.Fertiliser_Products_Data2(), FertiliserProducts[[#Headers],[Company]],31)</f>
        <v/>
      </c>
      <c r="M131" s="215" cm="1">
        <f t="array" ref="M131">Common_InputFunctions.Utility_DisplayArrayInTable(Fertiliser_SourceData.Fertiliser_Products_Data2(), FertiliserProducts[[#Headers],[Company]],31)</f>
        <v>0.1</v>
      </c>
      <c r="N131" s="215" cm="1">
        <f t="array" ref="N131">Common_InputFunctions.Utility_DisplayArrayInTable(Fertiliser_SourceData.Fertiliser_Products_Data2(), FertiliserProducts[[#Headers],[Company]],31)</f>
        <v>4.4000000000000004</v>
      </c>
      <c r="O131" s="215" t="str" cm="1">
        <f t="array" ref="O131">Common_InputFunctions.Utility_DisplayArrayInTable(Fertiliser_SourceData.Fertiliser_Products_Data2(), FertiliserProducts[[#Headers],[Company]],31)</f>
        <v>Sulfur - Generic</v>
      </c>
      <c r="P131" s="215" cm="1">
        <f t="array" ref="P131">Common_InputFunctions.Utility_DisplayArrayInTable(Fertiliser_SourceData.Fertiliser_Products_Data2(), FertiliserProducts[[#Headers],[Company]],31)</f>
        <v>4.3999999999999997E-2</v>
      </c>
      <c r="Q131" s="215" t="str" cm="1">
        <f t="array" ref="Q131">Common_InputFunctions.Utility_DisplayArrayInTable(Fertiliser_SourceData.Fertiliser_Products_Data2(), FertiliserProducts[[#Headers],[Company]],31)</f>
        <v>Zinc</v>
      </c>
      <c r="R131" s="215" cm="1">
        <f t="array" ref="R131">Common_InputFunctions.Utility_DisplayArrayInTable(Fertiliser_SourceData.Fertiliser_Products_Data2(), FertiliserProducts[[#Headers],[Company]],31)</f>
        <v>2.1999999999999999E-2</v>
      </c>
      <c r="S131" s="215" t="str" cm="1">
        <f t="array" ref="S131">Common_InputFunctions.Utility_DisplayArrayInTable(Fertiliser_SourceData.Fertiliser_Products_Data2(), FertiliserProducts[[#Headers],[Company]],31)</f>
        <v>Iron</v>
      </c>
      <c r="T131" s="215" cm="1">
        <f t="array" ref="T131">Common_InputFunctions.Utility_DisplayArrayInTable(Fertiliser_SourceData.Fertiliser_Products_Data2(), FertiliserProducts[[#Headers],[Company]],31)</f>
        <v>2.1999999999999999E-2</v>
      </c>
      <c r="U131" s="215" t="str" cm="1">
        <f t="array" ref="U131">Common_InputFunctions.Utility_DisplayArrayInTable(Fertiliser_SourceData.Fertiliser_Products_Data2(), FertiliserProducts[[#Headers],[Company]],31)</f>
        <v>Manganese</v>
      </c>
      <c r="V131" s="215" cm="1">
        <f t="array" ref="V131">Common_InputFunctions.Utility_DisplayArrayInTable(Fertiliser_SourceData.Fertiliser_Products_Data2(), FertiliserProducts[[#Headers],[Company]],31)</f>
        <v>1.6E-2</v>
      </c>
      <c r="W131" s="215" t="str" cm="1">
        <f t="array" ref="W131">Common_InputFunctions.Utility_DisplayArrayInTable(Fertiliser_SourceData.Fertiliser_Products_Data2(), FertiliserProducts[[#Headers],[Company]],31)</f>
        <v>Boron</v>
      </c>
      <c r="X131" s="215" cm="1">
        <f t="array" ref="X131">Common_InputFunctions.Utility_DisplayArrayInTable(Fertiliser_SourceData.Fertiliser_Products_Data2(), FertiliserProducts[[#Headers],[Company]],31)</f>
        <v>8.0000000000000002E-3</v>
      </c>
      <c r="Y131" s="215" t="str" cm="1">
        <f t="array" ref="Y131">Common_InputFunctions.Utility_DisplayArrayInTable(Fertiliser_SourceData.Fertiliser_Products_Data2(), FertiliserProducts[[#Headers],[Company]],31)</f>
        <v>Magnesium</v>
      </c>
      <c r="Z131" s="215" cm="1">
        <f t="array" ref="Z131">Common_InputFunctions.Utility_DisplayArrayInTable(Fertiliser_SourceData.Fertiliser_Products_Data2(), FertiliserProducts[[#Headers],[Company]],31)</f>
        <v>7.0000000000000001E-3</v>
      </c>
      <c r="AA131" s="215" t="str" cm="1">
        <f t="array" ref="AA131">Common_InputFunctions.Utility_DisplayArrayInTable(Fertiliser_SourceData.Fertiliser_Products_Data2(), FertiliserProducts[[#Headers],[Company]],31)</f>
        <v>Fulvic acid (organic)</v>
      </c>
      <c r="AB131" s="215" cm="1">
        <f t="array" ref="AB131">Common_InputFunctions.Utility_DisplayArrayInTable(Fertiliser_SourceData.Fertiliser_Products_Data2(), FertiliserProducts[[#Headers],[Company]],31)</f>
        <v>5.0000000000000001E-3</v>
      </c>
      <c r="AC131" s="215" t="str" cm="1">
        <f t="array" ref="AC131">Common_InputFunctions.Utility_DisplayArrayInTable(Fertiliser_SourceData.Fertiliser_Products_Data2(), FertiliserProducts[[#Headers],[Company]],31)</f>
        <v>Copper</v>
      </c>
      <c r="AD131" s="215" cm="1">
        <f t="array" ref="AD131">Common_InputFunctions.Utility_DisplayArrayInTable(Fertiliser_SourceData.Fertiliser_Products_Data2(), FertiliserProducts[[#Headers],[Company]],31)</f>
        <v>3.0000000000000001E-3</v>
      </c>
      <c r="AE131" s="215" t="str" cm="1">
        <f t="array" ref="AE131">Common_InputFunctions.Utility_DisplayArrayInTable(Fertiliser_SourceData.Fertiliser_Products_Data2(), FertiliserProducts[[#Headers],[Company]],31)</f>
        <v>Potassium - Generic</v>
      </c>
      <c r="AF131" s="215" cm="1">
        <f t="array" ref="AF131">Common_InputFunctions.Utility_DisplayArrayInTable(Fertiliser_SourceData.Fertiliser_Products_Data2(), FertiliserProducts[[#Headers],[Company]],31)</f>
        <v>1E-3</v>
      </c>
      <c r="AG131" s="215" t="str" cm="1">
        <f t="array" ref="AG131">Common_InputFunctions.Utility_DisplayArrayInTable(Fertiliser_SourceData.Fertiliser_Products_Data2(), FertiliserProducts[[#Headers],[Company]],31)</f>
        <v>Molybdenum</v>
      </c>
      <c r="AH131" s="215" cm="1">
        <f t="array" ref="AH131">Common_InputFunctions.Utility_DisplayArrayInTable(Fertiliser_SourceData.Fertiliser_Products_Data2(), FertiliserProducts[[#Headers],[Company]],31)</f>
        <v>2.9999999999999997E-4</v>
      </c>
    </row>
    <row r="132" spans="1:34" ht="20.100000000000001" customHeight="1" x14ac:dyDescent="0.25">
      <c r="A132"/>
      <c r="D132" s="215" t="str" cm="1">
        <f t="array" ref="D132">Common_InputFunctions.Utility_DisplayArrayInTable(Fertiliser_SourceData.Fertiliser_Products_Data2(), FertiliserProducts[[#Headers],[Company]],31)</f>
        <v>Switch Ag</v>
      </c>
      <c r="E132" s="215" t="str" cm="1">
        <f t="array" ref="E132">Common_InputFunctions.Utility_DisplayArrayInTable(Fertiliser_SourceData.Fertiliser_Products_Data2(), FertiliserProducts[[#Headers],[Company]],31)</f>
        <v>PastureMAXX</v>
      </c>
      <c r="F132" s="215" t="str" cm="1">
        <f t="array" ref="F132">Common_InputFunctions.Utility_DisplayArrayInTable(Fertiliser_SourceData.Fertiliser_Products_Data2(), FertiliserProducts[[#Headers],[Company]],31)</f>
        <v>L</v>
      </c>
      <c r="G132" s="215" cm="1">
        <f t="array" ref="G132">Common_InputFunctions.Utility_DisplayArrayInTable(Fertiliser_SourceData.Fertiliser_Products_Data2(), FertiliserProducts[[#Headers],[Company]],31)</f>
        <v>1.23</v>
      </c>
      <c r="H132" s="215" t="str" cm="1">
        <f t="array" ref="H132">Common_InputFunctions.Utility_DisplayArrayInTable(Fertiliser_SourceData.Fertiliser_Products_Data2(), FertiliserProducts[[#Headers],[Company]],31)</f>
        <v/>
      </c>
      <c r="I132" s="215" t="str" cm="1">
        <f t="array" ref="I132">Common_InputFunctions.Utility_DisplayArrayInTable(Fertiliser_SourceData.Fertiliser_Products_Data2(), FertiliserProducts[[#Headers],[Company]],31)</f>
        <v/>
      </c>
      <c r="J132" s="215" t="str" cm="1">
        <f t="array" ref="J132">Common_InputFunctions.Utility_DisplayArrayInTable(Fertiliser_SourceData.Fertiliser_Products_Data2(), FertiliserProducts[[#Headers],[Company]],31)</f>
        <v/>
      </c>
      <c r="K132" s="215" cm="1">
        <f t="array" ref="K132">Common_InputFunctions.Utility_DisplayArrayInTable(Fertiliser_SourceData.Fertiliser_Products_Data2(), FertiliserProducts[[#Headers],[Company]],31)</f>
        <v>9.7100000000000009</v>
      </c>
      <c r="L132" s="215" t="str" cm="1">
        <f t="array" ref="L132">Common_InputFunctions.Utility_DisplayArrayInTable(Fertiliser_SourceData.Fertiliser_Products_Data2(), FertiliserProducts[[#Headers],[Company]],31)</f>
        <v/>
      </c>
      <c r="M132" s="215" cm="1">
        <f t="array" ref="M132">Common_InputFunctions.Utility_DisplayArrayInTable(Fertiliser_SourceData.Fertiliser_Products_Data2(), FertiliserProducts[[#Headers],[Company]],31)</f>
        <v>3.25</v>
      </c>
      <c r="N132" s="215" cm="1">
        <f t="array" ref="N132">Common_InputFunctions.Utility_DisplayArrayInTable(Fertiliser_SourceData.Fertiliser_Products_Data2(), FertiliserProducts[[#Headers],[Company]],31)</f>
        <v>2.11</v>
      </c>
      <c r="O132" s="215" t="str" cm="1">
        <f t="array" ref="O132">Common_InputFunctions.Utility_DisplayArrayInTable(Fertiliser_SourceData.Fertiliser_Products_Data2(), FertiliserProducts[[#Headers],[Company]],31)</f>
        <v>Nitrogen - Generic</v>
      </c>
      <c r="P132" s="215" cm="1">
        <f t="array" ref="P132">Common_InputFunctions.Utility_DisplayArrayInTable(Fertiliser_SourceData.Fertiliser_Products_Data2(), FertiliserProducts[[#Headers],[Company]],31)</f>
        <v>9.7100000000000006E-2</v>
      </c>
      <c r="Q132" s="215" t="str" cm="1">
        <f t="array" ref="Q132">Common_InputFunctions.Utility_DisplayArrayInTable(Fertiliser_SourceData.Fertiliser_Products_Data2(), FertiliserProducts[[#Headers],[Company]],31)</f>
        <v>Potassium - Generic</v>
      </c>
      <c r="R132" s="215" cm="1">
        <f t="array" ref="R132">Common_InputFunctions.Utility_DisplayArrayInTable(Fertiliser_SourceData.Fertiliser_Products_Data2(), FertiliserProducts[[#Headers],[Company]],31)</f>
        <v>3.2500000000000001E-2</v>
      </c>
      <c r="S132" s="215" t="str" cm="1">
        <f t="array" ref="S132">Common_InputFunctions.Utility_DisplayArrayInTable(Fertiliser_SourceData.Fertiliser_Products_Data2(), FertiliserProducts[[#Headers],[Company]],31)</f>
        <v>Sulfur - Generic</v>
      </c>
      <c r="T132" s="215" cm="1">
        <f t="array" ref="T132">Common_InputFunctions.Utility_DisplayArrayInTable(Fertiliser_SourceData.Fertiliser_Products_Data2(), FertiliserProducts[[#Headers],[Company]],31)</f>
        <v>2.1100000000000001E-2</v>
      </c>
      <c r="U132" s="215" t="str" cm="1">
        <f t="array" ref="U132">Common_InputFunctions.Utility_DisplayArrayInTable(Fertiliser_SourceData.Fertiliser_Products_Data2(), FertiliserProducts[[#Headers],[Company]],31)</f>
        <v>Zinc</v>
      </c>
      <c r="V132" s="215" cm="1">
        <f t="array" ref="V132">Common_InputFunctions.Utility_DisplayArrayInTable(Fertiliser_SourceData.Fertiliser_Products_Data2(), FertiliserProducts[[#Headers],[Company]],31)</f>
        <v>1.4999999999999999E-2</v>
      </c>
      <c r="W132" s="215" t="str" cm="1">
        <f t="array" ref="W132">Common_InputFunctions.Utility_DisplayArrayInTable(Fertiliser_SourceData.Fertiliser_Products_Data2(), FertiliserProducts[[#Headers],[Company]],31)</f>
        <v>Iron</v>
      </c>
      <c r="X132" s="215" cm="1">
        <f t="array" ref="X132">Common_InputFunctions.Utility_DisplayArrayInTable(Fertiliser_SourceData.Fertiliser_Products_Data2(), FertiliserProducts[[#Headers],[Company]],31)</f>
        <v>1.11E-2</v>
      </c>
      <c r="Y132" s="215" t="str" cm="1">
        <f t="array" ref="Y132">Common_InputFunctions.Utility_DisplayArrayInTable(Fertiliser_SourceData.Fertiliser_Products_Data2(), FertiliserProducts[[#Headers],[Company]],31)</f>
        <v>Manganese</v>
      </c>
      <c r="Z132" s="215" cm="1">
        <f t="array" ref="Z132">Common_InputFunctions.Utility_DisplayArrayInTable(Fertiliser_SourceData.Fertiliser_Products_Data2(), FertiliserProducts[[#Headers],[Company]],31)</f>
        <v>1.15E-2</v>
      </c>
      <c r="AA132" s="215" t="str" cm="1">
        <f t="array" ref="AA132">Common_InputFunctions.Utility_DisplayArrayInTable(Fertiliser_SourceData.Fertiliser_Products_Data2(), FertiliserProducts[[#Headers],[Company]],31)</f>
        <v>Magnesium</v>
      </c>
      <c r="AB132" s="215" cm="1">
        <f t="array" ref="AB132">Common_InputFunctions.Utility_DisplayArrayInTable(Fertiliser_SourceData.Fertiliser_Products_Data2(), FertiliserProducts[[#Headers],[Company]],31)</f>
        <v>4.4999999999999997E-3</v>
      </c>
      <c r="AC132" s="215" t="str" cm="1">
        <f t="array" ref="AC132">Common_InputFunctions.Utility_DisplayArrayInTable(Fertiliser_SourceData.Fertiliser_Products_Data2(), FertiliserProducts[[#Headers],[Company]],31)</f>
        <v>Boron</v>
      </c>
      <c r="AD132" s="215" cm="1">
        <f t="array" ref="AD132">Common_InputFunctions.Utility_DisplayArrayInTable(Fertiliser_SourceData.Fertiliser_Products_Data2(), FertiliserProducts[[#Headers],[Company]],31)</f>
        <v>2E-3</v>
      </c>
      <c r="AE132" s="215" t="str" cm="1">
        <f t="array" ref="AE132">Common_InputFunctions.Utility_DisplayArrayInTable(Fertiliser_SourceData.Fertiliser_Products_Data2(), FertiliserProducts[[#Headers],[Company]],31)</f>
        <v/>
      </c>
      <c r="AF132" s="215" t="str" cm="1">
        <f t="array" ref="AF132">Common_InputFunctions.Utility_DisplayArrayInTable(Fertiliser_SourceData.Fertiliser_Products_Data2(), FertiliserProducts[[#Headers],[Company]],31)</f>
        <v/>
      </c>
      <c r="AG132" s="215" t="str" cm="1">
        <f t="array" ref="AG132">Common_InputFunctions.Utility_DisplayArrayInTable(Fertiliser_SourceData.Fertiliser_Products_Data2(), FertiliserProducts[[#Headers],[Company]],31)</f>
        <v/>
      </c>
      <c r="AH132" s="215" t="str" cm="1">
        <f t="array" ref="AH132">Common_InputFunctions.Utility_DisplayArrayInTable(Fertiliser_SourceData.Fertiliser_Products_Data2(), FertiliserProducts[[#Headers],[Company]],31)</f>
        <v/>
      </c>
    </row>
    <row r="133" spans="1:34" ht="20.100000000000001" customHeight="1" x14ac:dyDescent="0.25">
      <c r="A133"/>
      <c r="D133" s="215" t="str" cm="1">
        <f t="array" ref="D133">Common_InputFunctions.Utility_DisplayArrayInTable(Fertiliser_SourceData.Fertiliser_Products_Data2(), FertiliserProducts[[#Headers],[Company]],31)</f>
        <v>Campbells fertilisers Australia</v>
      </c>
      <c r="E133" s="215" t="str" cm="1">
        <f t="array" ref="E133">Common_InputFunctions.Utility_DisplayArrayInTable(Fertiliser_SourceData.Fertiliser_Products_Data2(), FertiliserProducts[[#Headers],[Company]],31)</f>
        <v>Platinum Nergetic</v>
      </c>
      <c r="F133" s="215" t="str" cm="1">
        <f t="array" ref="F133">Common_InputFunctions.Utility_DisplayArrayInTable(Fertiliser_SourceData.Fertiliser_Products_Data2(), FertiliserProducts[[#Headers],[Company]],31)</f>
        <v>kg</v>
      </c>
      <c r="G133" s="215" cm="1">
        <f t="array" ref="G133">Common_InputFunctions.Utility_DisplayArrayInTable(Fertiliser_SourceData.Fertiliser_Products_Data2(), FertiliserProducts[[#Headers],[Company]],31)</f>
        <v>1</v>
      </c>
      <c r="H133" s="215" t="str" cm="1">
        <f t="array" ref="H133">Common_InputFunctions.Utility_DisplayArrayInTable(Fertiliser_SourceData.Fertiliser_Products_Data2(), FertiliserProducts[[#Headers],[Company]],31)</f>
        <v/>
      </c>
      <c r="I133" s="215" t="str" cm="1">
        <f t="array" ref="I133">Common_InputFunctions.Utility_DisplayArrayInTable(Fertiliser_SourceData.Fertiliser_Products_Data2(), FertiliserProducts[[#Headers],[Company]],31)</f>
        <v/>
      </c>
      <c r="J133" s="215" t="str" cm="1">
        <f t="array" ref="J133">Common_InputFunctions.Utility_DisplayArrayInTable(Fertiliser_SourceData.Fertiliser_Products_Data2(), FertiliserProducts[[#Headers],[Company]],31)</f>
        <v/>
      </c>
      <c r="K133" s="215" cm="1">
        <f t="array" ref="K133">Common_InputFunctions.Utility_DisplayArrayInTable(Fertiliser_SourceData.Fertiliser_Products_Data2(), FertiliserProducts[[#Headers],[Company]],31)</f>
        <v>10</v>
      </c>
      <c r="L133" s="215" cm="1">
        <f t="array" ref="L133">Common_InputFunctions.Utility_DisplayArrayInTable(Fertiliser_SourceData.Fertiliser_Products_Data2(), FertiliserProducts[[#Headers],[Company]],31)</f>
        <v>10.9</v>
      </c>
      <c r="M133" s="215" cm="1">
        <f t="array" ref="M133">Common_InputFunctions.Utility_DisplayArrayInTable(Fertiliser_SourceData.Fertiliser_Products_Data2(), FertiliserProducts[[#Headers],[Company]],31)</f>
        <v>10</v>
      </c>
      <c r="N133" s="215" cm="1">
        <f t="array" ref="N133">Common_InputFunctions.Utility_DisplayArrayInTable(Fertiliser_SourceData.Fertiliser_Products_Data2(), FertiliserProducts[[#Headers],[Company]],31)</f>
        <v>4.34</v>
      </c>
      <c r="O133" s="215" t="str" cm="1">
        <f t="array" ref="O133">Common_InputFunctions.Utility_DisplayArrayInTable(Fertiliser_SourceData.Fertiliser_Products_Data2(), FertiliserProducts[[#Headers],[Company]],31)</f>
        <v>Monoammonium phosphate (MAP)</v>
      </c>
      <c r="P133" s="215" cm="1">
        <f t="array" ref="P133">Common_InputFunctions.Utility_DisplayArrayInTable(Fertiliser_SourceData.Fertiliser_Products_Data2(), FertiliserProducts[[#Headers],[Company]],31)</f>
        <v>0.4178</v>
      </c>
      <c r="Q133" s="215" t="str" cm="1">
        <f t="array" ref="Q133">Common_InputFunctions.Utility_DisplayArrayInTable(Fertiliser_SourceData.Fertiliser_Products_Data2(), FertiliserProducts[[#Headers],[Company]],31)</f>
        <v>Ammonium nitrate (AN)</v>
      </c>
      <c r="R133" s="215" cm="1">
        <f t="array" ref="R133">Common_InputFunctions.Utility_DisplayArrayInTable(Fertiliser_SourceData.Fertiliser_Products_Data2(), FertiliserProducts[[#Headers],[Company]],31)</f>
        <v>0.17280000000000001</v>
      </c>
      <c r="S133" s="215" t="str" cm="1">
        <f t="array" ref="S133">Common_InputFunctions.Utility_DisplayArrayInTable(Fertiliser_SourceData.Fertiliser_Products_Data2(), FertiliserProducts[[#Headers],[Company]],31)</f>
        <v>Potassium sulphate</v>
      </c>
      <c r="T133" s="215" cm="1">
        <f t="array" ref="T133">Common_InputFunctions.Utility_DisplayArrayInTable(Fertiliser_SourceData.Fertiliser_Products_Data2(), FertiliserProducts[[#Headers],[Company]],31)</f>
        <v>0.24096400000000001</v>
      </c>
      <c r="U133" s="215" t="str" cm="1">
        <f t="array" ref="U133">Common_InputFunctions.Utility_DisplayArrayInTable(Fertiliser_SourceData.Fertiliser_Products_Data2(), FertiliserProducts[[#Headers],[Company]],31)</f>
        <v>Double superphosphate</v>
      </c>
      <c r="V133" s="215" cm="1">
        <f t="array" ref="V133">Common_InputFunctions.Utility_DisplayArrayInTable(Fertiliser_SourceData.Fertiliser_Products_Data2(), FertiliserProducts[[#Headers],[Company]],31)</f>
        <v>0.1</v>
      </c>
      <c r="W133" s="215" t="str" cm="1">
        <f t="array" ref="W133">Common_InputFunctions.Utility_DisplayArrayInTable(Fertiliser_SourceData.Fertiliser_Products_Data2(), FertiliserProducts[[#Headers],[Company]],31)</f>
        <v>Magnesium</v>
      </c>
      <c r="X133" s="215" cm="1">
        <f t="array" ref="X133">Common_InputFunctions.Utility_DisplayArrayInTable(Fertiliser_SourceData.Fertiliser_Products_Data2(), FertiliserProducts[[#Headers],[Company]],31)</f>
        <v>1.2E-2</v>
      </c>
      <c r="Y133" s="215" t="str" cm="1">
        <f t="array" ref="Y133">Common_InputFunctions.Utility_DisplayArrayInTable(Fertiliser_SourceData.Fertiliser_Products_Data2(), FertiliserProducts[[#Headers],[Company]],31)</f>
        <v>Zinc</v>
      </c>
      <c r="Z133" s="215" cm="1">
        <f t="array" ref="Z133">Common_InputFunctions.Utility_DisplayArrayInTable(Fertiliser_SourceData.Fertiliser_Products_Data2(), FertiliserProducts[[#Headers],[Company]],31)</f>
        <v>3.5999999999999999E-3</v>
      </c>
      <c r="AA133" s="215" t="str" cm="1">
        <f t="array" ref="AA133">Common_InputFunctions.Utility_DisplayArrayInTable(Fertiliser_SourceData.Fertiliser_Products_Data2(), FertiliserProducts[[#Headers],[Company]],31)</f>
        <v>Boron</v>
      </c>
      <c r="AB133" s="215" cm="1">
        <f t="array" ref="AB133">Common_InputFunctions.Utility_DisplayArrayInTable(Fertiliser_SourceData.Fertiliser_Products_Data2(), FertiliserProducts[[#Headers],[Company]],31)</f>
        <v>1E-3</v>
      </c>
      <c r="AC133" s="215" t="str" cm="1">
        <f t="array" ref="AC133">Common_InputFunctions.Utility_DisplayArrayInTable(Fertiliser_SourceData.Fertiliser_Products_Data2(), FertiliserProducts[[#Headers],[Company]],31)</f>
        <v>Glaze Extend G3 Flexi</v>
      </c>
      <c r="AD133" s="215" cm="1">
        <f t="array" ref="AD133">Common_InputFunctions.Utility_DisplayArrayInTable(Fertiliser_SourceData.Fertiliser_Products_Data2(), FertiliserProducts[[#Headers],[Company]],31)</f>
        <v>5.1900000000000002E-2</v>
      </c>
      <c r="AE133" s="215" t="str" cm="1">
        <f t="array" ref="AE133">Common_InputFunctions.Utility_DisplayArrayInTable(Fertiliser_SourceData.Fertiliser_Products_Data2(), FertiliserProducts[[#Headers],[Company]],31)</f>
        <v/>
      </c>
      <c r="AF133" s="215" t="str" cm="1">
        <f t="array" ref="AF133">Common_InputFunctions.Utility_DisplayArrayInTable(Fertiliser_SourceData.Fertiliser_Products_Data2(), FertiliserProducts[[#Headers],[Company]],31)</f>
        <v/>
      </c>
      <c r="AG133" s="215" t="str" cm="1">
        <f t="array" ref="AG133">Common_InputFunctions.Utility_DisplayArrayInTable(Fertiliser_SourceData.Fertiliser_Products_Data2(), FertiliserProducts[[#Headers],[Company]],31)</f>
        <v/>
      </c>
      <c r="AH133" s="215" t="str" cm="1">
        <f t="array" ref="AH133">Common_InputFunctions.Utility_DisplayArrayInTable(Fertiliser_SourceData.Fertiliser_Products_Data2(), FertiliserProducts[[#Headers],[Company]],31)</f>
        <v/>
      </c>
    </row>
    <row r="134" spans="1:34" ht="20.100000000000001" customHeight="1" x14ac:dyDescent="0.25">
      <c r="A134"/>
      <c r="D134" s="215" t="str" cm="1">
        <f t="array" ref="D134">Common_InputFunctions.Utility_DisplayArrayInTable(Fertiliser_SourceData.Fertiliser_Products_Data2(), FertiliserProducts[[#Headers],[Company]],31)</f>
        <v>Impact Fertilisers</v>
      </c>
      <c r="E134" s="215" t="str" cm="1">
        <f t="array" ref="E134">Common_InputFunctions.Utility_DisplayArrayInTable(Fertiliser_SourceData.Fertiliser_Products_Data2(), FertiliserProducts[[#Headers],[Company]],31)</f>
        <v>Sulphate of ammonia (SOA)</v>
      </c>
      <c r="F134" s="215" t="str" cm="1">
        <f t="array" ref="F134">Common_InputFunctions.Utility_DisplayArrayInTable(Fertiliser_SourceData.Fertiliser_Products_Data2(), FertiliserProducts[[#Headers],[Company]],31)</f>
        <v>kg</v>
      </c>
      <c r="G134" s="215" cm="1">
        <f t="array" ref="G134">Common_InputFunctions.Utility_DisplayArrayInTable(Fertiliser_SourceData.Fertiliser_Products_Data2(), FertiliserProducts[[#Headers],[Company]],31)</f>
        <v>1</v>
      </c>
      <c r="H134" s="215" t="str" cm="1">
        <f t="array" ref="H134">Common_InputFunctions.Utility_DisplayArrayInTable(Fertiliser_SourceData.Fertiliser_Products_Data2(), FertiliserProducts[[#Headers],[Company]],31)</f>
        <v/>
      </c>
      <c r="I134" s="215" t="str" cm="1">
        <f t="array" ref="I134">Common_InputFunctions.Utility_DisplayArrayInTable(Fertiliser_SourceData.Fertiliser_Products_Data2(), FertiliserProducts[[#Headers],[Company]],31)</f>
        <v/>
      </c>
      <c r="J134" s="215" t="str" cm="1">
        <f t="array" ref="J134">Common_InputFunctions.Utility_DisplayArrayInTable(Fertiliser_SourceData.Fertiliser_Products_Data2(), FertiliserProducts[[#Headers],[Company]],31)</f>
        <v/>
      </c>
      <c r="K134" s="215" cm="1">
        <f t="array" ref="K134">Common_InputFunctions.Utility_DisplayArrayInTable(Fertiliser_SourceData.Fertiliser_Products_Data2(), FertiliserProducts[[#Headers],[Company]],31)</f>
        <v>21</v>
      </c>
      <c r="L134" s="215" t="str" cm="1">
        <f t="array" ref="L134">Common_InputFunctions.Utility_DisplayArrayInTable(Fertiliser_SourceData.Fertiliser_Products_Data2(), FertiliserProducts[[#Headers],[Company]],31)</f>
        <v/>
      </c>
      <c r="M134" s="215" t="str" cm="1">
        <f t="array" ref="M134">Common_InputFunctions.Utility_DisplayArrayInTable(Fertiliser_SourceData.Fertiliser_Products_Data2(), FertiliserProducts[[#Headers],[Company]],31)</f>
        <v/>
      </c>
      <c r="N134" s="215" cm="1">
        <f t="array" ref="N134">Common_InputFunctions.Utility_DisplayArrayInTable(Fertiliser_SourceData.Fertiliser_Products_Data2(), FertiliserProducts[[#Headers],[Company]],31)</f>
        <v>24</v>
      </c>
      <c r="O134" s="215" t="str" cm="1">
        <f t="array" ref="O134">Common_InputFunctions.Utility_DisplayArrayInTable(Fertiliser_SourceData.Fertiliser_Products_Data2(), FertiliserProducts[[#Headers],[Company]],31)</f>
        <v>Sulphate of ammonia (SOA)</v>
      </c>
      <c r="P134" s="215" cm="1">
        <f t="array" ref="P134">Common_InputFunctions.Utility_DisplayArrayInTable(Fertiliser_SourceData.Fertiliser_Products_Data2(), FertiliserProducts[[#Headers],[Company]],31)</f>
        <v>1</v>
      </c>
      <c r="Q134" s="215" t="str" cm="1">
        <f t="array" ref="Q134">Common_InputFunctions.Utility_DisplayArrayInTable(Fertiliser_SourceData.Fertiliser_Products_Data2(), FertiliserProducts[[#Headers],[Company]],31)</f>
        <v/>
      </c>
      <c r="R134" s="215" t="str" cm="1">
        <f t="array" ref="R134">Common_InputFunctions.Utility_DisplayArrayInTable(Fertiliser_SourceData.Fertiliser_Products_Data2(), FertiliserProducts[[#Headers],[Company]],31)</f>
        <v/>
      </c>
      <c r="S134" s="215" t="str" cm="1">
        <f t="array" ref="S134">Common_InputFunctions.Utility_DisplayArrayInTable(Fertiliser_SourceData.Fertiliser_Products_Data2(), FertiliserProducts[[#Headers],[Company]],31)</f>
        <v/>
      </c>
      <c r="T134" s="215" t="str" cm="1">
        <f t="array" ref="T134">Common_InputFunctions.Utility_DisplayArrayInTable(Fertiliser_SourceData.Fertiliser_Products_Data2(), FertiliserProducts[[#Headers],[Company]],31)</f>
        <v/>
      </c>
      <c r="U134" s="215" t="str" cm="1">
        <f t="array" ref="U134">Common_InputFunctions.Utility_DisplayArrayInTable(Fertiliser_SourceData.Fertiliser_Products_Data2(), FertiliserProducts[[#Headers],[Company]],31)</f>
        <v/>
      </c>
      <c r="V134" s="215" t="str" cm="1">
        <f t="array" ref="V134">Common_InputFunctions.Utility_DisplayArrayInTable(Fertiliser_SourceData.Fertiliser_Products_Data2(), FertiliserProducts[[#Headers],[Company]],31)</f>
        <v/>
      </c>
      <c r="W134" s="215" t="str" cm="1">
        <f t="array" ref="W134">Common_InputFunctions.Utility_DisplayArrayInTable(Fertiliser_SourceData.Fertiliser_Products_Data2(), FertiliserProducts[[#Headers],[Company]],31)</f>
        <v/>
      </c>
      <c r="X134" s="215" t="str" cm="1">
        <f t="array" ref="X134">Common_InputFunctions.Utility_DisplayArrayInTable(Fertiliser_SourceData.Fertiliser_Products_Data2(), FertiliserProducts[[#Headers],[Company]],31)</f>
        <v/>
      </c>
      <c r="Y134" s="215" t="str" cm="1">
        <f t="array" ref="Y134">Common_InputFunctions.Utility_DisplayArrayInTable(Fertiliser_SourceData.Fertiliser_Products_Data2(), FertiliserProducts[[#Headers],[Company]],31)</f>
        <v/>
      </c>
      <c r="Z134" s="215" t="str" cm="1">
        <f t="array" ref="Z134">Common_InputFunctions.Utility_DisplayArrayInTable(Fertiliser_SourceData.Fertiliser_Products_Data2(), FertiliserProducts[[#Headers],[Company]],31)</f>
        <v/>
      </c>
      <c r="AA134" s="215" t="str" cm="1">
        <f t="array" ref="AA134">Common_InputFunctions.Utility_DisplayArrayInTable(Fertiliser_SourceData.Fertiliser_Products_Data2(), FertiliserProducts[[#Headers],[Company]],31)</f>
        <v/>
      </c>
      <c r="AB134" s="215" t="str" cm="1">
        <f t="array" ref="AB134">Common_InputFunctions.Utility_DisplayArrayInTable(Fertiliser_SourceData.Fertiliser_Products_Data2(), FertiliserProducts[[#Headers],[Company]],31)</f>
        <v/>
      </c>
      <c r="AC134" s="215" t="str" cm="1">
        <f t="array" ref="AC134">Common_InputFunctions.Utility_DisplayArrayInTable(Fertiliser_SourceData.Fertiliser_Products_Data2(), FertiliserProducts[[#Headers],[Company]],31)</f>
        <v/>
      </c>
      <c r="AD134" s="215" t="str" cm="1">
        <f t="array" ref="AD134">Common_InputFunctions.Utility_DisplayArrayInTable(Fertiliser_SourceData.Fertiliser_Products_Data2(), FertiliserProducts[[#Headers],[Company]],31)</f>
        <v/>
      </c>
      <c r="AE134" s="215" t="str" cm="1">
        <f t="array" ref="AE134">Common_InputFunctions.Utility_DisplayArrayInTable(Fertiliser_SourceData.Fertiliser_Products_Data2(), FertiliserProducts[[#Headers],[Company]],31)</f>
        <v/>
      </c>
      <c r="AF134" s="215" t="str" cm="1">
        <f t="array" ref="AF134">Common_InputFunctions.Utility_DisplayArrayInTable(Fertiliser_SourceData.Fertiliser_Products_Data2(), FertiliserProducts[[#Headers],[Company]],31)</f>
        <v/>
      </c>
      <c r="AG134" s="215" t="str" cm="1">
        <f t="array" ref="AG134">Common_InputFunctions.Utility_DisplayArrayInTable(Fertiliser_SourceData.Fertiliser_Products_Data2(), FertiliserProducts[[#Headers],[Company]],31)</f>
        <v/>
      </c>
      <c r="AH134" s="215" t="str" cm="1">
        <f t="array" ref="AH134">Common_InputFunctions.Utility_DisplayArrayInTable(Fertiliser_SourceData.Fertiliser_Products_Data2(), FertiliserProducts[[#Headers],[Company]],31)</f>
        <v/>
      </c>
    </row>
    <row r="135" spans="1:34" ht="20.100000000000001" customHeight="1" x14ac:dyDescent="0.25">
      <c r="A135"/>
      <c r="D135" s="215" t="str" cm="1">
        <f t="array" ref="D135">Common_InputFunctions.Utility_DisplayArrayInTable(Fertiliser_SourceData.Fertiliser_Products_Data2(), FertiliserProducts[[#Headers],[Company]],31)</f>
        <v>Impact Fertilisers</v>
      </c>
      <c r="E135" s="215" t="str" cm="1">
        <f t="array" ref="E135">Common_InputFunctions.Utility_DisplayArrayInTable(Fertiliser_SourceData.Fertiliser_Products_Data2(), FertiliserProducts[[#Headers],[Company]],31)</f>
        <v>Mono-Ammonium Phosphate (MAP)</v>
      </c>
      <c r="F135" s="215" t="str" cm="1">
        <f t="array" ref="F135">Common_InputFunctions.Utility_DisplayArrayInTable(Fertiliser_SourceData.Fertiliser_Products_Data2(), FertiliserProducts[[#Headers],[Company]],31)</f>
        <v>kg</v>
      </c>
      <c r="G135" s="215" cm="1">
        <f t="array" ref="G135">Common_InputFunctions.Utility_DisplayArrayInTable(Fertiliser_SourceData.Fertiliser_Products_Data2(), FertiliserProducts[[#Headers],[Company]],31)</f>
        <v>1</v>
      </c>
      <c r="H135" s="215" t="str" cm="1">
        <f t="array" ref="H135">Common_InputFunctions.Utility_DisplayArrayInTable(Fertiliser_SourceData.Fertiliser_Products_Data2(), FertiliserProducts[[#Headers],[Company]],31)</f>
        <v/>
      </c>
      <c r="I135" s="215" t="str" cm="1">
        <f t="array" ref="I135">Common_InputFunctions.Utility_DisplayArrayInTable(Fertiliser_SourceData.Fertiliser_Products_Data2(), FertiliserProducts[[#Headers],[Company]],31)</f>
        <v/>
      </c>
      <c r="J135" s="215" t="str" cm="1">
        <f t="array" ref="J135">Common_InputFunctions.Utility_DisplayArrayInTable(Fertiliser_SourceData.Fertiliser_Products_Data2(), FertiliserProducts[[#Headers],[Company]],31)</f>
        <v/>
      </c>
      <c r="K135" s="215" cm="1">
        <f t="array" ref="K135">Common_InputFunctions.Utility_DisplayArrayInTable(Fertiliser_SourceData.Fertiliser_Products_Data2(), FertiliserProducts[[#Headers],[Company]],31)</f>
        <v>10</v>
      </c>
      <c r="L135" s="215" cm="1">
        <f t="array" ref="L135">Common_InputFunctions.Utility_DisplayArrayInTable(Fertiliser_SourceData.Fertiliser_Products_Data2(), FertiliserProducts[[#Headers],[Company]],31)</f>
        <v>21.9</v>
      </c>
      <c r="M135" s="215" t="str" cm="1">
        <f t="array" ref="M135">Common_InputFunctions.Utility_DisplayArrayInTable(Fertiliser_SourceData.Fertiliser_Products_Data2(), FertiliserProducts[[#Headers],[Company]],31)</f>
        <v/>
      </c>
      <c r="N135" s="215" cm="1">
        <f t="array" ref="N135">Common_InputFunctions.Utility_DisplayArrayInTable(Fertiliser_SourceData.Fertiliser_Products_Data2(), FertiliserProducts[[#Headers],[Company]],31)</f>
        <v>1.5</v>
      </c>
      <c r="O135" s="215" t="str" cm="1">
        <f t="array" ref="O135">Common_InputFunctions.Utility_DisplayArrayInTable(Fertiliser_SourceData.Fertiliser_Products_Data2(), FertiliserProducts[[#Headers],[Company]],31)</f>
        <v>Monoammonium phosphate (MAP)</v>
      </c>
      <c r="P135" s="215" cm="1">
        <f t="array" ref="P135">Common_InputFunctions.Utility_DisplayArrayInTable(Fertiliser_SourceData.Fertiliser_Products_Data2(), FertiliserProducts[[#Headers],[Company]],31)</f>
        <v>1</v>
      </c>
      <c r="Q135" s="215" t="str" cm="1">
        <f t="array" ref="Q135">Common_InputFunctions.Utility_DisplayArrayInTable(Fertiliser_SourceData.Fertiliser_Products_Data2(), FertiliserProducts[[#Headers],[Company]],31)</f>
        <v/>
      </c>
      <c r="R135" s="215" t="str" cm="1">
        <f t="array" ref="R135">Common_InputFunctions.Utility_DisplayArrayInTable(Fertiliser_SourceData.Fertiliser_Products_Data2(), FertiliserProducts[[#Headers],[Company]],31)</f>
        <v/>
      </c>
      <c r="S135" s="215" t="str" cm="1">
        <f t="array" ref="S135">Common_InputFunctions.Utility_DisplayArrayInTable(Fertiliser_SourceData.Fertiliser_Products_Data2(), FertiliserProducts[[#Headers],[Company]],31)</f>
        <v/>
      </c>
      <c r="T135" s="215" t="str" cm="1">
        <f t="array" ref="T135">Common_InputFunctions.Utility_DisplayArrayInTable(Fertiliser_SourceData.Fertiliser_Products_Data2(), FertiliserProducts[[#Headers],[Company]],31)</f>
        <v/>
      </c>
      <c r="U135" s="215" t="str" cm="1">
        <f t="array" ref="U135">Common_InputFunctions.Utility_DisplayArrayInTable(Fertiliser_SourceData.Fertiliser_Products_Data2(), FertiliserProducts[[#Headers],[Company]],31)</f>
        <v/>
      </c>
      <c r="V135" s="215" t="str" cm="1">
        <f t="array" ref="V135">Common_InputFunctions.Utility_DisplayArrayInTable(Fertiliser_SourceData.Fertiliser_Products_Data2(), FertiliserProducts[[#Headers],[Company]],31)</f>
        <v/>
      </c>
      <c r="W135" s="215" t="str" cm="1">
        <f t="array" ref="W135">Common_InputFunctions.Utility_DisplayArrayInTable(Fertiliser_SourceData.Fertiliser_Products_Data2(), FertiliserProducts[[#Headers],[Company]],31)</f>
        <v/>
      </c>
      <c r="X135" s="215" t="str" cm="1">
        <f t="array" ref="X135">Common_InputFunctions.Utility_DisplayArrayInTable(Fertiliser_SourceData.Fertiliser_Products_Data2(), FertiliserProducts[[#Headers],[Company]],31)</f>
        <v/>
      </c>
      <c r="Y135" s="215" t="str" cm="1">
        <f t="array" ref="Y135">Common_InputFunctions.Utility_DisplayArrayInTable(Fertiliser_SourceData.Fertiliser_Products_Data2(), FertiliserProducts[[#Headers],[Company]],31)</f>
        <v/>
      </c>
      <c r="Z135" s="215" t="str" cm="1">
        <f t="array" ref="Z135">Common_InputFunctions.Utility_DisplayArrayInTable(Fertiliser_SourceData.Fertiliser_Products_Data2(), FertiliserProducts[[#Headers],[Company]],31)</f>
        <v/>
      </c>
      <c r="AA135" s="215" t="str" cm="1">
        <f t="array" ref="AA135">Common_InputFunctions.Utility_DisplayArrayInTable(Fertiliser_SourceData.Fertiliser_Products_Data2(), FertiliserProducts[[#Headers],[Company]],31)</f>
        <v/>
      </c>
      <c r="AB135" s="215" t="str" cm="1">
        <f t="array" ref="AB135">Common_InputFunctions.Utility_DisplayArrayInTable(Fertiliser_SourceData.Fertiliser_Products_Data2(), FertiliserProducts[[#Headers],[Company]],31)</f>
        <v/>
      </c>
      <c r="AC135" s="215" t="str" cm="1">
        <f t="array" ref="AC135">Common_InputFunctions.Utility_DisplayArrayInTable(Fertiliser_SourceData.Fertiliser_Products_Data2(), FertiliserProducts[[#Headers],[Company]],31)</f>
        <v/>
      </c>
      <c r="AD135" s="215" t="str" cm="1">
        <f t="array" ref="AD135">Common_InputFunctions.Utility_DisplayArrayInTable(Fertiliser_SourceData.Fertiliser_Products_Data2(), FertiliserProducts[[#Headers],[Company]],31)</f>
        <v/>
      </c>
      <c r="AE135" s="215" t="str" cm="1">
        <f t="array" ref="AE135">Common_InputFunctions.Utility_DisplayArrayInTable(Fertiliser_SourceData.Fertiliser_Products_Data2(), FertiliserProducts[[#Headers],[Company]],31)</f>
        <v/>
      </c>
      <c r="AF135" s="215" t="str" cm="1">
        <f t="array" ref="AF135">Common_InputFunctions.Utility_DisplayArrayInTable(Fertiliser_SourceData.Fertiliser_Products_Data2(), FertiliserProducts[[#Headers],[Company]],31)</f>
        <v/>
      </c>
      <c r="AG135" s="215" t="str" cm="1">
        <f t="array" ref="AG135">Common_InputFunctions.Utility_DisplayArrayInTable(Fertiliser_SourceData.Fertiliser_Products_Data2(), FertiliserProducts[[#Headers],[Company]],31)</f>
        <v/>
      </c>
      <c r="AH135" s="215" t="str" cm="1">
        <f t="array" ref="AH135">Common_InputFunctions.Utility_DisplayArrayInTable(Fertiliser_SourceData.Fertiliser_Products_Data2(), FertiliserProducts[[#Headers],[Company]],31)</f>
        <v/>
      </c>
    </row>
    <row r="136" spans="1:34" ht="20.100000000000001" customHeight="1" x14ac:dyDescent="0.25">
      <c r="A136"/>
      <c r="D136" s="215" t="str" cm="1">
        <f t="array" ref="D136">Common_InputFunctions.Utility_DisplayArrayInTable(Fertiliser_SourceData.Fertiliser_Products_Data2(), FertiliserProducts[[#Headers],[Company]],31)</f>
        <v>Impact Fertilisers</v>
      </c>
      <c r="E136" s="215" t="str" cm="1">
        <f t="array" ref="E136">Common_InputFunctions.Utility_DisplayArrayInTable(Fertiliser_SourceData.Fertiliser_Products_Data2(), FertiliserProducts[[#Headers],[Company]],31)</f>
        <v>Urea</v>
      </c>
      <c r="F136" s="215" t="str" cm="1">
        <f t="array" ref="F136">Common_InputFunctions.Utility_DisplayArrayInTable(Fertiliser_SourceData.Fertiliser_Products_Data2(), FertiliserProducts[[#Headers],[Company]],31)</f>
        <v>kg</v>
      </c>
      <c r="G136" s="215" cm="1">
        <f t="array" ref="G136">Common_InputFunctions.Utility_DisplayArrayInTable(Fertiliser_SourceData.Fertiliser_Products_Data2(), FertiliserProducts[[#Headers],[Company]],31)</f>
        <v>1</v>
      </c>
      <c r="H136" s="215" t="str" cm="1">
        <f t="array" ref="H136">Common_InputFunctions.Utility_DisplayArrayInTable(Fertiliser_SourceData.Fertiliser_Products_Data2(), FertiliserProducts[[#Headers],[Company]],31)</f>
        <v/>
      </c>
      <c r="I136" s="215" t="str" cm="1">
        <f t="array" ref="I136">Common_InputFunctions.Utility_DisplayArrayInTable(Fertiliser_SourceData.Fertiliser_Products_Data2(), FertiliserProducts[[#Headers],[Company]],31)</f>
        <v/>
      </c>
      <c r="J136" s="215" t="str" cm="1">
        <f t="array" ref="J136">Common_InputFunctions.Utility_DisplayArrayInTable(Fertiliser_SourceData.Fertiliser_Products_Data2(), FertiliserProducts[[#Headers],[Company]],31)</f>
        <v/>
      </c>
      <c r="K136" s="215" cm="1">
        <f t="array" ref="K136">Common_InputFunctions.Utility_DisplayArrayInTable(Fertiliser_SourceData.Fertiliser_Products_Data2(), FertiliserProducts[[#Headers],[Company]],31)</f>
        <v>46</v>
      </c>
      <c r="L136" s="215" t="str" cm="1">
        <f t="array" ref="L136">Common_InputFunctions.Utility_DisplayArrayInTable(Fertiliser_SourceData.Fertiliser_Products_Data2(), FertiliserProducts[[#Headers],[Company]],31)</f>
        <v/>
      </c>
      <c r="M136" s="215" t="str" cm="1">
        <f t="array" ref="M136">Common_InputFunctions.Utility_DisplayArrayInTable(Fertiliser_SourceData.Fertiliser_Products_Data2(), FertiliserProducts[[#Headers],[Company]],31)</f>
        <v/>
      </c>
      <c r="N136" s="215" t="str" cm="1">
        <f t="array" ref="N136">Common_InputFunctions.Utility_DisplayArrayInTable(Fertiliser_SourceData.Fertiliser_Products_Data2(), FertiliserProducts[[#Headers],[Company]],31)</f>
        <v/>
      </c>
      <c r="O136" s="215" t="str" cm="1">
        <f t="array" ref="O136">Common_InputFunctions.Utility_DisplayArrayInTable(Fertiliser_SourceData.Fertiliser_Products_Data2(), FertiliserProducts[[#Headers],[Company]],31)</f>
        <v>Urea</v>
      </c>
      <c r="P136" s="215" cm="1">
        <f t="array" ref="P136">Common_InputFunctions.Utility_DisplayArrayInTable(Fertiliser_SourceData.Fertiliser_Products_Data2(), FertiliserProducts[[#Headers],[Company]],31)</f>
        <v>1</v>
      </c>
      <c r="Q136" s="215" t="str" cm="1">
        <f t="array" ref="Q136">Common_InputFunctions.Utility_DisplayArrayInTable(Fertiliser_SourceData.Fertiliser_Products_Data2(), FertiliserProducts[[#Headers],[Company]],31)</f>
        <v/>
      </c>
      <c r="R136" s="215" t="str" cm="1">
        <f t="array" ref="R136">Common_InputFunctions.Utility_DisplayArrayInTable(Fertiliser_SourceData.Fertiliser_Products_Data2(), FertiliserProducts[[#Headers],[Company]],31)</f>
        <v/>
      </c>
      <c r="S136" s="215" t="str" cm="1">
        <f t="array" ref="S136">Common_InputFunctions.Utility_DisplayArrayInTable(Fertiliser_SourceData.Fertiliser_Products_Data2(), FertiliserProducts[[#Headers],[Company]],31)</f>
        <v/>
      </c>
      <c r="T136" s="215" t="str" cm="1">
        <f t="array" ref="T136">Common_InputFunctions.Utility_DisplayArrayInTable(Fertiliser_SourceData.Fertiliser_Products_Data2(), FertiliserProducts[[#Headers],[Company]],31)</f>
        <v/>
      </c>
      <c r="U136" s="215" t="str" cm="1">
        <f t="array" ref="U136">Common_InputFunctions.Utility_DisplayArrayInTable(Fertiliser_SourceData.Fertiliser_Products_Data2(), FertiliserProducts[[#Headers],[Company]],31)</f>
        <v/>
      </c>
      <c r="V136" s="215" t="str" cm="1">
        <f t="array" ref="V136">Common_InputFunctions.Utility_DisplayArrayInTable(Fertiliser_SourceData.Fertiliser_Products_Data2(), FertiliserProducts[[#Headers],[Company]],31)</f>
        <v/>
      </c>
      <c r="W136" s="215" t="str" cm="1">
        <f t="array" ref="W136">Common_InputFunctions.Utility_DisplayArrayInTable(Fertiliser_SourceData.Fertiliser_Products_Data2(), FertiliserProducts[[#Headers],[Company]],31)</f>
        <v/>
      </c>
      <c r="X136" s="215" t="str" cm="1">
        <f t="array" ref="X136">Common_InputFunctions.Utility_DisplayArrayInTable(Fertiliser_SourceData.Fertiliser_Products_Data2(), FertiliserProducts[[#Headers],[Company]],31)</f>
        <v/>
      </c>
      <c r="Y136" s="215" t="str" cm="1">
        <f t="array" ref="Y136">Common_InputFunctions.Utility_DisplayArrayInTable(Fertiliser_SourceData.Fertiliser_Products_Data2(), FertiliserProducts[[#Headers],[Company]],31)</f>
        <v/>
      </c>
      <c r="Z136" s="215" t="str" cm="1">
        <f t="array" ref="Z136">Common_InputFunctions.Utility_DisplayArrayInTable(Fertiliser_SourceData.Fertiliser_Products_Data2(), FertiliserProducts[[#Headers],[Company]],31)</f>
        <v/>
      </c>
      <c r="AA136" s="215" t="str" cm="1">
        <f t="array" ref="AA136">Common_InputFunctions.Utility_DisplayArrayInTable(Fertiliser_SourceData.Fertiliser_Products_Data2(), FertiliserProducts[[#Headers],[Company]],31)</f>
        <v/>
      </c>
      <c r="AB136" s="215" t="str" cm="1">
        <f t="array" ref="AB136">Common_InputFunctions.Utility_DisplayArrayInTable(Fertiliser_SourceData.Fertiliser_Products_Data2(), FertiliserProducts[[#Headers],[Company]],31)</f>
        <v/>
      </c>
      <c r="AC136" s="215" t="str" cm="1">
        <f t="array" ref="AC136">Common_InputFunctions.Utility_DisplayArrayInTable(Fertiliser_SourceData.Fertiliser_Products_Data2(), FertiliserProducts[[#Headers],[Company]],31)</f>
        <v/>
      </c>
      <c r="AD136" s="215" t="str" cm="1">
        <f t="array" ref="AD136">Common_InputFunctions.Utility_DisplayArrayInTable(Fertiliser_SourceData.Fertiliser_Products_Data2(), FertiliserProducts[[#Headers],[Company]],31)</f>
        <v/>
      </c>
      <c r="AE136" s="215" t="str" cm="1">
        <f t="array" ref="AE136">Common_InputFunctions.Utility_DisplayArrayInTable(Fertiliser_SourceData.Fertiliser_Products_Data2(), FertiliserProducts[[#Headers],[Company]],31)</f>
        <v/>
      </c>
      <c r="AF136" s="215" t="str" cm="1">
        <f t="array" ref="AF136">Common_InputFunctions.Utility_DisplayArrayInTable(Fertiliser_SourceData.Fertiliser_Products_Data2(), FertiliserProducts[[#Headers],[Company]],31)</f>
        <v/>
      </c>
      <c r="AG136" s="215" t="str" cm="1">
        <f t="array" ref="AG136">Common_InputFunctions.Utility_DisplayArrayInTable(Fertiliser_SourceData.Fertiliser_Products_Data2(), FertiliserProducts[[#Headers],[Company]],31)</f>
        <v/>
      </c>
      <c r="AH136" s="215" t="str" cm="1">
        <f t="array" ref="AH136">Common_InputFunctions.Utility_DisplayArrayInTable(Fertiliser_SourceData.Fertiliser_Products_Data2(), FertiliserProducts[[#Headers],[Company]],31)</f>
        <v/>
      </c>
    </row>
    <row r="137" spans="1:34" ht="20.100000000000001" customHeight="1" x14ac:dyDescent="0.25">
      <c r="A137"/>
      <c r="D137" s="215" t="str" cm="1">
        <f t="array" ref="D137">Common_InputFunctions.Utility_DisplayArrayInTable(Fertiliser_SourceData.Fertiliser_Products_Data2(), FertiliserProducts[[#Headers],[Company]],31)</f>
        <v>Koch Fertiliser Australia</v>
      </c>
      <c r="E137" s="215" t="str" cm="1">
        <f t="array" ref="E137">Common_InputFunctions.Utility_DisplayArrayInTable(Fertiliser_SourceData.Fertiliser_Products_Data2(), FertiliserProducts[[#Headers],[Company]],31)</f>
        <v>Muriate of potash (MOP)</v>
      </c>
      <c r="F137" s="215" t="str" cm="1">
        <f t="array" ref="F137">Common_InputFunctions.Utility_DisplayArrayInTable(Fertiliser_SourceData.Fertiliser_Products_Data2(), FertiliserProducts[[#Headers],[Company]],31)</f>
        <v>kg</v>
      </c>
      <c r="G137" s="215" cm="1">
        <f t="array" ref="G137">Common_InputFunctions.Utility_DisplayArrayInTable(Fertiliser_SourceData.Fertiliser_Products_Data2(), FertiliserProducts[[#Headers],[Company]],31)</f>
        <v>1</v>
      </c>
      <c r="H137" s="215" t="str" cm="1">
        <f t="array" ref="H137">Common_InputFunctions.Utility_DisplayArrayInTable(Fertiliser_SourceData.Fertiliser_Products_Data2(), FertiliserProducts[[#Headers],[Company]],31)</f>
        <v/>
      </c>
      <c r="I137" s="215" t="str" cm="1">
        <f t="array" ref="I137">Common_InputFunctions.Utility_DisplayArrayInTable(Fertiliser_SourceData.Fertiliser_Products_Data2(), FertiliserProducts[[#Headers],[Company]],31)</f>
        <v/>
      </c>
      <c r="J137" s="215" t="str" cm="1">
        <f t="array" ref="J137">Common_InputFunctions.Utility_DisplayArrayInTable(Fertiliser_SourceData.Fertiliser_Products_Data2(), FertiliserProducts[[#Headers],[Company]],31)</f>
        <v/>
      </c>
      <c r="K137" s="215" t="str" cm="1">
        <f t="array" ref="K137">Common_InputFunctions.Utility_DisplayArrayInTable(Fertiliser_SourceData.Fertiliser_Products_Data2(), FertiliserProducts[[#Headers],[Company]],31)</f>
        <v/>
      </c>
      <c r="L137" s="215" t="str" cm="1">
        <f t="array" ref="L137">Common_InputFunctions.Utility_DisplayArrayInTable(Fertiliser_SourceData.Fertiliser_Products_Data2(), FertiliserProducts[[#Headers],[Company]],31)</f>
        <v/>
      </c>
      <c r="M137" s="215" cm="1">
        <f t="array" ref="M137">Common_InputFunctions.Utility_DisplayArrayInTable(Fertiliser_SourceData.Fertiliser_Products_Data2(), FertiliserProducts[[#Headers],[Company]],31)</f>
        <v>50</v>
      </c>
      <c r="N137" s="215" t="str" cm="1">
        <f t="array" ref="N137">Common_InputFunctions.Utility_DisplayArrayInTable(Fertiliser_SourceData.Fertiliser_Products_Data2(), FertiliserProducts[[#Headers],[Company]],31)</f>
        <v/>
      </c>
      <c r="O137" s="215" t="str" cm="1">
        <f t="array" ref="O137">Common_InputFunctions.Utility_DisplayArrayInTable(Fertiliser_SourceData.Fertiliser_Products_Data2(), FertiliserProducts[[#Headers],[Company]],31)</f>
        <v>Muriate of potash (MOP)</v>
      </c>
      <c r="P137" s="215" cm="1">
        <f t="array" ref="P137">Common_InputFunctions.Utility_DisplayArrayInTable(Fertiliser_SourceData.Fertiliser_Products_Data2(), FertiliserProducts[[#Headers],[Company]],31)</f>
        <v>1</v>
      </c>
      <c r="Q137" s="215" t="str" cm="1">
        <f t="array" ref="Q137">Common_InputFunctions.Utility_DisplayArrayInTable(Fertiliser_SourceData.Fertiliser_Products_Data2(), FertiliserProducts[[#Headers],[Company]],31)</f>
        <v/>
      </c>
      <c r="R137" s="215" t="str" cm="1">
        <f t="array" ref="R137">Common_InputFunctions.Utility_DisplayArrayInTable(Fertiliser_SourceData.Fertiliser_Products_Data2(), FertiliserProducts[[#Headers],[Company]],31)</f>
        <v/>
      </c>
      <c r="S137" s="215" t="str" cm="1">
        <f t="array" ref="S137">Common_InputFunctions.Utility_DisplayArrayInTable(Fertiliser_SourceData.Fertiliser_Products_Data2(), FertiliserProducts[[#Headers],[Company]],31)</f>
        <v/>
      </c>
      <c r="T137" s="215" t="str" cm="1">
        <f t="array" ref="T137">Common_InputFunctions.Utility_DisplayArrayInTable(Fertiliser_SourceData.Fertiliser_Products_Data2(), FertiliserProducts[[#Headers],[Company]],31)</f>
        <v/>
      </c>
      <c r="U137" s="215" t="str" cm="1">
        <f t="array" ref="U137">Common_InputFunctions.Utility_DisplayArrayInTable(Fertiliser_SourceData.Fertiliser_Products_Data2(), FertiliserProducts[[#Headers],[Company]],31)</f>
        <v/>
      </c>
      <c r="V137" s="215" t="str" cm="1">
        <f t="array" ref="V137">Common_InputFunctions.Utility_DisplayArrayInTable(Fertiliser_SourceData.Fertiliser_Products_Data2(), FertiliserProducts[[#Headers],[Company]],31)</f>
        <v/>
      </c>
      <c r="W137" s="215" t="str" cm="1">
        <f t="array" ref="W137">Common_InputFunctions.Utility_DisplayArrayInTable(Fertiliser_SourceData.Fertiliser_Products_Data2(), FertiliserProducts[[#Headers],[Company]],31)</f>
        <v/>
      </c>
      <c r="X137" s="215" t="str" cm="1">
        <f t="array" ref="X137">Common_InputFunctions.Utility_DisplayArrayInTable(Fertiliser_SourceData.Fertiliser_Products_Data2(), FertiliserProducts[[#Headers],[Company]],31)</f>
        <v/>
      </c>
      <c r="Y137" s="215" t="str" cm="1">
        <f t="array" ref="Y137">Common_InputFunctions.Utility_DisplayArrayInTable(Fertiliser_SourceData.Fertiliser_Products_Data2(), FertiliserProducts[[#Headers],[Company]],31)</f>
        <v/>
      </c>
      <c r="Z137" s="215" t="str" cm="1">
        <f t="array" ref="Z137">Common_InputFunctions.Utility_DisplayArrayInTable(Fertiliser_SourceData.Fertiliser_Products_Data2(), FertiliserProducts[[#Headers],[Company]],31)</f>
        <v/>
      </c>
      <c r="AA137" s="215" t="str" cm="1">
        <f t="array" ref="AA137">Common_InputFunctions.Utility_DisplayArrayInTable(Fertiliser_SourceData.Fertiliser_Products_Data2(), FertiliserProducts[[#Headers],[Company]],31)</f>
        <v/>
      </c>
      <c r="AB137" s="215" t="str" cm="1">
        <f t="array" ref="AB137">Common_InputFunctions.Utility_DisplayArrayInTable(Fertiliser_SourceData.Fertiliser_Products_Data2(), FertiliserProducts[[#Headers],[Company]],31)</f>
        <v/>
      </c>
      <c r="AC137" s="215" t="str" cm="1">
        <f t="array" ref="AC137">Common_InputFunctions.Utility_DisplayArrayInTable(Fertiliser_SourceData.Fertiliser_Products_Data2(), FertiliserProducts[[#Headers],[Company]],31)</f>
        <v/>
      </c>
      <c r="AD137" s="215" t="str" cm="1">
        <f t="array" ref="AD137">Common_InputFunctions.Utility_DisplayArrayInTable(Fertiliser_SourceData.Fertiliser_Products_Data2(), FertiliserProducts[[#Headers],[Company]],31)</f>
        <v/>
      </c>
      <c r="AE137" s="215" t="str" cm="1">
        <f t="array" ref="AE137">Common_InputFunctions.Utility_DisplayArrayInTable(Fertiliser_SourceData.Fertiliser_Products_Data2(), FertiliserProducts[[#Headers],[Company]],31)</f>
        <v/>
      </c>
      <c r="AF137" s="215" t="str" cm="1">
        <f t="array" ref="AF137">Common_InputFunctions.Utility_DisplayArrayInTable(Fertiliser_SourceData.Fertiliser_Products_Data2(), FertiliserProducts[[#Headers],[Company]],31)</f>
        <v/>
      </c>
      <c r="AG137" s="215" t="str" cm="1">
        <f t="array" ref="AG137">Common_InputFunctions.Utility_DisplayArrayInTable(Fertiliser_SourceData.Fertiliser_Products_Data2(), FertiliserProducts[[#Headers],[Company]],31)</f>
        <v/>
      </c>
      <c r="AH137" s="215" t="str" cm="1">
        <f t="array" ref="AH137">Common_InputFunctions.Utility_DisplayArrayInTable(Fertiliser_SourceData.Fertiliser_Products_Data2(), FertiliserProducts[[#Headers],[Company]],31)</f>
        <v/>
      </c>
    </row>
    <row r="138" spans="1:34" ht="20.100000000000001" customHeight="1" x14ac:dyDescent="0.25">
      <c r="A138"/>
      <c r="D138" s="215" t="str" cm="1">
        <f t="array" ref="D138">Common_InputFunctions.Utility_DisplayArrayInTable(Fertiliser_SourceData.Fertiliser_Products_Data2(), FertiliserProducts[[#Headers],[Company]],31)</f>
        <v>Risso-Chemical</v>
      </c>
      <c r="E138" s="215" t="str" cm="1">
        <f t="array" ref="E138">Common_InputFunctions.Utility_DisplayArrayInTable(Fertiliser_SourceData.Fertiliser_Products_Data2(), FertiliserProducts[[#Headers],[Company]],31)</f>
        <v>Urea Ammonium nitrate (UAN 32-0-0)</v>
      </c>
      <c r="F138" s="215" t="str" cm="1">
        <f t="array" ref="F138">Common_InputFunctions.Utility_DisplayArrayInTable(Fertiliser_SourceData.Fertiliser_Products_Data2(), FertiliserProducts[[#Headers],[Company]],31)</f>
        <v>L</v>
      </c>
      <c r="G138" s="215" cm="1">
        <f t="array" ref="G138">Common_InputFunctions.Utility_DisplayArrayInTable(Fertiliser_SourceData.Fertiliser_Products_Data2(), FertiliserProducts[[#Headers],[Company]],31)</f>
        <v>1.32</v>
      </c>
      <c r="H138" s="215" t="str" cm="1">
        <f t="array" ref="H138">Common_InputFunctions.Utility_DisplayArrayInTable(Fertiliser_SourceData.Fertiliser_Products_Data2(), FertiliserProducts[[#Headers],[Company]],31)</f>
        <v/>
      </c>
      <c r="I138" s="215" t="str" cm="1">
        <f t="array" ref="I138">Common_InputFunctions.Utility_DisplayArrayInTable(Fertiliser_SourceData.Fertiliser_Products_Data2(), FertiliserProducts[[#Headers],[Company]],31)</f>
        <v>China</v>
      </c>
      <c r="J138" s="215" t="str" cm="1">
        <f t="array" ref="J138">Common_InputFunctions.Utility_DisplayArrayInTable(Fertiliser_SourceData.Fertiliser_Products_Data2(), FertiliserProducts[[#Headers],[Company]],31)</f>
        <v>China</v>
      </c>
      <c r="K138" s="215" cm="1">
        <f t="array" ref="K138">Common_InputFunctions.Utility_DisplayArrayInTable(Fertiliser_SourceData.Fertiliser_Products_Data2(), FertiliserProducts[[#Headers],[Company]],31)</f>
        <v>32</v>
      </c>
      <c r="L138" s="215" t="str" cm="1">
        <f t="array" ref="L138">Common_InputFunctions.Utility_DisplayArrayInTable(Fertiliser_SourceData.Fertiliser_Products_Data2(), FertiliserProducts[[#Headers],[Company]],31)</f>
        <v/>
      </c>
      <c r="M138" s="215" t="str" cm="1">
        <f t="array" ref="M138">Common_InputFunctions.Utility_DisplayArrayInTable(Fertiliser_SourceData.Fertiliser_Products_Data2(), FertiliserProducts[[#Headers],[Company]],31)</f>
        <v/>
      </c>
      <c r="N138" s="215" t="str" cm="1">
        <f t="array" ref="N138">Common_InputFunctions.Utility_DisplayArrayInTable(Fertiliser_SourceData.Fertiliser_Products_Data2(), FertiliserProducts[[#Headers],[Company]],31)</f>
        <v/>
      </c>
      <c r="O138" s="215" t="str" cm="1">
        <f t="array" ref="O138">Common_InputFunctions.Utility_DisplayArrayInTable(Fertiliser_SourceData.Fertiliser_Products_Data2(), FertiliserProducts[[#Headers],[Company]],31)</f>
        <v>Urea-ammonium nitrate (UAN)</v>
      </c>
      <c r="P138" s="215" cm="1">
        <f t="array" ref="P138">Common_InputFunctions.Utility_DisplayArrayInTable(Fertiliser_SourceData.Fertiliser_Products_Data2(), FertiliserProducts[[#Headers],[Company]],31)</f>
        <v>1</v>
      </c>
      <c r="Q138" s="215" t="str" cm="1">
        <f t="array" ref="Q138">Common_InputFunctions.Utility_DisplayArrayInTable(Fertiliser_SourceData.Fertiliser_Products_Data2(), FertiliserProducts[[#Headers],[Company]],31)</f>
        <v/>
      </c>
      <c r="R138" s="215" t="str" cm="1">
        <f t="array" ref="R138">Common_InputFunctions.Utility_DisplayArrayInTable(Fertiliser_SourceData.Fertiliser_Products_Data2(), FertiliserProducts[[#Headers],[Company]],31)</f>
        <v/>
      </c>
      <c r="S138" s="215" t="str" cm="1">
        <f t="array" ref="S138">Common_InputFunctions.Utility_DisplayArrayInTable(Fertiliser_SourceData.Fertiliser_Products_Data2(), FertiliserProducts[[#Headers],[Company]],31)</f>
        <v/>
      </c>
      <c r="T138" s="215" t="str" cm="1">
        <f t="array" ref="T138">Common_InputFunctions.Utility_DisplayArrayInTable(Fertiliser_SourceData.Fertiliser_Products_Data2(), FertiliserProducts[[#Headers],[Company]],31)</f>
        <v/>
      </c>
      <c r="U138" s="215" t="str" cm="1">
        <f t="array" ref="U138">Common_InputFunctions.Utility_DisplayArrayInTable(Fertiliser_SourceData.Fertiliser_Products_Data2(), FertiliserProducts[[#Headers],[Company]],31)</f>
        <v/>
      </c>
      <c r="V138" s="215" t="str" cm="1">
        <f t="array" ref="V138">Common_InputFunctions.Utility_DisplayArrayInTable(Fertiliser_SourceData.Fertiliser_Products_Data2(), FertiliserProducts[[#Headers],[Company]],31)</f>
        <v/>
      </c>
      <c r="W138" s="215" t="str" cm="1">
        <f t="array" ref="W138">Common_InputFunctions.Utility_DisplayArrayInTable(Fertiliser_SourceData.Fertiliser_Products_Data2(), FertiliserProducts[[#Headers],[Company]],31)</f>
        <v/>
      </c>
      <c r="X138" s="215" t="str" cm="1">
        <f t="array" ref="X138">Common_InputFunctions.Utility_DisplayArrayInTable(Fertiliser_SourceData.Fertiliser_Products_Data2(), FertiliserProducts[[#Headers],[Company]],31)</f>
        <v/>
      </c>
      <c r="Y138" s="215" t="str" cm="1">
        <f t="array" ref="Y138">Common_InputFunctions.Utility_DisplayArrayInTable(Fertiliser_SourceData.Fertiliser_Products_Data2(), FertiliserProducts[[#Headers],[Company]],31)</f>
        <v/>
      </c>
      <c r="Z138" s="215" t="str" cm="1">
        <f t="array" ref="Z138">Common_InputFunctions.Utility_DisplayArrayInTable(Fertiliser_SourceData.Fertiliser_Products_Data2(), FertiliserProducts[[#Headers],[Company]],31)</f>
        <v/>
      </c>
      <c r="AA138" s="215" t="str" cm="1">
        <f t="array" ref="AA138">Common_InputFunctions.Utility_DisplayArrayInTable(Fertiliser_SourceData.Fertiliser_Products_Data2(), FertiliserProducts[[#Headers],[Company]],31)</f>
        <v/>
      </c>
      <c r="AB138" s="215" t="str" cm="1">
        <f t="array" ref="AB138">Common_InputFunctions.Utility_DisplayArrayInTable(Fertiliser_SourceData.Fertiliser_Products_Data2(), FertiliserProducts[[#Headers],[Company]],31)</f>
        <v/>
      </c>
      <c r="AC138" s="215" t="str" cm="1">
        <f t="array" ref="AC138">Common_InputFunctions.Utility_DisplayArrayInTable(Fertiliser_SourceData.Fertiliser_Products_Data2(), FertiliserProducts[[#Headers],[Company]],31)</f>
        <v/>
      </c>
      <c r="AD138" s="215" t="str" cm="1">
        <f t="array" ref="AD138">Common_InputFunctions.Utility_DisplayArrayInTable(Fertiliser_SourceData.Fertiliser_Products_Data2(), FertiliserProducts[[#Headers],[Company]],31)</f>
        <v/>
      </c>
      <c r="AE138" s="215" t="str" cm="1">
        <f t="array" ref="AE138">Common_InputFunctions.Utility_DisplayArrayInTable(Fertiliser_SourceData.Fertiliser_Products_Data2(), FertiliserProducts[[#Headers],[Company]],31)</f>
        <v/>
      </c>
      <c r="AF138" s="215" t="str" cm="1">
        <f t="array" ref="AF138">Common_InputFunctions.Utility_DisplayArrayInTable(Fertiliser_SourceData.Fertiliser_Products_Data2(), FertiliserProducts[[#Headers],[Company]],31)</f>
        <v/>
      </c>
      <c r="AG138" s="215" t="str" cm="1">
        <f t="array" ref="AG138">Common_InputFunctions.Utility_DisplayArrayInTable(Fertiliser_SourceData.Fertiliser_Products_Data2(), FertiliserProducts[[#Headers],[Company]],31)</f>
        <v/>
      </c>
      <c r="AH138" s="215" t="str" cm="1">
        <f t="array" ref="AH138">Common_InputFunctions.Utility_DisplayArrayInTable(Fertiliser_SourceData.Fertiliser_Products_Data2(), FertiliserProducts[[#Headers],[Company]],31)</f>
        <v/>
      </c>
    </row>
    <row r="139" spans="1:34" ht="20.100000000000001" customHeight="1" x14ac:dyDescent="0.25">
      <c r="A139"/>
      <c r="D139" s="215" t="str" cm="1">
        <f t="array" ref="D139">Common_InputFunctions.Utility_DisplayArrayInTable(Fertiliser_SourceData.Fertiliser_Products_Data2(), FertiliserProducts[[#Headers],[Company]],31)</f>
        <v>Risso-Chemical</v>
      </c>
      <c r="E139" s="215" t="str" cm="1">
        <f t="array" ref="E139">Common_InputFunctions.Utility_DisplayArrayInTable(Fertiliser_SourceData.Fertiliser_Products_Data2(), FertiliserProducts[[#Headers],[Company]],31)</f>
        <v>Polypeptide Urea</v>
      </c>
      <c r="F139" s="215" t="str" cm="1">
        <f t="array" ref="F139">Common_InputFunctions.Utility_DisplayArrayInTable(Fertiliser_SourceData.Fertiliser_Products_Data2(), FertiliserProducts[[#Headers],[Company]],31)</f>
        <v>kg</v>
      </c>
      <c r="G139" s="215" cm="1">
        <f t="array" ref="G139">Common_InputFunctions.Utility_DisplayArrayInTable(Fertiliser_SourceData.Fertiliser_Products_Data2(), FertiliserProducts[[#Headers],[Company]],31)</f>
        <v>1</v>
      </c>
      <c r="H139" s="215" t="str" cm="1">
        <f t="array" ref="H139">Common_InputFunctions.Utility_DisplayArrayInTable(Fertiliser_SourceData.Fertiliser_Products_Data2(), FertiliserProducts[[#Headers],[Company]],31)</f>
        <v/>
      </c>
      <c r="I139" s="215" t="str" cm="1">
        <f t="array" ref="I139">Common_InputFunctions.Utility_DisplayArrayInTable(Fertiliser_SourceData.Fertiliser_Products_Data2(), FertiliserProducts[[#Headers],[Company]],31)</f>
        <v>China</v>
      </c>
      <c r="J139" s="215" t="str" cm="1">
        <f t="array" ref="J139">Common_InputFunctions.Utility_DisplayArrayInTable(Fertiliser_SourceData.Fertiliser_Products_Data2(), FertiliserProducts[[#Headers],[Company]],31)</f>
        <v/>
      </c>
      <c r="K139" s="215" cm="1">
        <f t="array" ref="K139">Common_InputFunctions.Utility_DisplayArrayInTable(Fertiliser_SourceData.Fertiliser_Products_Data2(), FertiliserProducts[[#Headers],[Company]],31)</f>
        <v>46</v>
      </c>
      <c r="L139" s="215" t="str" cm="1">
        <f t="array" ref="L139">Common_InputFunctions.Utility_DisplayArrayInTable(Fertiliser_SourceData.Fertiliser_Products_Data2(), FertiliserProducts[[#Headers],[Company]],31)</f>
        <v/>
      </c>
      <c r="M139" s="215" t="str" cm="1">
        <f t="array" ref="M139">Common_InputFunctions.Utility_DisplayArrayInTable(Fertiliser_SourceData.Fertiliser_Products_Data2(), FertiliserProducts[[#Headers],[Company]],31)</f>
        <v/>
      </c>
      <c r="N139" s="215" t="str" cm="1">
        <f t="array" ref="N139">Common_InputFunctions.Utility_DisplayArrayInTable(Fertiliser_SourceData.Fertiliser_Products_Data2(), FertiliserProducts[[#Headers],[Company]],31)</f>
        <v/>
      </c>
      <c r="O139" s="215" t="str" cm="1">
        <f t="array" ref="O139">Common_InputFunctions.Utility_DisplayArrayInTable(Fertiliser_SourceData.Fertiliser_Products_Data2(), FertiliserProducts[[#Headers],[Company]],31)</f>
        <v>Urea</v>
      </c>
      <c r="P139" s="215" cm="1">
        <f t="array" ref="P139">Common_InputFunctions.Utility_DisplayArrayInTable(Fertiliser_SourceData.Fertiliser_Products_Data2(), FertiliserProducts[[#Headers],[Company]],31)</f>
        <v>1</v>
      </c>
      <c r="Q139" s="215" t="str" cm="1">
        <f t="array" ref="Q139">Common_InputFunctions.Utility_DisplayArrayInTable(Fertiliser_SourceData.Fertiliser_Products_Data2(), FertiliserProducts[[#Headers],[Company]],31)</f>
        <v>Polypeptide (amino acids)</v>
      </c>
      <c r="R139" s="215" cm="1">
        <f t="array" ref="R139">Common_InputFunctions.Utility_DisplayArrayInTable(Fertiliser_SourceData.Fertiliser_Products_Data2(), FertiliserProducts[[#Headers],[Company]],31)</f>
        <v>0</v>
      </c>
      <c r="S139" s="215" t="str" cm="1">
        <f t="array" ref="S139">Common_InputFunctions.Utility_DisplayArrayInTable(Fertiliser_SourceData.Fertiliser_Products_Data2(), FertiliserProducts[[#Headers],[Company]],31)</f>
        <v/>
      </c>
      <c r="T139" s="215" t="str" cm="1">
        <f t="array" ref="T139">Common_InputFunctions.Utility_DisplayArrayInTable(Fertiliser_SourceData.Fertiliser_Products_Data2(), FertiliserProducts[[#Headers],[Company]],31)</f>
        <v/>
      </c>
      <c r="U139" s="215" t="str" cm="1">
        <f t="array" ref="U139">Common_InputFunctions.Utility_DisplayArrayInTable(Fertiliser_SourceData.Fertiliser_Products_Data2(), FertiliserProducts[[#Headers],[Company]],31)</f>
        <v/>
      </c>
      <c r="V139" s="215" t="str" cm="1">
        <f t="array" ref="V139">Common_InputFunctions.Utility_DisplayArrayInTable(Fertiliser_SourceData.Fertiliser_Products_Data2(), FertiliserProducts[[#Headers],[Company]],31)</f>
        <v/>
      </c>
      <c r="W139" s="215" t="str" cm="1">
        <f t="array" ref="W139">Common_InputFunctions.Utility_DisplayArrayInTable(Fertiliser_SourceData.Fertiliser_Products_Data2(), FertiliserProducts[[#Headers],[Company]],31)</f>
        <v/>
      </c>
      <c r="X139" s="215" t="str" cm="1">
        <f t="array" ref="X139">Common_InputFunctions.Utility_DisplayArrayInTable(Fertiliser_SourceData.Fertiliser_Products_Data2(), FertiliserProducts[[#Headers],[Company]],31)</f>
        <v/>
      </c>
      <c r="Y139" s="215" t="str" cm="1">
        <f t="array" ref="Y139">Common_InputFunctions.Utility_DisplayArrayInTable(Fertiliser_SourceData.Fertiliser_Products_Data2(), FertiliserProducts[[#Headers],[Company]],31)</f>
        <v/>
      </c>
      <c r="Z139" s="215" t="str" cm="1">
        <f t="array" ref="Z139">Common_InputFunctions.Utility_DisplayArrayInTable(Fertiliser_SourceData.Fertiliser_Products_Data2(), FertiliserProducts[[#Headers],[Company]],31)</f>
        <v/>
      </c>
      <c r="AA139" s="215" t="str" cm="1">
        <f t="array" ref="AA139">Common_InputFunctions.Utility_DisplayArrayInTable(Fertiliser_SourceData.Fertiliser_Products_Data2(), FertiliserProducts[[#Headers],[Company]],31)</f>
        <v/>
      </c>
      <c r="AB139" s="215" t="str" cm="1">
        <f t="array" ref="AB139">Common_InputFunctions.Utility_DisplayArrayInTable(Fertiliser_SourceData.Fertiliser_Products_Data2(), FertiliserProducts[[#Headers],[Company]],31)</f>
        <v/>
      </c>
      <c r="AC139" s="215" t="str" cm="1">
        <f t="array" ref="AC139">Common_InputFunctions.Utility_DisplayArrayInTable(Fertiliser_SourceData.Fertiliser_Products_Data2(), FertiliserProducts[[#Headers],[Company]],31)</f>
        <v/>
      </c>
      <c r="AD139" s="215" t="str" cm="1">
        <f t="array" ref="AD139">Common_InputFunctions.Utility_DisplayArrayInTable(Fertiliser_SourceData.Fertiliser_Products_Data2(), FertiliserProducts[[#Headers],[Company]],31)</f>
        <v/>
      </c>
      <c r="AE139" s="215" t="str" cm="1">
        <f t="array" ref="AE139">Common_InputFunctions.Utility_DisplayArrayInTable(Fertiliser_SourceData.Fertiliser_Products_Data2(), FertiliserProducts[[#Headers],[Company]],31)</f>
        <v/>
      </c>
      <c r="AF139" s="215" t="str" cm="1">
        <f t="array" ref="AF139">Common_InputFunctions.Utility_DisplayArrayInTable(Fertiliser_SourceData.Fertiliser_Products_Data2(), FertiliserProducts[[#Headers],[Company]],31)</f>
        <v/>
      </c>
      <c r="AG139" s="215" t="str" cm="1">
        <f t="array" ref="AG139">Common_InputFunctions.Utility_DisplayArrayInTable(Fertiliser_SourceData.Fertiliser_Products_Data2(), FertiliserProducts[[#Headers],[Company]],31)</f>
        <v/>
      </c>
      <c r="AH139" s="215" t="str" cm="1">
        <f t="array" ref="AH139">Common_InputFunctions.Utility_DisplayArrayInTable(Fertiliser_SourceData.Fertiliser_Products_Data2(), FertiliserProducts[[#Headers],[Company]],31)</f>
        <v/>
      </c>
    </row>
    <row r="140" spans="1:34" ht="20.100000000000001" customHeight="1" x14ac:dyDescent="0.25">
      <c r="A140"/>
      <c r="D140" s="215" t="str" cm="1">
        <f t="array" ref="D140">Common_InputFunctions.Utility_DisplayArrayInTable(Fertiliser_SourceData.Fertiliser_Products_Data2(), FertiliserProducts[[#Headers],[Company]],31)</f>
        <v>Yara Australia</v>
      </c>
      <c r="E140" s="215" t="str" cm="1">
        <f t="array" ref="E140">Common_InputFunctions.Utility_DisplayArrayInTable(Fertiliser_SourceData.Fertiliser_Products_Data2(), FertiliserProducts[[#Headers],[Company]],31)</f>
        <v>YaraTera CALCINIT</v>
      </c>
      <c r="F140" s="215" t="str" cm="1">
        <f t="array" ref="F140">Common_InputFunctions.Utility_DisplayArrayInTable(Fertiliser_SourceData.Fertiliser_Products_Data2(), FertiliserProducts[[#Headers],[Company]],31)</f>
        <v>kg</v>
      </c>
      <c r="G140" s="215" cm="1">
        <f t="array" ref="G140">Common_InputFunctions.Utility_DisplayArrayInTable(Fertiliser_SourceData.Fertiliser_Products_Data2(), FertiliserProducts[[#Headers],[Company]],31)</f>
        <v>1</v>
      </c>
      <c r="H140" s="215" t="str" cm="1">
        <f t="array" ref="H140">Common_InputFunctions.Utility_DisplayArrayInTable(Fertiliser_SourceData.Fertiliser_Products_Data2(), FertiliserProducts[[#Headers],[Company]],31)</f>
        <v/>
      </c>
      <c r="I140" s="215" t="str" cm="1">
        <f t="array" ref="I140">Common_InputFunctions.Utility_DisplayArrayInTable(Fertiliser_SourceData.Fertiliser_Products_Data2(), FertiliserProducts[[#Headers],[Company]],31)</f>
        <v/>
      </c>
      <c r="J140" s="215" t="str" cm="1">
        <f t="array" ref="J140">Common_InputFunctions.Utility_DisplayArrayInTable(Fertiliser_SourceData.Fertiliser_Products_Data2(), FertiliserProducts[[#Headers],[Company]],31)</f>
        <v/>
      </c>
      <c r="K140" s="215" cm="1">
        <f t="array" ref="K140">Common_InputFunctions.Utility_DisplayArrayInTable(Fertiliser_SourceData.Fertiliser_Products_Data2(), FertiliserProducts[[#Headers],[Company]],31)</f>
        <v>15.5</v>
      </c>
      <c r="L140" s="215" t="str" cm="1">
        <f t="array" ref="L140">Common_InputFunctions.Utility_DisplayArrayInTable(Fertiliser_SourceData.Fertiliser_Products_Data2(), FertiliserProducts[[#Headers],[Company]],31)</f>
        <v/>
      </c>
      <c r="M140" s="215" t="str" cm="1">
        <f t="array" ref="M140">Common_InputFunctions.Utility_DisplayArrayInTable(Fertiliser_SourceData.Fertiliser_Products_Data2(), FertiliserProducts[[#Headers],[Company]],31)</f>
        <v/>
      </c>
      <c r="N140" s="215" t="str" cm="1">
        <f t="array" ref="N140">Common_InputFunctions.Utility_DisplayArrayInTable(Fertiliser_SourceData.Fertiliser_Products_Data2(), FertiliserProducts[[#Headers],[Company]],31)</f>
        <v/>
      </c>
      <c r="O140" s="215" t="str" cm="1">
        <f t="array" ref="O140">Common_InputFunctions.Utility_DisplayArrayInTable(Fertiliser_SourceData.Fertiliser_Products_Data2(), FertiliserProducts[[#Headers],[Company]],31)</f>
        <v>Calcium nitrate</v>
      </c>
      <c r="P140" s="215" cm="1">
        <f t="array" ref="P140">Common_InputFunctions.Utility_DisplayArrayInTable(Fertiliser_SourceData.Fertiliser_Products_Data2(), FertiliserProducts[[#Headers],[Company]],31)</f>
        <v>1</v>
      </c>
      <c r="Q140" s="215" t="str" cm="1">
        <f t="array" ref="Q140">Common_InputFunctions.Utility_DisplayArrayInTable(Fertiliser_SourceData.Fertiliser_Products_Data2(), FertiliserProducts[[#Headers],[Company]],31)</f>
        <v/>
      </c>
      <c r="R140" s="215" t="str" cm="1">
        <f t="array" ref="R140">Common_InputFunctions.Utility_DisplayArrayInTable(Fertiliser_SourceData.Fertiliser_Products_Data2(), FertiliserProducts[[#Headers],[Company]],31)</f>
        <v/>
      </c>
      <c r="S140" s="215" t="str" cm="1">
        <f t="array" ref="S140">Common_InputFunctions.Utility_DisplayArrayInTable(Fertiliser_SourceData.Fertiliser_Products_Data2(), FertiliserProducts[[#Headers],[Company]],31)</f>
        <v/>
      </c>
      <c r="T140" s="215" t="str" cm="1">
        <f t="array" ref="T140">Common_InputFunctions.Utility_DisplayArrayInTable(Fertiliser_SourceData.Fertiliser_Products_Data2(), FertiliserProducts[[#Headers],[Company]],31)</f>
        <v/>
      </c>
      <c r="U140" s="215" t="str" cm="1">
        <f t="array" ref="U140">Common_InputFunctions.Utility_DisplayArrayInTable(Fertiliser_SourceData.Fertiliser_Products_Data2(), FertiliserProducts[[#Headers],[Company]],31)</f>
        <v/>
      </c>
      <c r="V140" s="215" t="str" cm="1">
        <f t="array" ref="V140">Common_InputFunctions.Utility_DisplayArrayInTable(Fertiliser_SourceData.Fertiliser_Products_Data2(), FertiliserProducts[[#Headers],[Company]],31)</f>
        <v/>
      </c>
      <c r="W140" s="215" t="str" cm="1">
        <f t="array" ref="W140">Common_InputFunctions.Utility_DisplayArrayInTable(Fertiliser_SourceData.Fertiliser_Products_Data2(), FertiliserProducts[[#Headers],[Company]],31)</f>
        <v/>
      </c>
      <c r="X140" s="215" t="str" cm="1">
        <f t="array" ref="X140">Common_InputFunctions.Utility_DisplayArrayInTable(Fertiliser_SourceData.Fertiliser_Products_Data2(), FertiliserProducts[[#Headers],[Company]],31)</f>
        <v/>
      </c>
      <c r="Y140" s="215" t="str" cm="1">
        <f t="array" ref="Y140">Common_InputFunctions.Utility_DisplayArrayInTable(Fertiliser_SourceData.Fertiliser_Products_Data2(), FertiliserProducts[[#Headers],[Company]],31)</f>
        <v/>
      </c>
      <c r="Z140" s="215" t="str" cm="1">
        <f t="array" ref="Z140">Common_InputFunctions.Utility_DisplayArrayInTable(Fertiliser_SourceData.Fertiliser_Products_Data2(), FertiliserProducts[[#Headers],[Company]],31)</f>
        <v/>
      </c>
      <c r="AA140" s="215" t="str" cm="1">
        <f t="array" ref="AA140">Common_InputFunctions.Utility_DisplayArrayInTable(Fertiliser_SourceData.Fertiliser_Products_Data2(), FertiliserProducts[[#Headers],[Company]],31)</f>
        <v/>
      </c>
      <c r="AB140" s="215" t="str" cm="1">
        <f t="array" ref="AB140">Common_InputFunctions.Utility_DisplayArrayInTable(Fertiliser_SourceData.Fertiliser_Products_Data2(), FertiliserProducts[[#Headers],[Company]],31)</f>
        <v/>
      </c>
      <c r="AC140" s="215" t="str" cm="1">
        <f t="array" ref="AC140">Common_InputFunctions.Utility_DisplayArrayInTable(Fertiliser_SourceData.Fertiliser_Products_Data2(), FertiliserProducts[[#Headers],[Company]],31)</f>
        <v/>
      </c>
      <c r="AD140" s="215" t="str" cm="1">
        <f t="array" ref="AD140">Common_InputFunctions.Utility_DisplayArrayInTable(Fertiliser_SourceData.Fertiliser_Products_Data2(), FertiliserProducts[[#Headers],[Company]],31)</f>
        <v/>
      </c>
      <c r="AE140" s="215" t="str" cm="1">
        <f t="array" ref="AE140">Common_InputFunctions.Utility_DisplayArrayInTable(Fertiliser_SourceData.Fertiliser_Products_Data2(), FertiliserProducts[[#Headers],[Company]],31)</f>
        <v/>
      </c>
      <c r="AF140" s="215" t="str" cm="1">
        <f t="array" ref="AF140">Common_InputFunctions.Utility_DisplayArrayInTable(Fertiliser_SourceData.Fertiliser_Products_Data2(), FertiliserProducts[[#Headers],[Company]],31)</f>
        <v/>
      </c>
      <c r="AG140" s="215" t="str" cm="1">
        <f t="array" ref="AG140">Common_InputFunctions.Utility_DisplayArrayInTable(Fertiliser_SourceData.Fertiliser_Products_Data2(), FertiliserProducts[[#Headers],[Company]],31)</f>
        <v/>
      </c>
      <c r="AH140" s="215" t="str" cm="1">
        <f t="array" ref="AH140">Common_InputFunctions.Utility_DisplayArrayInTable(Fertiliser_SourceData.Fertiliser_Products_Data2(), FertiliserProducts[[#Headers],[Company]],31)</f>
        <v/>
      </c>
    </row>
    <row r="141" spans="1:34" ht="20.100000000000001" customHeight="1" x14ac:dyDescent="0.25">
      <c r="A141"/>
      <c r="D141" s="215" t="str" cm="1">
        <f t="array" ref="D141">Common_InputFunctions.Utility_DisplayArrayInTable(Fertiliser_SourceData.Fertiliser_Products_Data2(), FertiliserProducts[[#Headers],[Company]],31)</f>
        <v>Yara Australia</v>
      </c>
      <c r="E141" s="215" t="str" cm="1">
        <f t="array" ref="E141">Common_InputFunctions.Utility_DisplayArrayInTable(Fertiliser_SourceData.Fertiliser_Products_Data2(), FertiliserProducts[[#Headers],[Company]],31)</f>
        <v>YaraLiva NITRABOR</v>
      </c>
      <c r="F141" s="215" t="str" cm="1">
        <f t="array" ref="F141">Common_InputFunctions.Utility_DisplayArrayInTable(Fertiliser_SourceData.Fertiliser_Products_Data2(), FertiliserProducts[[#Headers],[Company]],31)</f>
        <v>kg</v>
      </c>
      <c r="G141" s="215" cm="1">
        <f t="array" ref="G141">Common_InputFunctions.Utility_DisplayArrayInTable(Fertiliser_SourceData.Fertiliser_Products_Data2(), FertiliserProducts[[#Headers],[Company]],31)</f>
        <v>1</v>
      </c>
      <c r="H141" s="215" t="str" cm="1">
        <f t="array" ref="H141">Common_InputFunctions.Utility_DisplayArrayInTable(Fertiliser_SourceData.Fertiliser_Products_Data2(), FertiliserProducts[[#Headers],[Company]],31)</f>
        <v/>
      </c>
      <c r="I141" s="215" t="str" cm="1">
        <f t="array" ref="I141">Common_InputFunctions.Utility_DisplayArrayInTable(Fertiliser_SourceData.Fertiliser_Products_Data2(), FertiliserProducts[[#Headers],[Company]],31)</f>
        <v/>
      </c>
      <c r="J141" s="215" t="str" cm="1">
        <f t="array" ref="J141">Common_InputFunctions.Utility_DisplayArrayInTable(Fertiliser_SourceData.Fertiliser_Products_Data2(), FertiliserProducts[[#Headers],[Company]],31)</f>
        <v/>
      </c>
      <c r="K141" s="215" cm="1">
        <f t="array" ref="K141">Common_InputFunctions.Utility_DisplayArrayInTable(Fertiliser_SourceData.Fertiliser_Products_Data2(), FertiliserProducts[[#Headers],[Company]],31)</f>
        <v>15.4</v>
      </c>
      <c r="L141" s="215" t="str" cm="1">
        <f t="array" ref="L141">Common_InputFunctions.Utility_DisplayArrayInTable(Fertiliser_SourceData.Fertiliser_Products_Data2(), FertiliserProducts[[#Headers],[Company]],31)</f>
        <v/>
      </c>
      <c r="M141" s="215" t="str" cm="1">
        <f t="array" ref="M141">Common_InputFunctions.Utility_DisplayArrayInTable(Fertiliser_SourceData.Fertiliser_Products_Data2(), FertiliserProducts[[#Headers],[Company]],31)</f>
        <v/>
      </c>
      <c r="N141" s="215" t="str" cm="1">
        <f t="array" ref="N141">Common_InputFunctions.Utility_DisplayArrayInTable(Fertiliser_SourceData.Fertiliser_Products_Data2(), FertiliserProducts[[#Headers],[Company]],31)</f>
        <v/>
      </c>
      <c r="O141" s="215" t="str" cm="1">
        <f t="array" ref="O141">Common_InputFunctions.Utility_DisplayArrayInTable(Fertiliser_SourceData.Fertiliser_Products_Data2(), FertiliserProducts[[#Headers],[Company]],31)</f>
        <v>Calcium nitrate</v>
      </c>
      <c r="P141" s="215" cm="1">
        <f t="array" ref="P141">Common_InputFunctions.Utility_DisplayArrayInTable(Fertiliser_SourceData.Fertiliser_Products_Data2(), FertiliserProducts[[#Headers],[Company]],31)</f>
        <v>0.99354799999999999</v>
      </c>
      <c r="Q141" s="215" t="str" cm="1">
        <f t="array" ref="Q141">Common_InputFunctions.Utility_DisplayArrayInTable(Fertiliser_SourceData.Fertiliser_Products_Data2(), FertiliserProducts[[#Headers],[Company]],31)</f>
        <v>Boron</v>
      </c>
      <c r="R141" s="215" cm="1">
        <f t="array" ref="R141">Common_InputFunctions.Utility_DisplayArrayInTable(Fertiliser_SourceData.Fertiliser_Products_Data2(), FertiliserProducts[[#Headers],[Company]],31)</f>
        <v>3.0000000000000001E-3</v>
      </c>
      <c r="S141" s="215" t="str" cm="1">
        <f t="array" ref="S141">Common_InputFunctions.Utility_DisplayArrayInTable(Fertiliser_SourceData.Fertiliser_Products_Data2(), FertiliserProducts[[#Headers],[Company]],31)</f>
        <v/>
      </c>
      <c r="T141" s="215" t="str" cm="1">
        <f t="array" ref="T141">Common_InputFunctions.Utility_DisplayArrayInTable(Fertiliser_SourceData.Fertiliser_Products_Data2(), FertiliserProducts[[#Headers],[Company]],31)</f>
        <v/>
      </c>
      <c r="U141" s="215" t="str" cm="1">
        <f t="array" ref="U141">Common_InputFunctions.Utility_DisplayArrayInTable(Fertiliser_SourceData.Fertiliser_Products_Data2(), FertiliserProducts[[#Headers],[Company]],31)</f>
        <v/>
      </c>
      <c r="V141" s="215" t="str" cm="1">
        <f t="array" ref="V141">Common_InputFunctions.Utility_DisplayArrayInTable(Fertiliser_SourceData.Fertiliser_Products_Data2(), FertiliserProducts[[#Headers],[Company]],31)</f>
        <v/>
      </c>
      <c r="W141" s="215" t="str" cm="1">
        <f t="array" ref="W141">Common_InputFunctions.Utility_DisplayArrayInTable(Fertiliser_SourceData.Fertiliser_Products_Data2(), FertiliserProducts[[#Headers],[Company]],31)</f>
        <v/>
      </c>
      <c r="X141" s="215" t="str" cm="1">
        <f t="array" ref="X141">Common_InputFunctions.Utility_DisplayArrayInTable(Fertiliser_SourceData.Fertiliser_Products_Data2(), FertiliserProducts[[#Headers],[Company]],31)</f>
        <v/>
      </c>
      <c r="Y141" s="215" t="str" cm="1">
        <f t="array" ref="Y141">Common_InputFunctions.Utility_DisplayArrayInTable(Fertiliser_SourceData.Fertiliser_Products_Data2(), FertiliserProducts[[#Headers],[Company]],31)</f>
        <v/>
      </c>
      <c r="Z141" s="215" t="str" cm="1">
        <f t="array" ref="Z141">Common_InputFunctions.Utility_DisplayArrayInTable(Fertiliser_SourceData.Fertiliser_Products_Data2(), FertiliserProducts[[#Headers],[Company]],31)</f>
        <v/>
      </c>
      <c r="AA141" s="215" t="str" cm="1">
        <f t="array" ref="AA141">Common_InputFunctions.Utility_DisplayArrayInTable(Fertiliser_SourceData.Fertiliser_Products_Data2(), FertiliserProducts[[#Headers],[Company]],31)</f>
        <v/>
      </c>
      <c r="AB141" s="215" t="str" cm="1">
        <f t="array" ref="AB141">Common_InputFunctions.Utility_DisplayArrayInTable(Fertiliser_SourceData.Fertiliser_Products_Data2(), FertiliserProducts[[#Headers],[Company]],31)</f>
        <v/>
      </c>
      <c r="AC141" s="215" t="str" cm="1">
        <f t="array" ref="AC141">Common_InputFunctions.Utility_DisplayArrayInTable(Fertiliser_SourceData.Fertiliser_Products_Data2(), FertiliserProducts[[#Headers],[Company]],31)</f>
        <v/>
      </c>
      <c r="AD141" s="215" t="str" cm="1">
        <f t="array" ref="AD141">Common_InputFunctions.Utility_DisplayArrayInTable(Fertiliser_SourceData.Fertiliser_Products_Data2(), FertiliserProducts[[#Headers],[Company]],31)</f>
        <v/>
      </c>
      <c r="AE141" s="215" t="str" cm="1">
        <f t="array" ref="AE141">Common_InputFunctions.Utility_DisplayArrayInTable(Fertiliser_SourceData.Fertiliser_Products_Data2(), FertiliserProducts[[#Headers],[Company]],31)</f>
        <v/>
      </c>
      <c r="AF141" s="215" t="str" cm="1">
        <f t="array" ref="AF141">Common_InputFunctions.Utility_DisplayArrayInTable(Fertiliser_SourceData.Fertiliser_Products_Data2(), FertiliserProducts[[#Headers],[Company]],31)</f>
        <v/>
      </c>
      <c r="AG141" s="215" t="str" cm="1">
        <f t="array" ref="AG141">Common_InputFunctions.Utility_DisplayArrayInTable(Fertiliser_SourceData.Fertiliser_Products_Data2(), FertiliserProducts[[#Headers],[Company]],31)</f>
        <v/>
      </c>
      <c r="AH141" s="215" t="str" cm="1">
        <f t="array" ref="AH141">Common_InputFunctions.Utility_DisplayArrayInTable(Fertiliser_SourceData.Fertiliser_Products_Data2(), FertiliserProducts[[#Headers],[Company]],31)</f>
        <v/>
      </c>
    </row>
    <row r="142" spans="1:34" ht="20.100000000000001" customHeight="1" x14ac:dyDescent="0.25">
      <c r="A142"/>
      <c r="D142" s="215" t="str" cm="1">
        <f t="array" ref="D142">Common_InputFunctions.Utility_DisplayArrayInTable(Fertiliser_SourceData.Fertiliser_Products_Data2(), FertiliserProducts[[#Headers],[Company]],31)</f>
        <v>Yara Australia</v>
      </c>
      <c r="E142" s="215" t="str" cm="1">
        <f t="array" ref="E142">Common_InputFunctions.Utility_DisplayArrayInTable(Fertiliser_SourceData.Fertiliser_Products_Data2(), FertiliserProducts[[#Headers],[Company]],31)</f>
        <v>YaraMila COMPLEX</v>
      </c>
      <c r="F142" s="215" t="str" cm="1">
        <f t="array" ref="F142">Common_InputFunctions.Utility_DisplayArrayInTable(Fertiliser_SourceData.Fertiliser_Products_Data2(), FertiliserProducts[[#Headers],[Company]],31)</f>
        <v>kg</v>
      </c>
      <c r="G142" s="215" cm="1">
        <f t="array" ref="G142">Common_InputFunctions.Utility_DisplayArrayInTable(Fertiliser_SourceData.Fertiliser_Products_Data2(), FertiliserProducts[[#Headers],[Company]],31)</f>
        <v>1</v>
      </c>
      <c r="H142" s="215" t="str" cm="1">
        <f t="array" ref="H142">Common_InputFunctions.Utility_DisplayArrayInTable(Fertiliser_SourceData.Fertiliser_Products_Data2(), FertiliserProducts[[#Headers],[Company]],31)</f>
        <v/>
      </c>
      <c r="I142" s="215" t="str" cm="1">
        <f t="array" ref="I142">Common_InputFunctions.Utility_DisplayArrayInTable(Fertiliser_SourceData.Fertiliser_Products_Data2(), FertiliserProducts[[#Headers],[Company]],31)</f>
        <v/>
      </c>
      <c r="J142" s="215" t="str" cm="1">
        <f t="array" ref="J142">Common_InputFunctions.Utility_DisplayArrayInTable(Fertiliser_SourceData.Fertiliser_Products_Data2(), FertiliserProducts[[#Headers],[Company]],31)</f>
        <v/>
      </c>
      <c r="K142" s="215" cm="1">
        <f t="array" ref="K142">Common_InputFunctions.Utility_DisplayArrayInTable(Fertiliser_SourceData.Fertiliser_Products_Data2(), FertiliserProducts[[#Headers],[Company]],31)</f>
        <v>12</v>
      </c>
      <c r="L142" s="215" cm="1">
        <f t="array" ref="L142">Common_InputFunctions.Utility_DisplayArrayInTable(Fertiliser_SourceData.Fertiliser_Products_Data2(), FertiliserProducts[[#Headers],[Company]],31)</f>
        <v>5</v>
      </c>
      <c r="M142" s="215" cm="1">
        <f t="array" ref="M142">Common_InputFunctions.Utility_DisplayArrayInTable(Fertiliser_SourceData.Fertiliser_Products_Data2(), FertiliserProducts[[#Headers],[Company]],31)</f>
        <v>15</v>
      </c>
      <c r="N142" s="215" cm="1">
        <f t="array" ref="N142">Common_InputFunctions.Utility_DisplayArrayInTable(Fertiliser_SourceData.Fertiliser_Products_Data2(), FertiliserProducts[[#Headers],[Company]],31)</f>
        <v>8</v>
      </c>
      <c r="O142" s="215" t="str" cm="1">
        <f t="array" ref="O142">Common_InputFunctions.Utility_DisplayArrayInTable(Fertiliser_SourceData.Fertiliser_Products_Data2(), FertiliserProducts[[#Headers],[Company]],31)</f>
        <v>Nitrogen - Nitrate</v>
      </c>
      <c r="P142" s="215" cm="1">
        <f t="array" ref="P142">Common_InputFunctions.Utility_DisplayArrayInTable(Fertiliser_SourceData.Fertiliser_Products_Data2(), FertiliserProducts[[#Headers],[Company]],31)</f>
        <v>0.05</v>
      </c>
      <c r="Q142" s="215" t="str" cm="1">
        <f t="array" ref="Q142">Common_InputFunctions.Utility_DisplayArrayInTable(Fertiliser_SourceData.Fertiliser_Products_Data2(), FertiliserProducts[[#Headers],[Company]],31)</f>
        <v>Nitrogen - Ammoniacal</v>
      </c>
      <c r="R142" s="215" cm="1">
        <f t="array" ref="R142">Common_InputFunctions.Utility_DisplayArrayInTable(Fertiliser_SourceData.Fertiliser_Products_Data2(), FertiliserProducts[[#Headers],[Company]],31)</f>
        <v>7.0000000000000007E-2</v>
      </c>
      <c r="S142" s="215" t="str" cm="1">
        <f t="array" ref="S142">Common_InputFunctions.Utility_DisplayArrayInTable(Fertiliser_SourceData.Fertiliser_Products_Data2(), FertiliserProducts[[#Headers],[Company]],31)</f>
        <v>Phosphorus - Generic</v>
      </c>
      <c r="T142" s="215" cm="1">
        <f t="array" ref="T142">Common_InputFunctions.Utility_DisplayArrayInTable(Fertiliser_SourceData.Fertiliser_Products_Data2(), FertiliserProducts[[#Headers],[Company]],31)</f>
        <v>0.05</v>
      </c>
      <c r="U142" s="215" t="str" cm="1">
        <f t="array" ref="U142">Common_InputFunctions.Utility_DisplayArrayInTable(Fertiliser_SourceData.Fertiliser_Products_Data2(), FertiliserProducts[[#Headers],[Company]],31)</f>
        <v>Potassium - Generic</v>
      </c>
      <c r="V142" s="215" cm="1">
        <f t="array" ref="V142">Common_InputFunctions.Utility_DisplayArrayInTable(Fertiliser_SourceData.Fertiliser_Products_Data2(), FertiliserProducts[[#Headers],[Company]],31)</f>
        <v>0.15</v>
      </c>
      <c r="W142" s="215" t="str" cm="1">
        <f t="array" ref="W142">Common_InputFunctions.Utility_DisplayArrayInTable(Fertiliser_SourceData.Fertiliser_Products_Data2(), FertiliserProducts[[#Headers],[Company]],31)</f>
        <v>Sulfur - Generic</v>
      </c>
      <c r="X142" s="215" cm="1">
        <f t="array" ref="X142">Common_InputFunctions.Utility_DisplayArrayInTable(Fertiliser_SourceData.Fertiliser_Products_Data2(), FertiliserProducts[[#Headers],[Company]],31)</f>
        <v>0.08</v>
      </c>
      <c r="Y142" s="215" t="str" cm="1">
        <f t="array" ref="Y142">Common_InputFunctions.Utility_DisplayArrayInTable(Fertiliser_SourceData.Fertiliser_Products_Data2(), FertiliserProducts[[#Headers],[Company]],31)</f>
        <v>Magnesium</v>
      </c>
      <c r="Z142" s="215" cm="1">
        <f t="array" ref="Z142">Common_InputFunctions.Utility_DisplayArrayInTable(Fertiliser_SourceData.Fertiliser_Products_Data2(), FertiliserProducts[[#Headers],[Company]],31)</f>
        <v>1.6E-2</v>
      </c>
      <c r="AA142" s="215" t="str" cm="1">
        <f t="array" ref="AA142">Common_InputFunctions.Utility_DisplayArrayInTable(Fertiliser_SourceData.Fertiliser_Products_Data2(), FertiliserProducts[[#Headers],[Company]],31)</f>
        <v>Zinc</v>
      </c>
      <c r="AB142" s="215" cm="1">
        <f t="array" ref="AB142">Common_InputFunctions.Utility_DisplayArrayInTable(Fertiliser_SourceData.Fertiliser_Products_Data2(), FertiliserProducts[[#Headers],[Company]],31)</f>
        <v>2.0000000000000001E-4</v>
      </c>
      <c r="AC142" s="215" t="str" cm="1">
        <f t="array" ref="AC142">Common_InputFunctions.Utility_DisplayArrayInTable(Fertiliser_SourceData.Fertiliser_Products_Data2(), FertiliserProducts[[#Headers],[Company]],31)</f>
        <v>Boron</v>
      </c>
      <c r="AD142" s="215" cm="1">
        <f t="array" ref="AD142">Common_InputFunctions.Utility_DisplayArrayInTable(Fertiliser_SourceData.Fertiliser_Products_Data2(), FertiliserProducts[[#Headers],[Company]],31)</f>
        <v>1.4999999999999999E-4</v>
      </c>
      <c r="AE142" s="215" t="str" cm="1">
        <f t="array" ref="AE142">Common_InputFunctions.Utility_DisplayArrayInTable(Fertiliser_SourceData.Fertiliser_Products_Data2(), FertiliserProducts[[#Headers],[Company]],31)</f>
        <v/>
      </c>
      <c r="AF142" s="215" t="str" cm="1">
        <f t="array" ref="AF142">Common_InputFunctions.Utility_DisplayArrayInTable(Fertiliser_SourceData.Fertiliser_Products_Data2(), FertiliserProducts[[#Headers],[Company]],31)</f>
        <v/>
      </c>
      <c r="AG142" s="215" t="str" cm="1">
        <f t="array" ref="AG142">Common_InputFunctions.Utility_DisplayArrayInTable(Fertiliser_SourceData.Fertiliser_Products_Data2(), FertiliserProducts[[#Headers],[Company]],31)</f>
        <v/>
      </c>
      <c r="AH142" s="215" t="str" cm="1">
        <f t="array" ref="AH142">Common_InputFunctions.Utility_DisplayArrayInTable(Fertiliser_SourceData.Fertiliser_Products_Data2(), FertiliserProducts[[#Headers],[Company]],31)</f>
        <v/>
      </c>
    </row>
    <row r="143" spans="1:34" ht="20.100000000000001" customHeight="1" x14ac:dyDescent="0.25">
      <c r="A143"/>
      <c r="D143" s="215" t="str" cm="1">
        <f t="array" ref="D143">Common_InputFunctions.Utility_DisplayArrayInTable(Fertiliser_SourceData.Fertiliser_Products_Data2(), FertiliserProducts[[#Headers],[Company]],31)</f>
        <v>Yara Australia</v>
      </c>
      <c r="E143" s="215" t="str" cm="1">
        <f t="array" ref="E143">Common_InputFunctions.Utility_DisplayArrayInTable(Fertiliser_SourceData.Fertiliser_Products_Data2(), FertiliserProducts[[#Headers],[Company]],31)</f>
        <v>YaraRega 9-0-30 (14)</v>
      </c>
      <c r="F143" s="215" t="str" cm="1">
        <f t="array" ref="F143">Common_InputFunctions.Utility_DisplayArrayInTable(Fertiliser_SourceData.Fertiliser_Products_Data2(), FertiliserProducts[[#Headers],[Company]],31)</f>
        <v>kg</v>
      </c>
      <c r="G143" s="215" cm="1">
        <f t="array" ref="G143">Common_InputFunctions.Utility_DisplayArrayInTable(Fertiliser_SourceData.Fertiliser_Products_Data2(), FertiliserProducts[[#Headers],[Company]],31)</f>
        <v>1</v>
      </c>
      <c r="H143" s="215" t="str" cm="1">
        <f t="array" ref="H143">Common_InputFunctions.Utility_DisplayArrayInTable(Fertiliser_SourceData.Fertiliser_Products_Data2(), FertiliserProducts[[#Headers],[Company]],31)</f>
        <v/>
      </c>
      <c r="I143" s="215" t="str" cm="1">
        <f t="array" ref="I143">Common_InputFunctions.Utility_DisplayArrayInTable(Fertiliser_SourceData.Fertiliser_Products_Data2(), FertiliserProducts[[#Headers],[Company]],31)</f>
        <v/>
      </c>
      <c r="J143" s="215" t="str" cm="1">
        <f t="array" ref="J143">Common_InputFunctions.Utility_DisplayArrayInTable(Fertiliser_SourceData.Fertiliser_Products_Data2(), FertiliserProducts[[#Headers],[Company]],31)</f>
        <v/>
      </c>
      <c r="K143" s="215" cm="1">
        <f t="array" ref="K143">Common_InputFunctions.Utility_DisplayArrayInTable(Fertiliser_SourceData.Fertiliser_Products_Data2(), FertiliserProducts[[#Headers],[Company]],31)</f>
        <v>9</v>
      </c>
      <c r="L143" s="215" t="str" cm="1">
        <f t="array" ref="L143">Common_InputFunctions.Utility_DisplayArrayInTable(Fertiliser_SourceData.Fertiliser_Products_Data2(), FertiliserProducts[[#Headers],[Company]],31)</f>
        <v/>
      </c>
      <c r="M143" s="215" cm="1">
        <f t="array" ref="M143">Common_InputFunctions.Utility_DisplayArrayInTable(Fertiliser_SourceData.Fertiliser_Products_Data2(), FertiliserProducts[[#Headers],[Company]],31)</f>
        <v>30</v>
      </c>
      <c r="N143" s="215" cm="1">
        <f t="array" ref="N143">Common_InputFunctions.Utility_DisplayArrayInTable(Fertiliser_SourceData.Fertiliser_Products_Data2(), FertiliserProducts[[#Headers],[Company]],31)</f>
        <v>14</v>
      </c>
      <c r="O143" s="215" t="str" cm="1">
        <f t="array" ref="O143">Common_InputFunctions.Utility_DisplayArrayInTable(Fertiliser_SourceData.Fertiliser_Products_Data2(), FertiliserProducts[[#Headers],[Company]],31)</f>
        <v>Potassium - Generic</v>
      </c>
      <c r="P143" s="215" cm="1">
        <f t="array" ref="P143">Common_InputFunctions.Utility_DisplayArrayInTable(Fertiliser_SourceData.Fertiliser_Products_Data2(), FertiliserProducts[[#Headers],[Company]],31)</f>
        <v>0.3</v>
      </c>
      <c r="Q143" s="215" t="str" cm="1">
        <f t="array" ref="Q143">Common_InputFunctions.Utility_DisplayArrayInTable(Fertiliser_SourceData.Fertiliser_Products_Data2(), FertiliserProducts[[#Headers],[Company]],31)</f>
        <v>Sulfur - Generic</v>
      </c>
      <c r="R143" s="215" cm="1">
        <f t="array" ref="R143">Common_InputFunctions.Utility_DisplayArrayInTable(Fertiliser_SourceData.Fertiliser_Products_Data2(), FertiliserProducts[[#Headers],[Company]],31)</f>
        <v>0.14000000000000001</v>
      </c>
      <c r="S143" s="215" t="str" cm="1">
        <f t="array" ref="S143">Common_InputFunctions.Utility_DisplayArrayInTable(Fertiliser_SourceData.Fertiliser_Products_Data2(), FertiliserProducts[[#Headers],[Company]],31)</f>
        <v>Nitrogen - Nitrate</v>
      </c>
      <c r="T143" s="215" cm="1">
        <f t="array" ref="T143">Common_InputFunctions.Utility_DisplayArrayInTable(Fertiliser_SourceData.Fertiliser_Products_Data2(), FertiliserProducts[[#Headers],[Company]],31)</f>
        <v>4.4999999999999998E-2</v>
      </c>
      <c r="U143" s="215" t="str" cm="1">
        <f t="array" ref="U143">Common_InputFunctions.Utility_DisplayArrayInTable(Fertiliser_SourceData.Fertiliser_Products_Data2(), FertiliserProducts[[#Headers],[Company]],31)</f>
        <v>Nitrogen - Ammoniacal</v>
      </c>
      <c r="V143" s="215" cm="1">
        <f t="array" ref="V143">Common_InputFunctions.Utility_DisplayArrayInTable(Fertiliser_SourceData.Fertiliser_Products_Data2(), FertiliserProducts[[#Headers],[Company]],31)</f>
        <v>4.4999999999999998E-2</v>
      </c>
      <c r="W143" s="215" t="str" cm="1">
        <f t="array" ref="W143">Common_InputFunctions.Utility_DisplayArrayInTable(Fertiliser_SourceData.Fertiliser_Products_Data2(), FertiliserProducts[[#Headers],[Company]],31)</f>
        <v/>
      </c>
      <c r="X143" s="215" t="str" cm="1">
        <f t="array" ref="X143">Common_InputFunctions.Utility_DisplayArrayInTable(Fertiliser_SourceData.Fertiliser_Products_Data2(), FertiliserProducts[[#Headers],[Company]],31)</f>
        <v/>
      </c>
      <c r="Y143" s="215" t="str" cm="1">
        <f t="array" ref="Y143">Common_InputFunctions.Utility_DisplayArrayInTable(Fertiliser_SourceData.Fertiliser_Products_Data2(), FertiliserProducts[[#Headers],[Company]],31)</f>
        <v/>
      </c>
      <c r="Z143" s="215" t="str" cm="1">
        <f t="array" ref="Z143">Common_InputFunctions.Utility_DisplayArrayInTable(Fertiliser_SourceData.Fertiliser_Products_Data2(), FertiliserProducts[[#Headers],[Company]],31)</f>
        <v/>
      </c>
      <c r="AA143" s="215" t="str" cm="1">
        <f t="array" ref="AA143">Common_InputFunctions.Utility_DisplayArrayInTable(Fertiliser_SourceData.Fertiliser_Products_Data2(), FertiliserProducts[[#Headers],[Company]],31)</f>
        <v/>
      </c>
      <c r="AB143" s="215" t="str" cm="1">
        <f t="array" ref="AB143">Common_InputFunctions.Utility_DisplayArrayInTable(Fertiliser_SourceData.Fertiliser_Products_Data2(), FertiliserProducts[[#Headers],[Company]],31)</f>
        <v/>
      </c>
      <c r="AC143" s="215" t="str" cm="1">
        <f t="array" ref="AC143">Common_InputFunctions.Utility_DisplayArrayInTable(Fertiliser_SourceData.Fertiliser_Products_Data2(), FertiliserProducts[[#Headers],[Company]],31)</f>
        <v/>
      </c>
      <c r="AD143" s="215" t="str" cm="1">
        <f t="array" ref="AD143">Common_InputFunctions.Utility_DisplayArrayInTable(Fertiliser_SourceData.Fertiliser_Products_Data2(), FertiliserProducts[[#Headers],[Company]],31)</f>
        <v/>
      </c>
      <c r="AE143" s="215" t="str" cm="1">
        <f t="array" ref="AE143">Common_InputFunctions.Utility_DisplayArrayInTable(Fertiliser_SourceData.Fertiliser_Products_Data2(), FertiliserProducts[[#Headers],[Company]],31)</f>
        <v/>
      </c>
      <c r="AF143" s="215" t="str" cm="1">
        <f t="array" ref="AF143">Common_InputFunctions.Utility_DisplayArrayInTable(Fertiliser_SourceData.Fertiliser_Products_Data2(), FertiliserProducts[[#Headers],[Company]],31)</f>
        <v/>
      </c>
      <c r="AG143" s="215" t="str" cm="1">
        <f t="array" ref="AG143">Common_InputFunctions.Utility_DisplayArrayInTable(Fertiliser_SourceData.Fertiliser_Products_Data2(), FertiliserProducts[[#Headers],[Company]],31)</f>
        <v/>
      </c>
      <c r="AH143" s="215" t="str" cm="1">
        <f t="array" ref="AH143">Common_InputFunctions.Utility_DisplayArrayInTable(Fertiliser_SourceData.Fertiliser_Products_Data2(), FertiliserProducts[[#Headers],[Company]],31)</f>
        <v/>
      </c>
    </row>
    <row r="144" spans="1:34" ht="20.100000000000001" customHeight="1" x14ac:dyDescent="0.25">
      <c r="A144"/>
      <c r="D144" s="215" t="str" cm="1">
        <f t="array" ref="D144">Common_InputFunctions.Utility_DisplayArrayInTable(Fertiliser_SourceData.Fertiliser_Products_Data2(), FertiliserProducts[[#Headers],[Company]],31)</f>
        <v>Yara Australia</v>
      </c>
      <c r="E144" s="215" t="str" cm="1">
        <f t="array" ref="E144">Common_InputFunctions.Utility_DisplayArrayInTable(Fertiliser_SourceData.Fertiliser_Products_Data2(), FertiliserProducts[[#Headers],[Company]],31)</f>
        <v>YaraRega 13-2-21</v>
      </c>
      <c r="F144" s="215" t="str" cm="1">
        <f t="array" ref="F144">Common_InputFunctions.Utility_DisplayArrayInTable(Fertiliser_SourceData.Fertiliser_Products_Data2(), FertiliserProducts[[#Headers],[Company]],31)</f>
        <v>kg</v>
      </c>
      <c r="G144" s="215" cm="1">
        <f t="array" ref="G144">Common_InputFunctions.Utility_DisplayArrayInTable(Fertiliser_SourceData.Fertiliser_Products_Data2(), FertiliserProducts[[#Headers],[Company]],31)</f>
        <v>1</v>
      </c>
      <c r="H144" s="215" t="str" cm="1">
        <f t="array" ref="H144">Common_InputFunctions.Utility_DisplayArrayInTable(Fertiliser_SourceData.Fertiliser_Products_Data2(), FertiliserProducts[[#Headers],[Company]],31)</f>
        <v/>
      </c>
      <c r="I144" s="215" t="str" cm="1">
        <f t="array" ref="I144">Common_InputFunctions.Utility_DisplayArrayInTable(Fertiliser_SourceData.Fertiliser_Products_Data2(), FertiliserProducts[[#Headers],[Company]],31)</f>
        <v/>
      </c>
      <c r="J144" s="215" t="str" cm="1">
        <f t="array" ref="J144">Common_InputFunctions.Utility_DisplayArrayInTable(Fertiliser_SourceData.Fertiliser_Products_Data2(), FertiliserProducts[[#Headers],[Company]],31)</f>
        <v/>
      </c>
      <c r="K144" s="215" cm="1">
        <f t="array" ref="K144">Common_InputFunctions.Utility_DisplayArrayInTable(Fertiliser_SourceData.Fertiliser_Products_Data2(), FertiliserProducts[[#Headers],[Company]],31)</f>
        <v>13</v>
      </c>
      <c r="L144" s="215" cm="1">
        <f t="array" ref="L144">Common_InputFunctions.Utility_DisplayArrayInTable(Fertiliser_SourceData.Fertiliser_Products_Data2(), FertiliserProducts[[#Headers],[Company]],31)</f>
        <v>1.75</v>
      </c>
      <c r="M144" s="215" cm="1">
        <f t="array" ref="M144">Common_InputFunctions.Utility_DisplayArrayInTable(Fertiliser_SourceData.Fertiliser_Products_Data2(), FertiliserProducts[[#Headers],[Company]],31)</f>
        <v>21</v>
      </c>
      <c r="N144" s="215" cm="1">
        <f t="array" ref="N144">Common_InputFunctions.Utility_DisplayArrayInTable(Fertiliser_SourceData.Fertiliser_Products_Data2(), FertiliserProducts[[#Headers],[Company]],31)</f>
        <v>10.8</v>
      </c>
      <c r="O144" s="215" t="str" cm="1">
        <f t="array" ref="O144">Common_InputFunctions.Utility_DisplayArrayInTable(Fertiliser_SourceData.Fertiliser_Products_Data2(), FertiliserProducts[[#Headers],[Company]],31)</f>
        <v>Potassium - Generic</v>
      </c>
      <c r="P144" s="215" cm="1">
        <f t="array" ref="P144">Common_InputFunctions.Utility_DisplayArrayInTable(Fertiliser_SourceData.Fertiliser_Products_Data2(), FertiliserProducts[[#Headers],[Company]],31)</f>
        <v>0.21</v>
      </c>
      <c r="Q144" s="215" t="str" cm="1">
        <f t="array" ref="Q144">Common_InputFunctions.Utility_DisplayArrayInTable(Fertiliser_SourceData.Fertiliser_Products_Data2(), FertiliserProducts[[#Headers],[Company]],31)</f>
        <v>Sulfur - Generic</v>
      </c>
      <c r="R144" s="215" cm="1">
        <f t="array" ref="R144">Common_InputFunctions.Utility_DisplayArrayInTable(Fertiliser_SourceData.Fertiliser_Products_Data2(), FertiliserProducts[[#Headers],[Company]],31)</f>
        <v>0.108</v>
      </c>
      <c r="S144" s="215" t="str" cm="1">
        <f t="array" ref="S144">Common_InputFunctions.Utility_DisplayArrayInTable(Fertiliser_SourceData.Fertiliser_Products_Data2(), FertiliserProducts[[#Headers],[Company]],31)</f>
        <v>Nitrogen - Ammoniacal</v>
      </c>
      <c r="T144" s="215" cm="1">
        <f t="array" ref="T144">Common_InputFunctions.Utility_DisplayArrayInTable(Fertiliser_SourceData.Fertiliser_Products_Data2(), FertiliserProducts[[#Headers],[Company]],31)</f>
        <v>7.6999999999999999E-2</v>
      </c>
      <c r="U144" s="215" t="str" cm="1">
        <f t="array" ref="U144">Common_InputFunctions.Utility_DisplayArrayInTable(Fertiliser_SourceData.Fertiliser_Products_Data2(), FertiliserProducts[[#Headers],[Company]],31)</f>
        <v>Nitrogen - Nitrate</v>
      </c>
      <c r="V144" s="215" cm="1">
        <f t="array" ref="V144">Common_InputFunctions.Utility_DisplayArrayInTable(Fertiliser_SourceData.Fertiliser_Products_Data2(), FertiliserProducts[[#Headers],[Company]],31)</f>
        <v>5.2999999999999999E-2</v>
      </c>
      <c r="W144" s="215" t="str" cm="1">
        <f t="array" ref="W144">Common_InputFunctions.Utility_DisplayArrayInTable(Fertiliser_SourceData.Fertiliser_Products_Data2(), FertiliserProducts[[#Headers],[Company]],31)</f>
        <v>Phosphorus - Generic</v>
      </c>
      <c r="X144" s="215" cm="1">
        <f t="array" ref="X144">Common_InputFunctions.Utility_DisplayArrayInTable(Fertiliser_SourceData.Fertiliser_Products_Data2(), FertiliserProducts[[#Headers],[Company]],31)</f>
        <v>1.7500000000000002E-2</v>
      </c>
      <c r="Y144" s="215" t="str" cm="1">
        <f t="array" ref="Y144">Common_InputFunctions.Utility_DisplayArrayInTable(Fertiliser_SourceData.Fertiliser_Products_Data2(), FertiliserProducts[[#Headers],[Company]],31)</f>
        <v>Magnesium</v>
      </c>
      <c r="Z144" s="215" cm="1">
        <f t="array" ref="Z144">Common_InputFunctions.Utility_DisplayArrayInTable(Fertiliser_SourceData.Fertiliser_Products_Data2(), FertiliserProducts[[#Headers],[Company]],31)</f>
        <v>4.0000000000000001E-3</v>
      </c>
      <c r="AA144" s="215" t="str" cm="1">
        <f t="array" ref="AA144">Common_InputFunctions.Utility_DisplayArrayInTable(Fertiliser_SourceData.Fertiliser_Products_Data2(), FertiliserProducts[[#Headers],[Company]],31)</f>
        <v>Zinc</v>
      </c>
      <c r="AB144" s="215" cm="1">
        <f t="array" ref="AB144">Common_InputFunctions.Utility_DisplayArrayInTable(Fertiliser_SourceData.Fertiliser_Products_Data2(), FertiliserProducts[[#Headers],[Company]],31)</f>
        <v>8.0000000000000004E-4</v>
      </c>
      <c r="AC144" s="215" t="str" cm="1">
        <f t="array" ref="AC144">Common_InputFunctions.Utility_DisplayArrayInTable(Fertiliser_SourceData.Fertiliser_Products_Data2(), FertiliserProducts[[#Headers],[Company]],31)</f>
        <v>Boron</v>
      </c>
      <c r="AD144" s="215" cm="1">
        <f t="array" ref="AD144">Common_InputFunctions.Utility_DisplayArrayInTable(Fertiliser_SourceData.Fertiliser_Products_Data2(), FertiliserProducts[[#Headers],[Company]],31)</f>
        <v>8.0000000000000004E-4</v>
      </c>
      <c r="AE144" s="215" t="str" cm="1">
        <f t="array" ref="AE144">Common_InputFunctions.Utility_DisplayArrayInTable(Fertiliser_SourceData.Fertiliser_Products_Data2(), FertiliserProducts[[#Headers],[Company]],31)</f>
        <v/>
      </c>
      <c r="AF144" s="215" t="str" cm="1">
        <f t="array" ref="AF144">Common_InputFunctions.Utility_DisplayArrayInTable(Fertiliser_SourceData.Fertiliser_Products_Data2(), FertiliserProducts[[#Headers],[Company]],31)</f>
        <v/>
      </c>
      <c r="AG144" s="215" t="str" cm="1">
        <f t="array" ref="AG144">Common_InputFunctions.Utility_DisplayArrayInTable(Fertiliser_SourceData.Fertiliser_Products_Data2(), FertiliserProducts[[#Headers],[Company]],31)</f>
        <v/>
      </c>
      <c r="AH144" s="215" t="str" cm="1">
        <f t="array" ref="AH144">Common_InputFunctions.Utility_DisplayArrayInTable(Fertiliser_SourceData.Fertiliser_Products_Data2(), FertiliserProducts[[#Headers],[Company]],31)</f>
        <v/>
      </c>
    </row>
    <row r="145" spans="1:34" ht="20.100000000000001" customHeight="1" x14ac:dyDescent="0.25">
      <c r="A145"/>
      <c r="D145" s="215" t="str" cm="1">
        <f t="array" ref="D145">Common_InputFunctions.Utility_DisplayArrayInTable(Fertiliser_SourceData.Fertiliser_Products_Data2(), FertiliserProducts[[#Headers],[Company]],31)</f>
        <v>Yara Australia</v>
      </c>
      <c r="E145" s="215" t="str" cm="1">
        <f t="array" ref="E145">Common_InputFunctions.Utility_DisplayArrayInTable(Fertiliser_SourceData.Fertiliser_Products_Data2(), FertiliserProducts[[#Headers],[Company]],31)</f>
        <v>YaraRega 15-7-13 (7S)</v>
      </c>
      <c r="F145" s="215" t="str" cm="1">
        <f t="array" ref="F145">Common_InputFunctions.Utility_DisplayArrayInTable(Fertiliser_SourceData.Fertiliser_Products_Data2(), FertiliserProducts[[#Headers],[Company]],31)</f>
        <v>kg</v>
      </c>
      <c r="G145" s="215" cm="1">
        <f t="array" ref="G145">Common_InputFunctions.Utility_DisplayArrayInTable(Fertiliser_SourceData.Fertiliser_Products_Data2(), FertiliserProducts[[#Headers],[Company]],31)</f>
        <v>1</v>
      </c>
      <c r="H145" s="215" t="str" cm="1">
        <f t="array" ref="H145">Common_InputFunctions.Utility_DisplayArrayInTable(Fertiliser_SourceData.Fertiliser_Products_Data2(), FertiliserProducts[[#Headers],[Company]],31)</f>
        <v/>
      </c>
      <c r="I145" s="215" t="str" cm="1">
        <f t="array" ref="I145">Common_InputFunctions.Utility_DisplayArrayInTable(Fertiliser_SourceData.Fertiliser_Products_Data2(), FertiliserProducts[[#Headers],[Company]],31)</f>
        <v/>
      </c>
      <c r="J145" s="215" t="str" cm="1">
        <f t="array" ref="J145">Common_InputFunctions.Utility_DisplayArrayInTable(Fertiliser_SourceData.Fertiliser_Products_Data2(), FertiliserProducts[[#Headers],[Company]],31)</f>
        <v/>
      </c>
      <c r="K145" s="215" cm="1">
        <f t="array" ref="K145">Common_InputFunctions.Utility_DisplayArrayInTable(Fertiliser_SourceData.Fertiliser_Products_Data2(), FertiliserProducts[[#Headers],[Company]],31)</f>
        <v>15</v>
      </c>
      <c r="L145" s="215" cm="1">
        <f t="array" ref="L145">Common_InputFunctions.Utility_DisplayArrayInTable(Fertiliser_SourceData.Fertiliser_Products_Data2(), FertiliserProducts[[#Headers],[Company]],31)</f>
        <v>6.5</v>
      </c>
      <c r="M145" s="215" cm="1">
        <f t="array" ref="M145">Common_InputFunctions.Utility_DisplayArrayInTable(Fertiliser_SourceData.Fertiliser_Products_Data2(), FertiliserProducts[[#Headers],[Company]],31)</f>
        <v>12.5</v>
      </c>
      <c r="N145" s="215" cm="1">
        <f t="array" ref="N145">Common_InputFunctions.Utility_DisplayArrayInTable(Fertiliser_SourceData.Fertiliser_Products_Data2(), FertiliserProducts[[#Headers],[Company]],31)</f>
        <v>7.2</v>
      </c>
      <c r="O145" s="215" t="str" cm="1">
        <f t="array" ref="O145">Common_InputFunctions.Utility_DisplayArrayInTable(Fertiliser_SourceData.Fertiliser_Products_Data2(), FertiliserProducts[[#Headers],[Company]],31)</f>
        <v>Nitrogen - Nitrate</v>
      </c>
      <c r="P145" s="215" cm="1">
        <f t="array" ref="P145">Common_InputFunctions.Utility_DisplayArrayInTable(Fertiliser_SourceData.Fertiliser_Products_Data2(), FertiliserProducts[[#Headers],[Company]],31)</f>
        <v>9.5000000000000001E-2</v>
      </c>
      <c r="Q145" s="215" t="str" cm="1">
        <f t="array" ref="Q145">Common_InputFunctions.Utility_DisplayArrayInTable(Fertiliser_SourceData.Fertiliser_Products_Data2(), FertiliserProducts[[#Headers],[Company]],31)</f>
        <v>Potassium - Generic</v>
      </c>
      <c r="R145" s="215" cm="1">
        <f t="array" ref="R145">Common_InputFunctions.Utility_DisplayArrayInTable(Fertiliser_SourceData.Fertiliser_Products_Data2(), FertiliserProducts[[#Headers],[Company]],31)</f>
        <v>0.125</v>
      </c>
      <c r="S145" s="215" t="str" cm="1">
        <f t="array" ref="S145">Common_InputFunctions.Utility_DisplayArrayInTable(Fertiliser_SourceData.Fertiliser_Products_Data2(), FertiliserProducts[[#Headers],[Company]],31)</f>
        <v>Sulfur - Generic</v>
      </c>
      <c r="T145" s="215" cm="1">
        <f t="array" ref="T145">Common_InputFunctions.Utility_DisplayArrayInTable(Fertiliser_SourceData.Fertiliser_Products_Data2(), FertiliserProducts[[#Headers],[Company]],31)</f>
        <v>7.1999999999999995E-2</v>
      </c>
      <c r="U145" s="215" t="str" cm="1">
        <f t="array" ref="U145">Common_InputFunctions.Utility_DisplayArrayInTable(Fertiliser_SourceData.Fertiliser_Products_Data2(), FertiliserProducts[[#Headers],[Company]],31)</f>
        <v>Phosphorus - Generic</v>
      </c>
      <c r="V145" s="215" cm="1">
        <f t="array" ref="V145">Common_InputFunctions.Utility_DisplayArrayInTable(Fertiliser_SourceData.Fertiliser_Products_Data2(), FertiliserProducts[[#Headers],[Company]],31)</f>
        <v>6.5000000000000002E-2</v>
      </c>
      <c r="W145" s="215" t="str" cm="1">
        <f t="array" ref="W145">Common_InputFunctions.Utility_DisplayArrayInTable(Fertiliser_SourceData.Fertiliser_Products_Data2(), FertiliserProducts[[#Headers],[Company]],31)</f>
        <v>Nitrogen - Ammoniacal</v>
      </c>
      <c r="X145" s="215" cm="1">
        <f t="array" ref="X145">Common_InputFunctions.Utility_DisplayArrayInTable(Fertiliser_SourceData.Fertiliser_Products_Data2(), FertiliserProducts[[#Headers],[Company]],31)</f>
        <v>5.5E-2</v>
      </c>
      <c r="Y145" s="215" t="str" cm="1">
        <f t="array" ref="Y145">Common_InputFunctions.Utility_DisplayArrayInTable(Fertiliser_SourceData.Fertiliser_Products_Data2(), FertiliserProducts[[#Headers],[Company]],31)</f>
        <v>Magnesium</v>
      </c>
      <c r="Z145" s="215" cm="1">
        <f t="array" ref="Z145">Common_InputFunctions.Utility_DisplayArrayInTable(Fertiliser_SourceData.Fertiliser_Products_Data2(), FertiliserProducts[[#Headers],[Company]],31)</f>
        <v>6.6E-3</v>
      </c>
      <c r="AA145" s="215" t="str" cm="1">
        <f t="array" ref="AA145">Common_InputFunctions.Utility_DisplayArrayInTable(Fertiliser_SourceData.Fertiliser_Products_Data2(), FertiliserProducts[[#Headers],[Company]],31)</f>
        <v>Boron</v>
      </c>
      <c r="AB145" s="215" cm="1">
        <f t="array" ref="AB145">Common_InputFunctions.Utility_DisplayArrayInTable(Fertiliser_SourceData.Fertiliser_Products_Data2(), FertiliserProducts[[#Headers],[Company]],31)</f>
        <v>1E-3</v>
      </c>
      <c r="AC145" s="215" t="str" cm="1">
        <f t="array" ref="AC145">Common_InputFunctions.Utility_DisplayArrayInTable(Fertiliser_SourceData.Fertiliser_Products_Data2(), FertiliserProducts[[#Headers],[Company]],31)</f>
        <v>Zinc</v>
      </c>
      <c r="AD145" s="215" cm="1">
        <f t="array" ref="AD145">Common_InputFunctions.Utility_DisplayArrayInTable(Fertiliser_SourceData.Fertiliser_Products_Data2(), FertiliserProducts[[#Headers],[Company]],31)</f>
        <v>5.9999999999999995E-4</v>
      </c>
      <c r="AE145" s="215" t="str" cm="1">
        <f t="array" ref="AE145">Common_InputFunctions.Utility_DisplayArrayInTable(Fertiliser_SourceData.Fertiliser_Products_Data2(), FertiliserProducts[[#Headers],[Company]],31)</f>
        <v/>
      </c>
      <c r="AF145" s="215" t="str" cm="1">
        <f t="array" ref="AF145">Common_InputFunctions.Utility_DisplayArrayInTable(Fertiliser_SourceData.Fertiliser_Products_Data2(), FertiliserProducts[[#Headers],[Company]],31)</f>
        <v/>
      </c>
      <c r="AG145" s="215" t="str" cm="1">
        <f t="array" ref="AG145">Common_InputFunctions.Utility_DisplayArrayInTable(Fertiliser_SourceData.Fertiliser_Products_Data2(), FertiliserProducts[[#Headers],[Company]],31)</f>
        <v/>
      </c>
      <c r="AH145" s="215" t="str" cm="1">
        <f t="array" ref="AH145">Common_InputFunctions.Utility_DisplayArrayInTable(Fertiliser_SourceData.Fertiliser_Products_Data2(), FertiliserProducts[[#Headers],[Company]],31)</f>
        <v/>
      </c>
    </row>
    <row r="146" spans="1:34" ht="20.100000000000001" customHeight="1" x14ac:dyDescent="0.25">
      <c r="A146"/>
      <c r="D146" s="215" t="str" cm="1">
        <f t="array" ref="D146">Common_InputFunctions.Utility_DisplayArrayInTable(Fertiliser_SourceData.Fertiliser_Products_Data2(), FertiliserProducts[[#Headers],[Company]],31)</f>
        <v>Yara Australia</v>
      </c>
      <c r="E146" s="215" t="str" cm="1">
        <f t="array" ref="E146">Common_InputFunctions.Utility_DisplayArrayInTable(Fertiliser_SourceData.Fertiliser_Products_Data2(), FertiliserProducts[[#Headers],[Company]],31)</f>
        <v>YaraTera CALCINIT B</v>
      </c>
      <c r="F146" s="215" t="str" cm="1">
        <f t="array" ref="F146">Common_InputFunctions.Utility_DisplayArrayInTable(Fertiliser_SourceData.Fertiliser_Products_Data2(), FertiliserProducts[[#Headers],[Company]],31)</f>
        <v>kg</v>
      </c>
      <c r="G146" s="215" cm="1">
        <f t="array" ref="G146">Common_InputFunctions.Utility_DisplayArrayInTable(Fertiliser_SourceData.Fertiliser_Products_Data2(), FertiliserProducts[[#Headers],[Company]],31)</f>
        <v>1</v>
      </c>
      <c r="H146" s="215" t="str" cm="1">
        <f t="array" ref="H146">Common_InputFunctions.Utility_DisplayArrayInTable(Fertiliser_SourceData.Fertiliser_Products_Data2(), FertiliserProducts[[#Headers],[Company]],31)</f>
        <v/>
      </c>
      <c r="I146" s="215" t="str" cm="1">
        <f t="array" ref="I146">Common_InputFunctions.Utility_DisplayArrayInTable(Fertiliser_SourceData.Fertiliser_Products_Data2(), FertiliserProducts[[#Headers],[Company]],31)</f>
        <v/>
      </c>
      <c r="J146" s="215" t="str" cm="1">
        <f t="array" ref="J146">Common_InputFunctions.Utility_DisplayArrayInTable(Fertiliser_SourceData.Fertiliser_Products_Data2(), FertiliserProducts[[#Headers],[Company]],31)</f>
        <v/>
      </c>
      <c r="K146" s="215" cm="1">
        <f t="array" ref="K146">Common_InputFunctions.Utility_DisplayArrayInTable(Fertiliser_SourceData.Fertiliser_Products_Data2(), FertiliserProducts[[#Headers],[Company]],31)</f>
        <v>15.5</v>
      </c>
      <c r="L146" s="215" t="str" cm="1">
        <f t="array" ref="L146">Common_InputFunctions.Utility_DisplayArrayInTable(Fertiliser_SourceData.Fertiliser_Products_Data2(), FertiliserProducts[[#Headers],[Company]],31)</f>
        <v/>
      </c>
      <c r="M146" s="215" t="str" cm="1">
        <f t="array" ref="M146">Common_InputFunctions.Utility_DisplayArrayInTable(Fertiliser_SourceData.Fertiliser_Products_Data2(), FertiliserProducts[[#Headers],[Company]],31)</f>
        <v/>
      </c>
      <c r="N146" s="215" t="str" cm="1">
        <f t="array" ref="N146">Common_InputFunctions.Utility_DisplayArrayInTable(Fertiliser_SourceData.Fertiliser_Products_Data2(), FertiliserProducts[[#Headers],[Company]],31)</f>
        <v/>
      </c>
      <c r="O146" s="215" t="str" cm="1">
        <f t="array" ref="O146">Common_InputFunctions.Utility_DisplayArrayInTable(Fertiliser_SourceData.Fertiliser_Products_Data2(), FertiliserProducts[[#Headers],[Company]],31)</f>
        <v>Calcium nitrate</v>
      </c>
      <c r="P146" s="215" cm="1">
        <f t="array" ref="P146">Common_InputFunctions.Utility_DisplayArrayInTable(Fertiliser_SourceData.Fertiliser_Products_Data2(), FertiliserProducts[[#Headers],[Company]],31)</f>
        <v>1</v>
      </c>
      <c r="Q146" s="215" t="str" cm="1">
        <f t="array" ref="Q146">Common_InputFunctions.Utility_DisplayArrayInTable(Fertiliser_SourceData.Fertiliser_Products_Data2(), FertiliserProducts[[#Headers],[Company]],31)</f>
        <v>Boron</v>
      </c>
      <c r="R146" s="215" cm="1">
        <f t="array" ref="R146">Common_InputFunctions.Utility_DisplayArrayInTable(Fertiliser_SourceData.Fertiliser_Products_Data2(), FertiliserProducts[[#Headers],[Company]],31)</f>
        <v>1E-3</v>
      </c>
      <c r="S146" s="215" t="str" cm="1">
        <f t="array" ref="S146">Common_InputFunctions.Utility_DisplayArrayInTable(Fertiliser_SourceData.Fertiliser_Products_Data2(), FertiliserProducts[[#Headers],[Company]],31)</f>
        <v/>
      </c>
      <c r="T146" s="215" t="str" cm="1">
        <f t="array" ref="T146">Common_InputFunctions.Utility_DisplayArrayInTable(Fertiliser_SourceData.Fertiliser_Products_Data2(), FertiliserProducts[[#Headers],[Company]],31)</f>
        <v/>
      </c>
      <c r="U146" s="215" t="str" cm="1">
        <f t="array" ref="U146">Common_InputFunctions.Utility_DisplayArrayInTable(Fertiliser_SourceData.Fertiliser_Products_Data2(), FertiliserProducts[[#Headers],[Company]],31)</f>
        <v/>
      </c>
      <c r="V146" s="215" t="str" cm="1">
        <f t="array" ref="V146">Common_InputFunctions.Utility_DisplayArrayInTable(Fertiliser_SourceData.Fertiliser_Products_Data2(), FertiliserProducts[[#Headers],[Company]],31)</f>
        <v/>
      </c>
      <c r="W146" s="215" t="str" cm="1">
        <f t="array" ref="W146">Common_InputFunctions.Utility_DisplayArrayInTable(Fertiliser_SourceData.Fertiliser_Products_Data2(), FertiliserProducts[[#Headers],[Company]],31)</f>
        <v/>
      </c>
      <c r="X146" s="215" t="str" cm="1">
        <f t="array" ref="X146">Common_InputFunctions.Utility_DisplayArrayInTable(Fertiliser_SourceData.Fertiliser_Products_Data2(), FertiliserProducts[[#Headers],[Company]],31)</f>
        <v/>
      </c>
      <c r="Y146" s="215" t="str" cm="1">
        <f t="array" ref="Y146">Common_InputFunctions.Utility_DisplayArrayInTable(Fertiliser_SourceData.Fertiliser_Products_Data2(), FertiliserProducts[[#Headers],[Company]],31)</f>
        <v/>
      </c>
      <c r="Z146" s="215" t="str" cm="1">
        <f t="array" ref="Z146">Common_InputFunctions.Utility_DisplayArrayInTable(Fertiliser_SourceData.Fertiliser_Products_Data2(), FertiliserProducts[[#Headers],[Company]],31)</f>
        <v/>
      </c>
      <c r="AA146" s="215" t="str" cm="1">
        <f t="array" ref="AA146">Common_InputFunctions.Utility_DisplayArrayInTable(Fertiliser_SourceData.Fertiliser_Products_Data2(), FertiliserProducts[[#Headers],[Company]],31)</f>
        <v/>
      </c>
      <c r="AB146" s="215" t="str" cm="1">
        <f t="array" ref="AB146">Common_InputFunctions.Utility_DisplayArrayInTable(Fertiliser_SourceData.Fertiliser_Products_Data2(), FertiliserProducts[[#Headers],[Company]],31)</f>
        <v/>
      </c>
      <c r="AC146" s="215" t="str" cm="1">
        <f t="array" ref="AC146">Common_InputFunctions.Utility_DisplayArrayInTable(Fertiliser_SourceData.Fertiliser_Products_Data2(), FertiliserProducts[[#Headers],[Company]],31)</f>
        <v/>
      </c>
      <c r="AD146" s="215" t="str" cm="1">
        <f t="array" ref="AD146">Common_InputFunctions.Utility_DisplayArrayInTable(Fertiliser_SourceData.Fertiliser_Products_Data2(), FertiliserProducts[[#Headers],[Company]],31)</f>
        <v/>
      </c>
      <c r="AE146" s="215" t="str" cm="1">
        <f t="array" ref="AE146">Common_InputFunctions.Utility_DisplayArrayInTable(Fertiliser_SourceData.Fertiliser_Products_Data2(), FertiliserProducts[[#Headers],[Company]],31)</f>
        <v/>
      </c>
      <c r="AF146" s="215" t="str" cm="1">
        <f t="array" ref="AF146">Common_InputFunctions.Utility_DisplayArrayInTable(Fertiliser_SourceData.Fertiliser_Products_Data2(), FertiliserProducts[[#Headers],[Company]],31)</f>
        <v/>
      </c>
      <c r="AG146" s="215" t="str" cm="1">
        <f t="array" ref="AG146">Common_InputFunctions.Utility_DisplayArrayInTable(Fertiliser_SourceData.Fertiliser_Products_Data2(), FertiliserProducts[[#Headers],[Company]],31)</f>
        <v/>
      </c>
      <c r="AH146" s="215" t="str" cm="1">
        <f t="array" ref="AH146">Common_InputFunctions.Utility_DisplayArrayInTable(Fertiliser_SourceData.Fertiliser_Products_Data2(), FertiliserProducts[[#Headers],[Company]],31)</f>
        <v/>
      </c>
    </row>
    <row r="147" spans="1:34" ht="20.100000000000001" customHeight="1" x14ac:dyDescent="0.25">
      <c r="A147"/>
      <c r="D147" s="215" t="str" cm="1">
        <f t="array" ref="D147">Common_InputFunctions.Utility_DisplayArrayInTable(Fertiliser_SourceData.Fertiliser_Products_Data2(), FertiliserProducts[[#Headers],[Company]],31)</f>
        <v>Yara Australia</v>
      </c>
      <c r="E147" s="215" t="str" cm="1">
        <f t="array" ref="E147">Common_InputFunctions.Utility_DisplayArrayInTable(Fertiliser_SourceData.Fertiliser_Products_Data2(), FertiliserProducts[[#Headers],[Company]],31)</f>
        <v>YaraTera KRISTA MAP</v>
      </c>
      <c r="F147" s="215" t="str" cm="1">
        <f t="array" ref="F147">Common_InputFunctions.Utility_DisplayArrayInTable(Fertiliser_SourceData.Fertiliser_Products_Data2(), FertiliserProducts[[#Headers],[Company]],31)</f>
        <v>kg</v>
      </c>
      <c r="G147" s="215" cm="1">
        <f t="array" ref="G147">Common_InputFunctions.Utility_DisplayArrayInTable(Fertiliser_SourceData.Fertiliser_Products_Data2(), FertiliserProducts[[#Headers],[Company]],31)</f>
        <v>1</v>
      </c>
      <c r="H147" s="215" t="str" cm="1">
        <f t="array" ref="H147">Common_InputFunctions.Utility_DisplayArrayInTable(Fertiliser_SourceData.Fertiliser_Products_Data2(), FertiliserProducts[[#Headers],[Company]],31)</f>
        <v/>
      </c>
      <c r="I147" s="215" t="str" cm="1">
        <f t="array" ref="I147">Common_InputFunctions.Utility_DisplayArrayInTable(Fertiliser_SourceData.Fertiliser_Products_Data2(), FertiliserProducts[[#Headers],[Company]],31)</f>
        <v/>
      </c>
      <c r="J147" s="215" t="str" cm="1">
        <f t="array" ref="J147">Common_InputFunctions.Utility_DisplayArrayInTable(Fertiliser_SourceData.Fertiliser_Products_Data2(), FertiliserProducts[[#Headers],[Company]],31)</f>
        <v/>
      </c>
      <c r="K147" s="215" cm="1">
        <f t="array" ref="K147">Common_InputFunctions.Utility_DisplayArrayInTable(Fertiliser_SourceData.Fertiliser_Products_Data2(), FertiliserProducts[[#Headers],[Company]],31)</f>
        <v>10</v>
      </c>
      <c r="L147" s="215" cm="1">
        <f t="array" ref="L147">Common_InputFunctions.Utility_DisplayArrayInTable(Fertiliser_SourceData.Fertiliser_Products_Data2(), FertiliserProducts[[#Headers],[Company]],31)</f>
        <v>21.9</v>
      </c>
      <c r="M147" s="215" t="str" cm="1">
        <f t="array" ref="M147">Common_InputFunctions.Utility_DisplayArrayInTable(Fertiliser_SourceData.Fertiliser_Products_Data2(), FertiliserProducts[[#Headers],[Company]],31)</f>
        <v/>
      </c>
      <c r="N147" s="215" t="str" cm="1">
        <f t="array" ref="N147">Common_InputFunctions.Utility_DisplayArrayInTable(Fertiliser_SourceData.Fertiliser_Products_Data2(), FertiliserProducts[[#Headers],[Company]],31)</f>
        <v/>
      </c>
      <c r="O147" s="215" t="str" cm="1">
        <f t="array" ref="O147">Common_InputFunctions.Utility_DisplayArrayInTable(Fertiliser_SourceData.Fertiliser_Products_Data2(), FertiliserProducts[[#Headers],[Company]],31)</f>
        <v>Monoammonium phosphate (MAP)</v>
      </c>
      <c r="P147" s="215" cm="1">
        <f t="array" ref="P147">Common_InputFunctions.Utility_DisplayArrayInTable(Fertiliser_SourceData.Fertiliser_Products_Data2(), FertiliserProducts[[#Headers],[Company]],31)</f>
        <v>1</v>
      </c>
      <c r="Q147" s="215" t="str" cm="1">
        <f t="array" ref="Q147">Common_InputFunctions.Utility_DisplayArrayInTable(Fertiliser_SourceData.Fertiliser_Products_Data2(), FertiliserProducts[[#Headers],[Company]],31)</f>
        <v/>
      </c>
      <c r="R147" s="215" t="str" cm="1">
        <f t="array" ref="R147">Common_InputFunctions.Utility_DisplayArrayInTable(Fertiliser_SourceData.Fertiliser_Products_Data2(), FertiliserProducts[[#Headers],[Company]],31)</f>
        <v/>
      </c>
      <c r="S147" s="215" t="str" cm="1">
        <f t="array" ref="S147">Common_InputFunctions.Utility_DisplayArrayInTable(Fertiliser_SourceData.Fertiliser_Products_Data2(), FertiliserProducts[[#Headers],[Company]],31)</f>
        <v/>
      </c>
      <c r="T147" s="215" t="str" cm="1">
        <f t="array" ref="T147">Common_InputFunctions.Utility_DisplayArrayInTable(Fertiliser_SourceData.Fertiliser_Products_Data2(), FertiliserProducts[[#Headers],[Company]],31)</f>
        <v/>
      </c>
      <c r="U147" s="215" t="str" cm="1">
        <f t="array" ref="U147">Common_InputFunctions.Utility_DisplayArrayInTable(Fertiliser_SourceData.Fertiliser_Products_Data2(), FertiliserProducts[[#Headers],[Company]],31)</f>
        <v/>
      </c>
      <c r="V147" s="215" t="str" cm="1">
        <f t="array" ref="V147">Common_InputFunctions.Utility_DisplayArrayInTable(Fertiliser_SourceData.Fertiliser_Products_Data2(), FertiliserProducts[[#Headers],[Company]],31)</f>
        <v/>
      </c>
      <c r="W147" s="215" t="str" cm="1">
        <f t="array" ref="W147">Common_InputFunctions.Utility_DisplayArrayInTable(Fertiliser_SourceData.Fertiliser_Products_Data2(), FertiliserProducts[[#Headers],[Company]],31)</f>
        <v/>
      </c>
      <c r="X147" s="215" t="str" cm="1">
        <f t="array" ref="X147">Common_InputFunctions.Utility_DisplayArrayInTable(Fertiliser_SourceData.Fertiliser_Products_Data2(), FertiliserProducts[[#Headers],[Company]],31)</f>
        <v/>
      </c>
      <c r="Y147" s="215" t="str" cm="1">
        <f t="array" ref="Y147">Common_InputFunctions.Utility_DisplayArrayInTable(Fertiliser_SourceData.Fertiliser_Products_Data2(), FertiliserProducts[[#Headers],[Company]],31)</f>
        <v/>
      </c>
      <c r="Z147" s="215" t="str" cm="1">
        <f t="array" ref="Z147">Common_InputFunctions.Utility_DisplayArrayInTable(Fertiliser_SourceData.Fertiliser_Products_Data2(), FertiliserProducts[[#Headers],[Company]],31)</f>
        <v/>
      </c>
      <c r="AA147" s="215" t="str" cm="1">
        <f t="array" ref="AA147">Common_InputFunctions.Utility_DisplayArrayInTable(Fertiliser_SourceData.Fertiliser_Products_Data2(), FertiliserProducts[[#Headers],[Company]],31)</f>
        <v/>
      </c>
      <c r="AB147" s="215" t="str" cm="1">
        <f t="array" ref="AB147">Common_InputFunctions.Utility_DisplayArrayInTable(Fertiliser_SourceData.Fertiliser_Products_Data2(), FertiliserProducts[[#Headers],[Company]],31)</f>
        <v/>
      </c>
      <c r="AC147" s="215" t="str" cm="1">
        <f t="array" ref="AC147">Common_InputFunctions.Utility_DisplayArrayInTable(Fertiliser_SourceData.Fertiliser_Products_Data2(), FertiliserProducts[[#Headers],[Company]],31)</f>
        <v/>
      </c>
      <c r="AD147" s="215" t="str" cm="1">
        <f t="array" ref="AD147">Common_InputFunctions.Utility_DisplayArrayInTable(Fertiliser_SourceData.Fertiliser_Products_Data2(), FertiliserProducts[[#Headers],[Company]],31)</f>
        <v/>
      </c>
      <c r="AE147" s="215" t="str" cm="1">
        <f t="array" ref="AE147">Common_InputFunctions.Utility_DisplayArrayInTable(Fertiliser_SourceData.Fertiliser_Products_Data2(), FertiliserProducts[[#Headers],[Company]],31)</f>
        <v/>
      </c>
      <c r="AF147" s="215" t="str" cm="1">
        <f t="array" ref="AF147">Common_InputFunctions.Utility_DisplayArrayInTable(Fertiliser_SourceData.Fertiliser_Products_Data2(), FertiliserProducts[[#Headers],[Company]],31)</f>
        <v/>
      </c>
      <c r="AG147" s="215" t="str" cm="1">
        <f t="array" ref="AG147">Common_InputFunctions.Utility_DisplayArrayInTable(Fertiliser_SourceData.Fertiliser_Products_Data2(), FertiliserProducts[[#Headers],[Company]],31)</f>
        <v/>
      </c>
      <c r="AH147" s="215" t="str" cm="1">
        <f t="array" ref="AH147">Common_InputFunctions.Utility_DisplayArrayInTable(Fertiliser_SourceData.Fertiliser_Products_Data2(), FertiliserProducts[[#Headers],[Company]],31)</f>
        <v/>
      </c>
    </row>
    <row r="148" spans="1:34" ht="20.100000000000001" customHeight="1" x14ac:dyDescent="0.25">
      <c r="A148"/>
      <c r="D148" s="215" t="str" cm="1">
        <f t="array" ref="D148">Common_InputFunctions.Utility_DisplayArrayInTable(Fertiliser_SourceData.Fertiliser_Products_Data2(), FertiliserProducts[[#Headers],[Company]],31)</f>
        <v>Yara Australia</v>
      </c>
      <c r="E148" s="215" t="str" cm="1">
        <f t="array" ref="E148">Common_InputFunctions.Utility_DisplayArrayInTable(Fertiliser_SourceData.Fertiliser_Products_Data2(), FertiliserProducts[[#Headers],[Company]],31)</f>
        <v>YaraTera KRISTALON RED</v>
      </c>
      <c r="F148" s="215" t="str" cm="1">
        <f t="array" ref="F148">Common_InputFunctions.Utility_DisplayArrayInTable(Fertiliser_SourceData.Fertiliser_Products_Data2(), FertiliserProducts[[#Headers],[Company]],31)</f>
        <v>kg</v>
      </c>
      <c r="G148" s="215" cm="1">
        <f t="array" ref="G148">Common_InputFunctions.Utility_DisplayArrayInTable(Fertiliser_SourceData.Fertiliser_Products_Data2(), FertiliserProducts[[#Headers],[Company]],31)</f>
        <v>1</v>
      </c>
      <c r="H148" s="215" t="str" cm="1">
        <f t="array" ref="H148">Common_InputFunctions.Utility_DisplayArrayInTable(Fertiliser_SourceData.Fertiliser_Products_Data2(), FertiliserProducts[[#Headers],[Company]],31)</f>
        <v/>
      </c>
      <c r="I148" s="215" t="str" cm="1">
        <f t="array" ref="I148">Common_InputFunctions.Utility_DisplayArrayInTable(Fertiliser_SourceData.Fertiliser_Products_Data2(), FertiliserProducts[[#Headers],[Company]],31)</f>
        <v/>
      </c>
      <c r="J148" s="215" t="str" cm="1">
        <f t="array" ref="J148">Common_InputFunctions.Utility_DisplayArrayInTable(Fertiliser_SourceData.Fertiliser_Products_Data2(), FertiliserProducts[[#Headers],[Company]],31)</f>
        <v/>
      </c>
      <c r="K148" s="215" cm="1">
        <f t="array" ref="K148">Common_InputFunctions.Utility_DisplayArrayInTable(Fertiliser_SourceData.Fertiliser_Products_Data2(), FertiliserProducts[[#Headers],[Company]],31)</f>
        <v>12</v>
      </c>
      <c r="L148" s="215" cm="1">
        <f t="array" ref="L148">Common_InputFunctions.Utility_DisplayArrayInTable(Fertiliser_SourceData.Fertiliser_Products_Data2(), FertiliserProducts[[#Headers],[Company]],31)</f>
        <v>5.2</v>
      </c>
      <c r="M148" s="215" cm="1">
        <f t="array" ref="M148">Common_InputFunctions.Utility_DisplayArrayInTable(Fertiliser_SourceData.Fertiliser_Products_Data2(), FertiliserProducts[[#Headers],[Company]],31)</f>
        <v>29.9</v>
      </c>
      <c r="N148" s="215" cm="1">
        <f t="array" ref="N148">Common_InputFunctions.Utility_DisplayArrayInTable(Fertiliser_SourceData.Fertiliser_Products_Data2(), FertiliserProducts[[#Headers],[Company]],31)</f>
        <v>1</v>
      </c>
      <c r="O148" s="215" t="str" cm="1">
        <f t="array" ref="O148">Common_InputFunctions.Utility_DisplayArrayInTable(Fertiliser_SourceData.Fertiliser_Products_Data2(), FertiliserProducts[[#Headers],[Company]],31)</f>
        <v>Potassium - Generic</v>
      </c>
      <c r="P148" s="215" cm="1">
        <f t="array" ref="P148">Common_InputFunctions.Utility_DisplayArrayInTable(Fertiliser_SourceData.Fertiliser_Products_Data2(), FertiliserProducts[[#Headers],[Company]],31)</f>
        <v>0.29899999999999999</v>
      </c>
      <c r="Q148" s="215" t="str" cm="1">
        <f t="array" ref="Q148">Common_InputFunctions.Utility_DisplayArrayInTable(Fertiliser_SourceData.Fertiliser_Products_Data2(), FertiliserProducts[[#Headers],[Company]],31)</f>
        <v>Nitrogen - Nitrate</v>
      </c>
      <c r="R148" s="215" cm="1">
        <f t="array" ref="R148">Common_InputFunctions.Utility_DisplayArrayInTable(Fertiliser_SourceData.Fertiliser_Products_Data2(), FertiliserProducts[[#Headers],[Company]],31)</f>
        <v>0.10100000000000001</v>
      </c>
      <c r="S148" s="215" t="str" cm="1">
        <f t="array" ref="S148">Common_InputFunctions.Utility_DisplayArrayInTable(Fertiliser_SourceData.Fertiliser_Products_Data2(), FertiliserProducts[[#Headers],[Company]],31)</f>
        <v>Phosphorus - Generic</v>
      </c>
      <c r="T148" s="215" cm="1">
        <f t="array" ref="T148">Common_InputFunctions.Utility_DisplayArrayInTable(Fertiliser_SourceData.Fertiliser_Products_Data2(), FertiliserProducts[[#Headers],[Company]],31)</f>
        <v>5.1999999999999998E-2</v>
      </c>
      <c r="U148" s="215" t="str" cm="1">
        <f t="array" ref="U148">Common_InputFunctions.Utility_DisplayArrayInTable(Fertiliser_SourceData.Fertiliser_Products_Data2(), FertiliserProducts[[#Headers],[Company]],31)</f>
        <v>Nitrogen - Ammoniacal</v>
      </c>
      <c r="V148" s="215" cm="1">
        <f t="array" ref="V148">Common_InputFunctions.Utility_DisplayArrayInTable(Fertiliser_SourceData.Fertiliser_Products_Data2(), FertiliserProducts[[#Headers],[Company]],31)</f>
        <v>1.9E-2</v>
      </c>
      <c r="W148" s="215" t="str" cm="1">
        <f t="array" ref="W148">Common_InputFunctions.Utility_DisplayArrayInTable(Fertiliser_SourceData.Fertiliser_Products_Data2(), FertiliserProducts[[#Headers],[Company]],31)</f>
        <v>Sulfur - Generic</v>
      </c>
      <c r="X148" s="215" cm="1">
        <f t="array" ref="X148">Common_InputFunctions.Utility_DisplayArrayInTable(Fertiliser_SourceData.Fertiliser_Products_Data2(), FertiliserProducts[[#Headers],[Company]],31)</f>
        <v>0.01</v>
      </c>
      <c r="Y148" s="215" t="str" cm="1">
        <f t="array" ref="Y148">Common_InputFunctions.Utility_DisplayArrayInTable(Fertiliser_SourceData.Fertiliser_Products_Data2(), FertiliserProducts[[#Headers],[Company]],31)</f>
        <v>Magnesium</v>
      </c>
      <c r="Z148" s="215" cm="1">
        <f t="array" ref="Z148">Common_InputFunctions.Utility_DisplayArrayInTable(Fertiliser_SourceData.Fertiliser_Products_Data2(), FertiliserProducts[[#Headers],[Company]],31)</f>
        <v>6.0000000000000001E-3</v>
      </c>
      <c r="AA148" s="215" t="str" cm="1">
        <f t="array" ref="AA148">Common_InputFunctions.Utility_DisplayArrayInTable(Fertiliser_SourceData.Fertiliser_Products_Data2(), FertiliserProducts[[#Headers],[Company]],31)</f>
        <v>Iron</v>
      </c>
      <c r="AB148" s="215" cm="1">
        <f t="array" ref="AB148">Common_InputFunctions.Utility_DisplayArrayInTable(Fertiliser_SourceData.Fertiliser_Products_Data2(), FertiliserProducts[[#Headers],[Company]],31)</f>
        <v>6.9999999999999999E-4</v>
      </c>
      <c r="AC148" s="215" t="str" cm="1">
        <f t="array" ref="AC148">Common_InputFunctions.Utility_DisplayArrayInTable(Fertiliser_SourceData.Fertiliser_Products_Data2(), FertiliserProducts[[#Headers],[Company]],31)</f>
        <v>Manganese</v>
      </c>
      <c r="AD148" s="215" cm="1">
        <f t="array" ref="AD148">Common_InputFunctions.Utility_DisplayArrayInTable(Fertiliser_SourceData.Fertiliser_Products_Data2(), FertiliserProducts[[#Headers],[Company]],31)</f>
        <v>4.0000000000000002E-4</v>
      </c>
      <c r="AE148" s="215" t="str" cm="1">
        <f t="array" ref="AE148">Common_InputFunctions.Utility_DisplayArrayInTable(Fertiliser_SourceData.Fertiliser_Products_Data2(), FertiliserProducts[[#Headers],[Company]],31)</f>
        <v>Zinc</v>
      </c>
      <c r="AF148" s="215" cm="1">
        <f t="array" ref="AF148">Common_InputFunctions.Utility_DisplayArrayInTable(Fertiliser_SourceData.Fertiliser_Products_Data2(), FertiliserProducts[[#Headers],[Company]],31)</f>
        <v>2.5000000000000001E-4</v>
      </c>
      <c r="AG148" s="215" t="str" cm="1">
        <f t="array" ref="AG148">Common_InputFunctions.Utility_DisplayArrayInTable(Fertiliser_SourceData.Fertiliser_Products_Data2(), FertiliserProducts[[#Headers],[Company]],31)</f>
        <v>Boron</v>
      </c>
      <c r="AH148" s="215" cm="1">
        <f t="array" ref="AH148">Common_InputFunctions.Utility_DisplayArrayInTable(Fertiliser_SourceData.Fertiliser_Products_Data2(), FertiliserProducts[[#Headers],[Company]],31)</f>
        <v>2.5000000000000001E-4</v>
      </c>
    </row>
    <row r="149" spans="1:34" ht="20.100000000000001" customHeight="1" x14ac:dyDescent="0.25">
      <c r="A149"/>
      <c r="D149" s="215" t="str" cm="1">
        <f t="array" ref="D149">Common_InputFunctions.Utility_DisplayArrayInTable(Fertiliser_SourceData.Fertiliser_Products_Data2(), FertiliserProducts[[#Headers],[Company]],31)</f>
        <v>Yara Australia</v>
      </c>
      <c r="E149" s="215" t="str" cm="1">
        <f t="array" ref="E149">Common_InputFunctions.Utility_DisplayArrayInTable(Fertiliser_SourceData.Fertiliser_Products_Data2(), FertiliserProducts[[#Headers],[Company]],31)</f>
        <v>YaraTera KRISTALON SPECIAL</v>
      </c>
      <c r="F149" s="215" t="str" cm="1">
        <f t="array" ref="F149">Common_InputFunctions.Utility_DisplayArrayInTable(Fertiliser_SourceData.Fertiliser_Products_Data2(), FertiliserProducts[[#Headers],[Company]],31)</f>
        <v>kg</v>
      </c>
      <c r="G149" s="215" cm="1">
        <f t="array" ref="G149">Common_InputFunctions.Utility_DisplayArrayInTable(Fertiliser_SourceData.Fertiliser_Products_Data2(), FertiliserProducts[[#Headers],[Company]],31)</f>
        <v>1</v>
      </c>
      <c r="H149" s="215" t="str" cm="1">
        <f t="array" ref="H149">Common_InputFunctions.Utility_DisplayArrayInTable(Fertiliser_SourceData.Fertiliser_Products_Data2(), FertiliserProducts[[#Headers],[Company]],31)</f>
        <v/>
      </c>
      <c r="I149" s="215" t="str" cm="1">
        <f t="array" ref="I149">Common_InputFunctions.Utility_DisplayArrayInTable(Fertiliser_SourceData.Fertiliser_Products_Data2(), FertiliserProducts[[#Headers],[Company]],31)</f>
        <v/>
      </c>
      <c r="J149" s="215" t="str" cm="1">
        <f t="array" ref="J149">Common_InputFunctions.Utility_DisplayArrayInTable(Fertiliser_SourceData.Fertiliser_Products_Data2(), FertiliserProducts[[#Headers],[Company]],31)</f>
        <v/>
      </c>
      <c r="K149" s="215" cm="1">
        <f t="array" ref="K149">Common_InputFunctions.Utility_DisplayArrayInTable(Fertiliser_SourceData.Fertiliser_Products_Data2(), FertiliserProducts[[#Headers],[Company]],31)</f>
        <v>18</v>
      </c>
      <c r="L149" s="215" cm="1">
        <f t="array" ref="L149">Common_InputFunctions.Utility_DisplayArrayInTable(Fertiliser_SourceData.Fertiliser_Products_Data2(), FertiliserProducts[[#Headers],[Company]],31)</f>
        <v>7.9</v>
      </c>
      <c r="M149" s="215" cm="1">
        <f t="array" ref="M149">Common_InputFunctions.Utility_DisplayArrayInTable(Fertiliser_SourceData.Fertiliser_Products_Data2(), FertiliserProducts[[#Headers],[Company]],31)</f>
        <v>14.9</v>
      </c>
      <c r="N149" s="215" cm="1">
        <f t="array" ref="N149">Common_InputFunctions.Utility_DisplayArrayInTable(Fertiliser_SourceData.Fertiliser_Products_Data2(), FertiliserProducts[[#Headers],[Company]],31)</f>
        <v>2</v>
      </c>
      <c r="O149" s="215" t="str" cm="1">
        <f t="array" ref="O149">Common_InputFunctions.Utility_DisplayArrayInTable(Fertiliser_SourceData.Fertiliser_Products_Data2(), FertiliserProducts[[#Headers],[Company]],31)</f>
        <v>Potassium - Generic</v>
      </c>
      <c r="P149" s="215" cm="1">
        <f t="array" ref="P149">Common_InputFunctions.Utility_DisplayArrayInTable(Fertiliser_SourceData.Fertiliser_Products_Data2(), FertiliserProducts[[#Headers],[Company]],31)</f>
        <v>0.14899999999999999</v>
      </c>
      <c r="Q149" s="215" t="str" cm="1">
        <f t="array" ref="Q149">Common_InputFunctions.Utility_DisplayArrayInTable(Fertiliser_SourceData.Fertiliser_Products_Data2(), FertiliserProducts[[#Headers],[Company]],31)</f>
        <v>Urea</v>
      </c>
      <c r="R149" s="215" cm="1">
        <f t="array" ref="R149">Common_InputFunctions.Utility_DisplayArrayInTable(Fertiliser_SourceData.Fertiliser_Products_Data2(), FertiliserProducts[[#Headers],[Company]],31)</f>
        <v>0.21304300000000001</v>
      </c>
      <c r="S149" s="215" t="str" cm="1">
        <f t="array" ref="S149">Common_InputFunctions.Utility_DisplayArrayInTable(Fertiliser_SourceData.Fertiliser_Products_Data2(), FertiliserProducts[[#Headers],[Company]],31)</f>
        <v>Phosphorus - Generic</v>
      </c>
      <c r="T149" s="215" cm="1">
        <f t="array" ref="T149">Common_InputFunctions.Utility_DisplayArrayInTable(Fertiliser_SourceData.Fertiliser_Products_Data2(), FertiliserProducts[[#Headers],[Company]],31)</f>
        <v>7.9000000000000001E-2</v>
      </c>
      <c r="U149" s="215" t="str" cm="1">
        <f t="array" ref="U149">Common_InputFunctions.Utility_DisplayArrayInTable(Fertiliser_SourceData.Fertiliser_Products_Data2(), FertiliserProducts[[#Headers],[Company]],31)</f>
        <v>Nitrogen - Nitrate</v>
      </c>
      <c r="V149" s="215" cm="1">
        <f t="array" ref="V149">Common_InputFunctions.Utility_DisplayArrayInTable(Fertiliser_SourceData.Fertiliser_Products_Data2(), FertiliserProducts[[#Headers],[Company]],31)</f>
        <v>4.9000000000000002E-2</v>
      </c>
      <c r="W149" s="215" t="str" cm="1">
        <f t="array" ref="W149">Common_InputFunctions.Utility_DisplayArrayInTable(Fertiliser_SourceData.Fertiliser_Products_Data2(), FertiliserProducts[[#Headers],[Company]],31)</f>
        <v>Nitrogen - Ammoniacal</v>
      </c>
      <c r="X149" s="215" cm="1">
        <f t="array" ref="X149">Common_InputFunctions.Utility_DisplayArrayInTable(Fertiliser_SourceData.Fertiliser_Products_Data2(), FertiliserProducts[[#Headers],[Company]],31)</f>
        <v>3.3000000000000002E-2</v>
      </c>
      <c r="Y149" s="215" t="str" cm="1">
        <f t="array" ref="Y149">Common_InputFunctions.Utility_DisplayArrayInTable(Fertiliser_SourceData.Fertiliser_Products_Data2(), FertiliserProducts[[#Headers],[Company]],31)</f>
        <v>Sulfur - Generic</v>
      </c>
      <c r="Z149" s="215" cm="1">
        <f t="array" ref="Z149">Common_InputFunctions.Utility_DisplayArrayInTable(Fertiliser_SourceData.Fertiliser_Products_Data2(), FertiliserProducts[[#Headers],[Company]],31)</f>
        <v>0.02</v>
      </c>
      <c r="AA149" s="215" t="str" cm="1">
        <f t="array" ref="AA149">Common_InputFunctions.Utility_DisplayArrayInTable(Fertiliser_SourceData.Fertiliser_Products_Data2(), FertiliserProducts[[#Headers],[Company]],31)</f>
        <v>Magnesium</v>
      </c>
      <c r="AB149" s="215" cm="1">
        <f t="array" ref="AB149">Common_InputFunctions.Utility_DisplayArrayInTable(Fertiliser_SourceData.Fertiliser_Products_Data2(), FertiliserProducts[[#Headers],[Company]],31)</f>
        <v>1.7999999999999999E-2</v>
      </c>
      <c r="AC149" s="215" t="str" cm="1">
        <f t="array" ref="AC149">Common_InputFunctions.Utility_DisplayArrayInTable(Fertiliser_SourceData.Fertiliser_Products_Data2(), FertiliserProducts[[#Headers],[Company]],31)</f>
        <v>Iron</v>
      </c>
      <c r="AD149" s="215" cm="1">
        <f t="array" ref="AD149">Common_InputFunctions.Utility_DisplayArrayInTable(Fertiliser_SourceData.Fertiliser_Products_Data2(), FertiliserProducts[[#Headers],[Company]],31)</f>
        <v>6.9999999999999999E-4</v>
      </c>
      <c r="AE149" s="215" t="str" cm="1">
        <f t="array" ref="AE149">Common_InputFunctions.Utility_DisplayArrayInTable(Fertiliser_SourceData.Fertiliser_Products_Data2(), FertiliserProducts[[#Headers],[Company]],31)</f>
        <v>Manganese</v>
      </c>
      <c r="AF149" s="215" cm="1">
        <f t="array" ref="AF149">Common_InputFunctions.Utility_DisplayArrayInTable(Fertiliser_SourceData.Fertiliser_Products_Data2(), FertiliserProducts[[#Headers],[Company]],31)</f>
        <v>4.0000000000000002E-4</v>
      </c>
      <c r="AG149" s="215" t="str" cm="1">
        <f t="array" ref="AG149">Common_InputFunctions.Utility_DisplayArrayInTable(Fertiliser_SourceData.Fertiliser_Products_Data2(), FertiliserProducts[[#Headers],[Company]],31)</f>
        <v>Zinc</v>
      </c>
      <c r="AH149" s="215" cm="1">
        <f t="array" ref="AH149">Common_InputFunctions.Utility_DisplayArrayInTable(Fertiliser_SourceData.Fertiliser_Products_Data2(), FertiliserProducts[[#Headers],[Company]],31)</f>
        <v>2.5000000000000001E-4</v>
      </c>
    </row>
    <row r="150" spans="1:34" ht="20.100000000000001" customHeight="1" x14ac:dyDescent="0.25">
      <c r="A150"/>
      <c r="D150" s="215" t="str" cm="1">
        <f t="array" ref="D150">Common_InputFunctions.Utility_DisplayArrayInTable(Fertiliser_SourceData.Fertiliser_Products_Data3(), FertiliserProducts[[#Headers],[Company]],61)</f>
        <v>Yara Australia</v>
      </c>
      <c r="E150" s="215" t="str" cm="1">
        <f t="array" ref="E150">Common_InputFunctions.Utility_DisplayArrayInTable(Fertiliser_SourceData.Fertiliser_Products_Data3(), FertiliserProducts[[#Headers],[Company]],61)</f>
        <v>YaraMila 21-7-3(4)</v>
      </c>
      <c r="F150" s="215" t="str" cm="1">
        <f t="array" ref="F150">Common_InputFunctions.Utility_DisplayArrayInTable(Fertiliser_SourceData.Fertiliser_Products_Data3(), FertiliserProducts[[#Headers],[Company]],61)</f>
        <v>kg</v>
      </c>
      <c r="G150" s="215" cm="1">
        <f t="array" ref="G150">Common_InputFunctions.Utility_DisplayArrayInTable(Fertiliser_SourceData.Fertiliser_Products_Data3(), FertiliserProducts[[#Headers],[Company]],61)</f>
        <v>1</v>
      </c>
      <c r="H150" s="215" t="str" cm="1">
        <f t="array" ref="H150">Common_InputFunctions.Utility_DisplayArrayInTable(Fertiliser_SourceData.Fertiliser_Products_Data3(), FertiliserProducts[[#Headers],[Company]],61)</f>
        <v/>
      </c>
      <c r="I150" s="215" t="str" cm="1">
        <f t="array" ref="I150">Common_InputFunctions.Utility_DisplayArrayInTable(Fertiliser_SourceData.Fertiliser_Products_Data3(), FertiliserProducts[[#Headers],[Company]],61)</f>
        <v/>
      </c>
      <c r="J150" s="215" t="str" cm="1">
        <f t="array" ref="J150">Common_InputFunctions.Utility_DisplayArrayInTable(Fertiliser_SourceData.Fertiliser_Products_Data3(), FertiliserProducts[[#Headers],[Company]],61)</f>
        <v/>
      </c>
      <c r="K150" s="215" cm="1">
        <f t="array" ref="K150">Common_InputFunctions.Utility_DisplayArrayInTable(Fertiliser_SourceData.Fertiliser_Products_Data3(), FertiliserProducts[[#Headers],[Company]],61)</f>
        <v>21</v>
      </c>
      <c r="L150" s="215" cm="1">
        <f t="array" ref="L150">Common_InputFunctions.Utility_DisplayArrayInTable(Fertiliser_SourceData.Fertiliser_Products_Data3(), FertiliserProducts[[#Headers],[Company]],61)</f>
        <v>7.4</v>
      </c>
      <c r="M150" s="215" cm="1">
        <f t="array" ref="M150">Common_InputFunctions.Utility_DisplayArrayInTable(Fertiliser_SourceData.Fertiliser_Products_Data3(), FertiliserProducts[[#Headers],[Company]],61)</f>
        <v>2.5</v>
      </c>
      <c r="N150" s="215" cm="1">
        <f t="array" ref="N150">Common_InputFunctions.Utility_DisplayArrayInTable(Fertiliser_SourceData.Fertiliser_Products_Data3(), FertiliserProducts[[#Headers],[Company]],61)</f>
        <v>4</v>
      </c>
      <c r="O150" s="215" t="str" cm="1">
        <f t="array" ref="O150">Common_InputFunctions.Utility_DisplayArrayInTable(Fertiliser_SourceData.Fertiliser_Products_Data3(), FertiliserProducts[[#Headers],[Company]],61)</f>
        <v>Nitrogen - Nitrate</v>
      </c>
      <c r="P150" s="215" cm="1">
        <f t="array" ref="P150">Common_InputFunctions.Utility_DisplayArrayInTable(Fertiliser_SourceData.Fertiliser_Products_Data3(), FertiliserProducts[[#Headers],[Company]],61)</f>
        <v>0.105</v>
      </c>
      <c r="Q150" s="215" t="str" cm="1">
        <f t="array" ref="Q150">Common_InputFunctions.Utility_DisplayArrayInTable(Fertiliser_SourceData.Fertiliser_Products_Data3(), FertiliserProducts[[#Headers],[Company]],61)</f>
        <v>Nitrogen - Ammoniacal</v>
      </c>
      <c r="R150" s="215" cm="1">
        <f t="array" ref="R150">Common_InputFunctions.Utility_DisplayArrayInTable(Fertiliser_SourceData.Fertiliser_Products_Data3(), FertiliserProducts[[#Headers],[Company]],61)</f>
        <v>0.105</v>
      </c>
      <c r="S150" s="215" t="str" cm="1">
        <f t="array" ref="S150">Common_InputFunctions.Utility_DisplayArrayInTable(Fertiliser_SourceData.Fertiliser_Products_Data3(), FertiliserProducts[[#Headers],[Company]],61)</f>
        <v>Phosphorus - Generic</v>
      </c>
      <c r="T150" s="215" cm="1">
        <f t="array" ref="T150">Common_InputFunctions.Utility_DisplayArrayInTable(Fertiliser_SourceData.Fertiliser_Products_Data3(), FertiliserProducts[[#Headers],[Company]],61)</f>
        <v>7.3999999999999996E-2</v>
      </c>
      <c r="U150" s="215" t="str" cm="1">
        <f t="array" ref="U150">Common_InputFunctions.Utility_DisplayArrayInTable(Fertiliser_SourceData.Fertiliser_Products_Data3(), FertiliserProducts[[#Headers],[Company]],61)</f>
        <v>Sulfur - Generic</v>
      </c>
      <c r="V150" s="215" cm="1">
        <f t="array" ref="V150">Common_InputFunctions.Utility_DisplayArrayInTable(Fertiliser_SourceData.Fertiliser_Products_Data3(), FertiliserProducts[[#Headers],[Company]],61)</f>
        <v>0.04</v>
      </c>
      <c r="W150" s="215" t="str" cm="1">
        <f t="array" ref="W150">Common_InputFunctions.Utility_DisplayArrayInTable(Fertiliser_SourceData.Fertiliser_Products_Data3(), FertiliserProducts[[#Headers],[Company]],61)</f>
        <v>Potassium - Generic</v>
      </c>
      <c r="X150" s="215" cm="1">
        <f t="array" ref="X150">Common_InputFunctions.Utility_DisplayArrayInTable(Fertiliser_SourceData.Fertiliser_Products_Data3(), FertiliserProducts[[#Headers],[Company]],61)</f>
        <v>2.5000000000000001E-2</v>
      </c>
      <c r="Y150" s="215" t="str" cm="1">
        <f t="array" ref="Y150">Common_InputFunctions.Utility_DisplayArrayInTable(Fertiliser_SourceData.Fertiliser_Products_Data3(), FertiliserProducts[[#Headers],[Company]],61)</f>
        <v>Magnesium</v>
      </c>
      <c r="Z150" s="215" cm="1">
        <f t="array" ref="Z150">Common_InputFunctions.Utility_DisplayArrayInTable(Fertiliser_SourceData.Fertiliser_Products_Data3(), FertiliserProducts[[#Headers],[Company]],61)</f>
        <v>4.0000000000000001E-3</v>
      </c>
      <c r="AA150" s="215" t="str" cm="1">
        <f t="array" ref="AA150">Common_InputFunctions.Utility_DisplayArrayInTable(Fertiliser_SourceData.Fertiliser_Products_Data3(), FertiliserProducts[[#Headers],[Company]],61)</f>
        <v>Zinc</v>
      </c>
      <c r="AB150" s="215" cm="1">
        <f t="array" ref="AB150">Common_InputFunctions.Utility_DisplayArrayInTable(Fertiliser_SourceData.Fertiliser_Products_Data3(), FertiliserProducts[[#Headers],[Company]],61)</f>
        <v>1.5E-3</v>
      </c>
      <c r="AC150" s="215" t="str" cm="1">
        <f t="array" ref="AC150">Common_InputFunctions.Utility_DisplayArrayInTable(Fertiliser_SourceData.Fertiliser_Products_Data3(), FertiliserProducts[[#Headers],[Company]],61)</f>
        <v/>
      </c>
      <c r="AD150" s="215" t="str" cm="1">
        <f t="array" ref="AD150">Common_InputFunctions.Utility_DisplayArrayInTable(Fertiliser_SourceData.Fertiliser_Products_Data3(), FertiliserProducts[[#Headers],[Company]],61)</f>
        <v/>
      </c>
      <c r="AE150" s="215" t="str" cm="1">
        <f t="array" ref="AE150">Common_InputFunctions.Utility_DisplayArrayInTable(Fertiliser_SourceData.Fertiliser_Products_Data3(), FertiliserProducts[[#Headers],[Company]],61)</f>
        <v/>
      </c>
      <c r="AF150" s="215" t="str" cm="1">
        <f t="array" ref="AF150">Common_InputFunctions.Utility_DisplayArrayInTable(Fertiliser_SourceData.Fertiliser_Products_Data3(), FertiliserProducts[[#Headers],[Company]],61)</f>
        <v/>
      </c>
      <c r="AG150" s="215" t="str" cm="1">
        <f t="array" ref="AG150">Common_InputFunctions.Utility_DisplayArrayInTable(Fertiliser_SourceData.Fertiliser_Products_Data3(), FertiliserProducts[[#Headers],[Company]],61)</f>
        <v/>
      </c>
      <c r="AH150" s="215" t="str" cm="1">
        <f t="array" ref="AH150">Common_InputFunctions.Utility_DisplayArrayInTable(Fertiliser_SourceData.Fertiliser_Products_Data3(), FertiliserProducts[[#Headers],[Company]],61)</f>
        <v/>
      </c>
    </row>
    <row r="151" spans="1:34" ht="20.100000000000001" customHeight="1" x14ac:dyDescent="0.25">
      <c r="A151"/>
      <c r="D151" s="215" t="str" cm="1">
        <f t="array" ref="D151">Common_InputFunctions.Utility_DisplayArrayInTable(Fertiliser_SourceData.Fertiliser_Products_Data3(), FertiliserProducts[[#Headers],[Company]],61)</f>
        <v>Yara Australia</v>
      </c>
      <c r="E151" s="215" t="str" cm="1">
        <f t="array" ref="E151">Common_InputFunctions.Utility_DisplayArrayInTable(Fertiliser_SourceData.Fertiliser_Products_Data3(), FertiliserProducts[[#Headers],[Company]],61)</f>
        <v>YaraTera KRISTALON SCARLET</v>
      </c>
      <c r="F151" s="215" t="str" cm="1">
        <f t="array" ref="F151">Common_InputFunctions.Utility_DisplayArrayInTable(Fertiliser_SourceData.Fertiliser_Products_Data3(), FertiliserProducts[[#Headers],[Company]],61)</f>
        <v>kg</v>
      </c>
      <c r="G151" s="215" cm="1">
        <f t="array" ref="G151">Common_InputFunctions.Utility_DisplayArrayInTable(Fertiliser_SourceData.Fertiliser_Products_Data3(), FertiliserProducts[[#Headers],[Company]],61)</f>
        <v>1</v>
      </c>
      <c r="H151" s="215" t="str" cm="1">
        <f t="array" ref="H151">Common_InputFunctions.Utility_DisplayArrayInTable(Fertiliser_SourceData.Fertiliser_Products_Data3(), FertiliserProducts[[#Headers],[Company]],61)</f>
        <v/>
      </c>
      <c r="I151" s="215" t="str" cm="1">
        <f t="array" ref="I151">Common_InputFunctions.Utility_DisplayArrayInTable(Fertiliser_SourceData.Fertiliser_Products_Data3(), FertiliserProducts[[#Headers],[Company]],61)</f>
        <v/>
      </c>
      <c r="J151" s="215" t="str" cm="1">
        <f t="array" ref="J151">Common_InputFunctions.Utility_DisplayArrayInTable(Fertiliser_SourceData.Fertiliser_Products_Data3(), FertiliserProducts[[#Headers],[Company]],61)</f>
        <v/>
      </c>
      <c r="K151" s="215" cm="1">
        <f t="array" ref="K151">Common_InputFunctions.Utility_DisplayArrayInTable(Fertiliser_SourceData.Fertiliser_Products_Data3(), FertiliserProducts[[#Headers],[Company]],61)</f>
        <v>7.5</v>
      </c>
      <c r="L151" s="215" t="str" cm="1">
        <f t="array" ref="L151">Common_InputFunctions.Utility_DisplayArrayInTable(Fertiliser_SourceData.Fertiliser_Products_Data3(), FertiliserProducts[[#Headers],[Company]],61)</f>
        <v/>
      </c>
      <c r="M151" s="215" cm="1">
        <f t="array" ref="M151">Common_InputFunctions.Utility_DisplayArrayInTable(Fertiliser_SourceData.Fertiliser_Products_Data3(), FertiliserProducts[[#Headers],[Company]],61)</f>
        <v>29.9</v>
      </c>
      <c r="N151" s="215" cm="1">
        <f t="array" ref="N151">Common_InputFunctions.Utility_DisplayArrayInTable(Fertiliser_SourceData.Fertiliser_Products_Data3(), FertiliserProducts[[#Headers],[Company]],61)</f>
        <v>4</v>
      </c>
      <c r="O151" s="215" t="str" cm="1">
        <f t="array" ref="O151">Common_InputFunctions.Utility_DisplayArrayInTable(Fertiliser_SourceData.Fertiliser_Products_Data3(), FertiliserProducts[[#Headers],[Company]],61)</f>
        <v>Potassium - Generic</v>
      </c>
      <c r="P151" s="215" cm="1">
        <f t="array" ref="P151">Common_InputFunctions.Utility_DisplayArrayInTable(Fertiliser_SourceData.Fertiliser_Products_Data3(), FertiliserProducts[[#Headers],[Company]],61)</f>
        <v>0.29899999999999999</v>
      </c>
      <c r="Q151" s="215" t="str" cm="1">
        <f t="array" ref="Q151">Common_InputFunctions.Utility_DisplayArrayInTable(Fertiliser_SourceData.Fertiliser_Products_Data3(), FertiliserProducts[[#Headers],[Company]],61)</f>
        <v>Nitrogen - Nitrate</v>
      </c>
      <c r="R151" s="215" cm="1">
        <f t="array" ref="R151">Common_InputFunctions.Utility_DisplayArrayInTable(Fertiliser_SourceData.Fertiliser_Products_Data3(), FertiliserProducts[[#Headers],[Company]],61)</f>
        <v>5.1999999999999998E-2</v>
      </c>
      <c r="S151" s="215" t="str" cm="1">
        <f t="array" ref="S151">Common_InputFunctions.Utility_DisplayArrayInTable(Fertiliser_SourceData.Fertiliser_Products_Data3(), FertiliserProducts[[#Headers],[Company]],61)</f>
        <v>Sulfur - Generic</v>
      </c>
      <c r="T151" s="215" cm="1">
        <f t="array" ref="T151">Common_InputFunctions.Utility_DisplayArrayInTable(Fertiliser_SourceData.Fertiliser_Products_Data3(), FertiliserProducts[[#Headers],[Company]],61)</f>
        <v>0.04</v>
      </c>
      <c r="U151" s="215" t="str" cm="1">
        <f t="array" ref="U151">Common_InputFunctions.Utility_DisplayArrayInTable(Fertiliser_SourceData.Fertiliser_Products_Data3(), FertiliserProducts[[#Headers],[Company]],61)</f>
        <v>Magnesium</v>
      </c>
      <c r="V151" s="215" cm="1">
        <f t="array" ref="V151">Common_InputFunctions.Utility_DisplayArrayInTable(Fertiliser_SourceData.Fertiliser_Products_Data3(), FertiliserProducts[[#Headers],[Company]],61)</f>
        <v>2.7E-2</v>
      </c>
      <c r="W151" s="215" t="str" cm="1">
        <f t="array" ref="W151">Common_InputFunctions.Utility_DisplayArrayInTable(Fertiliser_SourceData.Fertiliser_Products_Data3(), FertiliserProducts[[#Headers],[Company]],61)</f>
        <v>Nitrogen - Ammoniacal</v>
      </c>
      <c r="X151" s="215" cm="1">
        <f t="array" ref="X151">Common_InputFunctions.Utility_DisplayArrayInTable(Fertiliser_SourceData.Fertiliser_Products_Data3(), FertiliserProducts[[#Headers],[Company]],61)</f>
        <v>2.3E-2</v>
      </c>
      <c r="Y151" s="215" t="str" cm="1">
        <f t="array" ref="Y151">Common_InputFunctions.Utility_DisplayArrayInTable(Fertiliser_SourceData.Fertiliser_Products_Data3(), FertiliserProducts[[#Headers],[Company]],61)</f>
        <v/>
      </c>
      <c r="Z151" s="215" t="str" cm="1">
        <f t="array" ref="Z151">Common_InputFunctions.Utility_DisplayArrayInTable(Fertiliser_SourceData.Fertiliser_Products_Data3(), FertiliserProducts[[#Headers],[Company]],61)</f>
        <v/>
      </c>
      <c r="AA151" s="215" t="str" cm="1">
        <f t="array" ref="AA151">Common_InputFunctions.Utility_DisplayArrayInTable(Fertiliser_SourceData.Fertiliser_Products_Data3(), FertiliserProducts[[#Headers],[Company]],61)</f>
        <v/>
      </c>
      <c r="AB151" s="215" t="str" cm="1">
        <f t="array" ref="AB151">Common_InputFunctions.Utility_DisplayArrayInTable(Fertiliser_SourceData.Fertiliser_Products_Data3(), FertiliserProducts[[#Headers],[Company]],61)</f>
        <v/>
      </c>
      <c r="AC151" s="215" t="str" cm="1">
        <f t="array" ref="AC151">Common_InputFunctions.Utility_DisplayArrayInTable(Fertiliser_SourceData.Fertiliser_Products_Data3(), FertiliserProducts[[#Headers],[Company]],61)</f>
        <v/>
      </c>
      <c r="AD151" s="215" t="str" cm="1">
        <f t="array" ref="AD151">Common_InputFunctions.Utility_DisplayArrayInTable(Fertiliser_SourceData.Fertiliser_Products_Data3(), FertiliserProducts[[#Headers],[Company]],61)</f>
        <v/>
      </c>
      <c r="AE151" s="215" t="str" cm="1">
        <f t="array" ref="AE151">Common_InputFunctions.Utility_DisplayArrayInTable(Fertiliser_SourceData.Fertiliser_Products_Data3(), FertiliserProducts[[#Headers],[Company]],61)</f>
        <v/>
      </c>
      <c r="AF151" s="215" t="str" cm="1">
        <f t="array" ref="AF151">Common_InputFunctions.Utility_DisplayArrayInTable(Fertiliser_SourceData.Fertiliser_Products_Data3(), FertiliserProducts[[#Headers],[Company]],61)</f>
        <v/>
      </c>
      <c r="AG151" s="215" t="str" cm="1">
        <f t="array" ref="AG151">Common_InputFunctions.Utility_DisplayArrayInTable(Fertiliser_SourceData.Fertiliser_Products_Data3(), FertiliserProducts[[#Headers],[Company]],61)</f>
        <v/>
      </c>
      <c r="AH151" s="215" t="str" cm="1">
        <f t="array" ref="AH151">Common_InputFunctions.Utility_DisplayArrayInTable(Fertiliser_SourceData.Fertiliser_Products_Data3(), FertiliserProducts[[#Headers],[Company]],61)</f>
        <v/>
      </c>
    </row>
    <row r="152" spans="1:34" ht="20.100000000000001" customHeight="1" x14ac:dyDescent="0.25">
      <c r="A152"/>
      <c r="D152" s="215" t="str" cm="1">
        <f t="array" ref="D152">Common_InputFunctions.Utility_DisplayArrayInTable(Fertiliser_SourceData.Fertiliser_Products_Data3(), FertiliserProducts[[#Headers],[Company]],61)</f>
        <v>Campbells fertilisers Australia</v>
      </c>
      <c r="E152" s="215" t="str" cm="1">
        <f t="array" ref="E152">Common_InputFunctions.Utility_DisplayArrayInTable(Fertiliser_SourceData.Fertiliser_Products_Data3(), FertiliserProducts[[#Headers],[Company]],61)</f>
        <v>Solu-MAP</v>
      </c>
      <c r="F152" s="215" t="str" cm="1">
        <f t="array" ref="F152">Common_InputFunctions.Utility_DisplayArrayInTable(Fertiliser_SourceData.Fertiliser_Products_Data3(), FertiliserProducts[[#Headers],[Company]],61)</f>
        <v>kg</v>
      </c>
      <c r="G152" s="215" cm="1">
        <f t="array" ref="G152">Common_InputFunctions.Utility_DisplayArrayInTable(Fertiliser_SourceData.Fertiliser_Products_Data3(), FertiliserProducts[[#Headers],[Company]],61)</f>
        <v>1</v>
      </c>
      <c r="H152" s="215" t="str" cm="1">
        <f t="array" ref="H152">Common_InputFunctions.Utility_DisplayArrayInTable(Fertiliser_SourceData.Fertiliser_Products_Data3(), FertiliserProducts[[#Headers],[Company]],61)</f>
        <v/>
      </c>
      <c r="I152" s="215" t="str" cm="1">
        <f t="array" ref="I152">Common_InputFunctions.Utility_DisplayArrayInTable(Fertiliser_SourceData.Fertiliser_Products_Data3(), FertiliserProducts[[#Headers],[Company]],61)</f>
        <v/>
      </c>
      <c r="J152" s="215" t="str" cm="1">
        <f t="array" ref="J152">Common_InputFunctions.Utility_DisplayArrayInTable(Fertiliser_SourceData.Fertiliser_Products_Data3(), FertiliserProducts[[#Headers],[Company]],61)</f>
        <v/>
      </c>
      <c r="K152" s="215" cm="1">
        <f t="array" ref="K152">Common_InputFunctions.Utility_DisplayArrayInTable(Fertiliser_SourceData.Fertiliser_Products_Data3(), FertiliserProducts[[#Headers],[Company]],61)</f>
        <v>10</v>
      </c>
      <c r="L152" s="215" cm="1">
        <f t="array" ref="L152">Common_InputFunctions.Utility_DisplayArrayInTable(Fertiliser_SourceData.Fertiliser_Products_Data3(), FertiliserProducts[[#Headers],[Company]],61)</f>
        <v>21.9</v>
      </c>
      <c r="M152" s="215" t="str" cm="1">
        <f t="array" ref="M152">Common_InputFunctions.Utility_DisplayArrayInTable(Fertiliser_SourceData.Fertiliser_Products_Data3(), FertiliserProducts[[#Headers],[Company]],61)</f>
        <v/>
      </c>
      <c r="N152" s="215" t="str" cm="1">
        <f t="array" ref="N152">Common_InputFunctions.Utility_DisplayArrayInTable(Fertiliser_SourceData.Fertiliser_Products_Data3(), FertiliserProducts[[#Headers],[Company]],61)</f>
        <v/>
      </c>
      <c r="O152" s="215" t="str" cm="1">
        <f t="array" ref="O152">Common_InputFunctions.Utility_DisplayArrayInTable(Fertiliser_SourceData.Fertiliser_Products_Data3(), FertiliserProducts[[#Headers],[Company]],61)</f>
        <v>Monoammonium phosphate (MAP)</v>
      </c>
      <c r="P152" s="215" cm="1">
        <f t="array" ref="P152">Common_InputFunctions.Utility_DisplayArrayInTable(Fertiliser_SourceData.Fertiliser_Products_Data3(), FertiliserProducts[[#Headers],[Company]],61)</f>
        <v>1</v>
      </c>
      <c r="Q152" s="215" t="str" cm="1">
        <f t="array" ref="Q152">Common_InputFunctions.Utility_DisplayArrayInTable(Fertiliser_SourceData.Fertiliser_Products_Data3(), FertiliserProducts[[#Headers],[Company]],61)</f>
        <v/>
      </c>
      <c r="R152" s="215" t="str" cm="1">
        <f t="array" ref="R152">Common_InputFunctions.Utility_DisplayArrayInTable(Fertiliser_SourceData.Fertiliser_Products_Data3(), FertiliserProducts[[#Headers],[Company]],61)</f>
        <v/>
      </c>
      <c r="S152" s="215" t="str" cm="1">
        <f t="array" ref="S152">Common_InputFunctions.Utility_DisplayArrayInTable(Fertiliser_SourceData.Fertiliser_Products_Data3(), FertiliserProducts[[#Headers],[Company]],61)</f>
        <v/>
      </c>
      <c r="T152" s="215" t="str" cm="1">
        <f t="array" ref="T152">Common_InputFunctions.Utility_DisplayArrayInTable(Fertiliser_SourceData.Fertiliser_Products_Data3(), FertiliserProducts[[#Headers],[Company]],61)</f>
        <v/>
      </c>
      <c r="U152" s="215" t="str" cm="1">
        <f t="array" ref="U152">Common_InputFunctions.Utility_DisplayArrayInTable(Fertiliser_SourceData.Fertiliser_Products_Data3(), FertiliserProducts[[#Headers],[Company]],61)</f>
        <v/>
      </c>
      <c r="V152" s="215" t="str" cm="1">
        <f t="array" ref="V152">Common_InputFunctions.Utility_DisplayArrayInTable(Fertiliser_SourceData.Fertiliser_Products_Data3(), FertiliserProducts[[#Headers],[Company]],61)</f>
        <v/>
      </c>
      <c r="W152" s="215" t="str" cm="1">
        <f t="array" ref="W152">Common_InputFunctions.Utility_DisplayArrayInTable(Fertiliser_SourceData.Fertiliser_Products_Data3(), FertiliserProducts[[#Headers],[Company]],61)</f>
        <v/>
      </c>
      <c r="X152" s="215" t="str" cm="1">
        <f t="array" ref="X152">Common_InputFunctions.Utility_DisplayArrayInTable(Fertiliser_SourceData.Fertiliser_Products_Data3(), FertiliserProducts[[#Headers],[Company]],61)</f>
        <v/>
      </c>
      <c r="Y152" s="215" t="str" cm="1">
        <f t="array" ref="Y152">Common_InputFunctions.Utility_DisplayArrayInTable(Fertiliser_SourceData.Fertiliser_Products_Data3(), FertiliserProducts[[#Headers],[Company]],61)</f>
        <v/>
      </c>
      <c r="Z152" s="215" t="str" cm="1">
        <f t="array" ref="Z152">Common_InputFunctions.Utility_DisplayArrayInTable(Fertiliser_SourceData.Fertiliser_Products_Data3(), FertiliserProducts[[#Headers],[Company]],61)</f>
        <v/>
      </c>
      <c r="AA152" s="215" t="str" cm="1">
        <f t="array" ref="AA152">Common_InputFunctions.Utility_DisplayArrayInTable(Fertiliser_SourceData.Fertiliser_Products_Data3(), FertiliserProducts[[#Headers],[Company]],61)</f>
        <v/>
      </c>
      <c r="AB152" s="215" t="str" cm="1">
        <f t="array" ref="AB152">Common_InputFunctions.Utility_DisplayArrayInTable(Fertiliser_SourceData.Fertiliser_Products_Data3(), FertiliserProducts[[#Headers],[Company]],61)</f>
        <v/>
      </c>
      <c r="AC152" s="215" t="str" cm="1">
        <f t="array" ref="AC152">Common_InputFunctions.Utility_DisplayArrayInTable(Fertiliser_SourceData.Fertiliser_Products_Data3(), FertiliserProducts[[#Headers],[Company]],61)</f>
        <v/>
      </c>
      <c r="AD152" s="215" t="str" cm="1">
        <f t="array" ref="AD152">Common_InputFunctions.Utility_DisplayArrayInTable(Fertiliser_SourceData.Fertiliser_Products_Data3(), FertiliserProducts[[#Headers],[Company]],61)</f>
        <v/>
      </c>
      <c r="AE152" s="215" t="str" cm="1">
        <f t="array" ref="AE152">Common_InputFunctions.Utility_DisplayArrayInTable(Fertiliser_SourceData.Fertiliser_Products_Data3(), FertiliserProducts[[#Headers],[Company]],61)</f>
        <v/>
      </c>
      <c r="AF152" s="215" t="str" cm="1">
        <f t="array" ref="AF152">Common_InputFunctions.Utility_DisplayArrayInTable(Fertiliser_SourceData.Fertiliser_Products_Data3(), FertiliserProducts[[#Headers],[Company]],61)</f>
        <v/>
      </c>
      <c r="AG152" s="215" t="str" cm="1">
        <f t="array" ref="AG152">Common_InputFunctions.Utility_DisplayArrayInTable(Fertiliser_SourceData.Fertiliser_Products_Data3(), FertiliserProducts[[#Headers],[Company]],61)</f>
        <v/>
      </c>
      <c r="AH152" s="215" t="str" cm="1">
        <f t="array" ref="AH152">Common_InputFunctions.Utility_DisplayArrayInTable(Fertiliser_SourceData.Fertiliser_Products_Data3(), FertiliserProducts[[#Headers],[Company]],61)</f>
        <v/>
      </c>
    </row>
    <row r="153" spans="1:34" ht="20.100000000000001" customHeight="1" x14ac:dyDescent="0.25">
      <c r="A153"/>
      <c r="D153" s="215" t="str" cm="1">
        <f t="array" ref="D153">Common_InputFunctions.Utility_DisplayArrayInTable(Fertiliser_SourceData.Fertiliser_Products_Data3(), FertiliserProducts[[#Headers],[Company]],61)</f>
        <v>Campbells fertilisers Australia</v>
      </c>
      <c r="E153" s="215" t="str" cm="1">
        <f t="array" ref="E153">Common_InputFunctions.Utility_DisplayArrayInTable(Fertiliser_SourceData.Fertiliser_Products_Data3(), FertiliserProducts[[#Headers],[Company]],61)</f>
        <v>Solu-Sam</v>
      </c>
      <c r="F153" s="215" t="str" cm="1">
        <f t="array" ref="F153">Common_InputFunctions.Utility_DisplayArrayInTable(Fertiliser_SourceData.Fertiliser_Products_Data3(), FertiliserProducts[[#Headers],[Company]],61)</f>
        <v>kg</v>
      </c>
      <c r="G153" s="215" cm="1">
        <f t="array" ref="G153">Common_InputFunctions.Utility_DisplayArrayInTable(Fertiliser_SourceData.Fertiliser_Products_Data3(), FertiliserProducts[[#Headers],[Company]],61)</f>
        <v>1</v>
      </c>
      <c r="H153" s="215" t="str" cm="1">
        <f t="array" ref="H153">Common_InputFunctions.Utility_DisplayArrayInTable(Fertiliser_SourceData.Fertiliser_Products_Data3(), FertiliserProducts[[#Headers],[Company]],61)</f>
        <v/>
      </c>
      <c r="I153" s="215" t="str" cm="1">
        <f t="array" ref="I153">Common_InputFunctions.Utility_DisplayArrayInTable(Fertiliser_SourceData.Fertiliser_Products_Data3(), FertiliserProducts[[#Headers],[Company]],61)</f>
        <v/>
      </c>
      <c r="J153" s="215" t="str" cm="1">
        <f t="array" ref="J153">Common_InputFunctions.Utility_DisplayArrayInTable(Fertiliser_SourceData.Fertiliser_Products_Data3(), FertiliserProducts[[#Headers],[Company]],61)</f>
        <v/>
      </c>
      <c r="K153" s="215" cm="1">
        <f t="array" ref="K153">Common_InputFunctions.Utility_DisplayArrayInTable(Fertiliser_SourceData.Fertiliser_Products_Data3(), FertiliserProducts[[#Headers],[Company]],61)</f>
        <v>21</v>
      </c>
      <c r="L153" s="215" t="str" cm="1">
        <f t="array" ref="L153">Common_InputFunctions.Utility_DisplayArrayInTable(Fertiliser_SourceData.Fertiliser_Products_Data3(), FertiliserProducts[[#Headers],[Company]],61)</f>
        <v/>
      </c>
      <c r="M153" s="215" t="str" cm="1">
        <f t="array" ref="M153">Common_InputFunctions.Utility_DisplayArrayInTable(Fertiliser_SourceData.Fertiliser_Products_Data3(), FertiliserProducts[[#Headers],[Company]],61)</f>
        <v/>
      </c>
      <c r="N153" s="215" cm="1">
        <f t="array" ref="N153">Common_InputFunctions.Utility_DisplayArrayInTable(Fertiliser_SourceData.Fertiliser_Products_Data3(), FertiliserProducts[[#Headers],[Company]],61)</f>
        <v>24</v>
      </c>
      <c r="O153" s="215" t="str" cm="1">
        <f t="array" ref="O153">Common_InputFunctions.Utility_DisplayArrayInTable(Fertiliser_SourceData.Fertiliser_Products_Data3(), FertiliserProducts[[#Headers],[Company]],61)</f>
        <v>Sulphate of ammonia (SOA)</v>
      </c>
      <c r="P153" s="215" cm="1">
        <f t="array" ref="P153">Common_InputFunctions.Utility_DisplayArrayInTable(Fertiliser_SourceData.Fertiliser_Products_Data3(), FertiliserProducts[[#Headers],[Company]],61)</f>
        <v>1</v>
      </c>
      <c r="Q153" s="215" t="str" cm="1">
        <f t="array" ref="Q153">Common_InputFunctions.Utility_DisplayArrayInTable(Fertiliser_SourceData.Fertiliser_Products_Data3(), FertiliserProducts[[#Headers],[Company]],61)</f>
        <v/>
      </c>
      <c r="R153" s="215" t="str" cm="1">
        <f t="array" ref="R153">Common_InputFunctions.Utility_DisplayArrayInTable(Fertiliser_SourceData.Fertiliser_Products_Data3(), FertiliserProducts[[#Headers],[Company]],61)</f>
        <v/>
      </c>
      <c r="S153" s="215" t="str" cm="1">
        <f t="array" ref="S153">Common_InputFunctions.Utility_DisplayArrayInTable(Fertiliser_SourceData.Fertiliser_Products_Data3(), FertiliserProducts[[#Headers],[Company]],61)</f>
        <v/>
      </c>
      <c r="T153" s="215" t="str" cm="1">
        <f t="array" ref="T153">Common_InputFunctions.Utility_DisplayArrayInTable(Fertiliser_SourceData.Fertiliser_Products_Data3(), FertiliserProducts[[#Headers],[Company]],61)</f>
        <v/>
      </c>
      <c r="U153" s="215" t="str" cm="1">
        <f t="array" ref="U153">Common_InputFunctions.Utility_DisplayArrayInTable(Fertiliser_SourceData.Fertiliser_Products_Data3(), FertiliserProducts[[#Headers],[Company]],61)</f>
        <v/>
      </c>
      <c r="V153" s="215" t="str" cm="1">
        <f t="array" ref="V153">Common_InputFunctions.Utility_DisplayArrayInTable(Fertiliser_SourceData.Fertiliser_Products_Data3(), FertiliserProducts[[#Headers],[Company]],61)</f>
        <v/>
      </c>
      <c r="W153" s="215" t="str" cm="1">
        <f t="array" ref="W153">Common_InputFunctions.Utility_DisplayArrayInTable(Fertiliser_SourceData.Fertiliser_Products_Data3(), FertiliserProducts[[#Headers],[Company]],61)</f>
        <v/>
      </c>
      <c r="X153" s="215" t="str" cm="1">
        <f t="array" ref="X153">Common_InputFunctions.Utility_DisplayArrayInTable(Fertiliser_SourceData.Fertiliser_Products_Data3(), FertiliserProducts[[#Headers],[Company]],61)</f>
        <v/>
      </c>
      <c r="Y153" s="215" t="str" cm="1">
        <f t="array" ref="Y153">Common_InputFunctions.Utility_DisplayArrayInTable(Fertiliser_SourceData.Fertiliser_Products_Data3(), FertiliserProducts[[#Headers],[Company]],61)</f>
        <v/>
      </c>
      <c r="Z153" s="215" t="str" cm="1">
        <f t="array" ref="Z153">Common_InputFunctions.Utility_DisplayArrayInTable(Fertiliser_SourceData.Fertiliser_Products_Data3(), FertiliserProducts[[#Headers],[Company]],61)</f>
        <v/>
      </c>
      <c r="AA153" s="215" t="str" cm="1">
        <f t="array" ref="AA153">Common_InputFunctions.Utility_DisplayArrayInTable(Fertiliser_SourceData.Fertiliser_Products_Data3(), FertiliserProducts[[#Headers],[Company]],61)</f>
        <v/>
      </c>
      <c r="AB153" s="215" t="str" cm="1">
        <f t="array" ref="AB153">Common_InputFunctions.Utility_DisplayArrayInTable(Fertiliser_SourceData.Fertiliser_Products_Data3(), FertiliserProducts[[#Headers],[Company]],61)</f>
        <v/>
      </c>
      <c r="AC153" s="215" t="str" cm="1">
        <f t="array" ref="AC153">Common_InputFunctions.Utility_DisplayArrayInTable(Fertiliser_SourceData.Fertiliser_Products_Data3(), FertiliserProducts[[#Headers],[Company]],61)</f>
        <v/>
      </c>
      <c r="AD153" s="215" t="str" cm="1">
        <f t="array" ref="AD153">Common_InputFunctions.Utility_DisplayArrayInTable(Fertiliser_SourceData.Fertiliser_Products_Data3(), FertiliserProducts[[#Headers],[Company]],61)</f>
        <v/>
      </c>
      <c r="AE153" s="215" t="str" cm="1">
        <f t="array" ref="AE153">Common_InputFunctions.Utility_DisplayArrayInTable(Fertiliser_SourceData.Fertiliser_Products_Data3(), FertiliserProducts[[#Headers],[Company]],61)</f>
        <v/>
      </c>
      <c r="AF153" s="215" t="str" cm="1">
        <f t="array" ref="AF153">Common_InputFunctions.Utility_DisplayArrayInTable(Fertiliser_SourceData.Fertiliser_Products_Data3(), FertiliserProducts[[#Headers],[Company]],61)</f>
        <v/>
      </c>
      <c r="AG153" s="215" t="str" cm="1">
        <f t="array" ref="AG153">Common_InputFunctions.Utility_DisplayArrayInTable(Fertiliser_SourceData.Fertiliser_Products_Data3(), FertiliserProducts[[#Headers],[Company]],61)</f>
        <v/>
      </c>
      <c r="AH153" s="215" t="str" cm="1">
        <f t="array" ref="AH153">Common_InputFunctions.Utility_DisplayArrayInTable(Fertiliser_SourceData.Fertiliser_Products_Data3(), FertiliserProducts[[#Headers],[Company]],61)</f>
        <v/>
      </c>
    </row>
    <row r="154" spans="1:34" ht="20.100000000000001" customHeight="1" x14ac:dyDescent="0.25">
      <c r="A154"/>
      <c r="D154" s="215" t="str" cm="1">
        <f t="array" ref="D154">Common_InputFunctions.Utility_DisplayArrayInTable(Fertiliser_SourceData.Fertiliser_Products_Data3(), FertiliserProducts[[#Headers],[Company]],61)</f>
        <v>Campbells fertilisers Australia</v>
      </c>
      <c r="E154" s="215" t="str" cm="1">
        <f t="array" ref="E154">Common_InputFunctions.Utility_DisplayArrayInTable(Fertiliser_SourceData.Fertiliser_Products_Data3(), FertiliserProducts[[#Headers],[Company]],61)</f>
        <v>Rustica Plus</v>
      </c>
      <c r="F154" s="215" t="str" cm="1">
        <f t="array" ref="F154">Common_InputFunctions.Utility_DisplayArrayInTable(Fertiliser_SourceData.Fertiliser_Products_Data3(), FertiliserProducts[[#Headers],[Company]],61)</f>
        <v>kg</v>
      </c>
      <c r="G154" s="215" cm="1">
        <f t="array" ref="G154">Common_InputFunctions.Utility_DisplayArrayInTable(Fertiliser_SourceData.Fertiliser_Products_Data3(), FertiliserProducts[[#Headers],[Company]],61)</f>
        <v>1</v>
      </c>
      <c r="H154" s="215" t="str" cm="1">
        <f t="array" ref="H154">Common_InputFunctions.Utility_DisplayArrayInTable(Fertiliser_SourceData.Fertiliser_Products_Data3(), FertiliserProducts[[#Headers],[Company]],61)</f>
        <v/>
      </c>
      <c r="I154" s="215" t="str" cm="1">
        <f t="array" ref="I154">Common_InputFunctions.Utility_DisplayArrayInTable(Fertiliser_SourceData.Fertiliser_Products_Data3(), FertiliserProducts[[#Headers],[Company]],61)</f>
        <v/>
      </c>
      <c r="J154" s="215" t="str" cm="1">
        <f t="array" ref="J154">Common_InputFunctions.Utility_DisplayArrayInTable(Fertiliser_SourceData.Fertiliser_Products_Data3(), FertiliserProducts[[#Headers],[Company]],61)</f>
        <v/>
      </c>
      <c r="K154" s="215" cm="1">
        <f t="array" ref="K154">Common_InputFunctions.Utility_DisplayArrayInTable(Fertiliser_SourceData.Fertiliser_Products_Data3(), FertiliserProducts[[#Headers],[Company]],61)</f>
        <v>12</v>
      </c>
      <c r="L154" s="215" cm="1">
        <f t="array" ref="L154">Common_InputFunctions.Utility_DisplayArrayInTable(Fertiliser_SourceData.Fertiliser_Products_Data3(), FertiliserProducts[[#Headers],[Company]],61)</f>
        <v>5</v>
      </c>
      <c r="M154" s="215" cm="1">
        <f t="array" ref="M154">Common_InputFunctions.Utility_DisplayArrayInTable(Fertiliser_SourceData.Fertiliser_Products_Data3(), FertiliserProducts[[#Headers],[Company]],61)</f>
        <v>14</v>
      </c>
      <c r="N154" s="215" cm="1">
        <f t="array" ref="N154">Common_InputFunctions.Utility_DisplayArrayInTable(Fertiliser_SourceData.Fertiliser_Products_Data3(), FertiliserProducts[[#Headers],[Company]],61)</f>
        <v>9.6999999999999993</v>
      </c>
      <c r="O154" s="215" t="str" cm="1">
        <f t="array" ref="O154">Common_InputFunctions.Utility_DisplayArrayInTable(Fertiliser_SourceData.Fertiliser_Products_Data3(), FertiliserProducts[[#Headers],[Company]],61)</f>
        <v>Potassium - Generic</v>
      </c>
      <c r="P154" s="215" cm="1">
        <f t="array" ref="P154">Common_InputFunctions.Utility_DisplayArrayInTable(Fertiliser_SourceData.Fertiliser_Products_Data3(), FertiliserProducts[[#Headers],[Company]],61)</f>
        <v>0.14000000000000001</v>
      </c>
      <c r="Q154" s="215" t="str" cm="1">
        <f t="array" ref="Q154">Common_InputFunctions.Utility_DisplayArrayInTable(Fertiliser_SourceData.Fertiliser_Products_Data3(), FertiliserProducts[[#Headers],[Company]],61)</f>
        <v>Sulfur - Generic</v>
      </c>
      <c r="R154" s="215" cm="1">
        <f t="array" ref="R154">Common_InputFunctions.Utility_DisplayArrayInTable(Fertiliser_SourceData.Fertiliser_Products_Data3(), FertiliserProducts[[#Headers],[Company]],61)</f>
        <v>9.7000000000000003E-2</v>
      </c>
      <c r="S154" s="215" t="str" cm="1">
        <f t="array" ref="S154">Common_InputFunctions.Utility_DisplayArrayInTable(Fertiliser_SourceData.Fertiliser_Products_Data3(), FertiliserProducts[[#Headers],[Company]],61)</f>
        <v>Nitrogen - Nitrate</v>
      </c>
      <c r="T154" s="215" cm="1">
        <f t="array" ref="T154">Common_InputFunctions.Utility_DisplayArrayInTable(Fertiliser_SourceData.Fertiliser_Products_Data3(), FertiliserProducts[[#Headers],[Company]],61)</f>
        <v>0.06</v>
      </c>
      <c r="U154" s="215" t="str" cm="1">
        <f t="array" ref="U154">Common_InputFunctions.Utility_DisplayArrayInTable(Fertiliser_SourceData.Fertiliser_Products_Data3(), FertiliserProducts[[#Headers],[Company]],61)</f>
        <v>Nitrogen - Ammoniacal</v>
      </c>
      <c r="V154" s="215" cm="1">
        <f t="array" ref="V154">Common_InputFunctions.Utility_DisplayArrayInTable(Fertiliser_SourceData.Fertiliser_Products_Data3(), FertiliserProducts[[#Headers],[Company]],61)</f>
        <v>0.06</v>
      </c>
      <c r="W154" s="215" t="str" cm="1">
        <f t="array" ref="W154">Common_InputFunctions.Utility_DisplayArrayInTable(Fertiliser_SourceData.Fertiliser_Products_Data3(), FertiliserProducts[[#Headers],[Company]],61)</f>
        <v>Phosphorus - Generic</v>
      </c>
      <c r="X154" s="215" cm="1">
        <f t="array" ref="X154">Common_InputFunctions.Utility_DisplayArrayInTable(Fertiliser_SourceData.Fertiliser_Products_Data3(), FertiliserProducts[[#Headers],[Company]],61)</f>
        <v>0.05</v>
      </c>
      <c r="Y154" s="215" t="str" cm="1">
        <f t="array" ref="Y154">Common_InputFunctions.Utility_DisplayArrayInTable(Fertiliser_SourceData.Fertiliser_Products_Data3(), FertiliserProducts[[#Headers],[Company]],61)</f>
        <v>Calcium</v>
      </c>
      <c r="Z154" s="215" cm="1">
        <f t="array" ref="Z154">Common_InputFunctions.Utility_DisplayArrayInTable(Fertiliser_SourceData.Fertiliser_Products_Data3(), FertiliserProducts[[#Headers],[Company]],61)</f>
        <v>3.1E-2</v>
      </c>
      <c r="AA154" s="215" t="str" cm="1">
        <f t="array" ref="AA154">Common_InputFunctions.Utility_DisplayArrayInTable(Fertiliser_SourceData.Fertiliser_Products_Data3(), FertiliserProducts[[#Headers],[Company]],61)</f>
        <v>Magnesium</v>
      </c>
      <c r="AB154" s="215" cm="1">
        <f t="array" ref="AB154">Common_InputFunctions.Utility_DisplayArrayInTable(Fertiliser_SourceData.Fertiliser_Products_Data3(), FertiliserProducts[[#Headers],[Company]],61)</f>
        <v>1.2E-2</v>
      </c>
      <c r="AC154" s="215" t="str" cm="1">
        <f t="array" ref="AC154">Common_InputFunctions.Utility_DisplayArrayInTable(Fertiliser_SourceData.Fertiliser_Products_Data3(), FertiliserProducts[[#Headers],[Company]],61)</f>
        <v>Zinc</v>
      </c>
      <c r="AD154" s="215" cm="1">
        <f t="array" ref="AD154">Common_InputFunctions.Utility_DisplayArrayInTable(Fertiliser_SourceData.Fertiliser_Products_Data3(), FertiliserProducts[[#Headers],[Company]],61)</f>
        <v>1E-3</v>
      </c>
      <c r="AE154" s="215" t="str" cm="1">
        <f t="array" ref="AE154">Common_InputFunctions.Utility_DisplayArrayInTable(Fertiliser_SourceData.Fertiliser_Products_Data3(), FertiliserProducts[[#Headers],[Company]],61)</f>
        <v>Boron</v>
      </c>
      <c r="AF154" s="215" cm="1">
        <f t="array" ref="AF154">Common_InputFunctions.Utility_DisplayArrayInTable(Fertiliser_SourceData.Fertiliser_Products_Data3(), FertiliserProducts[[#Headers],[Company]],61)</f>
        <v>2.0000000000000001E-4</v>
      </c>
      <c r="AG154" s="215" t="str" cm="1">
        <f t="array" ref="AG154">Common_InputFunctions.Utility_DisplayArrayInTable(Fertiliser_SourceData.Fertiliser_Products_Data3(), FertiliserProducts[[#Headers],[Company]],61)</f>
        <v/>
      </c>
      <c r="AH154" s="215" t="str" cm="1">
        <f t="array" ref="AH154">Common_InputFunctions.Utility_DisplayArrayInTable(Fertiliser_SourceData.Fertiliser_Products_Data3(), FertiliserProducts[[#Headers],[Company]],61)</f>
        <v/>
      </c>
    </row>
    <row r="155" spans="1:34" ht="20.100000000000001" customHeight="1" x14ac:dyDescent="0.25">
      <c r="A155"/>
      <c r="D155" s="215" t="str" cm="1">
        <f t="array" ref="D155">Common_InputFunctions.Utility_DisplayArrayInTable(Fertiliser_SourceData.Fertiliser_Products_Data3(), FertiliserProducts[[#Headers],[Company]],61)</f>
        <v>Campbells fertilisers Australia</v>
      </c>
      <c r="E155" s="215" t="str" cm="1">
        <f t="array" ref="E155">Common_InputFunctions.Utility_DisplayArrayInTable(Fertiliser_SourceData.Fertiliser_Products_Data3(), FertiliserProducts[[#Headers],[Company]],61)</f>
        <v>Platinum Plus</v>
      </c>
      <c r="F155" s="215" t="str" cm="1">
        <f t="array" ref="F155">Common_InputFunctions.Utility_DisplayArrayInTable(Fertiliser_SourceData.Fertiliser_Products_Data3(), FertiliserProducts[[#Headers],[Company]],61)</f>
        <v>kg</v>
      </c>
      <c r="G155" s="215" cm="1">
        <f t="array" ref="G155">Common_InputFunctions.Utility_DisplayArrayInTable(Fertiliser_SourceData.Fertiliser_Products_Data3(), FertiliserProducts[[#Headers],[Company]],61)</f>
        <v>1</v>
      </c>
      <c r="H155" s="215" t="str" cm="1">
        <f t="array" ref="H155">Common_InputFunctions.Utility_DisplayArrayInTable(Fertiliser_SourceData.Fertiliser_Products_Data3(), FertiliserProducts[[#Headers],[Company]],61)</f>
        <v/>
      </c>
      <c r="I155" s="215" t="str" cm="1">
        <f t="array" ref="I155">Common_InputFunctions.Utility_DisplayArrayInTable(Fertiliser_SourceData.Fertiliser_Products_Data3(), FertiliserProducts[[#Headers],[Company]],61)</f>
        <v/>
      </c>
      <c r="J155" s="215" t="str" cm="1">
        <f t="array" ref="J155">Common_InputFunctions.Utility_DisplayArrayInTable(Fertiliser_SourceData.Fertiliser_Products_Data3(), FertiliserProducts[[#Headers],[Company]],61)</f>
        <v/>
      </c>
      <c r="K155" s="215" cm="1">
        <f t="array" ref="K155">Common_InputFunctions.Utility_DisplayArrayInTable(Fertiliser_SourceData.Fertiliser_Products_Data3(), FertiliserProducts[[#Headers],[Company]],61)</f>
        <v>10</v>
      </c>
      <c r="L155" s="215" cm="1">
        <f t="array" ref="L155">Common_InputFunctions.Utility_DisplayArrayInTable(Fertiliser_SourceData.Fertiliser_Products_Data3(), FertiliserProducts[[#Headers],[Company]],61)</f>
        <v>11</v>
      </c>
      <c r="M155" s="215" cm="1">
        <f t="array" ref="M155">Common_InputFunctions.Utility_DisplayArrayInTable(Fertiliser_SourceData.Fertiliser_Products_Data3(), FertiliserProducts[[#Headers],[Company]],61)</f>
        <v>10</v>
      </c>
      <c r="N155" s="215" cm="1">
        <f t="array" ref="N155">Common_InputFunctions.Utility_DisplayArrayInTable(Fertiliser_SourceData.Fertiliser_Products_Data3(), FertiliserProducts[[#Headers],[Company]],61)</f>
        <v>6</v>
      </c>
      <c r="O155" s="215" t="str" cm="1">
        <f t="array" ref="O155">Common_InputFunctions.Utility_DisplayArrayInTable(Fertiliser_SourceData.Fertiliser_Products_Data3(), FertiliserProducts[[#Headers],[Company]],61)</f>
        <v>Phosphorus - Generic</v>
      </c>
      <c r="P155" s="215" cm="1">
        <f t="array" ref="P155">Common_InputFunctions.Utility_DisplayArrayInTable(Fertiliser_SourceData.Fertiliser_Products_Data3(), FertiliserProducts[[#Headers],[Company]],61)</f>
        <v>0.11</v>
      </c>
      <c r="Q155" s="215" t="str" cm="1">
        <f t="array" ref="Q155">Common_InputFunctions.Utility_DisplayArrayInTable(Fertiliser_SourceData.Fertiliser_Products_Data3(), FertiliserProducts[[#Headers],[Company]],61)</f>
        <v>Potassium - Generic</v>
      </c>
      <c r="R155" s="215" cm="1">
        <f t="array" ref="R155">Common_InputFunctions.Utility_DisplayArrayInTable(Fertiliser_SourceData.Fertiliser_Products_Data3(), FertiliserProducts[[#Headers],[Company]],61)</f>
        <v>0.1</v>
      </c>
      <c r="S155" s="215" t="str" cm="1">
        <f t="array" ref="S155">Common_InputFunctions.Utility_DisplayArrayInTable(Fertiliser_SourceData.Fertiliser_Products_Data3(), FertiliserProducts[[#Headers],[Company]],61)</f>
        <v>Sulfur - Generic</v>
      </c>
      <c r="T155" s="215" cm="1">
        <f t="array" ref="T155">Common_InputFunctions.Utility_DisplayArrayInTable(Fertiliser_SourceData.Fertiliser_Products_Data3(), FertiliserProducts[[#Headers],[Company]],61)</f>
        <v>0.06</v>
      </c>
      <c r="U155" s="215" t="str" cm="1">
        <f t="array" ref="U155">Common_InputFunctions.Utility_DisplayArrayInTable(Fertiliser_SourceData.Fertiliser_Products_Data3(), FertiliserProducts[[#Headers],[Company]],61)</f>
        <v>Nitrogen - Nitrate</v>
      </c>
      <c r="V155" s="215" cm="1">
        <f t="array" ref="V155">Common_InputFunctions.Utility_DisplayArrayInTable(Fertiliser_SourceData.Fertiliser_Products_Data3(), FertiliserProducts[[#Headers],[Company]],61)</f>
        <v>0.05</v>
      </c>
      <c r="W155" s="215" t="str" cm="1">
        <f t="array" ref="W155">Common_InputFunctions.Utility_DisplayArrayInTable(Fertiliser_SourceData.Fertiliser_Products_Data3(), FertiliserProducts[[#Headers],[Company]],61)</f>
        <v>Nitrogen - Ammoniacal</v>
      </c>
      <c r="X155" s="215" cm="1">
        <f t="array" ref="X155">Common_InputFunctions.Utility_DisplayArrayInTable(Fertiliser_SourceData.Fertiliser_Products_Data3(), FertiliserProducts[[#Headers],[Company]],61)</f>
        <v>0.05</v>
      </c>
      <c r="Y155" s="215" t="str" cm="1">
        <f t="array" ref="Y155">Common_InputFunctions.Utility_DisplayArrayInTable(Fertiliser_SourceData.Fertiliser_Products_Data3(), FertiliserProducts[[#Headers],[Company]],61)</f>
        <v>Calcium</v>
      </c>
      <c r="Z155" s="215" cm="1">
        <f t="array" ref="Z155">Common_InputFunctions.Utility_DisplayArrayInTable(Fertiliser_SourceData.Fertiliser_Products_Data3(), FertiliserProducts[[#Headers],[Company]],61)</f>
        <v>4.2999999999999997E-2</v>
      </c>
      <c r="AA155" s="215" t="str" cm="1">
        <f t="array" ref="AA155">Common_InputFunctions.Utility_DisplayArrayInTable(Fertiliser_SourceData.Fertiliser_Products_Data3(), FertiliserProducts[[#Headers],[Company]],61)</f>
        <v>Magnesium</v>
      </c>
      <c r="AB155" s="215" cm="1">
        <f t="array" ref="AB155">Common_InputFunctions.Utility_DisplayArrayInTable(Fertiliser_SourceData.Fertiliser_Products_Data3(), FertiliserProducts[[#Headers],[Company]],61)</f>
        <v>1.2E-2</v>
      </c>
      <c r="AC155" s="215" t="str" cm="1">
        <f t="array" ref="AC155">Common_InputFunctions.Utility_DisplayArrayInTable(Fertiliser_SourceData.Fertiliser_Products_Data3(), FertiliserProducts[[#Headers],[Company]],61)</f>
        <v>Zinc</v>
      </c>
      <c r="AD155" s="215" cm="1">
        <f t="array" ref="AD155">Common_InputFunctions.Utility_DisplayArrayInTable(Fertiliser_SourceData.Fertiliser_Products_Data3(), FertiliserProducts[[#Headers],[Company]],61)</f>
        <v>3.5999999999999999E-3</v>
      </c>
      <c r="AE155" s="215" t="str" cm="1">
        <f t="array" ref="AE155">Common_InputFunctions.Utility_DisplayArrayInTable(Fertiliser_SourceData.Fertiliser_Products_Data3(), FertiliserProducts[[#Headers],[Company]],61)</f>
        <v>Boron</v>
      </c>
      <c r="AF155" s="215" cm="1">
        <f t="array" ref="AF155">Common_InputFunctions.Utility_DisplayArrayInTable(Fertiliser_SourceData.Fertiliser_Products_Data3(), FertiliserProducts[[#Headers],[Company]],61)</f>
        <v>1E-3</v>
      </c>
      <c r="AG155" s="215" t="str" cm="1">
        <f t="array" ref="AG155">Common_InputFunctions.Utility_DisplayArrayInTable(Fertiliser_SourceData.Fertiliser_Products_Data3(), FertiliserProducts[[#Headers],[Company]],61)</f>
        <v/>
      </c>
      <c r="AH155" s="215" t="str" cm="1">
        <f t="array" ref="AH155">Common_InputFunctions.Utility_DisplayArrayInTable(Fertiliser_SourceData.Fertiliser_Products_Data3(), FertiliserProducts[[#Headers],[Company]],61)</f>
        <v/>
      </c>
    </row>
    <row r="156" spans="1:34" ht="20.100000000000001" customHeight="1" x14ac:dyDescent="0.25">
      <c r="A156"/>
      <c r="D156" s="215" t="str" cm="1">
        <f t="array" ref="D156">Common_InputFunctions.Utility_DisplayArrayInTable(Fertiliser_SourceData.Fertiliser_Products_Data3(), FertiliserProducts[[#Headers],[Company]],61)</f>
        <v>Campbells fertilisers Australia</v>
      </c>
      <c r="E156" s="215" t="str" cm="1">
        <f t="array" ref="E156">Common_InputFunctions.Utility_DisplayArrayInTable(Fertiliser_SourceData.Fertiliser_Products_Data3(), FertiliserProducts[[#Headers],[Company]],61)</f>
        <v>Tropika</v>
      </c>
      <c r="F156" s="215" t="str" cm="1">
        <f t="array" ref="F156">Common_InputFunctions.Utility_DisplayArrayInTable(Fertiliser_SourceData.Fertiliser_Products_Data3(), FertiliserProducts[[#Headers],[Company]],61)</f>
        <v>kg</v>
      </c>
      <c r="G156" s="215" cm="1">
        <f t="array" ref="G156">Common_InputFunctions.Utility_DisplayArrayInTable(Fertiliser_SourceData.Fertiliser_Products_Data3(), FertiliserProducts[[#Headers],[Company]],61)</f>
        <v>1</v>
      </c>
      <c r="H156" s="215" t="str" cm="1">
        <f t="array" ref="H156">Common_InputFunctions.Utility_DisplayArrayInTable(Fertiliser_SourceData.Fertiliser_Products_Data3(), FertiliserProducts[[#Headers],[Company]],61)</f>
        <v/>
      </c>
      <c r="I156" s="215" t="str" cm="1">
        <f t="array" ref="I156">Common_InputFunctions.Utility_DisplayArrayInTable(Fertiliser_SourceData.Fertiliser_Products_Data3(), FertiliserProducts[[#Headers],[Company]],61)</f>
        <v/>
      </c>
      <c r="J156" s="215" t="str" cm="1">
        <f t="array" ref="J156">Common_InputFunctions.Utility_DisplayArrayInTable(Fertiliser_SourceData.Fertiliser_Products_Data3(), FertiliserProducts[[#Headers],[Company]],61)</f>
        <v/>
      </c>
      <c r="K156" s="215" cm="1">
        <f t="array" ref="K156">Common_InputFunctions.Utility_DisplayArrayInTable(Fertiliser_SourceData.Fertiliser_Products_Data3(), FertiliserProducts[[#Headers],[Company]],61)</f>
        <v>11</v>
      </c>
      <c r="L156" s="215" cm="1">
        <f t="array" ref="L156">Common_InputFunctions.Utility_DisplayArrayInTable(Fertiliser_SourceData.Fertiliser_Products_Data3(), FertiliserProducts[[#Headers],[Company]],61)</f>
        <v>2.6</v>
      </c>
      <c r="M156" s="215" cm="1">
        <f t="array" ref="M156">Common_InputFunctions.Utility_DisplayArrayInTable(Fertiliser_SourceData.Fertiliser_Products_Data3(), FertiliserProducts[[#Headers],[Company]],61)</f>
        <v>20.8</v>
      </c>
      <c r="N156" s="215" cm="1">
        <f t="array" ref="N156">Common_InputFunctions.Utility_DisplayArrayInTable(Fertiliser_SourceData.Fertiliser_Products_Data3(), FertiliserProducts[[#Headers],[Company]],61)</f>
        <v>4</v>
      </c>
      <c r="O156" s="215" t="str" cm="1">
        <f t="array" ref="O156">Common_InputFunctions.Utility_DisplayArrayInTable(Fertiliser_SourceData.Fertiliser_Products_Data3(), FertiliserProducts[[#Headers],[Company]],61)</f>
        <v>Nitrogen - Nitrate</v>
      </c>
      <c r="P156" s="215" cm="1">
        <f t="array" ref="P156">Common_InputFunctions.Utility_DisplayArrayInTable(Fertiliser_SourceData.Fertiliser_Products_Data3(), FertiliserProducts[[#Headers],[Company]],61)</f>
        <v>5.5E-2</v>
      </c>
      <c r="Q156" s="215" t="str" cm="1">
        <f t="array" ref="Q156">Common_InputFunctions.Utility_DisplayArrayInTable(Fertiliser_SourceData.Fertiliser_Products_Data3(), FertiliserProducts[[#Headers],[Company]],61)</f>
        <v>Nitrogen - Ammoniacal</v>
      </c>
      <c r="R156" s="215" cm="1">
        <f t="array" ref="R156">Common_InputFunctions.Utility_DisplayArrayInTable(Fertiliser_SourceData.Fertiliser_Products_Data3(), FertiliserProducts[[#Headers],[Company]],61)</f>
        <v>5.5E-2</v>
      </c>
      <c r="S156" s="215" t="str" cm="1">
        <f t="array" ref="S156">Common_InputFunctions.Utility_DisplayArrayInTable(Fertiliser_SourceData.Fertiliser_Products_Data3(), FertiliserProducts[[#Headers],[Company]],61)</f>
        <v>Phosphorus - Generic</v>
      </c>
      <c r="T156" s="215" cm="1">
        <f t="array" ref="T156">Common_InputFunctions.Utility_DisplayArrayInTable(Fertiliser_SourceData.Fertiliser_Products_Data3(), FertiliserProducts[[#Headers],[Company]],61)</f>
        <v>2.5999999999999999E-2</v>
      </c>
      <c r="U156" s="215" t="str" cm="1">
        <f t="array" ref="U156">Common_InputFunctions.Utility_DisplayArrayInTable(Fertiliser_SourceData.Fertiliser_Products_Data3(), FertiliserProducts[[#Headers],[Company]],61)</f>
        <v>Potassium - Generic</v>
      </c>
      <c r="V156" s="215" cm="1">
        <f t="array" ref="V156">Common_InputFunctions.Utility_DisplayArrayInTable(Fertiliser_SourceData.Fertiliser_Products_Data3(), FertiliserProducts[[#Headers],[Company]],61)</f>
        <v>0.20799999999999999</v>
      </c>
      <c r="W156" s="215" t="str" cm="1">
        <f t="array" ref="W156">Common_InputFunctions.Utility_DisplayArrayInTable(Fertiliser_SourceData.Fertiliser_Products_Data3(), FertiliserProducts[[#Headers],[Company]],61)</f>
        <v>Sulfur - Generic</v>
      </c>
      <c r="X156" s="215" cm="1">
        <f t="array" ref="X156">Common_InputFunctions.Utility_DisplayArrayInTable(Fertiliser_SourceData.Fertiliser_Products_Data3(), FertiliserProducts[[#Headers],[Company]],61)</f>
        <v>0.04</v>
      </c>
      <c r="Y156" s="215" t="str" cm="1">
        <f t="array" ref="Y156">Common_InputFunctions.Utility_DisplayArrayInTable(Fertiliser_SourceData.Fertiliser_Products_Data3(), FertiliserProducts[[#Headers],[Company]],61)</f>
        <v>Magnesium</v>
      </c>
      <c r="Z156" s="215" cm="1">
        <f t="array" ref="Z156">Common_InputFunctions.Utility_DisplayArrayInTable(Fertiliser_SourceData.Fertiliser_Products_Data3(), FertiliserProducts[[#Headers],[Company]],61)</f>
        <v>2.4E-2</v>
      </c>
      <c r="AA156" s="215" t="str" cm="1">
        <f t="array" ref="AA156">Common_InputFunctions.Utility_DisplayArrayInTable(Fertiliser_SourceData.Fertiliser_Products_Data3(), FertiliserProducts[[#Headers],[Company]],61)</f>
        <v/>
      </c>
      <c r="AB156" s="215" t="str" cm="1">
        <f t="array" ref="AB156">Common_InputFunctions.Utility_DisplayArrayInTable(Fertiliser_SourceData.Fertiliser_Products_Data3(), FertiliserProducts[[#Headers],[Company]],61)</f>
        <v/>
      </c>
      <c r="AC156" s="215" t="str" cm="1">
        <f t="array" ref="AC156">Common_InputFunctions.Utility_DisplayArrayInTable(Fertiliser_SourceData.Fertiliser_Products_Data3(), FertiliserProducts[[#Headers],[Company]],61)</f>
        <v/>
      </c>
      <c r="AD156" s="215" t="str" cm="1">
        <f t="array" ref="AD156">Common_InputFunctions.Utility_DisplayArrayInTable(Fertiliser_SourceData.Fertiliser_Products_Data3(), FertiliserProducts[[#Headers],[Company]],61)</f>
        <v/>
      </c>
      <c r="AE156" s="215" t="str" cm="1">
        <f t="array" ref="AE156">Common_InputFunctions.Utility_DisplayArrayInTable(Fertiliser_SourceData.Fertiliser_Products_Data3(), FertiliserProducts[[#Headers],[Company]],61)</f>
        <v/>
      </c>
      <c r="AF156" s="215" t="str" cm="1">
        <f t="array" ref="AF156">Common_InputFunctions.Utility_DisplayArrayInTable(Fertiliser_SourceData.Fertiliser_Products_Data3(), FertiliserProducts[[#Headers],[Company]],61)</f>
        <v/>
      </c>
      <c r="AG156" s="215" t="str" cm="1">
        <f t="array" ref="AG156">Common_InputFunctions.Utility_DisplayArrayInTable(Fertiliser_SourceData.Fertiliser_Products_Data3(), FertiliserProducts[[#Headers],[Company]],61)</f>
        <v/>
      </c>
      <c r="AH156" s="215" t="str" cm="1">
        <f t="array" ref="AH156">Common_InputFunctions.Utility_DisplayArrayInTable(Fertiliser_SourceData.Fertiliser_Products_Data3(), FertiliserProducts[[#Headers],[Company]],61)</f>
        <v/>
      </c>
    </row>
    <row r="157" spans="1:34" ht="20.100000000000001" customHeight="1" x14ac:dyDescent="0.25">
      <c r="A157"/>
      <c r="D157" s="215" t="str" cm="1">
        <f t="array" ref="D157">Common_InputFunctions.Utility_DisplayArrayInTable(Fertiliser_SourceData.Fertiliser_Products_Data3(), FertiliserProducts[[#Headers],[Company]],61)</f>
        <v>Campbells fertilisers Australia</v>
      </c>
      <c r="E157" s="215" t="str" cm="1">
        <f t="array" ref="E157">Common_InputFunctions.Utility_DisplayArrayInTable(Fertiliser_SourceData.Fertiliser_Products_Data3(), FertiliserProducts[[#Headers],[Company]],61)</f>
        <v>Rustica Nergetic</v>
      </c>
      <c r="F157" s="215" t="str" cm="1">
        <f t="array" ref="F157">Common_InputFunctions.Utility_DisplayArrayInTable(Fertiliser_SourceData.Fertiliser_Products_Data3(), FertiliserProducts[[#Headers],[Company]],61)</f>
        <v>kg</v>
      </c>
      <c r="G157" s="215" cm="1">
        <f t="array" ref="G157">Common_InputFunctions.Utility_DisplayArrayInTable(Fertiliser_SourceData.Fertiliser_Products_Data3(), FertiliserProducts[[#Headers],[Company]],61)</f>
        <v>1</v>
      </c>
      <c r="H157" s="215" t="str" cm="1">
        <f t="array" ref="H157">Common_InputFunctions.Utility_DisplayArrayInTable(Fertiliser_SourceData.Fertiliser_Products_Data3(), FertiliserProducts[[#Headers],[Company]],61)</f>
        <v/>
      </c>
      <c r="I157" s="215" t="str" cm="1">
        <f t="array" ref="I157">Common_InputFunctions.Utility_DisplayArrayInTable(Fertiliser_SourceData.Fertiliser_Products_Data3(), FertiliserProducts[[#Headers],[Company]],61)</f>
        <v/>
      </c>
      <c r="J157" s="215" t="str" cm="1">
        <f t="array" ref="J157">Common_InputFunctions.Utility_DisplayArrayInTable(Fertiliser_SourceData.Fertiliser_Products_Data3(), FertiliserProducts[[#Headers],[Company]],61)</f>
        <v/>
      </c>
      <c r="K157" s="215" cm="1">
        <f t="array" ref="K157">Common_InputFunctions.Utility_DisplayArrayInTable(Fertiliser_SourceData.Fertiliser_Products_Data3(), FertiliserProducts[[#Headers],[Company]],61)</f>
        <v>12</v>
      </c>
      <c r="L157" s="215" cm="1">
        <f t="array" ref="L157">Common_InputFunctions.Utility_DisplayArrayInTable(Fertiliser_SourceData.Fertiliser_Products_Data3(), FertiliserProducts[[#Headers],[Company]],61)</f>
        <v>5.2</v>
      </c>
      <c r="M157" s="215" cm="1">
        <f t="array" ref="M157">Common_InputFunctions.Utility_DisplayArrayInTable(Fertiliser_SourceData.Fertiliser_Products_Data3(), FertiliserProducts[[#Headers],[Company]],61)</f>
        <v>14.1</v>
      </c>
      <c r="N157" s="215" cm="1">
        <f t="array" ref="N157">Common_InputFunctions.Utility_DisplayArrayInTable(Fertiliser_SourceData.Fertiliser_Products_Data3(), FertiliserProducts[[#Headers],[Company]],61)</f>
        <v>9.6</v>
      </c>
      <c r="O157" s="215" t="str" cm="1">
        <f t="array" ref="O157">Common_InputFunctions.Utility_DisplayArrayInTable(Fertiliser_SourceData.Fertiliser_Products_Data3(), FertiliserProducts[[#Headers],[Company]],61)</f>
        <v>Potassium - Generic</v>
      </c>
      <c r="P157" s="215" cm="1">
        <f t="array" ref="P157">Common_InputFunctions.Utility_DisplayArrayInTable(Fertiliser_SourceData.Fertiliser_Products_Data3(), FertiliserProducts[[#Headers],[Company]],61)</f>
        <v>0.14099999999999999</v>
      </c>
      <c r="Q157" s="215" t="str" cm="1">
        <f t="array" ref="Q157">Common_InputFunctions.Utility_DisplayArrayInTable(Fertiliser_SourceData.Fertiliser_Products_Data3(), FertiliserProducts[[#Headers],[Company]],61)</f>
        <v>Sulfur - Generic</v>
      </c>
      <c r="R157" s="215" cm="1">
        <f t="array" ref="R157">Common_InputFunctions.Utility_DisplayArrayInTable(Fertiliser_SourceData.Fertiliser_Products_Data3(), FertiliserProducts[[#Headers],[Company]],61)</f>
        <v>9.6000000000000002E-2</v>
      </c>
      <c r="S157" s="215" t="str" cm="1">
        <f t="array" ref="S157">Common_InputFunctions.Utility_DisplayArrayInTable(Fertiliser_SourceData.Fertiliser_Products_Data3(), FertiliserProducts[[#Headers],[Company]],61)</f>
        <v>Nitrogen - Nitrate</v>
      </c>
      <c r="T157" s="215" cm="1">
        <f t="array" ref="T157">Common_InputFunctions.Utility_DisplayArrayInTable(Fertiliser_SourceData.Fertiliser_Products_Data3(), FertiliserProducts[[#Headers],[Company]],61)</f>
        <v>0.06</v>
      </c>
      <c r="U157" s="215" t="str" cm="1">
        <f t="array" ref="U157">Common_InputFunctions.Utility_DisplayArrayInTable(Fertiliser_SourceData.Fertiliser_Products_Data3(), FertiliserProducts[[#Headers],[Company]],61)</f>
        <v>Nitrogen - Ammoniacal</v>
      </c>
      <c r="V157" s="215" cm="1">
        <f t="array" ref="V157">Common_InputFunctions.Utility_DisplayArrayInTable(Fertiliser_SourceData.Fertiliser_Products_Data3(), FertiliserProducts[[#Headers],[Company]],61)</f>
        <v>0.06</v>
      </c>
      <c r="W157" s="215" t="str" cm="1">
        <f t="array" ref="W157">Common_InputFunctions.Utility_DisplayArrayInTable(Fertiliser_SourceData.Fertiliser_Products_Data3(), FertiliserProducts[[#Headers],[Company]],61)</f>
        <v>Phosphorus - Generic</v>
      </c>
      <c r="X157" s="215" cm="1">
        <f t="array" ref="X157">Common_InputFunctions.Utility_DisplayArrayInTable(Fertiliser_SourceData.Fertiliser_Products_Data3(), FertiliserProducts[[#Headers],[Company]],61)</f>
        <v>5.1999999999999998E-2</v>
      </c>
      <c r="Y157" s="215" t="str" cm="1">
        <f t="array" ref="Y157">Common_InputFunctions.Utility_DisplayArrayInTable(Fertiliser_SourceData.Fertiliser_Products_Data3(), FertiliserProducts[[#Headers],[Company]],61)</f>
        <v>Magnesium</v>
      </c>
      <c r="Z157" s="215" cm="1">
        <f t="array" ref="Z157">Common_InputFunctions.Utility_DisplayArrayInTable(Fertiliser_SourceData.Fertiliser_Products_Data3(), FertiliserProducts[[#Headers],[Company]],61)</f>
        <v>1.2E-2</v>
      </c>
      <c r="AA157" s="215" t="str" cm="1">
        <f t="array" ref="AA157">Common_InputFunctions.Utility_DisplayArrayInTable(Fertiliser_SourceData.Fertiliser_Products_Data3(), FertiliserProducts[[#Headers],[Company]],61)</f>
        <v>Zinc</v>
      </c>
      <c r="AB157" s="215" cm="1">
        <f t="array" ref="AB157">Common_InputFunctions.Utility_DisplayArrayInTable(Fertiliser_SourceData.Fertiliser_Products_Data3(), FertiliserProducts[[#Headers],[Company]],61)</f>
        <v>8.0000000000000004E-4</v>
      </c>
      <c r="AC157" s="215" t="str" cm="1">
        <f t="array" ref="AC157">Common_InputFunctions.Utility_DisplayArrayInTable(Fertiliser_SourceData.Fertiliser_Products_Data3(), FertiliserProducts[[#Headers],[Company]],61)</f>
        <v>Iron</v>
      </c>
      <c r="AD157" s="215" cm="1">
        <f t="array" ref="AD157">Common_InputFunctions.Utility_DisplayArrayInTable(Fertiliser_SourceData.Fertiliser_Products_Data3(), FertiliserProducts[[#Headers],[Company]],61)</f>
        <v>6.9999999999999999E-4</v>
      </c>
      <c r="AE157" s="215" t="str" cm="1">
        <f t="array" ref="AE157">Common_InputFunctions.Utility_DisplayArrayInTable(Fertiliser_SourceData.Fertiliser_Products_Data3(), FertiliserProducts[[#Headers],[Company]],61)</f>
        <v>Manganese</v>
      </c>
      <c r="AF157" s="215" cm="1">
        <f t="array" ref="AF157">Common_InputFunctions.Utility_DisplayArrayInTable(Fertiliser_SourceData.Fertiliser_Products_Data3(), FertiliserProducts[[#Headers],[Company]],61)</f>
        <v>5.9999999999999995E-4</v>
      </c>
      <c r="AG157" s="215" t="str" cm="1">
        <f t="array" ref="AG157">Common_InputFunctions.Utility_DisplayArrayInTable(Fertiliser_SourceData.Fertiliser_Products_Data3(), FertiliserProducts[[#Headers],[Company]],61)</f>
        <v>Boron</v>
      </c>
      <c r="AH157" s="215" cm="1">
        <f t="array" ref="AH157">Common_InputFunctions.Utility_DisplayArrayInTable(Fertiliser_SourceData.Fertiliser_Products_Data3(), FertiliserProducts[[#Headers],[Company]],61)</f>
        <v>2.0000000000000001E-4</v>
      </c>
    </row>
    <row r="158" spans="1:34" ht="20.100000000000001" customHeight="1" x14ac:dyDescent="0.25">
      <c r="A158"/>
      <c r="D158" s="215" t="str" cm="1">
        <f t="array" ref="D158">Common_InputFunctions.Utility_DisplayArrayInTable(Fertiliser_SourceData.Fertiliser_Products_Data3(), FertiliserProducts[[#Headers],[Company]],61)</f>
        <v>Campbells fertilisers Australia</v>
      </c>
      <c r="E158" s="215" t="str" cm="1">
        <f t="array" ref="E158">Common_InputFunctions.Utility_DisplayArrayInTable(Fertiliser_SourceData.Fertiliser_Products_Data3(), FertiliserProducts[[#Headers],[Company]],61)</f>
        <v>Quick-N Nergetic</v>
      </c>
      <c r="F158" s="215" t="str" cm="1">
        <f t="array" ref="F158">Common_InputFunctions.Utility_DisplayArrayInTable(Fertiliser_SourceData.Fertiliser_Products_Data3(), FertiliserProducts[[#Headers],[Company]],61)</f>
        <v>kg</v>
      </c>
      <c r="G158" s="215" cm="1">
        <f t="array" ref="G158">Common_InputFunctions.Utility_DisplayArrayInTable(Fertiliser_SourceData.Fertiliser_Products_Data3(), FertiliserProducts[[#Headers],[Company]],61)</f>
        <v>1</v>
      </c>
      <c r="H158" s="215" t="str" cm="1">
        <f t="array" ref="H158">Common_InputFunctions.Utility_DisplayArrayInTable(Fertiliser_SourceData.Fertiliser_Products_Data3(), FertiliserProducts[[#Headers],[Company]],61)</f>
        <v/>
      </c>
      <c r="I158" s="215" t="str" cm="1">
        <f t="array" ref="I158">Common_InputFunctions.Utility_DisplayArrayInTable(Fertiliser_SourceData.Fertiliser_Products_Data3(), FertiliserProducts[[#Headers],[Company]],61)</f>
        <v/>
      </c>
      <c r="J158" s="215" t="str" cm="1">
        <f t="array" ref="J158">Common_InputFunctions.Utility_DisplayArrayInTable(Fertiliser_SourceData.Fertiliser_Products_Data3(), FertiliserProducts[[#Headers],[Company]],61)</f>
        <v/>
      </c>
      <c r="K158" s="215" cm="1">
        <f t="array" ref="K158">Common_InputFunctions.Utility_DisplayArrayInTable(Fertiliser_SourceData.Fertiliser_Products_Data3(), FertiliserProducts[[#Headers],[Company]],61)</f>
        <v>25</v>
      </c>
      <c r="L158" s="215" t="str" cm="1">
        <f t="array" ref="L158">Common_InputFunctions.Utility_DisplayArrayInTable(Fertiliser_SourceData.Fertiliser_Products_Data3(), FertiliserProducts[[#Headers],[Company]],61)</f>
        <v/>
      </c>
      <c r="M158" s="215" t="str" cm="1">
        <f t="array" ref="M158">Common_InputFunctions.Utility_DisplayArrayInTable(Fertiliser_SourceData.Fertiliser_Products_Data3(), FertiliserProducts[[#Headers],[Company]],61)</f>
        <v/>
      </c>
      <c r="N158" s="215" cm="1">
        <f t="array" ref="N158">Common_InputFunctions.Utility_DisplayArrayInTable(Fertiliser_SourceData.Fertiliser_Products_Data3(), FertiliserProducts[[#Headers],[Company]],61)</f>
        <v>12.8</v>
      </c>
      <c r="O158" s="215" t="str" cm="1">
        <f t="array" ref="O158">Common_InputFunctions.Utility_DisplayArrayInTable(Fertiliser_SourceData.Fertiliser_Products_Data3(), FertiliserProducts[[#Headers],[Company]],61)</f>
        <v>Sulphate of ammonia (SOA)</v>
      </c>
      <c r="P158" s="215" cm="1">
        <f t="array" ref="P158">Common_InputFunctions.Utility_DisplayArrayInTable(Fertiliser_SourceData.Fertiliser_Products_Data3(), FertiliserProducts[[#Headers],[Company]],61)</f>
        <v>0.53333299999999995</v>
      </c>
      <c r="Q158" s="215" t="str" cm="1">
        <f t="array" ref="Q158">Common_InputFunctions.Utility_DisplayArrayInTable(Fertiliser_SourceData.Fertiliser_Products_Data3(), FertiliserProducts[[#Headers],[Company]],61)</f>
        <v>Ammonium nitrate (AN)</v>
      </c>
      <c r="R158" s="215" cm="1">
        <f t="array" ref="R158">Common_InputFunctions.Utility_DisplayArrayInTable(Fertiliser_SourceData.Fertiliser_Products_Data3(), FertiliserProducts[[#Headers],[Company]],61)</f>
        <v>0.40949600000000003</v>
      </c>
      <c r="S158" s="215" t="str" cm="1">
        <f t="array" ref="S158">Common_InputFunctions.Utility_DisplayArrayInTable(Fertiliser_SourceData.Fertiliser_Products_Data3(), FertiliserProducts[[#Headers],[Company]],61)</f>
        <v>Zinc</v>
      </c>
      <c r="T158" s="215" cm="1">
        <f t="array" ref="T158">Common_InputFunctions.Utility_DisplayArrayInTable(Fertiliser_SourceData.Fertiliser_Products_Data3(), FertiliserProducts[[#Headers],[Company]],61)</f>
        <v>1E-3</v>
      </c>
      <c r="U158" s="215" t="str" cm="1">
        <f t="array" ref="U158">Common_InputFunctions.Utility_DisplayArrayInTable(Fertiliser_SourceData.Fertiliser_Products_Data3(), FertiliserProducts[[#Headers],[Company]],61)</f>
        <v>Manganese</v>
      </c>
      <c r="V158" s="215" cm="1">
        <f t="array" ref="V158">Common_InputFunctions.Utility_DisplayArrayInTable(Fertiliser_SourceData.Fertiliser_Products_Data3(), FertiliserProducts[[#Headers],[Company]],61)</f>
        <v>1E-3</v>
      </c>
      <c r="W158" s="215" t="str" cm="1">
        <f t="array" ref="W158">Common_InputFunctions.Utility_DisplayArrayInTable(Fertiliser_SourceData.Fertiliser_Products_Data3(), FertiliserProducts[[#Headers],[Company]],61)</f>
        <v>Boron</v>
      </c>
      <c r="X158" s="215" cm="1">
        <f t="array" ref="X158">Common_InputFunctions.Utility_DisplayArrayInTable(Fertiliser_SourceData.Fertiliser_Products_Data3(), FertiliserProducts[[#Headers],[Company]],61)</f>
        <v>1E-4</v>
      </c>
      <c r="Y158" s="215" t="str" cm="1">
        <f t="array" ref="Y158">Common_InputFunctions.Utility_DisplayArrayInTable(Fertiliser_SourceData.Fertiliser_Products_Data3(), FertiliserProducts[[#Headers],[Company]],61)</f>
        <v>Molybdenum</v>
      </c>
      <c r="Z158" s="215" cm="1">
        <f t="array" ref="Z158">Common_InputFunctions.Utility_DisplayArrayInTable(Fertiliser_SourceData.Fertiliser_Products_Data3(), FertiliserProducts[[#Headers],[Company]],61)</f>
        <v>1.0000000000000001E-5</v>
      </c>
      <c r="AA158" s="215" t="str" cm="1">
        <f t="array" ref="AA158">Common_InputFunctions.Utility_DisplayArrayInTable(Fertiliser_SourceData.Fertiliser_Products_Data3(), FertiliserProducts[[#Headers],[Company]],61)</f>
        <v/>
      </c>
      <c r="AB158" s="215" t="str" cm="1">
        <f t="array" ref="AB158">Common_InputFunctions.Utility_DisplayArrayInTable(Fertiliser_SourceData.Fertiliser_Products_Data3(), FertiliserProducts[[#Headers],[Company]],61)</f>
        <v/>
      </c>
      <c r="AC158" s="215" t="str" cm="1">
        <f t="array" ref="AC158">Common_InputFunctions.Utility_DisplayArrayInTable(Fertiliser_SourceData.Fertiliser_Products_Data3(), FertiliserProducts[[#Headers],[Company]],61)</f>
        <v/>
      </c>
      <c r="AD158" s="215" t="str" cm="1">
        <f t="array" ref="AD158">Common_InputFunctions.Utility_DisplayArrayInTable(Fertiliser_SourceData.Fertiliser_Products_Data3(), FertiliserProducts[[#Headers],[Company]],61)</f>
        <v/>
      </c>
      <c r="AE158" s="215" t="str" cm="1">
        <f t="array" ref="AE158">Common_InputFunctions.Utility_DisplayArrayInTable(Fertiliser_SourceData.Fertiliser_Products_Data3(), FertiliserProducts[[#Headers],[Company]],61)</f>
        <v/>
      </c>
      <c r="AF158" s="215" t="str" cm="1">
        <f t="array" ref="AF158">Common_InputFunctions.Utility_DisplayArrayInTable(Fertiliser_SourceData.Fertiliser_Products_Data3(), FertiliserProducts[[#Headers],[Company]],61)</f>
        <v/>
      </c>
      <c r="AG158" s="215" t="str" cm="1">
        <f t="array" ref="AG158">Common_InputFunctions.Utility_DisplayArrayInTable(Fertiliser_SourceData.Fertiliser_Products_Data3(), FertiliserProducts[[#Headers],[Company]],61)</f>
        <v/>
      </c>
      <c r="AH158" s="215" t="str" cm="1">
        <f t="array" ref="AH158">Common_InputFunctions.Utility_DisplayArrayInTable(Fertiliser_SourceData.Fertiliser_Products_Data3(), FertiliserProducts[[#Headers],[Company]],61)</f>
        <v/>
      </c>
    </row>
    <row r="159" spans="1:34" ht="20.100000000000001" customHeight="1" x14ac:dyDescent="0.25">
      <c r="A159"/>
      <c r="D159" s="215" t="str" cm="1">
        <f t="array" ref="D159">Common_InputFunctions.Utility_DisplayArrayInTable(Fertiliser_SourceData.Fertiliser_Products_Data3(), FertiliserProducts[[#Headers],[Company]],61)</f>
        <v>FertPro Manufacturing Pty. Ltd.</v>
      </c>
      <c r="E159" s="215" t="str" cm="1">
        <f t="array" ref="E159">Common_InputFunctions.Utility_DisplayArrayInTable(Fertiliser_SourceData.Fertiliser_Products_Data3(), FertiliserProducts[[#Headers],[Company]],61)</f>
        <v>(SSP) Single Super Fertiliser</v>
      </c>
      <c r="F159" s="215" t="str" cm="1">
        <f t="array" ref="F159">Common_InputFunctions.Utility_DisplayArrayInTable(Fertiliser_SourceData.Fertiliser_Products_Data3(), FertiliserProducts[[#Headers],[Company]],61)</f>
        <v>kg</v>
      </c>
      <c r="G159" s="215" cm="1">
        <f t="array" ref="G159">Common_InputFunctions.Utility_DisplayArrayInTable(Fertiliser_SourceData.Fertiliser_Products_Data3(), FertiliserProducts[[#Headers],[Company]],61)</f>
        <v>1</v>
      </c>
      <c r="H159" s="215" t="str" cm="1">
        <f t="array" ref="H159">Common_InputFunctions.Utility_DisplayArrayInTable(Fertiliser_SourceData.Fertiliser_Products_Data3(), FertiliserProducts[[#Headers],[Company]],61)</f>
        <v/>
      </c>
      <c r="I159" s="215" t="str" cm="1">
        <f t="array" ref="I159">Common_InputFunctions.Utility_DisplayArrayInTable(Fertiliser_SourceData.Fertiliser_Products_Data3(), FertiliserProducts[[#Headers],[Company]],61)</f>
        <v/>
      </c>
      <c r="J159" s="215" t="str" cm="1">
        <f t="array" ref="J159">Common_InputFunctions.Utility_DisplayArrayInTable(Fertiliser_SourceData.Fertiliser_Products_Data3(), FertiliserProducts[[#Headers],[Company]],61)</f>
        <v/>
      </c>
      <c r="K159" s="215" t="str" cm="1">
        <f t="array" ref="K159">Common_InputFunctions.Utility_DisplayArrayInTable(Fertiliser_SourceData.Fertiliser_Products_Data3(), FertiliserProducts[[#Headers],[Company]],61)</f>
        <v/>
      </c>
      <c r="L159" s="215" cm="1">
        <f t="array" ref="L159">Common_InputFunctions.Utility_DisplayArrayInTable(Fertiliser_SourceData.Fertiliser_Products_Data3(), FertiliserProducts[[#Headers],[Company]],61)</f>
        <v>8.8000000000000007</v>
      </c>
      <c r="M159" s="215" t="str" cm="1">
        <f t="array" ref="M159">Common_InputFunctions.Utility_DisplayArrayInTable(Fertiliser_SourceData.Fertiliser_Products_Data3(), FertiliserProducts[[#Headers],[Company]],61)</f>
        <v/>
      </c>
      <c r="N159" s="215" cm="1">
        <f t="array" ref="N159">Common_InputFunctions.Utility_DisplayArrayInTable(Fertiliser_SourceData.Fertiliser_Products_Data3(), FertiliserProducts[[#Headers],[Company]],61)</f>
        <v>11</v>
      </c>
      <c r="O159" s="215" t="str" cm="1">
        <f t="array" ref="O159">Common_InputFunctions.Utility_DisplayArrayInTable(Fertiliser_SourceData.Fertiliser_Products_Data3(), FertiliserProducts[[#Headers],[Company]],61)</f>
        <v>Single superphosphate (SSP)</v>
      </c>
      <c r="P159" s="215" cm="1">
        <f t="array" ref="P159">Common_InputFunctions.Utility_DisplayArrayInTable(Fertiliser_SourceData.Fertiliser_Products_Data3(), FertiliserProducts[[#Headers],[Company]],61)</f>
        <v>1</v>
      </c>
      <c r="Q159" s="215" t="str" cm="1">
        <f t="array" ref="Q159">Common_InputFunctions.Utility_DisplayArrayInTable(Fertiliser_SourceData.Fertiliser_Products_Data3(), FertiliserProducts[[#Headers],[Company]],61)</f>
        <v/>
      </c>
      <c r="R159" s="215" t="str" cm="1">
        <f t="array" ref="R159">Common_InputFunctions.Utility_DisplayArrayInTable(Fertiliser_SourceData.Fertiliser_Products_Data3(), FertiliserProducts[[#Headers],[Company]],61)</f>
        <v/>
      </c>
      <c r="S159" s="215" t="str" cm="1">
        <f t="array" ref="S159">Common_InputFunctions.Utility_DisplayArrayInTable(Fertiliser_SourceData.Fertiliser_Products_Data3(), FertiliserProducts[[#Headers],[Company]],61)</f>
        <v/>
      </c>
      <c r="T159" s="215" t="str" cm="1">
        <f t="array" ref="T159">Common_InputFunctions.Utility_DisplayArrayInTable(Fertiliser_SourceData.Fertiliser_Products_Data3(), FertiliserProducts[[#Headers],[Company]],61)</f>
        <v/>
      </c>
      <c r="U159" s="215" t="str" cm="1">
        <f t="array" ref="U159">Common_InputFunctions.Utility_DisplayArrayInTable(Fertiliser_SourceData.Fertiliser_Products_Data3(), FertiliserProducts[[#Headers],[Company]],61)</f>
        <v/>
      </c>
      <c r="V159" s="215" t="str" cm="1">
        <f t="array" ref="V159">Common_InputFunctions.Utility_DisplayArrayInTable(Fertiliser_SourceData.Fertiliser_Products_Data3(), FertiliserProducts[[#Headers],[Company]],61)</f>
        <v/>
      </c>
      <c r="W159" s="215" t="str" cm="1">
        <f t="array" ref="W159">Common_InputFunctions.Utility_DisplayArrayInTable(Fertiliser_SourceData.Fertiliser_Products_Data3(), FertiliserProducts[[#Headers],[Company]],61)</f>
        <v/>
      </c>
      <c r="X159" s="215" t="str" cm="1">
        <f t="array" ref="X159">Common_InputFunctions.Utility_DisplayArrayInTable(Fertiliser_SourceData.Fertiliser_Products_Data3(), FertiliserProducts[[#Headers],[Company]],61)</f>
        <v/>
      </c>
      <c r="Y159" s="215" t="str" cm="1">
        <f t="array" ref="Y159">Common_InputFunctions.Utility_DisplayArrayInTable(Fertiliser_SourceData.Fertiliser_Products_Data3(), FertiliserProducts[[#Headers],[Company]],61)</f>
        <v/>
      </c>
      <c r="Z159" s="215" t="str" cm="1">
        <f t="array" ref="Z159">Common_InputFunctions.Utility_DisplayArrayInTable(Fertiliser_SourceData.Fertiliser_Products_Data3(), FertiliserProducts[[#Headers],[Company]],61)</f>
        <v/>
      </c>
      <c r="AA159" s="215" t="str" cm="1">
        <f t="array" ref="AA159">Common_InputFunctions.Utility_DisplayArrayInTable(Fertiliser_SourceData.Fertiliser_Products_Data3(), FertiliserProducts[[#Headers],[Company]],61)</f>
        <v/>
      </c>
      <c r="AB159" s="215" t="str" cm="1">
        <f t="array" ref="AB159">Common_InputFunctions.Utility_DisplayArrayInTable(Fertiliser_SourceData.Fertiliser_Products_Data3(), FertiliserProducts[[#Headers],[Company]],61)</f>
        <v/>
      </c>
      <c r="AC159" s="215" t="str" cm="1">
        <f t="array" ref="AC159">Common_InputFunctions.Utility_DisplayArrayInTable(Fertiliser_SourceData.Fertiliser_Products_Data3(), FertiliserProducts[[#Headers],[Company]],61)</f>
        <v/>
      </c>
      <c r="AD159" s="215" t="str" cm="1">
        <f t="array" ref="AD159">Common_InputFunctions.Utility_DisplayArrayInTable(Fertiliser_SourceData.Fertiliser_Products_Data3(), FertiliserProducts[[#Headers],[Company]],61)</f>
        <v/>
      </c>
      <c r="AE159" s="215" t="str" cm="1">
        <f t="array" ref="AE159">Common_InputFunctions.Utility_DisplayArrayInTable(Fertiliser_SourceData.Fertiliser_Products_Data3(), FertiliserProducts[[#Headers],[Company]],61)</f>
        <v/>
      </c>
      <c r="AF159" s="215" t="str" cm="1">
        <f t="array" ref="AF159">Common_InputFunctions.Utility_DisplayArrayInTable(Fertiliser_SourceData.Fertiliser_Products_Data3(), FertiliserProducts[[#Headers],[Company]],61)</f>
        <v/>
      </c>
      <c r="AG159" s="215" t="str" cm="1">
        <f t="array" ref="AG159">Common_InputFunctions.Utility_DisplayArrayInTable(Fertiliser_SourceData.Fertiliser_Products_Data3(), FertiliserProducts[[#Headers],[Company]],61)</f>
        <v/>
      </c>
      <c r="AH159" s="215" t="str" cm="1">
        <f t="array" ref="AH159">Common_InputFunctions.Utility_DisplayArrayInTable(Fertiliser_SourceData.Fertiliser_Products_Data3(), FertiliserProducts[[#Headers],[Company]],61)</f>
        <v/>
      </c>
    </row>
    <row r="160" spans="1:34" ht="20.100000000000001" customHeight="1" x14ac:dyDescent="0.25">
      <c r="A160"/>
      <c r="D160" s="215" t="str" cm="1">
        <f t="array" ref="D160">Common_InputFunctions.Utility_DisplayArrayInTable(Fertiliser_SourceData.Fertiliser_Products_Data3(), FertiliserProducts[[#Headers],[Company]],61)</f>
        <v>Impact Fertilisers</v>
      </c>
      <c r="E160" s="215" t="str" cm="1">
        <f t="array" ref="E160">Common_InputFunctions.Utility_DisplayArrayInTable(Fertiliser_SourceData.Fertiliser_Products_Data3(), FertiliserProducts[[#Headers],[Company]],61)</f>
        <v>ZincStar</v>
      </c>
      <c r="F160" s="215" t="str" cm="1">
        <f t="array" ref="F160">Common_InputFunctions.Utility_DisplayArrayInTable(Fertiliser_SourceData.Fertiliser_Products_Data3(), FertiliserProducts[[#Headers],[Company]],61)</f>
        <v>kg</v>
      </c>
      <c r="G160" s="215" cm="1">
        <f t="array" ref="G160">Common_InputFunctions.Utility_DisplayArrayInTable(Fertiliser_SourceData.Fertiliser_Products_Data3(), FertiliserProducts[[#Headers],[Company]],61)</f>
        <v>1</v>
      </c>
      <c r="H160" s="215" t="str" cm="1">
        <f t="array" ref="H160">Common_InputFunctions.Utility_DisplayArrayInTable(Fertiliser_SourceData.Fertiliser_Products_Data3(), FertiliserProducts[[#Headers],[Company]],61)</f>
        <v/>
      </c>
      <c r="I160" s="215" t="str" cm="1">
        <f t="array" ref="I160">Common_InputFunctions.Utility_DisplayArrayInTable(Fertiliser_SourceData.Fertiliser_Products_Data3(), FertiliserProducts[[#Headers],[Company]],61)</f>
        <v/>
      </c>
      <c r="J160" s="215" t="str" cm="1">
        <f t="array" ref="J160">Common_InputFunctions.Utility_DisplayArrayInTable(Fertiliser_SourceData.Fertiliser_Products_Data3(), FertiliserProducts[[#Headers],[Company]],61)</f>
        <v/>
      </c>
      <c r="K160" s="215" cm="1">
        <f t="array" ref="K160">Common_InputFunctions.Utility_DisplayArrayInTable(Fertiliser_SourceData.Fertiliser_Products_Data3(), FertiliserProducts[[#Headers],[Company]],61)</f>
        <v>10</v>
      </c>
      <c r="L160" s="215" cm="1">
        <f t="array" ref="L160">Common_InputFunctions.Utility_DisplayArrayInTable(Fertiliser_SourceData.Fertiliser_Products_Data3(), FertiliserProducts[[#Headers],[Company]],61)</f>
        <v>21.9</v>
      </c>
      <c r="M160" s="215" cm="1">
        <f t="array" ref="M160">Common_InputFunctions.Utility_DisplayArrayInTable(Fertiliser_SourceData.Fertiliser_Products_Data3(), FertiliserProducts[[#Headers],[Company]],61)</f>
        <v>0</v>
      </c>
      <c r="N160" s="215" cm="1">
        <f t="array" ref="N160">Common_InputFunctions.Utility_DisplayArrayInTable(Fertiliser_SourceData.Fertiliser_Products_Data3(), FertiliserProducts[[#Headers],[Company]],61)</f>
        <v>2</v>
      </c>
      <c r="O160" s="215" t="str" cm="1">
        <f t="array" ref="O160">Common_InputFunctions.Utility_DisplayArrayInTable(Fertiliser_SourceData.Fertiliser_Products_Data3(), FertiliserProducts[[#Headers],[Company]],61)</f>
        <v>Monoammonium phosphate (MAP)</v>
      </c>
      <c r="P160" s="215" cm="1">
        <f t="array" ref="P160">Common_InputFunctions.Utility_DisplayArrayInTable(Fertiliser_SourceData.Fertiliser_Products_Data3(), FertiliserProducts[[#Headers],[Company]],61)</f>
        <v>1</v>
      </c>
      <c r="Q160" s="215" t="str" cm="1">
        <f t="array" ref="Q160">Common_InputFunctions.Utility_DisplayArrayInTable(Fertiliser_SourceData.Fertiliser_Products_Data3(), FertiliserProducts[[#Headers],[Company]],61)</f>
        <v>Zinc</v>
      </c>
      <c r="R160" s="215" cm="1">
        <f t="array" ref="R160">Common_InputFunctions.Utility_DisplayArrayInTable(Fertiliser_SourceData.Fertiliser_Products_Data3(), FertiliserProducts[[#Headers],[Company]],61)</f>
        <v>0.01</v>
      </c>
      <c r="S160" s="215" t="str" cm="1">
        <f t="array" ref="S160">Common_InputFunctions.Utility_DisplayArrayInTable(Fertiliser_SourceData.Fertiliser_Products_Data3(), FertiliserProducts[[#Headers],[Company]],61)</f>
        <v/>
      </c>
      <c r="T160" s="215" t="str" cm="1">
        <f t="array" ref="T160">Common_InputFunctions.Utility_DisplayArrayInTable(Fertiliser_SourceData.Fertiliser_Products_Data3(), FertiliserProducts[[#Headers],[Company]],61)</f>
        <v/>
      </c>
      <c r="U160" s="215" t="str" cm="1">
        <f t="array" ref="U160">Common_InputFunctions.Utility_DisplayArrayInTable(Fertiliser_SourceData.Fertiliser_Products_Data3(), FertiliserProducts[[#Headers],[Company]],61)</f>
        <v/>
      </c>
      <c r="V160" s="215" t="str" cm="1">
        <f t="array" ref="V160">Common_InputFunctions.Utility_DisplayArrayInTable(Fertiliser_SourceData.Fertiliser_Products_Data3(), FertiliserProducts[[#Headers],[Company]],61)</f>
        <v/>
      </c>
      <c r="W160" s="215" t="str" cm="1">
        <f t="array" ref="W160">Common_InputFunctions.Utility_DisplayArrayInTable(Fertiliser_SourceData.Fertiliser_Products_Data3(), FertiliserProducts[[#Headers],[Company]],61)</f>
        <v/>
      </c>
      <c r="X160" s="215" t="str" cm="1">
        <f t="array" ref="X160">Common_InputFunctions.Utility_DisplayArrayInTable(Fertiliser_SourceData.Fertiliser_Products_Data3(), FertiliserProducts[[#Headers],[Company]],61)</f>
        <v/>
      </c>
      <c r="Y160" s="215" t="str" cm="1">
        <f t="array" ref="Y160">Common_InputFunctions.Utility_DisplayArrayInTable(Fertiliser_SourceData.Fertiliser_Products_Data3(), FertiliserProducts[[#Headers],[Company]],61)</f>
        <v/>
      </c>
      <c r="Z160" s="215" t="str" cm="1">
        <f t="array" ref="Z160">Common_InputFunctions.Utility_DisplayArrayInTable(Fertiliser_SourceData.Fertiliser_Products_Data3(), FertiliserProducts[[#Headers],[Company]],61)</f>
        <v/>
      </c>
      <c r="AA160" s="215" t="str" cm="1">
        <f t="array" ref="AA160">Common_InputFunctions.Utility_DisplayArrayInTable(Fertiliser_SourceData.Fertiliser_Products_Data3(), FertiliserProducts[[#Headers],[Company]],61)</f>
        <v/>
      </c>
      <c r="AB160" s="215" t="str" cm="1">
        <f t="array" ref="AB160">Common_InputFunctions.Utility_DisplayArrayInTable(Fertiliser_SourceData.Fertiliser_Products_Data3(), FertiliserProducts[[#Headers],[Company]],61)</f>
        <v/>
      </c>
      <c r="AC160" s="215" t="str" cm="1">
        <f t="array" ref="AC160">Common_InputFunctions.Utility_DisplayArrayInTable(Fertiliser_SourceData.Fertiliser_Products_Data3(), FertiliserProducts[[#Headers],[Company]],61)</f>
        <v/>
      </c>
      <c r="AD160" s="215" t="str" cm="1">
        <f t="array" ref="AD160">Common_InputFunctions.Utility_DisplayArrayInTable(Fertiliser_SourceData.Fertiliser_Products_Data3(), FertiliserProducts[[#Headers],[Company]],61)</f>
        <v/>
      </c>
      <c r="AE160" s="215" t="str" cm="1">
        <f t="array" ref="AE160">Common_InputFunctions.Utility_DisplayArrayInTable(Fertiliser_SourceData.Fertiliser_Products_Data3(), FertiliserProducts[[#Headers],[Company]],61)</f>
        <v/>
      </c>
      <c r="AF160" s="215" t="str" cm="1">
        <f t="array" ref="AF160">Common_InputFunctions.Utility_DisplayArrayInTable(Fertiliser_SourceData.Fertiliser_Products_Data3(), FertiliserProducts[[#Headers],[Company]],61)</f>
        <v/>
      </c>
      <c r="AG160" s="215" t="str" cm="1">
        <f t="array" ref="AG160">Common_InputFunctions.Utility_DisplayArrayInTable(Fertiliser_SourceData.Fertiliser_Products_Data3(), FertiliserProducts[[#Headers],[Company]],61)</f>
        <v/>
      </c>
      <c r="AH160" s="215" t="str" cm="1">
        <f t="array" ref="AH160">Common_InputFunctions.Utility_DisplayArrayInTable(Fertiliser_SourceData.Fertiliser_Products_Data3(), FertiliserProducts[[#Headers],[Company]],61)</f>
        <v/>
      </c>
    </row>
    <row r="161" spans="4:34" ht="20.100000000000001" customHeight="1" x14ac:dyDescent="0.25">
      <c r="D161" s="215" t="str" cm="1">
        <f t="array" ref="D161">Common_InputFunctions.Utility_DisplayArrayInTable(Fertiliser_SourceData.Fertiliser_Products_Data3(), FertiliserProducts[[#Headers],[Company]],61)</f>
        <v>Baileys (Simplot) [listed as Impact]</v>
      </c>
      <c r="E161" s="215" t="str" cm="1">
        <f t="array" ref="E161">Common_InputFunctions.Utility_DisplayArrayInTable(Fertiliser_SourceData.Fertiliser_Products_Data3(), FertiliserProducts[[#Headers],[Company]],61)</f>
        <v>Apex GaIXe Low P 21-1-6</v>
      </c>
      <c r="F161" s="215" t="str" cm="1">
        <f t="array" ref="F161">Common_InputFunctions.Utility_DisplayArrayInTable(Fertiliser_SourceData.Fertiliser_Products_Data3(), FertiliserProducts[[#Headers],[Company]],61)</f>
        <v>kg</v>
      </c>
      <c r="G161" s="215" cm="1">
        <f t="array" ref="G161">Common_InputFunctions.Utility_DisplayArrayInTable(Fertiliser_SourceData.Fertiliser_Products_Data3(), FertiliserProducts[[#Headers],[Company]],61)</f>
        <v>1</v>
      </c>
      <c r="H161" s="215" t="str" cm="1">
        <f t="array" ref="H161">Common_InputFunctions.Utility_DisplayArrayInTable(Fertiliser_SourceData.Fertiliser_Products_Data3(), FertiliserProducts[[#Headers],[Company]],61)</f>
        <v/>
      </c>
      <c r="I161" s="215" t="str" cm="1">
        <f t="array" ref="I161">Common_InputFunctions.Utility_DisplayArrayInTable(Fertiliser_SourceData.Fertiliser_Products_Data3(), FertiliserProducts[[#Headers],[Company]],61)</f>
        <v/>
      </c>
      <c r="J161" s="215" t="str" cm="1">
        <f t="array" ref="J161">Common_InputFunctions.Utility_DisplayArrayInTable(Fertiliser_SourceData.Fertiliser_Products_Data3(), FertiliserProducts[[#Headers],[Company]],61)</f>
        <v/>
      </c>
      <c r="K161" s="215" cm="1">
        <f t="array" ref="K161">Common_InputFunctions.Utility_DisplayArrayInTable(Fertiliser_SourceData.Fertiliser_Products_Data3(), FertiliserProducts[[#Headers],[Company]],61)</f>
        <v>21</v>
      </c>
      <c r="L161" s="215" cm="1">
        <f t="array" ref="L161">Common_InputFunctions.Utility_DisplayArrayInTable(Fertiliser_SourceData.Fertiliser_Products_Data3(), FertiliserProducts[[#Headers],[Company]],61)</f>
        <v>0.86</v>
      </c>
      <c r="M161" s="215" cm="1">
        <f t="array" ref="M161">Common_InputFunctions.Utility_DisplayArrayInTable(Fertiliser_SourceData.Fertiliser_Products_Data3(), FertiliserProducts[[#Headers],[Company]],61)</f>
        <v>5.8</v>
      </c>
      <c r="N161" s="215" cm="1">
        <f t="array" ref="N161">Common_InputFunctions.Utility_DisplayArrayInTable(Fertiliser_SourceData.Fertiliser_Products_Data3(), FertiliserProducts[[#Headers],[Company]],61)</f>
        <v>4.2</v>
      </c>
      <c r="O161" s="215" t="str" cm="1">
        <f t="array" ref="O161">Common_InputFunctions.Utility_DisplayArrayInTable(Fertiliser_SourceData.Fertiliser_Products_Data3(), FertiliserProducts[[#Headers],[Company]],61)</f>
        <v>Nitrogen - Generic</v>
      </c>
      <c r="P161" s="215" cm="1">
        <f t="array" ref="P161">Common_InputFunctions.Utility_DisplayArrayInTable(Fertiliser_SourceData.Fertiliser_Products_Data3(), FertiliserProducts[[#Headers],[Company]],61)</f>
        <v>0.21</v>
      </c>
      <c r="Q161" s="215" t="str" cm="1">
        <f t="array" ref="Q161">Common_InputFunctions.Utility_DisplayArrayInTable(Fertiliser_SourceData.Fertiliser_Products_Data3(), FertiliserProducts[[#Headers],[Company]],61)</f>
        <v>Potassium - Generic</v>
      </c>
      <c r="R161" s="215" cm="1">
        <f t="array" ref="R161">Common_InputFunctions.Utility_DisplayArrayInTable(Fertiliser_SourceData.Fertiliser_Products_Data3(), FertiliserProducts[[#Headers],[Company]],61)</f>
        <v>5.8000000000000003E-2</v>
      </c>
      <c r="S161" s="215" t="str" cm="1">
        <f t="array" ref="S161">Common_InputFunctions.Utility_DisplayArrayInTable(Fertiliser_SourceData.Fertiliser_Products_Data3(), FertiliserProducts[[#Headers],[Company]],61)</f>
        <v>Sulfur - Generic</v>
      </c>
      <c r="T161" s="215" cm="1">
        <f t="array" ref="T161">Common_InputFunctions.Utility_DisplayArrayInTable(Fertiliser_SourceData.Fertiliser_Products_Data3(), FertiliserProducts[[#Headers],[Company]],61)</f>
        <v>4.2000000000000003E-2</v>
      </c>
      <c r="U161" s="215" t="str" cm="1">
        <f t="array" ref="U161">Common_InputFunctions.Utility_DisplayArrayInTable(Fertiliser_SourceData.Fertiliser_Products_Data3(), FertiliserProducts[[#Headers],[Company]],61)</f>
        <v>Phosphorus - Generic</v>
      </c>
      <c r="V161" s="215" cm="1">
        <f t="array" ref="V161">Common_InputFunctions.Utility_DisplayArrayInTable(Fertiliser_SourceData.Fertiliser_Products_Data3(), FertiliserProducts[[#Headers],[Company]],61)</f>
        <v>8.6E-3</v>
      </c>
      <c r="W161" s="215" t="str" cm="1">
        <f t="array" ref="W161">Common_InputFunctions.Utility_DisplayArrayInTable(Fertiliser_SourceData.Fertiliser_Products_Data3(), FertiliserProducts[[#Headers],[Company]],61)</f>
        <v/>
      </c>
      <c r="X161" s="215" t="str" cm="1">
        <f t="array" ref="X161">Common_InputFunctions.Utility_DisplayArrayInTable(Fertiliser_SourceData.Fertiliser_Products_Data3(), FertiliserProducts[[#Headers],[Company]],61)</f>
        <v/>
      </c>
      <c r="Y161" s="215" t="str" cm="1">
        <f t="array" ref="Y161">Common_InputFunctions.Utility_DisplayArrayInTable(Fertiliser_SourceData.Fertiliser_Products_Data3(), FertiliserProducts[[#Headers],[Company]],61)</f>
        <v/>
      </c>
      <c r="Z161" s="215" t="str" cm="1">
        <f t="array" ref="Z161">Common_InputFunctions.Utility_DisplayArrayInTable(Fertiliser_SourceData.Fertiliser_Products_Data3(), FertiliserProducts[[#Headers],[Company]],61)</f>
        <v/>
      </c>
      <c r="AA161" s="215" t="str" cm="1">
        <f t="array" ref="AA161">Common_InputFunctions.Utility_DisplayArrayInTable(Fertiliser_SourceData.Fertiliser_Products_Data3(), FertiliserProducts[[#Headers],[Company]],61)</f>
        <v/>
      </c>
      <c r="AB161" s="215" t="str" cm="1">
        <f t="array" ref="AB161">Common_InputFunctions.Utility_DisplayArrayInTable(Fertiliser_SourceData.Fertiliser_Products_Data3(), FertiliserProducts[[#Headers],[Company]],61)</f>
        <v/>
      </c>
      <c r="AC161" s="215" t="str" cm="1">
        <f t="array" ref="AC161">Common_InputFunctions.Utility_DisplayArrayInTable(Fertiliser_SourceData.Fertiliser_Products_Data3(), FertiliserProducts[[#Headers],[Company]],61)</f>
        <v/>
      </c>
      <c r="AD161" s="215" t="str" cm="1">
        <f t="array" ref="AD161">Common_InputFunctions.Utility_DisplayArrayInTable(Fertiliser_SourceData.Fertiliser_Products_Data3(), FertiliserProducts[[#Headers],[Company]],61)</f>
        <v/>
      </c>
      <c r="AE161" s="215" t="str" cm="1">
        <f t="array" ref="AE161">Common_InputFunctions.Utility_DisplayArrayInTable(Fertiliser_SourceData.Fertiliser_Products_Data3(), FertiliserProducts[[#Headers],[Company]],61)</f>
        <v/>
      </c>
      <c r="AF161" s="215" t="str" cm="1">
        <f t="array" ref="AF161">Common_InputFunctions.Utility_DisplayArrayInTable(Fertiliser_SourceData.Fertiliser_Products_Data3(), FertiliserProducts[[#Headers],[Company]],61)</f>
        <v/>
      </c>
      <c r="AG161" s="215" t="str" cm="1">
        <f t="array" ref="AG161">Common_InputFunctions.Utility_DisplayArrayInTable(Fertiliser_SourceData.Fertiliser_Products_Data3(), FertiliserProducts[[#Headers],[Company]],61)</f>
        <v/>
      </c>
      <c r="AH161" s="215" t="str" cm="1">
        <f t="array" ref="AH161">Common_InputFunctions.Utility_DisplayArrayInTable(Fertiliser_SourceData.Fertiliser_Products_Data3(), FertiliserProducts[[#Headers],[Company]],61)</f>
        <v/>
      </c>
    </row>
    <row r="162" spans="4:34" ht="20.100000000000001" customHeight="1" x14ac:dyDescent="0.25">
      <c r="D162" s="215" t="str" cm="1">
        <f t="array" ref="D162">Common_InputFunctions.Utility_DisplayArrayInTable(Fertiliser_SourceData.Fertiliser_Products_Data3(), FertiliserProducts[[#Headers],[Company]],61)</f>
        <v>Incitec Pivot Fertilisers</v>
      </c>
      <c r="E162" s="215" t="str" cm="1">
        <f t="array" ref="E162">Common_InputFunctions.Utility_DisplayArrayInTable(Fertiliser_SourceData.Fertiliser_Products_Data3(), FertiliserProducts[[#Headers],[Company]],61)</f>
        <v>SuPerfect</v>
      </c>
      <c r="F162" s="215" t="str" cm="1">
        <f t="array" ref="F162">Common_InputFunctions.Utility_DisplayArrayInTable(Fertiliser_SourceData.Fertiliser_Products_Data3(), FertiliserProducts[[#Headers],[Company]],61)</f>
        <v>kg</v>
      </c>
      <c r="G162" s="215" cm="1">
        <f t="array" ref="G162">Common_InputFunctions.Utility_DisplayArrayInTable(Fertiliser_SourceData.Fertiliser_Products_Data3(), FertiliserProducts[[#Headers],[Company]],61)</f>
        <v>1</v>
      </c>
      <c r="H162" s="215" t="str" cm="1">
        <f t="array" ref="H162">Common_InputFunctions.Utility_DisplayArrayInTable(Fertiliser_SourceData.Fertiliser_Products_Data3(), FertiliserProducts[[#Headers],[Company]],61)</f>
        <v/>
      </c>
      <c r="I162" s="215" t="str" cm="1">
        <f t="array" ref="I162">Common_InputFunctions.Utility_DisplayArrayInTable(Fertiliser_SourceData.Fertiliser_Products_Data3(), FertiliserProducts[[#Headers],[Company]],61)</f>
        <v/>
      </c>
      <c r="J162" s="215" t="str" cm="1">
        <f t="array" ref="J162">Common_InputFunctions.Utility_DisplayArrayInTable(Fertiliser_SourceData.Fertiliser_Products_Data3(), FertiliserProducts[[#Headers],[Company]],61)</f>
        <v/>
      </c>
      <c r="K162" s="215" t="str" cm="1">
        <f t="array" ref="K162">Common_InputFunctions.Utility_DisplayArrayInTable(Fertiliser_SourceData.Fertiliser_Products_Data3(), FertiliserProducts[[#Headers],[Company]],61)</f>
        <v/>
      </c>
      <c r="L162" s="215" cm="1">
        <f t="array" ref="L162">Common_InputFunctions.Utility_DisplayArrayInTable(Fertiliser_SourceData.Fertiliser_Products_Data3(), FertiliserProducts[[#Headers],[Company]],61)</f>
        <v>8.8000000000000007</v>
      </c>
      <c r="M162" s="215" t="str" cm="1">
        <f t="array" ref="M162">Common_InputFunctions.Utility_DisplayArrayInTable(Fertiliser_SourceData.Fertiliser_Products_Data3(), FertiliserProducts[[#Headers],[Company]],61)</f>
        <v/>
      </c>
      <c r="N162" s="215" cm="1">
        <f t="array" ref="N162">Common_InputFunctions.Utility_DisplayArrayInTable(Fertiliser_SourceData.Fertiliser_Products_Data3(), FertiliserProducts[[#Headers],[Company]],61)</f>
        <v>11</v>
      </c>
      <c r="O162" s="215" t="str" cm="1">
        <f t="array" ref="O162">Common_InputFunctions.Utility_DisplayArrayInTable(Fertiliser_SourceData.Fertiliser_Products_Data3(), FertiliserProducts[[#Headers],[Company]],61)</f>
        <v>Single superphosphate (SSP)</v>
      </c>
      <c r="P162" s="215" cm="1">
        <f t="array" ref="P162">Common_InputFunctions.Utility_DisplayArrayInTable(Fertiliser_SourceData.Fertiliser_Products_Data3(), FertiliserProducts[[#Headers],[Company]],61)</f>
        <v>1</v>
      </c>
      <c r="Q162" s="215" t="str" cm="1">
        <f t="array" ref="Q162">Common_InputFunctions.Utility_DisplayArrayInTable(Fertiliser_SourceData.Fertiliser_Products_Data3(), FertiliserProducts[[#Headers],[Company]],61)</f>
        <v/>
      </c>
      <c r="R162" s="215" t="str" cm="1">
        <f t="array" ref="R162">Common_InputFunctions.Utility_DisplayArrayInTable(Fertiliser_SourceData.Fertiliser_Products_Data3(), FertiliserProducts[[#Headers],[Company]],61)</f>
        <v/>
      </c>
      <c r="S162" s="215" t="str" cm="1">
        <f t="array" ref="S162">Common_InputFunctions.Utility_DisplayArrayInTable(Fertiliser_SourceData.Fertiliser_Products_Data3(), FertiliserProducts[[#Headers],[Company]],61)</f>
        <v/>
      </c>
      <c r="T162" s="215" t="str" cm="1">
        <f t="array" ref="T162">Common_InputFunctions.Utility_DisplayArrayInTable(Fertiliser_SourceData.Fertiliser_Products_Data3(), FertiliserProducts[[#Headers],[Company]],61)</f>
        <v/>
      </c>
      <c r="U162" s="215" t="str" cm="1">
        <f t="array" ref="U162">Common_InputFunctions.Utility_DisplayArrayInTable(Fertiliser_SourceData.Fertiliser_Products_Data3(), FertiliserProducts[[#Headers],[Company]],61)</f>
        <v/>
      </c>
      <c r="V162" s="215" t="str" cm="1">
        <f t="array" ref="V162">Common_InputFunctions.Utility_DisplayArrayInTable(Fertiliser_SourceData.Fertiliser_Products_Data3(), FertiliserProducts[[#Headers],[Company]],61)</f>
        <v/>
      </c>
      <c r="W162" s="215" t="str" cm="1">
        <f t="array" ref="W162">Common_InputFunctions.Utility_DisplayArrayInTable(Fertiliser_SourceData.Fertiliser_Products_Data3(), FertiliserProducts[[#Headers],[Company]],61)</f>
        <v/>
      </c>
      <c r="X162" s="215" t="str" cm="1">
        <f t="array" ref="X162">Common_InputFunctions.Utility_DisplayArrayInTable(Fertiliser_SourceData.Fertiliser_Products_Data3(), FertiliserProducts[[#Headers],[Company]],61)</f>
        <v/>
      </c>
      <c r="Y162" s="215" t="str" cm="1">
        <f t="array" ref="Y162">Common_InputFunctions.Utility_DisplayArrayInTable(Fertiliser_SourceData.Fertiliser_Products_Data3(), FertiliserProducts[[#Headers],[Company]],61)</f>
        <v/>
      </c>
      <c r="Z162" s="215" t="str" cm="1">
        <f t="array" ref="Z162">Common_InputFunctions.Utility_DisplayArrayInTable(Fertiliser_SourceData.Fertiliser_Products_Data3(), FertiliserProducts[[#Headers],[Company]],61)</f>
        <v/>
      </c>
      <c r="AA162" s="215" t="str" cm="1">
        <f t="array" ref="AA162">Common_InputFunctions.Utility_DisplayArrayInTable(Fertiliser_SourceData.Fertiliser_Products_Data3(), FertiliserProducts[[#Headers],[Company]],61)</f>
        <v/>
      </c>
      <c r="AB162" s="215" t="str" cm="1">
        <f t="array" ref="AB162">Common_InputFunctions.Utility_DisplayArrayInTable(Fertiliser_SourceData.Fertiliser_Products_Data3(), FertiliserProducts[[#Headers],[Company]],61)</f>
        <v/>
      </c>
      <c r="AC162" s="215" t="str" cm="1">
        <f t="array" ref="AC162">Common_InputFunctions.Utility_DisplayArrayInTable(Fertiliser_SourceData.Fertiliser_Products_Data3(), FertiliserProducts[[#Headers],[Company]],61)</f>
        <v/>
      </c>
      <c r="AD162" s="215" t="str" cm="1">
        <f t="array" ref="AD162">Common_InputFunctions.Utility_DisplayArrayInTable(Fertiliser_SourceData.Fertiliser_Products_Data3(), FertiliserProducts[[#Headers],[Company]],61)</f>
        <v/>
      </c>
      <c r="AE162" s="215" t="str" cm="1">
        <f t="array" ref="AE162">Common_InputFunctions.Utility_DisplayArrayInTable(Fertiliser_SourceData.Fertiliser_Products_Data3(), FertiliserProducts[[#Headers],[Company]],61)</f>
        <v/>
      </c>
      <c r="AF162" s="215" t="str" cm="1">
        <f t="array" ref="AF162">Common_InputFunctions.Utility_DisplayArrayInTable(Fertiliser_SourceData.Fertiliser_Products_Data3(), FertiliserProducts[[#Headers],[Company]],61)</f>
        <v/>
      </c>
      <c r="AG162" s="215" t="str" cm="1">
        <f t="array" ref="AG162">Common_InputFunctions.Utility_DisplayArrayInTable(Fertiliser_SourceData.Fertiliser_Products_Data3(), FertiliserProducts[[#Headers],[Company]],61)</f>
        <v/>
      </c>
      <c r="AH162" s="215" t="str" cm="1">
        <f t="array" ref="AH162">Common_InputFunctions.Utility_DisplayArrayInTable(Fertiliser_SourceData.Fertiliser_Products_Data3(), FertiliserProducts[[#Headers],[Company]],61)</f>
        <v/>
      </c>
    </row>
    <row r="163" spans="4:34" ht="20.100000000000001" customHeight="1" x14ac:dyDescent="0.25">
      <c r="D163" s="215" t="str" cm="1">
        <f t="array" ref="D163">Common_InputFunctions.Utility_DisplayArrayInTable(Fertiliser_SourceData.Fertiliser_Products_Data3(), FertiliserProducts[[#Headers],[Company]],61)</f>
        <v>Incitec Pivot Fertilisers [listed as Summit]</v>
      </c>
      <c r="E163" s="215" t="str" cm="1">
        <f t="array" ref="E163">Common_InputFunctions.Utility_DisplayArrayInTable(Fertiliser_SourceData.Fertiliser_Products_Data3(), FertiliserProducts[[#Headers],[Company]],61)</f>
        <v>Big N</v>
      </c>
      <c r="F163" s="215" t="str" cm="1">
        <f t="array" ref="F163">Common_InputFunctions.Utility_DisplayArrayInTable(Fertiliser_SourceData.Fertiliser_Products_Data3(), FertiliserProducts[[#Headers],[Company]],61)</f>
        <v>kg</v>
      </c>
      <c r="G163" s="215" cm="1">
        <f t="array" ref="G163">Common_InputFunctions.Utility_DisplayArrayInTable(Fertiliser_SourceData.Fertiliser_Products_Data3(), FertiliserProducts[[#Headers],[Company]],61)</f>
        <v>1</v>
      </c>
      <c r="H163" s="215" t="str" cm="1">
        <f t="array" ref="H163">Common_InputFunctions.Utility_DisplayArrayInTable(Fertiliser_SourceData.Fertiliser_Products_Data3(), FertiliserProducts[[#Headers],[Company]],61)</f>
        <v/>
      </c>
      <c r="I163" s="215" t="str" cm="1">
        <f t="array" ref="I163">Common_InputFunctions.Utility_DisplayArrayInTable(Fertiliser_SourceData.Fertiliser_Products_Data3(), FertiliserProducts[[#Headers],[Company]],61)</f>
        <v/>
      </c>
      <c r="J163" s="215" t="str" cm="1">
        <f t="array" ref="J163">Common_InputFunctions.Utility_DisplayArrayInTable(Fertiliser_SourceData.Fertiliser_Products_Data3(), FertiliserProducts[[#Headers],[Company]],61)</f>
        <v/>
      </c>
      <c r="K163" s="215" cm="1">
        <f t="array" ref="K163">Common_InputFunctions.Utility_DisplayArrayInTable(Fertiliser_SourceData.Fertiliser_Products_Data3(), FertiliserProducts[[#Headers],[Company]],61)</f>
        <v>82.35</v>
      </c>
      <c r="L163" s="215" t="str" cm="1">
        <f t="array" ref="L163">Common_InputFunctions.Utility_DisplayArrayInTable(Fertiliser_SourceData.Fertiliser_Products_Data3(), FertiliserProducts[[#Headers],[Company]],61)</f>
        <v/>
      </c>
      <c r="M163" s="215" t="str" cm="1">
        <f t="array" ref="M163">Common_InputFunctions.Utility_DisplayArrayInTable(Fertiliser_SourceData.Fertiliser_Products_Data3(), FertiliserProducts[[#Headers],[Company]],61)</f>
        <v/>
      </c>
      <c r="N163" s="215" t="str" cm="1">
        <f t="array" ref="N163">Common_InputFunctions.Utility_DisplayArrayInTable(Fertiliser_SourceData.Fertiliser_Products_Data3(), FertiliserProducts[[#Headers],[Company]],61)</f>
        <v/>
      </c>
      <c r="O163" s="215" t="str" cm="1">
        <f t="array" ref="O163">Common_InputFunctions.Utility_DisplayArrayInTable(Fertiliser_SourceData.Fertiliser_Products_Data3(), FertiliserProducts[[#Headers],[Company]],61)</f>
        <v>Ammonia</v>
      </c>
      <c r="P163" s="215" cm="1">
        <f t="array" ref="P163">Common_InputFunctions.Utility_DisplayArrayInTable(Fertiliser_SourceData.Fertiliser_Products_Data3(), FertiliserProducts[[#Headers],[Company]],61)</f>
        <v>1</v>
      </c>
      <c r="Q163" s="215" t="str" cm="1">
        <f t="array" ref="Q163">Common_InputFunctions.Utility_DisplayArrayInTable(Fertiliser_SourceData.Fertiliser_Products_Data3(), FertiliserProducts[[#Headers],[Company]],61)</f>
        <v/>
      </c>
      <c r="R163" s="215" t="str" cm="1">
        <f t="array" ref="R163">Common_InputFunctions.Utility_DisplayArrayInTable(Fertiliser_SourceData.Fertiliser_Products_Data3(), FertiliserProducts[[#Headers],[Company]],61)</f>
        <v/>
      </c>
      <c r="S163" s="215" t="str" cm="1">
        <f t="array" ref="S163">Common_InputFunctions.Utility_DisplayArrayInTable(Fertiliser_SourceData.Fertiliser_Products_Data3(), FertiliserProducts[[#Headers],[Company]],61)</f>
        <v/>
      </c>
      <c r="T163" s="215" t="str" cm="1">
        <f t="array" ref="T163">Common_InputFunctions.Utility_DisplayArrayInTable(Fertiliser_SourceData.Fertiliser_Products_Data3(), FertiliserProducts[[#Headers],[Company]],61)</f>
        <v/>
      </c>
      <c r="U163" s="215" t="str" cm="1">
        <f t="array" ref="U163">Common_InputFunctions.Utility_DisplayArrayInTable(Fertiliser_SourceData.Fertiliser_Products_Data3(), FertiliserProducts[[#Headers],[Company]],61)</f>
        <v/>
      </c>
      <c r="V163" s="215" t="str" cm="1">
        <f t="array" ref="V163">Common_InputFunctions.Utility_DisplayArrayInTable(Fertiliser_SourceData.Fertiliser_Products_Data3(), FertiliserProducts[[#Headers],[Company]],61)</f>
        <v/>
      </c>
      <c r="W163" s="215" t="str" cm="1">
        <f t="array" ref="W163">Common_InputFunctions.Utility_DisplayArrayInTable(Fertiliser_SourceData.Fertiliser_Products_Data3(), FertiliserProducts[[#Headers],[Company]],61)</f>
        <v/>
      </c>
      <c r="X163" s="215" t="str" cm="1">
        <f t="array" ref="X163">Common_InputFunctions.Utility_DisplayArrayInTable(Fertiliser_SourceData.Fertiliser_Products_Data3(), FertiliserProducts[[#Headers],[Company]],61)</f>
        <v/>
      </c>
      <c r="Y163" s="215" t="str" cm="1">
        <f t="array" ref="Y163">Common_InputFunctions.Utility_DisplayArrayInTable(Fertiliser_SourceData.Fertiliser_Products_Data3(), FertiliserProducts[[#Headers],[Company]],61)</f>
        <v/>
      </c>
      <c r="Z163" s="215" t="str" cm="1">
        <f t="array" ref="Z163">Common_InputFunctions.Utility_DisplayArrayInTable(Fertiliser_SourceData.Fertiliser_Products_Data3(), FertiliserProducts[[#Headers],[Company]],61)</f>
        <v/>
      </c>
      <c r="AA163" s="215" t="str" cm="1">
        <f t="array" ref="AA163">Common_InputFunctions.Utility_DisplayArrayInTable(Fertiliser_SourceData.Fertiliser_Products_Data3(), FertiliserProducts[[#Headers],[Company]],61)</f>
        <v/>
      </c>
      <c r="AB163" s="215" t="str" cm="1">
        <f t="array" ref="AB163">Common_InputFunctions.Utility_DisplayArrayInTable(Fertiliser_SourceData.Fertiliser_Products_Data3(), FertiliserProducts[[#Headers],[Company]],61)</f>
        <v/>
      </c>
      <c r="AC163" s="215" t="str" cm="1">
        <f t="array" ref="AC163">Common_InputFunctions.Utility_DisplayArrayInTable(Fertiliser_SourceData.Fertiliser_Products_Data3(), FertiliserProducts[[#Headers],[Company]],61)</f>
        <v/>
      </c>
      <c r="AD163" s="215" t="str" cm="1">
        <f t="array" ref="AD163">Common_InputFunctions.Utility_DisplayArrayInTable(Fertiliser_SourceData.Fertiliser_Products_Data3(), FertiliserProducts[[#Headers],[Company]],61)</f>
        <v/>
      </c>
      <c r="AE163" s="215" t="str" cm="1">
        <f t="array" ref="AE163">Common_InputFunctions.Utility_DisplayArrayInTable(Fertiliser_SourceData.Fertiliser_Products_Data3(), FertiliserProducts[[#Headers],[Company]],61)</f>
        <v/>
      </c>
      <c r="AF163" s="215" t="str" cm="1">
        <f t="array" ref="AF163">Common_InputFunctions.Utility_DisplayArrayInTable(Fertiliser_SourceData.Fertiliser_Products_Data3(), FertiliserProducts[[#Headers],[Company]],61)</f>
        <v/>
      </c>
      <c r="AG163" s="215" t="str" cm="1">
        <f t="array" ref="AG163">Common_InputFunctions.Utility_DisplayArrayInTable(Fertiliser_SourceData.Fertiliser_Products_Data3(), FertiliserProducts[[#Headers],[Company]],61)</f>
        <v/>
      </c>
      <c r="AH163" s="215" t="str" cm="1">
        <f t="array" ref="AH163">Common_InputFunctions.Utility_DisplayArrayInTable(Fertiliser_SourceData.Fertiliser_Products_Data3(), FertiliserProducts[[#Headers],[Company]],61)</f>
        <v/>
      </c>
    </row>
    <row r="164" spans="4:34" ht="20.100000000000001" customHeight="1" x14ac:dyDescent="0.25">
      <c r="D164" s="215" t="str" cm="1">
        <f t="array" ref="D164">Common_InputFunctions.Utility_DisplayArrayInTable(Fertiliser_SourceData.Fertiliser_Products_Data3(), FertiliserProducts[[#Headers],[Company]],61)</f>
        <v>Incitec Pivot Fertilisers</v>
      </c>
      <c r="E164" s="215" t="str" cm="1">
        <f t="array" ref="E164">Common_InputFunctions.Utility_DisplayArrayInTable(Fertiliser_SourceData.Fertiliser_Products_Data3(), FertiliserProducts[[#Headers],[Company]],61)</f>
        <v>Entec Urea</v>
      </c>
      <c r="F164" s="215" t="str" cm="1">
        <f t="array" ref="F164">Common_InputFunctions.Utility_DisplayArrayInTable(Fertiliser_SourceData.Fertiliser_Products_Data3(), FertiliserProducts[[#Headers],[Company]],61)</f>
        <v>kg</v>
      </c>
      <c r="G164" s="215" cm="1">
        <f t="array" ref="G164">Common_InputFunctions.Utility_DisplayArrayInTable(Fertiliser_SourceData.Fertiliser_Products_Data3(), FertiliserProducts[[#Headers],[Company]],61)</f>
        <v>1</v>
      </c>
      <c r="H164" s="215" t="str" cm="1">
        <f t="array" ref="H164">Common_InputFunctions.Utility_DisplayArrayInTable(Fertiliser_SourceData.Fertiliser_Products_Data3(), FertiliserProducts[[#Headers],[Company]],61)</f>
        <v>Yes</v>
      </c>
      <c r="I164" s="215" t="str" cm="1">
        <f t="array" ref="I164">Common_InputFunctions.Utility_DisplayArrayInTable(Fertiliser_SourceData.Fertiliser_Products_Data3(), FertiliserProducts[[#Headers],[Company]],61)</f>
        <v/>
      </c>
      <c r="J164" s="215" t="str" cm="1">
        <f t="array" ref="J164">Common_InputFunctions.Utility_DisplayArrayInTable(Fertiliser_SourceData.Fertiliser_Products_Data3(), FertiliserProducts[[#Headers],[Company]],61)</f>
        <v/>
      </c>
      <c r="K164" s="215" cm="1">
        <f t="array" ref="K164">Common_InputFunctions.Utility_DisplayArrayInTable(Fertiliser_SourceData.Fertiliser_Products_Data3(), FertiliserProducts[[#Headers],[Company]],61)</f>
        <v>46</v>
      </c>
      <c r="L164" s="215" t="str" cm="1">
        <f t="array" ref="L164">Common_InputFunctions.Utility_DisplayArrayInTable(Fertiliser_SourceData.Fertiliser_Products_Data3(), FertiliserProducts[[#Headers],[Company]],61)</f>
        <v/>
      </c>
      <c r="M164" s="215" t="str" cm="1">
        <f t="array" ref="M164">Common_InputFunctions.Utility_DisplayArrayInTable(Fertiliser_SourceData.Fertiliser_Products_Data3(), FertiliserProducts[[#Headers],[Company]],61)</f>
        <v/>
      </c>
      <c r="N164" s="215" t="str" cm="1">
        <f t="array" ref="N164">Common_InputFunctions.Utility_DisplayArrayInTable(Fertiliser_SourceData.Fertiliser_Products_Data3(), FertiliserProducts[[#Headers],[Company]],61)</f>
        <v/>
      </c>
      <c r="O164" s="215" t="str" cm="1">
        <f t="array" ref="O164">Common_InputFunctions.Utility_DisplayArrayInTable(Fertiliser_SourceData.Fertiliser_Products_Data3(), FertiliserProducts[[#Headers],[Company]],61)</f>
        <v>Urea</v>
      </c>
      <c r="P164" s="215" cm="1">
        <f t="array" ref="P164">Common_InputFunctions.Utility_DisplayArrayInTable(Fertiliser_SourceData.Fertiliser_Products_Data3(), FertiliserProducts[[#Headers],[Company]],61)</f>
        <v>1</v>
      </c>
      <c r="Q164" s="215" t="str" cm="1">
        <f t="array" ref="Q164">Common_InputFunctions.Utility_DisplayArrayInTable(Fertiliser_SourceData.Fertiliser_Products_Data3(), FertiliserProducts[[#Headers],[Company]],61)</f>
        <v/>
      </c>
      <c r="R164" s="215" t="str" cm="1">
        <f t="array" ref="R164">Common_InputFunctions.Utility_DisplayArrayInTable(Fertiliser_SourceData.Fertiliser_Products_Data3(), FertiliserProducts[[#Headers],[Company]],61)</f>
        <v/>
      </c>
      <c r="S164" s="215" t="str" cm="1">
        <f t="array" ref="S164">Common_InputFunctions.Utility_DisplayArrayInTable(Fertiliser_SourceData.Fertiliser_Products_Data3(), FertiliserProducts[[#Headers],[Company]],61)</f>
        <v/>
      </c>
      <c r="T164" s="215" t="str" cm="1">
        <f t="array" ref="T164">Common_InputFunctions.Utility_DisplayArrayInTable(Fertiliser_SourceData.Fertiliser_Products_Data3(), FertiliserProducts[[#Headers],[Company]],61)</f>
        <v/>
      </c>
      <c r="U164" s="215" t="str" cm="1">
        <f t="array" ref="U164">Common_InputFunctions.Utility_DisplayArrayInTable(Fertiliser_SourceData.Fertiliser_Products_Data3(), FertiliserProducts[[#Headers],[Company]],61)</f>
        <v/>
      </c>
      <c r="V164" s="215" t="str" cm="1">
        <f t="array" ref="V164">Common_InputFunctions.Utility_DisplayArrayInTable(Fertiliser_SourceData.Fertiliser_Products_Data3(), FertiliserProducts[[#Headers],[Company]],61)</f>
        <v/>
      </c>
      <c r="W164" s="215" t="str" cm="1">
        <f t="array" ref="W164">Common_InputFunctions.Utility_DisplayArrayInTable(Fertiliser_SourceData.Fertiliser_Products_Data3(), FertiliserProducts[[#Headers],[Company]],61)</f>
        <v/>
      </c>
      <c r="X164" s="215" t="str" cm="1">
        <f t="array" ref="X164">Common_InputFunctions.Utility_DisplayArrayInTable(Fertiliser_SourceData.Fertiliser_Products_Data3(), FertiliserProducts[[#Headers],[Company]],61)</f>
        <v/>
      </c>
      <c r="Y164" s="215" t="str" cm="1">
        <f t="array" ref="Y164">Common_InputFunctions.Utility_DisplayArrayInTable(Fertiliser_SourceData.Fertiliser_Products_Data3(), FertiliserProducts[[#Headers],[Company]],61)</f>
        <v/>
      </c>
      <c r="Z164" s="215" t="str" cm="1">
        <f t="array" ref="Z164">Common_InputFunctions.Utility_DisplayArrayInTable(Fertiliser_SourceData.Fertiliser_Products_Data3(), FertiliserProducts[[#Headers],[Company]],61)</f>
        <v/>
      </c>
      <c r="AA164" s="215" t="str" cm="1">
        <f t="array" ref="AA164">Common_InputFunctions.Utility_DisplayArrayInTable(Fertiliser_SourceData.Fertiliser_Products_Data3(), FertiliserProducts[[#Headers],[Company]],61)</f>
        <v/>
      </c>
      <c r="AB164" s="215" t="str" cm="1">
        <f t="array" ref="AB164">Common_InputFunctions.Utility_DisplayArrayInTable(Fertiliser_SourceData.Fertiliser_Products_Data3(), FertiliserProducts[[#Headers],[Company]],61)</f>
        <v/>
      </c>
      <c r="AC164" s="215" t="str" cm="1">
        <f t="array" ref="AC164">Common_InputFunctions.Utility_DisplayArrayInTable(Fertiliser_SourceData.Fertiliser_Products_Data3(), FertiliserProducts[[#Headers],[Company]],61)</f>
        <v/>
      </c>
      <c r="AD164" s="215" t="str" cm="1">
        <f t="array" ref="AD164">Common_InputFunctions.Utility_DisplayArrayInTable(Fertiliser_SourceData.Fertiliser_Products_Data3(), FertiliserProducts[[#Headers],[Company]],61)</f>
        <v/>
      </c>
      <c r="AE164" s="215" t="str" cm="1">
        <f t="array" ref="AE164">Common_InputFunctions.Utility_DisplayArrayInTable(Fertiliser_SourceData.Fertiliser_Products_Data3(), FertiliserProducts[[#Headers],[Company]],61)</f>
        <v/>
      </c>
      <c r="AF164" s="215" t="str" cm="1">
        <f t="array" ref="AF164">Common_InputFunctions.Utility_DisplayArrayInTable(Fertiliser_SourceData.Fertiliser_Products_Data3(), FertiliserProducts[[#Headers],[Company]],61)</f>
        <v/>
      </c>
      <c r="AG164" s="215" t="str" cm="1">
        <f t="array" ref="AG164">Common_InputFunctions.Utility_DisplayArrayInTable(Fertiliser_SourceData.Fertiliser_Products_Data3(), FertiliserProducts[[#Headers],[Company]],61)</f>
        <v/>
      </c>
      <c r="AH164" s="215" t="str" cm="1">
        <f t="array" ref="AH164">Common_InputFunctions.Utility_DisplayArrayInTable(Fertiliser_SourceData.Fertiliser_Products_Data3(), FertiliserProducts[[#Headers],[Company]],61)</f>
        <v/>
      </c>
    </row>
    <row r="165" spans="4:34" ht="20.100000000000001" customHeight="1" x14ac:dyDescent="0.25">
      <c r="D165" s="215" t="str" cm="1">
        <f t="array" ref="D165">Common_InputFunctions.Utility_DisplayArrayInTable(Fertiliser_SourceData.Fertiliser_Products_Data3(), FertiliserProducts[[#Headers],[Company]],61)</f>
        <v>Incitec Pivot Fertilisers (or Ravensdown - see note)</v>
      </c>
      <c r="E165" s="215" t="str" cm="1">
        <f t="array" ref="E165">Common_InputFunctions.Utility_DisplayArrayInTable(Fertiliser_SourceData.Fertiliser_Products_Data3(), FertiliserProducts[[#Headers],[Company]],61)</f>
        <v>Flexi-N NI only</v>
      </c>
      <c r="F165" s="215" t="str" cm="1">
        <f t="array" ref="F165">Common_InputFunctions.Utility_DisplayArrayInTable(Fertiliser_SourceData.Fertiliser_Products_Data3(), FertiliserProducts[[#Headers],[Company]],61)</f>
        <v>kg</v>
      </c>
      <c r="G165" s="215" cm="1">
        <f t="array" ref="G165">Common_InputFunctions.Utility_DisplayArrayInTable(Fertiliser_SourceData.Fertiliser_Products_Data3(), FertiliserProducts[[#Headers],[Company]],61)</f>
        <v>1</v>
      </c>
      <c r="H165" s="215" t="str" cm="1">
        <f t="array" ref="H165">Common_InputFunctions.Utility_DisplayArrayInTable(Fertiliser_SourceData.Fertiliser_Products_Data3(), FertiliserProducts[[#Headers],[Company]],61)</f>
        <v>Yes</v>
      </c>
      <c r="I165" s="215" t="str" cm="1">
        <f t="array" ref="I165">Common_InputFunctions.Utility_DisplayArrayInTable(Fertiliser_SourceData.Fertiliser_Products_Data3(), FertiliserProducts[[#Headers],[Company]],61)</f>
        <v/>
      </c>
      <c r="J165" s="215" t="str" cm="1">
        <f t="array" ref="J165">Common_InputFunctions.Utility_DisplayArrayInTable(Fertiliser_SourceData.Fertiliser_Products_Data3(), FertiliserProducts[[#Headers],[Company]],61)</f>
        <v/>
      </c>
      <c r="K165" s="215" cm="1">
        <f t="array" ref="K165">Common_InputFunctions.Utility_DisplayArrayInTable(Fertiliser_SourceData.Fertiliser_Products_Data3(), FertiliserProducts[[#Headers],[Company]],61)</f>
        <v>45.54</v>
      </c>
      <c r="L165" s="215" t="str" cm="1">
        <f t="array" ref="L165">Common_InputFunctions.Utility_DisplayArrayInTable(Fertiliser_SourceData.Fertiliser_Products_Data3(), FertiliserProducts[[#Headers],[Company]],61)</f>
        <v/>
      </c>
      <c r="M165" s="215" t="str" cm="1">
        <f t="array" ref="M165">Common_InputFunctions.Utility_DisplayArrayInTable(Fertiliser_SourceData.Fertiliser_Products_Data3(), FertiliserProducts[[#Headers],[Company]],61)</f>
        <v/>
      </c>
      <c r="N165" s="215" t="str" cm="1">
        <f t="array" ref="N165">Common_InputFunctions.Utility_DisplayArrayInTable(Fertiliser_SourceData.Fertiliser_Products_Data3(), FertiliserProducts[[#Headers],[Company]],61)</f>
        <v/>
      </c>
      <c r="O165" s="215" t="str" cm="1">
        <f t="array" ref="O165">Common_InputFunctions.Utility_DisplayArrayInTable(Fertiliser_SourceData.Fertiliser_Products_Data3(), FertiliserProducts[[#Headers],[Company]],61)</f>
        <v>Urea</v>
      </c>
      <c r="P165" s="215" cm="1">
        <f t="array" ref="P165">Common_InputFunctions.Utility_DisplayArrayInTable(Fertiliser_SourceData.Fertiliser_Products_Data3(), FertiliserProducts[[#Headers],[Company]],61)</f>
        <v>0.99</v>
      </c>
      <c r="Q165" s="215" t="str" cm="1">
        <f t="array" ref="Q165">Common_InputFunctions.Utility_DisplayArrayInTable(Fertiliser_SourceData.Fertiliser_Products_Data3(), FertiliserProducts[[#Headers],[Company]],61)</f>
        <v>Urease/nitrification inhibitor</v>
      </c>
      <c r="R165" s="215" cm="1">
        <f t="array" ref="R165">Common_InputFunctions.Utility_DisplayArrayInTable(Fertiliser_SourceData.Fertiliser_Products_Data3(), FertiliserProducts[[#Headers],[Company]],61)</f>
        <v>0.01</v>
      </c>
      <c r="S165" s="215" t="str" cm="1">
        <f t="array" ref="S165">Common_InputFunctions.Utility_DisplayArrayInTable(Fertiliser_SourceData.Fertiliser_Products_Data3(), FertiliserProducts[[#Headers],[Company]],61)</f>
        <v/>
      </c>
      <c r="T165" s="215" t="str" cm="1">
        <f t="array" ref="T165">Common_InputFunctions.Utility_DisplayArrayInTable(Fertiliser_SourceData.Fertiliser_Products_Data3(), FertiliserProducts[[#Headers],[Company]],61)</f>
        <v/>
      </c>
      <c r="U165" s="215" t="str" cm="1">
        <f t="array" ref="U165">Common_InputFunctions.Utility_DisplayArrayInTable(Fertiliser_SourceData.Fertiliser_Products_Data3(), FertiliserProducts[[#Headers],[Company]],61)</f>
        <v/>
      </c>
      <c r="V165" s="215" t="str" cm="1">
        <f t="array" ref="V165">Common_InputFunctions.Utility_DisplayArrayInTable(Fertiliser_SourceData.Fertiliser_Products_Data3(), FertiliserProducts[[#Headers],[Company]],61)</f>
        <v/>
      </c>
      <c r="W165" s="215" t="str" cm="1">
        <f t="array" ref="W165">Common_InputFunctions.Utility_DisplayArrayInTable(Fertiliser_SourceData.Fertiliser_Products_Data3(), FertiliserProducts[[#Headers],[Company]],61)</f>
        <v/>
      </c>
      <c r="X165" s="215" t="str" cm="1">
        <f t="array" ref="X165">Common_InputFunctions.Utility_DisplayArrayInTable(Fertiliser_SourceData.Fertiliser_Products_Data3(), FertiliserProducts[[#Headers],[Company]],61)</f>
        <v/>
      </c>
      <c r="Y165" s="215" t="str" cm="1">
        <f t="array" ref="Y165">Common_InputFunctions.Utility_DisplayArrayInTable(Fertiliser_SourceData.Fertiliser_Products_Data3(), FertiliserProducts[[#Headers],[Company]],61)</f>
        <v/>
      </c>
      <c r="Z165" s="215" t="str" cm="1">
        <f t="array" ref="Z165">Common_InputFunctions.Utility_DisplayArrayInTable(Fertiliser_SourceData.Fertiliser_Products_Data3(), FertiliserProducts[[#Headers],[Company]],61)</f>
        <v/>
      </c>
      <c r="AA165" s="215" t="str" cm="1">
        <f t="array" ref="AA165">Common_InputFunctions.Utility_DisplayArrayInTable(Fertiliser_SourceData.Fertiliser_Products_Data3(), FertiliserProducts[[#Headers],[Company]],61)</f>
        <v/>
      </c>
      <c r="AB165" s="215" t="str" cm="1">
        <f t="array" ref="AB165">Common_InputFunctions.Utility_DisplayArrayInTable(Fertiliser_SourceData.Fertiliser_Products_Data3(), FertiliserProducts[[#Headers],[Company]],61)</f>
        <v/>
      </c>
      <c r="AC165" s="215" t="str" cm="1">
        <f t="array" ref="AC165">Common_InputFunctions.Utility_DisplayArrayInTable(Fertiliser_SourceData.Fertiliser_Products_Data3(), FertiliserProducts[[#Headers],[Company]],61)</f>
        <v/>
      </c>
      <c r="AD165" s="215" t="str" cm="1">
        <f t="array" ref="AD165">Common_InputFunctions.Utility_DisplayArrayInTable(Fertiliser_SourceData.Fertiliser_Products_Data3(), FertiliserProducts[[#Headers],[Company]],61)</f>
        <v/>
      </c>
      <c r="AE165" s="215" t="str" cm="1">
        <f t="array" ref="AE165">Common_InputFunctions.Utility_DisplayArrayInTable(Fertiliser_SourceData.Fertiliser_Products_Data3(), FertiliserProducts[[#Headers],[Company]],61)</f>
        <v/>
      </c>
      <c r="AF165" s="215" t="str" cm="1">
        <f t="array" ref="AF165">Common_InputFunctions.Utility_DisplayArrayInTable(Fertiliser_SourceData.Fertiliser_Products_Data3(), FertiliserProducts[[#Headers],[Company]],61)</f>
        <v/>
      </c>
      <c r="AG165" s="215" t="str" cm="1">
        <f t="array" ref="AG165">Common_InputFunctions.Utility_DisplayArrayInTable(Fertiliser_SourceData.Fertiliser_Products_Data3(), FertiliserProducts[[#Headers],[Company]],61)</f>
        <v/>
      </c>
      <c r="AH165" s="215" t="str" cm="1">
        <f t="array" ref="AH165">Common_InputFunctions.Utility_DisplayArrayInTable(Fertiliser_SourceData.Fertiliser_Products_Data3(), FertiliserProducts[[#Headers],[Company]],61)</f>
        <v/>
      </c>
    </row>
    <row r="166" spans="4:34" ht="20.100000000000001" customHeight="1" x14ac:dyDescent="0.25">
      <c r="D166" s="215" t="str" cm="1">
        <f t="array" ref="D166">Common_InputFunctions.Utility_DisplayArrayInTable(Fertiliser_SourceData.Fertiliser_Products_Data3(), FertiliserProducts[[#Headers],[Company]],61)</f>
        <v>Nutri-Tech Solutions (NTS)</v>
      </c>
      <c r="E166" s="215" t="str" cm="1">
        <f t="array" ref="E166">Common_InputFunctions.Utility_DisplayArrayInTable(Fertiliser_SourceData.Fertiliser_Products_Data3(), FertiliserProducts[[#Headers],[Company]],61)</f>
        <v>Muriate Of Potash MOP</v>
      </c>
      <c r="F166" s="215" t="str" cm="1">
        <f t="array" ref="F166">Common_InputFunctions.Utility_DisplayArrayInTable(Fertiliser_SourceData.Fertiliser_Products_Data3(), FertiliserProducts[[#Headers],[Company]],61)</f>
        <v>kg</v>
      </c>
      <c r="G166" s="215" cm="1">
        <f t="array" ref="G166">Common_InputFunctions.Utility_DisplayArrayInTable(Fertiliser_SourceData.Fertiliser_Products_Data3(), FertiliserProducts[[#Headers],[Company]],61)</f>
        <v>1</v>
      </c>
      <c r="H166" s="215" t="str" cm="1">
        <f t="array" ref="H166">Common_InputFunctions.Utility_DisplayArrayInTable(Fertiliser_SourceData.Fertiliser_Products_Data3(), FertiliserProducts[[#Headers],[Company]],61)</f>
        <v/>
      </c>
      <c r="I166" s="215" t="str" cm="1">
        <f t="array" ref="I166">Common_InputFunctions.Utility_DisplayArrayInTable(Fertiliser_SourceData.Fertiliser_Products_Data3(), FertiliserProducts[[#Headers],[Company]],61)</f>
        <v/>
      </c>
      <c r="J166" s="215" t="str" cm="1">
        <f t="array" ref="J166">Common_InputFunctions.Utility_DisplayArrayInTable(Fertiliser_SourceData.Fertiliser_Products_Data3(), FertiliserProducts[[#Headers],[Company]],61)</f>
        <v/>
      </c>
      <c r="K166" s="215" t="str" cm="1">
        <f t="array" ref="K166">Common_InputFunctions.Utility_DisplayArrayInTable(Fertiliser_SourceData.Fertiliser_Products_Data3(), FertiliserProducts[[#Headers],[Company]],61)</f>
        <v/>
      </c>
      <c r="L166" s="215" t="str" cm="1">
        <f t="array" ref="L166">Common_InputFunctions.Utility_DisplayArrayInTable(Fertiliser_SourceData.Fertiliser_Products_Data3(), FertiliserProducts[[#Headers],[Company]],61)</f>
        <v/>
      </c>
      <c r="M166" s="215" cm="1">
        <f t="array" ref="M166">Common_InputFunctions.Utility_DisplayArrayInTable(Fertiliser_SourceData.Fertiliser_Products_Data3(), FertiliserProducts[[#Headers],[Company]],61)</f>
        <v>50</v>
      </c>
      <c r="N166" s="215" t="str" cm="1">
        <f t="array" ref="N166">Common_InputFunctions.Utility_DisplayArrayInTable(Fertiliser_SourceData.Fertiliser_Products_Data3(), FertiliserProducts[[#Headers],[Company]],61)</f>
        <v/>
      </c>
      <c r="O166" s="215" t="str" cm="1">
        <f t="array" ref="O166">Common_InputFunctions.Utility_DisplayArrayInTable(Fertiliser_SourceData.Fertiliser_Products_Data3(), FertiliserProducts[[#Headers],[Company]],61)</f>
        <v>Muriate of potash (MOP)</v>
      </c>
      <c r="P166" s="215" cm="1">
        <f t="array" ref="P166">Common_InputFunctions.Utility_DisplayArrayInTable(Fertiliser_SourceData.Fertiliser_Products_Data3(), FertiliserProducts[[#Headers],[Company]],61)</f>
        <v>1</v>
      </c>
      <c r="Q166" s="215" t="str" cm="1">
        <f t="array" ref="Q166">Common_InputFunctions.Utility_DisplayArrayInTable(Fertiliser_SourceData.Fertiliser_Products_Data3(), FertiliserProducts[[#Headers],[Company]],61)</f>
        <v/>
      </c>
      <c r="R166" s="215" t="str" cm="1">
        <f t="array" ref="R166">Common_InputFunctions.Utility_DisplayArrayInTable(Fertiliser_SourceData.Fertiliser_Products_Data3(), FertiliserProducts[[#Headers],[Company]],61)</f>
        <v/>
      </c>
      <c r="S166" s="215" t="str" cm="1">
        <f t="array" ref="S166">Common_InputFunctions.Utility_DisplayArrayInTable(Fertiliser_SourceData.Fertiliser_Products_Data3(), FertiliserProducts[[#Headers],[Company]],61)</f>
        <v/>
      </c>
      <c r="T166" s="215" t="str" cm="1">
        <f t="array" ref="T166">Common_InputFunctions.Utility_DisplayArrayInTable(Fertiliser_SourceData.Fertiliser_Products_Data3(), FertiliserProducts[[#Headers],[Company]],61)</f>
        <v/>
      </c>
      <c r="U166" s="215" t="str" cm="1">
        <f t="array" ref="U166">Common_InputFunctions.Utility_DisplayArrayInTable(Fertiliser_SourceData.Fertiliser_Products_Data3(), FertiliserProducts[[#Headers],[Company]],61)</f>
        <v/>
      </c>
      <c r="V166" s="215" t="str" cm="1">
        <f t="array" ref="V166">Common_InputFunctions.Utility_DisplayArrayInTable(Fertiliser_SourceData.Fertiliser_Products_Data3(), FertiliserProducts[[#Headers],[Company]],61)</f>
        <v/>
      </c>
      <c r="W166" s="215" t="str" cm="1">
        <f t="array" ref="W166">Common_InputFunctions.Utility_DisplayArrayInTable(Fertiliser_SourceData.Fertiliser_Products_Data3(), FertiliserProducts[[#Headers],[Company]],61)</f>
        <v/>
      </c>
      <c r="X166" s="215" t="str" cm="1">
        <f t="array" ref="X166">Common_InputFunctions.Utility_DisplayArrayInTable(Fertiliser_SourceData.Fertiliser_Products_Data3(), FertiliserProducts[[#Headers],[Company]],61)</f>
        <v/>
      </c>
      <c r="Y166" s="215" t="str" cm="1">
        <f t="array" ref="Y166">Common_InputFunctions.Utility_DisplayArrayInTable(Fertiliser_SourceData.Fertiliser_Products_Data3(), FertiliserProducts[[#Headers],[Company]],61)</f>
        <v/>
      </c>
      <c r="Z166" s="215" t="str" cm="1">
        <f t="array" ref="Z166">Common_InputFunctions.Utility_DisplayArrayInTable(Fertiliser_SourceData.Fertiliser_Products_Data3(), FertiliserProducts[[#Headers],[Company]],61)</f>
        <v/>
      </c>
      <c r="AA166" s="215" t="str" cm="1">
        <f t="array" ref="AA166">Common_InputFunctions.Utility_DisplayArrayInTable(Fertiliser_SourceData.Fertiliser_Products_Data3(), FertiliserProducts[[#Headers],[Company]],61)</f>
        <v/>
      </c>
      <c r="AB166" s="215" t="str" cm="1">
        <f t="array" ref="AB166">Common_InputFunctions.Utility_DisplayArrayInTable(Fertiliser_SourceData.Fertiliser_Products_Data3(), FertiliserProducts[[#Headers],[Company]],61)</f>
        <v/>
      </c>
      <c r="AC166" s="215" t="str" cm="1">
        <f t="array" ref="AC166">Common_InputFunctions.Utility_DisplayArrayInTable(Fertiliser_SourceData.Fertiliser_Products_Data3(), FertiliserProducts[[#Headers],[Company]],61)</f>
        <v/>
      </c>
      <c r="AD166" s="215" t="str" cm="1">
        <f t="array" ref="AD166">Common_InputFunctions.Utility_DisplayArrayInTable(Fertiliser_SourceData.Fertiliser_Products_Data3(), FertiliserProducts[[#Headers],[Company]],61)</f>
        <v/>
      </c>
      <c r="AE166" s="215" t="str" cm="1">
        <f t="array" ref="AE166">Common_InputFunctions.Utility_DisplayArrayInTable(Fertiliser_SourceData.Fertiliser_Products_Data3(), FertiliserProducts[[#Headers],[Company]],61)</f>
        <v/>
      </c>
      <c r="AF166" s="215" t="str" cm="1">
        <f t="array" ref="AF166">Common_InputFunctions.Utility_DisplayArrayInTable(Fertiliser_SourceData.Fertiliser_Products_Data3(), FertiliserProducts[[#Headers],[Company]],61)</f>
        <v/>
      </c>
      <c r="AG166" s="215" t="str" cm="1">
        <f t="array" ref="AG166">Common_InputFunctions.Utility_DisplayArrayInTable(Fertiliser_SourceData.Fertiliser_Products_Data3(), FertiliserProducts[[#Headers],[Company]],61)</f>
        <v/>
      </c>
      <c r="AH166" s="215" t="str" cm="1">
        <f t="array" ref="AH166">Common_InputFunctions.Utility_DisplayArrayInTable(Fertiliser_SourceData.Fertiliser_Products_Data3(), FertiliserProducts[[#Headers],[Company]],61)</f>
        <v/>
      </c>
    </row>
    <row r="167" spans="4:34" ht="20.100000000000001" customHeight="1" x14ac:dyDescent="0.25">
      <c r="D167" s="215" t="str" cm="1">
        <f t="array" ref="D167">Common_InputFunctions.Utility_DisplayArrayInTable(Fertiliser_SourceData.Fertiliser_Products_Data3(), FertiliserProducts[[#Headers],[Company]],61)</f>
        <v>Nuturf</v>
      </c>
      <c r="E167" s="215" t="str" cm="1">
        <f t="array" ref="E167">Common_InputFunctions.Utility_DisplayArrayInTable(Fertiliser_SourceData.Fertiliser_Products_Data3(), FertiliserProducts[[#Headers],[Company]],61)</f>
        <v>MAP NUTURF</v>
      </c>
      <c r="F167" s="215" t="str" cm="1">
        <f t="array" ref="F167">Common_InputFunctions.Utility_DisplayArrayInTable(Fertiliser_SourceData.Fertiliser_Products_Data3(), FertiliserProducts[[#Headers],[Company]],61)</f>
        <v>kg</v>
      </c>
      <c r="G167" s="215" cm="1">
        <f t="array" ref="G167">Common_InputFunctions.Utility_DisplayArrayInTable(Fertiliser_SourceData.Fertiliser_Products_Data3(), FertiliserProducts[[#Headers],[Company]],61)</f>
        <v>1</v>
      </c>
      <c r="H167" s="215" t="str" cm="1">
        <f t="array" ref="H167">Common_InputFunctions.Utility_DisplayArrayInTable(Fertiliser_SourceData.Fertiliser_Products_Data3(), FertiliserProducts[[#Headers],[Company]],61)</f>
        <v/>
      </c>
      <c r="I167" s="215" t="str" cm="1">
        <f t="array" ref="I167">Common_InputFunctions.Utility_DisplayArrayInTable(Fertiliser_SourceData.Fertiliser_Products_Data3(), FertiliserProducts[[#Headers],[Company]],61)</f>
        <v/>
      </c>
      <c r="J167" s="215" t="str" cm="1">
        <f t="array" ref="J167">Common_InputFunctions.Utility_DisplayArrayInTable(Fertiliser_SourceData.Fertiliser_Products_Data3(), FertiliserProducts[[#Headers],[Company]],61)</f>
        <v/>
      </c>
      <c r="K167" s="215" cm="1">
        <f t="array" ref="K167">Common_InputFunctions.Utility_DisplayArrayInTable(Fertiliser_SourceData.Fertiliser_Products_Data3(), FertiliserProducts[[#Headers],[Company]],61)</f>
        <v>10</v>
      </c>
      <c r="L167" s="215" cm="1">
        <f t="array" ref="L167">Common_InputFunctions.Utility_DisplayArrayInTable(Fertiliser_SourceData.Fertiliser_Products_Data3(), FertiliserProducts[[#Headers],[Company]],61)</f>
        <v>21.9</v>
      </c>
      <c r="M167" s="215" t="str" cm="1">
        <f t="array" ref="M167">Common_InputFunctions.Utility_DisplayArrayInTable(Fertiliser_SourceData.Fertiliser_Products_Data3(), FertiliserProducts[[#Headers],[Company]],61)</f>
        <v/>
      </c>
      <c r="N167" s="215" t="str" cm="1">
        <f t="array" ref="N167">Common_InputFunctions.Utility_DisplayArrayInTable(Fertiliser_SourceData.Fertiliser_Products_Data3(), FertiliserProducts[[#Headers],[Company]],61)</f>
        <v/>
      </c>
      <c r="O167" s="215" t="str" cm="1">
        <f t="array" ref="O167">Common_InputFunctions.Utility_DisplayArrayInTable(Fertiliser_SourceData.Fertiliser_Products_Data3(), FertiliserProducts[[#Headers],[Company]],61)</f>
        <v>Monoammonium phosphate (MAP)</v>
      </c>
      <c r="P167" s="215" cm="1">
        <f t="array" ref="P167">Common_InputFunctions.Utility_DisplayArrayInTable(Fertiliser_SourceData.Fertiliser_Products_Data3(), FertiliserProducts[[#Headers],[Company]],61)</f>
        <v>1</v>
      </c>
      <c r="Q167" s="215" t="str" cm="1">
        <f t="array" ref="Q167">Common_InputFunctions.Utility_DisplayArrayInTable(Fertiliser_SourceData.Fertiliser_Products_Data3(), FertiliserProducts[[#Headers],[Company]],61)</f>
        <v/>
      </c>
      <c r="R167" s="215" t="str" cm="1">
        <f t="array" ref="R167">Common_InputFunctions.Utility_DisplayArrayInTable(Fertiliser_SourceData.Fertiliser_Products_Data3(), FertiliserProducts[[#Headers],[Company]],61)</f>
        <v/>
      </c>
      <c r="S167" s="215" t="str" cm="1">
        <f t="array" ref="S167">Common_InputFunctions.Utility_DisplayArrayInTable(Fertiliser_SourceData.Fertiliser_Products_Data3(), FertiliserProducts[[#Headers],[Company]],61)</f>
        <v/>
      </c>
      <c r="T167" s="215" t="str" cm="1">
        <f t="array" ref="T167">Common_InputFunctions.Utility_DisplayArrayInTable(Fertiliser_SourceData.Fertiliser_Products_Data3(), FertiliserProducts[[#Headers],[Company]],61)</f>
        <v/>
      </c>
      <c r="U167" s="215" t="str" cm="1">
        <f t="array" ref="U167">Common_InputFunctions.Utility_DisplayArrayInTable(Fertiliser_SourceData.Fertiliser_Products_Data3(), FertiliserProducts[[#Headers],[Company]],61)</f>
        <v/>
      </c>
      <c r="V167" s="215" t="str" cm="1">
        <f t="array" ref="V167">Common_InputFunctions.Utility_DisplayArrayInTable(Fertiliser_SourceData.Fertiliser_Products_Data3(), FertiliserProducts[[#Headers],[Company]],61)</f>
        <v/>
      </c>
      <c r="W167" s="215" t="str" cm="1">
        <f t="array" ref="W167">Common_InputFunctions.Utility_DisplayArrayInTable(Fertiliser_SourceData.Fertiliser_Products_Data3(), FertiliserProducts[[#Headers],[Company]],61)</f>
        <v/>
      </c>
      <c r="X167" s="215" t="str" cm="1">
        <f t="array" ref="X167">Common_InputFunctions.Utility_DisplayArrayInTable(Fertiliser_SourceData.Fertiliser_Products_Data3(), FertiliserProducts[[#Headers],[Company]],61)</f>
        <v/>
      </c>
      <c r="Y167" s="215" t="str" cm="1">
        <f t="array" ref="Y167">Common_InputFunctions.Utility_DisplayArrayInTable(Fertiliser_SourceData.Fertiliser_Products_Data3(), FertiliserProducts[[#Headers],[Company]],61)</f>
        <v/>
      </c>
      <c r="Z167" s="215" t="str" cm="1">
        <f t="array" ref="Z167">Common_InputFunctions.Utility_DisplayArrayInTable(Fertiliser_SourceData.Fertiliser_Products_Data3(), FertiliserProducts[[#Headers],[Company]],61)</f>
        <v/>
      </c>
      <c r="AA167" s="215" t="str" cm="1">
        <f t="array" ref="AA167">Common_InputFunctions.Utility_DisplayArrayInTable(Fertiliser_SourceData.Fertiliser_Products_Data3(), FertiliserProducts[[#Headers],[Company]],61)</f>
        <v/>
      </c>
      <c r="AB167" s="215" t="str" cm="1">
        <f t="array" ref="AB167">Common_InputFunctions.Utility_DisplayArrayInTable(Fertiliser_SourceData.Fertiliser_Products_Data3(), FertiliserProducts[[#Headers],[Company]],61)</f>
        <v/>
      </c>
      <c r="AC167" s="215" t="str" cm="1">
        <f t="array" ref="AC167">Common_InputFunctions.Utility_DisplayArrayInTable(Fertiliser_SourceData.Fertiliser_Products_Data3(), FertiliserProducts[[#Headers],[Company]],61)</f>
        <v/>
      </c>
      <c r="AD167" s="215" t="str" cm="1">
        <f t="array" ref="AD167">Common_InputFunctions.Utility_DisplayArrayInTable(Fertiliser_SourceData.Fertiliser_Products_Data3(), FertiliserProducts[[#Headers],[Company]],61)</f>
        <v/>
      </c>
      <c r="AE167" s="215" t="str" cm="1">
        <f t="array" ref="AE167">Common_InputFunctions.Utility_DisplayArrayInTable(Fertiliser_SourceData.Fertiliser_Products_Data3(), FertiliserProducts[[#Headers],[Company]],61)</f>
        <v/>
      </c>
      <c r="AF167" s="215" t="str" cm="1">
        <f t="array" ref="AF167">Common_InputFunctions.Utility_DisplayArrayInTable(Fertiliser_SourceData.Fertiliser_Products_Data3(), FertiliserProducts[[#Headers],[Company]],61)</f>
        <v/>
      </c>
      <c r="AG167" s="215" t="str" cm="1">
        <f t="array" ref="AG167">Common_InputFunctions.Utility_DisplayArrayInTable(Fertiliser_SourceData.Fertiliser_Products_Data3(), FertiliserProducts[[#Headers],[Company]],61)</f>
        <v/>
      </c>
      <c r="AH167" s="215" t="str" cm="1">
        <f t="array" ref="AH167">Common_InputFunctions.Utility_DisplayArrayInTable(Fertiliser_SourceData.Fertiliser_Products_Data3(), FertiliserProducts[[#Headers],[Company]],61)</f>
        <v/>
      </c>
    </row>
    <row r="168" spans="4:34" ht="20.100000000000001" customHeight="1" x14ac:dyDescent="0.25">
      <c r="D168" s="215" t="str" cm="1">
        <f t="array" ref="D168">Common_InputFunctions.Utility_DisplayArrayInTable(Fertiliser_SourceData.Fertiliser_Products_Data3(), FertiliserProducts[[#Headers],[Company]],61)</f>
        <v>Campbells fertilisers Australia</v>
      </c>
      <c r="E168" s="215" t="str" cm="1">
        <f t="array" ref="E168">Common_InputFunctions.Utility_DisplayArrayInTable(Fertiliser_SourceData.Fertiliser_Products_Data3(), FertiliserProducts[[#Headers],[Company]],61)</f>
        <v>Quick-N</v>
      </c>
      <c r="F168" s="215" t="str" cm="1">
        <f t="array" ref="F168">Common_InputFunctions.Utility_DisplayArrayInTable(Fertiliser_SourceData.Fertiliser_Products_Data3(), FertiliserProducts[[#Headers],[Company]],61)</f>
        <v>kg</v>
      </c>
      <c r="G168" s="215" cm="1">
        <f t="array" ref="G168">Common_InputFunctions.Utility_DisplayArrayInTable(Fertiliser_SourceData.Fertiliser_Products_Data3(), FertiliserProducts[[#Headers],[Company]],61)</f>
        <v>1</v>
      </c>
      <c r="H168" s="215" t="str" cm="1">
        <f t="array" ref="H168">Common_InputFunctions.Utility_DisplayArrayInTable(Fertiliser_SourceData.Fertiliser_Products_Data3(), FertiliserProducts[[#Headers],[Company]],61)</f>
        <v/>
      </c>
      <c r="I168" s="215" t="str" cm="1">
        <f t="array" ref="I168">Common_InputFunctions.Utility_DisplayArrayInTable(Fertiliser_SourceData.Fertiliser_Products_Data3(), FertiliserProducts[[#Headers],[Company]],61)</f>
        <v/>
      </c>
      <c r="J168" s="215" t="str" cm="1">
        <f t="array" ref="J168">Common_InputFunctions.Utility_DisplayArrayInTable(Fertiliser_SourceData.Fertiliser_Products_Data3(), FertiliserProducts[[#Headers],[Company]],61)</f>
        <v/>
      </c>
      <c r="K168" s="215" cm="1">
        <f t="array" ref="K168">Common_InputFunctions.Utility_DisplayArrayInTable(Fertiliser_SourceData.Fertiliser_Products_Data3(), FertiliserProducts[[#Headers],[Company]],61)</f>
        <v>26</v>
      </c>
      <c r="L168" s="215" t="str" cm="1">
        <f t="array" ref="L168">Common_InputFunctions.Utility_DisplayArrayInTable(Fertiliser_SourceData.Fertiliser_Products_Data3(), FertiliserProducts[[#Headers],[Company]],61)</f>
        <v/>
      </c>
      <c r="M168" s="215" t="str" cm="1">
        <f t="array" ref="M168">Common_InputFunctions.Utility_DisplayArrayInTable(Fertiliser_SourceData.Fertiliser_Products_Data3(), FertiliserProducts[[#Headers],[Company]],61)</f>
        <v/>
      </c>
      <c r="N168" s="215" cm="1">
        <f t="array" ref="N168">Common_InputFunctions.Utility_DisplayArrayInTable(Fertiliser_SourceData.Fertiliser_Products_Data3(), FertiliserProducts[[#Headers],[Company]],61)</f>
        <v>13</v>
      </c>
      <c r="O168" s="215" t="str" cm="1">
        <f t="array" ref="O168">Common_InputFunctions.Utility_DisplayArrayInTable(Fertiliser_SourceData.Fertiliser_Products_Data3(), FertiliserProducts[[#Headers],[Company]],61)</f>
        <v>Sulphate of ammonia (SOA)</v>
      </c>
      <c r="P168" s="215" cm="1">
        <f t="array" ref="P168">Common_InputFunctions.Utility_DisplayArrayInTable(Fertiliser_SourceData.Fertiliser_Products_Data3(), FertiliserProducts[[#Headers],[Company]],61)</f>
        <v>0.54166700000000001</v>
      </c>
      <c r="Q168" s="215" t="str" cm="1">
        <f t="array" ref="Q168">Common_InputFunctions.Utility_DisplayArrayInTable(Fertiliser_SourceData.Fertiliser_Products_Data3(), FertiliserProducts[[#Headers],[Company]],61)</f>
        <v>Ammonium nitrate (AN)</v>
      </c>
      <c r="R168" s="215" cm="1">
        <f t="array" ref="R168">Common_InputFunctions.Utility_DisplayArrayInTable(Fertiliser_SourceData.Fertiliser_Products_Data3(), FertiliserProducts[[#Headers],[Company]],61)</f>
        <v>0.43397599999999997</v>
      </c>
      <c r="S168" s="215" t="str" cm="1">
        <f t="array" ref="S168">Common_InputFunctions.Utility_DisplayArrayInTable(Fertiliser_SourceData.Fertiliser_Products_Data3(), FertiliserProducts[[#Headers],[Company]],61)</f>
        <v/>
      </c>
      <c r="T168" s="215" t="str" cm="1">
        <f t="array" ref="T168">Common_InputFunctions.Utility_DisplayArrayInTable(Fertiliser_SourceData.Fertiliser_Products_Data3(), FertiliserProducts[[#Headers],[Company]],61)</f>
        <v/>
      </c>
      <c r="U168" s="215" t="str" cm="1">
        <f t="array" ref="U168">Common_InputFunctions.Utility_DisplayArrayInTable(Fertiliser_SourceData.Fertiliser_Products_Data3(), FertiliserProducts[[#Headers],[Company]],61)</f>
        <v/>
      </c>
      <c r="V168" s="215" t="str" cm="1">
        <f t="array" ref="V168">Common_InputFunctions.Utility_DisplayArrayInTable(Fertiliser_SourceData.Fertiliser_Products_Data3(), FertiliserProducts[[#Headers],[Company]],61)</f>
        <v/>
      </c>
      <c r="W168" s="215" t="str" cm="1">
        <f t="array" ref="W168">Common_InputFunctions.Utility_DisplayArrayInTable(Fertiliser_SourceData.Fertiliser_Products_Data3(), FertiliserProducts[[#Headers],[Company]],61)</f>
        <v/>
      </c>
      <c r="X168" s="215" t="str" cm="1">
        <f t="array" ref="X168">Common_InputFunctions.Utility_DisplayArrayInTable(Fertiliser_SourceData.Fertiliser_Products_Data3(), FertiliserProducts[[#Headers],[Company]],61)</f>
        <v/>
      </c>
      <c r="Y168" s="215" t="str" cm="1">
        <f t="array" ref="Y168">Common_InputFunctions.Utility_DisplayArrayInTable(Fertiliser_SourceData.Fertiliser_Products_Data3(), FertiliserProducts[[#Headers],[Company]],61)</f>
        <v/>
      </c>
      <c r="Z168" s="215" t="str" cm="1">
        <f t="array" ref="Z168">Common_InputFunctions.Utility_DisplayArrayInTable(Fertiliser_SourceData.Fertiliser_Products_Data3(), FertiliserProducts[[#Headers],[Company]],61)</f>
        <v/>
      </c>
      <c r="AA168" s="215" t="str" cm="1">
        <f t="array" ref="AA168">Common_InputFunctions.Utility_DisplayArrayInTable(Fertiliser_SourceData.Fertiliser_Products_Data3(), FertiliserProducts[[#Headers],[Company]],61)</f>
        <v/>
      </c>
      <c r="AB168" s="215" t="str" cm="1">
        <f t="array" ref="AB168">Common_InputFunctions.Utility_DisplayArrayInTable(Fertiliser_SourceData.Fertiliser_Products_Data3(), FertiliserProducts[[#Headers],[Company]],61)</f>
        <v/>
      </c>
      <c r="AC168" s="215" t="str" cm="1">
        <f t="array" ref="AC168">Common_InputFunctions.Utility_DisplayArrayInTable(Fertiliser_SourceData.Fertiliser_Products_Data3(), FertiliserProducts[[#Headers],[Company]],61)</f>
        <v/>
      </c>
      <c r="AD168" s="215" t="str" cm="1">
        <f t="array" ref="AD168">Common_InputFunctions.Utility_DisplayArrayInTable(Fertiliser_SourceData.Fertiliser_Products_Data3(), FertiliserProducts[[#Headers],[Company]],61)</f>
        <v/>
      </c>
      <c r="AE168" s="215" t="str" cm="1">
        <f t="array" ref="AE168">Common_InputFunctions.Utility_DisplayArrayInTable(Fertiliser_SourceData.Fertiliser_Products_Data3(), FertiliserProducts[[#Headers],[Company]],61)</f>
        <v/>
      </c>
      <c r="AF168" s="215" t="str" cm="1">
        <f t="array" ref="AF168">Common_InputFunctions.Utility_DisplayArrayInTable(Fertiliser_SourceData.Fertiliser_Products_Data3(), FertiliserProducts[[#Headers],[Company]],61)</f>
        <v/>
      </c>
      <c r="AG168" s="215" t="str" cm="1">
        <f t="array" ref="AG168">Common_InputFunctions.Utility_DisplayArrayInTable(Fertiliser_SourceData.Fertiliser_Products_Data3(), FertiliserProducts[[#Headers],[Company]],61)</f>
        <v/>
      </c>
      <c r="AH168" s="215" t="str" cm="1">
        <f t="array" ref="AH168">Common_InputFunctions.Utility_DisplayArrayInTable(Fertiliser_SourceData.Fertiliser_Products_Data3(), FertiliserProducts[[#Headers],[Company]],61)</f>
        <v/>
      </c>
    </row>
    <row r="169" spans="4:34" ht="20.100000000000001" customHeight="1" x14ac:dyDescent="0.25">
      <c r="D169" s="215" t="str" cm="1">
        <f t="array" ref="D169">Common_InputFunctions.Utility_DisplayArrayInTable(Fertiliser_SourceData.Fertiliser_Products_Data3(), FertiliserProducts[[#Headers],[Company]],61)</f>
        <v>SLTEC Fertilizers</v>
      </c>
      <c r="E169" s="215" t="str" cm="1">
        <f t="array" ref="E169">Common_InputFunctions.Utility_DisplayArrayInTable(Fertiliser_SourceData.Fertiliser_Products_Data3(), FertiliserProducts[[#Headers],[Company]],61)</f>
        <v>UAS</v>
      </c>
      <c r="F169" s="215" t="str" cm="1">
        <f t="array" ref="F169">Common_InputFunctions.Utility_DisplayArrayInTable(Fertiliser_SourceData.Fertiliser_Products_Data3(), FertiliserProducts[[#Headers],[Company]],61)</f>
        <v>L</v>
      </c>
      <c r="G169" s="215" cm="1">
        <f t="array" ref="G169">Common_InputFunctions.Utility_DisplayArrayInTable(Fertiliser_SourceData.Fertiliser_Products_Data3(), FertiliserProducts[[#Headers],[Company]],61)</f>
        <v>1.2350000000000001</v>
      </c>
      <c r="H169" s="215" t="str" cm="1">
        <f t="array" ref="H169">Common_InputFunctions.Utility_DisplayArrayInTable(Fertiliser_SourceData.Fertiliser_Products_Data3(), FertiliserProducts[[#Headers],[Company]],61)</f>
        <v/>
      </c>
      <c r="I169" s="215" t="str" cm="1">
        <f t="array" ref="I169">Common_InputFunctions.Utility_DisplayArrayInTable(Fertiliser_SourceData.Fertiliser_Products_Data3(), FertiliserProducts[[#Headers],[Company]],61)</f>
        <v/>
      </c>
      <c r="J169" s="215" t="str" cm="1">
        <f t="array" ref="J169">Common_InputFunctions.Utility_DisplayArrayInTable(Fertiliser_SourceData.Fertiliser_Products_Data3(), FertiliserProducts[[#Headers],[Company]],61)</f>
        <v/>
      </c>
      <c r="K169" s="215" cm="1">
        <f t="array" ref="K169">Common_InputFunctions.Utility_DisplayArrayInTable(Fertiliser_SourceData.Fertiliser_Products_Data3(), FertiliserProducts[[#Headers],[Company]],61)</f>
        <v>26.6</v>
      </c>
      <c r="L169" s="215" t="str" cm="1">
        <f t="array" ref="L169">Common_InputFunctions.Utility_DisplayArrayInTable(Fertiliser_SourceData.Fertiliser_Products_Data3(), FertiliserProducts[[#Headers],[Company]],61)</f>
        <v/>
      </c>
      <c r="M169" s="215" t="str" cm="1">
        <f t="array" ref="M169">Common_InputFunctions.Utility_DisplayArrayInTable(Fertiliser_SourceData.Fertiliser_Products_Data3(), FertiliserProducts[[#Headers],[Company]],61)</f>
        <v/>
      </c>
      <c r="N169" s="215" cm="1">
        <f t="array" ref="N169">Common_InputFunctions.Utility_DisplayArrayInTable(Fertiliser_SourceData.Fertiliser_Products_Data3(), FertiliserProducts[[#Headers],[Company]],61)</f>
        <v>6.7</v>
      </c>
      <c r="O169" s="215" t="str" cm="1">
        <f t="array" ref="O169">Common_InputFunctions.Utility_DisplayArrayInTable(Fertiliser_SourceData.Fertiliser_Products_Data3(), FertiliserProducts[[#Headers],[Company]],61)</f>
        <v>Urea</v>
      </c>
      <c r="P169" s="215" cm="1">
        <f t="array" ref="P169">Common_InputFunctions.Utility_DisplayArrayInTable(Fertiliser_SourceData.Fertiliser_Products_Data3(), FertiliserProducts[[#Headers],[Company]],61)</f>
        <v>0.45081500000000002</v>
      </c>
      <c r="Q169" s="215" t="str" cm="1">
        <f t="array" ref="Q169">Common_InputFunctions.Utility_DisplayArrayInTable(Fertiliser_SourceData.Fertiliser_Products_Data3(), FertiliserProducts[[#Headers],[Company]],61)</f>
        <v>Sulphate of ammonia (SOA)</v>
      </c>
      <c r="R169" s="215" cm="1">
        <f t="array" ref="R169">Common_InputFunctions.Utility_DisplayArrayInTable(Fertiliser_SourceData.Fertiliser_Products_Data3(), FertiliserProducts[[#Headers],[Company]],61)</f>
        <v>0.279167</v>
      </c>
      <c r="S169" s="215" t="str" cm="1">
        <f t="array" ref="S169">Common_InputFunctions.Utility_DisplayArrayInTable(Fertiliser_SourceData.Fertiliser_Products_Data3(), FertiliserProducts[[#Headers],[Company]],61)</f>
        <v/>
      </c>
      <c r="T169" s="215" t="str" cm="1">
        <f t="array" ref="T169">Common_InputFunctions.Utility_DisplayArrayInTable(Fertiliser_SourceData.Fertiliser_Products_Data3(), FertiliserProducts[[#Headers],[Company]],61)</f>
        <v/>
      </c>
      <c r="U169" s="215" t="str" cm="1">
        <f t="array" ref="U169">Common_InputFunctions.Utility_DisplayArrayInTable(Fertiliser_SourceData.Fertiliser_Products_Data3(), FertiliserProducts[[#Headers],[Company]],61)</f>
        <v/>
      </c>
      <c r="V169" s="215" t="str" cm="1">
        <f t="array" ref="V169">Common_InputFunctions.Utility_DisplayArrayInTable(Fertiliser_SourceData.Fertiliser_Products_Data3(), FertiliserProducts[[#Headers],[Company]],61)</f>
        <v/>
      </c>
      <c r="W169" s="215" t="str" cm="1">
        <f t="array" ref="W169">Common_InputFunctions.Utility_DisplayArrayInTable(Fertiliser_SourceData.Fertiliser_Products_Data3(), FertiliserProducts[[#Headers],[Company]],61)</f>
        <v/>
      </c>
      <c r="X169" s="215" t="str" cm="1">
        <f t="array" ref="X169">Common_InputFunctions.Utility_DisplayArrayInTable(Fertiliser_SourceData.Fertiliser_Products_Data3(), FertiliserProducts[[#Headers],[Company]],61)</f>
        <v/>
      </c>
      <c r="Y169" s="215" t="str" cm="1">
        <f t="array" ref="Y169">Common_InputFunctions.Utility_DisplayArrayInTable(Fertiliser_SourceData.Fertiliser_Products_Data3(), FertiliserProducts[[#Headers],[Company]],61)</f>
        <v/>
      </c>
      <c r="Z169" s="215" t="str" cm="1">
        <f t="array" ref="Z169">Common_InputFunctions.Utility_DisplayArrayInTable(Fertiliser_SourceData.Fertiliser_Products_Data3(), FertiliserProducts[[#Headers],[Company]],61)</f>
        <v/>
      </c>
      <c r="AA169" s="215" t="str" cm="1">
        <f t="array" ref="AA169">Common_InputFunctions.Utility_DisplayArrayInTable(Fertiliser_SourceData.Fertiliser_Products_Data3(), FertiliserProducts[[#Headers],[Company]],61)</f>
        <v/>
      </c>
      <c r="AB169" s="215" t="str" cm="1">
        <f t="array" ref="AB169">Common_InputFunctions.Utility_DisplayArrayInTable(Fertiliser_SourceData.Fertiliser_Products_Data3(), FertiliserProducts[[#Headers],[Company]],61)</f>
        <v/>
      </c>
      <c r="AC169" s="215" t="str" cm="1">
        <f t="array" ref="AC169">Common_InputFunctions.Utility_DisplayArrayInTable(Fertiliser_SourceData.Fertiliser_Products_Data3(), FertiliserProducts[[#Headers],[Company]],61)</f>
        <v/>
      </c>
      <c r="AD169" s="215" t="str" cm="1">
        <f t="array" ref="AD169">Common_InputFunctions.Utility_DisplayArrayInTable(Fertiliser_SourceData.Fertiliser_Products_Data3(), FertiliserProducts[[#Headers],[Company]],61)</f>
        <v/>
      </c>
      <c r="AE169" s="215" t="str" cm="1">
        <f t="array" ref="AE169">Common_InputFunctions.Utility_DisplayArrayInTable(Fertiliser_SourceData.Fertiliser_Products_Data3(), FertiliserProducts[[#Headers],[Company]],61)</f>
        <v/>
      </c>
      <c r="AF169" s="215" t="str" cm="1">
        <f t="array" ref="AF169">Common_InputFunctions.Utility_DisplayArrayInTable(Fertiliser_SourceData.Fertiliser_Products_Data3(), FertiliserProducts[[#Headers],[Company]],61)</f>
        <v/>
      </c>
      <c r="AG169" s="215" t="str" cm="1">
        <f t="array" ref="AG169">Common_InputFunctions.Utility_DisplayArrayInTable(Fertiliser_SourceData.Fertiliser_Products_Data3(), FertiliserProducts[[#Headers],[Company]],61)</f>
        <v/>
      </c>
      <c r="AH169" s="215" t="str" cm="1">
        <f t="array" ref="AH169">Common_InputFunctions.Utility_DisplayArrayInTable(Fertiliser_SourceData.Fertiliser_Products_Data3(), FertiliserProducts[[#Headers],[Company]],61)</f>
        <v/>
      </c>
    </row>
    <row r="170" spans="4:34" ht="20.100000000000001" customHeight="1" x14ac:dyDescent="0.25">
      <c r="D170" s="215" t="str" cm="1">
        <f t="array" ref="D170">Common_InputFunctions.Utility_DisplayArrayInTable(Fertiliser_SourceData.Fertiliser_Products_Data3(), FertiliserProducts[[#Headers],[Company]],61)</f>
        <v>SLTEC Fertilizers</v>
      </c>
      <c r="E170" s="215" t="str" cm="1">
        <f t="array" ref="E170">Common_InputFunctions.Utility_DisplayArrayInTable(Fertiliser_SourceData.Fertiliser_Products_Data3(), FertiliserProducts[[#Headers],[Company]],61)</f>
        <v>Triazone Urea</v>
      </c>
      <c r="F170" s="215" t="str" cm="1">
        <f t="array" ref="F170">Common_InputFunctions.Utility_DisplayArrayInTable(Fertiliser_SourceData.Fertiliser_Products_Data3(), FertiliserProducts[[#Headers],[Company]],61)</f>
        <v>L</v>
      </c>
      <c r="G170" s="215" cm="1">
        <f t="array" ref="G170">Common_InputFunctions.Utility_DisplayArrayInTable(Fertiliser_SourceData.Fertiliser_Products_Data3(), FertiliserProducts[[#Headers],[Company]],61)</f>
        <v>1.28</v>
      </c>
      <c r="H170" s="215" t="str" cm="1">
        <f t="array" ref="H170">Common_InputFunctions.Utility_DisplayArrayInTable(Fertiliser_SourceData.Fertiliser_Products_Data3(), FertiliserProducts[[#Headers],[Company]],61)</f>
        <v/>
      </c>
      <c r="I170" s="215" t="str" cm="1">
        <f t="array" ref="I170">Common_InputFunctions.Utility_DisplayArrayInTable(Fertiliser_SourceData.Fertiliser_Products_Data3(), FertiliserProducts[[#Headers],[Company]],61)</f>
        <v/>
      </c>
      <c r="J170" s="215" t="str" cm="1">
        <f t="array" ref="J170">Common_InputFunctions.Utility_DisplayArrayInTable(Fertiliser_SourceData.Fertiliser_Products_Data3(), FertiliserProducts[[#Headers],[Company]],61)</f>
        <v/>
      </c>
      <c r="K170" s="215" cm="1">
        <f t="array" ref="K170">Common_InputFunctions.Utility_DisplayArrayInTable(Fertiliser_SourceData.Fertiliser_Products_Data3(), FertiliserProducts[[#Headers],[Company]],61)</f>
        <v>0</v>
      </c>
      <c r="L170" s="215" t="str" cm="1">
        <f t="array" ref="L170">Common_InputFunctions.Utility_DisplayArrayInTable(Fertiliser_SourceData.Fertiliser_Products_Data3(), FertiliserProducts[[#Headers],[Company]],61)</f>
        <v/>
      </c>
      <c r="M170" s="215" t="str" cm="1">
        <f t="array" ref="M170">Common_InputFunctions.Utility_DisplayArrayInTable(Fertiliser_SourceData.Fertiliser_Products_Data3(), FertiliserProducts[[#Headers],[Company]],61)</f>
        <v/>
      </c>
      <c r="N170" s="215" t="str" cm="1">
        <f t="array" ref="N170">Common_InputFunctions.Utility_DisplayArrayInTable(Fertiliser_SourceData.Fertiliser_Products_Data3(), FertiliserProducts[[#Headers],[Company]],61)</f>
        <v/>
      </c>
      <c r="O170" s="215" t="str" cm="1">
        <f t="array" ref="O170">Common_InputFunctions.Utility_DisplayArrayInTable(Fertiliser_SourceData.Fertiliser_Products_Data3(), FertiliserProducts[[#Headers],[Company]],61)</f>
        <v>Urea</v>
      </c>
      <c r="P170" s="215" cm="1">
        <f t="array" ref="P170">Common_InputFunctions.Utility_DisplayArrayInTable(Fertiliser_SourceData.Fertiliser_Products_Data3(), FertiliserProducts[[#Headers],[Company]],61)</f>
        <v>0.65217400000000003</v>
      </c>
      <c r="Q170" s="215" t="str" cm="1">
        <f t="array" ref="Q170">Common_InputFunctions.Utility_DisplayArrayInTable(Fertiliser_SourceData.Fertiliser_Products_Data3(), FertiliserProducts[[#Headers],[Company]],61)</f>
        <v/>
      </c>
      <c r="R170" s="215" t="str" cm="1">
        <f t="array" ref="R170">Common_InputFunctions.Utility_DisplayArrayInTable(Fertiliser_SourceData.Fertiliser_Products_Data3(), FertiliserProducts[[#Headers],[Company]],61)</f>
        <v/>
      </c>
      <c r="S170" s="215" t="str" cm="1">
        <f t="array" ref="S170">Common_InputFunctions.Utility_DisplayArrayInTable(Fertiliser_SourceData.Fertiliser_Products_Data3(), FertiliserProducts[[#Headers],[Company]],61)</f>
        <v/>
      </c>
      <c r="T170" s="215" t="str" cm="1">
        <f t="array" ref="T170">Common_InputFunctions.Utility_DisplayArrayInTable(Fertiliser_SourceData.Fertiliser_Products_Data3(), FertiliserProducts[[#Headers],[Company]],61)</f>
        <v/>
      </c>
      <c r="U170" s="215" t="str" cm="1">
        <f t="array" ref="U170">Common_InputFunctions.Utility_DisplayArrayInTable(Fertiliser_SourceData.Fertiliser_Products_Data3(), FertiliserProducts[[#Headers],[Company]],61)</f>
        <v/>
      </c>
      <c r="V170" s="215" t="str" cm="1">
        <f t="array" ref="V170">Common_InputFunctions.Utility_DisplayArrayInTable(Fertiliser_SourceData.Fertiliser_Products_Data3(), FertiliserProducts[[#Headers],[Company]],61)</f>
        <v/>
      </c>
      <c r="W170" s="215" t="str" cm="1">
        <f t="array" ref="W170">Common_InputFunctions.Utility_DisplayArrayInTable(Fertiliser_SourceData.Fertiliser_Products_Data3(), FertiliserProducts[[#Headers],[Company]],61)</f>
        <v/>
      </c>
      <c r="X170" s="215" t="str" cm="1">
        <f t="array" ref="X170">Common_InputFunctions.Utility_DisplayArrayInTable(Fertiliser_SourceData.Fertiliser_Products_Data3(), FertiliserProducts[[#Headers],[Company]],61)</f>
        <v/>
      </c>
      <c r="Y170" s="215" t="str" cm="1">
        <f t="array" ref="Y170">Common_InputFunctions.Utility_DisplayArrayInTable(Fertiliser_SourceData.Fertiliser_Products_Data3(), FertiliserProducts[[#Headers],[Company]],61)</f>
        <v/>
      </c>
      <c r="Z170" s="215" t="str" cm="1">
        <f t="array" ref="Z170">Common_InputFunctions.Utility_DisplayArrayInTable(Fertiliser_SourceData.Fertiliser_Products_Data3(), FertiliserProducts[[#Headers],[Company]],61)</f>
        <v/>
      </c>
      <c r="AA170" s="215" t="str" cm="1">
        <f t="array" ref="AA170">Common_InputFunctions.Utility_DisplayArrayInTable(Fertiliser_SourceData.Fertiliser_Products_Data3(), FertiliserProducts[[#Headers],[Company]],61)</f>
        <v/>
      </c>
      <c r="AB170" s="215" t="str" cm="1">
        <f t="array" ref="AB170">Common_InputFunctions.Utility_DisplayArrayInTable(Fertiliser_SourceData.Fertiliser_Products_Data3(), FertiliserProducts[[#Headers],[Company]],61)</f>
        <v/>
      </c>
      <c r="AC170" s="215" t="str" cm="1">
        <f t="array" ref="AC170">Common_InputFunctions.Utility_DisplayArrayInTable(Fertiliser_SourceData.Fertiliser_Products_Data3(), FertiliserProducts[[#Headers],[Company]],61)</f>
        <v/>
      </c>
      <c r="AD170" s="215" t="str" cm="1">
        <f t="array" ref="AD170">Common_InputFunctions.Utility_DisplayArrayInTable(Fertiliser_SourceData.Fertiliser_Products_Data3(), FertiliserProducts[[#Headers],[Company]],61)</f>
        <v/>
      </c>
      <c r="AE170" s="215" t="str" cm="1">
        <f t="array" ref="AE170">Common_InputFunctions.Utility_DisplayArrayInTable(Fertiliser_SourceData.Fertiliser_Products_Data3(), FertiliserProducts[[#Headers],[Company]],61)</f>
        <v/>
      </c>
      <c r="AF170" s="215" t="str" cm="1">
        <f t="array" ref="AF170">Common_InputFunctions.Utility_DisplayArrayInTable(Fertiliser_SourceData.Fertiliser_Products_Data3(), FertiliserProducts[[#Headers],[Company]],61)</f>
        <v/>
      </c>
      <c r="AG170" s="215" t="str" cm="1">
        <f t="array" ref="AG170">Common_InputFunctions.Utility_DisplayArrayInTable(Fertiliser_SourceData.Fertiliser_Products_Data3(), FertiliserProducts[[#Headers],[Company]],61)</f>
        <v/>
      </c>
      <c r="AH170" s="215" t="str" cm="1">
        <f t="array" ref="AH170">Common_InputFunctions.Utility_DisplayArrayInTable(Fertiliser_SourceData.Fertiliser_Products_Data3(), FertiliserProducts[[#Headers],[Company]],61)</f>
        <v/>
      </c>
    </row>
    <row r="171" spans="4:34" ht="20.100000000000001" customHeight="1" x14ac:dyDescent="0.25">
      <c r="D171" s="215" t="str" cm="1">
        <f t="array" ref="D171">Common_InputFunctions.Utility_DisplayArrayInTable(Fertiliser_SourceData.Fertiliser_Products_Data3(), FertiliserProducts[[#Headers],[Company]],61)</f>
        <v>Marnco [listed as SLTEC]</v>
      </c>
      <c r="E171" s="215" t="str" cm="1">
        <f t="array" ref="E171">Common_InputFunctions.Utility_DisplayArrayInTable(Fertiliser_SourceData.Fertiliser_Products_Data3(), FertiliserProducts[[#Headers],[Company]],61)</f>
        <v>Ammo 36N</v>
      </c>
      <c r="F171" s="215" t="str" cm="1">
        <f t="array" ref="F171">Common_InputFunctions.Utility_DisplayArrayInTable(Fertiliser_SourceData.Fertiliser_Products_Data3(), FertiliserProducts[[#Headers],[Company]],61)</f>
        <v>kg</v>
      </c>
      <c r="G171" s="215" cm="1">
        <f t="array" ref="G171">Common_InputFunctions.Utility_DisplayArrayInTable(Fertiliser_SourceData.Fertiliser_Products_Data3(), FertiliserProducts[[#Headers],[Company]],61)</f>
        <v>1</v>
      </c>
      <c r="H171" s="215" t="str" cm="1">
        <f t="array" ref="H171">Common_InputFunctions.Utility_DisplayArrayInTable(Fertiliser_SourceData.Fertiliser_Products_Data3(), FertiliserProducts[[#Headers],[Company]],61)</f>
        <v/>
      </c>
      <c r="I171" s="215" t="str" cm="1">
        <f t="array" ref="I171">Common_InputFunctions.Utility_DisplayArrayInTable(Fertiliser_SourceData.Fertiliser_Products_Data3(), FertiliserProducts[[#Headers],[Company]],61)</f>
        <v/>
      </c>
      <c r="J171" s="215" t="str" cm="1">
        <f t="array" ref="J171">Common_InputFunctions.Utility_DisplayArrayInTable(Fertiliser_SourceData.Fertiliser_Products_Data3(), FertiliserProducts[[#Headers],[Company]],61)</f>
        <v/>
      </c>
      <c r="K171" s="215" cm="1">
        <f t="array" ref="K171">Common_InputFunctions.Utility_DisplayArrayInTable(Fertiliser_SourceData.Fertiliser_Products_Data3(), FertiliserProducts[[#Headers],[Company]],61)</f>
        <v>36</v>
      </c>
      <c r="L171" s="215" t="str" cm="1">
        <f t="array" ref="L171">Common_InputFunctions.Utility_DisplayArrayInTable(Fertiliser_SourceData.Fertiliser_Products_Data3(), FertiliserProducts[[#Headers],[Company]],61)</f>
        <v/>
      </c>
      <c r="M171" s="215" t="str" cm="1">
        <f t="array" ref="M171">Common_InputFunctions.Utility_DisplayArrayInTable(Fertiliser_SourceData.Fertiliser_Products_Data3(), FertiliserProducts[[#Headers],[Company]],61)</f>
        <v/>
      </c>
      <c r="N171" s="215" cm="1">
        <f t="array" ref="N171">Common_InputFunctions.Utility_DisplayArrayInTable(Fertiliser_SourceData.Fertiliser_Products_Data3(), FertiliserProducts[[#Headers],[Company]],61)</f>
        <v>9.6</v>
      </c>
      <c r="O171" s="215" t="str" cm="1">
        <f t="array" ref="O171">Common_InputFunctions.Utility_DisplayArrayInTable(Fertiliser_SourceData.Fertiliser_Products_Data3(), FertiliserProducts[[#Headers],[Company]],61)</f>
        <v>Nitrogen - Generic</v>
      </c>
      <c r="P171" s="215" cm="1">
        <f t="array" ref="P171">Common_InputFunctions.Utility_DisplayArrayInTable(Fertiliser_SourceData.Fertiliser_Products_Data3(), FertiliserProducts[[#Headers],[Company]],61)</f>
        <v>0.36</v>
      </c>
      <c r="Q171" s="215" t="str" cm="1">
        <f t="array" ref="Q171">Common_InputFunctions.Utility_DisplayArrayInTable(Fertiliser_SourceData.Fertiliser_Products_Data3(), FertiliserProducts[[#Headers],[Company]],61)</f>
        <v>Sulfur - Generic</v>
      </c>
      <c r="R171" s="215" cm="1">
        <f t="array" ref="R171">Common_InputFunctions.Utility_DisplayArrayInTable(Fertiliser_SourceData.Fertiliser_Products_Data3(), FertiliserProducts[[#Headers],[Company]],61)</f>
        <v>9.6000000000000002E-2</v>
      </c>
      <c r="S171" s="215" t="str" cm="1">
        <f t="array" ref="S171">Common_InputFunctions.Utility_DisplayArrayInTable(Fertiliser_SourceData.Fertiliser_Products_Data3(), FertiliserProducts[[#Headers],[Company]],61)</f>
        <v/>
      </c>
      <c r="T171" s="215" t="str" cm="1">
        <f t="array" ref="T171">Common_InputFunctions.Utility_DisplayArrayInTable(Fertiliser_SourceData.Fertiliser_Products_Data3(), FertiliserProducts[[#Headers],[Company]],61)</f>
        <v/>
      </c>
      <c r="U171" s="215" t="str" cm="1">
        <f t="array" ref="U171">Common_InputFunctions.Utility_DisplayArrayInTable(Fertiliser_SourceData.Fertiliser_Products_Data3(), FertiliserProducts[[#Headers],[Company]],61)</f>
        <v/>
      </c>
      <c r="V171" s="215" t="str" cm="1">
        <f t="array" ref="V171">Common_InputFunctions.Utility_DisplayArrayInTable(Fertiliser_SourceData.Fertiliser_Products_Data3(), FertiliserProducts[[#Headers],[Company]],61)</f>
        <v/>
      </c>
      <c r="W171" s="215" t="str" cm="1">
        <f t="array" ref="W171">Common_InputFunctions.Utility_DisplayArrayInTable(Fertiliser_SourceData.Fertiliser_Products_Data3(), FertiliserProducts[[#Headers],[Company]],61)</f>
        <v/>
      </c>
      <c r="X171" s="215" t="str" cm="1">
        <f t="array" ref="X171">Common_InputFunctions.Utility_DisplayArrayInTable(Fertiliser_SourceData.Fertiliser_Products_Data3(), FertiliserProducts[[#Headers],[Company]],61)</f>
        <v/>
      </c>
      <c r="Y171" s="215" t="str" cm="1">
        <f t="array" ref="Y171">Common_InputFunctions.Utility_DisplayArrayInTable(Fertiliser_SourceData.Fertiliser_Products_Data3(), FertiliserProducts[[#Headers],[Company]],61)</f>
        <v/>
      </c>
      <c r="Z171" s="215" t="str" cm="1">
        <f t="array" ref="Z171">Common_InputFunctions.Utility_DisplayArrayInTable(Fertiliser_SourceData.Fertiliser_Products_Data3(), FertiliserProducts[[#Headers],[Company]],61)</f>
        <v/>
      </c>
      <c r="AA171" s="215" t="str" cm="1">
        <f t="array" ref="AA171">Common_InputFunctions.Utility_DisplayArrayInTable(Fertiliser_SourceData.Fertiliser_Products_Data3(), FertiliserProducts[[#Headers],[Company]],61)</f>
        <v/>
      </c>
      <c r="AB171" s="215" t="str" cm="1">
        <f t="array" ref="AB171">Common_InputFunctions.Utility_DisplayArrayInTable(Fertiliser_SourceData.Fertiliser_Products_Data3(), FertiliserProducts[[#Headers],[Company]],61)</f>
        <v/>
      </c>
      <c r="AC171" s="215" t="str" cm="1">
        <f t="array" ref="AC171">Common_InputFunctions.Utility_DisplayArrayInTable(Fertiliser_SourceData.Fertiliser_Products_Data3(), FertiliserProducts[[#Headers],[Company]],61)</f>
        <v/>
      </c>
      <c r="AD171" s="215" t="str" cm="1">
        <f t="array" ref="AD171">Common_InputFunctions.Utility_DisplayArrayInTable(Fertiliser_SourceData.Fertiliser_Products_Data3(), FertiliserProducts[[#Headers],[Company]],61)</f>
        <v/>
      </c>
      <c r="AE171" s="215" t="str" cm="1">
        <f t="array" ref="AE171">Common_InputFunctions.Utility_DisplayArrayInTable(Fertiliser_SourceData.Fertiliser_Products_Data3(), FertiliserProducts[[#Headers],[Company]],61)</f>
        <v/>
      </c>
      <c r="AF171" s="215" t="str" cm="1">
        <f t="array" ref="AF171">Common_InputFunctions.Utility_DisplayArrayInTable(Fertiliser_SourceData.Fertiliser_Products_Data3(), FertiliserProducts[[#Headers],[Company]],61)</f>
        <v/>
      </c>
      <c r="AG171" s="215" t="str" cm="1">
        <f t="array" ref="AG171">Common_InputFunctions.Utility_DisplayArrayInTable(Fertiliser_SourceData.Fertiliser_Products_Data3(), FertiliserProducts[[#Headers],[Company]],61)</f>
        <v/>
      </c>
      <c r="AH171" s="215" t="str" cm="1">
        <f t="array" ref="AH171">Common_InputFunctions.Utility_DisplayArrayInTable(Fertiliser_SourceData.Fertiliser_Products_Data3(), FertiliserProducts[[#Headers],[Company]],61)</f>
        <v/>
      </c>
    </row>
    <row r="172" spans="4:34" ht="20.100000000000001" customHeight="1" x14ac:dyDescent="0.25">
      <c r="D172" s="215" t="str" cm="1">
        <f t="array" ref="D172">Common_InputFunctions.Utility_DisplayArrayInTable(Fertiliser_SourceData.Fertiliser_Products_Data3(), FertiliserProducts[[#Headers],[Company]],61)</f>
        <v>Risso-Chemical</v>
      </c>
      <c r="E172" s="215" t="str" cm="1">
        <f t="array" ref="E172">Common_InputFunctions.Utility_DisplayArrayInTable(Fertiliser_SourceData.Fertiliser_Products_Data3(), FertiliserProducts[[#Headers],[Company]],61)</f>
        <v>Risso Liquid NPK (200-200-200)</v>
      </c>
      <c r="F172" s="215" t="str" cm="1">
        <f t="array" ref="F172">Common_InputFunctions.Utility_DisplayArrayInTable(Fertiliser_SourceData.Fertiliser_Products_Data3(), FertiliserProducts[[#Headers],[Company]],61)</f>
        <v>L</v>
      </c>
      <c r="G172" s="215" cm="1">
        <f t="array" ref="G172">Common_InputFunctions.Utility_DisplayArrayInTable(Fertiliser_SourceData.Fertiliser_Products_Data3(), FertiliserProducts[[#Headers],[Company]],61)</f>
        <v>1.3</v>
      </c>
      <c r="H172" s="215" t="str" cm="1">
        <f t="array" ref="H172">Common_InputFunctions.Utility_DisplayArrayInTable(Fertiliser_SourceData.Fertiliser_Products_Data3(), FertiliserProducts[[#Headers],[Company]],61)</f>
        <v/>
      </c>
      <c r="I172" s="215" t="str" cm="1">
        <f t="array" ref="I172">Common_InputFunctions.Utility_DisplayArrayInTable(Fertiliser_SourceData.Fertiliser_Products_Data3(), FertiliserProducts[[#Headers],[Company]],61)</f>
        <v/>
      </c>
      <c r="J172" s="215" t="str" cm="1">
        <f t="array" ref="J172">Common_InputFunctions.Utility_DisplayArrayInTable(Fertiliser_SourceData.Fertiliser_Products_Data3(), FertiliserProducts[[#Headers],[Company]],61)</f>
        <v/>
      </c>
      <c r="K172" s="215" cm="1">
        <f t="array" ref="K172">Common_InputFunctions.Utility_DisplayArrayInTable(Fertiliser_SourceData.Fertiliser_Products_Data3(), FertiliserProducts[[#Headers],[Company]],61)</f>
        <v>20</v>
      </c>
      <c r="L172" s="215" cm="1">
        <f t="array" ref="L172">Common_InputFunctions.Utility_DisplayArrayInTable(Fertiliser_SourceData.Fertiliser_Products_Data3(), FertiliserProducts[[#Headers],[Company]],61)</f>
        <v>8.73</v>
      </c>
      <c r="M172" s="215" cm="1">
        <f t="array" ref="M172">Common_InputFunctions.Utility_DisplayArrayInTable(Fertiliser_SourceData.Fertiliser_Products_Data3(), FertiliserProducts[[#Headers],[Company]],61)</f>
        <v>16.600000000000001</v>
      </c>
      <c r="N172" s="215" t="str" cm="1">
        <f t="array" ref="N172">Common_InputFunctions.Utility_DisplayArrayInTable(Fertiliser_SourceData.Fertiliser_Products_Data3(), FertiliserProducts[[#Headers],[Company]],61)</f>
        <v/>
      </c>
      <c r="O172" s="215" t="str" cm="1">
        <f t="array" ref="O172">Common_InputFunctions.Utility_DisplayArrayInTable(Fertiliser_SourceData.Fertiliser_Products_Data3(), FertiliserProducts[[#Headers],[Company]],61)</f>
        <v>Nitrogen - Generic</v>
      </c>
      <c r="P172" s="215" cm="1">
        <f t="array" ref="P172">Common_InputFunctions.Utility_DisplayArrayInTable(Fertiliser_SourceData.Fertiliser_Products_Data3(), FertiliserProducts[[#Headers],[Company]],61)</f>
        <v>0.2</v>
      </c>
      <c r="Q172" s="215" t="str" cm="1">
        <f t="array" ref="Q172">Common_InputFunctions.Utility_DisplayArrayInTable(Fertiliser_SourceData.Fertiliser_Products_Data3(), FertiliserProducts[[#Headers],[Company]],61)</f>
        <v>Phosphorus - Generic</v>
      </c>
      <c r="R172" s="215" cm="1">
        <f t="array" ref="R172">Common_InputFunctions.Utility_DisplayArrayInTable(Fertiliser_SourceData.Fertiliser_Products_Data3(), FertiliserProducts[[#Headers],[Company]],61)</f>
        <v>8.7279999999999996E-2</v>
      </c>
      <c r="S172" s="215" t="str" cm="1">
        <f t="array" ref="S172">Common_InputFunctions.Utility_DisplayArrayInTable(Fertiliser_SourceData.Fertiliser_Products_Data3(), FertiliserProducts[[#Headers],[Company]],61)</f>
        <v>Potassium - Generic</v>
      </c>
      <c r="T172" s="215" cm="1">
        <f t="array" ref="T172">Common_InputFunctions.Utility_DisplayArrayInTable(Fertiliser_SourceData.Fertiliser_Products_Data3(), FertiliserProducts[[#Headers],[Company]],61)</f>
        <v>0.16602</v>
      </c>
      <c r="U172" s="215" t="str" cm="1">
        <f t="array" ref="U172">Common_InputFunctions.Utility_DisplayArrayInTable(Fertiliser_SourceData.Fertiliser_Products_Data3(), FertiliserProducts[[#Headers],[Company]],61)</f>
        <v/>
      </c>
      <c r="V172" s="215" t="str" cm="1">
        <f t="array" ref="V172">Common_InputFunctions.Utility_DisplayArrayInTable(Fertiliser_SourceData.Fertiliser_Products_Data3(), FertiliserProducts[[#Headers],[Company]],61)</f>
        <v/>
      </c>
      <c r="W172" s="215" t="str" cm="1">
        <f t="array" ref="W172">Common_InputFunctions.Utility_DisplayArrayInTable(Fertiliser_SourceData.Fertiliser_Products_Data3(), FertiliserProducts[[#Headers],[Company]],61)</f>
        <v/>
      </c>
      <c r="X172" s="215" t="str" cm="1">
        <f t="array" ref="X172">Common_InputFunctions.Utility_DisplayArrayInTable(Fertiliser_SourceData.Fertiliser_Products_Data3(), FertiliserProducts[[#Headers],[Company]],61)</f>
        <v/>
      </c>
      <c r="Y172" s="215" t="str" cm="1">
        <f t="array" ref="Y172">Common_InputFunctions.Utility_DisplayArrayInTable(Fertiliser_SourceData.Fertiliser_Products_Data3(), FertiliserProducts[[#Headers],[Company]],61)</f>
        <v/>
      </c>
      <c r="Z172" s="215" t="str" cm="1">
        <f t="array" ref="Z172">Common_InputFunctions.Utility_DisplayArrayInTable(Fertiliser_SourceData.Fertiliser_Products_Data3(), FertiliserProducts[[#Headers],[Company]],61)</f>
        <v/>
      </c>
      <c r="AA172" s="215" t="str" cm="1">
        <f t="array" ref="AA172">Common_InputFunctions.Utility_DisplayArrayInTable(Fertiliser_SourceData.Fertiliser_Products_Data3(), FertiliserProducts[[#Headers],[Company]],61)</f>
        <v/>
      </c>
      <c r="AB172" s="215" t="str" cm="1">
        <f t="array" ref="AB172">Common_InputFunctions.Utility_DisplayArrayInTable(Fertiliser_SourceData.Fertiliser_Products_Data3(), FertiliserProducts[[#Headers],[Company]],61)</f>
        <v/>
      </c>
      <c r="AC172" s="215" t="str" cm="1">
        <f t="array" ref="AC172">Common_InputFunctions.Utility_DisplayArrayInTable(Fertiliser_SourceData.Fertiliser_Products_Data3(), FertiliserProducts[[#Headers],[Company]],61)</f>
        <v/>
      </c>
      <c r="AD172" s="215" t="str" cm="1">
        <f t="array" ref="AD172">Common_InputFunctions.Utility_DisplayArrayInTable(Fertiliser_SourceData.Fertiliser_Products_Data3(), FertiliserProducts[[#Headers],[Company]],61)</f>
        <v/>
      </c>
      <c r="AE172" s="215" t="str" cm="1">
        <f t="array" ref="AE172">Common_InputFunctions.Utility_DisplayArrayInTable(Fertiliser_SourceData.Fertiliser_Products_Data3(), FertiliserProducts[[#Headers],[Company]],61)</f>
        <v/>
      </c>
      <c r="AF172" s="215" t="str" cm="1">
        <f t="array" ref="AF172">Common_InputFunctions.Utility_DisplayArrayInTable(Fertiliser_SourceData.Fertiliser_Products_Data3(), FertiliserProducts[[#Headers],[Company]],61)</f>
        <v/>
      </c>
      <c r="AG172" s="215" t="str" cm="1">
        <f t="array" ref="AG172">Common_InputFunctions.Utility_DisplayArrayInTable(Fertiliser_SourceData.Fertiliser_Products_Data3(), FertiliserProducts[[#Headers],[Company]],61)</f>
        <v/>
      </c>
      <c r="AH172" s="215" t="str" cm="1">
        <f t="array" ref="AH172">Common_InputFunctions.Utility_DisplayArrayInTable(Fertiliser_SourceData.Fertiliser_Products_Data3(), FertiliserProducts[[#Headers],[Company]],61)</f>
        <v/>
      </c>
    </row>
    <row r="173" spans="4:34" ht="20.100000000000001" customHeight="1" x14ac:dyDescent="0.25">
      <c r="D173" s="215" t="str" cm="1">
        <f t="array" ref="D173">Common_InputFunctions.Utility_DisplayArrayInTable(Fertiliser_SourceData.Fertiliser_Products_Data3(), FertiliserProducts[[#Headers],[Company]],61)</f>
        <v>Turf Group Australia (Simplot)</v>
      </c>
      <c r="E173" s="215" t="str" cm="1">
        <f t="array" ref="E173">Common_InputFunctions.Utility_DisplayArrayInTable(Fertiliser_SourceData.Fertiliser_Products_Data3(), FertiliserProducts[[#Headers],[Company]],61)</f>
        <v>Super Cal 15-0-12</v>
      </c>
      <c r="F173" s="215" t="str" cm="1">
        <f t="array" ref="F173">Common_InputFunctions.Utility_DisplayArrayInTable(Fertiliser_SourceData.Fertiliser_Products_Data3(), FertiliserProducts[[#Headers],[Company]],61)</f>
        <v>kg</v>
      </c>
      <c r="G173" s="215" cm="1">
        <f t="array" ref="G173">Common_InputFunctions.Utility_DisplayArrayInTable(Fertiliser_SourceData.Fertiliser_Products_Data3(), FertiliserProducts[[#Headers],[Company]],61)</f>
        <v>1</v>
      </c>
      <c r="H173" s="215" t="str" cm="1">
        <f t="array" ref="H173">Common_InputFunctions.Utility_DisplayArrayInTable(Fertiliser_SourceData.Fertiliser_Products_Data3(), FertiliserProducts[[#Headers],[Company]],61)</f>
        <v/>
      </c>
      <c r="I173" s="215" t="str" cm="1">
        <f t="array" ref="I173">Common_InputFunctions.Utility_DisplayArrayInTable(Fertiliser_SourceData.Fertiliser_Products_Data3(), FertiliserProducts[[#Headers],[Company]],61)</f>
        <v/>
      </c>
      <c r="J173" s="215" t="str" cm="1">
        <f t="array" ref="J173">Common_InputFunctions.Utility_DisplayArrayInTable(Fertiliser_SourceData.Fertiliser_Products_Data3(), FertiliserProducts[[#Headers],[Company]],61)</f>
        <v/>
      </c>
      <c r="K173" s="215" cm="1">
        <f t="array" ref="K173">Common_InputFunctions.Utility_DisplayArrayInTable(Fertiliser_SourceData.Fertiliser_Products_Data3(), FertiliserProducts[[#Headers],[Company]],61)</f>
        <v>15</v>
      </c>
      <c r="L173" s="215" t="str" cm="1">
        <f t="array" ref="L173">Common_InputFunctions.Utility_DisplayArrayInTable(Fertiliser_SourceData.Fertiliser_Products_Data3(), FertiliserProducts[[#Headers],[Company]],61)</f>
        <v/>
      </c>
      <c r="M173" s="215" cm="1">
        <f t="array" ref="M173">Common_InputFunctions.Utility_DisplayArrayInTable(Fertiliser_SourceData.Fertiliser_Products_Data3(), FertiliserProducts[[#Headers],[Company]],61)</f>
        <v>9.9600000000000009</v>
      </c>
      <c r="N173" s="215" t="str" cm="1">
        <f t="array" ref="N173">Common_InputFunctions.Utility_DisplayArrayInTable(Fertiliser_SourceData.Fertiliser_Products_Data3(), FertiliserProducts[[#Headers],[Company]],61)</f>
        <v/>
      </c>
      <c r="O173" s="215" t="str" cm="1">
        <f t="array" ref="O173">Common_InputFunctions.Utility_DisplayArrayInTable(Fertiliser_SourceData.Fertiliser_Products_Data3(), FertiliserProducts[[#Headers],[Company]],61)</f>
        <v>Nitrogen - Nitrate</v>
      </c>
      <c r="P173" s="215" cm="1">
        <f t="array" ref="P173">Common_InputFunctions.Utility_DisplayArrayInTable(Fertiliser_SourceData.Fertiliser_Products_Data3(), FertiliserProducts[[#Headers],[Company]],61)</f>
        <v>8.4737000000000007E-2</v>
      </c>
      <c r="Q173" s="215" t="str" cm="1">
        <f t="array" ref="Q173">Common_InputFunctions.Utility_DisplayArrayInTable(Fertiliser_SourceData.Fertiliser_Products_Data3(), FertiliserProducts[[#Headers],[Company]],61)</f>
        <v>Potassium - Generic</v>
      </c>
      <c r="R173" s="215" cm="1">
        <f t="array" ref="R173">Common_InputFunctions.Utility_DisplayArrayInTable(Fertiliser_SourceData.Fertiliser_Products_Data3(), FertiliserProducts[[#Headers],[Company]],61)</f>
        <v>9.9612000000000006E-2</v>
      </c>
      <c r="S173" s="215" t="str" cm="1">
        <f t="array" ref="S173">Common_InputFunctions.Utility_DisplayArrayInTable(Fertiliser_SourceData.Fertiliser_Products_Data3(), FertiliserProducts[[#Headers],[Company]],61)</f>
        <v>Calcium nitrate</v>
      </c>
      <c r="T173" s="215" cm="1">
        <f t="array" ref="T173">Common_InputFunctions.Utility_DisplayArrayInTable(Fertiliser_SourceData.Fertiliser_Products_Data3(), FertiliserProducts[[#Headers],[Company]],61)</f>
        <v>0.42105300000000001</v>
      </c>
      <c r="U173" s="215" t="str" cm="1">
        <f t="array" ref="U173">Common_InputFunctions.Utility_DisplayArrayInTable(Fertiliser_SourceData.Fertiliser_Products_Data3(), FertiliserProducts[[#Headers],[Company]],61)</f>
        <v>Magnesium</v>
      </c>
      <c r="V173" s="215" cm="1">
        <f t="array" ref="V173">Common_InputFunctions.Utility_DisplayArrayInTable(Fertiliser_SourceData.Fertiliser_Products_Data3(), FertiliserProducts[[#Headers],[Company]],61)</f>
        <v>5.0000000000000001E-3</v>
      </c>
      <c r="W173" s="215" t="str" cm="1">
        <f t="array" ref="W173">Common_InputFunctions.Utility_DisplayArrayInTable(Fertiliser_SourceData.Fertiliser_Products_Data3(), FertiliserProducts[[#Headers],[Company]],61)</f>
        <v>Boron</v>
      </c>
      <c r="X173" s="215" cm="1">
        <f t="array" ref="X173">Common_InputFunctions.Utility_DisplayArrayInTable(Fertiliser_SourceData.Fertiliser_Products_Data3(), FertiliserProducts[[#Headers],[Company]],61)</f>
        <v>2.0000000000000001E-4</v>
      </c>
      <c r="Y173" s="215" t="str" cm="1">
        <f t="array" ref="Y173">Common_InputFunctions.Utility_DisplayArrayInTable(Fertiliser_SourceData.Fertiliser_Products_Data3(), FertiliserProducts[[#Headers],[Company]],61)</f>
        <v/>
      </c>
      <c r="Z173" s="215" t="str" cm="1">
        <f t="array" ref="Z173">Common_InputFunctions.Utility_DisplayArrayInTable(Fertiliser_SourceData.Fertiliser_Products_Data3(), FertiliserProducts[[#Headers],[Company]],61)</f>
        <v/>
      </c>
      <c r="AA173" s="215" t="str" cm="1">
        <f t="array" ref="AA173">Common_InputFunctions.Utility_DisplayArrayInTable(Fertiliser_SourceData.Fertiliser_Products_Data3(), FertiliserProducts[[#Headers],[Company]],61)</f>
        <v/>
      </c>
      <c r="AB173" s="215" t="str" cm="1">
        <f t="array" ref="AB173">Common_InputFunctions.Utility_DisplayArrayInTable(Fertiliser_SourceData.Fertiliser_Products_Data3(), FertiliserProducts[[#Headers],[Company]],61)</f>
        <v/>
      </c>
      <c r="AC173" s="215" t="str" cm="1">
        <f t="array" ref="AC173">Common_InputFunctions.Utility_DisplayArrayInTable(Fertiliser_SourceData.Fertiliser_Products_Data3(), FertiliserProducts[[#Headers],[Company]],61)</f>
        <v/>
      </c>
      <c r="AD173" s="215" t="str" cm="1">
        <f t="array" ref="AD173">Common_InputFunctions.Utility_DisplayArrayInTable(Fertiliser_SourceData.Fertiliser_Products_Data3(), FertiliserProducts[[#Headers],[Company]],61)</f>
        <v/>
      </c>
      <c r="AE173" s="215" t="str" cm="1">
        <f t="array" ref="AE173">Common_InputFunctions.Utility_DisplayArrayInTable(Fertiliser_SourceData.Fertiliser_Products_Data3(), FertiliserProducts[[#Headers],[Company]],61)</f>
        <v/>
      </c>
      <c r="AF173" s="215" t="str" cm="1">
        <f t="array" ref="AF173">Common_InputFunctions.Utility_DisplayArrayInTable(Fertiliser_SourceData.Fertiliser_Products_Data3(), FertiliserProducts[[#Headers],[Company]],61)</f>
        <v/>
      </c>
      <c r="AG173" s="215" t="str" cm="1">
        <f t="array" ref="AG173">Common_InputFunctions.Utility_DisplayArrayInTable(Fertiliser_SourceData.Fertiliser_Products_Data3(), FertiliserProducts[[#Headers],[Company]],61)</f>
        <v/>
      </c>
      <c r="AH173" s="215" t="str" cm="1">
        <f t="array" ref="AH173">Common_InputFunctions.Utility_DisplayArrayInTable(Fertiliser_SourceData.Fertiliser_Products_Data3(), FertiliserProducts[[#Headers],[Company]],61)</f>
        <v/>
      </c>
    </row>
    <row r="174" spans="4:34" ht="20.100000000000001" customHeight="1" x14ac:dyDescent="0.25">
      <c r="D174" s="215" t="str" cm="1">
        <f t="array" ref="D174">Common_InputFunctions.Utility_DisplayArrayInTable(Fertiliser_SourceData.Fertiliser_Products_Data3(), FertiliserProducts[[#Headers],[Company]],61)</f>
        <v>Incitec Pivot Fertilisers</v>
      </c>
      <c r="E174" s="215" t="str" cm="1">
        <f t="array" ref="E174">Common_InputFunctions.Utility_DisplayArrayInTable(Fertiliser_SourceData.Fertiliser_Products_Data3(), FertiliserProducts[[#Headers],[Company]],61)</f>
        <v>CK 88</v>
      </c>
      <c r="F174" s="215" t="str" cm="1">
        <f t="array" ref="F174">Common_InputFunctions.Utility_DisplayArrayInTable(Fertiliser_SourceData.Fertiliser_Products_Data3(), FertiliserProducts[[#Headers],[Company]],61)</f>
        <v>kg</v>
      </c>
      <c r="G174" s="215" cm="1">
        <f t="array" ref="G174">Common_InputFunctions.Utility_DisplayArrayInTable(Fertiliser_SourceData.Fertiliser_Products_Data3(), FertiliserProducts[[#Headers],[Company]],61)</f>
        <v>1</v>
      </c>
      <c r="H174" s="215" t="str" cm="1">
        <f t="array" ref="H174">Common_InputFunctions.Utility_DisplayArrayInTable(Fertiliser_SourceData.Fertiliser_Products_Data3(), FertiliserProducts[[#Headers],[Company]],61)</f>
        <v/>
      </c>
      <c r="I174" s="215" t="str" cm="1">
        <f t="array" ref="I174">Common_InputFunctions.Utility_DisplayArrayInTable(Fertiliser_SourceData.Fertiliser_Products_Data3(), FertiliserProducts[[#Headers],[Company]],61)</f>
        <v/>
      </c>
      <c r="J174" s="215" t="str" cm="1">
        <f t="array" ref="J174">Common_InputFunctions.Utility_DisplayArrayInTable(Fertiliser_SourceData.Fertiliser_Products_Data3(), FertiliserProducts[[#Headers],[Company]],61)</f>
        <v/>
      </c>
      <c r="K174" s="215" cm="1">
        <f t="array" ref="K174">Common_InputFunctions.Utility_DisplayArrayInTable(Fertiliser_SourceData.Fertiliser_Products_Data3(), FertiliserProducts[[#Headers],[Company]],61)</f>
        <v>15.1</v>
      </c>
      <c r="L174" s="215" cm="1">
        <f t="array" ref="L174">Common_InputFunctions.Utility_DisplayArrayInTable(Fertiliser_SourceData.Fertiliser_Products_Data3(), FertiliserProducts[[#Headers],[Company]],61)</f>
        <v>4.4000000000000004</v>
      </c>
      <c r="M174" s="215" cm="1">
        <f t="array" ref="M174">Common_InputFunctions.Utility_DisplayArrayInTable(Fertiliser_SourceData.Fertiliser_Products_Data3(), FertiliserProducts[[#Headers],[Company]],61)</f>
        <v>11.5</v>
      </c>
      <c r="N174" s="215" cm="1">
        <f t="array" ref="N174">Common_InputFunctions.Utility_DisplayArrayInTable(Fertiliser_SourceData.Fertiliser_Products_Data3(), FertiliserProducts[[#Headers],[Company]],61)</f>
        <v>13.6</v>
      </c>
      <c r="O174" s="215" t="str" cm="1">
        <f t="array" ref="O174">Common_InputFunctions.Utility_DisplayArrayInTable(Fertiliser_SourceData.Fertiliser_Products_Data3(), FertiliserProducts[[#Headers],[Company]],61)</f>
        <v>Nitrogen - Generic</v>
      </c>
      <c r="P174" s="215" cm="1">
        <f t="array" ref="P174">Common_InputFunctions.Utility_DisplayArrayInTable(Fertiliser_SourceData.Fertiliser_Products_Data3(), FertiliserProducts[[#Headers],[Company]],61)</f>
        <v>0.151</v>
      </c>
      <c r="Q174" s="215" t="str" cm="1">
        <f t="array" ref="Q174">Common_InputFunctions.Utility_DisplayArrayInTable(Fertiliser_SourceData.Fertiliser_Products_Data3(), FertiliserProducts[[#Headers],[Company]],61)</f>
        <v>Phosphorus - Generic</v>
      </c>
      <c r="R174" s="215" cm="1">
        <f t="array" ref="R174">Common_InputFunctions.Utility_DisplayArrayInTable(Fertiliser_SourceData.Fertiliser_Products_Data3(), FertiliserProducts[[#Headers],[Company]],61)</f>
        <v>4.3999999999999997E-2</v>
      </c>
      <c r="S174" s="215" t="str" cm="1">
        <f t="array" ref="S174">Common_InputFunctions.Utility_DisplayArrayInTable(Fertiliser_SourceData.Fertiliser_Products_Data3(), FertiliserProducts[[#Headers],[Company]],61)</f>
        <v>Potassium - Generic</v>
      </c>
      <c r="T174" s="215" cm="1">
        <f t="array" ref="T174">Common_InputFunctions.Utility_DisplayArrayInTable(Fertiliser_SourceData.Fertiliser_Products_Data3(), FertiliserProducts[[#Headers],[Company]],61)</f>
        <v>0.115</v>
      </c>
      <c r="U174" s="215" t="str" cm="1">
        <f t="array" ref="U174">Common_InputFunctions.Utility_DisplayArrayInTable(Fertiliser_SourceData.Fertiliser_Products_Data3(), FertiliserProducts[[#Headers],[Company]],61)</f>
        <v>Sulfur - Generic</v>
      </c>
      <c r="V174" s="215" cm="1">
        <f t="array" ref="V174">Common_InputFunctions.Utility_DisplayArrayInTable(Fertiliser_SourceData.Fertiliser_Products_Data3(), FertiliserProducts[[#Headers],[Company]],61)</f>
        <v>0.13600000000000001</v>
      </c>
      <c r="W174" s="215" t="str" cm="1">
        <f t="array" ref="W174">Common_InputFunctions.Utility_DisplayArrayInTable(Fertiliser_SourceData.Fertiliser_Products_Data3(), FertiliserProducts[[#Headers],[Company]],61)</f>
        <v/>
      </c>
      <c r="X174" s="215" t="str" cm="1">
        <f t="array" ref="X174">Common_InputFunctions.Utility_DisplayArrayInTable(Fertiliser_SourceData.Fertiliser_Products_Data3(), FertiliserProducts[[#Headers],[Company]],61)</f>
        <v/>
      </c>
      <c r="Y174" s="215" t="str" cm="1">
        <f t="array" ref="Y174">Common_InputFunctions.Utility_DisplayArrayInTable(Fertiliser_SourceData.Fertiliser_Products_Data3(), FertiliserProducts[[#Headers],[Company]],61)</f>
        <v/>
      </c>
      <c r="Z174" s="215" t="str" cm="1">
        <f t="array" ref="Z174">Common_InputFunctions.Utility_DisplayArrayInTable(Fertiliser_SourceData.Fertiliser_Products_Data3(), FertiliserProducts[[#Headers],[Company]],61)</f>
        <v/>
      </c>
      <c r="AA174" s="215" t="str" cm="1">
        <f t="array" ref="AA174">Common_InputFunctions.Utility_DisplayArrayInTable(Fertiliser_SourceData.Fertiliser_Products_Data3(), FertiliserProducts[[#Headers],[Company]],61)</f>
        <v/>
      </c>
      <c r="AB174" s="215" t="str" cm="1">
        <f t="array" ref="AB174">Common_InputFunctions.Utility_DisplayArrayInTable(Fertiliser_SourceData.Fertiliser_Products_Data3(), FertiliserProducts[[#Headers],[Company]],61)</f>
        <v/>
      </c>
      <c r="AC174" s="215" t="str" cm="1">
        <f t="array" ref="AC174">Common_InputFunctions.Utility_DisplayArrayInTable(Fertiliser_SourceData.Fertiliser_Products_Data3(), FertiliserProducts[[#Headers],[Company]],61)</f>
        <v/>
      </c>
      <c r="AD174" s="215" t="str" cm="1">
        <f t="array" ref="AD174">Common_InputFunctions.Utility_DisplayArrayInTable(Fertiliser_SourceData.Fertiliser_Products_Data3(), FertiliserProducts[[#Headers],[Company]],61)</f>
        <v/>
      </c>
      <c r="AE174" s="215" t="str" cm="1">
        <f t="array" ref="AE174">Common_InputFunctions.Utility_DisplayArrayInTable(Fertiliser_SourceData.Fertiliser_Products_Data3(), FertiliserProducts[[#Headers],[Company]],61)</f>
        <v/>
      </c>
      <c r="AF174" s="215" t="str" cm="1">
        <f t="array" ref="AF174">Common_InputFunctions.Utility_DisplayArrayInTable(Fertiliser_SourceData.Fertiliser_Products_Data3(), FertiliserProducts[[#Headers],[Company]],61)</f>
        <v/>
      </c>
      <c r="AG174" s="215" t="str" cm="1">
        <f t="array" ref="AG174">Common_InputFunctions.Utility_DisplayArrayInTable(Fertiliser_SourceData.Fertiliser_Products_Data3(), FertiliserProducts[[#Headers],[Company]],61)</f>
        <v/>
      </c>
      <c r="AH174" s="215" t="str" cm="1">
        <f t="array" ref="AH174">Common_InputFunctions.Utility_DisplayArrayInTable(Fertiliser_SourceData.Fertiliser_Products_Data3(), FertiliserProducts[[#Headers],[Company]],61)</f>
        <v/>
      </c>
    </row>
    <row r="175" spans="4:34" ht="20.100000000000001" customHeight="1" x14ac:dyDescent="0.25">
      <c r="D175" s="215" t="str" cm="1">
        <f t="array" ref="D175">Common_InputFunctions.Utility_DisplayArrayInTable(Fertiliser_SourceData.Fertiliser_Products_Data3(), FertiliserProducts[[#Headers],[Company]],61)</f>
        <v>Incitec Pivot Fertilisers</v>
      </c>
      <c r="E175" s="215" t="str" cm="1">
        <f t="array" ref="E175">Common_InputFunctions.Utility_DisplayArrayInTable(Fertiliser_SourceData.Fertiliser_Products_Data3(), FertiliserProducts[[#Headers],[Company]],61)</f>
        <v>CropLift 15</v>
      </c>
      <c r="F175" s="215" t="str" cm="1">
        <f t="array" ref="F175">Common_InputFunctions.Utility_DisplayArrayInTable(Fertiliser_SourceData.Fertiliser_Products_Data3(), FertiliserProducts[[#Headers],[Company]],61)</f>
        <v>kg</v>
      </c>
      <c r="G175" s="215" cm="1">
        <f t="array" ref="G175">Common_InputFunctions.Utility_DisplayArrayInTable(Fertiliser_SourceData.Fertiliser_Products_Data3(), FertiliserProducts[[#Headers],[Company]],61)</f>
        <v>1</v>
      </c>
      <c r="H175" s="215" t="str" cm="1">
        <f t="array" ref="H175">Common_InputFunctions.Utility_DisplayArrayInTable(Fertiliser_SourceData.Fertiliser_Products_Data3(), FertiliserProducts[[#Headers],[Company]],61)</f>
        <v/>
      </c>
      <c r="I175" s="215" t="str" cm="1">
        <f t="array" ref="I175">Common_InputFunctions.Utility_DisplayArrayInTable(Fertiliser_SourceData.Fertiliser_Products_Data3(), FertiliserProducts[[#Headers],[Company]],61)</f>
        <v/>
      </c>
      <c r="J175" s="215" t="str" cm="1">
        <f t="array" ref="J175">Common_InputFunctions.Utility_DisplayArrayInTable(Fertiliser_SourceData.Fertiliser_Products_Data3(), FertiliserProducts[[#Headers],[Company]],61)</f>
        <v/>
      </c>
      <c r="K175" s="215" cm="1">
        <f t="array" ref="K175">Common_InputFunctions.Utility_DisplayArrayInTable(Fertiliser_SourceData.Fertiliser_Products_Data3(), FertiliserProducts[[#Headers],[Company]],61)</f>
        <v>14.6</v>
      </c>
      <c r="L175" s="215" cm="1">
        <f t="array" ref="L175">Common_InputFunctions.Utility_DisplayArrayInTable(Fertiliser_SourceData.Fertiliser_Products_Data3(), FertiliserProducts[[#Headers],[Company]],61)</f>
        <v>12.1</v>
      </c>
      <c r="M175" s="215" t="str" cm="1">
        <f t="array" ref="M175">Common_InputFunctions.Utility_DisplayArrayInTable(Fertiliser_SourceData.Fertiliser_Products_Data3(), FertiliserProducts[[#Headers],[Company]],61)</f>
        <v/>
      </c>
      <c r="N175" s="215" cm="1">
        <f t="array" ref="N175">Common_InputFunctions.Utility_DisplayArrayInTable(Fertiliser_SourceData.Fertiliser_Products_Data3(), FertiliserProducts[[#Headers],[Company]],61)</f>
        <v>11.6</v>
      </c>
      <c r="O175" s="215" t="str" cm="1">
        <f t="array" ref="O175">Common_InputFunctions.Utility_DisplayArrayInTable(Fertiliser_SourceData.Fertiliser_Products_Data3(), FertiliserProducts[[#Headers],[Company]],61)</f>
        <v>Nitrogen - Generic</v>
      </c>
      <c r="P175" s="215" cm="1">
        <f t="array" ref="P175">Common_InputFunctions.Utility_DisplayArrayInTable(Fertiliser_SourceData.Fertiliser_Products_Data3(), FertiliserProducts[[#Headers],[Company]],61)</f>
        <v>0.14599999999999999</v>
      </c>
      <c r="Q175" s="215" t="str" cm="1">
        <f t="array" ref="Q175">Common_InputFunctions.Utility_DisplayArrayInTable(Fertiliser_SourceData.Fertiliser_Products_Data3(), FertiliserProducts[[#Headers],[Company]],61)</f>
        <v>Phosphorus - Generic</v>
      </c>
      <c r="R175" s="215" cm="1">
        <f t="array" ref="R175">Common_InputFunctions.Utility_DisplayArrayInTable(Fertiliser_SourceData.Fertiliser_Products_Data3(), FertiliserProducts[[#Headers],[Company]],61)</f>
        <v>0.121</v>
      </c>
      <c r="S175" s="215" t="str" cm="1">
        <f t="array" ref="S175">Common_InputFunctions.Utility_DisplayArrayInTable(Fertiliser_SourceData.Fertiliser_Products_Data3(), FertiliserProducts[[#Headers],[Company]],61)</f>
        <v>Sulfur - Generic</v>
      </c>
      <c r="T175" s="215" cm="1">
        <f t="array" ref="T175">Common_InputFunctions.Utility_DisplayArrayInTable(Fertiliser_SourceData.Fertiliser_Products_Data3(), FertiliserProducts[[#Headers],[Company]],61)</f>
        <v>0.11600000000000001</v>
      </c>
      <c r="U175" s="215" t="str" cm="1">
        <f t="array" ref="U175">Common_InputFunctions.Utility_DisplayArrayInTable(Fertiliser_SourceData.Fertiliser_Products_Data3(), FertiliserProducts[[#Headers],[Company]],61)</f>
        <v/>
      </c>
      <c r="V175" s="215" t="str" cm="1">
        <f t="array" ref="V175">Common_InputFunctions.Utility_DisplayArrayInTable(Fertiliser_SourceData.Fertiliser_Products_Data3(), FertiliserProducts[[#Headers],[Company]],61)</f>
        <v/>
      </c>
      <c r="W175" s="215" t="str" cm="1">
        <f t="array" ref="W175">Common_InputFunctions.Utility_DisplayArrayInTable(Fertiliser_SourceData.Fertiliser_Products_Data3(), FertiliserProducts[[#Headers],[Company]],61)</f>
        <v/>
      </c>
      <c r="X175" s="215" t="str" cm="1">
        <f t="array" ref="X175">Common_InputFunctions.Utility_DisplayArrayInTable(Fertiliser_SourceData.Fertiliser_Products_Data3(), FertiliserProducts[[#Headers],[Company]],61)</f>
        <v/>
      </c>
      <c r="Y175" s="215" t="str" cm="1">
        <f t="array" ref="Y175">Common_InputFunctions.Utility_DisplayArrayInTable(Fertiliser_SourceData.Fertiliser_Products_Data3(), FertiliserProducts[[#Headers],[Company]],61)</f>
        <v/>
      </c>
      <c r="Z175" s="215" t="str" cm="1">
        <f t="array" ref="Z175">Common_InputFunctions.Utility_DisplayArrayInTable(Fertiliser_SourceData.Fertiliser_Products_Data3(), FertiliserProducts[[#Headers],[Company]],61)</f>
        <v/>
      </c>
      <c r="AA175" s="215" t="str" cm="1">
        <f t="array" ref="AA175">Common_InputFunctions.Utility_DisplayArrayInTable(Fertiliser_SourceData.Fertiliser_Products_Data3(), FertiliserProducts[[#Headers],[Company]],61)</f>
        <v/>
      </c>
      <c r="AB175" s="215" t="str" cm="1">
        <f t="array" ref="AB175">Common_InputFunctions.Utility_DisplayArrayInTable(Fertiliser_SourceData.Fertiliser_Products_Data3(), FertiliserProducts[[#Headers],[Company]],61)</f>
        <v/>
      </c>
      <c r="AC175" s="215" t="str" cm="1">
        <f t="array" ref="AC175">Common_InputFunctions.Utility_DisplayArrayInTable(Fertiliser_SourceData.Fertiliser_Products_Data3(), FertiliserProducts[[#Headers],[Company]],61)</f>
        <v/>
      </c>
      <c r="AD175" s="215" t="str" cm="1">
        <f t="array" ref="AD175">Common_InputFunctions.Utility_DisplayArrayInTable(Fertiliser_SourceData.Fertiliser_Products_Data3(), FertiliserProducts[[#Headers],[Company]],61)</f>
        <v/>
      </c>
      <c r="AE175" s="215" t="str" cm="1">
        <f t="array" ref="AE175">Common_InputFunctions.Utility_DisplayArrayInTable(Fertiliser_SourceData.Fertiliser_Products_Data3(), FertiliserProducts[[#Headers],[Company]],61)</f>
        <v/>
      </c>
      <c r="AF175" s="215" t="str" cm="1">
        <f t="array" ref="AF175">Common_InputFunctions.Utility_DisplayArrayInTable(Fertiliser_SourceData.Fertiliser_Products_Data3(), FertiliserProducts[[#Headers],[Company]],61)</f>
        <v/>
      </c>
      <c r="AG175" s="215" t="str" cm="1">
        <f t="array" ref="AG175">Common_InputFunctions.Utility_DisplayArrayInTable(Fertiliser_SourceData.Fertiliser_Products_Data3(), FertiliserProducts[[#Headers],[Company]],61)</f>
        <v/>
      </c>
      <c r="AH175" s="215" t="str" cm="1">
        <f t="array" ref="AH175">Common_InputFunctions.Utility_DisplayArrayInTable(Fertiliser_SourceData.Fertiliser_Products_Data3(), FertiliserProducts[[#Headers],[Company]],61)</f>
        <v/>
      </c>
    </row>
    <row r="176" spans="4:34" ht="20.100000000000001" customHeight="1" x14ac:dyDescent="0.25">
      <c r="D176" s="215" t="str" cm="1">
        <f t="array" ref="D176">Common_InputFunctions.Utility_DisplayArrayInTable(Fertiliser_SourceData.Fertiliser_Products_Data3(), FertiliserProducts[[#Headers],[Company]],61)</f>
        <v>Incitec Pivot Fertilisers</v>
      </c>
      <c r="E176" s="215" t="str" cm="1">
        <f t="array" ref="E176">Common_InputFunctions.Utility_DisplayArrayInTable(Fertiliser_SourceData.Fertiliser_Products_Data3(), FertiliserProducts[[#Headers],[Company]],61)</f>
        <v>NPKS 19-13-0-9</v>
      </c>
      <c r="F176" s="215" t="str" cm="1">
        <f t="array" ref="F176">Common_InputFunctions.Utility_DisplayArrayInTable(Fertiliser_SourceData.Fertiliser_Products_Data3(), FertiliserProducts[[#Headers],[Company]],61)</f>
        <v>kg</v>
      </c>
      <c r="G176" s="215" cm="1">
        <f t="array" ref="G176">Common_InputFunctions.Utility_DisplayArrayInTable(Fertiliser_SourceData.Fertiliser_Products_Data3(), FertiliserProducts[[#Headers],[Company]],61)</f>
        <v>1</v>
      </c>
      <c r="H176" s="215" t="str" cm="1">
        <f t="array" ref="H176">Common_InputFunctions.Utility_DisplayArrayInTable(Fertiliser_SourceData.Fertiliser_Products_Data3(), FertiliserProducts[[#Headers],[Company]],61)</f>
        <v/>
      </c>
      <c r="I176" s="215" t="str" cm="1">
        <f t="array" ref="I176">Common_InputFunctions.Utility_DisplayArrayInTable(Fertiliser_SourceData.Fertiliser_Products_Data3(), FertiliserProducts[[#Headers],[Company]],61)</f>
        <v/>
      </c>
      <c r="J176" s="215" t="str" cm="1">
        <f t="array" ref="J176">Common_InputFunctions.Utility_DisplayArrayInTable(Fertiliser_SourceData.Fertiliser_Products_Data3(), FertiliserProducts[[#Headers],[Company]],61)</f>
        <v/>
      </c>
      <c r="K176" s="215" cm="1">
        <f t="array" ref="K176">Common_InputFunctions.Utility_DisplayArrayInTable(Fertiliser_SourceData.Fertiliser_Products_Data3(), FertiliserProducts[[#Headers],[Company]],61)</f>
        <v>19</v>
      </c>
      <c r="L176" s="215" cm="1">
        <f t="array" ref="L176">Common_InputFunctions.Utility_DisplayArrayInTable(Fertiliser_SourceData.Fertiliser_Products_Data3(), FertiliserProducts[[#Headers],[Company]],61)</f>
        <v>13</v>
      </c>
      <c r="M176" s="215" cm="1">
        <f t="array" ref="M176">Common_InputFunctions.Utility_DisplayArrayInTable(Fertiliser_SourceData.Fertiliser_Products_Data3(), FertiliserProducts[[#Headers],[Company]],61)</f>
        <v>0</v>
      </c>
      <c r="N176" s="215" cm="1">
        <f t="array" ref="N176">Common_InputFunctions.Utility_DisplayArrayInTable(Fertiliser_SourceData.Fertiliser_Products_Data3(), FertiliserProducts[[#Headers],[Company]],61)</f>
        <v>9</v>
      </c>
      <c r="O176" s="215" t="str" cm="1">
        <f t="array" ref="O176">Common_InputFunctions.Utility_DisplayArrayInTable(Fertiliser_SourceData.Fertiliser_Products_Data3(), FertiliserProducts[[#Headers],[Company]],61)</f>
        <v>Nitrogen - Generic</v>
      </c>
      <c r="P176" s="215" cm="1">
        <f t="array" ref="P176">Common_InputFunctions.Utility_DisplayArrayInTable(Fertiliser_SourceData.Fertiliser_Products_Data3(), FertiliserProducts[[#Headers],[Company]],61)</f>
        <v>0.19</v>
      </c>
      <c r="Q176" s="215" t="str" cm="1">
        <f t="array" ref="Q176">Common_InputFunctions.Utility_DisplayArrayInTable(Fertiliser_SourceData.Fertiliser_Products_Data3(), FertiliserProducts[[#Headers],[Company]],61)</f>
        <v>Phosphorus - Generic</v>
      </c>
      <c r="R176" s="215" cm="1">
        <f t="array" ref="R176">Common_InputFunctions.Utility_DisplayArrayInTable(Fertiliser_SourceData.Fertiliser_Products_Data3(), FertiliserProducts[[#Headers],[Company]],61)</f>
        <v>0.13</v>
      </c>
      <c r="S176" s="215" t="str" cm="1">
        <f t="array" ref="S176">Common_InputFunctions.Utility_DisplayArrayInTable(Fertiliser_SourceData.Fertiliser_Products_Data3(), FertiliserProducts[[#Headers],[Company]],61)</f>
        <v>Sulfur - Generic</v>
      </c>
      <c r="T176" s="215" cm="1">
        <f t="array" ref="T176">Common_InputFunctions.Utility_DisplayArrayInTable(Fertiliser_SourceData.Fertiliser_Products_Data3(), FertiliserProducts[[#Headers],[Company]],61)</f>
        <v>0.09</v>
      </c>
      <c r="U176" s="215" t="str" cm="1">
        <f t="array" ref="U176">Common_InputFunctions.Utility_DisplayArrayInTable(Fertiliser_SourceData.Fertiliser_Products_Data3(), FertiliserProducts[[#Headers],[Company]],61)</f>
        <v/>
      </c>
      <c r="V176" s="215" t="str" cm="1">
        <f t="array" ref="V176">Common_InputFunctions.Utility_DisplayArrayInTable(Fertiliser_SourceData.Fertiliser_Products_Data3(), FertiliserProducts[[#Headers],[Company]],61)</f>
        <v/>
      </c>
      <c r="W176" s="215" t="str" cm="1">
        <f t="array" ref="W176">Common_InputFunctions.Utility_DisplayArrayInTable(Fertiliser_SourceData.Fertiliser_Products_Data3(), FertiliserProducts[[#Headers],[Company]],61)</f>
        <v/>
      </c>
      <c r="X176" s="215" t="str" cm="1">
        <f t="array" ref="X176">Common_InputFunctions.Utility_DisplayArrayInTable(Fertiliser_SourceData.Fertiliser_Products_Data3(), FertiliserProducts[[#Headers],[Company]],61)</f>
        <v/>
      </c>
      <c r="Y176" s="215" t="str" cm="1">
        <f t="array" ref="Y176">Common_InputFunctions.Utility_DisplayArrayInTable(Fertiliser_SourceData.Fertiliser_Products_Data3(), FertiliserProducts[[#Headers],[Company]],61)</f>
        <v/>
      </c>
      <c r="Z176" s="215" t="str" cm="1">
        <f t="array" ref="Z176">Common_InputFunctions.Utility_DisplayArrayInTable(Fertiliser_SourceData.Fertiliser_Products_Data3(), FertiliserProducts[[#Headers],[Company]],61)</f>
        <v/>
      </c>
      <c r="AA176" s="215" t="str" cm="1">
        <f t="array" ref="AA176">Common_InputFunctions.Utility_DisplayArrayInTable(Fertiliser_SourceData.Fertiliser_Products_Data3(), FertiliserProducts[[#Headers],[Company]],61)</f>
        <v/>
      </c>
      <c r="AB176" s="215" t="str" cm="1">
        <f t="array" ref="AB176">Common_InputFunctions.Utility_DisplayArrayInTable(Fertiliser_SourceData.Fertiliser_Products_Data3(), FertiliserProducts[[#Headers],[Company]],61)</f>
        <v/>
      </c>
      <c r="AC176" s="215" t="str" cm="1">
        <f t="array" ref="AC176">Common_InputFunctions.Utility_DisplayArrayInTable(Fertiliser_SourceData.Fertiliser_Products_Data3(), FertiliserProducts[[#Headers],[Company]],61)</f>
        <v/>
      </c>
      <c r="AD176" s="215" t="str" cm="1">
        <f t="array" ref="AD176">Common_InputFunctions.Utility_DisplayArrayInTable(Fertiliser_SourceData.Fertiliser_Products_Data3(), FertiliserProducts[[#Headers],[Company]],61)</f>
        <v/>
      </c>
      <c r="AE176" s="215" t="str" cm="1">
        <f t="array" ref="AE176">Common_InputFunctions.Utility_DisplayArrayInTable(Fertiliser_SourceData.Fertiliser_Products_Data3(), FertiliserProducts[[#Headers],[Company]],61)</f>
        <v/>
      </c>
      <c r="AF176" s="215" t="str" cm="1">
        <f t="array" ref="AF176">Common_InputFunctions.Utility_DisplayArrayInTable(Fertiliser_SourceData.Fertiliser_Products_Data3(), FertiliserProducts[[#Headers],[Company]],61)</f>
        <v/>
      </c>
      <c r="AG176" s="215" t="str" cm="1">
        <f t="array" ref="AG176">Common_InputFunctions.Utility_DisplayArrayInTable(Fertiliser_SourceData.Fertiliser_Products_Data3(), FertiliserProducts[[#Headers],[Company]],61)</f>
        <v/>
      </c>
      <c r="AH176" s="215" t="str" cm="1">
        <f t="array" ref="AH176">Common_InputFunctions.Utility_DisplayArrayInTable(Fertiliser_SourceData.Fertiliser_Products_Data3(), FertiliserProducts[[#Headers],[Company]],61)</f>
        <v/>
      </c>
    </row>
    <row r="177" spans="4:34" ht="20.100000000000001" customHeight="1" x14ac:dyDescent="0.25">
      <c r="D177" s="215" t="str" cm="1">
        <f t="array" ref="D177">Common_InputFunctions.Utility_DisplayArrayInTable(Fertiliser_SourceData.Fertiliser_Products_Data3(), FertiliserProducts[[#Headers],[Company]],61)</f>
        <v>Incitec Pivot Fertilisers</v>
      </c>
      <c r="E177" s="215" t="str" cm="1">
        <f t="array" ref="E177">Common_InputFunctions.Utility_DisplayArrayInTable(Fertiliser_SourceData.Fertiliser_Products_Data3(), FertiliserProducts[[#Headers],[Company]],61)</f>
        <v>PastureBoosta</v>
      </c>
      <c r="F177" s="215" t="str" cm="1">
        <f t="array" ref="F177">Common_InputFunctions.Utility_DisplayArrayInTable(Fertiliser_SourceData.Fertiliser_Products_Data3(), FertiliserProducts[[#Headers],[Company]],61)</f>
        <v>kg</v>
      </c>
      <c r="G177" s="215" cm="1">
        <f t="array" ref="G177">Common_InputFunctions.Utility_DisplayArrayInTable(Fertiliser_SourceData.Fertiliser_Products_Data3(), FertiliserProducts[[#Headers],[Company]],61)</f>
        <v>1</v>
      </c>
      <c r="H177" s="215" t="str" cm="1">
        <f t="array" ref="H177">Common_InputFunctions.Utility_DisplayArrayInTable(Fertiliser_SourceData.Fertiliser_Products_Data3(), FertiliserProducts[[#Headers],[Company]],61)</f>
        <v/>
      </c>
      <c r="I177" s="215" t="str" cm="1">
        <f t="array" ref="I177">Common_InputFunctions.Utility_DisplayArrayInTable(Fertiliser_SourceData.Fertiliser_Products_Data3(), FertiliserProducts[[#Headers],[Company]],61)</f>
        <v/>
      </c>
      <c r="J177" s="215" t="str" cm="1">
        <f t="array" ref="J177">Common_InputFunctions.Utility_DisplayArrayInTable(Fertiliser_SourceData.Fertiliser_Products_Data3(), FertiliserProducts[[#Headers],[Company]],61)</f>
        <v/>
      </c>
      <c r="K177" s="215" cm="1">
        <f t="array" ref="K177">Common_InputFunctions.Utility_DisplayArrayInTable(Fertiliser_SourceData.Fertiliser_Products_Data3(), FertiliserProducts[[#Headers],[Company]],61)</f>
        <v>23.8</v>
      </c>
      <c r="L177" s="215" cm="1">
        <f t="array" ref="L177">Common_InputFunctions.Utility_DisplayArrayInTable(Fertiliser_SourceData.Fertiliser_Products_Data3(), FertiliserProducts[[#Headers],[Company]],61)</f>
        <v>3.7</v>
      </c>
      <c r="M177" s="215" cm="1">
        <f t="array" ref="M177">Common_InputFunctions.Utility_DisplayArrayInTable(Fertiliser_SourceData.Fertiliser_Products_Data3(), FertiliserProducts[[#Headers],[Company]],61)</f>
        <v>13</v>
      </c>
      <c r="N177" s="215" cm="1">
        <f t="array" ref="N177">Common_InputFunctions.Utility_DisplayArrayInTable(Fertiliser_SourceData.Fertiliser_Products_Data3(), FertiliserProducts[[#Headers],[Company]],61)</f>
        <v>4.0999999999999996</v>
      </c>
      <c r="O177" s="215" t="str" cm="1">
        <f t="array" ref="O177">Common_InputFunctions.Utility_DisplayArrayInTable(Fertiliser_SourceData.Fertiliser_Products_Data3(), FertiliserProducts[[#Headers],[Company]],61)</f>
        <v>Nitrogen - Generic</v>
      </c>
      <c r="P177" s="215" cm="1">
        <f t="array" ref="P177">Common_InputFunctions.Utility_DisplayArrayInTable(Fertiliser_SourceData.Fertiliser_Products_Data3(), FertiliserProducts[[#Headers],[Company]],61)</f>
        <v>0.23799999999999999</v>
      </c>
      <c r="Q177" s="215" t="str" cm="1">
        <f t="array" ref="Q177">Common_InputFunctions.Utility_DisplayArrayInTable(Fertiliser_SourceData.Fertiliser_Products_Data3(), FertiliserProducts[[#Headers],[Company]],61)</f>
        <v>Phosphorus - Generic</v>
      </c>
      <c r="R177" s="215" cm="1">
        <f t="array" ref="R177">Common_InputFunctions.Utility_DisplayArrayInTable(Fertiliser_SourceData.Fertiliser_Products_Data3(), FertiliserProducts[[#Headers],[Company]],61)</f>
        <v>3.6999999999999998E-2</v>
      </c>
      <c r="S177" s="215" t="str" cm="1">
        <f t="array" ref="S177">Common_InputFunctions.Utility_DisplayArrayInTable(Fertiliser_SourceData.Fertiliser_Products_Data3(), FertiliserProducts[[#Headers],[Company]],61)</f>
        <v>Potassium - Generic</v>
      </c>
      <c r="T177" s="215" cm="1">
        <f t="array" ref="T177">Common_InputFunctions.Utility_DisplayArrayInTable(Fertiliser_SourceData.Fertiliser_Products_Data3(), FertiliserProducts[[#Headers],[Company]],61)</f>
        <v>0.13</v>
      </c>
      <c r="U177" s="215" t="str" cm="1">
        <f t="array" ref="U177">Common_InputFunctions.Utility_DisplayArrayInTable(Fertiliser_SourceData.Fertiliser_Products_Data3(), FertiliserProducts[[#Headers],[Company]],61)</f>
        <v>Sulfur - Generic</v>
      </c>
      <c r="V177" s="215" cm="1">
        <f t="array" ref="V177">Common_InputFunctions.Utility_DisplayArrayInTable(Fertiliser_SourceData.Fertiliser_Products_Data3(), FertiliserProducts[[#Headers],[Company]],61)</f>
        <v>4.1000000000000002E-2</v>
      </c>
      <c r="W177" s="215" t="str" cm="1">
        <f t="array" ref="W177">Common_InputFunctions.Utility_DisplayArrayInTable(Fertiliser_SourceData.Fertiliser_Products_Data3(), FertiliserProducts[[#Headers],[Company]],61)</f>
        <v/>
      </c>
      <c r="X177" s="215" t="str" cm="1">
        <f t="array" ref="X177">Common_InputFunctions.Utility_DisplayArrayInTable(Fertiliser_SourceData.Fertiliser_Products_Data3(), FertiliserProducts[[#Headers],[Company]],61)</f>
        <v/>
      </c>
      <c r="Y177" s="215" t="str" cm="1">
        <f t="array" ref="Y177">Common_InputFunctions.Utility_DisplayArrayInTable(Fertiliser_SourceData.Fertiliser_Products_Data3(), FertiliserProducts[[#Headers],[Company]],61)</f>
        <v/>
      </c>
      <c r="Z177" s="215" t="str" cm="1">
        <f t="array" ref="Z177">Common_InputFunctions.Utility_DisplayArrayInTable(Fertiliser_SourceData.Fertiliser_Products_Data3(), FertiliserProducts[[#Headers],[Company]],61)</f>
        <v/>
      </c>
      <c r="AA177" s="215" t="str" cm="1">
        <f t="array" ref="AA177">Common_InputFunctions.Utility_DisplayArrayInTable(Fertiliser_SourceData.Fertiliser_Products_Data3(), FertiliserProducts[[#Headers],[Company]],61)</f>
        <v/>
      </c>
      <c r="AB177" s="215" t="str" cm="1">
        <f t="array" ref="AB177">Common_InputFunctions.Utility_DisplayArrayInTable(Fertiliser_SourceData.Fertiliser_Products_Data3(), FertiliserProducts[[#Headers],[Company]],61)</f>
        <v/>
      </c>
      <c r="AC177" s="215" t="str" cm="1">
        <f t="array" ref="AC177">Common_InputFunctions.Utility_DisplayArrayInTable(Fertiliser_SourceData.Fertiliser_Products_Data3(), FertiliserProducts[[#Headers],[Company]],61)</f>
        <v/>
      </c>
      <c r="AD177" s="215" t="str" cm="1">
        <f t="array" ref="AD177">Common_InputFunctions.Utility_DisplayArrayInTable(Fertiliser_SourceData.Fertiliser_Products_Data3(), FertiliserProducts[[#Headers],[Company]],61)</f>
        <v/>
      </c>
      <c r="AE177" s="215" t="str" cm="1">
        <f t="array" ref="AE177">Common_InputFunctions.Utility_DisplayArrayInTable(Fertiliser_SourceData.Fertiliser_Products_Data3(), FertiliserProducts[[#Headers],[Company]],61)</f>
        <v/>
      </c>
      <c r="AF177" s="215" t="str" cm="1">
        <f t="array" ref="AF177">Common_InputFunctions.Utility_DisplayArrayInTable(Fertiliser_SourceData.Fertiliser_Products_Data3(), FertiliserProducts[[#Headers],[Company]],61)</f>
        <v/>
      </c>
      <c r="AG177" s="215" t="str" cm="1">
        <f t="array" ref="AG177">Common_InputFunctions.Utility_DisplayArrayInTable(Fertiliser_SourceData.Fertiliser_Products_Data3(), FertiliserProducts[[#Headers],[Company]],61)</f>
        <v/>
      </c>
      <c r="AH177" s="215" t="str" cm="1">
        <f t="array" ref="AH177">Common_InputFunctions.Utility_DisplayArrayInTable(Fertiliser_SourceData.Fertiliser_Products_Data3(), FertiliserProducts[[#Headers],[Company]],61)</f>
        <v/>
      </c>
    </row>
    <row r="178" spans="4:34" ht="20.100000000000001" customHeight="1" x14ac:dyDescent="0.25">
      <c r="D178" s="215" t="str" cm="1">
        <f t="array" ref="D178">Common_InputFunctions.Utility_DisplayArrayInTable(Fertiliser_SourceData.Fertiliser_Products_Data3(), FertiliserProducts[[#Headers],[Company]],61)</f>
        <v>Incitec Pivot Fertilisers</v>
      </c>
      <c r="E178" s="215" t="str" cm="1">
        <f t="array" ref="E178">Common_InputFunctions.Utility_DisplayArrayInTable(Fertiliser_SourceData.Fertiliser_Products_Data3(), FertiliserProducts[[#Headers],[Company]],61)</f>
        <v>Greentop K</v>
      </c>
      <c r="F178" s="215" t="str" cm="1">
        <f t="array" ref="F178">Common_InputFunctions.Utility_DisplayArrayInTable(Fertiliser_SourceData.Fertiliser_Products_Data3(), FertiliserProducts[[#Headers],[Company]],61)</f>
        <v>kg</v>
      </c>
      <c r="G178" s="215" cm="1">
        <f t="array" ref="G178">Common_InputFunctions.Utility_DisplayArrayInTable(Fertiliser_SourceData.Fertiliser_Products_Data3(), FertiliserProducts[[#Headers],[Company]],61)</f>
        <v>1</v>
      </c>
      <c r="H178" s="215" t="str" cm="1">
        <f t="array" ref="H178">Common_InputFunctions.Utility_DisplayArrayInTable(Fertiliser_SourceData.Fertiliser_Products_Data3(), FertiliserProducts[[#Headers],[Company]],61)</f>
        <v/>
      </c>
      <c r="I178" s="215" t="str" cm="1">
        <f t="array" ref="I178">Common_InputFunctions.Utility_DisplayArrayInTable(Fertiliser_SourceData.Fertiliser_Products_Data3(), FertiliserProducts[[#Headers],[Company]],61)</f>
        <v/>
      </c>
      <c r="J178" s="215" t="str" cm="1">
        <f t="array" ref="J178">Common_InputFunctions.Utility_DisplayArrayInTable(Fertiliser_SourceData.Fertiliser_Products_Data3(), FertiliserProducts[[#Headers],[Company]],61)</f>
        <v/>
      </c>
      <c r="K178" s="215" cm="1">
        <f t="array" ref="K178">Common_InputFunctions.Utility_DisplayArrayInTable(Fertiliser_SourceData.Fertiliser_Products_Data3(), FertiliserProducts[[#Headers],[Company]],61)</f>
        <v>32.799999999999997</v>
      </c>
      <c r="L178" s="215" t="str" cm="1">
        <f t="array" ref="L178">Common_InputFunctions.Utility_DisplayArrayInTable(Fertiliser_SourceData.Fertiliser_Products_Data3(), FertiliserProducts[[#Headers],[Company]],61)</f>
        <v/>
      </c>
      <c r="M178" s="215" cm="1">
        <f t="array" ref="M178">Common_InputFunctions.Utility_DisplayArrayInTable(Fertiliser_SourceData.Fertiliser_Products_Data3(), FertiliserProducts[[#Headers],[Company]],61)</f>
        <v>11</v>
      </c>
      <c r="N178" s="215" cm="1">
        <f t="array" ref="N178">Common_InputFunctions.Utility_DisplayArrayInTable(Fertiliser_SourceData.Fertiliser_Products_Data3(), FertiliserProducts[[#Headers],[Company]],61)</f>
        <v>2.9</v>
      </c>
      <c r="O178" s="215" t="str" cm="1">
        <f t="array" ref="O178">Common_InputFunctions.Utility_DisplayArrayInTable(Fertiliser_SourceData.Fertiliser_Products_Data3(), FertiliserProducts[[#Headers],[Company]],61)</f>
        <v>Urea</v>
      </c>
      <c r="P178" s="215" cm="1">
        <f t="array" ref="P178">Common_InputFunctions.Utility_DisplayArrayInTable(Fertiliser_SourceData.Fertiliser_Products_Data3(), FertiliserProducts[[#Headers],[Company]],61)</f>
        <v>0.66086999999999996</v>
      </c>
      <c r="Q178" s="215" t="str" cm="1">
        <f t="array" ref="Q178">Common_InputFunctions.Utility_DisplayArrayInTable(Fertiliser_SourceData.Fertiliser_Products_Data3(), FertiliserProducts[[#Headers],[Company]],61)</f>
        <v>Nitrogen - Ammoniacal</v>
      </c>
      <c r="R178" s="215" cm="1">
        <f t="array" ref="R178">Common_InputFunctions.Utility_DisplayArrayInTable(Fertiliser_SourceData.Fertiliser_Products_Data3(), FertiliserProducts[[#Headers],[Company]],61)</f>
        <v>2.4E-2</v>
      </c>
      <c r="S178" s="215" t="str" cm="1">
        <f t="array" ref="S178">Common_InputFunctions.Utility_DisplayArrayInTable(Fertiliser_SourceData.Fertiliser_Products_Data3(), FertiliserProducts[[#Headers],[Company]],61)</f>
        <v>Potassium - Generic</v>
      </c>
      <c r="T178" s="215" cm="1">
        <f t="array" ref="T178">Common_InputFunctions.Utility_DisplayArrayInTable(Fertiliser_SourceData.Fertiliser_Products_Data3(), FertiliserProducts[[#Headers],[Company]],61)</f>
        <v>0.11</v>
      </c>
      <c r="U178" s="215" t="str" cm="1">
        <f t="array" ref="U178">Common_InputFunctions.Utility_DisplayArrayInTable(Fertiliser_SourceData.Fertiliser_Products_Data3(), FertiliserProducts[[#Headers],[Company]],61)</f>
        <v>Sulfur - Generic</v>
      </c>
      <c r="V178" s="215" cm="1">
        <f t="array" ref="V178">Common_InputFunctions.Utility_DisplayArrayInTable(Fertiliser_SourceData.Fertiliser_Products_Data3(), FertiliserProducts[[#Headers],[Company]],61)</f>
        <v>2.9000000000000001E-2</v>
      </c>
      <c r="W178" s="215" t="str" cm="1">
        <f t="array" ref="W178">Common_InputFunctions.Utility_DisplayArrayInTable(Fertiliser_SourceData.Fertiliser_Products_Data3(), FertiliserProducts[[#Headers],[Company]],61)</f>
        <v/>
      </c>
      <c r="X178" s="215" t="str" cm="1">
        <f t="array" ref="X178">Common_InputFunctions.Utility_DisplayArrayInTable(Fertiliser_SourceData.Fertiliser_Products_Data3(), FertiliserProducts[[#Headers],[Company]],61)</f>
        <v/>
      </c>
      <c r="Y178" s="215" t="str" cm="1">
        <f t="array" ref="Y178">Common_InputFunctions.Utility_DisplayArrayInTable(Fertiliser_SourceData.Fertiliser_Products_Data3(), FertiliserProducts[[#Headers],[Company]],61)</f>
        <v/>
      </c>
      <c r="Z178" s="215" t="str" cm="1">
        <f t="array" ref="Z178">Common_InputFunctions.Utility_DisplayArrayInTable(Fertiliser_SourceData.Fertiliser_Products_Data3(), FertiliserProducts[[#Headers],[Company]],61)</f>
        <v/>
      </c>
      <c r="AA178" s="215" t="str" cm="1">
        <f t="array" ref="AA178">Common_InputFunctions.Utility_DisplayArrayInTable(Fertiliser_SourceData.Fertiliser_Products_Data3(), FertiliserProducts[[#Headers],[Company]],61)</f>
        <v/>
      </c>
      <c r="AB178" s="215" t="str" cm="1">
        <f t="array" ref="AB178">Common_InputFunctions.Utility_DisplayArrayInTable(Fertiliser_SourceData.Fertiliser_Products_Data3(), FertiliserProducts[[#Headers],[Company]],61)</f>
        <v/>
      </c>
      <c r="AC178" s="215" t="str" cm="1">
        <f t="array" ref="AC178">Common_InputFunctions.Utility_DisplayArrayInTable(Fertiliser_SourceData.Fertiliser_Products_Data3(), FertiliserProducts[[#Headers],[Company]],61)</f>
        <v/>
      </c>
      <c r="AD178" s="215" t="str" cm="1">
        <f t="array" ref="AD178">Common_InputFunctions.Utility_DisplayArrayInTable(Fertiliser_SourceData.Fertiliser_Products_Data3(), FertiliserProducts[[#Headers],[Company]],61)</f>
        <v/>
      </c>
      <c r="AE178" s="215" t="str" cm="1">
        <f t="array" ref="AE178">Common_InputFunctions.Utility_DisplayArrayInTable(Fertiliser_SourceData.Fertiliser_Products_Data3(), FertiliserProducts[[#Headers],[Company]],61)</f>
        <v/>
      </c>
      <c r="AF178" s="215" t="str" cm="1">
        <f t="array" ref="AF178">Common_InputFunctions.Utility_DisplayArrayInTable(Fertiliser_SourceData.Fertiliser_Products_Data3(), FertiliserProducts[[#Headers],[Company]],61)</f>
        <v/>
      </c>
      <c r="AG178" s="215" t="str" cm="1">
        <f t="array" ref="AG178">Common_InputFunctions.Utility_DisplayArrayInTable(Fertiliser_SourceData.Fertiliser_Products_Data3(), FertiliserProducts[[#Headers],[Company]],61)</f>
        <v/>
      </c>
      <c r="AH178" s="215" t="str" cm="1">
        <f t="array" ref="AH178">Common_InputFunctions.Utility_DisplayArrayInTable(Fertiliser_SourceData.Fertiliser_Products_Data3(), FertiliserProducts[[#Headers],[Company]],61)</f>
        <v/>
      </c>
    </row>
    <row r="179" spans="4:34" ht="20.100000000000001" customHeight="1" x14ac:dyDescent="0.25">
      <c r="D179" s="215" t="str" cm="1">
        <f t="array" ref="D179">Common_InputFunctions.Utility_DisplayArrayInTable(Fertiliser_SourceData.Fertiliser_Products_Data3(), FertiliserProducts[[#Headers],[Company]],61)</f>
        <v>Incitec Pivot Fertilisers</v>
      </c>
      <c r="E179" s="215" t="str" cm="1">
        <f t="array" ref="E179">Common_InputFunctions.Utility_DisplayArrayInTable(Fertiliser_SourceData.Fertiliser_Products_Data3(), FertiliserProducts[[#Headers],[Company]],61)</f>
        <v>HayBoosta</v>
      </c>
      <c r="F179" s="215" t="str" cm="1">
        <f t="array" ref="F179">Common_InputFunctions.Utility_DisplayArrayInTable(Fertiliser_SourceData.Fertiliser_Products_Data3(), FertiliserProducts[[#Headers],[Company]],61)</f>
        <v>kg</v>
      </c>
      <c r="G179" s="215" cm="1">
        <f t="array" ref="G179">Common_InputFunctions.Utility_DisplayArrayInTable(Fertiliser_SourceData.Fertiliser_Products_Data3(), FertiliserProducts[[#Headers],[Company]],61)</f>
        <v>1</v>
      </c>
      <c r="H179" s="215" t="str" cm="1">
        <f t="array" ref="H179">Common_InputFunctions.Utility_DisplayArrayInTable(Fertiliser_SourceData.Fertiliser_Products_Data3(), FertiliserProducts[[#Headers],[Company]],61)</f>
        <v/>
      </c>
      <c r="I179" s="215" t="str" cm="1">
        <f t="array" ref="I179">Common_InputFunctions.Utility_DisplayArrayInTable(Fertiliser_SourceData.Fertiliser_Products_Data3(), FertiliserProducts[[#Headers],[Company]],61)</f>
        <v/>
      </c>
      <c r="J179" s="215" t="str" cm="1">
        <f t="array" ref="J179">Common_InputFunctions.Utility_DisplayArrayInTable(Fertiliser_SourceData.Fertiliser_Products_Data3(), FertiliserProducts[[#Headers],[Company]],61)</f>
        <v/>
      </c>
      <c r="K179" s="215" cm="1">
        <f t="array" ref="K179">Common_InputFunctions.Utility_DisplayArrayInTable(Fertiliser_SourceData.Fertiliser_Products_Data3(), FertiliserProducts[[#Headers],[Company]],61)</f>
        <v>11.7</v>
      </c>
      <c r="L179" s="215" cm="1">
        <f t="array" ref="L179">Common_InputFunctions.Utility_DisplayArrayInTable(Fertiliser_SourceData.Fertiliser_Products_Data3(), FertiliserProducts[[#Headers],[Company]],61)</f>
        <v>4.7</v>
      </c>
      <c r="M179" s="215" cm="1">
        <f t="array" ref="M179">Common_InputFunctions.Utility_DisplayArrayInTable(Fertiliser_SourceData.Fertiliser_Products_Data3(), FertiliserProducts[[#Headers],[Company]],61)</f>
        <v>23.9</v>
      </c>
      <c r="N179" s="215" cm="1">
        <f t="array" ref="N179">Common_InputFunctions.Utility_DisplayArrayInTable(Fertiliser_SourceData.Fertiliser_Products_Data3(), FertiliserProducts[[#Headers],[Company]],61)</f>
        <v>4.5999999999999996</v>
      </c>
      <c r="O179" s="215" t="str" cm="1">
        <f t="array" ref="O179">Common_InputFunctions.Utility_DisplayArrayInTable(Fertiliser_SourceData.Fertiliser_Products_Data3(), FertiliserProducts[[#Headers],[Company]],61)</f>
        <v>Nitrogen - Generic</v>
      </c>
      <c r="P179" s="215" cm="1">
        <f t="array" ref="P179">Common_InputFunctions.Utility_DisplayArrayInTable(Fertiliser_SourceData.Fertiliser_Products_Data3(), FertiliserProducts[[#Headers],[Company]],61)</f>
        <v>0.11700000000000001</v>
      </c>
      <c r="Q179" s="215" t="str" cm="1">
        <f t="array" ref="Q179">Common_InputFunctions.Utility_DisplayArrayInTable(Fertiliser_SourceData.Fertiliser_Products_Data3(), FertiliserProducts[[#Headers],[Company]],61)</f>
        <v>Phosphorus - Generic</v>
      </c>
      <c r="R179" s="215" cm="1">
        <f t="array" ref="R179">Common_InputFunctions.Utility_DisplayArrayInTable(Fertiliser_SourceData.Fertiliser_Products_Data3(), FertiliserProducts[[#Headers],[Company]],61)</f>
        <v>4.7E-2</v>
      </c>
      <c r="S179" s="215" t="str" cm="1">
        <f t="array" ref="S179">Common_InputFunctions.Utility_DisplayArrayInTable(Fertiliser_SourceData.Fertiliser_Products_Data3(), FertiliserProducts[[#Headers],[Company]],61)</f>
        <v>Potassium - Generic</v>
      </c>
      <c r="T179" s="215" cm="1">
        <f t="array" ref="T179">Common_InputFunctions.Utility_DisplayArrayInTable(Fertiliser_SourceData.Fertiliser_Products_Data3(), FertiliserProducts[[#Headers],[Company]],61)</f>
        <v>0.23899999999999999</v>
      </c>
      <c r="U179" s="215" t="str" cm="1">
        <f t="array" ref="U179">Common_InputFunctions.Utility_DisplayArrayInTable(Fertiliser_SourceData.Fertiliser_Products_Data3(), FertiliserProducts[[#Headers],[Company]],61)</f>
        <v>Sulfur - Generic</v>
      </c>
      <c r="V179" s="215" cm="1">
        <f t="array" ref="V179">Common_InputFunctions.Utility_DisplayArrayInTable(Fertiliser_SourceData.Fertiliser_Products_Data3(), FertiliserProducts[[#Headers],[Company]],61)</f>
        <v>4.5999999999999999E-2</v>
      </c>
      <c r="W179" s="215" t="str" cm="1">
        <f t="array" ref="W179">Common_InputFunctions.Utility_DisplayArrayInTable(Fertiliser_SourceData.Fertiliser_Products_Data3(), FertiliserProducts[[#Headers],[Company]],61)</f>
        <v/>
      </c>
      <c r="X179" s="215" t="str" cm="1">
        <f t="array" ref="X179">Common_InputFunctions.Utility_DisplayArrayInTable(Fertiliser_SourceData.Fertiliser_Products_Data3(), FertiliserProducts[[#Headers],[Company]],61)</f>
        <v/>
      </c>
      <c r="Y179" s="215" t="str" cm="1">
        <f t="array" ref="Y179">Common_InputFunctions.Utility_DisplayArrayInTable(Fertiliser_SourceData.Fertiliser_Products_Data3(), FertiliserProducts[[#Headers],[Company]],61)</f>
        <v/>
      </c>
      <c r="Z179" s="215" t="str" cm="1">
        <f t="array" ref="Z179">Common_InputFunctions.Utility_DisplayArrayInTable(Fertiliser_SourceData.Fertiliser_Products_Data3(), FertiliserProducts[[#Headers],[Company]],61)</f>
        <v/>
      </c>
      <c r="AA179" s="215" t="str" cm="1">
        <f t="array" ref="AA179">Common_InputFunctions.Utility_DisplayArrayInTable(Fertiliser_SourceData.Fertiliser_Products_Data3(), FertiliserProducts[[#Headers],[Company]],61)</f>
        <v/>
      </c>
      <c r="AB179" s="215" t="str" cm="1">
        <f t="array" ref="AB179">Common_InputFunctions.Utility_DisplayArrayInTable(Fertiliser_SourceData.Fertiliser_Products_Data3(), FertiliserProducts[[#Headers],[Company]],61)</f>
        <v/>
      </c>
      <c r="AC179" s="215" t="str" cm="1">
        <f t="array" ref="AC179">Common_InputFunctions.Utility_DisplayArrayInTable(Fertiliser_SourceData.Fertiliser_Products_Data3(), FertiliserProducts[[#Headers],[Company]],61)</f>
        <v/>
      </c>
      <c r="AD179" s="215" t="str" cm="1">
        <f t="array" ref="AD179">Common_InputFunctions.Utility_DisplayArrayInTable(Fertiliser_SourceData.Fertiliser_Products_Data3(), FertiliserProducts[[#Headers],[Company]],61)</f>
        <v/>
      </c>
      <c r="AE179" s="215" t="str" cm="1">
        <f t="array" ref="AE179">Common_InputFunctions.Utility_DisplayArrayInTable(Fertiliser_SourceData.Fertiliser_Products_Data3(), FertiliserProducts[[#Headers],[Company]],61)</f>
        <v/>
      </c>
      <c r="AF179" s="215" t="str" cm="1">
        <f t="array" ref="AF179">Common_InputFunctions.Utility_DisplayArrayInTable(Fertiliser_SourceData.Fertiliser_Products_Data3(), FertiliserProducts[[#Headers],[Company]],61)</f>
        <v/>
      </c>
      <c r="AG179" s="215" t="str" cm="1">
        <f t="array" ref="AG179">Common_InputFunctions.Utility_DisplayArrayInTable(Fertiliser_SourceData.Fertiliser_Products_Data3(), FertiliserProducts[[#Headers],[Company]],61)</f>
        <v/>
      </c>
      <c r="AH179" s="215" t="str" cm="1">
        <f t="array" ref="AH179">Common_InputFunctions.Utility_DisplayArrayInTable(Fertiliser_SourceData.Fertiliser_Products_Data3(), FertiliserProducts[[#Headers],[Company]],61)</f>
        <v/>
      </c>
    </row>
    <row r="180" spans="4:34" ht="20.100000000000001" customHeight="1" x14ac:dyDescent="0.25">
      <c r="D180" s="215" t="str" cm="1">
        <f t="array" ref="D180">Common_InputFunctions.Utility_DisplayArrayInTable(Fertiliser_SourceData.Fertiliser_Products_Data4(),FertiliserProducts[[#Headers],[Company]], 91)</f>
        <v>Impact Fertilisers</v>
      </c>
      <c r="E180" s="215" t="str" cm="1">
        <f t="array" ref="E180">Common_InputFunctions.Utility_DisplayArrayInTable(Fertiliser_SourceData.Fertiliser_Products_Data4(),FertiliserProducts[[#Headers],[Company]], 91)</f>
        <v>Impact Super Potash 1&amp;1</v>
      </c>
      <c r="F180" s="215" t="str" cm="1">
        <f t="array" ref="F180">Common_InputFunctions.Utility_DisplayArrayInTable(Fertiliser_SourceData.Fertiliser_Products_Data4(),FertiliserProducts[[#Headers],[Company]], 91)</f>
        <v>kg</v>
      </c>
      <c r="G180" s="215" cm="1">
        <f t="array" ref="G180">Common_InputFunctions.Utility_DisplayArrayInTable(Fertiliser_SourceData.Fertiliser_Products_Data4(),FertiliserProducts[[#Headers],[Company]], 91)</f>
        <v>1</v>
      </c>
      <c r="H180" s="215" t="str" cm="1">
        <f t="array" ref="H180">Common_InputFunctions.Utility_DisplayArrayInTable(Fertiliser_SourceData.Fertiliser_Products_Data4(),FertiliserProducts[[#Headers],[Company]], 91)</f>
        <v/>
      </c>
      <c r="I180" s="215" t="str" cm="1">
        <f t="array" ref="I180">Common_InputFunctions.Utility_DisplayArrayInTable(Fertiliser_SourceData.Fertiliser_Products_Data4(),FertiliserProducts[[#Headers],[Company]], 91)</f>
        <v/>
      </c>
      <c r="J180" s="215" t="str" cm="1">
        <f t="array" ref="J180">Common_InputFunctions.Utility_DisplayArrayInTable(Fertiliser_SourceData.Fertiliser_Products_Data4(),FertiliserProducts[[#Headers],[Company]], 91)</f>
        <v/>
      </c>
      <c r="K180" s="215" t="str" cm="1">
        <f t="array" ref="K180">Common_InputFunctions.Utility_DisplayArrayInTable(Fertiliser_SourceData.Fertiliser_Products_Data4(),FertiliserProducts[[#Headers],[Company]], 91)</f>
        <v/>
      </c>
      <c r="L180" s="215" cm="1">
        <f t="array" ref="L180">Common_InputFunctions.Utility_DisplayArrayInTable(Fertiliser_SourceData.Fertiliser_Products_Data4(),FertiliserProducts[[#Headers],[Company]], 91)</f>
        <v>4.4000000000000004</v>
      </c>
      <c r="M180" s="215" cm="1">
        <f t="array" ref="M180">Common_InputFunctions.Utility_DisplayArrayInTable(Fertiliser_SourceData.Fertiliser_Products_Data4(),FertiliserProducts[[#Headers],[Company]], 91)</f>
        <v>25</v>
      </c>
      <c r="N180" s="215" cm="1">
        <f t="array" ref="N180">Common_InputFunctions.Utility_DisplayArrayInTable(Fertiliser_SourceData.Fertiliser_Products_Data4(),FertiliserProducts[[#Headers],[Company]], 91)</f>
        <v>5.5</v>
      </c>
      <c r="O180" s="215" t="str" cm="1">
        <f t="array" ref="O180">Common_InputFunctions.Utility_DisplayArrayInTable(Fertiliser_SourceData.Fertiliser_Products_Data4(),FertiliserProducts[[#Headers],[Company]], 91)</f>
        <v>Single superphosphate (SSP)</v>
      </c>
      <c r="P180" s="215" cm="1">
        <f t="array" ref="P180">Common_InputFunctions.Utility_DisplayArrayInTable(Fertiliser_SourceData.Fertiliser_Products_Data4(),FertiliserProducts[[#Headers],[Company]], 91)</f>
        <v>0.5</v>
      </c>
      <c r="Q180" s="215" t="str" cm="1">
        <f t="array" ref="Q180">Common_InputFunctions.Utility_DisplayArrayInTable(Fertiliser_SourceData.Fertiliser_Products_Data4(),FertiliserProducts[[#Headers],[Company]], 91)</f>
        <v>Muriate of potash (MOP)</v>
      </c>
      <c r="R180" s="215" cm="1">
        <f t="array" ref="R180">Common_InputFunctions.Utility_DisplayArrayInTable(Fertiliser_SourceData.Fertiliser_Products_Data4(),FertiliserProducts[[#Headers],[Company]], 91)</f>
        <v>0.5</v>
      </c>
      <c r="S180" s="215" t="str" cm="1">
        <f t="array" ref="S180">Common_InputFunctions.Utility_DisplayArrayInTable(Fertiliser_SourceData.Fertiliser_Products_Data4(),FertiliserProducts[[#Headers],[Company]], 91)</f>
        <v/>
      </c>
      <c r="T180" s="215" t="str" cm="1">
        <f t="array" ref="T180">Common_InputFunctions.Utility_DisplayArrayInTable(Fertiliser_SourceData.Fertiliser_Products_Data4(),FertiliserProducts[[#Headers],[Company]], 91)</f>
        <v/>
      </c>
      <c r="U180" s="215" t="str" cm="1">
        <f t="array" ref="U180">Common_InputFunctions.Utility_DisplayArrayInTable(Fertiliser_SourceData.Fertiliser_Products_Data4(),FertiliserProducts[[#Headers],[Company]], 91)</f>
        <v/>
      </c>
      <c r="V180" s="215" t="str" cm="1">
        <f t="array" ref="V180">Common_InputFunctions.Utility_DisplayArrayInTable(Fertiliser_SourceData.Fertiliser_Products_Data4(),FertiliserProducts[[#Headers],[Company]], 91)</f>
        <v/>
      </c>
      <c r="W180" s="215" t="str" cm="1">
        <f t="array" ref="W180">Common_InputFunctions.Utility_DisplayArrayInTable(Fertiliser_SourceData.Fertiliser_Products_Data4(),FertiliserProducts[[#Headers],[Company]], 91)</f>
        <v/>
      </c>
      <c r="X180" s="215" t="str" cm="1">
        <f t="array" ref="X180">Common_InputFunctions.Utility_DisplayArrayInTable(Fertiliser_SourceData.Fertiliser_Products_Data4(),FertiliserProducts[[#Headers],[Company]], 91)</f>
        <v/>
      </c>
      <c r="Y180" s="215" t="str" cm="1">
        <f t="array" ref="Y180">Common_InputFunctions.Utility_DisplayArrayInTable(Fertiliser_SourceData.Fertiliser_Products_Data4(),FertiliserProducts[[#Headers],[Company]], 91)</f>
        <v/>
      </c>
      <c r="Z180" s="215" t="str" cm="1">
        <f t="array" ref="Z180">Common_InputFunctions.Utility_DisplayArrayInTable(Fertiliser_SourceData.Fertiliser_Products_Data4(),FertiliserProducts[[#Headers],[Company]], 91)</f>
        <v/>
      </c>
      <c r="AA180" s="215" t="str" cm="1">
        <f t="array" ref="AA180">Common_InputFunctions.Utility_DisplayArrayInTable(Fertiliser_SourceData.Fertiliser_Products_Data4(),FertiliserProducts[[#Headers],[Company]], 91)</f>
        <v/>
      </c>
      <c r="AB180" s="215" t="str" cm="1">
        <f t="array" ref="AB180">Common_InputFunctions.Utility_DisplayArrayInTable(Fertiliser_SourceData.Fertiliser_Products_Data4(),FertiliserProducts[[#Headers],[Company]], 91)</f>
        <v/>
      </c>
      <c r="AC180" s="215" t="str" cm="1">
        <f t="array" ref="AC180">Common_InputFunctions.Utility_DisplayArrayInTable(Fertiliser_SourceData.Fertiliser_Products_Data4(),FertiliserProducts[[#Headers],[Company]], 91)</f>
        <v/>
      </c>
      <c r="AD180" s="215" t="str" cm="1">
        <f t="array" ref="AD180">Common_InputFunctions.Utility_DisplayArrayInTable(Fertiliser_SourceData.Fertiliser_Products_Data4(),FertiliserProducts[[#Headers],[Company]], 91)</f>
        <v/>
      </c>
      <c r="AE180" s="215" t="str" cm="1">
        <f t="array" ref="AE180">Common_InputFunctions.Utility_DisplayArrayInTable(Fertiliser_SourceData.Fertiliser_Products_Data4(),FertiliserProducts[[#Headers],[Company]], 91)</f>
        <v/>
      </c>
      <c r="AF180" s="215" t="str" cm="1">
        <f t="array" ref="AF180">Common_InputFunctions.Utility_DisplayArrayInTable(Fertiliser_SourceData.Fertiliser_Products_Data4(),FertiliserProducts[[#Headers],[Company]], 91)</f>
        <v/>
      </c>
      <c r="AG180" s="215" t="str" cm="1">
        <f t="array" ref="AG180">Common_InputFunctions.Utility_DisplayArrayInTable(Fertiliser_SourceData.Fertiliser_Products_Data4(),FertiliserProducts[[#Headers],[Company]], 91)</f>
        <v/>
      </c>
      <c r="AH180" s="215" t="str" cm="1">
        <f t="array" ref="AH180">Common_InputFunctions.Utility_DisplayArrayInTable(Fertiliser_SourceData.Fertiliser_Products_Data4(),FertiliserProducts[[#Headers],[Company]], 91)</f>
        <v/>
      </c>
    </row>
    <row r="181" spans="4:34" ht="20.100000000000001" customHeight="1" x14ac:dyDescent="0.25">
      <c r="D181" s="215" t="str" cm="1">
        <f t="array" ref="D181">Common_InputFunctions.Utility_DisplayArrayInTable(Fertiliser_SourceData.Fertiliser_Products_Data4(),FertiliserProducts[[#Headers],[Company]], 91)</f>
        <v>Impact Fertilisers</v>
      </c>
      <c r="E181" s="215" t="str" cm="1">
        <f t="array" ref="E181">Common_InputFunctions.Utility_DisplayArrayInTable(Fertiliser_SourceData.Fertiliser_Products_Data4(),FertiliserProducts[[#Headers],[Company]], 91)</f>
        <v>Impact Super Potash 2&amp;1</v>
      </c>
      <c r="F181" s="215" t="str" cm="1">
        <f t="array" ref="F181">Common_InputFunctions.Utility_DisplayArrayInTable(Fertiliser_SourceData.Fertiliser_Products_Data4(),FertiliserProducts[[#Headers],[Company]], 91)</f>
        <v>kg</v>
      </c>
      <c r="G181" s="215" cm="1">
        <f t="array" ref="G181">Common_InputFunctions.Utility_DisplayArrayInTable(Fertiliser_SourceData.Fertiliser_Products_Data4(),FertiliserProducts[[#Headers],[Company]], 91)</f>
        <v>1</v>
      </c>
      <c r="H181" s="215" t="str" cm="1">
        <f t="array" ref="H181">Common_InputFunctions.Utility_DisplayArrayInTable(Fertiliser_SourceData.Fertiliser_Products_Data4(),FertiliserProducts[[#Headers],[Company]], 91)</f>
        <v/>
      </c>
      <c r="I181" s="215" t="str" cm="1">
        <f t="array" ref="I181">Common_InputFunctions.Utility_DisplayArrayInTable(Fertiliser_SourceData.Fertiliser_Products_Data4(),FertiliserProducts[[#Headers],[Company]], 91)</f>
        <v/>
      </c>
      <c r="J181" s="215" t="str" cm="1">
        <f t="array" ref="J181">Common_InputFunctions.Utility_DisplayArrayInTable(Fertiliser_SourceData.Fertiliser_Products_Data4(),FertiliserProducts[[#Headers],[Company]], 91)</f>
        <v/>
      </c>
      <c r="K181" s="215" t="str" cm="1">
        <f t="array" ref="K181">Common_InputFunctions.Utility_DisplayArrayInTable(Fertiliser_SourceData.Fertiliser_Products_Data4(),FertiliserProducts[[#Headers],[Company]], 91)</f>
        <v/>
      </c>
      <c r="L181" s="215" cm="1">
        <f t="array" ref="L181">Common_InputFunctions.Utility_DisplayArrayInTable(Fertiliser_SourceData.Fertiliser_Products_Data4(),FertiliserProducts[[#Headers],[Company]], 91)</f>
        <v>5.84</v>
      </c>
      <c r="M181" s="215" cm="1">
        <f t="array" ref="M181">Common_InputFunctions.Utility_DisplayArrayInTable(Fertiliser_SourceData.Fertiliser_Products_Data4(),FertiliserProducts[[#Headers],[Company]], 91)</f>
        <v>16.8</v>
      </c>
      <c r="N181" s="215" cm="1">
        <f t="array" ref="N181">Common_InputFunctions.Utility_DisplayArrayInTable(Fertiliser_SourceData.Fertiliser_Products_Data4(),FertiliserProducts[[#Headers],[Company]], 91)</f>
        <v>7.29</v>
      </c>
      <c r="O181" s="215" t="str" cm="1">
        <f t="array" ref="O181">Common_InputFunctions.Utility_DisplayArrayInTable(Fertiliser_SourceData.Fertiliser_Products_Data4(),FertiliserProducts[[#Headers],[Company]], 91)</f>
        <v>Single superphosphate (SSP)</v>
      </c>
      <c r="P181" s="215" cm="1">
        <f t="array" ref="P181">Common_InputFunctions.Utility_DisplayArrayInTable(Fertiliser_SourceData.Fertiliser_Products_Data4(),FertiliserProducts[[#Headers],[Company]], 91)</f>
        <v>0.66315800000000003</v>
      </c>
      <c r="Q181" s="215" t="str" cm="1">
        <f t="array" ref="Q181">Common_InputFunctions.Utility_DisplayArrayInTable(Fertiliser_SourceData.Fertiliser_Products_Data4(),FertiliserProducts[[#Headers],[Company]], 91)</f>
        <v>Muriate of potash (MOP)</v>
      </c>
      <c r="R181" s="215" cm="1">
        <f t="array" ref="R181">Common_InputFunctions.Utility_DisplayArrayInTable(Fertiliser_SourceData.Fertiliser_Products_Data4(),FertiliserProducts[[#Headers],[Company]], 91)</f>
        <v>0.33600000000000002</v>
      </c>
      <c r="S181" s="215" t="str" cm="1">
        <f t="array" ref="S181">Common_InputFunctions.Utility_DisplayArrayInTable(Fertiliser_SourceData.Fertiliser_Products_Data4(),FertiliserProducts[[#Headers],[Company]], 91)</f>
        <v/>
      </c>
      <c r="T181" s="215" t="str" cm="1">
        <f t="array" ref="T181">Common_InputFunctions.Utility_DisplayArrayInTable(Fertiliser_SourceData.Fertiliser_Products_Data4(),FertiliserProducts[[#Headers],[Company]], 91)</f>
        <v/>
      </c>
      <c r="U181" s="215" t="str" cm="1">
        <f t="array" ref="U181">Common_InputFunctions.Utility_DisplayArrayInTable(Fertiliser_SourceData.Fertiliser_Products_Data4(),FertiliserProducts[[#Headers],[Company]], 91)</f>
        <v/>
      </c>
      <c r="V181" s="215" t="str" cm="1">
        <f t="array" ref="V181">Common_InputFunctions.Utility_DisplayArrayInTable(Fertiliser_SourceData.Fertiliser_Products_Data4(),FertiliserProducts[[#Headers],[Company]], 91)</f>
        <v/>
      </c>
      <c r="W181" s="215" t="str" cm="1">
        <f t="array" ref="W181">Common_InputFunctions.Utility_DisplayArrayInTable(Fertiliser_SourceData.Fertiliser_Products_Data4(),FertiliserProducts[[#Headers],[Company]], 91)</f>
        <v/>
      </c>
      <c r="X181" s="215" t="str" cm="1">
        <f t="array" ref="X181">Common_InputFunctions.Utility_DisplayArrayInTable(Fertiliser_SourceData.Fertiliser_Products_Data4(),FertiliserProducts[[#Headers],[Company]], 91)</f>
        <v/>
      </c>
      <c r="Y181" s="215" t="str" cm="1">
        <f t="array" ref="Y181">Common_InputFunctions.Utility_DisplayArrayInTable(Fertiliser_SourceData.Fertiliser_Products_Data4(),FertiliserProducts[[#Headers],[Company]], 91)</f>
        <v/>
      </c>
      <c r="Z181" s="215" t="str" cm="1">
        <f t="array" ref="Z181">Common_InputFunctions.Utility_DisplayArrayInTable(Fertiliser_SourceData.Fertiliser_Products_Data4(),FertiliserProducts[[#Headers],[Company]], 91)</f>
        <v/>
      </c>
      <c r="AA181" s="215" t="str" cm="1">
        <f t="array" ref="AA181">Common_InputFunctions.Utility_DisplayArrayInTable(Fertiliser_SourceData.Fertiliser_Products_Data4(),FertiliserProducts[[#Headers],[Company]], 91)</f>
        <v/>
      </c>
      <c r="AB181" s="215" t="str" cm="1">
        <f t="array" ref="AB181">Common_InputFunctions.Utility_DisplayArrayInTable(Fertiliser_SourceData.Fertiliser_Products_Data4(),FertiliserProducts[[#Headers],[Company]], 91)</f>
        <v/>
      </c>
      <c r="AC181" s="215" t="str" cm="1">
        <f t="array" ref="AC181">Common_InputFunctions.Utility_DisplayArrayInTable(Fertiliser_SourceData.Fertiliser_Products_Data4(),FertiliserProducts[[#Headers],[Company]], 91)</f>
        <v/>
      </c>
      <c r="AD181" s="215" t="str" cm="1">
        <f t="array" ref="AD181">Common_InputFunctions.Utility_DisplayArrayInTable(Fertiliser_SourceData.Fertiliser_Products_Data4(),FertiliserProducts[[#Headers],[Company]], 91)</f>
        <v/>
      </c>
      <c r="AE181" s="215" t="str" cm="1">
        <f t="array" ref="AE181">Common_InputFunctions.Utility_DisplayArrayInTable(Fertiliser_SourceData.Fertiliser_Products_Data4(),FertiliserProducts[[#Headers],[Company]], 91)</f>
        <v/>
      </c>
      <c r="AF181" s="215" t="str" cm="1">
        <f t="array" ref="AF181">Common_InputFunctions.Utility_DisplayArrayInTable(Fertiliser_SourceData.Fertiliser_Products_Data4(),FertiliserProducts[[#Headers],[Company]], 91)</f>
        <v/>
      </c>
      <c r="AG181" s="215" t="str" cm="1">
        <f t="array" ref="AG181">Common_InputFunctions.Utility_DisplayArrayInTable(Fertiliser_SourceData.Fertiliser_Products_Data4(),FertiliserProducts[[#Headers],[Company]], 91)</f>
        <v/>
      </c>
      <c r="AH181" s="215" t="str" cm="1">
        <f t="array" ref="AH181">Common_InputFunctions.Utility_DisplayArrayInTable(Fertiliser_SourceData.Fertiliser_Products_Data4(),FertiliserProducts[[#Headers],[Company]], 91)</f>
        <v/>
      </c>
    </row>
    <row r="182" spans="4:34" ht="20.100000000000001" customHeight="1" x14ac:dyDescent="0.25">
      <c r="D182" s="215" t="str" cm="1">
        <f t="array" ref="D182">Common_InputFunctions.Utility_DisplayArrayInTable(Fertiliser_SourceData.Fertiliser_Products_Data4(),FertiliserProducts[[#Headers],[Company]], 91)</f>
        <v>Impact Fertilisers</v>
      </c>
      <c r="E182" s="215" t="str" cm="1">
        <f t="array" ref="E182">Common_InputFunctions.Utility_DisplayArrayInTable(Fertiliser_SourceData.Fertiliser_Products_Data4(),FertiliserProducts[[#Headers],[Company]], 91)</f>
        <v>Impact Super Potash 3&amp;1</v>
      </c>
      <c r="F182" s="215" t="str" cm="1">
        <f t="array" ref="F182">Common_InputFunctions.Utility_DisplayArrayInTable(Fertiliser_SourceData.Fertiliser_Products_Data4(),FertiliserProducts[[#Headers],[Company]], 91)</f>
        <v>kg</v>
      </c>
      <c r="G182" s="215" cm="1">
        <f t="array" ref="G182">Common_InputFunctions.Utility_DisplayArrayInTable(Fertiliser_SourceData.Fertiliser_Products_Data4(),FertiliserProducts[[#Headers],[Company]], 91)</f>
        <v>1</v>
      </c>
      <c r="H182" s="215" t="str" cm="1">
        <f t="array" ref="H182">Common_InputFunctions.Utility_DisplayArrayInTable(Fertiliser_SourceData.Fertiliser_Products_Data4(),FertiliserProducts[[#Headers],[Company]], 91)</f>
        <v/>
      </c>
      <c r="I182" s="215" t="str" cm="1">
        <f t="array" ref="I182">Common_InputFunctions.Utility_DisplayArrayInTable(Fertiliser_SourceData.Fertiliser_Products_Data4(),FertiliserProducts[[#Headers],[Company]], 91)</f>
        <v/>
      </c>
      <c r="J182" s="215" t="str" cm="1">
        <f t="array" ref="J182">Common_InputFunctions.Utility_DisplayArrayInTable(Fertiliser_SourceData.Fertiliser_Products_Data4(),FertiliserProducts[[#Headers],[Company]], 91)</f>
        <v/>
      </c>
      <c r="K182" s="215" t="str" cm="1">
        <f t="array" ref="K182">Common_InputFunctions.Utility_DisplayArrayInTable(Fertiliser_SourceData.Fertiliser_Products_Data4(),FertiliserProducts[[#Headers],[Company]], 91)</f>
        <v/>
      </c>
      <c r="L182" s="215" cm="1">
        <f t="array" ref="L182">Common_InputFunctions.Utility_DisplayArrayInTable(Fertiliser_SourceData.Fertiliser_Products_Data4(),FertiliserProducts[[#Headers],[Company]], 91)</f>
        <v>6.58</v>
      </c>
      <c r="M182" s="215" cm="1">
        <f t="array" ref="M182">Common_InputFunctions.Utility_DisplayArrayInTable(Fertiliser_SourceData.Fertiliser_Products_Data4(),FertiliserProducts[[#Headers],[Company]], 91)</f>
        <v>12.5</v>
      </c>
      <c r="N182" s="215" cm="1">
        <f t="array" ref="N182">Common_InputFunctions.Utility_DisplayArrayInTable(Fertiliser_SourceData.Fertiliser_Products_Data4(),FertiliserProducts[[#Headers],[Company]], 91)</f>
        <v>8.2200000000000006</v>
      </c>
      <c r="O182" s="215" t="str" cm="1">
        <f t="array" ref="O182">Common_InputFunctions.Utility_DisplayArrayInTable(Fertiliser_SourceData.Fertiliser_Products_Data4(),FertiliserProducts[[#Headers],[Company]], 91)</f>
        <v>Single superphosphate (SSP)</v>
      </c>
      <c r="P182" s="215" cm="1">
        <f t="array" ref="P182">Common_InputFunctions.Utility_DisplayArrayInTable(Fertiliser_SourceData.Fertiliser_Products_Data4(),FertiliserProducts[[#Headers],[Company]], 91)</f>
        <v>0.74736800000000003</v>
      </c>
      <c r="Q182" s="215" t="str" cm="1">
        <f t="array" ref="Q182">Common_InputFunctions.Utility_DisplayArrayInTable(Fertiliser_SourceData.Fertiliser_Products_Data4(),FertiliserProducts[[#Headers],[Company]], 91)</f>
        <v>Muriate of potash (MOP)</v>
      </c>
      <c r="R182" s="215" cm="1">
        <f t="array" ref="R182">Common_InputFunctions.Utility_DisplayArrayInTable(Fertiliser_SourceData.Fertiliser_Products_Data4(),FertiliserProducts[[#Headers],[Company]], 91)</f>
        <v>0.25</v>
      </c>
      <c r="S182" s="215" t="str" cm="1">
        <f t="array" ref="S182">Common_InputFunctions.Utility_DisplayArrayInTable(Fertiliser_SourceData.Fertiliser_Products_Data4(),FertiliserProducts[[#Headers],[Company]], 91)</f>
        <v/>
      </c>
      <c r="T182" s="215" t="str" cm="1">
        <f t="array" ref="T182">Common_InputFunctions.Utility_DisplayArrayInTable(Fertiliser_SourceData.Fertiliser_Products_Data4(),FertiliserProducts[[#Headers],[Company]], 91)</f>
        <v/>
      </c>
      <c r="U182" s="215" t="str" cm="1">
        <f t="array" ref="U182">Common_InputFunctions.Utility_DisplayArrayInTable(Fertiliser_SourceData.Fertiliser_Products_Data4(),FertiliserProducts[[#Headers],[Company]], 91)</f>
        <v/>
      </c>
      <c r="V182" s="215" t="str" cm="1">
        <f t="array" ref="V182">Common_InputFunctions.Utility_DisplayArrayInTable(Fertiliser_SourceData.Fertiliser_Products_Data4(),FertiliserProducts[[#Headers],[Company]], 91)</f>
        <v/>
      </c>
      <c r="W182" s="215" t="str" cm="1">
        <f t="array" ref="W182">Common_InputFunctions.Utility_DisplayArrayInTable(Fertiliser_SourceData.Fertiliser_Products_Data4(),FertiliserProducts[[#Headers],[Company]], 91)</f>
        <v/>
      </c>
      <c r="X182" s="215" t="str" cm="1">
        <f t="array" ref="X182">Common_InputFunctions.Utility_DisplayArrayInTable(Fertiliser_SourceData.Fertiliser_Products_Data4(),FertiliserProducts[[#Headers],[Company]], 91)</f>
        <v/>
      </c>
      <c r="Y182" s="215" t="str" cm="1">
        <f t="array" ref="Y182">Common_InputFunctions.Utility_DisplayArrayInTable(Fertiliser_SourceData.Fertiliser_Products_Data4(),FertiliserProducts[[#Headers],[Company]], 91)</f>
        <v/>
      </c>
      <c r="Z182" s="215" t="str" cm="1">
        <f t="array" ref="Z182">Common_InputFunctions.Utility_DisplayArrayInTable(Fertiliser_SourceData.Fertiliser_Products_Data4(),FertiliserProducts[[#Headers],[Company]], 91)</f>
        <v/>
      </c>
      <c r="AA182" s="215" t="str" cm="1">
        <f t="array" ref="AA182">Common_InputFunctions.Utility_DisplayArrayInTable(Fertiliser_SourceData.Fertiliser_Products_Data4(),FertiliserProducts[[#Headers],[Company]], 91)</f>
        <v/>
      </c>
      <c r="AB182" s="215" t="str" cm="1">
        <f t="array" ref="AB182">Common_InputFunctions.Utility_DisplayArrayInTable(Fertiliser_SourceData.Fertiliser_Products_Data4(),FertiliserProducts[[#Headers],[Company]], 91)</f>
        <v/>
      </c>
      <c r="AC182" s="215" t="str" cm="1">
        <f t="array" ref="AC182">Common_InputFunctions.Utility_DisplayArrayInTable(Fertiliser_SourceData.Fertiliser_Products_Data4(),FertiliserProducts[[#Headers],[Company]], 91)</f>
        <v/>
      </c>
      <c r="AD182" s="215" t="str" cm="1">
        <f t="array" ref="AD182">Common_InputFunctions.Utility_DisplayArrayInTable(Fertiliser_SourceData.Fertiliser_Products_Data4(),FertiliserProducts[[#Headers],[Company]], 91)</f>
        <v/>
      </c>
      <c r="AE182" s="215" t="str" cm="1">
        <f t="array" ref="AE182">Common_InputFunctions.Utility_DisplayArrayInTable(Fertiliser_SourceData.Fertiliser_Products_Data4(),FertiliserProducts[[#Headers],[Company]], 91)</f>
        <v/>
      </c>
      <c r="AF182" s="215" t="str" cm="1">
        <f t="array" ref="AF182">Common_InputFunctions.Utility_DisplayArrayInTable(Fertiliser_SourceData.Fertiliser_Products_Data4(),FertiliserProducts[[#Headers],[Company]], 91)</f>
        <v/>
      </c>
      <c r="AG182" s="215" t="str" cm="1">
        <f t="array" ref="AG182">Common_InputFunctions.Utility_DisplayArrayInTable(Fertiliser_SourceData.Fertiliser_Products_Data4(),FertiliserProducts[[#Headers],[Company]], 91)</f>
        <v/>
      </c>
      <c r="AH182" s="215" t="str" cm="1">
        <f t="array" ref="AH182">Common_InputFunctions.Utility_DisplayArrayInTable(Fertiliser_SourceData.Fertiliser_Products_Data4(),FertiliserProducts[[#Headers],[Company]], 91)</f>
        <v/>
      </c>
    </row>
    <row r="183" spans="4:34" ht="20.100000000000001" customHeight="1" x14ac:dyDescent="0.25">
      <c r="D183" s="215" t="str" cm="1">
        <f t="array" ref="D183">Common_InputFunctions.Utility_DisplayArrayInTable(Fertiliser_SourceData.Fertiliser_Products_Data4(),FertiliserProducts[[#Headers],[Company]], 91)</f>
        <v>Impact Fertilisers</v>
      </c>
      <c r="E183" s="215" t="str" cm="1">
        <f t="array" ref="E183">Common_InputFunctions.Utility_DisplayArrayInTable(Fertiliser_SourceData.Fertiliser_Products_Data4(),FertiliserProducts[[#Headers],[Company]], 91)</f>
        <v>Impact Super Potash 4&amp;1</v>
      </c>
      <c r="F183" s="215" t="str" cm="1">
        <f t="array" ref="F183">Common_InputFunctions.Utility_DisplayArrayInTable(Fertiliser_SourceData.Fertiliser_Products_Data4(),FertiliserProducts[[#Headers],[Company]], 91)</f>
        <v>kg</v>
      </c>
      <c r="G183" s="215" cm="1">
        <f t="array" ref="G183">Common_InputFunctions.Utility_DisplayArrayInTable(Fertiliser_SourceData.Fertiliser_Products_Data4(),FertiliserProducts[[#Headers],[Company]], 91)</f>
        <v>1</v>
      </c>
      <c r="H183" s="215" t="str" cm="1">
        <f t="array" ref="H183">Common_InputFunctions.Utility_DisplayArrayInTable(Fertiliser_SourceData.Fertiliser_Products_Data4(),FertiliserProducts[[#Headers],[Company]], 91)</f>
        <v/>
      </c>
      <c r="I183" s="215" t="str" cm="1">
        <f t="array" ref="I183">Common_InputFunctions.Utility_DisplayArrayInTable(Fertiliser_SourceData.Fertiliser_Products_Data4(),FertiliserProducts[[#Headers],[Company]], 91)</f>
        <v/>
      </c>
      <c r="J183" s="215" t="str" cm="1">
        <f t="array" ref="J183">Common_InputFunctions.Utility_DisplayArrayInTable(Fertiliser_SourceData.Fertiliser_Products_Data4(),FertiliserProducts[[#Headers],[Company]], 91)</f>
        <v/>
      </c>
      <c r="K183" s="215" t="str" cm="1">
        <f t="array" ref="K183">Common_InputFunctions.Utility_DisplayArrayInTable(Fertiliser_SourceData.Fertiliser_Products_Data4(),FertiliserProducts[[#Headers],[Company]], 91)</f>
        <v/>
      </c>
      <c r="L183" s="215" cm="1">
        <f t="array" ref="L183">Common_InputFunctions.Utility_DisplayArrayInTable(Fertiliser_SourceData.Fertiliser_Products_Data4(),FertiliserProducts[[#Headers],[Company]], 91)</f>
        <v>7.04</v>
      </c>
      <c r="M183" s="215" cm="1">
        <f t="array" ref="M183">Common_InputFunctions.Utility_DisplayArrayInTable(Fertiliser_SourceData.Fertiliser_Products_Data4(),FertiliserProducts[[#Headers],[Company]], 91)</f>
        <v>10</v>
      </c>
      <c r="N183" s="215" cm="1">
        <f t="array" ref="N183">Common_InputFunctions.Utility_DisplayArrayInTable(Fertiliser_SourceData.Fertiliser_Products_Data4(),FertiliserProducts[[#Headers],[Company]], 91)</f>
        <v>8.8000000000000007</v>
      </c>
      <c r="O183" s="215" t="str" cm="1">
        <f t="array" ref="O183">Common_InputFunctions.Utility_DisplayArrayInTable(Fertiliser_SourceData.Fertiliser_Products_Data4(),FertiliserProducts[[#Headers],[Company]], 91)</f>
        <v>Single superphosphate (SSP)</v>
      </c>
      <c r="P183" s="215" cm="1">
        <f t="array" ref="P183">Common_InputFunctions.Utility_DisplayArrayInTable(Fertiliser_SourceData.Fertiliser_Products_Data4(),FertiliserProducts[[#Headers],[Company]], 91)</f>
        <v>0.8</v>
      </c>
      <c r="Q183" s="215" t="str" cm="1">
        <f t="array" ref="Q183">Common_InputFunctions.Utility_DisplayArrayInTable(Fertiliser_SourceData.Fertiliser_Products_Data4(),FertiliserProducts[[#Headers],[Company]], 91)</f>
        <v>Muriate of potash (MOP)</v>
      </c>
      <c r="R183" s="215" cm="1">
        <f t="array" ref="R183">Common_InputFunctions.Utility_DisplayArrayInTable(Fertiliser_SourceData.Fertiliser_Products_Data4(),FertiliserProducts[[#Headers],[Company]], 91)</f>
        <v>0.2</v>
      </c>
      <c r="S183" s="215" t="str" cm="1">
        <f t="array" ref="S183">Common_InputFunctions.Utility_DisplayArrayInTable(Fertiliser_SourceData.Fertiliser_Products_Data4(),FertiliserProducts[[#Headers],[Company]], 91)</f>
        <v/>
      </c>
      <c r="T183" s="215" t="str" cm="1">
        <f t="array" ref="T183">Common_InputFunctions.Utility_DisplayArrayInTable(Fertiliser_SourceData.Fertiliser_Products_Data4(),FertiliserProducts[[#Headers],[Company]], 91)</f>
        <v/>
      </c>
      <c r="U183" s="215" t="str" cm="1">
        <f t="array" ref="U183">Common_InputFunctions.Utility_DisplayArrayInTable(Fertiliser_SourceData.Fertiliser_Products_Data4(),FertiliserProducts[[#Headers],[Company]], 91)</f>
        <v/>
      </c>
      <c r="V183" s="215" t="str" cm="1">
        <f t="array" ref="V183">Common_InputFunctions.Utility_DisplayArrayInTable(Fertiliser_SourceData.Fertiliser_Products_Data4(),FertiliserProducts[[#Headers],[Company]], 91)</f>
        <v/>
      </c>
      <c r="W183" s="215" t="str" cm="1">
        <f t="array" ref="W183">Common_InputFunctions.Utility_DisplayArrayInTable(Fertiliser_SourceData.Fertiliser_Products_Data4(),FertiliserProducts[[#Headers],[Company]], 91)</f>
        <v/>
      </c>
      <c r="X183" s="215" t="str" cm="1">
        <f t="array" ref="X183">Common_InputFunctions.Utility_DisplayArrayInTable(Fertiliser_SourceData.Fertiliser_Products_Data4(),FertiliserProducts[[#Headers],[Company]], 91)</f>
        <v/>
      </c>
      <c r="Y183" s="215" t="str" cm="1">
        <f t="array" ref="Y183">Common_InputFunctions.Utility_DisplayArrayInTable(Fertiliser_SourceData.Fertiliser_Products_Data4(),FertiliserProducts[[#Headers],[Company]], 91)</f>
        <v/>
      </c>
      <c r="Z183" s="215" t="str" cm="1">
        <f t="array" ref="Z183">Common_InputFunctions.Utility_DisplayArrayInTable(Fertiliser_SourceData.Fertiliser_Products_Data4(),FertiliserProducts[[#Headers],[Company]], 91)</f>
        <v/>
      </c>
      <c r="AA183" s="215" t="str" cm="1">
        <f t="array" ref="AA183">Common_InputFunctions.Utility_DisplayArrayInTable(Fertiliser_SourceData.Fertiliser_Products_Data4(),FertiliserProducts[[#Headers],[Company]], 91)</f>
        <v/>
      </c>
      <c r="AB183" s="215" t="str" cm="1">
        <f t="array" ref="AB183">Common_InputFunctions.Utility_DisplayArrayInTable(Fertiliser_SourceData.Fertiliser_Products_Data4(),FertiliserProducts[[#Headers],[Company]], 91)</f>
        <v/>
      </c>
      <c r="AC183" s="215" t="str" cm="1">
        <f t="array" ref="AC183">Common_InputFunctions.Utility_DisplayArrayInTable(Fertiliser_SourceData.Fertiliser_Products_Data4(),FertiliserProducts[[#Headers],[Company]], 91)</f>
        <v/>
      </c>
      <c r="AD183" s="215" t="str" cm="1">
        <f t="array" ref="AD183">Common_InputFunctions.Utility_DisplayArrayInTable(Fertiliser_SourceData.Fertiliser_Products_Data4(),FertiliserProducts[[#Headers],[Company]], 91)</f>
        <v/>
      </c>
      <c r="AE183" s="215" t="str" cm="1">
        <f t="array" ref="AE183">Common_InputFunctions.Utility_DisplayArrayInTable(Fertiliser_SourceData.Fertiliser_Products_Data4(),FertiliserProducts[[#Headers],[Company]], 91)</f>
        <v/>
      </c>
      <c r="AF183" s="215" t="str" cm="1">
        <f t="array" ref="AF183">Common_InputFunctions.Utility_DisplayArrayInTable(Fertiliser_SourceData.Fertiliser_Products_Data4(),FertiliserProducts[[#Headers],[Company]], 91)</f>
        <v/>
      </c>
      <c r="AG183" s="215" t="str" cm="1">
        <f t="array" ref="AG183">Common_InputFunctions.Utility_DisplayArrayInTable(Fertiliser_SourceData.Fertiliser_Products_Data4(),FertiliserProducts[[#Headers],[Company]], 91)</f>
        <v/>
      </c>
      <c r="AH183" s="215" t="str" cm="1">
        <f t="array" ref="AH183">Common_InputFunctions.Utility_DisplayArrayInTable(Fertiliser_SourceData.Fertiliser_Products_Data4(),FertiliserProducts[[#Headers],[Company]], 91)</f>
        <v/>
      </c>
    </row>
    <row r="184" spans="4:34" ht="20.100000000000001" customHeight="1" x14ac:dyDescent="0.25">
      <c r="D184" s="215" t="str" cm="1">
        <f t="array" ref="D184">Common_InputFunctions.Utility_DisplayArrayInTable(Fertiliser_SourceData.Fertiliser_Products_Data4(),FertiliserProducts[[#Headers],[Company]], 91)</f>
        <v>Impact Fertilisers</v>
      </c>
      <c r="E184" s="215" t="str" cm="1">
        <f t="array" ref="E184">Common_InputFunctions.Utility_DisplayArrayInTable(Fertiliser_SourceData.Fertiliser_Products_Data4(),FertiliserProducts[[#Headers],[Company]], 91)</f>
        <v>Impact Super Potash 5&amp;1</v>
      </c>
      <c r="F184" s="215" t="str" cm="1">
        <f t="array" ref="F184">Common_InputFunctions.Utility_DisplayArrayInTable(Fertiliser_SourceData.Fertiliser_Products_Data4(),FertiliserProducts[[#Headers],[Company]], 91)</f>
        <v>kg</v>
      </c>
      <c r="G184" s="215" cm="1">
        <f t="array" ref="G184">Common_InputFunctions.Utility_DisplayArrayInTable(Fertiliser_SourceData.Fertiliser_Products_Data4(),FertiliserProducts[[#Headers],[Company]], 91)</f>
        <v>1</v>
      </c>
      <c r="H184" s="215" t="str" cm="1">
        <f t="array" ref="H184">Common_InputFunctions.Utility_DisplayArrayInTable(Fertiliser_SourceData.Fertiliser_Products_Data4(),FertiliserProducts[[#Headers],[Company]], 91)</f>
        <v/>
      </c>
      <c r="I184" s="215" t="str" cm="1">
        <f t="array" ref="I184">Common_InputFunctions.Utility_DisplayArrayInTable(Fertiliser_SourceData.Fertiliser_Products_Data4(),FertiliserProducts[[#Headers],[Company]], 91)</f>
        <v/>
      </c>
      <c r="J184" s="215" t="str" cm="1">
        <f t="array" ref="J184">Common_InputFunctions.Utility_DisplayArrayInTable(Fertiliser_SourceData.Fertiliser_Products_Data4(),FertiliserProducts[[#Headers],[Company]], 91)</f>
        <v/>
      </c>
      <c r="K184" s="215" t="str" cm="1">
        <f t="array" ref="K184">Common_InputFunctions.Utility_DisplayArrayInTable(Fertiliser_SourceData.Fertiliser_Products_Data4(),FertiliserProducts[[#Headers],[Company]], 91)</f>
        <v/>
      </c>
      <c r="L184" s="215" cm="1">
        <f t="array" ref="L184">Common_InputFunctions.Utility_DisplayArrayInTable(Fertiliser_SourceData.Fertiliser_Products_Data4(),FertiliserProducts[[#Headers],[Company]], 91)</f>
        <v>7.32</v>
      </c>
      <c r="M184" s="215" cm="1">
        <f t="array" ref="M184">Common_InputFunctions.Utility_DisplayArrayInTable(Fertiliser_SourceData.Fertiliser_Products_Data4(),FertiliserProducts[[#Headers],[Company]], 91)</f>
        <v>8.4</v>
      </c>
      <c r="N184" s="215" cm="1">
        <f t="array" ref="N184">Common_InputFunctions.Utility_DisplayArrayInTable(Fertiliser_SourceData.Fertiliser_Products_Data4(),FertiliserProducts[[#Headers],[Company]], 91)</f>
        <v>9.15</v>
      </c>
      <c r="O184" s="215" t="str" cm="1">
        <f t="array" ref="O184">Common_InputFunctions.Utility_DisplayArrayInTable(Fertiliser_SourceData.Fertiliser_Products_Data4(),FertiliserProducts[[#Headers],[Company]], 91)</f>
        <v>Single superphosphate (SSP)</v>
      </c>
      <c r="P184" s="215" cm="1">
        <f t="array" ref="P184">Common_InputFunctions.Utility_DisplayArrayInTable(Fertiliser_SourceData.Fertiliser_Products_Data4(),FertiliserProducts[[#Headers],[Company]], 91)</f>
        <v>0.83157899999999996</v>
      </c>
      <c r="Q184" s="215" t="str" cm="1">
        <f t="array" ref="Q184">Common_InputFunctions.Utility_DisplayArrayInTable(Fertiliser_SourceData.Fertiliser_Products_Data4(),FertiliserProducts[[#Headers],[Company]], 91)</f>
        <v>Muriate of potash (MOP)</v>
      </c>
      <c r="R184" s="215" cm="1">
        <f t="array" ref="R184">Common_InputFunctions.Utility_DisplayArrayInTable(Fertiliser_SourceData.Fertiliser_Products_Data4(),FertiliserProducts[[#Headers],[Company]], 91)</f>
        <v>0.16800000000000001</v>
      </c>
      <c r="S184" s="215" t="str" cm="1">
        <f t="array" ref="S184">Common_InputFunctions.Utility_DisplayArrayInTable(Fertiliser_SourceData.Fertiliser_Products_Data4(),FertiliserProducts[[#Headers],[Company]], 91)</f>
        <v/>
      </c>
      <c r="T184" s="215" t="str" cm="1">
        <f t="array" ref="T184">Common_InputFunctions.Utility_DisplayArrayInTable(Fertiliser_SourceData.Fertiliser_Products_Data4(),FertiliserProducts[[#Headers],[Company]], 91)</f>
        <v/>
      </c>
      <c r="U184" s="215" t="str" cm="1">
        <f t="array" ref="U184">Common_InputFunctions.Utility_DisplayArrayInTable(Fertiliser_SourceData.Fertiliser_Products_Data4(),FertiliserProducts[[#Headers],[Company]], 91)</f>
        <v/>
      </c>
      <c r="V184" s="215" t="str" cm="1">
        <f t="array" ref="V184">Common_InputFunctions.Utility_DisplayArrayInTable(Fertiliser_SourceData.Fertiliser_Products_Data4(),FertiliserProducts[[#Headers],[Company]], 91)</f>
        <v/>
      </c>
      <c r="W184" s="215" t="str" cm="1">
        <f t="array" ref="W184">Common_InputFunctions.Utility_DisplayArrayInTable(Fertiliser_SourceData.Fertiliser_Products_Data4(),FertiliserProducts[[#Headers],[Company]], 91)</f>
        <v/>
      </c>
      <c r="X184" s="215" t="str" cm="1">
        <f t="array" ref="X184">Common_InputFunctions.Utility_DisplayArrayInTable(Fertiliser_SourceData.Fertiliser_Products_Data4(),FertiliserProducts[[#Headers],[Company]], 91)</f>
        <v/>
      </c>
      <c r="Y184" s="215" t="str" cm="1">
        <f t="array" ref="Y184">Common_InputFunctions.Utility_DisplayArrayInTable(Fertiliser_SourceData.Fertiliser_Products_Data4(),FertiliserProducts[[#Headers],[Company]], 91)</f>
        <v/>
      </c>
      <c r="Z184" s="215" t="str" cm="1">
        <f t="array" ref="Z184">Common_InputFunctions.Utility_DisplayArrayInTable(Fertiliser_SourceData.Fertiliser_Products_Data4(),FertiliserProducts[[#Headers],[Company]], 91)</f>
        <v/>
      </c>
      <c r="AA184" s="215" t="str" cm="1">
        <f t="array" ref="AA184">Common_InputFunctions.Utility_DisplayArrayInTable(Fertiliser_SourceData.Fertiliser_Products_Data4(),FertiliserProducts[[#Headers],[Company]], 91)</f>
        <v/>
      </c>
      <c r="AB184" s="215" t="str" cm="1">
        <f t="array" ref="AB184">Common_InputFunctions.Utility_DisplayArrayInTable(Fertiliser_SourceData.Fertiliser_Products_Data4(),FertiliserProducts[[#Headers],[Company]], 91)</f>
        <v/>
      </c>
      <c r="AC184" s="215" t="str" cm="1">
        <f t="array" ref="AC184">Common_InputFunctions.Utility_DisplayArrayInTable(Fertiliser_SourceData.Fertiliser_Products_Data4(),FertiliserProducts[[#Headers],[Company]], 91)</f>
        <v/>
      </c>
      <c r="AD184" s="215" t="str" cm="1">
        <f t="array" ref="AD184">Common_InputFunctions.Utility_DisplayArrayInTable(Fertiliser_SourceData.Fertiliser_Products_Data4(),FertiliserProducts[[#Headers],[Company]], 91)</f>
        <v/>
      </c>
      <c r="AE184" s="215" t="str" cm="1">
        <f t="array" ref="AE184">Common_InputFunctions.Utility_DisplayArrayInTable(Fertiliser_SourceData.Fertiliser_Products_Data4(),FertiliserProducts[[#Headers],[Company]], 91)</f>
        <v/>
      </c>
      <c r="AF184" s="215" t="str" cm="1">
        <f t="array" ref="AF184">Common_InputFunctions.Utility_DisplayArrayInTable(Fertiliser_SourceData.Fertiliser_Products_Data4(),FertiliserProducts[[#Headers],[Company]], 91)</f>
        <v/>
      </c>
      <c r="AG184" s="215" t="str" cm="1">
        <f t="array" ref="AG184">Common_InputFunctions.Utility_DisplayArrayInTable(Fertiliser_SourceData.Fertiliser_Products_Data4(),FertiliserProducts[[#Headers],[Company]], 91)</f>
        <v/>
      </c>
      <c r="AH184" s="215" t="str" cm="1">
        <f t="array" ref="AH184">Common_InputFunctions.Utility_DisplayArrayInTable(Fertiliser_SourceData.Fertiliser_Products_Data4(),FertiliserProducts[[#Headers],[Company]], 91)</f>
        <v/>
      </c>
    </row>
    <row r="185" spans="4:34" ht="20.100000000000001" customHeight="1" x14ac:dyDescent="0.25">
      <c r="D185" s="215" t="str" cm="1">
        <f t="array" ref="D185">Common_InputFunctions.Utility_DisplayArrayInTable(Fertiliser_SourceData.Fertiliser_Products_Data4(),FertiliserProducts[[#Headers],[Company]], 91)</f>
        <v>Pacific Fertiliser / Incitec Pivot Fertilisers</v>
      </c>
      <c r="E185" s="215" t="str" cm="1">
        <f t="array" ref="E185">Common_InputFunctions.Utility_DisplayArrayInTable(Fertiliser_SourceData.Fertiliser_Products_Data4(),FertiliserProducts[[#Headers],[Company]], 91)</f>
        <v>Cal-Gran</v>
      </c>
      <c r="F185" s="215" t="str" cm="1">
        <f t="array" ref="F185">Common_InputFunctions.Utility_DisplayArrayInTable(Fertiliser_SourceData.Fertiliser_Products_Data4(),FertiliserProducts[[#Headers],[Company]], 91)</f>
        <v>kg</v>
      </c>
      <c r="G185" s="215" cm="1">
        <f t="array" ref="G185">Common_InputFunctions.Utility_DisplayArrayInTable(Fertiliser_SourceData.Fertiliser_Products_Data4(),FertiliserProducts[[#Headers],[Company]], 91)</f>
        <v>1</v>
      </c>
      <c r="H185" s="215" t="str" cm="1">
        <f t="array" ref="H185">Common_InputFunctions.Utility_DisplayArrayInTable(Fertiliser_SourceData.Fertiliser_Products_Data4(),FertiliserProducts[[#Headers],[Company]], 91)</f>
        <v/>
      </c>
      <c r="I185" s="215" t="str" cm="1">
        <f t="array" ref="I185">Common_InputFunctions.Utility_DisplayArrayInTable(Fertiliser_SourceData.Fertiliser_Products_Data4(),FertiliserProducts[[#Headers],[Company]], 91)</f>
        <v/>
      </c>
      <c r="J185" s="215" t="str" cm="1">
        <f t="array" ref="J185">Common_InputFunctions.Utility_DisplayArrayInTable(Fertiliser_SourceData.Fertiliser_Products_Data4(),FertiliserProducts[[#Headers],[Company]], 91)</f>
        <v/>
      </c>
      <c r="K185" s="215" cm="1">
        <f t="array" ref="K185">Common_InputFunctions.Utility_DisplayArrayInTable(Fertiliser_SourceData.Fertiliser_Products_Data4(),FertiliserProducts[[#Headers],[Company]], 91)</f>
        <v>23.9</v>
      </c>
      <c r="L185" s="215" t="str" cm="1">
        <f t="array" ref="L185">Common_InputFunctions.Utility_DisplayArrayInTable(Fertiliser_SourceData.Fertiliser_Products_Data4(),FertiliserProducts[[#Headers],[Company]], 91)</f>
        <v/>
      </c>
      <c r="M185" s="215" t="str" cm="1">
        <f t="array" ref="M185">Common_InputFunctions.Utility_DisplayArrayInTable(Fertiliser_SourceData.Fertiliser_Products_Data4(),FertiliserProducts[[#Headers],[Company]], 91)</f>
        <v/>
      </c>
      <c r="N185" s="215" cm="1">
        <f t="array" ref="N185">Common_InputFunctions.Utility_DisplayArrayInTable(Fertiliser_SourceData.Fertiliser_Products_Data4(),FertiliserProducts[[#Headers],[Company]], 91)</f>
        <v>10.8</v>
      </c>
      <c r="O185" s="215" t="str" cm="1">
        <f t="array" ref="O185">Common_InputFunctions.Utility_DisplayArrayInTable(Fertiliser_SourceData.Fertiliser_Products_Data4(),FertiliserProducts[[#Headers],[Company]], 91)</f>
        <v>Nitrogen - Nitrate</v>
      </c>
      <c r="P185" s="215" cm="1">
        <f t="array" ref="P185">Common_InputFunctions.Utility_DisplayArrayInTable(Fertiliser_SourceData.Fertiliser_Products_Data4(),FertiliserProducts[[#Headers],[Company]], 91)</f>
        <v>7.3999999999999996E-2</v>
      </c>
      <c r="Q185" s="215" t="str" cm="1">
        <f t="array" ref="Q185">Common_InputFunctions.Utility_DisplayArrayInTable(Fertiliser_SourceData.Fertiliser_Products_Data4(),FertiliserProducts[[#Headers],[Company]], 91)</f>
        <v>Nitrogen - Ammoniacal</v>
      </c>
      <c r="R185" s="215" cm="1">
        <f t="array" ref="R185">Common_InputFunctions.Utility_DisplayArrayInTable(Fertiliser_SourceData.Fertiliser_Products_Data4(),FertiliserProducts[[#Headers],[Company]], 91)</f>
        <v>0.16500000000000001</v>
      </c>
      <c r="S185" s="215" t="str" cm="1">
        <f t="array" ref="S185">Common_InputFunctions.Utility_DisplayArrayInTable(Fertiliser_SourceData.Fertiliser_Products_Data4(),FertiliserProducts[[#Headers],[Company]], 91)</f>
        <v>Sulfur - Generic</v>
      </c>
      <c r="T185" s="215" cm="1">
        <f t="array" ref="T185">Common_InputFunctions.Utility_DisplayArrayInTable(Fertiliser_SourceData.Fertiliser_Products_Data4(),FertiliserProducts[[#Headers],[Company]], 91)</f>
        <v>0.108</v>
      </c>
      <c r="U185" s="215" t="str" cm="1">
        <f t="array" ref="U185">Common_InputFunctions.Utility_DisplayArrayInTable(Fertiliser_SourceData.Fertiliser_Products_Data4(),FertiliserProducts[[#Headers],[Company]], 91)</f>
        <v>Calcium</v>
      </c>
      <c r="V185" s="215" cm="1">
        <f t="array" ref="V185">Common_InputFunctions.Utility_DisplayArrayInTable(Fertiliser_SourceData.Fertiliser_Products_Data4(),FertiliserProducts[[#Headers],[Company]], 91)</f>
        <v>4.3999999999999997E-2</v>
      </c>
      <c r="W185" s="215" t="str" cm="1">
        <f t="array" ref="W185">Common_InputFunctions.Utility_DisplayArrayInTable(Fertiliser_SourceData.Fertiliser_Products_Data4(),FertiliserProducts[[#Headers],[Company]], 91)</f>
        <v/>
      </c>
      <c r="X185" s="215" t="str" cm="1">
        <f t="array" ref="X185">Common_InputFunctions.Utility_DisplayArrayInTable(Fertiliser_SourceData.Fertiliser_Products_Data4(),FertiliserProducts[[#Headers],[Company]], 91)</f>
        <v/>
      </c>
      <c r="Y185" s="215" t="str" cm="1">
        <f t="array" ref="Y185">Common_InputFunctions.Utility_DisplayArrayInTable(Fertiliser_SourceData.Fertiliser_Products_Data4(),FertiliserProducts[[#Headers],[Company]], 91)</f>
        <v/>
      </c>
      <c r="Z185" s="215" t="str" cm="1">
        <f t="array" ref="Z185">Common_InputFunctions.Utility_DisplayArrayInTable(Fertiliser_SourceData.Fertiliser_Products_Data4(),FertiliserProducts[[#Headers],[Company]], 91)</f>
        <v/>
      </c>
      <c r="AA185" s="215" t="str" cm="1">
        <f t="array" ref="AA185">Common_InputFunctions.Utility_DisplayArrayInTable(Fertiliser_SourceData.Fertiliser_Products_Data4(),FertiliserProducts[[#Headers],[Company]], 91)</f>
        <v/>
      </c>
      <c r="AB185" s="215" t="str" cm="1">
        <f t="array" ref="AB185">Common_InputFunctions.Utility_DisplayArrayInTable(Fertiliser_SourceData.Fertiliser_Products_Data4(),FertiliserProducts[[#Headers],[Company]], 91)</f>
        <v/>
      </c>
      <c r="AC185" s="215" t="str" cm="1">
        <f t="array" ref="AC185">Common_InputFunctions.Utility_DisplayArrayInTable(Fertiliser_SourceData.Fertiliser_Products_Data4(),FertiliserProducts[[#Headers],[Company]], 91)</f>
        <v/>
      </c>
      <c r="AD185" s="215" t="str" cm="1">
        <f t="array" ref="AD185">Common_InputFunctions.Utility_DisplayArrayInTable(Fertiliser_SourceData.Fertiliser_Products_Data4(),FertiliserProducts[[#Headers],[Company]], 91)</f>
        <v/>
      </c>
      <c r="AE185" s="215" t="str" cm="1">
        <f t="array" ref="AE185">Common_InputFunctions.Utility_DisplayArrayInTable(Fertiliser_SourceData.Fertiliser_Products_Data4(),FertiliserProducts[[#Headers],[Company]], 91)</f>
        <v/>
      </c>
      <c r="AF185" s="215" t="str" cm="1">
        <f t="array" ref="AF185">Common_InputFunctions.Utility_DisplayArrayInTable(Fertiliser_SourceData.Fertiliser_Products_Data4(),FertiliserProducts[[#Headers],[Company]], 91)</f>
        <v/>
      </c>
      <c r="AG185" s="215" t="str" cm="1">
        <f t="array" ref="AG185">Common_InputFunctions.Utility_DisplayArrayInTable(Fertiliser_SourceData.Fertiliser_Products_Data4(),FertiliserProducts[[#Headers],[Company]], 91)</f>
        <v/>
      </c>
      <c r="AH185" s="215" t="str" cm="1">
        <f t="array" ref="AH185">Common_InputFunctions.Utility_DisplayArrayInTable(Fertiliser_SourceData.Fertiliser_Products_Data4(),FertiliserProducts[[#Headers],[Company]], 91)</f>
        <v/>
      </c>
    </row>
    <row r="186" spans="4:34" ht="20.100000000000001" customHeight="1" x14ac:dyDescent="0.25">
      <c r="D186" s="215" t="str" cm="1">
        <f t="array" ref="D186">Common_InputFunctions.Utility_DisplayArrayInTable(Fertiliser_SourceData.Fertiliser_Products_Data4(),FertiliserProducts[[#Headers],[Company]], 91)</f>
        <v>Pacific Fertiliser / Incitec Pivot Fertilisers</v>
      </c>
      <c r="E186" s="215" t="str" cm="1">
        <f t="array" ref="E186">Common_InputFunctions.Utility_DisplayArrayInTable(Fertiliser_SourceData.Fertiliser_Products_Data4(),FertiliserProducts[[#Headers],[Company]], 91)</f>
        <v>Cal-Gran 50/50</v>
      </c>
      <c r="F186" s="215" t="str" cm="1">
        <f t="array" ref="F186">Common_InputFunctions.Utility_DisplayArrayInTable(Fertiliser_SourceData.Fertiliser_Products_Data4(),FertiliserProducts[[#Headers],[Company]], 91)</f>
        <v>kg</v>
      </c>
      <c r="G186" s="215" cm="1">
        <f t="array" ref="G186">Common_InputFunctions.Utility_DisplayArrayInTable(Fertiliser_SourceData.Fertiliser_Products_Data4(),FertiliserProducts[[#Headers],[Company]], 91)</f>
        <v>1</v>
      </c>
      <c r="H186" s="215" t="str" cm="1">
        <f t="array" ref="H186">Common_InputFunctions.Utility_DisplayArrayInTable(Fertiliser_SourceData.Fertiliser_Products_Data4(),FertiliserProducts[[#Headers],[Company]], 91)</f>
        <v/>
      </c>
      <c r="I186" s="215" t="str" cm="1">
        <f t="array" ref="I186">Common_InputFunctions.Utility_DisplayArrayInTable(Fertiliser_SourceData.Fertiliser_Products_Data4(),FertiliserProducts[[#Headers],[Company]], 91)</f>
        <v/>
      </c>
      <c r="J186" s="215" t="str" cm="1">
        <f t="array" ref="J186">Common_InputFunctions.Utility_DisplayArrayInTable(Fertiliser_SourceData.Fertiliser_Products_Data4(),FertiliserProducts[[#Headers],[Company]], 91)</f>
        <v/>
      </c>
      <c r="K186" s="215" cm="1">
        <f t="array" ref="K186">Common_InputFunctions.Utility_DisplayArrayInTable(Fertiliser_SourceData.Fertiliser_Products_Data4(),FertiliserProducts[[#Headers],[Company]], 91)</f>
        <v>17.899999999999999</v>
      </c>
      <c r="L186" s="215" t="str" cm="1">
        <f t="array" ref="L186">Common_InputFunctions.Utility_DisplayArrayInTable(Fertiliser_SourceData.Fertiliser_Products_Data4(),FertiliserProducts[[#Headers],[Company]], 91)</f>
        <v/>
      </c>
      <c r="M186" s="215" cm="1">
        <f t="array" ref="M186">Common_InputFunctions.Utility_DisplayArrayInTable(Fertiliser_SourceData.Fertiliser_Products_Data4(),FertiliserProducts[[#Headers],[Company]], 91)</f>
        <v>15</v>
      </c>
      <c r="N186" s="215" cm="1">
        <f t="array" ref="N186">Common_InputFunctions.Utility_DisplayArrayInTable(Fertiliser_SourceData.Fertiliser_Products_Data4(),FertiliserProducts[[#Headers],[Company]], 91)</f>
        <v>3.6</v>
      </c>
      <c r="O186" s="215" t="str" cm="1">
        <f t="array" ref="O186">Common_InputFunctions.Utility_DisplayArrayInTable(Fertiliser_SourceData.Fertiliser_Products_Data4(),FertiliserProducts[[#Headers],[Company]], 91)</f>
        <v>Nitrogen - Nitrate</v>
      </c>
      <c r="P186" s="215" cm="1">
        <f t="array" ref="P186">Common_InputFunctions.Utility_DisplayArrayInTable(Fertiliser_SourceData.Fertiliser_Products_Data4(),FertiliserProducts[[#Headers],[Company]], 91)</f>
        <v>5.5E-2</v>
      </c>
      <c r="Q186" s="215" t="str" cm="1">
        <f t="array" ref="Q186">Common_InputFunctions.Utility_DisplayArrayInTable(Fertiliser_SourceData.Fertiliser_Products_Data4(),FertiliserProducts[[#Headers],[Company]], 91)</f>
        <v>Nitrogen - Ammoniacal</v>
      </c>
      <c r="R186" s="215" cm="1">
        <f t="array" ref="R186">Common_InputFunctions.Utility_DisplayArrayInTable(Fertiliser_SourceData.Fertiliser_Products_Data4(),FertiliserProducts[[#Headers],[Company]], 91)</f>
        <v>0.124</v>
      </c>
      <c r="S186" s="215" t="str" cm="1">
        <f t="array" ref="S186">Common_InputFunctions.Utility_DisplayArrayInTable(Fertiliser_SourceData.Fertiliser_Products_Data4(),FertiliserProducts[[#Headers],[Company]], 91)</f>
        <v>Potassium - Generic</v>
      </c>
      <c r="T186" s="215" cm="1">
        <f t="array" ref="T186">Common_InputFunctions.Utility_DisplayArrayInTable(Fertiliser_SourceData.Fertiliser_Products_Data4(),FertiliserProducts[[#Headers],[Company]], 91)</f>
        <v>0.15</v>
      </c>
      <c r="U186" s="215" t="str" cm="1">
        <f t="array" ref="U186">Common_InputFunctions.Utility_DisplayArrayInTable(Fertiliser_SourceData.Fertiliser_Products_Data4(),FertiliserProducts[[#Headers],[Company]], 91)</f>
        <v>Sulfur - Generic</v>
      </c>
      <c r="V186" s="215" cm="1">
        <f t="array" ref="V186">Common_InputFunctions.Utility_DisplayArrayInTable(Fertiliser_SourceData.Fertiliser_Products_Data4(),FertiliserProducts[[#Headers],[Company]], 91)</f>
        <v>3.5999999999999997E-2</v>
      </c>
      <c r="W186" s="215" t="str" cm="1">
        <f t="array" ref="W186">Common_InputFunctions.Utility_DisplayArrayInTable(Fertiliser_SourceData.Fertiliser_Products_Data4(),FertiliserProducts[[#Headers],[Company]], 91)</f>
        <v>Calcium</v>
      </c>
      <c r="X186" s="215" cm="1">
        <f t="array" ref="X186">Common_InputFunctions.Utility_DisplayArrayInTable(Fertiliser_SourceData.Fertiliser_Products_Data4(),FertiliserProducts[[#Headers],[Company]], 91)</f>
        <v>4.3999999999999997E-2</v>
      </c>
      <c r="Y186" s="215" t="str" cm="1">
        <f t="array" ref="Y186">Common_InputFunctions.Utility_DisplayArrayInTable(Fertiliser_SourceData.Fertiliser_Products_Data4(),FertiliserProducts[[#Headers],[Company]], 91)</f>
        <v/>
      </c>
      <c r="Z186" s="215" t="str" cm="1">
        <f t="array" ref="Z186">Common_InputFunctions.Utility_DisplayArrayInTable(Fertiliser_SourceData.Fertiliser_Products_Data4(),FertiliserProducts[[#Headers],[Company]], 91)</f>
        <v/>
      </c>
      <c r="AA186" s="215" t="str" cm="1">
        <f t="array" ref="AA186">Common_InputFunctions.Utility_DisplayArrayInTable(Fertiliser_SourceData.Fertiliser_Products_Data4(),FertiliserProducts[[#Headers],[Company]], 91)</f>
        <v/>
      </c>
      <c r="AB186" s="215" t="str" cm="1">
        <f t="array" ref="AB186">Common_InputFunctions.Utility_DisplayArrayInTable(Fertiliser_SourceData.Fertiliser_Products_Data4(),FertiliserProducts[[#Headers],[Company]], 91)</f>
        <v/>
      </c>
      <c r="AC186" s="215" t="str" cm="1">
        <f t="array" ref="AC186">Common_InputFunctions.Utility_DisplayArrayInTable(Fertiliser_SourceData.Fertiliser_Products_Data4(),FertiliserProducts[[#Headers],[Company]], 91)</f>
        <v/>
      </c>
      <c r="AD186" s="215" t="str" cm="1">
        <f t="array" ref="AD186">Common_InputFunctions.Utility_DisplayArrayInTable(Fertiliser_SourceData.Fertiliser_Products_Data4(),FertiliserProducts[[#Headers],[Company]], 91)</f>
        <v/>
      </c>
      <c r="AE186" s="215" t="str" cm="1">
        <f t="array" ref="AE186">Common_InputFunctions.Utility_DisplayArrayInTable(Fertiliser_SourceData.Fertiliser_Products_Data4(),FertiliserProducts[[#Headers],[Company]], 91)</f>
        <v/>
      </c>
      <c r="AF186" s="215" t="str" cm="1">
        <f t="array" ref="AF186">Common_InputFunctions.Utility_DisplayArrayInTable(Fertiliser_SourceData.Fertiliser_Products_Data4(),FertiliserProducts[[#Headers],[Company]], 91)</f>
        <v/>
      </c>
      <c r="AG186" s="215" t="str" cm="1">
        <f t="array" ref="AG186">Common_InputFunctions.Utility_DisplayArrayInTable(Fertiliser_SourceData.Fertiliser_Products_Data4(),FertiliserProducts[[#Headers],[Company]], 91)</f>
        <v/>
      </c>
      <c r="AH186" s="215" t="str" cm="1">
        <f t="array" ref="AH186">Common_InputFunctions.Utility_DisplayArrayInTable(Fertiliser_SourceData.Fertiliser_Products_Data4(),FertiliserProducts[[#Headers],[Company]], 91)</f>
        <v/>
      </c>
    </row>
    <row r="187" spans="4:34" ht="20.100000000000001" customHeight="1" x14ac:dyDescent="0.25">
      <c r="D187" s="215" t="str" cm="1">
        <f t="array" ref="D187">Common_InputFunctions.Utility_DisplayArrayInTable(Fertiliser_SourceData.Fertiliser_Products_Data4(),FertiliserProducts[[#Headers],[Company]], 91)</f>
        <v>Pacific Fertiliser / Incitec Pivot Fertilisers</v>
      </c>
      <c r="E187" s="215" t="str" cm="1">
        <f t="array" ref="E187">Common_InputFunctions.Utility_DisplayArrayInTable(Fertiliser_SourceData.Fertiliser_Products_Data4(),FertiliserProducts[[#Headers],[Company]], 91)</f>
        <v>Cal-Gran 50/50 (S)</v>
      </c>
      <c r="F187" s="215" t="str" cm="1">
        <f t="array" ref="F187">Common_InputFunctions.Utility_DisplayArrayInTable(Fertiliser_SourceData.Fertiliser_Products_Data4(),FertiliserProducts[[#Headers],[Company]], 91)</f>
        <v>kg</v>
      </c>
      <c r="G187" s="215" cm="1">
        <f t="array" ref="G187">Common_InputFunctions.Utility_DisplayArrayInTable(Fertiliser_SourceData.Fertiliser_Products_Data4(),FertiliserProducts[[#Headers],[Company]], 91)</f>
        <v>1</v>
      </c>
      <c r="H187" s="215" t="str" cm="1">
        <f t="array" ref="H187">Common_InputFunctions.Utility_DisplayArrayInTable(Fertiliser_SourceData.Fertiliser_Products_Data4(),FertiliserProducts[[#Headers],[Company]], 91)</f>
        <v/>
      </c>
      <c r="I187" s="215" t="str" cm="1">
        <f t="array" ref="I187">Common_InputFunctions.Utility_DisplayArrayInTable(Fertiliser_SourceData.Fertiliser_Products_Data4(),FertiliserProducts[[#Headers],[Company]], 91)</f>
        <v/>
      </c>
      <c r="J187" s="215" t="str" cm="1">
        <f t="array" ref="J187">Common_InputFunctions.Utility_DisplayArrayInTable(Fertiliser_SourceData.Fertiliser_Products_Data4(),FertiliserProducts[[#Headers],[Company]], 91)</f>
        <v/>
      </c>
      <c r="K187" s="215" cm="1">
        <f t="array" ref="K187">Common_InputFunctions.Utility_DisplayArrayInTable(Fertiliser_SourceData.Fertiliser_Products_Data4(),FertiliserProducts[[#Headers],[Company]], 91)</f>
        <v>16.899999999999999</v>
      </c>
      <c r="L187" s="215" t="str" cm="1">
        <f t="array" ref="L187">Common_InputFunctions.Utility_DisplayArrayInTable(Fertiliser_SourceData.Fertiliser_Products_Data4(),FertiliserProducts[[#Headers],[Company]], 91)</f>
        <v/>
      </c>
      <c r="M187" s="215" cm="1">
        <f t="array" ref="M187">Common_InputFunctions.Utility_DisplayArrayInTable(Fertiliser_SourceData.Fertiliser_Products_Data4(),FertiliserProducts[[#Headers],[Company]], 91)</f>
        <v>14.4</v>
      </c>
      <c r="N187" s="215" cm="1">
        <f t="array" ref="N187">Common_InputFunctions.Utility_DisplayArrayInTable(Fertiliser_SourceData.Fertiliser_Products_Data4(),FertiliserProducts[[#Headers],[Company]], 91)</f>
        <v>8.6999999999999993</v>
      </c>
      <c r="O187" s="215" t="str" cm="1">
        <f t="array" ref="O187">Common_InputFunctions.Utility_DisplayArrayInTable(Fertiliser_SourceData.Fertiliser_Products_Data4(),FertiliserProducts[[#Headers],[Company]], 91)</f>
        <v>Nitrogen - Nitrate</v>
      </c>
      <c r="P187" s="215" cm="1">
        <f t="array" ref="P187">Common_InputFunctions.Utility_DisplayArrayInTable(Fertiliser_SourceData.Fertiliser_Products_Data4(),FertiliserProducts[[#Headers],[Company]], 91)</f>
        <v>5.1999999999999998E-2</v>
      </c>
      <c r="Q187" s="215" t="str" cm="1">
        <f t="array" ref="Q187">Common_InputFunctions.Utility_DisplayArrayInTable(Fertiliser_SourceData.Fertiliser_Products_Data4(),FertiliserProducts[[#Headers],[Company]], 91)</f>
        <v>Nitrogen - Ammoniacal</v>
      </c>
      <c r="R187" s="215" cm="1">
        <f t="array" ref="R187">Common_InputFunctions.Utility_DisplayArrayInTable(Fertiliser_SourceData.Fertiliser_Products_Data4(),FertiliserProducts[[#Headers],[Company]], 91)</f>
        <v>0.11700000000000001</v>
      </c>
      <c r="S187" s="215" t="str" cm="1">
        <f t="array" ref="S187">Common_InputFunctions.Utility_DisplayArrayInTable(Fertiliser_SourceData.Fertiliser_Products_Data4(),FertiliserProducts[[#Headers],[Company]], 91)</f>
        <v>Potassium - Generic</v>
      </c>
      <c r="T187" s="215" cm="1">
        <f t="array" ref="T187">Common_InputFunctions.Utility_DisplayArrayInTable(Fertiliser_SourceData.Fertiliser_Products_Data4(),FertiliserProducts[[#Headers],[Company]], 91)</f>
        <v>0.14399999999999999</v>
      </c>
      <c r="U187" s="215" t="str" cm="1">
        <f t="array" ref="U187">Common_InputFunctions.Utility_DisplayArrayInTable(Fertiliser_SourceData.Fertiliser_Products_Data4(),FertiliserProducts[[#Headers],[Company]], 91)</f>
        <v>Sulfur - Generic</v>
      </c>
      <c r="V187" s="215" cm="1">
        <f t="array" ref="V187">Common_InputFunctions.Utility_DisplayArrayInTable(Fertiliser_SourceData.Fertiliser_Products_Data4(),FertiliserProducts[[#Headers],[Company]], 91)</f>
        <v>8.6999999999999994E-2</v>
      </c>
      <c r="W187" s="215" t="str" cm="1">
        <f t="array" ref="W187">Common_InputFunctions.Utility_DisplayArrayInTable(Fertiliser_SourceData.Fertiliser_Products_Data4(),FertiliserProducts[[#Headers],[Company]], 91)</f>
        <v>Calcium</v>
      </c>
      <c r="X187" s="215" cm="1">
        <f t="array" ref="X187">Common_InputFunctions.Utility_DisplayArrayInTable(Fertiliser_SourceData.Fertiliser_Products_Data4(),FertiliserProducts[[#Headers],[Company]], 91)</f>
        <v>4.3999999999999997E-2</v>
      </c>
      <c r="Y187" s="215" t="str" cm="1">
        <f t="array" ref="Y187">Common_InputFunctions.Utility_DisplayArrayInTable(Fertiliser_SourceData.Fertiliser_Products_Data4(),FertiliserProducts[[#Headers],[Company]], 91)</f>
        <v/>
      </c>
      <c r="Z187" s="215" t="str" cm="1">
        <f t="array" ref="Z187">Common_InputFunctions.Utility_DisplayArrayInTable(Fertiliser_SourceData.Fertiliser_Products_Data4(),FertiliserProducts[[#Headers],[Company]], 91)</f>
        <v/>
      </c>
      <c r="AA187" s="215" t="str" cm="1">
        <f t="array" ref="AA187">Common_InputFunctions.Utility_DisplayArrayInTable(Fertiliser_SourceData.Fertiliser_Products_Data4(),FertiliserProducts[[#Headers],[Company]], 91)</f>
        <v/>
      </c>
      <c r="AB187" s="215" t="str" cm="1">
        <f t="array" ref="AB187">Common_InputFunctions.Utility_DisplayArrayInTable(Fertiliser_SourceData.Fertiliser_Products_Data4(),FertiliserProducts[[#Headers],[Company]], 91)</f>
        <v/>
      </c>
      <c r="AC187" s="215" t="str" cm="1">
        <f t="array" ref="AC187">Common_InputFunctions.Utility_DisplayArrayInTable(Fertiliser_SourceData.Fertiliser_Products_Data4(),FertiliserProducts[[#Headers],[Company]], 91)</f>
        <v/>
      </c>
      <c r="AD187" s="215" t="str" cm="1">
        <f t="array" ref="AD187">Common_InputFunctions.Utility_DisplayArrayInTable(Fertiliser_SourceData.Fertiliser_Products_Data4(),FertiliserProducts[[#Headers],[Company]], 91)</f>
        <v/>
      </c>
      <c r="AE187" s="215" t="str" cm="1">
        <f t="array" ref="AE187">Common_InputFunctions.Utility_DisplayArrayInTable(Fertiliser_SourceData.Fertiliser_Products_Data4(),FertiliserProducts[[#Headers],[Company]], 91)</f>
        <v/>
      </c>
      <c r="AF187" s="215" t="str" cm="1">
        <f t="array" ref="AF187">Common_InputFunctions.Utility_DisplayArrayInTable(Fertiliser_SourceData.Fertiliser_Products_Data4(),FertiliserProducts[[#Headers],[Company]], 91)</f>
        <v/>
      </c>
      <c r="AG187" s="215" t="str" cm="1">
        <f t="array" ref="AG187">Common_InputFunctions.Utility_DisplayArrayInTable(Fertiliser_SourceData.Fertiliser_Products_Data4(),FertiliserProducts[[#Headers],[Company]], 91)</f>
        <v/>
      </c>
      <c r="AH187" s="215" t="str" cm="1">
        <f t="array" ref="AH187">Common_InputFunctions.Utility_DisplayArrayInTable(Fertiliser_SourceData.Fertiliser_Products_Data4(),FertiliserProducts[[#Headers],[Company]], 91)</f>
        <v/>
      </c>
    </row>
    <row r="188" spans="4:34" ht="20.100000000000001" customHeight="1" x14ac:dyDescent="0.25">
      <c r="D188" s="215" t="str" cm="1">
        <f t="array" ref="D188">Common_InputFunctions.Utility_DisplayArrayInTable(Fertiliser_SourceData.Fertiliser_Products_Data4(),FertiliserProducts[[#Headers],[Company]], 91)</f>
        <v>Pacific Fertiliser / Incitec Pivot Fertilisers</v>
      </c>
      <c r="E188" s="215" t="str" cm="1">
        <f t="array" ref="E188">Common_InputFunctions.Utility_DisplayArrayInTable(Fertiliser_SourceData.Fertiliser_Products_Data4(),FertiliserProducts[[#Headers],[Company]], 91)</f>
        <v>Cal-Gran 130</v>
      </c>
      <c r="F188" s="215" t="str" cm="1">
        <f t="array" ref="F188">Common_InputFunctions.Utility_DisplayArrayInTable(Fertiliser_SourceData.Fertiliser_Products_Data4(),FertiliserProducts[[#Headers],[Company]], 91)</f>
        <v>kg</v>
      </c>
      <c r="G188" s="215" cm="1">
        <f t="array" ref="G188">Common_InputFunctions.Utility_DisplayArrayInTable(Fertiliser_SourceData.Fertiliser_Products_Data4(),FertiliserProducts[[#Headers],[Company]], 91)</f>
        <v>1</v>
      </c>
      <c r="H188" s="215" t="str" cm="1">
        <f t="array" ref="H188">Common_InputFunctions.Utility_DisplayArrayInTable(Fertiliser_SourceData.Fertiliser_Products_Data4(),FertiliserProducts[[#Headers],[Company]], 91)</f>
        <v/>
      </c>
      <c r="I188" s="215" t="str" cm="1">
        <f t="array" ref="I188">Common_InputFunctions.Utility_DisplayArrayInTable(Fertiliser_SourceData.Fertiliser_Products_Data4(),FertiliserProducts[[#Headers],[Company]], 91)</f>
        <v/>
      </c>
      <c r="J188" s="215" t="str" cm="1">
        <f t="array" ref="J188">Common_InputFunctions.Utility_DisplayArrayInTable(Fertiliser_SourceData.Fertiliser_Products_Data4(),FertiliserProducts[[#Headers],[Company]], 91)</f>
        <v/>
      </c>
      <c r="K188" s="215" cm="1">
        <f t="array" ref="K188">Common_InputFunctions.Utility_DisplayArrayInTable(Fertiliser_SourceData.Fertiliser_Products_Data4(),FertiliserProducts[[#Headers],[Company]], 91)</f>
        <v>18.8</v>
      </c>
      <c r="L188" s="215" cm="1">
        <f t="array" ref="L188">Common_InputFunctions.Utility_DisplayArrayInTable(Fertiliser_SourceData.Fertiliser_Products_Data4(),FertiliserProducts[[#Headers],[Company]], 91)</f>
        <v>1</v>
      </c>
      <c r="M188" s="215" cm="1">
        <f t="array" ref="M188">Common_InputFunctions.Utility_DisplayArrayInTable(Fertiliser_SourceData.Fertiliser_Products_Data4(),FertiliserProducts[[#Headers],[Company]], 91)</f>
        <v>12.5</v>
      </c>
      <c r="N188" s="215" cm="1">
        <f t="array" ref="N188">Common_InputFunctions.Utility_DisplayArrayInTable(Fertiliser_SourceData.Fertiliser_Products_Data4(),FertiliserProducts[[#Headers],[Company]], 91)</f>
        <v>3.7</v>
      </c>
      <c r="O188" s="215" t="str" cm="1">
        <f t="array" ref="O188">Common_InputFunctions.Utility_DisplayArrayInTable(Fertiliser_SourceData.Fertiliser_Products_Data4(),FertiliserProducts[[#Headers],[Company]], 91)</f>
        <v>Nitrogen - Nitrate</v>
      </c>
      <c r="P188" s="215" cm="1">
        <f t="array" ref="P188">Common_InputFunctions.Utility_DisplayArrayInTable(Fertiliser_SourceData.Fertiliser_Products_Data4(),FertiliserProducts[[#Headers],[Company]], 91)</f>
        <v>5.8000000000000003E-2</v>
      </c>
      <c r="Q188" s="215" t="str" cm="1">
        <f t="array" ref="Q188">Common_InputFunctions.Utility_DisplayArrayInTable(Fertiliser_SourceData.Fertiliser_Products_Data4(),FertiliserProducts[[#Headers],[Company]], 91)</f>
        <v>Nitrogen - Ammoniacal</v>
      </c>
      <c r="R188" s="215" cm="1">
        <f t="array" ref="R188">Common_InputFunctions.Utility_DisplayArrayInTable(Fertiliser_SourceData.Fertiliser_Products_Data4(),FertiliserProducts[[#Headers],[Company]], 91)</f>
        <v>0.13</v>
      </c>
      <c r="S188" s="215" t="str" cm="1">
        <f t="array" ref="S188">Common_InputFunctions.Utility_DisplayArrayInTable(Fertiliser_SourceData.Fertiliser_Products_Data4(),FertiliserProducts[[#Headers],[Company]], 91)</f>
        <v>Phosphorus - Generic</v>
      </c>
      <c r="T188" s="215" cm="1">
        <f t="array" ref="T188">Common_InputFunctions.Utility_DisplayArrayInTable(Fertiliser_SourceData.Fertiliser_Products_Data4(),FertiliserProducts[[#Headers],[Company]], 91)</f>
        <v>0.01</v>
      </c>
      <c r="U188" s="215" t="str" cm="1">
        <f t="array" ref="U188">Common_InputFunctions.Utility_DisplayArrayInTable(Fertiliser_SourceData.Fertiliser_Products_Data4(),FertiliserProducts[[#Headers],[Company]], 91)</f>
        <v>Potassium - Generic</v>
      </c>
      <c r="V188" s="215" cm="1">
        <f t="array" ref="V188">Common_InputFunctions.Utility_DisplayArrayInTable(Fertiliser_SourceData.Fertiliser_Products_Data4(),FertiliserProducts[[#Headers],[Company]], 91)</f>
        <v>0.125</v>
      </c>
      <c r="W188" s="215" t="str" cm="1">
        <f t="array" ref="W188">Common_InputFunctions.Utility_DisplayArrayInTable(Fertiliser_SourceData.Fertiliser_Products_Data4(),FertiliserProducts[[#Headers],[Company]], 91)</f>
        <v>Sulfur - Generic</v>
      </c>
      <c r="X188" s="215" cm="1">
        <f t="array" ref="X188">Common_InputFunctions.Utility_DisplayArrayInTable(Fertiliser_SourceData.Fertiliser_Products_Data4(),FertiliserProducts[[#Headers],[Company]], 91)</f>
        <v>3.6999999999999998E-2</v>
      </c>
      <c r="Y188" s="215" t="str" cm="1">
        <f t="array" ref="Y188">Common_InputFunctions.Utility_DisplayArrayInTable(Fertiliser_SourceData.Fertiliser_Products_Data4(),FertiliserProducts[[#Headers],[Company]], 91)</f>
        <v>Calcium</v>
      </c>
      <c r="Z188" s="215" cm="1">
        <f t="array" ref="Z188">Common_InputFunctions.Utility_DisplayArrayInTable(Fertiliser_SourceData.Fertiliser_Products_Data4(),FertiliserProducts[[#Headers],[Company]], 91)</f>
        <v>4.3999999999999997E-2</v>
      </c>
      <c r="AA188" s="215" t="str" cm="1">
        <f t="array" ref="AA188">Common_InputFunctions.Utility_DisplayArrayInTable(Fertiliser_SourceData.Fertiliser_Products_Data4(),FertiliserProducts[[#Headers],[Company]], 91)</f>
        <v/>
      </c>
      <c r="AB188" s="215" t="str" cm="1">
        <f t="array" ref="AB188">Common_InputFunctions.Utility_DisplayArrayInTable(Fertiliser_SourceData.Fertiliser_Products_Data4(),FertiliserProducts[[#Headers],[Company]], 91)</f>
        <v/>
      </c>
      <c r="AC188" s="215" t="str" cm="1">
        <f t="array" ref="AC188">Common_InputFunctions.Utility_DisplayArrayInTable(Fertiliser_SourceData.Fertiliser_Products_Data4(),FertiliserProducts[[#Headers],[Company]], 91)</f>
        <v/>
      </c>
      <c r="AD188" s="215" t="str" cm="1">
        <f t="array" ref="AD188">Common_InputFunctions.Utility_DisplayArrayInTable(Fertiliser_SourceData.Fertiliser_Products_Data4(),FertiliserProducts[[#Headers],[Company]], 91)</f>
        <v/>
      </c>
      <c r="AE188" s="215" t="str" cm="1">
        <f t="array" ref="AE188">Common_InputFunctions.Utility_DisplayArrayInTable(Fertiliser_SourceData.Fertiliser_Products_Data4(),FertiliserProducts[[#Headers],[Company]], 91)</f>
        <v/>
      </c>
      <c r="AF188" s="215" t="str" cm="1">
        <f t="array" ref="AF188">Common_InputFunctions.Utility_DisplayArrayInTable(Fertiliser_SourceData.Fertiliser_Products_Data4(),FertiliserProducts[[#Headers],[Company]], 91)</f>
        <v/>
      </c>
      <c r="AG188" s="215" t="str" cm="1">
        <f t="array" ref="AG188">Common_InputFunctions.Utility_DisplayArrayInTable(Fertiliser_SourceData.Fertiliser_Products_Data4(),FertiliserProducts[[#Headers],[Company]], 91)</f>
        <v/>
      </c>
      <c r="AH188" s="215" t="str" cm="1">
        <f t="array" ref="AH188">Common_InputFunctions.Utility_DisplayArrayInTable(Fertiliser_SourceData.Fertiliser_Products_Data4(),FertiliserProducts[[#Headers],[Company]], 91)</f>
        <v/>
      </c>
    </row>
    <row r="189" spans="4:34" ht="20.100000000000001" customHeight="1" x14ac:dyDescent="0.25">
      <c r="D189" s="215" t="str" cm="1">
        <f t="array" ref="D189">Common_InputFunctions.Utility_DisplayArrayInTable(Fertiliser_SourceData.Fertiliser_Products_Data4(),FertiliserProducts[[#Headers],[Company]], 91)</f>
        <v>Pacific Fertiliser / Incitec Pivot Fertilisers</v>
      </c>
      <c r="E189" s="215" t="str" cm="1">
        <f t="array" ref="E189">Common_InputFunctions.Utility_DisplayArrayInTable(Fertiliser_SourceData.Fertiliser_Products_Data4(),FertiliserProducts[[#Headers],[Company]], 91)</f>
        <v>Cal-Gran 150</v>
      </c>
      <c r="F189" s="215" t="str" cm="1">
        <f t="array" ref="F189">Common_InputFunctions.Utility_DisplayArrayInTable(Fertiliser_SourceData.Fertiliser_Products_Data4(),FertiliserProducts[[#Headers],[Company]], 91)</f>
        <v>kg</v>
      </c>
      <c r="G189" s="215" cm="1">
        <f t="array" ref="G189">Common_InputFunctions.Utility_DisplayArrayInTable(Fertiliser_SourceData.Fertiliser_Products_Data4(),FertiliserProducts[[#Headers],[Company]], 91)</f>
        <v>1</v>
      </c>
      <c r="H189" s="215" t="str" cm="1">
        <f t="array" ref="H189">Common_InputFunctions.Utility_DisplayArrayInTable(Fertiliser_SourceData.Fertiliser_Products_Data4(),FertiliserProducts[[#Headers],[Company]], 91)</f>
        <v/>
      </c>
      <c r="I189" s="215" t="str" cm="1">
        <f t="array" ref="I189">Common_InputFunctions.Utility_DisplayArrayInTable(Fertiliser_SourceData.Fertiliser_Products_Data4(),FertiliserProducts[[#Headers],[Company]], 91)</f>
        <v/>
      </c>
      <c r="J189" s="215" t="str" cm="1">
        <f t="array" ref="J189">Common_InputFunctions.Utility_DisplayArrayInTable(Fertiliser_SourceData.Fertiliser_Products_Data4(),FertiliserProducts[[#Headers],[Company]], 91)</f>
        <v/>
      </c>
      <c r="K189" s="215" cm="1">
        <f t="array" ref="K189">Common_InputFunctions.Utility_DisplayArrayInTable(Fertiliser_SourceData.Fertiliser_Products_Data4(),FertiliserProducts[[#Headers],[Company]], 91)</f>
        <v>18.600000000000001</v>
      </c>
      <c r="L189" s="215" cm="1">
        <f t="array" ref="L189">Common_InputFunctions.Utility_DisplayArrayInTable(Fertiliser_SourceData.Fertiliser_Products_Data4(),FertiliserProducts[[#Headers],[Company]], 91)</f>
        <v>3</v>
      </c>
      <c r="M189" s="215" cm="1">
        <f t="array" ref="M189">Common_InputFunctions.Utility_DisplayArrayInTable(Fertiliser_SourceData.Fertiliser_Products_Data4(),FertiliserProducts[[#Headers],[Company]], 91)</f>
        <v>12.5</v>
      </c>
      <c r="N189" s="215" cm="1">
        <f t="array" ref="N189">Common_InputFunctions.Utility_DisplayArrayInTable(Fertiliser_SourceData.Fertiliser_Products_Data4(),FertiliserProducts[[#Headers],[Company]], 91)</f>
        <v>1.4</v>
      </c>
      <c r="O189" s="215" t="str" cm="1">
        <f t="array" ref="O189">Common_InputFunctions.Utility_DisplayArrayInTable(Fertiliser_SourceData.Fertiliser_Products_Data4(),FertiliserProducts[[#Headers],[Company]], 91)</f>
        <v>Nitrogen - Nitrate</v>
      </c>
      <c r="P189" s="215" cm="1">
        <f t="array" ref="P189">Common_InputFunctions.Utility_DisplayArrayInTable(Fertiliser_SourceData.Fertiliser_Products_Data4(),FertiliserProducts[[#Headers],[Company]], 91)</f>
        <v>5.8000000000000003E-2</v>
      </c>
      <c r="Q189" s="215" t="str" cm="1">
        <f t="array" ref="Q189">Common_InputFunctions.Utility_DisplayArrayInTable(Fertiliser_SourceData.Fertiliser_Products_Data4(),FertiliserProducts[[#Headers],[Company]], 91)</f>
        <v>Nitrogen - Ammoniacal</v>
      </c>
      <c r="R189" s="215" cm="1">
        <f t="array" ref="R189">Common_InputFunctions.Utility_DisplayArrayInTable(Fertiliser_SourceData.Fertiliser_Products_Data4(),FertiliserProducts[[#Headers],[Company]], 91)</f>
        <v>0.128</v>
      </c>
      <c r="S189" s="215" t="str" cm="1">
        <f t="array" ref="S189">Common_InputFunctions.Utility_DisplayArrayInTable(Fertiliser_SourceData.Fertiliser_Products_Data4(),FertiliserProducts[[#Headers],[Company]], 91)</f>
        <v>Phosphorus - Generic</v>
      </c>
      <c r="T189" s="215" cm="1">
        <f t="array" ref="T189">Common_InputFunctions.Utility_DisplayArrayInTable(Fertiliser_SourceData.Fertiliser_Products_Data4(),FertiliserProducts[[#Headers],[Company]], 91)</f>
        <v>0.03</v>
      </c>
      <c r="U189" s="215" t="str" cm="1">
        <f t="array" ref="U189">Common_InputFunctions.Utility_DisplayArrayInTable(Fertiliser_SourceData.Fertiliser_Products_Data4(),FertiliserProducts[[#Headers],[Company]], 91)</f>
        <v>Potassium - Generic</v>
      </c>
      <c r="V189" s="215" cm="1">
        <f t="array" ref="V189">Common_InputFunctions.Utility_DisplayArrayInTable(Fertiliser_SourceData.Fertiliser_Products_Data4(),FertiliserProducts[[#Headers],[Company]], 91)</f>
        <v>0.125</v>
      </c>
      <c r="W189" s="215" t="str" cm="1">
        <f t="array" ref="W189">Common_InputFunctions.Utility_DisplayArrayInTable(Fertiliser_SourceData.Fertiliser_Products_Data4(),FertiliserProducts[[#Headers],[Company]], 91)</f>
        <v>Sulfur - Generic</v>
      </c>
      <c r="X189" s="215" cm="1">
        <f t="array" ref="X189">Common_InputFunctions.Utility_DisplayArrayInTable(Fertiliser_SourceData.Fertiliser_Products_Data4(),FertiliserProducts[[#Headers],[Company]], 91)</f>
        <v>1.4E-2</v>
      </c>
      <c r="Y189" s="215" t="str" cm="1">
        <f t="array" ref="Y189">Common_InputFunctions.Utility_DisplayArrayInTable(Fertiliser_SourceData.Fertiliser_Products_Data4(),FertiliserProducts[[#Headers],[Company]], 91)</f>
        <v>Calcium</v>
      </c>
      <c r="Z189" s="215" cm="1">
        <f t="array" ref="Z189">Common_InputFunctions.Utility_DisplayArrayInTable(Fertiliser_SourceData.Fertiliser_Products_Data4(),FertiliserProducts[[#Headers],[Company]], 91)</f>
        <v>4.3999999999999997E-2</v>
      </c>
      <c r="AA189" s="215" t="str" cm="1">
        <f t="array" ref="AA189">Common_InputFunctions.Utility_DisplayArrayInTable(Fertiliser_SourceData.Fertiliser_Products_Data4(),FertiliserProducts[[#Headers],[Company]], 91)</f>
        <v/>
      </c>
      <c r="AB189" s="215" t="str" cm="1">
        <f t="array" ref="AB189">Common_InputFunctions.Utility_DisplayArrayInTable(Fertiliser_SourceData.Fertiliser_Products_Data4(),FertiliserProducts[[#Headers],[Company]], 91)</f>
        <v/>
      </c>
      <c r="AC189" s="215" t="str" cm="1">
        <f t="array" ref="AC189">Common_InputFunctions.Utility_DisplayArrayInTable(Fertiliser_SourceData.Fertiliser_Products_Data4(),FertiliserProducts[[#Headers],[Company]], 91)</f>
        <v/>
      </c>
      <c r="AD189" s="215" t="str" cm="1">
        <f t="array" ref="AD189">Common_InputFunctions.Utility_DisplayArrayInTable(Fertiliser_SourceData.Fertiliser_Products_Data4(),FertiliserProducts[[#Headers],[Company]], 91)</f>
        <v/>
      </c>
      <c r="AE189" s="215" t="str" cm="1">
        <f t="array" ref="AE189">Common_InputFunctions.Utility_DisplayArrayInTable(Fertiliser_SourceData.Fertiliser_Products_Data4(),FertiliserProducts[[#Headers],[Company]], 91)</f>
        <v/>
      </c>
      <c r="AF189" s="215" t="str" cm="1">
        <f t="array" ref="AF189">Common_InputFunctions.Utility_DisplayArrayInTable(Fertiliser_SourceData.Fertiliser_Products_Data4(),FertiliserProducts[[#Headers],[Company]], 91)</f>
        <v/>
      </c>
      <c r="AG189" s="215" t="str" cm="1">
        <f t="array" ref="AG189">Common_InputFunctions.Utility_DisplayArrayInTable(Fertiliser_SourceData.Fertiliser_Products_Data4(),FertiliserProducts[[#Headers],[Company]], 91)</f>
        <v/>
      </c>
      <c r="AH189" s="215" t="str" cm="1">
        <f t="array" ref="AH189">Common_InputFunctions.Utility_DisplayArrayInTable(Fertiliser_SourceData.Fertiliser_Products_Data4(),FertiliserProducts[[#Headers],[Company]], 91)</f>
        <v/>
      </c>
    </row>
    <row r="190" spans="4:34" ht="20.100000000000001" customHeight="1" x14ac:dyDescent="0.25">
      <c r="D190" s="215" t="str" cm="1">
        <f t="array" ref="D190">Common_InputFunctions.Utility_DisplayArrayInTable(Fertiliser_SourceData.Fertiliser_Products_Data4(),FertiliserProducts[[#Headers],[Company]], 91)</f>
        <v>Pacific Fertiliser / Incitec Pivot Fertilisers</v>
      </c>
      <c r="E190" s="215" t="str" cm="1">
        <f t="array" ref="E190">Common_InputFunctions.Utility_DisplayArrayInTable(Fertiliser_SourceData.Fertiliser_Products_Data4(),FertiliserProducts[[#Headers],[Company]], 91)</f>
        <v>Cal-Gran Extra K</v>
      </c>
      <c r="F190" s="215" t="str" cm="1">
        <f t="array" ref="F190">Common_InputFunctions.Utility_DisplayArrayInTable(Fertiliser_SourceData.Fertiliser_Products_Data4(),FertiliserProducts[[#Headers],[Company]], 91)</f>
        <v>kg</v>
      </c>
      <c r="G190" s="215" cm="1">
        <f t="array" ref="G190">Common_InputFunctions.Utility_DisplayArrayInTable(Fertiliser_SourceData.Fertiliser_Products_Data4(),FertiliserProducts[[#Headers],[Company]], 91)</f>
        <v>1</v>
      </c>
      <c r="H190" s="215" t="str" cm="1">
        <f t="array" ref="H190">Common_InputFunctions.Utility_DisplayArrayInTable(Fertiliser_SourceData.Fertiliser_Products_Data4(),FertiliserProducts[[#Headers],[Company]], 91)</f>
        <v/>
      </c>
      <c r="I190" s="215" t="str" cm="1">
        <f t="array" ref="I190">Common_InputFunctions.Utility_DisplayArrayInTable(Fertiliser_SourceData.Fertiliser_Products_Data4(),FertiliserProducts[[#Headers],[Company]], 91)</f>
        <v/>
      </c>
      <c r="J190" s="215" t="str" cm="1">
        <f t="array" ref="J190">Common_InputFunctions.Utility_DisplayArrayInTable(Fertiliser_SourceData.Fertiliser_Products_Data4(),FertiliserProducts[[#Headers],[Company]], 91)</f>
        <v/>
      </c>
      <c r="K190" s="215" cm="1">
        <f t="array" ref="K190">Common_InputFunctions.Utility_DisplayArrayInTable(Fertiliser_SourceData.Fertiliser_Products_Data4(),FertiliserProducts[[#Headers],[Company]], 91)</f>
        <v>15.8</v>
      </c>
      <c r="L190" s="215" t="str" cm="1">
        <f t="array" ref="L190">Common_InputFunctions.Utility_DisplayArrayInTable(Fertiliser_SourceData.Fertiliser_Products_Data4(),FertiliserProducts[[#Headers],[Company]], 91)</f>
        <v/>
      </c>
      <c r="M190" s="215" cm="1">
        <f t="array" ref="M190">Common_InputFunctions.Utility_DisplayArrayInTable(Fertiliser_SourceData.Fertiliser_Products_Data4(),FertiliserProducts[[#Headers],[Company]], 91)</f>
        <v>19</v>
      </c>
      <c r="N190" s="215" cm="1">
        <f t="array" ref="N190">Common_InputFunctions.Utility_DisplayArrayInTable(Fertiliser_SourceData.Fertiliser_Products_Data4(),FertiliserProducts[[#Headers],[Company]], 91)</f>
        <v>3.2</v>
      </c>
      <c r="O190" s="215" t="str" cm="1">
        <f t="array" ref="O190">Common_InputFunctions.Utility_DisplayArrayInTable(Fertiliser_SourceData.Fertiliser_Products_Data4(),FertiliserProducts[[#Headers],[Company]], 91)</f>
        <v>Nitrogen - Nitrate</v>
      </c>
      <c r="P190" s="215" cm="1">
        <f t="array" ref="P190">Common_InputFunctions.Utility_DisplayArrayInTable(Fertiliser_SourceData.Fertiliser_Products_Data4(),FertiliserProducts[[#Headers],[Company]], 91)</f>
        <v>4.9000000000000002E-2</v>
      </c>
      <c r="Q190" s="215" t="str" cm="1">
        <f t="array" ref="Q190">Common_InputFunctions.Utility_DisplayArrayInTable(Fertiliser_SourceData.Fertiliser_Products_Data4(),FertiliserProducts[[#Headers],[Company]], 91)</f>
        <v>Nitrogen - Ammoniacal</v>
      </c>
      <c r="R190" s="215" cm="1">
        <f t="array" ref="R190">Common_InputFunctions.Utility_DisplayArrayInTable(Fertiliser_SourceData.Fertiliser_Products_Data4(),FertiliserProducts[[#Headers],[Company]], 91)</f>
        <v>0.109</v>
      </c>
      <c r="S190" s="215" t="str" cm="1">
        <f t="array" ref="S190">Common_InputFunctions.Utility_DisplayArrayInTable(Fertiliser_SourceData.Fertiliser_Products_Data4(),FertiliserProducts[[#Headers],[Company]], 91)</f>
        <v>Potassium - Generic</v>
      </c>
      <c r="T190" s="215" cm="1">
        <f t="array" ref="T190">Common_InputFunctions.Utility_DisplayArrayInTable(Fertiliser_SourceData.Fertiliser_Products_Data4(),FertiliserProducts[[#Headers],[Company]], 91)</f>
        <v>0.19</v>
      </c>
      <c r="U190" s="215" t="str" cm="1">
        <f t="array" ref="U190">Common_InputFunctions.Utility_DisplayArrayInTable(Fertiliser_SourceData.Fertiliser_Products_Data4(),FertiliserProducts[[#Headers],[Company]], 91)</f>
        <v>Sulfur - Generic</v>
      </c>
      <c r="V190" s="215" cm="1">
        <f t="array" ref="V190">Common_InputFunctions.Utility_DisplayArrayInTable(Fertiliser_SourceData.Fertiliser_Products_Data4(),FertiliserProducts[[#Headers],[Company]], 91)</f>
        <v>3.2000000000000001E-2</v>
      </c>
      <c r="W190" s="215" t="str" cm="1">
        <f t="array" ref="W190">Common_InputFunctions.Utility_DisplayArrayInTable(Fertiliser_SourceData.Fertiliser_Products_Data4(),FertiliserProducts[[#Headers],[Company]], 91)</f>
        <v>Calcium</v>
      </c>
      <c r="X190" s="215" cm="1">
        <f t="array" ref="X190">Common_InputFunctions.Utility_DisplayArrayInTable(Fertiliser_SourceData.Fertiliser_Products_Data4(),FertiliserProducts[[#Headers],[Company]], 91)</f>
        <v>3.9E-2</v>
      </c>
      <c r="Y190" s="215" t="str" cm="1">
        <f t="array" ref="Y190">Common_InputFunctions.Utility_DisplayArrayInTable(Fertiliser_SourceData.Fertiliser_Products_Data4(),FertiliserProducts[[#Headers],[Company]], 91)</f>
        <v/>
      </c>
      <c r="Z190" s="215" t="str" cm="1">
        <f t="array" ref="Z190">Common_InputFunctions.Utility_DisplayArrayInTable(Fertiliser_SourceData.Fertiliser_Products_Data4(),FertiliserProducts[[#Headers],[Company]], 91)</f>
        <v/>
      </c>
      <c r="AA190" s="215" t="str" cm="1">
        <f t="array" ref="AA190">Common_InputFunctions.Utility_DisplayArrayInTable(Fertiliser_SourceData.Fertiliser_Products_Data4(),FertiliserProducts[[#Headers],[Company]], 91)</f>
        <v/>
      </c>
      <c r="AB190" s="215" t="str" cm="1">
        <f t="array" ref="AB190">Common_InputFunctions.Utility_DisplayArrayInTable(Fertiliser_SourceData.Fertiliser_Products_Data4(),FertiliserProducts[[#Headers],[Company]], 91)</f>
        <v/>
      </c>
      <c r="AC190" s="215" t="str" cm="1">
        <f t="array" ref="AC190">Common_InputFunctions.Utility_DisplayArrayInTable(Fertiliser_SourceData.Fertiliser_Products_Data4(),FertiliserProducts[[#Headers],[Company]], 91)</f>
        <v/>
      </c>
      <c r="AD190" s="215" t="str" cm="1">
        <f t="array" ref="AD190">Common_InputFunctions.Utility_DisplayArrayInTable(Fertiliser_SourceData.Fertiliser_Products_Data4(),FertiliserProducts[[#Headers],[Company]], 91)</f>
        <v/>
      </c>
      <c r="AE190" s="215" t="str" cm="1">
        <f t="array" ref="AE190">Common_InputFunctions.Utility_DisplayArrayInTable(Fertiliser_SourceData.Fertiliser_Products_Data4(),FertiliserProducts[[#Headers],[Company]], 91)</f>
        <v/>
      </c>
      <c r="AF190" s="215" t="str" cm="1">
        <f t="array" ref="AF190">Common_InputFunctions.Utility_DisplayArrayInTable(Fertiliser_SourceData.Fertiliser_Products_Data4(),FertiliserProducts[[#Headers],[Company]], 91)</f>
        <v/>
      </c>
      <c r="AG190" s="215" t="str" cm="1">
        <f t="array" ref="AG190">Common_InputFunctions.Utility_DisplayArrayInTable(Fertiliser_SourceData.Fertiliser_Products_Data4(),FertiliserProducts[[#Headers],[Company]], 91)</f>
        <v/>
      </c>
      <c r="AH190" s="215" t="str" cm="1">
        <f t="array" ref="AH190">Common_InputFunctions.Utility_DisplayArrayInTable(Fertiliser_SourceData.Fertiliser_Products_Data4(),FertiliserProducts[[#Headers],[Company]], 91)</f>
        <v/>
      </c>
    </row>
    <row r="191" spans="4:34" ht="20.100000000000001" customHeight="1" x14ac:dyDescent="0.25">
      <c r="D191" s="215" t="str" cm="1">
        <f t="array" ref="D191">Common_InputFunctions.Utility_DisplayArrayInTable(Fertiliser_SourceData.Fertiliser_Products_Data4(),FertiliserProducts[[#Headers],[Company]], 91)</f>
        <v>Incitec Pivot Fertilisers</v>
      </c>
      <c r="E191" s="215" t="str" cm="1">
        <f t="array" ref="E191">Common_InputFunctions.Utility_DisplayArrayInTable(Fertiliser_SourceData.Fertiliser_Products_Data4(),FertiliserProducts[[#Headers],[Company]], 91)</f>
        <v>Dairy Pro</v>
      </c>
      <c r="F191" s="215" t="str" cm="1">
        <f t="array" ref="F191">Common_InputFunctions.Utility_DisplayArrayInTable(Fertiliser_SourceData.Fertiliser_Products_Data4(),FertiliserProducts[[#Headers],[Company]], 91)</f>
        <v>kg</v>
      </c>
      <c r="G191" s="215" cm="1">
        <f t="array" ref="G191">Common_InputFunctions.Utility_DisplayArrayInTable(Fertiliser_SourceData.Fertiliser_Products_Data4(),FertiliserProducts[[#Headers],[Company]], 91)</f>
        <v>1</v>
      </c>
      <c r="H191" s="215" t="str" cm="1">
        <f t="array" ref="H191">Common_InputFunctions.Utility_DisplayArrayInTable(Fertiliser_SourceData.Fertiliser_Products_Data4(),FertiliserProducts[[#Headers],[Company]], 91)</f>
        <v/>
      </c>
      <c r="I191" s="215" t="str" cm="1">
        <f t="array" ref="I191">Common_InputFunctions.Utility_DisplayArrayInTable(Fertiliser_SourceData.Fertiliser_Products_Data4(),FertiliserProducts[[#Headers],[Company]], 91)</f>
        <v/>
      </c>
      <c r="J191" s="215" t="str" cm="1">
        <f t="array" ref="J191">Common_InputFunctions.Utility_DisplayArrayInTable(Fertiliser_SourceData.Fertiliser_Products_Data4(),FertiliserProducts[[#Headers],[Company]], 91)</f>
        <v/>
      </c>
      <c r="K191" s="215" cm="1">
        <f t="array" ref="K191">Common_InputFunctions.Utility_DisplayArrayInTable(Fertiliser_SourceData.Fertiliser_Products_Data4(),FertiliserProducts[[#Headers],[Company]], 91)</f>
        <v>25.9</v>
      </c>
      <c r="L191" s="215" cm="1">
        <f t="array" ref="L191">Common_InputFunctions.Utility_DisplayArrayInTable(Fertiliser_SourceData.Fertiliser_Products_Data4(),FertiliserProducts[[#Headers],[Company]], 91)</f>
        <v>3.9</v>
      </c>
      <c r="M191" s="215" cm="1">
        <f t="array" ref="M191">Common_InputFunctions.Utility_DisplayArrayInTable(Fertiliser_SourceData.Fertiliser_Products_Data4(),FertiliserProducts[[#Headers],[Company]], 91)</f>
        <v>15.9</v>
      </c>
      <c r="N191" s="215" cm="1">
        <f t="array" ref="N191">Common_InputFunctions.Utility_DisplayArrayInTable(Fertiliser_SourceData.Fertiliser_Products_Data4(),FertiliserProducts[[#Headers],[Company]], 91)</f>
        <v>0.3</v>
      </c>
      <c r="O191" s="215" t="str" cm="1">
        <f t="array" ref="O191">Common_InputFunctions.Utility_DisplayArrayInTable(Fertiliser_SourceData.Fertiliser_Products_Data4(),FertiliserProducts[[#Headers],[Company]], 91)</f>
        <v>Nitrogen - Generic</v>
      </c>
      <c r="P191" s="215" cm="1">
        <f t="array" ref="P191">Common_InputFunctions.Utility_DisplayArrayInTable(Fertiliser_SourceData.Fertiliser_Products_Data4(),FertiliserProducts[[#Headers],[Company]], 91)</f>
        <v>0.25900000000000001</v>
      </c>
      <c r="Q191" s="215" t="str" cm="1">
        <f t="array" ref="Q191">Common_InputFunctions.Utility_DisplayArrayInTable(Fertiliser_SourceData.Fertiliser_Products_Data4(),FertiliserProducts[[#Headers],[Company]], 91)</f>
        <v>Phosphorus - Generic</v>
      </c>
      <c r="R191" s="215" cm="1">
        <f t="array" ref="R191">Common_InputFunctions.Utility_DisplayArrayInTable(Fertiliser_SourceData.Fertiliser_Products_Data4(),FertiliserProducts[[#Headers],[Company]], 91)</f>
        <v>3.9E-2</v>
      </c>
      <c r="S191" s="215" t="str" cm="1">
        <f t="array" ref="S191">Common_InputFunctions.Utility_DisplayArrayInTable(Fertiliser_SourceData.Fertiliser_Products_Data4(),FertiliserProducts[[#Headers],[Company]], 91)</f>
        <v>Potassium - Generic</v>
      </c>
      <c r="T191" s="215" cm="1">
        <f t="array" ref="T191">Common_InputFunctions.Utility_DisplayArrayInTable(Fertiliser_SourceData.Fertiliser_Products_Data4(),FertiliserProducts[[#Headers],[Company]], 91)</f>
        <v>0.159</v>
      </c>
      <c r="U191" s="215" t="str" cm="1">
        <f t="array" ref="U191">Common_InputFunctions.Utility_DisplayArrayInTable(Fertiliser_SourceData.Fertiliser_Products_Data4(),FertiliserProducts[[#Headers],[Company]], 91)</f>
        <v>Sulfur - Generic</v>
      </c>
      <c r="V191" s="215" cm="1">
        <f t="array" ref="V191">Common_InputFunctions.Utility_DisplayArrayInTable(Fertiliser_SourceData.Fertiliser_Products_Data4(),FertiliserProducts[[#Headers],[Company]], 91)</f>
        <v>3.0000000000000001E-3</v>
      </c>
      <c r="W191" s="215" t="str" cm="1">
        <f t="array" ref="W191">Common_InputFunctions.Utility_DisplayArrayInTable(Fertiliser_SourceData.Fertiliser_Products_Data4(),FertiliserProducts[[#Headers],[Company]], 91)</f>
        <v/>
      </c>
      <c r="X191" s="215" t="str" cm="1">
        <f t="array" ref="X191">Common_InputFunctions.Utility_DisplayArrayInTable(Fertiliser_SourceData.Fertiliser_Products_Data4(),FertiliserProducts[[#Headers],[Company]], 91)</f>
        <v/>
      </c>
      <c r="Y191" s="215" t="str" cm="1">
        <f t="array" ref="Y191">Common_InputFunctions.Utility_DisplayArrayInTable(Fertiliser_SourceData.Fertiliser_Products_Data4(),FertiliserProducts[[#Headers],[Company]], 91)</f>
        <v/>
      </c>
      <c r="Z191" s="215" t="str" cm="1">
        <f t="array" ref="Z191">Common_InputFunctions.Utility_DisplayArrayInTable(Fertiliser_SourceData.Fertiliser_Products_Data4(),FertiliserProducts[[#Headers],[Company]], 91)</f>
        <v/>
      </c>
      <c r="AA191" s="215" t="str" cm="1">
        <f t="array" ref="AA191">Common_InputFunctions.Utility_DisplayArrayInTable(Fertiliser_SourceData.Fertiliser_Products_Data4(),FertiliserProducts[[#Headers],[Company]], 91)</f>
        <v/>
      </c>
      <c r="AB191" s="215" t="str" cm="1">
        <f t="array" ref="AB191">Common_InputFunctions.Utility_DisplayArrayInTable(Fertiliser_SourceData.Fertiliser_Products_Data4(),FertiliserProducts[[#Headers],[Company]], 91)</f>
        <v/>
      </c>
      <c r="AC191" s="215" t="str" cm="1">
        <f t="array" ref="AC191">Common_InputFunctions.Utility_DisplayArrayInTable(Fertiliser_SourceData.Fertiliser_Products_Data4(),FertiliserProducts[[#Headers],[Company]], 91)</f>
        <v/>
      </c>
      <c r="AD191" s="215" t="str" cm="1">
        <f t="array" ref="AD191">Common_InputFunctions.Utility_DisplayArrayInTable(Fertiliser_SourceData.Fertiliser_Products_Data4(),FertiliserProducts[[#Headers],[Company]], 91)</f>
        <v/>
      </c>
      <c r="AE191" s="215" t="str" cm="1">
        <f t="array" ref="AE191">Common_InputFunctions.Utility_DisplayArrayInTable(Fertiliser_SourceData.Fertiliser_Products_Data4(),FertiliserProducts[[#Headers],[Company]], 91)</f>
        <v/>
      </c>
      <c r="AF191" s="215" t="str" cm="1">
        <f t="array" ref="AF191">Common_InputFunctions.Utility_DisplayArrayInTable(Fertiliser_SourceData.Fertiliser_Products_Data4(),FertiliserProducts[[#Headers],[Company]], 91)</f>
        <v/>
      </c>
      <c r="AG191" s="215" t="str" cm="1">
        <f t="array" ref="AG191">Common_InputFunctions.Utility_DisplayArrayInTable(Fertiliser_SourceData.Fertiliser_Products_Data4(),FertiliserProducts[[#Headers],[Company]], 91)</f>
        <v/>
      </c>
      <c r="AH191" s="215" t="str" cm="1">
        <f t="array" ref="AH191">Common_InputFunctions.Utility_DisplayArrayInTable(Fertiliser_SourceData.Fertiliser_Products_Data4(),FertiliserProducts[[#Headers],[Company]], 91)</f>
        <v/>
      </c>
    </row>
    <row r="192" spans="4:34" ht="20.100000000000001" customHeight="1" x14ac:dyDescent="0.25">
      <c r="D192" s="215" t="str" cm="1">
        <f t="array" ref="D192">Common_InputFunctions.Utility_DisplayArrayInTable(Fertiliser_SourceData.Fertiliser_Products_Data4(),FertiliserProducts[[#Headers],[Company]], 91)</f>
        <v>Yara Australia</v>
      </c>
      <c r="E192" s="215" t="str" cm="1">
        <f t="array" ref="E192">Common_InputFunctions.Utility_DisplayArrayInTable(Fertiliser_SourceData.Fertiliser_Products_Data4(),FertiliserProducts[[#Headers],[Company]], 91)</f>
        <v>YaraMila ACTYVA S</v>
      </c>
      <c r="F192" s="215" t="str" cm="1">
        <f t="array" ref="F192">Common_InputFunctions.Utility_DisplayArrayInTable(Fertiliser_SourceData.Fertiliser_Products_Data4(),FertiliserProducts[[#Headers],[Company]], 91)</f>
        <v>kg</v>
      </c>
      <c r="G192" s="215" cm="1">
        <f t="array" ref="G192">Common_InputFunctions.Utility_DisplayArrayInTable(Fertiliser_SourceData.Fertiliser_Products_Data4(),FertiliserProducts[[#Headers],[Company]], 91)</f>
        <v>1</v>
      </c>
      <c r="H192" s="215" t="str" cm="1">
        <f t="array" ref="H192">Common_InputFunctions.Utility_DisplayArrayInTable(Fertiliser_SourceData.Fertiliser_Products_Data4(),FertiliserProducts[[#Headers],[Company]], 91)</f>
        <v/>
      </c>
      <c r="I192" s="215" t="str" cm="1">
        <f t="array" ref="I192">Common_InputFunctions.Utility_DisplayArrayInTable(Fertiliser_SourceData.Fertiliser_Products_Data4(),FertiliserProducts[[#Headers],[Company]], 91)</f>
        <v/>
      </c>
      <c r="J192" s="215" t="str" cm="1">
        <f t="array" ref="J192">Common_InputFunctions.Utility_DisplayArrayInTable(Fertiliser_SourceData.Fertiliser_Products_Data4(),FertiliserProducts[[#Headers],[Company]], 91)</f>
        <v/>
      </c>
      <c r="K192" s="215" cm="1">
        <f t="array" ref="K192">Common_InputFunctions.Utility_DisplayArrayInTable(Fertiliser_SourceData.Fertiliser_Products_Data4(),FertiliserProducts[[#Headers],[Company]], 91)</f>
        <v>15.6</v>
      </c>
      <c r="L192" s="215" cm="1">
        <f t="array" ref="L192">Common_InputFunctions.Utility_DisplayArrayInTable(Fertiliser_SourceData.Fertiliser_Products_Data4(),FertiliserProducts[[#Headers],[Company]], 91)</f>
        <v>6.37</v>
      </c>
      <c r="M192" s="215" cm="1">
        <f t="array" ref="M192">Common_InputFunctions.Utility_DisplayArrayInTable(Fertiliser_SourceData.Fertiliser_Products_Data4(),FertiliserProducts[[#Headers],[Company]], 91)</f>
        <v>12.45</v>
      </c>
      <c r="N192" s="215" cm="1">
        <f t="array" ref="N192">Common_InputFunctions.Utility_DisplayArrayInTable(Fertiliser_SourceData.Fertiliser_Products_Data4(),FertiliserProducts[[#Headers],[Company]], 91)</f>
        <v>2.6</v>
      </c>
      <c r="O192" s="215" t="str" cm="1">
        <f t="array" ref="O192">Common_InputFunctions.Utility_DisplayArrayInTable(Fertiliser_SourceData.Fertiliser_Products_Data4(),FertiliserProducts[[#Headers],[Company]], 91)</f>
        <v>Nitrogen - Nitrate</v>
      </c>
      <c r="P192" s="215" cm="1">
        <f t="array" ref="P192">Common_InputFunctions.Utility_DisplayArrayInTable(Fertiliser_SourceData.Fertiliser_Products_Data4(),FertiliserProducts[[#Headers],[Company]], 91)</f>
        <v>5.8000000000000003E-2</v>
      </c>
      <c r="Q192" s="215" t="str" cm="1">
        <f t="array" ref="Q192">Common_InputFunctions.Utility_DisplayArrayInTable(Fertiliser_SourceData.Fertiliser_Products_Data4(),FertiliserProducts[[#Headers],[Company]], 91)</f>
        <v>Nitrogen - Ammoniacal</v>
      </c>
      <c r="R192" s="215" cm="1">
        <f t="array" ref="R192">Common_InputFunctions.Utility_DisplayArrayInTable(Fertiliser_SourceData.Fertiliser_Products_Data4(),FertiliserProducts[[#Headers],[Company]], 91)</f>
        <v>9.8000000000000004E-2</v>
      </c>
      <c r="S192" s="215" t="str" cm="1">
        <f t="array" ref="S192">Common_InputFunctions.Utility_DisplayArrayInTable(Fertiliser_SourceData.Fertiliser_Products_Data4(),FertiliserProducts[[#Headers],[Company]], 91)</f>
        <v>Phosphorus - Generic</v>
      </c>
      <c r="T192" s="215" cm="1">
        <f t="array" ref="T192">Common_InputFunctions.Utility_DisplayArrayInTable(Fertiliser_SourceData.Fertiliser_Products_Data4(),FertiliserProducts[[#Headers],[Company]], 91)</f>
        <v>6.3714000000000007E-2</v>
      </c>
      <c r="U192" s="215" t="str" cm="1">
        <f t="array" ref="U192">Common_InputFunctions.Utility_DisplayArrayInTable(Fertiliser_SourceData.Fertiliser_Products_Data4(),FertiliserProducts[[#Headers],[Company]], 91)</f>
        <v>Potassium - Generic</v>
      </c>
      <c r="V192" s="215" cm="1">
        <f t="array" ref="V192">Common_InputFunctions.Utility_DisplayArrayInTable(Fertiliser_SourceData.Fertiliser_Products_Data4(),FertiliserProducts[[#Headers],[Company]], 91)</f>
        <v>0.124515</v>
      </c>
      <c r="W192" s="215" t="str" cm="1">
        <f t="array" ref="W192">Common_InputFunctions.Utility_DisplayArrayInTable(Fertiliser_SourceData.Fertiliser_Products_Data4(),FertiliserProducts[[#Headers],[Company]], 91)</f>
        <v>Sulfur - Generic</v>
      </c>
      <c r="X192" s="215" cm="1">
        <f t="array" ref="X192">Common_InputFunctions.Utility_DisplayArrayInTable(Fertiliser_SourceData.Fertiliser_Products_Data4(),FertiliserProducts[[#Headers],[Company]], 91)</f>
        <v>2.5999999999999999E-2</v>
      </c>
      <c r="Y192" s="215" t="str" cm="1">
        <f t="array" ref="Y192">Common_InputFunctions.Utility_DisplayArrayInTable(Fertiliser_SourceData.Fertiliser_Products_Data4(),FertiliserProducts[[#Headers],[Company]], 91)</f>
        <v/>
      </c>
      <c r="Z192" s="215" t="str" cm="1">
        <f t="array" ref="Z192">Common_InputFunctions.Utility_DisplayArrayInTable(Fertiliser_SourceData.Fertiliser_Products_Data4(),FertiliserProducts[[#Headers],[Company]], 91)</f>
        <v/>
      </c>
      <c r="AA192" s="215" t="str" cm="1">
        <f t="array" ref="AA192">Common_InputFunctions.Utility_DisplayArrayInTable(Fertiliser_SourceData.Fertiliser_Products_Data4(),FertiliserProducts[[#Headers],[Company]], 91)</f>
        <v/>
      </c>
      <c r="AB192" s="215" t="str" cm="1">
        <f t="array" ref="AB192">Common_InputFunctions.Utility_DisplayArrayInTable(Fertiliser_SourceData.Fertiliser_Products_Data4(),FertiliserProducts[[#Headers],[Company]], 91)</f>
        <v/>
      </c>
      <c r="AC192" s="215" t="str" cm="1">
        <f t="array" ref="AC192">Common_InputFunctions.Utility_DisplayArrayInTable(Fertiliser_SourceData.Fertiliser_Products_Data4(),FertiliserProducts[[#Headers],[Company]], 91)</f>
        <v/>
      </c>
      <c r="AD192" s="215" t="str" cm="1">
        <f t="array" ref="AD192">Common_InputFunctions.Utility_DisplayArrayInTable(Fertiliser_SourceData.Fertiliser_Products_Data4(),FertiliserProducts[[#Headers],[Company]], 91)</f>
        <v/>
      </c>
      <c r="AE192" s="215" t="str" cm="1">
        <f t="array" ref="AE192">Common_InputFunctions.Utility_DisplayArrayInTable(Fertiliser_SourceData.Fertiliser_Products_Data4(),FertiliserProducts[[#Headers],[Company]], 91)</f>
        <v/>
      </c>
      <c r="AF192" s="215" t="str" cm="1">
        <f t="array" ref="AF192">Common_InputFunctions.Utility_DisplayArrayInTable(Fertiliser_SourceData.Fertiliser_Products_Data4(),FertiliserProducts[[#Headers],[Company]], 91)</f>
        <v/>
      </c>
      <c r="AG192" s="215" t="str" cm="1">
        <f t="array" ref="AG192">Common_InputFunctions.Utility_DisplayArrayInTable(Fertiliser_SourceData.Fertiliser_Products_Data4(),FertiliserProducts[[#Headers],[Company]], 91)</f>
        <v/>
      </c>
      <c r="AH192" s="215" t="str" cm="1">
        <f t="array" ref="AH192">Common_InputFunctions.Utility_DisplayArrayInTable(Fertiliser_SourceData.Fertiliser_Products_Data4(),FertiliserProducts[[#Headers],[Company]], 91)</f>
        <v/>
      </c>
    </row>
    <row r="193" spans="4:34" ht="20.100000000000001" customHeight="1" x14ac:dyDescent="0.25">
      <c r="D193" s="215" t="str" cm="1">
        <f t="array" ref="D193">Common_InputFunctions.Utility_DisplayArrayInTable(Fertiliser_SourceData.Fertiliser_Products_Data4(),FertiliserProducts[[#Headers],[Company]], 91)</f>
        <v>CSBP</v>
      </c>
      <c r="E193" s="215" t="str" cm="1">
        <f t="array" ref="E193">Common_InputFunctions.Utility_DisplayArrayInTable(Fertiliser_SourceData.Fertiliser_Products_Data4(),FertiliserProducts[[#Headers],[Company]], 91)</f>
        <v>Agflow Extra</v>
      </c>
      <c r="F193" s="215" t="str" cm="1">
        <f t="array" ref="F193">Common_InputFunctions.Utility_DisplayArrayInTable(Fertiliser_SourceData.Fertiliser_Products_Data4(),FertiliserProducts[[#Headers],[Company]], 91)</f>
        <v>kg</v>
      </c>
      <c r="G193" s="215" cm="1">
        <f t="array" ref="G193">Common_InputFunctions.Utility_DisplayArrayInTable(Fertiliser_SourceData.Fertiliser_Products_Data4(),FertiliserProducts[[#Headers],[Company]], 91)</f>
        <v>1</v>
      </c>
      <c r="H193" s="215" t="str" cm="1">
        <f t="array" ref="H193">Common_InputFunctions.Utility_DisplayArrayInTable(Fertiliser_SourceData.Fertiliser_Products_Data4(),FertiliserProducts[[#Headers],[Company]], 91)</f>
        <v/>
      </c>
      <c r="I193" s="215" t="str" cm="1">
        <f t="array" ref="I193">Common_InputFunctions.Utility_DisplayArrayInTable(Fertiliser_SourceData.Fertiliser_Products_Data4(),FertiliserProducts[[#Headers],[Company]], 91)</f>
        <v/>
      </c>
      <c r="J193" s="215" t="str" cm="1">
        <f t="array" ref="J193">Common_InputFunctions.Utility_DisplayArrayInTable(Fertiliser_SourceData.Fertiliser_Products_Data4(),FertiliserProducts[[#Headers],[Company]], 91)</f>
        <v/>
      </c>
      <c r="K193" s="215" cm="1">
        <f t="array" ref="K193">Common_InputFunctions.Utility_DisplayArrayInTable(Fertiliser_SourceData.Fertiliser_Products_Data4(),FertiliserProducts[[#Headers],[Company]], 91)</f>
        <v>11.15</v>
      </c>
      <c r="L193" s="215" cm="1">
        <f t="array" ref="L193">Common_InputFunctions.Utility_DisplayArrayInTable(Fertiliser_SourceData.Fertiliser_Products_Data4(),FertiliserProducts[[#Headers],[Company]], 91)</f>
        <v>17.52</v>
      </c>
      <c r="M193" s="215" t="str" cm="1">
        <f t="array" ref="M193">Common_InputFunctions.Utility_DisplayArrayInTable(Fertiliser_SourceData.Fertiliser_Products_Data4(),FertiliserProducts[[#Headers],[Company]], 91)</f>
        <v/>
      </c>
      <c r="N193" s="215" cm="1">
        <f t="array" ref="N193">Common_InputFunctions.Utility_DisplayArrayInTable(Fertiliser_SourceData.Fertiliser_Products_Data4(),FertiliserProducts[[#Headers],[Company]], 91)</f>
        <v>3.6</v>
      </c>
      <c r="O193" s="215" t="str" cm="1">
        <f t="array" ref="O193">Common_InputFunctions.Utility_DisplayArrayInTable(Fertiliser_SourceData.Fertiliser_Products_Data4(),FertiliserProducts[[#Headers],[Company]], 91)</f>
        <v>Monoammonium phosphate (MAP)</v>
      </c>
      <c r="P193" s="215" cm="1">
        <f t="array" ref="P193">Common_InputFunctions.Utility_DisplayArrayInTable(Fertiliser_SourceData.Fertiliser_Products_Data4(),FertiliserProducts[[#Headers],[Company]], 91)</f>
        <v>0.8</v>
      </c>
      <c r="Q193" s="215" t="str" cm="1">
        <f t="array" ref="Q193">Common_InputFunctions.Utility_DisplayArrayInTable(Fertiliser_SourceData.Fertiliser_Products_Data4(),FertiliserProducts[[#Headers],[Company]], 91)</f>
        <v>Sulphate of ammonia (SOA)</v>
      </c>
      <c r="R193" s="215" cm="1">
        <f t="array" ref="R193">Common_InputFunctions.Utility_DisplayArrayInTable(Fertiliser_SourceData.Fertiliser_Products_Data4(),FertiliserProducts[[#Headers],[Company]], 91)</f>
        <v>0.15</v>
      </c>
      <c r="S193" s="215" t="str" cm="1">
        <f t="array" ref="S193">Common_InputFunctions.Utility_DisplayArrayInTable(Fertiliser_SourceData.Fertiliser_Products_Data4(),FertiliserProducts[[#Headers],[Company]], 91)</f>
        <v>Copper</v>
      </c>
      <c r="T193" s="215" t="str" cm="1">
        <f t="array" ref="T193">Common_InputFunctions.Utility_DisplayArrayInTable(Fertiliser_SourceData.Fertiliser_Products_Data4(),FertiliserProducts[[#Headers],[Company]], 91)</f>
        <v>No data</v>
      </c>
      <c r="U193" s="215" t="str" cm="1">
        <f t="array" ref="U193">Common_InputFunctions.Utility_DisplayArrayInTable(Fertiliser_SourceData.Fertiliser_Products_Data4(),FertiliserProducts[[#Headers],[Company]], 91)</f>
        <v>Molybdenum</v>
      </c>
      <c r="V193" s="215" t="str" cm="1">
        <f t="array" ref="V193">Common_InputFunctions.Utility_DisplayArrayInTable(Fertiliser_SourceData.Fertiliser_Products_Data4(),FertiliserProducts[[#Headers],[Company]], 91)</f>
        <v>No data</v>
      </c>
      <c r="W193" s="215" t="str" cm="1">
        <f t="array" ref="W193">Common_InputFunctions.Utility_DisplayArrayInTable(Fertiliser_SourceData.Fertiliser_Products_Data4(),FertiliserProducts[[#Headers],[Company]], 91)</f>
        <v>Zinc</v>
      </c>
      <c r="X193" s="215" t="str" cm="1">
        <f t="array" ref="X193">Common_InputFunctions.Utility_DisplayArrayInTable(Fertiliser_SourceData.Fertiliser_Products_Data4(),FertiliserProducts[[#Headers],[Company]], 91)</f>
        <v>No data</v>
      </c>
      <c r="Y193" s="215" t="str" cm="1">
        <f t="array" ref="Y193">Common_InputFunctions.Utility_DisplayArrayInTable(Fertiliser_SourceData.Fertiliser_Products_Data4(),FertiliserProducts[[#Headers],[Company]], 91)</f>
        <v/>
      </c>
      <c r="Z193" s="215" t="str" cm="1">
        <f t="array" ref="Z193">Common_InputFunctions.Utility_DisplayArrayInTable(Fertiliser_SourceData.Fertiliser_Products_Data4(),FertiliserProducts[[#Headers],[Company]], 91)</f>
        <v/>
      </c>
      <c r="AA193" s="215" t="str" cm="1">
        <f t="array" ref="AA193">Common_InputFunctions.Utility_DisplayArrayInTable(Fertiliser_SourceData.Fertiliser_Products_Data4(),FertiliserProducts[[#Headers],[Company]], 91)</f>
        <v/>
      </c>
      <c r="AB193" s="215" t="str" cm="1">
        <f t="array" ref="AB193">Common_InputFunctions.Utility_DisplayArrayInTable(Fertiliser_SourceData.Fertiliser_Products_Data4(),FertiliserProducts[[#Headers],[Company]], 91)</f>
        <v/>
      </c>
      <c r="AC193" s="215" t="str" cm="1">
        <f t="array" ref="AC193">Common_InputFunctions.Utility_DisplayArrayInTable(Fertiliser_SourceData.Fertiliser_Products_Data4(),FertiliserProducts[[#Headers],[Company]], 91)</f>
        <v/>
      </c>
      <c r="AD193" s="215" t="str" cm="1">
        <f t="array" ref="AD193">Common_InputFunctions.Utility_DisplayArrayInTable(Fertiliser_SourceData.Fertiliser_Products_Data4(),FertiliserProducts[[#Headers],[Company]], 91)</f>
        <v/>
      </c>
      <c r="AE193" s="215" t="str" cm="1">
        <f t="array" ref="AE193">Common_InputFunctions.Utility_DisplayArrayInTable(Fertiliser_SourceData.Fertiliser_Products_Data4(),FertiliserProducts[[#Headers],[Company]], 91)</f>
        <v/>
      </c>
      <c r="AF193" s="215" t="str" cm="1">
        <f t="array" ref="AF193">Common_InputFunctions.Utility_DisplayArrayInTable(Fertiliser_SourceData.Fertiliser_Products_Data4(),FertiliserProducts[[#Headers],[Company]], 91)</f>
        <v/>
      </c>
      <c r="AG193" s="215" t="str" cm="1">
        <f t="array" ref="AG193">Common_InputFunctions.Utility_DisplayArrayInTable(Fertiliser_SourceData.Fertiliser_Products_Data4(),FertiliserProducts[[#Headers],[Company]], 91)</f>
        <v/>
      </c>
      <c r="AH193" s="215" t="str" cm="1">
        <f t="array" ref="AH193">Common_InputFunctions.Utility_DisplayArrayInTable(Fertiliser_SourceData.Fertiliser_Products_Data4(),FertiliserProducts[[#Headers],[Company]], 91)</f>
        <v/>
      </c>
    </row>
    <row r="194" spans="4:34" ht="20.100000000000001" customHeight="1" x14ac:dyDescent="0.25">
      <c r="D194" s="215" t="str" cm="1">
        <f t="array" ref="D194">Common_InputFunctions.Utility_DisplayArrayInTable(Fertiliser_SourceData.Fertiliser_Products_Data4(),FertiliserProducts[[#Headers],[Company]], 91)</f>
        <v>CSBP</v>
      </c>
      <c r="E194" s="215" t="str" cm="1">
        <f t="array" ref="E194">Common_InputFunctions.Utility_DisplayArrayInTable(Fertiliser_SourceData.Fertiliser_Products_Data4(),FertiliserProducts[[#Headers],[Company]], 91)</f>
        <v>Super &amp; Potash 3:1</v>
      </c>
      <c r="F194" s="215" t="str" cm="1">
        <f t="array" ref="F194">Common_InputFunctions.Utility_DisplayArrayInTable(Fertiliser_SourceData.Fertiliser_Products_Data4(),FertiliserProducts[[#Headers],[Company]], 91)</f>
        <v>kg</v>
      </c>
      <c r="G194" s="215" cm="1">
        <f t="array" ref="G194">Common_InputFunctions.Utility_DisplayArrayInTable(Fertiliser_SourceData.Fertiliser_Products_Data4(),FertiliserProducts[[#Headers],[Company]], 91)</f>
        <v>1</v>
      </c>
      <c r="H194" s="215" t="str" cm="1">
        <f t="array" ref="H194">Common_InputFunctions.Utility_DisplayArrayInTable(Fertiliser_SourceData.Fertiliser_Products_Data4(),FertiliserProducts[[#Headers],[Company]], 91)</f>
        <v/>
      </c>
      <c r="I194" s="215" t="str" cm="1">
        <f t="array" ref="I194">Common_InputFunctions.Utility_DisplayArrayInTable(Fertiliser_SourceData.Fertiliser_Products_Data4(),FertiliserProducts[[#Headers],[Company]], 91)</f>
        <v/>
      </c>
      <c r="J194" s="215" t="str" cm="1">
        <f t="array" ref="J194">Common_InputFunctions.Utility_DisplayArrayInTable(Fertiliser_SourceData.Fertiliser_Products_Data4(),FertiliserProducts[[#Headers],[Company]], 91)</f>
        <v/>
      </c>
      <c r="K194" s="215" t="str" cm="1">
        <f t="array" ref="K194">Common_InputFunctions.Utility_DisplayArrayInTable(Fertiliser_SourceData.Fertiliser_Products_Data4(),FertiliserProducts[[#Headers],[Company]], 91)</f>
        <v/>
      </c>
      <c r="L194" s="215" cm="1">
        <f t="array" ref="L194">Common_InputFunctions.Utility_DisplayArrayInTable(Fertiliser_SourceData.Fertiliser_Products_Data4(),FertiliserProducts[[#Headers],[Company]], 91)</f>
        <v>5.5</v>
      </c>
      <c r="M194" s="215" cm="1">
        <f t="array" ref="M194">Common_InputFunctions.Utility_DisplayArrayInTable(Fertiliser_SourceData.Fertiliser_Products_Data4(),FertiliserProducts[[#Headers],[Company]], 91)</f>
        <v>15</v>
      </c>
      <c r="N194" s="215" cm="1">
        <f t="array" ref="N194">Common_InputFunctions.Utility_DisplayArrayInTable(Fertiliser_SourceData.Fertiliser_Products_Data4(),FertiliserProducts[[#Headers],[Company]], 91)</f>
        <v>6.88</v>
      </c>
      <c r="O194" s="215" t="str" cm="1">
        <f t="array" ref="O194">Common_InputFunctions.Utility_DisplayArrayInTable(Fertiliser_SourceData.Fertiliser_Products_Data4(),FertiliserProducts[[#Headers],[Company]], 91)</f>
        <v>Single superphosphate (SSP)</v>
      </c>
      <c r="P194" s="215" cm="1">
        <f t="array" ref="P194">Common_InputFunctions.Utility_DisplayArrayInTable(Fertiliser_SourceData.Fertiliser_Products_Data4(),FertiliserProducts[[#Headers],[Company]], 91)</f>
        <v>0.625</v>
      </c>
      <c r="Q194" s="215" t="str" cm="1">
        <f t="array" ref="Q194">Common_InputFunctions.Utility_DisplayArrayInTable(Fertiliser_SourceData.Fertiliser_Products_Data4(),FertiliserProducts[[#Headers],[Company]], 91)</f>
        <v>Muriate of potash (MOP)</v>
      </c>
      <c r="R194" s="215" cm="1">
        <f t="array" ref="R194">Common_InputFunctions.Utility_DisplayArrayInTable(Fertiliser_SourceData.Fertiliser_Products_Data4(),FertiliserProducts[[#Headers],[Company]], 91)</f>
        <v>0.3</v>
      </c>
      <c r="S194" s="215" t="str" cm="1">
        <f t="array" ref="S194">Common_InputFunctions.Utility_DisplayArrayInTable(Fertiliser_SourceData.Fertiliser_Products_Data4(),FertiliserProducts[[#Headers],[Company]], 91)</f>
        <v/>
      </c>
      <c r="T194" s="215" t="str" cm="1">
        <f t="array" ref="T194">Common_InputFunctions.Utility_DisplayArrayInTable(Fertiliser_SourceData.Fertiliser_Products_Data4(),FertiliserProducts[[#Headers],[Company]], 91)</f>
        <v/>
      </c>
      <c r="U194" s="215" t="str" cm="1">
        <f t="array" ref="U194">Common_InputFunctions.Utility_DisplayArrayInTable(Fertiliser_SourceData.Fertiliser_Products_Data4(),FertiliserProducts[[#Headers],[Company]], 91)</f>
        <v/>
      </c>
      <c r="V194" s="215" t="str" cm="1">
        <f t="array" ref="V194">Common_InputFunctions.Utility_DisplayArrayInTable(Fertiliser_SourceData.Fertiliser_Products_Data4(),FertiliserProducts[[#Headers],[Company]], 91)</f>
        <v/>
      </c>
      <c r="W194" s="215" t="str" cm="1">
        <f t="array" ref="W194">Common_InputFunctions.Utility_DisplayArrayInTable(Fertiliser_SourceData.Fertiliser_Products_Data4(),FertiliserProducts[[#Headers],[Company]], 91)</f>
        <v/>
      </c>
      <c r="X194" s="215" t="str" cm="1">
        <f t="array" ref="X194">Common_InputFunctions.Utility_DisplayArrayInTable(Fertiliser_SourceData.Fertiliser_Products_Data4(),FertiliserProducts[[#Headers],[Company]], 91)</f>
        <v/>
      </c>
      <c r="Y194" s="215" t="str" cm="1">
        <f t="array" ref="Y194">Common_InputFunctions.Utility_DisplayArrayInTable(Fertiliser_SourceData.Fertiliser_Products_Data4(),FertiliserProducts[[#Headers],[Company]], 91)</f>
        <v/>
      </c>
      <c r="Z194" s="215" t="str" cm="1">
        <f t="array" ref="Z194">Common_InputFunctions.Utility_DisplayArrayInTable(Fertiliser_SourceData.Fertiliser_Products_Data4(),FertiliserProducts[[#Headers],[Company]], 91)</f>
        <v/>
      </c>
      <c r="AA194" s="215" t="str" cm="1">
        <f t="array" ref="AA194">Common_InputFunctions.Utility_DisplayArrayInTable(Fertiliser_SourceData.Fertiliser_Products_Data4(),FertiliserProducts[[#Headers],[Company]], 91)</f>
        <v/>
      </c>
      <c r="AB194" s="215" t="str" cm="1">
        <f t="array" ref="AB194">Common_InputFunctions.Utility_DisplayArrayInTable(Fertiliser_SourceData.Fertiliser_Products_Data4(),FertiliserProducts[[#Headers],[Company]], 91)</f>
        <v/>
      </c>
      <c r="AC194" s="215" t="str" cm="1">
        <f t="array" ref="AC194">Common_InputFunctions.Utility_DisplayArrayInTable(Fertiliser_SourceData.Fertiliser_Products_Data4(),FertiliserProducts[[#Headers],[Company]], 91)</f>
        <v/>
      </c>
      <c r="AD194" s="215" t="str" cm="1">
        <f t="array" ref="AD194">Common_InputFunctions.Utility_DisplayArrayInTable(Fertiliser_SourceData.Fertiliser_Products_Data4(),FertiliserProducts[[#Headers],[Company]], 91)</f>
        <v/>
      </c>
      <c r="AE194" s="215" t="str" cm="1">
        <f t="array" ref="AE194">Common_InputFunctions.Utility_DisplayArrayInTable(Fertiliser_SourceData.Fertiliser_Products_Data4(),FertiliserProducts[[#Headers],[Company]], 91)</f>
        <v/>
      </c>
      <c r="AF194" s="215" t="str" cm="1">
        <f t="array" ref="AF194">Common_InputFunctions.Utility_DisplayArrayInTable(Fertiliser_SourceData.Fertiliser_Products_Data4(),FertiliserProducts[[#Headers],[Company]], 91)</f>
        <v/>
      </c>
      <c r="AG194" s="215" t="str" cm="1">
        <f t="array" ref="AG194">Common_InputFunctions.Utility_DisplayArrayInTable(Fertiliser_SourceData.Fertiliser_Products_Data4(),FertiliserProducts[[#Headers],[Company]], 91)</f>
        <v/>
      </c>
      <c r="AH194" s="215" t="str" cm="1">
        <f t="array" ref="AH194">Common_InputFunctions.Utility_DisplayArrayInTable(Fertiliser_SourceData.Fertiliser_Products_Data4(),FertiliserProducts[[#Headers],[Company]], 91)</f>
        <v/>
      </c>
    </row>
    <row r="195" spans="4:34" ht="20.100000000000001" customHeight="1" x14ac:dyDescent="0.25">
      <c r="D195" s="215" t="str" cm="1">
        <f t="array" ref="D195">Common_InputFunctions.Utility_DisplayArrayInTable(Fertiliser_SourceData.Fertiliser_Products_Data4(),FertiliserProducts[[#Headers],[Company]], 91)</f>
        <v>Yara</v>
      </c>
      <c r="E195" s="215" t="str" cm="1">
        <f t="array" ref="E195">Common_InputFunctions.Utility_DisplayArrayInTable(Fertiliser_SourceData.Fertiliser_Products_Data4(),FertiliserProducts[[#Headers],[Company]], 91)</f>
        <v>YaraBela CAN-27</v>
      </c>
      <c r="F195" s="215" t="str" cm="1">
        <f t="array" ref="F195">Common_InputFunctions.Utility_DisplayArrayInTable(Fertiliser_SourceData.Fertiliser_Products_Data4(),FertiliserProducts[[#Headers],[Company]], 91)</f>
        <v>kg</v>
      </c>
      <c r="G195" s="215" cm="1">
        <f t="array" ref="G195">Common_InputFunctions.Utility_DisplayArrayInTable(Fertiliser_SourceData.Fertiliser_Products_Data4(),FertiliserProducts[[#Headers],[Company]], 91)</f>
        <v>1</v>
      </c>
      <c r="H195" s="215" t="str" cm="1">
        <f t="array" ref="H195">Common_InputFunctions.Utility_DisplayArrayInTable(Fertiliser_SourceData.Fertiliser_Products_Data4(),FertiliserProducts[[#Headers],[Company]], 91)</f>
        <v/>
      </c>
      <c r="I195" s="215" t="str" cm="1">
        <f t="array" ref="I195">Common_InputFunctions.Utility_DisplayArrayInTable(Fertiliser_SourceData.Fertiliser_Products_Data4(),FertiliserProducts[[#Headers],[Company]], 91)</f>
        <v/>
      </c>
      <c r="J195" s="215" t="str" cm="1">
        <f t="array" ref="J195">Common_InputFunctions.Utility_DisplayArrayInTable(Fertiliser_SourceData.Fertiliser_Products_Data4(),FertiliserProducts[[#Headers],[Company]], 91)</f>
        <v/>
      </c>
      <c r="K195" s="215" cm="1">
        <f t="array" ref="K195">Common_InputFunctions.Utility_DisplayArrayInTable(Fertiliser_SourceData.Fertiliser_Products_Data4(),FertiliserProducts[[#Headers],[Company]], 91)</f>
        <v>27</v>
      </c>
      <c r="L195" s="215" t="str" cm="1">
        <f t="array" ref="L195">Common_InputFunctions.Utility_DisplayArrayInTable(Fertiliser_SourceData.Fertiliser_Products_Data4(),FertiliserProducts[[#Headers],[Company]], 91)</f>
        <v/>
      </c>
      <c r="M195" s="215" t="str" cm="1">
        <f t="array" ref="M195">Common_InputFunctions.Utility_DisplayArrayInTable(Fertiliser_SourceData.Fertiliser_Products_Data4(),FertiliserProducts[[#Headers],[Company]], 91)</f>
        <v/>
      </c>
      <c r="N195" s="215" t="str" cm="1">
        <f t="array" ref="N195">Common_InputFunctions.Utility_DisplayArrayInTable(Fertiliser_SourceData.Fertiliser_Products_Data4(),FertiliserProducts[[#Headers],[Company]], 91)</f>
        <v/>
      </c>
      <c r="O195" s="215" t="str" cm="1">
        <f t="array" ref="O195">Common_InputFunctions.Utility_DisplayArrayInTable(Fertiliser_SourceData.Fertiliser_Products_Data4(),FertiliserProducts[[#Headers],[Company]], 91)</f>
        <v>Calcium ammonium nitrate (CAN)</v>
      </c>
      <c r="P195" s="215" cm="1">
        <f t="array" ref="P195">Common_InputFunctions.Utility_DisplayArrayInTable(Fertiliser_SourceData.Fertiliser_Products_Data4(),FertiliserProducts[[#Headers],[Company]], 91)</f>
        <v>1</v>
      </c>
      <c r="Q195" s="215" t="str" cm="1">
        <f t="array" ref="Q195">Common_InputFunctions.Utility_DisplayArrayInTable(Fertiliser_SourceData.Fertiliser_Products_Data4(),FertiliserProducts[[#Headers],[Company]], 91)</f>
        <v/>
      </c>
      <c r="R195" s="215" t="str" cm="1">
        <f t="array" ref="R195">Common_InputFunctions.Utility_DisplayArrayInTable(Fertiliser_SourceData.Fertiliser_Products_Data4(),FertiliserProducts[[#Headers],[Company]], 91)</f>
        <v/>
      </c>
      <c r="S195" s="215" t="str" cm="1">
        <f t="array" ref="S195">Common_InputFunctions.Utility_DisplayArrayInTable(Fertiliser_SourceData.Fertiliser_Products_Data4(),FertiliserProducts[[#Headers],[Company]], 91)</f>
        <v/>
      </c>
      <c r="T195" s="215" t="str" cm="1">
        <f t="array" ref="T195">Common_InputFunctions.Utility_DisplayArrayInTable(Fertiliser_SourceData.Fertiliser_Products_Data4(),FertiliserProducts[[#Headers],[Company]], 91)</f>
        <v/>
      </c>
      <c r="U195" s="215" t="str" cm="1">
        <f t="array" ref="U195">Common_InputFunctions.Utility_DisplayArrayInTable(Fertiliser_SourceData.Fertiliser_Products_Data4(),FertiliserProducts[[#Headers],[Company]], 91)</f>
        <v/>
      </c>
      <c r="V195" s="215" t="str" cm="1">
        <f t="array" ref="V195">Common_InputFunctions.Utility_DisplayArrayInTable(Fertiliser_SourceData.Fertiliser_Products_Data4(),FertiliserProducts[[#Headers],[Company]], 91)</f>
        <v/>
      </c>
      <c r="W195" s="215" t="str" cm="1">
        <f t="array" ref="W195">Common_InputFunctions.Utility_DisplayArrayInTable(Fertiliser_SourceData.Fertiliser_Products_Data4(),FertiliserProducts[[#Headers],[Company]], 91)</f>
        <v/>
      </c>
      <c r="X195" s="215" t="str" cm="1">
        <f t="array" ref="X195">Common_InputFunctions.Utility_DisplayArrayInTable(Fertiliser_SourceData.Fertiliser_Products_Data4(),FertiliserProducts[[#Headers],[Company]], 91)</f>
        <v/>
      </c>
      <c r="Y195" s="215" t="str" cm="1">
        <f t="array" ref="Y195">Common_InputFunctions.Utility_DisplayArrayInTable(Fertiliser_SourceData.Fertiliser_Products_Data4(),FertiliserProducts[[#Headers],[Company]], 91)</f>
        <v/>
      </c>
      <c r="Z195" s="215" t="str" cm="1">
        <f t="array" ref="Z195">Common_InputFunctions.Utility_DisplayArrayInTable(Fertiliser_SourceData.Fertiliser_Products_Data4(),FertiliserProducts[[#Headers],[Company]], 91)</f>
        <v/>
      </c>
      <c r="AA195" s="215" t="str" cm="1">
        <f t="array" ref="AA195">Common_InputFunctions.Utility_DisplayArrayInTable(Fertiliser_SourceData.Fertiliser_Products_Data4(),FertiliserProducts[[#Headers],[Company]], 91)</f>
        <v/>
      </c>
      <c r="AB195" s="215" t="str" cm="1">
        <f t="array" ref="AB195">Common_InputFunctions.Utility_DisplayArrayInTable(Fertiliser_SourceData.Fertiliser_Products_Data4(),FertiliserProducts[[#Headers],[Company]], 91)</f>
        <v/>
      </c>
      <c r="AC195" s="215" t="str" cm="1">
        <f t="array" ref="AC195">Common_InputFunctions.Utility_DisplayArrayInTable(Fertiliser_SourceData.Fertiliser_Products_Data4(),FertiliserProducts[[#Headers],[Company]], 91)</f>
        <v/>
      </c>
      <c r="AD195" s="215" t="str" cm="1">
        <f t="array" ref="AD195">Common_InputFunctions.Utility_DisplayArrayInTable(Fertiliser_SourceData.Fertiliser_Products_Data4(),FertiliserProducts[[#Headers],[Company]], 91)</f>
        <v/>
      </c>
      <c r="AE195" s="215" t="str" cm="1">
        <f t="array" ref="AE195">Common_InputFunctions.Utility_DisplayArrayInTable(Fertiliser_SourceData.Fertiliser_Products_Data4(),FertiliserProducts[[#Headers],[Company]], 91)</f>
        <v/>
      </c>
      <c r="AF195" s="215" t="str" cm="1">
        <f t="array" ref="AF195">Common_InputFunctions.Utility_DisplayArrayInTable(Fertiliser_SourceData.Fertiliser_Products_Data4(),FertiliserProducts[[#Headers],[Company]], 91)</f>
        <v/>
      </c>
      <c r="AG195" s="215" t="str" cm="1">
        <f t="array" ref="AG195">Common_InputFunctions.Utility_DisplayArrayInTable(Fertiliser_SourceData.Fertiliser_Products_Data4(),FertiliserProducts[[#Headers],[Company]], 91)</f>
        <v/>
      </c>
      <c r="AH195" s="215" t="str" cm="1">
        <f t="array" ref="AH195">Common_InputFunctions.Utility_DisplayArrayInTable(Fertiliser_SourceData.Fertiliser_Products_Data4(),FertiliserProducts[[#Headers],[Company]], 91)</f>
        <v/>
      </c>
    </row>
    <row r="196" spans="4:34" ht="20.100000000000001" customHeight="1" x14ac:dyDescent="0.25">
      <c r="D196" s="215" t="str" cm="1">
        <f t="array" ref="D196">Common_InputFunctions.Utility_DisplayArrayInTable(Fertiliser_SourceData.Fertiliser_Products_Data4(),FertiliserProducts[[#Headers],[Company]], 91)</f>
        <v>Incitec Pivot Fertilisers</v>
      </c>
      <c r="E196" s="215" t="str" cm="1">
        <f t="array" ref="E196">Common_InputFunctions.Utility_DisplayArrayInTable(Fertiliser_SourceData.Fertiliser_Products_Data4(),FertiliserProducts[[#Headers],[Company]], 91)</f>
        <v>Cal-Gran Aftergraze</v>
      </c>
      <c r="F196" s="215" t="str" cm="1">
        <f t="array" ref="F196">Common_InputFunctions.Utility_DisplayArrayInTable(Fertiliser_SourceData.Fertiliser_Products_Data4(),FertiliserProducts[[#Headers],[Company]], 91)</f>
        <v>kg</v>
      </c>
      <c r="G196" s="215" cm="1">
        <f t="array" ref="G196">Common_InputFunctions.Utility_DisplayArrayInTable(Fertiliser_SourceData.Fertiliser_Products_Data4(),FertiliserProducts[[#Headers],[Company]], 91)</f>
        <v>1</v>
      </c>
      <c r="H196" s="215" t="str" cm="1">
        <f t="array" ref="H196">Common_InputFunctions.Utility_DisplayArrayInTable(Fertiliser_SourceData.Fertiliser_Products_Data4(),FertiliserProducts[[#Headers],[Company]], 91)</f>
        <v/>
      </c>
      <c r="I196" s="215" t="str" cm="1">
        <f t="array" ref="I196">Common_InputFunctions.Utility_DisplayArrayInTable(Fertiliser_SourceData.Fertiliser_Products_Data4(),FertiliserProducts[[#Headers],[Company]], 91)</f>
        <v/>
      </c>
      <c r="J196" s="215" t="str" cm="1">
        <f t="array" ref="J196">Common_InputFunctions.Utility_DisplayArrayInTable(Fertiliser_SourceData.Fertiliser_Products_Data4(),FertiliserProducts[[#Headers],[Company]], 91)</f>
        <v/>
      </c>
      <c r="K196" s="215" cm="1">
        <f t="array" ref="K196">Common_InputFunctions.Utility_DisplayArrayInTable(Fertiliser_SourceData.Fertiliser_Products_Data4(),FertiliserProducts[[#Headers],[Company]], 91)</f>
        <v>20.6</v>
      </c>
      <c r="L196" s="215" cm="1">
        <f t="array" ref="L196">Common_InputFunctions.Utility_DisplayArrayInTable(Fertiliser_SourceData.Fertiliser_Products_Data4(),FertiliserProducts[[#Headers],[Company]], 91)</f>
        <v>3</v>
      </c>
      <c r="M196" s="215" cm="1">
        <f t="array" ref="M196">Common_InputFunctions.Utility_DisplayArrayInTable(Fertiliser_SourceData.Fertiliser_Products_Data4(),FertiliserProducts[[#Headers],[Company]], 91)</f>
        <v>7.5</v>
      </c>
      <c r="N196" s="215" cm="1">
        <f t="array" ref="N196">Common_InputFunctions.Utility_DisplayArrayInTable(Fertiliser_SourceData.Fertiliser_Products_Data4(),FertiliserProducts[[#Headers],[Company]], 91)</f>
        <v>3.8</v>
      </c>
      <c r="O196" s="215" t="str" cm="1">
        <f t="array" ref="O196">Common_InputFunctions.Utility_DisplayArrayInTable(Fertiliser_SourceData.Fertiliser_Products_Data4(),FertiliserProducts[[#Headers],[Company]], 91)</f>
        <v>Nitrogen - Nitrate</v>
      </c>
      <c r="P196" s="215" cm="1">
        <f t="array" ref="P196">Common_InputFunctions.Utility_DisplayArrayInTable(Fertiliser_SourceData.Fertiliser_Products_Data4(),FertiliserProducts[[#Headers],[Company]], 91)</f>
        <v>6.4000000000000001E-2</v>
      </c>
      <c r="Q196" s="215" t="str" cm="1">
        <f t="array" ref="Q196">Common_InputFunctions.Utility_DisplayArrayInTable(Fertiliser_SourceData.Fertiliser_Products_Data4(),FertiliserProducts[[#Headers],[Company]], 91)</f>
        <v>Nitrogen - Ammoniacal</v>
      </c>
      <c r="R196" s="215" cm="1">
        <f t="array" ref="R196">Common_InputFunctions.Utility_DisplayArrayInTable(Fertiliser_SourceData.Fertiliser_Products_Data4(),FertiliserProducts[[#Headers],[Company]], 91)</f>
        <v>0.14199999999999999</v>
      </c>
      <c r="S196" s="215" t="str" cm="1">
        <f t="array" ref="S196">Common_InputFunctions.Utility_DisplayArrayInTable(Fertiliser_SourceData.Fertiliser_Products_Data4(),FertiliserProducts[[#Headers],[Company]], 91)</f>
        <v>Phosphorus - Generic</v>
      </c>
      <c r="T196" s="215" cm="1">
        <f t="array" ref="T196">Common_InputFunctions.Utility_DisplayArrayInTable(Fertiliser_SourceData.Fertiliser_Products_Data4(),FertiliserProducts[[#Headers],[Company]], 91)</f>
        <v>0.03</v>
      </c>
      <c r="U196" s="215" t="str" cm="1">
        <f t="array" ref="U196">Common_InputFunctions.Utility_DisplayArrayInTable(Fertiliser_SourceData.Fertiliser_Products_Data4(),FertiliserProducts[[#Headers],[Company]], 91)</f>
        <v>Potassium - Generic</v>
      </c>
      <c r="V196" s="215" cm="1">
        <f t="array" ref="V196">Common_InputFunctions.Utility_DisplayArrayInTable(Fertiliser_SourceData.Fertiliser_Products_Data4(),FertiliserProducts[[#Headers],[Company]], 91)</f>
        <v>7.4999999999999997E-2</v>
      </c>
      <c r="W196" s="215" t="str" cm="1">
        <f t="array" ref="W196">Common_InputFunctions.Utility_DisplayArrayInTable(Fertiliser_SourceData.Fertiliser_Products_Data4(),FertiliserProducts[[#Headers],[Company]], 91)</f>
        <v>Sulfur - Generic</v>
      </c>
      <c r="X196" s="215" cm="1">
        <f t="array" ref="X196">Common_InputFunctions.Utility_DisplayArrayInTable(Fertiliser_SourceData.Fertiliser_Products_Data4(),FertiliserProducts[[#Headers],[Company]], 91)</f>
        <v>3.7999999999999999E-2</v>
      </c>
      <c r="Y196" s="215" t="str" cm="1">
        <f t="array" ref="Y196">Common_InputFunctions.Utility_DisplayArrayInTable(Fertiliser_SourceData.Fertiliser_Products_Data4(),FertiliserProducts[[#Headers],[Company]], 91)</f>
        <v>Calcium</v>
      </c>
      <c r="Z196" s="215" cm="1">
        <f t="array" ref="Z196">Common_InputFunctions.Utility_DisplayArrayInTable(Fertiliser_SourceData.Fertiliser_Products_Data4(),FertiliserProducts[[#Headers],[Company]], 91)</f>
        <v>4.3999999999999997E-2</v>
      </c>
      <c r="AA196" s="215" t="str" cm="1">
        <f t="array" ref="AA196">Common_InputFunctions.Utility_DisplayArrayInTable(Fertiliser_SourceData.Fertiliser_Products_Data4(),FertiliserProducts[[#Headers],[Company]], 91)</f>
        <v/>
      </c>
      <c r="AB196" s="215" t="str" cm="1">
        <f t="array" ref="AB196">Common_InputFunctions.Utility_DisplayArrayInTable(Fertiliser_SourceData.Fertiliser_Products_Data4(),FertiliserProducts[[#Headers],[Company]], 91)</f>
        <v/>
      </c>
      <c r="AC196" s="215" t="str" cm="1">
        <f t="array" ref="AC196">Common_InputFunctions.Utility_DisplayArrayInTable(Fertiliser_SourceData.Fertiliser_Products_Data4(),FertiliserProducts[[#Headers],[Company]], 91)</f>
        <v/>
      </c>
      <c r="AD196" s="215" t="str" cm="1">
        <f t="array" ref="AD196">Common_InputFunctions.Utility_DisplayArrayInTable(Fertiliser_SourceData.Fertiliser_Products_Data4(),FertiliserProducts[[#Headers],[Company]], 91)</f>
        <v/>
      </c>
      <c r="AE196" s="215" t="str" cm="1">
        <f t="array" ref="AE196">Common_InputFunctions.Utility_DisplayArrayInTable(Fertiliser_SourceData.Fertiliser_Products_Data4(),FertiliserProducts[[#Headers],[Company]], 91)</f>
        <v/>
      </c>
      <c r="AF196" s="215" t="str" cm="1">
        <f t="array" ref="AF196">Common_InputFunctions.Utility_DisplayArrayInTable(Fertiliser_SourceData.Fertiliser_Products_Data4(),FertiliserProducts[[#Headers],[Company]], 91)</f>
        <v/>
      </c>
      <c r="AG196" s="215" t="str" cm="1">
        <f t="array" ref="AG196">Common_InputFunctions.Utility_DisplayArrayInTable(Fertiliser_SourceData.Fertiliser_Products_Data4(),FertiliserProducts[[#Headers],[Company]], 91)</f>
        <v/>
      </c>
      <c r="AH196" s="215" t="str" cm="1">
        <f t="array" ref="AH196">Common_InputFunctions.Utility_DisplayArrayInTable(Fertiliser_SourceData.Fertiliser_Products_Data4(),FertiliserProducts[[#Headers],[Company]], 91)</f>
        <v/>
      </c>
    </row>
    <row r="197" spans="4:34" ht="20.100000000000001" customHeight="1" x14ac:dyDescent="0.25">
      <c r="D197" s="215" t="str" cm="1">
        <f t="array" ref="D197">Common_InputFunctions.Utility_DisplayArrayInTable(Fertiliser_SourceData.Fertiliser_Products_Data4(),FertiliserProducts[[#Headers],[Company]], 91)</f>
        <v>Incitec Pivot Fertilisers</v>
      </c>
      <c r="E197" s="215" t="str" cm="1">
        <f t="array" ref="E197">Common_InputFunctions.Utility_DisplayArrayInTable(Fertiliser_SourceData.Fertiliser_Products_Data4(),FertiliserProducts[[#Headers],[Company]], 91)</f>
        <v>Cal-Gran Prodress</v>
      </c>
      <c r="F197" s="215" t="str" cm="1">
        <f t="array" ref="F197">Common_InputFunctions.Utility_DisplayArrayInTable(Fertiliser_SourceData.Fertiliser_Products_Data4(),FertiliserProducts[[#Headers],[Company]], 91)</f>
        <v>kg</v>
      </c>
      <c r="G197" s="215" cm="1">
        <f t="array" ref="G197">Common_InputFunctions.Utility_DisplayArrayInTable(Fertiliser_SourceData.Fertiliser_Products_Data4(),FertiliserProducts[[#Headers],[Company]], 91)</f>
        <v>1</v>
      </c>
      <c r="H197" s="215" t="str" cm="1">
        <f t="array" ref="H197">Common_InputFunctions.Utility_DisplayArrayInTable(Fertiliser_SourceData.Fertiliser_Products_Data4(),FertiliserProducts[[#Headers],[Company]], 91)</f>
        <v/>
      </c>
      <c r="I197" s="215" t="str" cm="1">
        <f t="array" ref="I197">Common_InputFunctions.Utility_DisplayArrayInTable(Fertiliser_SourceData.Fertiliser_Products_Data4(),FertiliserProducts[[#Headers],[Company]], 91)</f>
        <v/>
      </c>
      <c r="J197" s="215" t="str" cm="1">
        <f t="array" ref="J197">Common_InputFunctions.Utility_DisplayArrayInTable(Fertiliser_SourceData.Fertiliser_Products_Data4(),FertiliserProducts[[#Headers],[Company]], 91)</f>
        <v/>
      </c>
      <c r="K197" s="215" cm="1">
        <f t="array" ref="K197">Common_InputFunctions.Utility_DisplayArrayInTable(Fertiliser_SourceData.Fertiliser_Products_Data4(),FertiliserProducts[[#Headers],[Company]], 91)</f>
        <v>17.8</v>
      </c>
      <c r="L197" s="215" cm="1">
        <f t="array" ref="L197">Common_InputFunctions.Utility_DisplayArrayInTable(Fertiliser_SourceData.Fertiliser_Products_Data4(),FertiliserProducts[[#Headers],[Company]], 91)</f>
        <v>1</v>
      </c>
      <c r="M197" s="215" cm="1">
        <f t="array" ref="M197">Common_InputFunctions.Utility_DisplayArrayInTable(Fertiliser_SourceData.Fertiliser_Products_Data4(),FertiliserProducts[[#Headers],[Company]], 91)</f>
        <v>15</v>
      </c>
      <c r="N197" s="215" cm="1">
        <f t="array" ref="N197">Common_InputFunctions.Utility_DisplayArrayInTable(Fertiliser_SourceData.Fertiliser_Products_Data4(),FertiliserProducts[[#Headers],[Company]], 91)</f>
        <v>2.5</v>
      </c>
      <c r="O197" s="215" t="str" cm="1">
        <f t="array" ref="O197">Common_InputFunctions.Utility_DisplayArrayInTable(Fertiliser_SourceData.Fertiliser_Products_Data4(),FertiliserProducts[[#Headers],[Company]], 91)</f>
        <v>Nitrogen - Nitrate</v>
      </c>
      <c r="P197" s="215" cm="1">
        <f t="array" ref="P197">Common_InputFunctions.Utility_DisplayArrayInTable(Fertiliser_SourceData.Fertiliser_Products_Data4(),FertiliserProducts[[#Headers],[Company]], 91)</f>
        <v>5.5E-2</v>
      </c>
      <c r="Q197" s="215" t="str" cm="1">
        <f t="array" ref="Q197">Common_InputFunctions.Utility_DisplayArrayInTable(Fertiliser_SourceData.Fertiliser_Products_Data4(),FertiliserProducts[[#Headers],[Company]], 91)</f>
        <v>Nitrogen - Ammoniacal</v>
      </c>
      <c r="R197" s="215" cm="1">
        <f t="array" ref="R197">Common_InputFunctions.Utility_DisplayArrayInTable(Fertiliser_SourceData.Fertiliser_Products_Data4(),FertiliserProducts[[#Headers],[Company]], 91)</f>
        <v>0.123</v>
      </c>
      <c r="S197" s="215" t="str" cm="1">
        <f t="array" ref="S197">Common_InputFunctions.Utility_DisplayArrayInTable(Fertiliser_SourceData.Fertiliser_Products_Data4(),FertiliserProducts[[#Headers],[Company]], 91)</f>
        <v>Phosphorus - Generic</v>
      </c>
      <c r="T197" s="215" cm="1">
        <f t="array" ref="T197">Common_InputFunctions.Utility_DisplayArrayInTable(Fertiliser_SourceData.Fertiliser_Products_Data4(),FertiliserProducts[[#Headers],[Company]], 91)</f>
        <v>0.01</v>
      </c>
      <c r="U197" s="215" t="str" cm="1">
        <f t="array" ref="U197">Common_InputFunctions.Utility_DisplayArrayInTable(Fertiliser_SourceData.Fertiliser_Products_Data4(),FertiliserProducts[[#Headers],[Company]], 91)</f>
        <v>Potassium - Generic</v>
      </c>
      <c r="V197" s="215" cm="1">
        <f t="array" ref="V197">Common_InputFunctions.Utility_DisplayArrayInTable(Fertiliser_SourceData.Fertiliser_Products_Data4(),FertiliserProducts[[#Headers],[Company]], 91)</f>
        <v>0.15</v>
      </c>
      <c r="W197" s="215" t="str" cm="1">
        <f t="array" ref="W197">Common_InputFunctions.Utility_DisplayArrayInTable(Fertiliser_SourceData.Fertiliser_Products_Data4(),FertiliserProducts[[#Headers],[Company]], 91)</f>
        <v>Sulfur - Generic</v>
      </c>
      <c r="X197" s="215" cm="1">
        <f t="array" ref="X197">Common_InputFunctions.Utility_DisplayArrayInTable(Fertiliser_SourceData.Fertiliser_Products_Data4(),FertiliserProducts[[#Headers],[Company]], 91)</f>
        <v>2.5000000000000001E-2</v>
      </c>
      <c r="Y197" s="215" t="str" cm="1">
        <f t="array" ref="Y197">Common_InputFunctions.Utility_DisplayArrayInTable(Fertiliser_SourceData.Fertiliser_Products_Data4(),FertiliserProducts[[#Headers],[Company]], 91)</f>
        <v>Calcium</v>
      </c>
      <c r="Z197" s="215" cm="1">
        <f t="array" ref="Z197">Common_InputFunctions.Utility_DisplayArrayInTable(Fertiliser_SourceData.Fertiliser_Products_Data4(),FertiliserProducts[[#Headers],[Company]], 91)</f>
        <v>4.3999999999999997E-2</v>
      </c>
      <c r="AA197" s="215" t="str" cm="1">
        <f t="array" ref="AA197">Common_InputFunctions.Utility_DisplayArrayInTable(Fertiliser_SourceData.Fertiliser_Products_Data4(),FertiliserProducts[[#Headers],[Company]], 91)</f>
        <v/>
      </c>
      <c r="AB197" s="215" t="str" cm="1">
        <f t="array" ref="AB197">Common_InputFunctions.Utility_DisplayArrayInTable(Fertiliser_SourceData.Fertiliser_Products_Data4(),FertiliserProducts[[#Headers],[Company]], 91)</f>
        <v/>
      </c>
      <c r="AC197" s="215" t="str" cm="1">
        <f t="array" ref="AC197">Common_InputFunctions.Utility_DisplayArrayInTable(Fertiliser_SourceData.Fertiliser_Products_Data4(),FertiliserProducts[[#Headers],[Company]], 91)</f>
        <v/>
      </c>
      <c r="AD197" s="215" t="str" cm="1">
        <f t="array" ref="AD197">Common_InputFunctions.Utility_DisplayArrayInTable(Fertiliser_SourceData.Fertiliser_Products_Data4(),FertiliserProducts[[#Headers],[Company]], 91)</f>
        <v/>
      </c>
      <c r="AE197" s="215" t="str" cm="1">
        <f t="array" ref="AE197">Common_InputFunctions.Utility_DisplayArrayInTable(Fertiliser_SourceData.Fertiliser_Products_Data4(),FertiliserProducts[[#Headers],[Company]], 91)</f>
        <v/>
      </c>
      <c r="AF197" s="215" t="str" cm="1">
        <f t="array" ref="AF197">Common_InputFunctions.Utility_DisplayArrayInTable(Fertiliser_SourceData.Fertiliser_Products_Data4(),FertiliserProducts[[#Headers],[Company]], 91)</f>
        <v/>
      </c>
      <c r="AG197" s="215" t="str" cm="1">
        <f t="array" ref="AG197">Common_InputFunctions.Utility_DisplayArrayInTable(Fertiliser_SourceData.Fertiliser_Products_Data4(),FertiliserProducts[[#Headers],[Company]], 91)</f>
        <v/>
      </c>
      <c r="AH197" s="215" t="str" cm="1">
        <f t="array" ref="AH197">Common_InputFunctions.Utility_DisplayArrayInTable(Fertiliser_SourceData.Fertiliser_Products_Data4(),FertiliserProducts[[#Headers],[Company]], 91)</f>
        <v/>
      </c>
    </row>
    <row r="198" spans="4:34" ht="20.100000000000001" customHeight="1" x14ac:dyDescent="0.25">
      <c r="D198" s="215" t="str" cm="1">
        <f t="array" ref="D198">Common_InputFunctions.Utility_DisplayArrayInTable(Fertiliser_SourceData.Fertiliser_Products_Data4(),FertiliserProducts[[#Headers],[Company]], 91)</f>
        <v>Wengfu Australia</v>
      </c>
      <c r="E198" s="215" t="str" cm="1">
        <f t="array" ref="E198">Common_InputFunctions.Utility_DisplayArrayInTable(Fertiliser_SourceData.Fertiliser_Products_Data4(),FertiliserProducts[[#Headers],[Company]], 91)</f>
        <v>Wengfu PrimeZinc 10</v>
      </c>
      <c r="F198" s="215" t="str" cm="1">
        <f t="array" ref="F198">Common_InputFunctions.Utility_DisplayArrayInTable(Fertiliser_SourceData.Fertiliser_Products_Data4(),FertiliserProducts[[#Headers],[Company]], 91)</f>
        <v>kg</v>
      </c>
      <c r="G198" s="215" cm="1">
        <f t="array" ref="G198">Common_InputFunctions.Utility_DisplayArrayInTable(Fertiliser_SourceData.Fertiliser_Products_Data4(),FertiliserProducts[[#Headers],[Company]], 91)</f>
        <v>1</v>
      </c>
      <c r="H198" s="215" t="str" cm="1">
        <f t="array" ref="H198">Common_InputFunctions.Utility_DisplayArrayInTable(Fertiliser_SourceData.Fertiliser_Products_Data4(),FertiliserProducts[[#Headers],[Company]], 91)</f>
        <v/>
      </c>
      <c r="I198" s="215" t="str" cm="1">
        <f t="array" ref="I198">Common_InputFunctions.Utility_DisplayArrayInTable(Fertiliser_SourceData.Fertiliser_Products_Data4(),FertiliserProducts[[#Headers],[Company]], 91)</f>
        <v/>
      </c>
      <c r="J198" s="215" t="str" cm="1">
        <f t="array" ref="J198">Common_InputFunctions.Utility_DisplayArrayInTable(Fertiliser_SourceData.Fertiliser_Products_Data4(),FertiliserProducts[[#Headers],[Company]], 91)</f>
        <v/>
      </c>
      <c r="K198" s="215" cm="1">
        <f t="array" ref="K198">Common_InputFunctions.Utility_DisplayArrayInTable(Fertiliser_SourceData.Fertiliser_Products_Data4(),FertiliserProducts[[#Headers],[Company]], 91)</f>
        <v>10</v>
      </c>
      <c r="L198" s="215" cm="1">
        <f t="array" ref="L198">Common_InputFunctions.Utility_DisplayArrayInTable(Fertiliser_SourceData.Fertiliser_Products_Data4(),FertiliserProducts[[#Headers],[Company]], 91)</f>
        <v>22</v>
      </c>
      <c r="M198" s="215" t="str" cm="1">
        <f t="array" ref="M198">Common_InputFunctions.Utility_DisplayArrayInTable(Fertiliser_SourceData.Fertiliser_Products_Data4(),FertiliserProducts[[#Headers],[Company]], 91)</f>
        <v/>
      </c>
      <c r="N198" s="215" cm="1">
        <f t="array" ref="N198">Common_InputFunctions.Utility_DisplayArrayInTable(Fertiliser_SourceData.Fertiliser_Products_Data4(),FertiliserProducts[[#Headers],[Company]], 91)</f>
        <v>1.5</v>
      </c>
      <c r="O198" s="215" t="str" cm="1">
        <f t="array" ref="O198">Common_InputFunctions.Utility_DisplayArrayInTable(Fertiliser_SourceData.Fertiliser_Products_Data4(),FertiliserProducts[[#Headers],[Company]], 91)</f>
        <v>Nitrogen - Generic</v>
      </c>
      <c r="P198" s="215" cm="1">
        <f t="array" ref="P198">Common_InputFunctions.Utility_DisplayArrayInTable(Fertiliser_SourceData.Fertiliser_Products_Data4(),FertiliserProducts[[#Headers],[Company]], 91)</f>
        <v>0.1</v>
      </c>
      <c r="Q198" s="215" t="str" cm="1">
        <f t="array" ref="Q198">Common_InputFunctions.Utility_DisplayArrayInTable(Fertiliser_SourceData.Fertiliser_Products_Data4(),FertiliserProducts[[#Headers],[Company]], 91)</f>
        <v>Phosphorus - Generic</v>
      </c>
      <c r="R198" s="215" cm="1">
        <f t="array" ref="R198">Common_InputFunctions.Utility_DisplayArrayInTable(Fertiliser_SourceData.Fertiliser_Products_Data4(),FertiliserProducts[[#Headers],[Company]], 91)</f>
        <v>0.22</v>
      </c>
      <c r="S198" s="215" t="str" cm="1">
        <f t="array" ref="S198">Common_InputFunctions.Utility_DisplayArrayInTable(Fertiliser_SourceData.Fertiliser_Products_Data4(),FertiliserProducts[[#Headers],[Company]], 91)</f>
        <v>Sulfur - Generic</v>
      </c>
      <c r="T198" s="215" cm="1">
        <f t="array" ref="T198">Common_InputFunctions.Utility_DisplayArrayInTable(Fertiliser_SourceData.Fertiliser_Products_Data4(),FertiliserProducts[[#Headers],[Company]], 91)</f>
        <v>1.4999999999999999E-2</v>
      </c>
      <c r="U198" s="215" t="str" cm="1">
        <f t="array" ref="U198">Common_InputFunctions.Utility_DisplayArrayInTable(Fertiliser_SourceData.Fertiliser_Products_Data4(),FertiliserProducts[[#Headers],[Company]], 91)</f>
        <v>Zinc</v>
      </c>
      <c r="V198" s="215" cm="1">
        <f t="array" ref="V198">Common_InputFunctions.Utility_DisplayArrayInTable(Fertiliser_SourceData.Fertiliser_Products_Data4(),FertiliserProducts[[#Headers],[Company]], 91)</f>
        <v>0.01</v>
      </c>
      <c r="W198" s="215" t="str" cm="1">
        <f t="array" ref="W198">Common_InputFunctions.Utility_DisplayArrayInTable(Fertiliser_SourceData.Fertiliser_Products_Data4(),FertiliserProducts[[#Headers],[Company]], 91)</f>
        <v/>
      </c>
      <c r="X198" s="215" t="str" cm="1">
        <f t="array" ref="X198">Common_InputFunctions.Utility_DisplayArrayInTable(Fertiliser_SourceData.Fertiliser_Products_Data4(),FertiliserProducts[[#Headers],[Company]], 91)</f>
        <v/>
      </c>
      <c r="Y198" s="215" t="str" cm="1">
        <f t="array" ref="Y198">Common_InputFunctions.Utility_DisplayArrayInTable(Fertiliser_SourceData.Fertiliser_Products_Data4(),FertiliserProducts[[#Headers],[Company]], 91)</f>
        <v/>
      </c>
      <c r="Z198" s="215" t="str" cm="1">
        <f t="array" ref="Z198">Common_InputFunctions.Utility_DisplayArrayInTable(Fertiliser_SourceData.Fertiliser_Products_Data4(),FertiliserProducts[[#Headers],[Company]], 91)</f>
        <v/>
      </c>
      <c r="AA198" s="215" t="str" cm="1">
        <f t="array" ref="AA198">Common_InputFunctions.Utility_DisplayArrayInTable(Fertiliser_SourceData.Fertiliser_Products_Data4(),FertiliserProducts[[#Headers],[Company]], 91)</f>
        <v/>
      </c>
      <c r="AB198" s="215" t="str" cm="1">
        <f t="array" ref="AB198">Common_InputFunctions.Utility_DisplayArrayInTable(Fertiliser_SourceData.Fertiliser_Products_Data4(),FertiliserProducts[[#Headers],[Company]], 91)</f>
        <v/>
      </c>
      <c r="AC198" s="215" t="str" cm="1">
        <f t="array" ref="AC198">Common_InputFunctions.Utility_DisplayArrayInTable(Fertiliser_SourceData.Fertiliser_Products_Data4(),FertiliserProducts[[#Headers],[Company]], 91)</f>
        <v/>
      </c>
      <c r="AD198" s="215" t="str" cm="1">
        <f t="array" ref="AD198">Common_InputFunctions.Utility_DisplayArrayInTable(Fertiliser_SourceData.Fertiliser_Products_Data4(),FertiliserProducts[[#Headers],[Company]], 91)</f>
        <v/>
      </c>
      <c r="AE198" s="215" t="str" cm="1">
        <f t="array" ref="AE198">Common_InputFunctions.Utility_DisplayArrayInTable(Fertiliser_SourceData.Fertiliser_Products_Data4(),FertiliserProducts[[#Headers],[Company]], 91)</f>
        <v/>
      </c>
      <c r="AF198" s="215" t="str" cm="1">
        <f t="array" ref="AF198">Common_InputFunctions.Utility_DisplayArrayInTable(Fertiliser_SourceData.Fertiliser_Products_Data4(),FertiliserProducts[[#Headers],[Company]], 91)</f>
        <v/>
      </c>
      <c r="AG198" s="215" t="str" cm="1">
        <f t="array" ref="AG198">Common_InputFunctions.Utility_DisplayArrayInTable(Fertiliser_SourceData.Fertiliser_Products_Data4(),FertiliserProducts[[#Headers],[Company]], 91)</f>
        <v/>
      </c>
      <c r="AH198" s="215" t="str" cm="1">
        <f t="array" ref="AH198">Common_InputFunctions.Utility_DisplayArrayInTable(Fertiliser_SourceData.Fertiliser_Products_Data4(),FertiliserProducts[[#Headers],[Company]], 91)</f>
        <v/>
      </c>
    </row>
    <row r="199" spans="4:34" ht="20.100000000000001" customHeight="1" x14ac:dyDescent="0.25">
      <c r="D199" s="215" t="str" cm="1">
        <f t="array" ref="D199">Common_InputFunctions.Utility_DisplayArrayInTable(Fertiliser_SourceData.Fertiliser_Products_Data4(),FertiliserProducts[[#Headers],[Company]], 91)</f>
        <v>Wengfu Australia</v>
      </c>
      <c r="E199" s="215" t="str" cm="1">
        <f t="array" ref="E199">Common_InputFunctions.Utility_DisplayArrayInTable(Fertiliser_SourceData.Fertiliser_Products_Data4(),FertiliserProducts[[#Headers],[Company]], 91)</f>
        <v>Wengfu Pasture King</v>
      </c>
      <c r="F199" s="215" t="str" cm="1">
        <f t="array" ref="F199">Common_InputFunctions.Utility_DisplayArrayInTable(Fertiliser_SourceData.Fertiliser_Products_Data4(),FertiliserProducts[[#Headers],[Company]], 91)</f>
        <v>kg</v>
      </c>
      <c r="G199" s="215" cm="1">
        <f t="array" ref="G199">Common_InputFunctions.Utility_DisplayArrayInTable(Fertiliser_SourceData.Fertiliser_Products_Data4(),FertiliserProducts[[#Headers],[Company]], 91)</f>
        <v>1</v>
      </c>
      <c r="H199" s="215" t="str" cm="1">
        <f t="array" ref="H199">Common_InputFunctions.Utility_DisplayArrayInTable(Fertiliser_SourceData.Fertiliser_Products_Data4(),FertiliserProducts[[#Headers],[Company]], 91)</f>
        <v/>
      </c>
      <c r="I199" s="215" t="str" cm="1">
        <f t="array" ref="I199">Common_InputFunctions.Utility_DisplayArrayInTable(Fertiliser_SourceData.Fertiliser_Products_Data4(),FertiliserProducts[[#Headers],[Company]], 91)</f>
        <v/>
      </c>
      <c r="J199" s="215" t="str" cm="1">
        <f t="array" ref="J199">Common_InputFunctions.Utility_DisplayArrayInTable(Fertiliser_SourceData.Fertiliser_Products_Data4(),FertiliserProducts[[#Headers],[Company]], 91)</f>
        <v/>
      </c>
      <c r="K199" s="215" t="str" cm="1">
        <f t="array" ref="K199">Common_InputFunctions.Utility_DisplayArrayInTable(Fertiliser_SourceData.Fertiliser_Products_Data4(),FertiliserProducts[[#Headers],[Company]], 91)</f>
        <v/>
      </c>
      <c r="L199" s="215" cm="1">
        <f t="array" ref="L199">Common_InputFunctions.Utility_DisplayArrayInTable(Fertiliser_SourceData.Fertiliser_Products_Data4(),FertiliserProducts[[#Headers],[Company]], 91)</f>
        <v>15.7</v>
      </c>
      <c r="M199" s="215" t="str" cm="1">
        <f t="array" ref="M199">Common_InputFunctions.Utility_DisplayArrayInTable(Fertiliser_SourceData.Fertiliser_Products_Data4(),FertiliserProducts[[#Headers],[Company]], 91)</f>
        <v/>
      </c>
      <c r="N199" s="215" cm="1">
        <f t="array" ref="N199">Common_InputFunctions.Utility_DisplayArrayInTable(Fertiliser_SourceData.Fertiliser_Products_Data4(),FertiliserProducts[[#Headers],[Company]], 91)</f>
        <v>4.5999999999999996</v>
      </c>
      <c r="O199" s="215" t="str" cm="1">
        <f t="array" ref="O199">Common_InputFunctions.Utility_DisplayArrayInTable(Fertiliser_SourceData.Fertiliser_Products_Data4(),FertiliserProducts[[#Headers],[Company]], 91)</f>
        <v>Phosphorus - Generic</v>
      </c>
      <c r="P199" s="215" cm="1">
        <f t="array" ref="P199">Common_InputFunctions.Utility_DisplayArrayInTable(Fertiliser_SourceData.Fertiliser_Products_Data4(),FertiliserProducts[[#Headers],[Company]], 91)</f>
        <v>0.157</v>
      </c>
      <c r="Q199" s="215" t="str" cm="1">
        <f t="array" ref="Q199">Common_InputFunctions.Utility_DisplayArrayInTable(Fertiliser_SourceData.Fertiliser_Products_Data4(),FertiliserProducts[[#Headers],[Company]], 91)</f>
        <v>Sulfur - Generic</v>
      </c>
      <c r="R199" s="215" cm="1">
        <f t="array" ref="R199">Common_InputFunctions.Utility_DisplayArrayInTable(Fertiliser_SourceData.Fertiliser_Products_Data4(),FertiliserProducts[[#Headers],[Company]], 91)</f>
        <v>4.5999999999999999E-2</v>
      </c>
      <c r="S199" s="215" t="str" cm="1">
        <f t="array" ref="S199">Common_InputFunctions.Utility_DisplayArrayInTable(Fertiliser_SourceData.Fertiliser_Products_Data4(),FertiliserProducts[[#Headers],[Company]], 91)</f>
        <v>Calcium</v>
      </c>
      <c r="T199" s="215" cm="1">
        <f t="array" ref="T199">Common_InputFunctions.Utility_DisplayArrayInTable(Fertiliser_SourceData.Fertiliser_Products_Data4(),FertiliserProducts[[#Headers],[Company]], 91)</f>
        <v>0.14000000000000001</v>
      </c>
      <c r="U199" s="215" t="str" cm="1">
        <f t="array" ref="U199">Common_InputFunctions.Utility_DisplayArrayInTable(Fertiliser_SourceData.Fertiliser_Products_Data4(),FertiliserProducts[[#Headers],[Company]], 91)</f>
        <v/>
      </c>
      <c r="V199" s="215" t="str" cm="1">
        <f t="array" ref="V199">Common_InputFunctions.Utility_DisplayArrayInTable(Fertiliser_SourceData.Fertiliser_Products_Data4(),FertiliserProducts[[#Headers],[Company]], 91)</f>
        <v/>
      </c>
      <c r="W199" s="215" t="str" cm="1">
        <f t="array" ref="W199">Common_InputFunctions.Utility_DisplayArrayInTable(Fertiliser_SourceData.Fertiliser_Products_Data4(),FertiliserProducts[[#Headers],[Company]], 91)</f>
        <v/>
      </c>
      <c r="X199" s="215" t="str" cm="1">
        <f t="array" ref="X199">Common_InputFunctions.Utility_DisplayArrayInTable(Fertiliser_SourceData.Fertiliser_Products_Data4(),FertiliserProducts[[#Headers],[Company]], 91)</f>
        <v/>
      </c>
      <c r="Y199" s="215" t="str" cm="1">
        <f t="array" ref="Y199">Common_InputFunctions.Utility_DisplayArrayInTable(Fertiliser_SourceData.Fertiliser_Products_Data4(),FertiliserProducts[[#Headers],[Company]], 91)</f>
        <v/>
      </c>
      <c r="Z199" s="215" t="str" cm="1">
        <f t="array" ref="Z199">Common_InputFunctions.Utility_DisplayArrayInTable(Fertiliser_SourceData.Fertiliser_Products_Data4(),FertiliserProducts[[#Headers],[Company]], 91)</f>
        <v/>
      </c>
      <c r="AA199" s="215" t="str" cm="1">
        <f t="array" ref="AA199">Common_InputFunctions.Utility_DisplayArrayInTable(Fertiliser_SourceData.Fertiliser_Products_Data4(),FertiliserProducts[[#Headers],[Company]], 91)</f>
        <v/>
      </c>
      <c r="AB199" s="215" t="str" cm="1">
        <f t="array" ref="AB199">Common_InputFunctions.Utility_DisplayArrayInTable(Fertiliser_SourceData.Fertiliser_Products_Data4(),FertiliserProducts[[#Headers],[Company]], 91)</f>
        <v/>
      </c>
      <c r="AC199" s="215" t="str" cm="1">
        <f t="array" ref="AC199">Common_InputFunctions.Utility_DisplayArrayInTable(Fertiliser_SourceData.Fertiliser_Products_Data4(),FertiliserProducts[[#Headers],[Company]], 91)</f>
        <v/>
      </c>
      <c r="AD199" s="215" t="str" cm="1">
        <f t="array" ref="AD199">Common_InputFunctions.Utility_DisplayArrayInTable(Fertiliser_SourceData.Fertiliser_Products_Data4(),FertiliserProducts[[#Headers],[Company]], 91)</f>
        <v/>
      </c>
      <c r="AE199" s="215" t="str" cm="1">
        <f t="array" ref="AE199">Common_InputFunctions.Utility_DisplayArrayInTable(Fertiliser_SourceData.Fertiliser_Products_Data4(),FertiliserProducts[[#Headers],[Company]], 91)</f>
        <v/>
      </c>
      <c r="AF199" s="215" t="str" cm="1">
        <f t="array" ref="AF199">Common_InputFunctions.Utility_DisplayArrayInTable(Fertiliser_SourceData.Fertiliser_Products_Data4(),FertiliserProducts[[#Headers],[Company]], 91)</f>
        <v/>
      </c>
      <c r="AG199" s="215" t="str" cm="1">
        <f t="array" ref="AG199">Common_InputFunctions.Utility_DisplayArrayInTable(Fertiliser_SourceData.Fertiliser_Products_Data4(),FertiliserProducts[[#Headers],[Company]], 91)</f>
        <v/>
      </c>
      <c r="AH199" s="215" t="str" cm="1">
        <f t="array" ref="AH199">Common_InputFunctions.Utility_DisplayArrayInTable(Fertiliser_SourceData.Fertiliser_Products_Data4(),FertiliserProducts[[#Headers],[Company]], 91)</f>
        <v/>
      </c>
    </row>
    <row r="200" spans="4:34" ht="20.100000000000001" customHeight="1" x14ac:dyDescent="0.25">
      <c r="D200" s="215" t="str" cm="1">
        <f t="array" ref="D200">Common_InputFunctions.Utility_DisplayArrayInTable(Fertiliser_SourceData.Fertiliser_Products_Data4(),FertiliserProducts[[#Headers],[Company]], 91)</f>
        <v>Wengfu Australia</v>
      </c>
      <c r="E200" s="215" t="str" cm="1">
        <f t="array" ref="E200">Common_InputFunctions.Utility_DisplayArrayInTable(Fertiliser_SourceData.Fertiliser_Products_Data4(),FertiliserProducts[[#Headers],[Company]], 91)</f>
        <v>Wengfu SuStain</v>
      </c>
      <c r="F200" s="215" t="str" cm="1">
        <f t="array" ref="F200">Common_InputFunctions.Utility_DisplayArrayInTable(Fertiliser_SourceData.Fertiliser_Products_Data4(),FertiliserProducts[[#Headers],[Company]], 91)</f>
        <v>kg</v>
      </c>
      <c r="G200" s="215" cm="1">
        <f t="array" ref="G200">Common_InputFunctions.Utility_DisplayArrayInTable(Fertiliser_SourceData.Fertiliser_Products_Data4(),FertiliserProducts[[#Headers],[Company]], 91)</f>
        <v>1</v>
      </c>
      <c r="H200" s="215" t="str" cm="1">
        <f t="array" ref="H200">Common_InputFunctions.Utility_DisplayArrayInTable(Fertiliser_SourceData.Fertiliser_Products_Data4(),FertiliserProducts[[#Headers],[Company]], 91)</f>
        <v/>
      </c>
      <c r="I200" s="215" t="str" cm="1">
        <f t="array" ref="I200">Common_InputFunctions.Utility_DisplayArrayInTable(Fertiliser_SourceData.Fertiliser_Products_Data4(),FertiliserProducts[[#Headers],[Company]], 91)</f>
        <v/>
      </c>
      <c r="J200" s="215" t="str" cm="1">
        <f t="array" ref="J200">Common_InputFunctions.Utility_DisplayArrayInTable(Fertiliser_SourceData.Fertiliser_Products_Data4(),FertiliserProducts[[#Headers],[Company]], 91)</f>
        <v/>
      </c>
      <c r="K200" s="215" t="str" cm="1">
        <f t="array" ref="K200">Common_InputFunctions.Utility_DisplayArrayInTable(Fertiliser_SourceData.Fertiliser_Products_Data4(),FertiliserProducts[[#Headers],[Company]], 91)</f>
        <v/>
      </c>
      <c r="L200" s="215" t="str" cm="1">
        <f t="array" ref="L200">Common_InputFunctions.Utility_DisplayArrayInTable(Fertiliser_SourceData.Fertiliser_Products_Data4(),FertiliserProducts[[#Headers],[Company]], 91)</f>
        <v/>
      </c>
      <c r="M200" s="215" t="str" cm="1">
        <f t="array" ref="M200">Common_InputFunctions.Utility_DisplayArrayInTable(Fertiliser_SourceData.Fertiliser_Products_Data4(),FertiliserProducts[[#Headers],[Company]], 91)</f>
        <v/>
      </c>
      <c r="N200" s="215" cm="1">
        <f t="array" ref="N200">Common_InputFunctions.Utility_DisplayArrayInTable(Fertiliser_SourceData.Fertiliser_Products_Data4(),FertiliserProducts[[#Headers],[Company]], 91)</f>
        <v>90</v>
      </c>
      <c r="O200" s="215" t="str" cm="1">
        <f t="array" ref="O200">Common_InputFunctions.Utility_DisplayArrayInTable(Fertiliser_SourceData.Fertiliser_Products_Data4(),FertiliserProducts[[#Headers],[Company]], 91)</f>
        <v>Sulfur - Generic</v>
      </c>
      <c r="P200" s="215" cm="1">
        <f t="array" ref="P200">Common_InputFunctions.Utility_DisplayArrayInTable(Fertiliser_SourceData.Fertiliser_Products_Data4(),FertiliserProducts[[#Headers],[Company]], 91)</f>
        <v>0.9</v>
      </c>
      <c r="Q200" s="215" t="str" cm="1">
        <f t="array" ref="Q200">Common_InputFunctions.Utility_DisplayArrayInTable(Fertiliser_SourceData.Fertiliser_Products_Data4(),FertiliserProducts[[#Headers],[Company]], 91)</f>
        <v/>
      </c>
      <c r="R200" s="215" t="str" cm="1">
        <f t="array" ref="R200">Common_InputFunctions.Utility_DisplayArrayInTable(Fertiliser_SourceData.Fertiliser_Products_Data4(),FertiliserProducts[[#Headers],[Company]], 91)</f>
        <v/>
      </c>
      <c r="S200" s="215" t="str" cm="1">
        <f t="array" ref="S200">Common_InputFunctions.Utility_DisplayArrayInTable(Fertiliser_SourceData.Fertiliser_Products_Data4(),FertiliserProducts[[#Headers],[Company]], 91)</f>
        <v/>
      </c>
      <c r="T200" s="215" t="str" cm="1">
        <f t="array" ref="T200">Common_InputFunctions.Utility_DisplayArrayInTable(Fertiliser_SourceData.Fertiliser_Products_Data4(),FertiliserProducts[[#Headers],[Company]], 91)</f>
        <v/>
      </c>
      <c r="U200" s="215" t="str" cm="1">
        <f t="array" ref="U200">Common_InputFunctions.Utility_DisplayArrayInTable(Fertiliser_SourceData.Fertiliser_Products_Data4(),FertiliserProducts[[#Headers],[Company]], 91)</f>
        <v/>
      </c>
      <c r="V200" s="215" t="str" cm="1">
        <f t="array" ref="V200">Common_InputFunctions.Utility_DisplayArrayInTable(Fertiliser_SourceData.Fertiliser_Products_Data4(),FertiliserProducts[[#Headers],[Company]], 91)</f>
        <v/>
      </c>
      <c r="W200" s="215" t="str" cm="1">
        <f t="array" ref="W200">Common_InputFunctions.Utility_DisplayArrayInTable(Fertiliser_SourceData.Fertiliser_Products_Data4(),FertiliserProducts[[#Headers],[Company]], 91)</f>
        <v/>
      </c>
      <c r="X200" s="215" t="str" cm="1">
        <f t="array" ref="X200">Common_InputFunctions.Utility_DisplayArrayInTable(Fertiliser_SourceData.Fertiliser_Products_Data4(),FertiliserProducts[[#Headers],[Company]], 91)</f>
        <v/>
      </c>
      <c r="Y200" s="215" t="str" cm="1">
        <f t="array" ref="Y200">Common_InputFunctions.Utility_DisplayArrayInTable(Fertiliser_SourceData.Fertiliser_Products_Data4(),FertiliserProducts[[#Headers],[Company]], 91)</f>
        <v/>
      </c>
      <c r="Z200" s="215" t="str" cm="1">
        <f t="array" ref="Z200">Common_InputFunctions.Utility_DisplayArrayInTable(Fertiliser_SourceData.Fertiliser_Products_Data4(),FertiliserProducts[[#Headers],[Company]], 91)</f>
        <v/>
      </c>
      <c r="AA200" s="215" t="str" cm="1">
        <f t="array" ref="AA200">Common_InputFunctions.Utility_DisplayArrayInTable(Fertiliser_SourceData.Fertiliser_Products_Data4(),FertiliserProducts[[#Headers],[Company]], 91)</f>
        <v/>
      </c>
      <c r="AB200" s="215" t="str" cm="1">
        <f t="array" ref="AB200">Common_InputFunctions.Utility_DisplayArrayInTable(Fertiliser_SourceData.Fertiliser_Products_Data4(),FertiliserProducts[[#Headers],[Company]], 91)</f>
        <v/>
      </c>
      <c r="AC200" s="215" t="str" cm="1">
        <f t="array" ref="AC200">Common_InputFunctions.Utility_DisplayArrayInTable(Fertiliser_SourceData.Fertiliser_Products_Data4(),FertiliserProducts[[#Headers],[Company]], 91)</f>
        <v/>
      </c>
      <c r="AD200" s="215" t="str" cm="1">
        <f t="array" ref="AD200">Common_InputFunctions.Utility_DisplayArrayInTable(Fertiliser_SourceData.Fertiliser_Products_Data4(),FertiliserProducts[[#Headers],[Company]], 91)</f>
        <v/>
      </c>
      <c r="AE200" s="215" t="str" cm="1">
        <f t="array" ref="AE200">Common_InputFunctions.Utility_DisplayArrayInTable(Fertiliser_SourceData.Fertiliser_Products_Data4(),FertiliserProducts[[#Headers],[Company]], 91)</f>
        <v/>
      </c>
      <c r="AF200" s="215" t="str" cm="1">
        <f t="array" ref="AF200">Common_InputFunctions.Utility_DisplayArrayInTable(Fertiliser_SourceData.Fertiliser_Products_Data4(),FertiliserProducts[[#Headers],[Company]], 91)</f>
        <v/>
      </c>
      <c r="AG200" s="215" t="str" cm="1">
        <f t="array" ref="AG200">Common_InputFunctions.Utility_DisplayArrayInTable(Fertiliser_SourceData.Fertiliser_Products_Data4(),FertiliserProducts[[#Headers],[Company]], 91)</f>
        <v/>
      </c>
      <c r="AH200" s="215" t="str" cm="1">
        <f t="array" ref="AH200">Common_InputFunctions.Utility_DisplayArrayInTable(Fertiliser_SourceData.Fertiliser_Products_Data4(),FertiliserProducts[[#Headers],[Company]], 91)</f>
        <v/>
      </c>
    </row>
    <row r="201" spans="4:34" ht="20.100000000000001" customHeight="1" x14ac:dyDescent="0.25">
      <c r="D201" s="215" t="str" cm="1">
        <f t="array" ref="D201">Common_InputFunctions.Utility_DisplayArrayInTable(Fertiliser_SourceData.Fertiliser_Products_Data4(),FertiliserProducts[[#Headers],[Company]], 91)</f>
        <v>Wengfu Australia</v>
      </c>
      <c r="E201" s="215" t="str" cm="1">
        <f t="array" ref="E201">Common_InputFunctions.Utility_DisplayArrayInTable(Fertiliser_SourceData.Fertiliser_Products_Data4(),FertiliserProducts[[#Headers],[Company]], 91)</f>
        <v>Wengfu Slam</v>
      </c>
      <c r="F201" s="215" t="str" cm="1">
        <f t="array" ref="F201">Common_InputFunctions.Utility_DisplayArrayInTable(Fertiliser_SourceData.Fertiliser_Products_Data4(),FertiliserProducts[[#Headers],[Company]], 91)</f>
        <v>kg</v>
      </c>
      <c r="G201" s="215" cm="1">
        <f t="array" ref="G201">Common_InputFunctions.Utility_DisplayArrayInTable(Fertiliser_SourceData.Fertiliser_Products_Data4(),FertiliserProducts[[#Headers],[Company]], 91)</f>
        <v>1</v>
      </c>
      <c r="H201" s="215" t="str" cm="1">
        <f t="array" ref="H201">Common_InputFunctions.Utility_DisplayArrayInTable(Fertiliser_SourceData.Fertiliser_Products_Data4(),FertiliserProducts[[#Headers],[Company]], 91)</f>
        <v/>
      </c>
      <c r="I201" s="215" t="str" cm="1">
        <f t="array" ref="I201">Common_InputFunctions.Utility_DisplayArrayInTable(Fertiliser_SourceData.Fertiliser_Products_Data4(),FertiliserProducts[[#Headers],[Company]], 91)</f>
        <v/>
      </c>
      <c r="J201" s="215" t="str" cm="1">
        <f t="array" ref="J201">Common_InputFunctions.Utility_DisplayArrayInTable(Fertiliser_SourceData.Fertiliser_Products_Data4(),FertiliserProducts[[#Headers],[Company]], 91)</f>
        <v/>
      </c>
      <c r="K201" s="215" cm="1">
        <f t="array" ref="K201">Common_InputFunctions.Utility_DisplayArrayInTable(Fertiliser_SourceData.Fertiliser_Products_Data4(),FertiliserProducts[[#Headers],[Company]], 91)</f>
        <v>19.5</v>
      </c>
      <c r="L201" s="215" cm="1">
        <f t="array" ref="L201">Common_InputFunctions.Utility_DisplayArrayInTable(Fertiliser_SourceData.Fertiliser_Products_Data4(),FertiliserProducts[[#Headers],[Company]], 91)</f>
        <v>0.7</v>
      </c>
      <c r="M201" s="215" t="str" cm="1">
        <f t="array" ref="M201">Common_InputFunctions.Utility_DisplayArrayInTable(Fertiliser_SourceData.Fertiliser_Products_Data4(),FertiliserProducts[[#Headers],[Company]], 91)</f>
        <v/>
      </c>
      <c r="N201" s="215" cm="1">
        <f t="array" ref="N201">Common_InputFunctions.Utility_DisplayArrayInTable(Fertiliser_SourceData.Fertiliser_Products_Data4(),FertiliserProducts[[#Headers],[Company]], 91)</f>
        <v>23</v>
      </c>
      <c r="O201" s="215" t="str" cm="1">
        <f t="array" ref="O201">Common_InputFunctions.Utility_DisplayArrayInTable(Fertiliser_SourceData.Fertiliser_Products_Data4(),FertiliserProducts[[#Headers],[Company]], 91)</f>
        <v>Nitrogen - Generic</v>
      </c>
      <c r="P201" s="215" cm="1">
        <f t="array" ref="P201">Common_InputFunctions.Utility_DisplayArrayInTable(Fertiliser_SourceData.Fertiliser_Products_Data4(),FertiliserProducts[[#Headers],[Company]], 91)</f>
        <v>0.19500000000000001</v>
      </c>
      <c r="Q201" s="215" t="str" cm="1">
        <f t="array" ref="Q201">Common_InputFunctions.Utility_DisplayArrayInTable(Fertiliser_SourceData.Fertiliser_Products_Data4(),FertiliserProducts[[#Headers],[Company]], 91)</f>
        <v>Phosphorus - Generic</v>
      </c>
      <c r="R201" s="215" cm="1">
        <f t="array" ref="R201">Common_InputFunctions.Utility_DisplayArrayInTable(Fertiliser_SourceData.Fertiliser_Products_Data4(),FertiliserProducts[[#Headers],[Company]], 91)</f>
        <v>7.0000000000000001E-3</v>
      </c>
      <c r="S201" s="215" t="str" cm="1">
        <f t="array" ref="S201">Common_InputFunctions.Utility_DisplayArrayInTable(Fertiliser_SourceData.Fertiliser_Products_Data4(),FertiliserProducts[[#Headers],[Company]], 91)</f>
        <v>Sulfur - Generic</v>
      </c>
      <c r="T201" s="215" cm="1">
        <f t="array" ref="T201">Common_InputFunctions.Utility_DisplayArrayInTable(Fertiliser_SourceData.Fertiliser_Products_Data4(),FertiliserProducts[[#Headers],[Company]], 91)</f>
        <v>0.23</v>
      </c>
      <c r="U201" s="215" t="str" cm="1">
        <f t="array" ref="U201">Common_InputFunctions.Utility_DisplayArrayInTable(Fertiliser_SourceData.Fertiliser_Products_Data4(),FertiliserProducts[[#Headers],[Company]], 91)</f>
        <v/>
      </c>
      <c r="V201" s="215" t="str" cm="1">
        <f t="array" ref="V201">Common_InputFunctions.Utility_DisplayArrayInTable(Fertiliser_SourceData.Fertiliser_Products_Data4(),FertiliserProducts[[#Headers],[Company]], 91)</f>
        <v/>
      </c>
      <c r="W201" s="215" t="str" cm="1">
        <f t="array" ref="W201">Common_InputFunctions.Utility_DisplayArrayInTable(Fertiliser_SourceData.Fertiliser_Products_Data4(),FertiliserProducts[[#Headers],[Company]], 91)</f>
        <v/>
      </c>
      <c r="X201" s="215" t="str" cm="1">
        <f t="array" ref="X201">Common_InputFunctions.Utility_DisplayArrayInTable(Fertiliser_SourceData.Fertiliser_Products_Data4(),FertiliserProducts[[#Headers],[Company]], 91)</f>
        <v/>
      </c>
      <c r="Y201" s="215" t="str" cm="1">
        <f t="array" ref="Y201">Common_InputFunctions.Utility_DisplayArrayInTable(Fertiliser_SourceData.Fertiliser_Products_Data4(),FertiliserProducts[[#Headers],[Company]], 91)</f>
        <v/>
      </c>
      <c r="Z201" s="215" t="str" cm="1">
        <f t="array" ref="Z201">Common_InputFunctions.Utility_DisplayArrayInTable(Fertiliser_SourceData.Fertiliser_Products_Data4(),FertiliserProducts[[#Headers],[Company]], 91)</f>
        <v/>
      </c>
      <c r="AA201" s="215" t="str" cm="1">
        <f t="array" ref="AA201">Common_InputFunctions.Utility_DisplayArrayInTable(Fertiliser_SourceData.Fertiliser_Products_Data4(),FertiliserProducts[[#Headers],[Company]], 91)</f>
        <v/>
      </c>
      <c r="AB201" s="215" t="str" cm="1">
        <f t="array" ref="AB201">Common_InputFunctions.Utility_DisplayArrayInTable(Fertiliser_SourceData.Fertiliser_Products_Data4(),FertiliserProducts[[#Headers],[Company]], 91)</f>
        <v/>
      </c>
      <c r="AC201" s="215" t="str" cm="1">
        <f t="array" ref="AC201">Common_InputFunctions.Utility_DisplayArrayInTable(Fertiliser_SourceData.Fertiliser_Products_Data4(),FertiliserProducts[[#Headers],[Company]], 91)</f>
        <v/>
      </c>
      <c r="AD201" s="215" t="str" cm="1">
        <f t="array" ref="AD201">Common_InputFunctions.Utility_DisplayArrayInTable(Fertiliser_SourceData.Fertiliser_Products_Data4(),FertiliserProducts[[#Headers],[Company]], 91)</f>
        <v/>
      </c>
      <c r="AE201" s="215" t="str" cm="1">
        <f t="array" ref="AE201">Common_InputFunctions.Utility_DisplayArrayInTable(Fertiliser_SourceData.Fertiliser_Products_Data4(),FertiliserProducts[[#Headers],[Company]], 91)</f>
        <v/>
      </c>
      <c r="AF201" s="215" t="str" cm="1">
        <f t="array" ref="AF201">Common_InputFunctions.Utility_DisplayArrayInTable(Fertiliser_SourceData.Fertiliser_Products_Data4(),FertiliserProducts[[#Headers],[Company]], 91)</f>
        <v/>
      </c>
      <c r="AG201" s="215" t="str" cm="1">
        <f t="array" ref="AG201">Common_InputFunctions.Utility_DisplayArrayInTable(Fertiliser_SourceData.Fertiliser_Products_Data4(),FertiliserProducts[[#Headers],[Company]], 91)</f>
        <v/>
      </c>
      <c r="AH201" s="215" t="str" cm="1">
        <f t="array" ref="AH201">Common_InputFunctions.Utility_DisplayArrayInTable(Fertiliser_SourceData.Fertiliser_Products_Data4(),FertiliserProducts[[#Headers],[Company]], 91)</f>
        <v/>
      </c>
    </row>
    <row r="202" spans="4:34" ht="20.100000000000001" customHeight="1" x14ac:dyDescent="0.25">
      <c r="D202" s="215" t="str" cm="1">
        <f t="array" ref="D202">Common_InputFunctions.Utility_DisplayArrayInTable(Fertiliser_SourceData.Fertiliser_Products_Data4(),FertiliserProducts[[#Headers],[Company]], 91)</f>
        <v>Wengfu Australia</v>
      </c>
      <c r="E202" s="215" t="str" cm="1">
        <f t="array" ref="E202">Common_InputFunctions.Utility_DisplayArrayInTable(Fertiliser_SourceData.Fertiliser_Products_Data4(),FertiliserProducts[[#Headers],[Company]], 91)</f>
        <v>Wengfu Prime MSZ</v>
      </c>
      <c r="F202" s="215" t="str" cm="1">
        <f t="array" ref="F202">Common_InputFunctions.Utility_DisplayArrayInTable(Fertiliser_SourceData.Fertiliser_Products_Data4(),FertiliserProducts[[#Headers],[Company]], 91)</f>
        <v>kg</v>
      </c>
      <c r="G202" s="215" cm="1">
        <f t="array" ref="G202">Common_InputFunctions.Utility_DisplayArrayInTable(Fertiliser_SourceData.Fertiliser_Products_Data4(),FertiliserProducts[[#Headers],[Company]], 91)</f>
        <v>1</v>
      </c>
      <c r="H202" s="215" t="str" cm="1">
        <f t="array" ref="H202">Common_InputFunctions.Utility_DisplayArrayInTable(Fertiliser_SourceData.Fertiliser_Products_Data4(),FertiliserProducts[[#Headers],[Company]], 91)</f>
        <v/>
      </c>
      <c r="I202" s="215" t="str" cm="1">
        <f t="array" ref="I202">Common_InputFunctions.Utility_DisplayArrayInTable(Fertiliser_SourceData.Fertiliser_Products_Data4(),FertiliserProducts[[#Headers],[Company]], 91)</f>
        <v/>
      </c>
      <c r="J202" s="215" t="str" cm="1">
        <f t="array" ref="J202">Common_InputFunctions.Utility_DisplayArrayInTable(Fertiliser_SourceData.Fertiliser_Products_Data4(),FertiliserProducts[[#Headers],[Company]], 91)</f>
        <v/>
      </c>
      <c r="K202" s="215" cm="1">
        <f t="array" ref="K202">Common_InputFunctions.Utility_DisplayArrayInTable(Fertiliser_SourceData.Fertiliser_Products_Data4(),FertiliserProducts[[#Headers],[Company]], 91)</f>
        <v>10</v>
      </c>
      <c r="L202" s="215" cm="1">
        <f t="array" ref="L202">Common_InputFunctions.Utility_DisplayArrayInTable(Fertiliser_SourceData.Fertiliser_Products_Data4(),FertiliserProducts[[#Headers],[Company]], 91)</f>
        <v>18</v>
      </c>
      <c r="M202" s="215" t="str" cm="1">
        <f t="array" ref="M202">Common_InputFunctions.Utility_DisplayArrayInTable(Fertiliser_SourceData.Fertiliser_Products_Data4(),FertiliserProducts[[#Headers],[Company]], 91)</f>
        <v/>
      </c>
      <c r="N202" s="215" cm="1">
        <f t="array" ref="N202">Common_InputFunctions.Utility_DisplayArrayInTable(Fertiliser_SourceData.Fertiliser_Products_Data4(),FertiliserProducts[[#Headers],[Company]], 91)</f>
        <v>8</v>
      </c>
      <c r="O202" s="215" t="str" cm="1">
        <f t="array" ref="O202">Common_InputFunctions.Utility_DisplayArrayInTable(Fertiliser_SourceData.Fertiliser_Products_Data4(),FertiliserProducts[[#Headers],[Company]], 91)</f>
        <v>Nitrogen - Generic</v>
      </c>
      <c r="P202" s="215" cm="1">
        <f t="array" ref="P202">Common_InputFunctions.Utility_DisplayArrayInTable(Fertiliser_SourceData.Fertiliser_Products_Data4(),FertiliserProducts[[#Headers],[Company]], 91)</f>
        <v>0.1</v>
      </c>
      <c r="Q202" s="215" t="str" cm="1">
        <f t="array" ref="Q202">Common_InputFunctions.Utility_DisplayArrayInTable(Fertiliser_SourceData.Fertiliser_Products_Data4(),FertiliserProducts[[#Headers],[Company]], 91)</f>
        <v>Phosphorus - Generic</v>
      </c>
      <c r="R202" s="215" cm="1">
        <f t="array" ref="R202">Common_InputFunctions.Utility_DisplayArrayInTable(Fertiliser_SourceData.Fertiliser_Products_Data4(),FertiliserProducts[[#Headers],[Company]], 91)</f>
        <v>0.18</v>
      </c>
      <c r="S202" s="215" t="str" cm="1">
        <f t="array" ref="S202">Common_InputFunctions.Utility_DisplayArrayInTable(Fertiliser_SourceData.Fertiliser_Products_Data4(),FertiliserProducts[[#Headers],[Company]], 91)</f>
        <v>Sulfur - Generic</v>
      </c>
      <c r="T202" s="215" cm="1">
        <f t="array" ref="T202">Common_InputFunctions.Utility_DisplayArrayInTable(Fertiliser_SourceData.Fertiliser_Products_Data4(),FertiliserProducts[[#Headers],[Company]], 91)</f>
        <v>0.08</v>
      </c>
      <c r="U202" s="215" t="str" cm="1">
        <f t="array" ref="U202">Common_InputFunctions.Utility_DisplayArrayInTable(Fertiliser_SourceData.Fertiliser_Products_Data4(),FertiliserProducts[[#Headers],[Company]], 91)</f>
        <v>Zinc</v>
      </c>
      <c r="V202" s="215" cm="1">
        <f t="array" ref="V202">Common_InputFunctions.Utility_DisplayArrayInTable(Fertiliser_SourceData.Fertiliser_Products_Data4(),FertiliserProducts[[#Headers],[Company]], 91)</f>
        <v>5.0000000000000001E-3</v>
      </c>
      <c r="W202" s="215" t="str" cm="1">
        <f t="array" ref="W202">Common_InputFunctions.Utility_DisplayArrayInTable(Fertiliser_SourceData.Fertiliser_Products_Data4(),FertiliserProducts[[#Headers],[Company]], 91)</f>
        <v/>
      </c>
      <c r="X202" s="215" t="str" cm="1">
        <f t="array" ref="X202">Common_InputFunctions.Utility_DisplayArrayInTable(Fertiliser_SourceData.Fertiliser_Products_Data4(),FertiliserProducts[[#Headers],[Company]], 91)</f>
        <v/>
      </c>
      <c r="Y202" s="215" t="str" cm="1">
        <f t="array" ref="Y202">Common_InputFunctions.Utility_DisplayArrayInTable(Fertiliser_SourceData.Fertiliser_Products_Data4(),FertiliserProducts[[#Headers],[Company]], 91)</f>
        <v/>
      </c>
      <c r="Z202" s="215" t="str" cm="1">
        <f t="array" ref="Z202">Common_InputFunctions.Utility_DisplayArrayInTable(Fertiliser_SourceData.Fertiliser_Products_Data4(),FertiliserProducts[[#Headers],[Company]], 91)</f>
        <v/>
      </c>
      <c r="AA202" s="215" t="str" cm="1">
        <f t="array" ref="AA202">Common_InputFunctions.Utility_DisplayArrayInTable(Fertiliser_SourceData.Fertiliser_Products_Data4(),FertiliserProducts[[#Headers],[Company]], 91)</f>
        <v/>
      </c>
      <c r="AB202" s="215" t="str" cm="1">
        <f t="array" ref="AB202">Common_InputFunctions.Utility_DisplayArrayInTable(Fertiliser_SourceData.Fertiliser_Products_Data4(),FertiliserProducts[[#Headers],[Company]], 91)</f>
        <v/>
      </c>
      <c r="AC202" s="215" t="str" cm="1">
        <f t="array" ref="AC202">Common_InputFunctions.Utility_DisplayArrayInTable(Fertiliser_SourceData.Fertiliser_Products_Data4(),FertiliserProducts[[#Headers],[Company]], 91)</f>
        <v/>
      </c>
      <c r="AD202" s="215" t="str" cm="1">
        <f t="array" ref="AD202">Common_InputFunctions.Utility_DisplayArrayInTable(Fertiliser_SourceData.Fertiliser_Products_Data4(),FertiliserProducts[[#Headers],[Company]], 91)</f>
        <v/>
      </c>
      <c r="AE202" s="215" t="str" cm="1">
        <f t="array" ref="AE202">Common_InputFunctions.Utility_DisplayArrayInTable(Fertiliser_SourceData.Fertiliser_Products_Data4(),FertiliserProducts[[#Headers],[Company]], 91)</f>
        <v/>
      </c>
      <c r="AF202" s="215" t="str" cm="1">
        <f t="array" ref="AF202">Common_InputFunctions.Utility_DisplayArrayInTable(Fertiliser_SourceData.Fertiliser_Products_Data4(),FertiliserProducts[[#Headers],[Company]], 91)</f>
        <v/>
      </c>
      <c r="AG202" s="215" t="str" cm="1">
        <f t="array" ref="AG202">Common_InputFunctions.Utility_DisplayArrayInTable(Fertiliser_SourceData.Fertiliser_Products_Data4(),FertiliserProducts[[#Headers],[Company]], 91)</f>
        <v/>
      </c>
      <c r="AH202" s="215" t="str" cm="1">
        <f t="array" ref="AH202">Common_InputFunctions.Utility_DisplayArrayInTable(Fertiliser_SourceData.Fertiliser_Products_Data4(),FertiliserProducts[[#Headers],[Company]], 91)</f>
        <v/>
      </c>
    </row>
    <row r="203" spans="4:34" ht="20.100000000000001" customHeight="1" x14ac:dyDescent="0.25">
      <c r="D203" s="215" t="str" cm="1">
        <f t="array" ref="D203">Common_InputFunctions.Utility_DisplayArrayInTable(Fertiliser_SourceData.Fertiliser_Products_Data4(),FertiliserProducts[[#Headers],[Company]], 91)</f>
        <v>Wengfu Australia</v>
      </c>
      <c r="E203" s="215" t="str" cm="1">
        <f t="array" ref="E203">Common_InputFunctions.Utility_DisplayArrayInTable(Fertiliser_SourceData.Fertiliser_Products_Data4(),FertiliserProducts[[#Headers],[Company]], 91)</f>
        <v>Wengfu 9-20-0-10 MAP SuStain</v>
      </c>
      <c r="F203" s="215" t="str" cm="1">
        <f t="array" ref="F203">Common_InputFunctions.Utility_DisplayArrayInTable(Fertiliser_SourceData.Fertiliser_Products_Data4(),FertiliserProducts[[#Headers],[Company]], 91)</f>
        <v>kg</v>
      </c>
      <c r="G203" s="215" cm="1">
        <f t="array" ref="G203">Common_InputFunctions.Utility_DisplayArrayInTable(Fertiliser_SourceData.Fertiliser_Products_Data4(),FertiliserProducts[[#Headers],[Company]], 91)</f>
        <v>1</v>
      </c>
      <c r="H203" s="215" t="str" cm="1">
        <f t="array" ref="H203">Common_InputFunctions.Utility_DisplayArrayInTable(Fertiliser_SourceData.Fertiliser_Products_Data4(),FertiliserProducts[[#Headers],[Company]], 91)</f>
        <v/>
      </c>
      <c r="I203" s="215" t="str" cm="1">
        <f t="array" ref="I203">Common_InputFunctions.Utility_DisplayArrayInTable(Fertiliser_SourceData.Fertiliser_Products_Data4(),FertiliserProducts[[#Headers],[Company]], 91)</f>
        <v/>
      </c>
      <c r="J203" s="215" t="str" cm="1">
        <f t="array" ref="J203">Common_InputFunctions.Utility_DisplayArrayInTable(Fertiliser_SourceData.Fertiliser_Products_Data4(),FertiliserProducts[[#Headers],[Company]], 91)</f>
        <v/>
      </c>
      <c r="K203" s="215" cm="1">
        <f t="array" ref="K203">Common_InputFunctions.Utility_DisplayArrayInTable(Fertiliser_SourceData.Fertiliser_Products_Data4(),FertiliserProducts[[#Headers],[Company]], 91)</f>
        <v>9</v>
      </c>
      <c r="L203" s="215" cm="1">
        <f t="array" ref="L203">Common_InputFunctions.Utility_DisplayArrayInTable(Fertiliser_SourceData.Fertiliser_Products_Data4(),FertiliserProducts[[#Headers],[Company]], 91)</f>
        <v>19.8</v>
      </c>
      <c r="M203" s="215" cm="1">
        <f t="array" ref="M203">Common_InputFunctions.Utility_DisplayArrayInTable(Fertiliser_SourceData.Fertiliser_Products_Data4(),FertiliserProducts[[#Headers],[Company]], 91)</f>
        <v>0</v>
      </c>
      <c r="N203" s="215" cm="1">
        <f t="array" ref="N203">Common_InputFunctions.Utility_DisplayArrayInTable(Fertiliser_SourceData.Fertiliser_Products_Data4(),FertiliserProducts[[#Headers],[Company]], 91)</f>
        <v>10.4</v>
      </c>
      <c r="O203" s="215" t="str" cm="1">
        <f t="array" ref="O203">Common_InputFunctions.Utility_DisplayArrayInTable(Fertiliser_SourceData.Fertiliser_Products_Data4(),FertiliserProducts[[#Headers],[Company]], 91)</f>
        <v>Nitrogen - Generic</v>
      </c>
      <c r="P203" s="215" cm="1">
        <f t="array" ref="P203">Common_InputFunctions.Utility_DisplayArrayInTable(Fertiliser_SourceData.Fertiliser_Products_Data4(),FertiliserProducts[[#Headers],[Company]], 91)</f>
        <v>0.09</v>
      </c>
      <c r="Q203" s="215" t="str" cm="1">
        <f t="array" ref="Q203">Common_InputFunctions.Utility_DisplayArrayInTable(Fertiliser_SourceData.Fertiliser_Products_Data4(),FertiliserProducts[[#Headers],[Company]], 91)</f>
        <v>Phosphorus - Generic</v>
      </c>
      <c r="R203" s="215" cm="1">
        <f t="array" ref="R203">Common_InputFunctions.Utility_DisplayArrayInTable(Fertiliser_SourceData.Fertiliser_Products_Data4(),FertiliserProducts[[#Headers],[Company]], 91)</f>
        <v>0.19800000000000001</v>
      </c>
      <c r="S203" s="215" t="str" cm="1">
        <f t="array" ref="S203">Common_InputFunctions.Utility_DisplayArrayInTable(Fertiliser_SourceData.Fertiliser_Products_Data4(),FertiliserProducts[[#Headers],[Company]], 91)</f>
        <v>Sulfur - Generic</v>
      </c>
      <c r="T203" s="215" cm="1">
        <f t="array" ref="T203">Common_InputFunctions.Utility_DisplayArrayInTable(Fertiliser_SourceData.Fertiliser_Products_Data4(),FertiliserProducts[[#Headers],[Company]], 91)</f>
        <v>0.104</v>
      </c>
      <c r="U203" s="215" t="str" cm="1">
        <f t="array" ref="U203">Common_InputFunctions.Utility_DisplayArrayInTable(Fertiliser_SourceData.Fertiliser_Products_Data4(),FertiliserProducts[[#Headers],[Company]], 91)</f>
        <v/>
      </c>
      <c r="V203" s="215" t="str" cm="1">
        <f t="array" ref="V203">Common_InputFunctions.Utility_DisplayArrayInTable(Fertiliser_SourceData.Fertiliser_Products_Data4(),FertiliserProducts[[#Headers],[Company]], 91)</f>
        <v/>
      </c>
      <c r="W203" s="215" t="str" cm="1">
        <f t="array" ref="W203">Common_InputFunctions.Utility_DisplayArrayInTable(Fertiliser_SourceData.Fertiliser_Products_Data4(),FertiliserProducts[[#Headers],[Company]], 91)</f>
        <v/>
      </c>
      <c r="X203" s="215" t="str" cm="1">
        <f t="array" ref="X203">Common_InputFunctions.Utility_DisplayArrayInTable(Fertiliser_SourceData.Fertiliser_Products_Data4(),FertiliserProducts[[#Headers],[Company]], 91)</f>
        <v/>
      </c>
      <c r="Y203" s="215" t="str" cm="1">
        <f t="array" ref="Y203">Common_InputFunctions.Utility_DisplayArrayInTable(Fertiliser_SourceData.Fertiliser_Products_Data4(),FertiliserProducts[[#Headers],[Company]], 91)</f>
        <v/>
      </c>
      <c r="Z203" s="215" t="str" cm="1">
        <f t="array" ref="Z203">Common_InputFunctions.Utility_DisplayArrayInTable(Fertiliser_SourceData.Fertiliser_Products_Data4(),FertiliserProducts[[#Headers],[Company]], 91)</f>
        <v/>
      </c>
      <c r="AA203" s="215" t="str" cm="1">
        <f t="array" ref="AA203">Common_InputFunctions.Utility_DisplayArrayInTable(Fertiliser_SourceData.Fertiliser_Products_Data4(),FertiliserProducts[[#Headers],[Company]], 91)</f>
        <v/>
      </c>
      <c r="AB203" s="215" t="str" cm="1">
        <f t="array" ref="AB203">Common_InputFunctions.Utility_DisplayArrayInTable(Fertiliser_SourceData.Fertiliser_Products_Data4(),FertiliserProducts[[#Headers],[Company]], 91)</f>
        <v/>
      </c>
      <c r="AC203" s="215" t="str" cm="1">
        <f t="array" ref="AC203">Common_InputFunctions.Utility_DisplayArrayInTable(Fertiliser_SourceData.Fertiliser_Products_Data4(),FertiliserProducts[[#Headers],[Company]], 91)</f>
        <v/>
      </c>
      <c r="AD203" s="215" t="str" cm="1">
        <f t="array" ref="AD203">Common_InputFunctions.Utility_DisplayArrayInTable(Fertiliser_SourceData.Fertiliser_Products_Data4(),FertiliserProducts[[#Headers],[Company]], 91)</f>
        <v/>
      </c>
      <c r="AE203" s="215" t="str" cm="1">
        <f t="array" ref="AE203">Common_InputFunctions.Utility_DisplayArrayInTable(Fertiliser_SourceData.Fertiliser_Products_Data4(),FertiliserProducts[[#Headers],[Company]], 91)</f>
        <v/>
      </c>
      <c r="AF203" s="215" t="str" cm="1">
        <f t="array" ref="AF203">Common_InputFunctions.Utility_DisplayArrayInTable(Fertiliser_SourceData.Fertiliser_Products_Data4(),FertiliserProducts[[#Headers],[Company]], 91)</f>
        <v/>
      </c>
      <c r="AG203" s="215" t="str" cm="1">
        <f t="array" ref="AG203">Common_InputFunctions.Utility_DisplayArrayInTable(Fertiliser_SourceData.Fertiliser_Products_Data4(),FertiliserProducts[[#Headers],[Company]], 91)</f>
        <v/>
      </c>
      <c r="AH203" s="215" t="str" cm="1">
        <f t="array" ref="AH203">Common_InputFunctions.Utility_DisplayArrayInTable(Fertiliser_SourceData.Fertiliser_Products_Data4(),FertiliserProducts[[#Headers],[Company]], 91)</f>
        <v/>
      </c>
    </row>
    <row r="204" spans="4:34" ht="20.100000000000001" customHeight="1" x14ac:dyDescent="0.25">
      <c r="D204" s="215" t="str" cm="1">
        <f t="array" ref="D204">Common_InputFunctions.Utility_DisplayArrayInTable(Fertiliser_SourceData.Fertiliser_Products_Data4(),FertiliserProducts[[#Headers],[Company]], 91)</f>
        <v>Wengfu Australia</v>
      </c>
      <c r="E204" s="215" t="str" cm="1">
        <f t="array" ref="E204">Common_InputFunctions.Utility_DisplayArrayInTable(Fertiliser_SourceData.Fertiliser_Products_Data4(),FertiliserProducts[[#Headers],[Company]], 91)</f>
        <v>Wengfu 15-17-0-15 DAP SuStain</v>
      </c>
      <c r="F204" s="215" t="str" cm="1">
        <f t="array" ref="F204">Common_InputFunctions.Utility_DisplayArrayInTable(Fertiliser_SourceData.Fertiliser_Products_Data4(),FertiliserProducts[[#Headers],[Company]], 91)</f>
        <v>kg</v>
      </c>
      <c r="G204" s="215" cm="1">
        <f t="array" ref="G204">Common_InputFunctions.Utility_DisplayArrayInTable(Fertiliser_SourceData.Fertiliser_Products_Data4(),FertiliserProducts[[#Headers],[Company]], 91)</f>
        <v>1</v>
      </c>
      <c r="H204" s="215" t="str" cm="1">
        <f t="array" ref="H204">Common_InputFunctions.Utility_DisplayArrayInTable(Fertiliser_SourceData.Fertiliser_Products_Data4(),FertiliserProducts[[#Headers],[Company]], 91)</f>
        <v/>
      </c>
      <c r="I204" s="215" t="str" cm="1">
        <f t="array" ref="I204">Common_InputFunctions.Utility_DisplayArrayInTable(Fertiliser_SourceData.Fertiliser_Products_Data4(),FertiliserProducts[[#Headers],[Company]], 91)</f>
        <v/>
      </c>
      <c r="J204" s="215" t="str" cm="1">
        <f t="array" ref="J204">Common_InputFunctions.Utility_DisplayArrayInTable(Fertiliser_SourceData.Fertiliser_Products_Data4(),FertiliserProducts[[#Headers],[Company]], 91)</f>
        <v/>
      </c>
      <c r="K204" s="215" cm="1">
        <f t="array" ref="K204">Common_InputFunctions.Utility_DisplayArrayInTable(Fertiliser_SourceData.Fertiliser_Products_Data4(),FertiliserProducts[[#Headers],[Company]], 91)</f>
        <v>15.2</v>
      </c>
      <c r="L204" s="215" cm="1">
        <f t="array" ref="L204">Common_InputFunctions.Utility_DisplayArrayInTable(Fertiliser_SourceData.Fertiliser_Products_Data4(),FertiliserProducts[[#Headers],[Company]], 91)</f>
        <v>16.899999999999999</v>
      </c>
      <c r="M204" s="215" cm="1">
        <f t="array" ref="M204">Common_InputFunctions.Utility_DisplayArrayInTable(Fertiliser_SourceData.Fertiliser_Products_Data4(),FertiliserProducts[[#Headers],[Company]], 91)</f>
        <v>0</v>
      </c>
      <c r="N204" s="215" cm="1">
        <f t="array" ref="N204">Common_InputFunctions.Utility_DisplayArrayInTable(Fertiliser_SourceData.Fertiliser_Products_Data4(),FertiliserProducts[[#Headers],[Company]], 91)</f>
        <v>15.2</v>
      </c>
      <c r="O204" s="215" t="str" cm="1">
        <f t="array" ref="O204">Common_InputFunctions.Utility_DisplayArrayInTable(Fertiliser_SourceData.Fertiliser_Products_Data4(),FertiliserProducts[[#Headers],[Company]], 91)</f>
        <v>Nitrogen - Generic</v>
      </c>
      <c r="P204" s="215" cm="1">
        <f t="array" ref="P204">Common_InputFunctions.Utility_DisplayArrayInTable(Fertiliser_SourceData.Fertiliser_Products_Data4(),FertiliserProducts[[#Headers],[Company]], 91)</f>
        <v>0.152</v>
      </c>
      <c r="Q204" s="215" t="str" cm="1">
        <f t="array" ref="Q204">Common_InputFunctions.Utility_DisplayArrayInTable(Fertiliser_SourceData.Fertiliser_Products_Data4(),FertiliserProducts[[#Headers],[Company]], 91)</f>
        <v>Phosphorus - Generic</v>
      </c>
      <c r="R204" s="215" cm="1">
        <f t="array" ref="R204">Common_InputFunctions.Utility_DisplayArrayInTable(Fertiliser_SourceData.Fertiliser_Products_Data4(),FertiliserProducts[[#Headers],[Company]], 91)</f>
        <v>0.16900000000000001</v>
      </c>
      <c r="S204" s="215" t="str" cm="1">
        <f t="array" ref="S204">Common_InputFunctions.Utility_DisplayArrayInTable(Fertiliser_SourceData.Fertiliser_Products_Data4(),FertiliserProducts[[#Headers],[Company]], 91)</f>
        <v>Sulfur - Generic</v>
      </c>
      <c r="T204" s="215" cm="1">
        <f t="array" ref="T204">Common_InputFunctions.Utility_DisplayArrayInTable(Fertiliser_SourceData.Fertiliser_Products_Data4(),FertiliserProducts[[#Headers],[Company]], 91)</f>
        <v>0.152</v>
      </c>
      <c r="U204" s="215" t="str" cm="1">
        <f t="array" ref="U204">Common_InputFunctions.Utility_DisplayArrayInTable(Fertiliser_SourceData.Fertiliser_Products_Data4(),FertiliserProducts[[#Headers],[Company]], 91)</f>
        <v/>
      </c>
      <c r="V204" s="215" t="str" cm="1">
        <f t="array" ref="V204">Common_InputFunctions.Utility_DisplayArrayInTable(Fertiliser_SourceData.Fertiliser_Products_Data4(),FertiliserProducts[[#Headers],[Company]], 91)</f>
        <v/>
      </c>
      <c r="W204" s="215" t="str" cm="1">
        <f t="array" ref="W204">Common_InputFunctions.Utility_DisplayArrayInTable(Fertiliser_SourceData.Fertiliser_Products_Data4(),FertiliserProducts[[#Headers],[Company]], 91)</f>
        <v/>
      </c>
      <c r="X204" s="215" t="str" cm="1">
        <f t="array" ref="X204">Common_InputFunctions.Utility_DisplayArrayInTable(Fertiliser_SourceData.Fertiliser_Products_Data4(),FertiliserProducts[[#Headers],[Company]], 91)</f>
        <v/>
      </c>
      <c r="Y204" s="215" t="str" cm="1">
        <f t="array" ref="Y204">Common_InputFunctions.Utility_DisplayArrayInTable(Fertiliser_SourceData.Fertiliser_Products_Data4(),FertiliserProducts[[#Headers],[Company]], 91)</f>
        <v/>
      </c>
      <c r="Z204" s="215" t="str" cm="1">
        <f t="array" ref="Z204">Common_InputFunctions.Utility_DisplayArrayInTable(Fertiliser_SourceData.Fertiliser_Products_Data4(),FertiliserProducts[[#Headers],[Company]], 91)</f>
        <v/>
      </c>
      <c r="AA204" s="215" t="str" cm="1">
        <f t="array" ref="AA204">Common_InputFunctions.Utility_DisplayArrayInTable(Fertiliser_SourceData.Fertiliser_Products_Data4(),FertiliserProducts[[#Headers],[Company]], 91)</f>
        <v/>
      </c>
      <c r="AB204" s="215" t="str" cm="1">
        <f t="array" ref="AB204">Common_InputFunctions.Utility_DisplayArrayInTable(Fertiliser_SourceData.Fertiliser_Products_Data4(),FertiliserProducts[[#Headers],[Company]], 91)</f>
        <v/>
      </c>
      <c r="AC204" s="215" t="str" cm="1">
        <f t="array" ref="AC204">Common_InputFunctions.Utility_DisplayArrayInTable(Fertiliser_SourceData.Fertiliser_Products_Data4(),FertiliserProducts[[#Headers],[Company]], 91)</f>
        <v/>
      </c>
      <c r="AD204" s="215" t="str" cm="1">
        <f t="array" ref="AD204">Common_InputFunctions.Utility_DisplayArrayInTable(Fertiliser_SourceData.Fertiliser_Products_Data4(),FertiliserProducts[[#Headers],[Company]], 91)</f>
        <v/>
      </c>
      <c r="AE204" s="215" t="str" cm="1">
        <f t="array" ref="AE204">Common_InputFunctions.Utility_DisplayArrayInTable(Fertiliser_SourceData.Fertiliser_Products_Data4(),FertiliserProducts[[#Headers],[Company]], 91)</f>
        <v/>
      </c>
      <c r="AF204" s="215" t="str" cm="1">
        <f t="array" ref="AF204">Common_InputFunctions.Utility_DisplayArrayInTable(Fertiliser_SourceData.Fertiliser_Products_Data4(),FertiliserProducts[[#Headers],[Company]], 91)</f>
        <v/>
      </c>
      <c r="AG204" s="215" t="str" cm="1">
        <f t="array" ref="AG204">Common_InputFunctions.Utility_DisplayArrayInTable(Fertiliser_SourceData.Fertiliser_Products_Data4(),FertiliserProducts[[#Headers],[Company]], 91)</f>
        <v/>
      </c>
      <c r="AH204" s="215" t="str" cm="1">
        <f t="array" ref="AH204">Common_InputFunctions.Utility_DisplayArrayInTable(Fertiliser_SourceData.Fertiliser_Products_Data4(),FertiliserProducts[[#Headers],[Company]], 91)</f>
        <v/>
      </c>
    </row>
    <row r="205" spans="4:34" ht="20.100000000000001" customHeight="1" x14ac:dyDescent="0.25">
      <c r="D205" s="215" t="str" cm="1">
        <f t="array" ref="D205">Common_InputFunctions.Utility_DisplayArrayInTable(Fertiliser_SourceData.Fertiliser_Products_Data4(),FertiliserProducts[[#Headers],[Company]], 91)</f>
        <v>Wengfu Australia</v>
      </c>
      <c r="E205" s="215" t="str" cm="1">
        <f t="array" ref="E205">Common_InputFunctions.Utility_DisplayArrayInTable(Fertiliser_SourceData.Fertiliser_Products_Data4(),FertiliserProducts[[#Headers],[Company]], 91)</f>
        <v>Wengfu 16-18-0-10 DAP SuStain</v>
      </c>
      <c r="F205" s="215" t="str" cm="1">
        <f t="array" ref="F205">Common_InputFunctions.Utility_DisplayArrayInTable(Fertiliser_SourceData.Fertiliser_Products_Data4(),FertiliserProducts[[#Headers],[Company]], 91)</f>
        <v>kg</v>
      </c>
      <c r="G205" s="215" cm="1">
        <f t="array" ref="G205">Common_InputFunctions.Utility_DisplayArrayInTable(Fertiliser_SourceData.Fertiliser_Products_Data4(),FertiliserProducts[[#Headers],[Company]], 91)</f>
        <v>1</v>
      </c>
      <c r="H205" s="215" t="str" cm="1">
        <f t="array" ref="H205">Common_InputFunctions.Utility_DisplayArrayInTable(Fertiliser_SourceData.Fertiliser_Products_Data4(),FertiliserProducts[[#Headers],[Company]], 91)</f>
        <v/>
      </c>
      <c r="I205" s="215" t="str" cm="1">
        <f t="array" ref="I205">Common_InputFunctions.Utility_DisplayArrayInTable(Fertiliser_SourceData.Fertiliser_Products_Data4(),FertiliserProducts[[#Headers],[Company]], 91)</f>
        <v/>
      </c>
      <c r="J205" s="215" t="str" cm="1">
        <f t="array" ref="J205">Common_InputFunctions.Utility_DisplayArrayInTable(Fertiliser_SourceData.Fertiliser_Products_Data4(),FertiliserProducts[[#Headers],[Company]], 91)</f>
        <v/>
      </c>
      <c r="K205" s="215" cm="1">
        <f t="array" ref="K205">Common_InputFunctions.Utility_DisplayArrayInTable(Fertiliser_SourceData.Fertiliser_Products_Data4(),FertiliserProducts[[#Headers],[Company]], 91)</f>
        <v>16.2</v>
      </c>
      <c r="L205" s="215" cm="1">
        <f t="array" ref="L205">Common_InputFunctions.Utility_DisplayArrayInTable(Fertiliser_SourceData.Fertiliser_Products_Data4(),FertiliserProducts[[#Headers],[Company]], 91)</f>
        <v>18</v>
      </c>
      <c r="M205" s="215" cm="1">
        <f t="array" ref="M205">Common_InputFunctions.Utility_DisplayArrayInTable(Fertiliser_SourceData.Fertiliser_Products_Data4(),FertiliserProducts[[#Headers],[Company]], 91)</f>
        <v>0</v>
      </c>
      <c r="N205" s="215" cm="1">
        <f t="array" ref="N205">Common_InputFunctions.Utility_DisplayArrayInTable(Fertiliser_SourceData.Fertiliser_Products_Data4(),FertiliserProducts[[#Headers],[Company]], 91)</f>
        <v>10.4</v>
      </c>
      <c r="O205" s="215" t="str" cm="1">
        <f t="array" ref="O205">Common_InputFunctions.Utility_DisplayArrayInTable(Fertiliser_SourceData.Fertiliser_Products_Data4(),FertiliserProducts[[#Headers],[Company]], 91)</f>
        <v>Nitrogen - Generic</v>
      </c>
      <c r="P205" s="215" cm="1">
        <f t="array" ref="P205">Common_InputFunctions.Utility_DisplayArrayInTable(Fertiliser_SourceData.Fertiliser_Products_Data4(),FertiliserProducts[[#Headers],[Company]], 91)</f>
        <v>0.16200000000000001</v>
      </c>
      <c r="Q205" s="215" t="str" cm="1">
        <f t="array" ref="Q205">Common_InputFunctions.Utility_DisplayArrayInTable(Fertiliser_SourceData.Fertiliser_Products_Data4(),FertiliserProducts[[#Headers],[Company]], 91)</f>
        <v>Phosphorus - Generic</v>
      </c>
      <c r="R205" s="215" cm="1">
        <f t="array" ref="R205">Common_InputFunctions.Utility_DisplayArrayInTable(Fertiliser_SourceData.Fertiliser_Products_Data4(),FertiliserProducts[[#Headers],[Company]], 91)</f>
        <v>0.18</v>
      </c>
      <c r="S205" s="215" t="str" cm="1">
        <f t="array" ref="S205">Common_InputFunctions.Utility_DisplayArrayInTable(Fertiliser_SourceData.Fertiliser_Products_Data4(),FertiliserProducts[[#Headers],[Company]], 91)</f>
        <v>Sulfur - Generic</v>
      </c>
      <c r="T205" s="215" cm="1">
        <f t="array" ref="T205">Common_InputFunctions.Utility_DisplayArrayInTable(Fertiliser_SourceData.Fertiliser_Products_Data4(),FertiliserProducts[[#Headers],[Company]], 91)</f>
        <v>0.104</v>
      </c>
      <c r="U205" s="215" t="str" cm="1">
        <f t="array" ref="U205">Common_InputFunctions.Utility_DisplayArrayInTable(Fertiliser_SourceData.Fertiliser_Products_Data4(),FertiliserProducts[[#Headers],[Company]], 91)</f>
        <v/>
      </c>
      <c r="V205" s="215" t="str" cm="1">
        <f t="array" ref="V205">Common_InputFunctions.Utility_DisplayArrayInTable(Fertiliser_SourceData.Fertiliser_Products_Data4(),FertiliserProducts[[#Headers],[Company]], 91)</f>
        <v/>
      </c>
      <c r="W205" s="215" t="str" cm="1">
        <f t="array" ref="W205">Common_InputFunctions.Utility_DisplayArrayInTable(Fertiliser_SourceData.Fertiliser_Products_Data4(),FertiliserProducts[[#Headers],[Company]], 91)</f>
        <v/>
      </c>
      <c r="X205" s="215" t="str" cm="1">
        <f t="array" ref="X205">Common_InputFunctions.Utility_DisplayArrayInTable(Fertiliser_SourceData.Fertiliser_Products_Data4(),FertiliserProducts[[#Headers],[Company]], 91)</f>
        <v/>
      </c>
      <c r="Y205" s="215" t="str" cm="1">
        <f t="array" ref="Y205">Common_InputFunctions.Utility_DisplayArrayInTable(Fertiliser_SourceData.Fertiliser_Products_Data4(),FertiliserProducts[[#Headers],[Company]], 91)</f>
        <v/>
      </c>
      <c r="Z205" s="215" t="str" cm="1">
        <f t="array" ref="Z205">Common_InputFunctions.Utility_DisplayArrayInTable(Fertiliser_SourceData.Fertiliser_Products_Data4(),FertiliserProducts[[#Headers],[Company]], 91)</f>
        <v/>
      </c>
      <c r="AA205" s="215" t="str" cm="1">
        <f t="array" ref="AA205">Common_InputFunctions.Utility_DisplayArrayInTable(Fertiliser_SourceData.Fertiliser_Products_Data4(),FertiliserProducts[[#Headers],[Company]], 91)</f>
        <v/>
      </c>
      <c r="AB205" s="215" t="str" cm="1">
        <f t="array" ref="AB205">Common_InputFunctions.Utility_DisplayArrayInTable(Fertiliser_SourceData.Fertiliser_Products_Data4(),FertiliserProducts[[#Headers],[Company]], 91)</f>
        <v/>
      </c>
      <c r="AC205" s="215" t="str" cm="1">
        <f t="array" ref="AC205">Common_InputFunctions.Utility_DisplayArrayInTable(Fertiliser_SourceData.Fertiliser_Products_Data4(),FertiliserProducts[[#Headers],[Company]], 91)</f>
        <v/>
      </c>
      <c r="AD205" s="215" t="str" cm="1">
        <f t="array" ref="AD205">Common_InputFunctions.Utility_DisplayArrayInTable(Fertiliser_SourceData.Fertiliser_Products_Data4(),FertiliserProducts[[#Headers],[Company]], 91)</f>
        <v/>
      </c>
      <c r="AE205" s="215" t="str" cm="1">
        <f t="array" ref="AE205">Common_InputFunctions.Utility_DisplayArrayInTable(Fertiliser_SourceData.Fertiliser_Products_Data4(),FertiliserProducts[[#Headers],[Company]], 91)</f>
        <v/>
      </c>
      <c r="AF205" s="215" t="str" cm="1">
        <f t="array" ref="AF205">Common_InputFunctions.Utility_DisplayArrayInTable(Fertiliser_SourceData.Fertiliser_Products_Data4(),FertiliserProducts[[#Headers],[Company]], 91)</f>
        <v/>
      </c>
      <c r="AG205" s="215" t="str" cm="1">
        <f t="array" ref="AG205">Common_InputFunctions.Utility_DisplayArrayInTable(Fertiliser_SourceData.Fertiliser_Products_Data4(),FertiliserProducts[[#Headers],[Company]], 91)</f>
        <v/>
      </c>
      <c r="AH205" s="215" t="str" cm="1">
        <f t="array" ref="AH205">Common_InputFunctions.Utility_DisplayArrayInTable(Fertiliser_SourceData.Fertiliser_Products_Data4(),FertiliserProducts[[#Headers],[Company]], 91)</f>
        <v/>
      </c>
    </row>
    <row r="206" spans="4:34" ht="20.100000000000001" customHeight="1" x14ac:dyDescent="0.25">
      <c r="D206" s="215" t="str" cm="1">
        <f t="array" ref="D206">Common_InputFunctions.Utility_DisplayArrayInTable(Fertiliser_SourceData.Fertiliser_Products_Data4(),FertiliserProducts[[#Headers],[Company]], 91)</f>
        <v>Wengfu Australia</v>
      </c>
      <c r="E206" s="215" t="str" cm="1">
        <f t="array" ref="E206">Common_InputFunctions.Utility_DisplayArrayInTable(Fertiliser_SourceData.Fertiliser_Products_Data4(),FertiliserProducts[[#Headers],[Company]], 91)</f>
        <v>Wengfu 5-15-0-6 Fast Start Legume</v>
      </c>
      <c r="F206" s="215" t="str" cm="1">
        <f t="array" ref="F206">Common_InputFunctions.Utility_DisplayArrayInTable(Fertiliser_SourceData.Fertiliser_Products_Data4(),FertiliserProducts[[#Headers],[Company]], 91)</f>
        <v>kg</v>
      </c>
      <c r="G206" s="215" cm="1">
        <f t="array" ref="G206">Common_InputFunctions.Utility_DisplayArrayInTable(Fertiliser_SourceData.Fertiliser_Products_Data4(),FertiliserProducts[[#Headers],[Company]], 91)</f>
        <v>1</v>
      </c>
      <c r="H206" s="215" t="str" cm="1">
        <f t="array" ref="H206">Common_InputFunctions.Utility_DisplayArrayInTable(Fertiliser_SourceData.Fertiliser_Products_Data4(),FertiliserProducts[[#Headers],[Company]], 91)</f>
        <v/>
      </c>
      <c r="I206" s="215" t="str" cm="1">
        <f t="array" ref="I206">Common_InputFunctions.Utility_DisplayArrayInTable(Fertiliser_SourceData.Fertiliser_Products_Data4(),FertiliserProducts[[#Headers],[Company]], 91)</f>
        <v/>
      </c>
      <c r="J206" s="215" t="str" cm="1">
        <f t="array" ref="J206">Common_InputFunctions.Utility_DisplayArrayInTable(Fertiliser_SourceData.Fertiliser_Products_Data4(),FertiliserProducts[[#Headers],[Company]], 91)</f>
        <v/>
      </c>
      <c r="K206" s="215" cm="1">
        <f t="array" ref="K206">Common_InputFunctions.Utility_DisplayArrayInTable(Fertiliser_SourceData.Fertiliser_Products_Data4(),FertiliserProducts[[#Headers],[Company]], 91)</f>
        <v>5</v>
      </c>
      <c r="L206" s="215" cm="1">
        <f t="array" ref="L206">Common_InputFunctions.Utility_DisplayArrayInTable(Fertiliser_SourceData.Fertiliser_Products_Data4(),FertiliserProducts[[#Headers],[Company]], 91)</f>
        <v>15.4</v>
      </c>
      <c r="M206" s="215" cm="1">
        <f t="array" ref="M206">Common_InputFunctions.Utility_DisplayArrayInTable(Fertiliser_SourceData.Fertiliser_Products_Data4(),FertiliserProducts[[#Headers],[Company]], 91)</f>
        <v>0</v>
      </c>
      <c r="N206" s="215" cm="1">
        <f t="array" ref="N206">Common_InputFunctions.Utility_DisplayArrayInTable(Fertiliser_SourceData.Fertiliser_Products_Data4(),FertiliserProducts[[#Headers],[Company]], 91)</f>
        <v>6.3</v>
      </c>
      <c r="O206" s="215" t="str" cm="1">
        <f t="array" ref="O206">Common_InputFunctions.Utility_DisplayArrayInTable(Fertiliser_SourceData.Fertiliser_Products_Data4(),FertiliserProducts[[#Headers],[Company]], 91)</f>
        <v>Nitrogen - Generic</v>
      </c>
      <c r="P206" s="215" cm="1">
        <f t="array" ref="P206">Common_InputFunctions.Utility_DisplayArrayInTable(Fertiliser_SourceData.Fertiliser_Products_Data4(),FertiliserProducts[[#Headers],[Company]], 91)</f>
        <v>0.05</v>
      </c>
      <c r="Q206" s="215" t="str" cm="1">
        <f t="array" ref="Q206">Common_InputFunctions.Utility_DisplayArrayInTable(Fertiliser_SourceData.Fertiliser_Products_Data4(),FertiliserProducts[[#Headers],[Company]], 91)</f>
        <v>Phosphorus - Generic</v>
      </c>
      <c r="R206" s="215" cm="1">
        <f t="array" ref="R206">Common_InputFunctions.Utility_DisplayArrayInTable(Fertiliser_SourceData.Fertiliser_Products_Data4(),FertiliserProducts[[#Headers],[Company]], 91)</f>
        <v>0.154</v>
      </c>
      <c r="S206" s="215" t="str" cm="1">
        <f t="array" ref="S206">Common_InputFunctions.Utility_DisplayArrayInTable(Fertiliser_SourceData.Fertiliser_Products_Data4(),FertiliserProducts[[#Headers],[Company]], 91)</f>
        <v>Sulfur - Generic</v>
      </c>
      <c r="T206" s="215" cm="1">
        <f t="array" ref="T206">Common_InputFunctions.Utility_DisplayArrayInTable(Fertiliser_SourceData.Fertiliser_Products_Data4(),FertiliserProducts[[#Headers],[Company]], 91)</f>
        <v>6.3E-2</v>
      </c>
      <c r="U206" s="215" t="str" cm="1">
        <f t="array" ref="U206">Common_InputFunctions.Utility_DisplayArrayInTable(Fertiliser_SourceData.Fertiliser_Products_Data4(),FertiliserProducts[[#Headers],[Company]], 91)</f>
        <v/>
      </c>
      <c r="V206" s="215" t="str" cm="1">
        <f t="array" ref="V206">Common_InputFunctions.Utility_DisplayArrayInTable(Fertiliser_SourceData.Fertiliser_Products_Data4(),FertiliserProducts[[#Headers],[Company]], 91)</f>
        <v/>
      </c>
      <c r="W206" s="215" t="str" cm="1">
        <f t="array" ref="W206">Common_InputFunctions.Utility_DisplayArrayInTable(Fertiliser_SourceData.Fertiliser_Products_Data4(),FertiliserProducts[[#Headers],[Company]], 91)</f>
        <v/>
      </c>
      <c r="X206" s="215" t="str" cm="1">
        <f t="array" ref="X206">Common_InputFunctions.Utility_DisplayArrayInTable(Fertiliser_SourceData.Fertiliser_Products_Data4(),FertiliserProducts[[#Headers],[Company]], 91)</f>
        <v/>
      </c>
      <c r="Y206" s="215" t="str" cm="1">
        <f t="array" ref="Y206">Common_InputFunctions.Utility_DisplayArrayInTable(Fertiliser_SourceData.Fertiliser_Products_Data4(),FertiliserProducts[[#Headers],[Company]], 91)</f>
        <v/>
      </c>
      <c r="Z206" s="215" t="str" cm="1">
        <f t="array" ref="Z206">Common_InputFunctions.Utility_DisplayArrayInTable(Fertiliser_SourceData.Fertiliser_Products_Data4(),FertiliserProducts[[#Headers],[Company]], 91)</f>
        <v/>
      </c>
      <c r="AA206" s="215" t="str" cm="1">
        <f t="array" ref="AA206">Common_InputFunctions.Utility_DisplayArrayInTable(Fertiliser_SourceData.Fertiliser_Products_Data4(),FertiliserProducts[[#Headers],[Company]], 91)</f>
        <v/>
      </c>
      <c r="AB206" s="215" t="str" cm="1">
        <f t="array" ref="AB206">Common_InputFunctions.Utility_DisplayArrayInTable(Fertiliser_SourceData.Fertiliser_Products_Data4(),FertiliserProducts[[#Headers],[Company]], 91)</f>
        <v/>
      </c>
      <c r="AC206" s="215" t="str" cm="1">
        <f t="array" ref="AC206">Common_InputFunctions.Utility_DisplayArrayInTable(Fertiliser_SourceData.Fertiliser_Products_Data4(),FertiliserProducts[[#Headers],[Company]], 91)</f>
        <v/>
      </c>
      <c r="AD206" s="215" t="str" cm="1">
        <f t="array" ref="AD206">Common_InputFunctions.Utility_DisplayArrayInTable(Fertiliser_SourceData.Fertiliser_Products_Data4(),FertiliserProducts[[#Headers],[Company]], 91)</f>
        <v/>
      </c>
      <c r="AE206" s="215" t="str" cm="1">
        <f t="array" ref="AE206">Common_InputFunctions.Utility_DisplayArrayInTable(Fertiliser_SourceData.Fertiliser_Products_Data4(),FertiliserProducts[[#Headers],[Company]], 91)</f>
        <v/>
      </c>
      <c r="AF206" s="215" t="str" cm="1">
        <f t="array" ref="AF206">Common_InputFunctions.Utility_DisplayArrayInTable(Fertiliser_SourceData.Fertiliser_Products_Data4(),FertiliserProducts[[#Headers],[Company]], 91)</f>
        <v/>
      </c>
      <c r="AG206" s="215" t="str" cm="1">
        <f t="array" ref="AG206">Common_InputFunctions.Utility_DisplayArrayInTable(Fertiliser_SourceData.Fertiliser_Products_Data4(),FertiliserProducts[[#Headers],[Company]], 91)</f>
        <v/>
      </c>
      <c r="AH206" s="215" t="str" cm="1">
        <f t="array" ref="AH206">Common_InputFunctions.Utility_DisplayArrayInTable(Fertiliser_SourceData.Fertiliser_Products_Data4(),FertiliserProducts[[#Headers],[Company]], 91)</f>
        <v/>
      </c>
    </row>
    <row r="207" spans="4:34" ht="20.100000000000001" customHeight="1" x14ac:dyDescent="0.25">
      <c r="D207" s="215" t="str" cm="1">
        <f t="array" ref="D207">Common_InputFunctions.Utility_DisplayArrayInTable(Fertiliser_SourceData.Fertiliser_Products_Data4(),FertiliserProducts[[#Headers],[Company]], 91)</f>
        <v>Wengfu Australia</v>
      </c>
      <c r="E207" s="215" t="str" cm="1">
        <f t="array" ref="E207">Common_InputFunctions.Utility_DisplayArrayInTable(Fertiliser_SourceData.Fertiliser_Products_Data4(),FertiliserProducts[[#Headers],[Company]], 91)</f>
        <v>Wengfu 9-20-0-10 PrimeZinc</v>
      </c>
      <c r="F207" s="215" t="str" cm="1">
        <f t="array" ref="F207">Common_InputFunctions.Utility_DisplayArrayInTable(Fertiliser_SourceData.Fertiliser_Products_Data4(),FertiliserProducts[[#Headers],[Company]], 91)</f>
        <v>kg</v>
      </c>
      <c r="G207" s="215" cm="1">
        <f t="array" ref="G207">Common_InputFunctions.Utility_DisplayArrayInTable(Fertiliser_SourceData.Fertiliser_Products_Data4(),FertiliserProducts[[#Headers],[Company]], 91)</f>
        <v>1</v>
      </c>
      <c r="H207" s="215" t="str" cm="1">
        <f t="array" ref="H207">Common_InputFunctions.Utility_DisplayArrayInTable(Fertiliser_SourceData.Fertiliser_Products_Data4(),FertiliserProducts[[#Headers],[Company]], 91)</f>
        <v/>
      </c>
      <c r="I207" s="215" t="str" cm="1">
        <f t="array" ref="I207">Common_InputFunctions.Utility_DisplayArrayInTable(Fertiliser_SourceData.Fertiliser_Products_Data4(),FertiliserProducts[[#Headers],[Company]], 91)</f>
        <v/>
      </c>
      <c r="J207" s="215" t="str" cm="1">
        <f t="array" ref="J207">Common_InputFunctions.Utility_DisplayArrayInTable(Fertiliser_SourceData.Fertiliser_Products_Data4(),FertiliserProducts[[#Headers],[Company]], 91)</f>
        <v/>
      </c>
      <c r="K207" s="215" cm="1">
        <f t="array" ref="K207">Common_InputFunctions.Utility_DisplayArrayInTable(Fertiliser_SourceData.Fertiliser_Products_Data4(),FertiliserProducts[[#Headers],[Company]], 91)</f>
        <v>9</v>
      </c>
      <c r="L207" s="215" cm="1">
        <f t="array" ref="L207">Common_InputFunctions.Utility_DisplayArrayInTable(Fertiliser_SourceData.Fertiliser_Products_Data4(),FertiliserProducts[[#Headers],[Company]], 91)</f>
        <v>19.8</v>
      </c>
      <c r="M207" s="215" cm="1">
        <f t="array" ref="M207">Common_InputFunctions.Utility_DisplayArrayInTable(Fertiliser_SourceData.Fertiliser_Products_Data4(),FertiliserProducts[[#Headers],[Company]], 91)</f>
        <v>0</v>
      </c>
      <c r="N207" s="215" cm="1">
        <f t="array" ref="N207">Common_InputFunctions.Utility_DisplayArrayInTable(Fertiliser_SourceData.Fertiliser_Products_Data4(),FertiliserProducts[[#Headers],[Company]], 91)</f>
        <v>10.4</v>
      </c>
      <c r="O207" s="215" t="str" cm="1">
        <f t="array" ref="O207">Common_InputFunctions.Utility_DisplayArrayInTable(Fertiliser_SourceData.Fertiliser_Products_Data4(),FertiliserProducts[[#Headers],[Company]], 91)</f>
        <v>Nitrogen - Generic</v>
      </c>
      <c r="P207" s="215" cm="1">
        <f t="array" ref="P207">Common_InputFunctions.Utility_DisplayArrayInTable(Fertiliser_SourceData.Fertiliser_Products_Data4(),FertiliserProducts[[#Headers],[Company]], 91)</f>
        <v>0.09</v>
      </c>
      <c r="Q207" s="215" t="str" cm="1">
        <f t="array" ref="Q207">Common_InputFunctions.Utility_DisplayArrayInTable(Fertiliser_SourceData.Fertiliser_Products_Data4(),FertiliserProducts[[#Headers],[Company]], 91)</f>
        <v>Phosphorus - Generic</v>
      </c>
      <c r="R207" s="215" cm="1">
        <f t="array" ref="R207">Common_InputFunctions.Utility_DisplayArrayInTable(Fertiliser_SourceData.Fertiliser_Products_Data4(),FertiliserProducts[[#Headers],[Company]], 91)</f>
        <v>0.19800000000000001</v>
      </c>
      <c r="S207" s="215" t="str" cm="1">
        <f t="array" ref="S207">Common_InputFunctions.Utility_DisplayArrayInTable(Fertiliser_SourceData.Fertiliser_Products_Data4(),FertiliserProducts[[#Headers],[Company]], 91)</f>
        <v>Sulfur - Generic</v>
      </c>
      <c r="T207" s="215" cm="1">
        <f t="array" ref="T207">Common_InputFunctions.Utility_DisplayArrayInTable(Fertiliser_SourceData.Fertiliser_Products_Data4(),FertiliserProducts[[#Headers],[Company]], 91)</f>
        <v>0.104</v>
      </c>
      <c r="U207" s="215" t="str" cm="1">
        <f t="array" ref="U207">Common_InputFunctions.Utility_DisplayArrayInTable(Fertiliser_SourceData.Fertiliser_Products_Data4(),FertiliserProducts[[#Headers],[Company]], 91)</f>
        <v>Zinc</v>
      </c>
      <c r="V207" s="215" cm="1">
        <f t="array" ref="V207">Common_InputFunctions.Utility_DisplayArrayInTable(Fertiliser_SourceData.Fertiliser_Products_Data4(),FertiliserProducts[[#Headers],[Company]], 91)</f>
        <v>8.9999999999999993E-3</v>
      </c>
      <c r="W207" s="215" t="str" cm="1">
        <f t="array" ref="W207">Common_InputFunctions.Utility_DisplayArrayInTable(Fertiliser_SourceData.Fertiliser_Products_Data4(),FertiliserProducts[[#Headers],[Company]], 91)</f>
        <v/>
      </c>
      <c r="X207" s="215" t="str" cm="1">
        <f t="array" ref="X207">Common_InputFunctions.Utility_DisplayArrayInTable(Fertiliser_SourceData.Fertiliser_Products_Data4(),FertiliserProducts[[#Headers],[Company]], 91)</f>
        <v/>
      </c>
      <c r="Y207" s="215" t="str" cm="1">
        <f t="array" ref="Y207">Common_InputFunctions.Utility_DisplayArrayInTable(Fertiliser_SourceData.Fertiliser_Products_Data4(),FertiliserProducts[[#Headers],[Company]], 91)</f>
        <v/>
      </c>
      <c r="Z207" s="215" t="str" cm="1">
        <f t="array" ref="Z207">Common_InputFunctions.Utility_DisplayArrayInTable(Fertiliser_SourceData.Fertiliser_Products_Data4(),FertiliserProducts[[#Headers],[Company]], 91)</f>
        <v/>
      </c>
      <c r="AA207" s="215" t="str" cm="1">
        <f t="array" ref="AA207">Common_InputFunctions.Utility_DisplayArrayInTable(Fertiliser_SourceData.Fertiliser_Products_Data4(),FertiliserProducts[[#Headers],[Company]], 91)</f>
        <v/>
      </c>
      <c r="AB207" s="215" t="str" cm="1">
        <f t="array" ref="AB207">Common_InputFunctions.Utility_DisplayArrayInTable(Fertiliser_SourceData.Fertiliser_Products_Data4(),FertiliserProducts[[#Headers],[Company]], 91)</f>
        <v/>
      </c>
      <c r="AC207" s="215" t="str" cm="1">
        <f t="array" ref="AC207">Common_InputFunctions.Utility_DisplayArrayInTable(Fertiliser_SourceData.Fertiliser_Products_Data4(),FertiliserProducts[[#Headers],[Company]], 91)</f>
        <v/>
      </c>
      <c r="AD207" s="215" t="str" cm="1">
        <f t="array" ref="AD207">Common_InputFunctions.Utility_DisplayArrayInTable(Fertiliser_SourceData.Fertiliser_Products_Data4(),FertiliserProducts[[#Headers],[Company]], 91)</f>
        <v/>
      </c>
      <c r="AE207" s="215" t="str" cm="1">
        <f t="array" ref="AE207">Common_InputFunctions.Utility_DisplayArrayInTable(Fertiliser_SourceData.Fertiliser_Products_Data4(),FertiliserProducts[[#Headers],[Company]], 91)</f>
        <v/>
      </c>
      <c r="AF207" s="215" t="str" cm="1">
        <f t="array" ref="AF207">Common_InputFunctions.Utility_DisplayArrayInTable(Fertiliser_SourceData.Fertiliser_Products_Data4(),FertiliserProducts[[#Headers],[Company]], 91)</f>
        <v/>
      </c>
      <c r="AG207" s="215" t="str" cm="1">
        <f t="array" ref="AG207">Common_InputFunctions.Utility_DisplayArrayInTable(Fertiliser_SourceData.Fertiliser_Products_Data4(),FertiliserProducts[[#Headers],[Company]], 91)</f>
        <v/>
      </c>
      <c r="AH207" s="215" t="str" cm="1">
        <f t="array" ref="AH207">Common_InputFunctions.Utility_DisplayArrayInTable(Fertiliser_SourceData.Fertiliser_Products_Data4(),FertiliserProducts[[#Headers],[Company]], 91)</f>
        <v/>
      </c>
    </row>
    <row r="208" spans="4:34" ht="20.100000000000001" customHeight="1" x14ac:dyDescent="0.25">
      <c r="D208" s="215" t="str" cm="1">
        <f t="array" ref="D208">Common_InputFunctions.Utility_DisplayArrayInTable(Fertiliser_SourceData.Fertiliser_Products_Data4(),FertiliserProducts[[#Headers],[Company]], 91)</f>
        <v>Wengfu Australia</v>
      </c>
      <c r="E208" s="215" t="str" cm="1">
        <f t="array" ref="E208">Common_InputFunctions.Utility_DisplayArrayInTable(Fertiliser_SourceData.Fertiliser_Products_Data4(),FertiliserProducts[[#Headers],[Company]], 91)</f>
        <v>Wengfu 12-18-0-6 PrimeZinc</v>
      </c>
      <c r="F208" s="215" t="str" cm="1">
        <f t="array" ref="F208">Common_InputFunctions.Utility_DisplayArrayInTable(Fertiliser_SourceData.Fertiliser_Products_Data4(),FertiliserProducts[[#Headers],[Company]], 91)</f>
        <v>kg</v>
      </c>
      <c r="G208" s="215" cm="1">
        <f t="array" ref="G208">Common_InputFunctions.Utility_DisplayArrayInTable(Fertiliser_SourceData.Fertiliser_Products_Data4(),FertiliserProducts[[#Headers],[Company]], 91)</f>
        <v>1</v>
      </c>
      <c r="H208" s="215" t="str" cm="1">
        <f t="array" ref="H208">Common_InputFunctions.Utility_DisplayArrayInTable(Fertiliser_SourceData.Fertiliser_Products_Data4(),FertiliserProducts[[#Headers],[Company]], 91)</f>
        <v/>
      </c>
      <c r="I208" s="215" t="str" cm="1">
        <f t="array" ref="I208">Common_InputFunctions.Utility_DisplayArrayInTable(Fertiliser_SourceData.Fertiliser_Products_Data4(),FertiliserProducts[[#Headers],[Company]], 91)</f>
        <v/>
      </c>
      <c r="J208" s="215" t="str" cm="1">
        <f t="array" ref="J208">Common_InputFunctions.Utility_DisplayArrayInTable(Fertiliser_SourceData.Fertiliser_Products_Data4(),FertiliserProducts[[#Headers],[Company]], 91)</f>
        <v/>
      </c>
      <c r="K208" s="215" cm="1">
        <f t="array" ref="K208">Common_InputFunctions.Utility_DisplayArrayInTable(Fertiliser_SourceData.Fertiliser_Products_Data4(),FertiliserProducts[[#Headers],[Company]], 91)</f>
        <v>11.9</v>
      </c>
      <c r="L208" s="215" cm="1">
        <f t="array" ref="L208">Common_InputFunctions.Utility_DisplayArrayInTable(Fertiliser_SourceData.Fertiliser_Products_Data4(),FertiliserProducts[[#Headers],[Company]], 91)</f>
        <v>17.600000000000001</v>
      </c>
      <c r="M208" s="215" cm="1">
        <f t="array" ref="M208">Common_InputFunctions.Utility_DisplayArrayInTable(Fertiliser_SourceData.Fertiliser_Products_Data4(),FertiliserProducts[[#Headers],[Company]], 91)</f>
        <v>0</v>
      </c>
      <c r="N208" s="215" cm="1">
        <f t="array" ref="N208">Common_InputFunctions.Utility_DisplayArrayInTable(Fertiliser_SourceData.Fertiliser_Products_Data4(),FertiliserProducts[[#Headers],[Company]], 91)</f>
        <v>5.9</v>
      </c>
      <c r="O208" s="215" t="str" cm="1">
        <f t="array" ref="O208">Common_InputFunctions.Utility_DisplayArrayInTable(Fertiliser_SourceData.Fertiliser_Products_Data4(),FertiliserProducts[[#Headers],[Company]], 91)</f>
        <v>Nitrogen - Generic</v>
      </c>
      <c r="P208" s="215" cm="1">
        <f t="array" ref="P208">Common_InputFunctions.Utility_DisplayArrayInTable(Fertiliser_SourceData.Fertiliser_Products_Data4(),FertiliserProducts[[#Headers],[Company]], 91)</f>
        <v>0.11899999999999999</v>
      </c>
      <c r="Q208" s="215" t="str" cm="1">
        <f t="array" ref="Q208">Common_InputFunctions.Utility_DisplayArrayInTable(Fertiliser_SourceData.Fertiliser_Products_Data4(),FertiliserProducts[[#Headers],[Company]], 91)</f>
        <v>Phosphorus - Generic</v>
      </c>
      <c r="R208" s="215" cm="1">
        <f t="array" ref="R208">Common_InputFunctions.Utility_DisplayArrayInTable(Fertiliser_SourceData.Fertiliser_Products_Data4(),FertiliserProducts[[#Headers],[Company]], 91)</f>
        <v>0.17599999999999999</v>
      </c>
      <c r="S208" s="215" t="str" cm="1">
        <f t="array" ref="S208">Common_InputFunctions.Utility_DisplayArrayInTable(Fertiliser_SourceData.Fertiliser_Products_Data4(),FertiliserProducts[[#Headers],[Company]], 91)</f>
        <v>Sulfur - Generic</v>
      </c>
      <c r="T208" s="215" cm="1">
        <f t="array" ref="T208">Common_InputFunctions.Utility_DisplayArrayInTable(Fertiliser_SourceData.Fertiliser_Products_Data4(),FertiliserProducts[[#Headers],[Company]], 91)</f>
        <v>5.8999999999999997E-2</v>
      </c>
      <c r="U208" s="215" t="str" cm="1">
        <f t="array" ref="U208">Common_InputFunctions.Utility_DisplayArrayInTable(Fertiliser_SourceData.Fertiliser_Products_Data4(),FertiliserProducts[[#Headers],[Company]], 91)</f>
        <v>Zinc</v>
      </c>
      <c r="V208" s="215" cm="1">
        <f t="array" ref="V208">Common_InputFunctions.Utility_DisplayArrayInTable(Fertiliser_SourceData.Fertiliser_Products_Data4(),FertiliserProducts[[#Headers],[Company]], 91)</f>
        <v>8.0000000000000002E-3</v>
      </c>
      <c r="W208" s="215" t="str" cm="1">
        <f t="array" ref="W208">Common_InputFunctions.Utility_DisplayArrayInTable(Fertiliser_SourceData.Fertiliser_Products_Data4(),FertiliserProducts[[#Headers],[Company]], 91)</f>
        <v/>
      </c>
      <c r="X208" s="215" t="str" cm="1">
        <f t="array" ref="X208">Common_InputFunctions.Utility_DisplayArrayInTable(Fertiliser_SourceData.Fertiliser_Products_Data4(),FertiliserProducts[[#Headers],[Company]], 91)</f>
        <v/>
      </c>
      <c r="Y208" s="215" t="str" cm="1">
        <f t="array" ref="Y208">Common_InputFunctions.Utility_DisplayArrayInTable(Fertiliser_SourceData.Fertiliser_Products_Data4(),FertiliserProducts[[#Headers],[Company]], 91)</f>
        <v/>
      </c>
      <c r="Z208" s="215" t="str" cm="1">
        <f t="array" ref="Z208">Common_InputFunctions.Utility_DisplayArrayInTable(Fertiliser_SourceData.Fertiliser_Products_Data4(),FertiliserProducts[[#Headers],[Company]], 91)</f>
        <v/>
      </c>
      <c r="AA208" s="215" t="str" cm="1">
        <f t="array" ref="AA208">Common_InputFunctions.Utility_DisplayArrayInTable(Fertiliser_SourceData.Fertiliser_Products_Data4(),FertiliserProducts[[#Headers],[Company]], 91)</f>
        <v/>
      </c>
      <c r="AB208" s="215" t="str" cm="1">
        <f t="array" ref="AB208">Common_InputFunctions.Utility_DisplayArrayInTable(Fertiliser_SourceData.Fertiliser_Products_Data4(),FertiliserProducts[[#Headers],[Company]], 91)</f>
        <v/>
      </c>
      <c r="AC208" s="215" t="str" cm="1">
        <f t="array" ref="AC208">Common_InputFunctions.Utility_DisplayArrayInTable(Fertiliser_SourceData.Fertiliser_Products_Data4(),FertiliserProducts[[#Headers],[Company]], 91)</f>
        <v/>
      </c>
      <c r="AD208" s="215" t="str" cm="1">
        <f t="array" ref="AD208">Common_InputFunctions.Utility_DisplayArrayInTable(Fertiliser_SourceData.Fertiliser_Products_Data4(),FertiliserProducts[[#Headers],[Company]], 91)</f>
        <v/>
      </c>
      <c r="AE208" s="215" t="str" cm="1">
        <f t="array" ref="AE208">Common_InputFunctions.Utility_DisplayArrayInTable(Fertiliser_SourceData.Fertiliser_Products_Data4(),FertiliserProducts[[#Headers],[Company]], 91)</f>
        <v/>
      </c>
      <c r="AF208" s="215" t="str" cm="1">
        <f t="array" ref="AF208">Common_InputFunctions.Utility_DisplayArrayInTable(Fertiliser_SourceData.Fertiliser_Products_Data4(),FertiliserProducts[[#Headers],[Company]], 91)</f>
        <v/>
      </c>
      <c r="AG208" s="215" t="str" cm="1">
        <f t="array" ref="AG208">Common_InputFunctions.Utility_DisplayArrayInTable(Fertiliser_SourceData.Fertiliser_Products_Data4(),FertiliserProducts[[#Headers],[Company]], 91)</f>
        <v/>
      </c>
      <c r="AH208" s="215" t="str" cm="1">
        <f t="array" ref="AH208">Common_InputFunctions.Utility_DisplayArrayInTable(Fertiliser_SourceData.Fertiliser_Products_Data4(),FertiliserProducts[[#Headers],[Company]], 91)</f>
        <v/>
      </c>
    </row>
    <row r="209" spans="4:34" ht="20.100000000000001" customHeight="1" x14ac:dyDescent="0.25">
      <c r="D209" s="215" t="str" cm="1">
        <f t="array" ref="D209">Common_InputFunctions.Utility_DisplayArrayInTable(Fertiliser_SourceData.Fertiliser_Products_Data4(),FertiliserProducts[[#Headers],[Company]], 91)</f>
        <v>Wengfu Australia</v>
      </c>
      <c r="E209" s="215" t="str" cm="1">
        <f t="array" ref="E209">Common_InputFunctions.Utility_DisplayArrayInTable(Fertiliser_SourceData.Fertiliser_Products_Data4(),FertiliserProducts[[#Headers],[Company]], 91)</f>
        <v>Wengfu 14-13-0-11 PrimeZinc</v>
      </c>
      <c r="F209" s="215" t="str" cm="1">
        <f t="array" ref="F209">Common_InputFunctions.Utility_DisplayArrayInTable(Fertiliser_SourceData.Fertiliser_Products_Data4(),FertiliserProducts[[#Headers],[Company]], 91)</f>
        <v>kg</v>
      </c>
      <c r="G209" s="215" cm="1">
        <f t="array" ref="G209">Common_InputFunctions.Utility_DisplayArrayInTable(Fertiliser_SourceData.Fertiliser_Products_Data4(),FertiliserProducts[[#Headers],[Company]], 91)</f>
        <v>1</v>
      </c>
      <c r="H209" s="215" t="str" cm="1">
        <f t="array" ref="H209">Common_InputFunctions.Utility_DisplayArrayInTable(Fertiliser_SourceData.Fertiliser_Products_Data4(),FertiliserProducts[[#Headers],[Company]], 91)</f>
        <v/>
      </c>
      <c r="I209" s="215" t="str" cm="1">
        <f t="array" ref="I209">Common_InputFunctions.Utility_DisplayArrayInTable(Fertiliser_SourceData.Fertiliser_Products_Data4(),FertiliserProducts[[#Headers],[Company]], 91)</f>
        <v/>
      </c>
      <c r="J209" s="215" t="str" cm="1">
        <f t="array" ref="J209">Common_InputFunctions.Utility_DisplayArrayInTable(Fertiliser_SourceData.Fertiliser_Products_Data4(),FertiliserProducts[[#Headers],[Company]], 91)</f>
        <v/>
      </c>
      <c r="K209" s="215" cm="1">
        <f t="array" ref="K209">Common_InputFunctions.Utility_DisplayArrayInTable(Fertiliser_SourceData.Fertiliser_Products_Data4(),FertiliserProducts[[#Headers],[Company]], 91)</f>
        <v>14.1</v>
      </c>
      <c r="L209" s="215" cm="1">
        <f t="array" ref="L209">Common_InputFunctions.Utility_DisplayArrayInTable(Fertiliser_SourceData.Fertiliser_Products_Data4(),FertiliserProducts[[#Headers],[Company]], 91)</f>
        <v>12.8</v>
      </c>
      <c r="M209" s="215" cm="1">
        <f t="array" ref="M209">Common_InputFunctions.Utility_DisplayArrayInTable(Fertiliser_SourceData.Fertiliser_Products_Data4(),FertiliserProducts[[#Headers],[Company]], 91)</f>
        <v>0</v>
      </c>
      <c r="N209" s="215" cm="1">
        <f t="array" ref="N209">Common_InputFunctions.Utility_DisplayArrayInTable(Fertiliser_SourceData.Fertiliser_Products_Data4(),FertiliserProducts[[#Headers],[Company]], 91)</f>
        <v>10.7</v>
      </c>
      <c r="O209" s="215" t="str" cm="1">
        <f t="array" ref="O209">Common_InputFunctions.Utility_DisplayArrayInTable(Fertiliser_SourceData.Fertiliser_Products_Data4(),FertiliserProducts[[#Headers],[Company]], 91)</f>
        <v>Nitrogen - Generic</v>
      </c>
      <c r="P209" s="215" cm="1">
        <f t="array" ref="P209">Common_InputFunctions.Utility_DisplayArrayInTable(Fertiliser_SourceData.Fertiliser_Products_Data4(),FertiliserProducts[[#Headers],[Company]], 91)</f>
        <v>0.14099999999999999</v>
      </c>
      <c r="Q209" s="215" t="str" cm="1">
        <f t="array" ref="Q209">Common_InputFunctions.Utility_DisplayArrayInTable(Fertiliser_SourceData.Fertiliser_Products_Data4(),FertiliserProducts[[#Headers],[Company]], 91)</f>
        <v>Phosphorus - Generic</v>
      </c>
      <c r="R209" s="215" cm="1">
        <f t="array" ref="R209">Common_InputFunctions.Utility_DisplayArrayInTable(Fertiliser_SourceData.Fertiliser_Products_Data4(),FertiliserProducts[[#Headers],[Company]], 91)</f>
        <v>0.128</v>
      </c>
      <c r="S209" s="215" t="str" cm="1">
        <f t="array" ref="S209">Common_InputFunctions.Utility_DisplayArrayInTable(Fertiliser_SourceData.Fertiliser_Products_Data4(),FertiliserProducts[[#Headers],[Company]], 91)</f>
        <v>Sulfur - Generic</v>
      </c>
      <c r="T209" s="215" cm="1">
        <f t="array" ref="T209">Common_InputFunctions.Utility_DisplayArrayInTable(Fertiliser_SourceData.Fertiliser_Products_Data4(),FertiliserProducts[[#Headers],[Company]], 91)</f>
        <v>0.107</v>
      </c>
      <c r="U209" s="215" t="str" cm="1">
        <f t="array" ref="U209">Common_InputFunctions.Utility_DisplayArrayInTable(Fertiliser_SourceData.Fertiliser_Products_Data4(),FertiliserProducts[[#Headers],[Company]], 91)</f>
        <v>Zinc</v>
      </c>
      <c r="V209" s="215" cm="1">
        <f t="array" ref="V209">Common_InputFunctions.Utility_DisplayArrayInTable(Fertiliser_SourceData.Fertiliser_Products_Data4(),FertiliserProducts[[#Headers],[Company]], 91)</f>
        <v>6.0000000000000001E-3</v>
      </c>
      <c r="W209" s="215" t="str" cm="1">
        <f t="array" ref="W209">Common_InputFunctions.Utility_DisplayArrayInTable(Fertiliser_SourceData.Fertiliser_Products_Data4(),FertiliserProducts[[#Headers],[Company]], 91)</f>
        <v/>
      </c>
      <c r="X209" s="215" t="str" cm="1">
        <f t="array" ref="X209">Common_InputFunctions.Utility_DisplayArrayInTable(Fertiliser_SourceData.Fertiliser_Products_Data4(),FertiliserProducts[[#Headers],[Company]], 91)</f>
        <v/>
      </c>
      <c r="Y209" s="215" t="str" cm="1">
        <f t="array" ref="Y209">Common_InputFunctions.Utility_DisplayArrayInTable(Fertiliser_SourceData.Fertiliser_Products_Data4(),FertiliserProducts[[#Headers],[Company]], 91)</f>
        <v/>
      </c>
      <c r="Z209" s="215" t="str" cm="1">
        <f t="array" ref="Z209">Common_InputFunctions.Utility_DisplayArrayInTable(Fertiliser_SourceData.Fertiliser_Products_Data4(),FertiliserProducts[[#Headers],[Company]], 91)</f>
        <v/>
      </c>
      <c r="AA209" s="215" t="str" cm="1">
        <f t="array" ref="AA209">Common_InputFunctions.Utility_DisplayArrayInTable(Fertiliser_SourceData.Fertiliser_Products_Data4(),FertiliserProducts[[#Headers],[Company]], 91)</f>
        <v/>
      </c>
      <c r="AB209" s="215" t="str" cm="1">
        <f t="array" ref="AB209">Common_InputFunctions.Utility_DisplayArrayInTable(Fertiliser_SourceData.Fertiliser_Products_Data4(),FertiliserProducts[[#Headers],[Company]], 91)</f>
        <v/>
      </c>
      <c r="AC209" s="215" t="str" cm="1">
        <f t="array" ref="AC209">Common_InputFunctions.Utility_DisplayArrayInTable(Fertiliser_SourceData.Fertiliser_Products_Data4(),FertiliserProducts[[#Headers],[Company]], 91)</f>
        <v/>
      </c>
      <c r="AD209" s="215" t="str" cm="1">
        <f t="array" ref="AD209">Common_InputFunctions.Utility_DisplayArrayInTable(Fertiliser_SourceData.Fertiliser_Products_Data4(),FertiliserProducts[[#Headers],[Company]], 91)</f>
        <v/>
      </c>
      <c r="AE209" s="215" t="str" cm="1">
        <f t="array" ref="AE209">Common_InputFunctions.Utility_DisplayArrayInTable(Fertiliser_SourceData.Fertiliser_Products_Data4(),FertiliserProducts[[#Headers],[Company]], 91)</f>
        <v/>
      </c>
      <c r="AF209" s="215" t="str" cm="1">
        <f t="array" ref="AF209">Common_InputFunctions.Utility_DisplayArrayInTable(Fertiliser_SourceData.Fertiliser_Products_Data4(),FertiliserProducts[[#Headers],[Company]], 91)</f>
        <v/>
      </c>
      <c r="AG209" s="215" t="str" cm="1">
        <f t="array" ref="AG209">Common_InputFunctions.Utility_DisplayArrayInTable(Fertiliser_SourceData.Fertiliser_Products_Data4(),FertiliserProducts[[#Headers],[Company]], 91)</f>
        <v/>
      </c>
      <c r="AH209" s="215" t="str" cm="1">
        <f t="array" ref="AH209">Common_InputFunctions.Utility_DisplayArrayInTable(Fertiliser_SourceData.Fertiliser_Products_Data4(),FertiliserProducts[[#Headers],[Company]], 91)</f>
        <v/>
      </c>
    </row>
    <row r="210" spans="4:34" ht="20.100000000000001" customHeight="1" x14ac:dyDescent="0.25">
      <c r="D210" s="215" t="str" cm="1">
        <f t="array" ref="D210">Common_InputFunctions.Utility_DisplayArrayInTable(Fertiliser_SourceData.Fertiliser_Products_Data5(),FertiliserProducts[[#Headers],[Company]], 121)</f>
        <v>Wengfu Australia</v>
      </c>
      <c r="E210" s="215" t="str" cm="1">
        <f t="array" ref="E210">Common_InputFunctions.Utility_DisplayArrayInTable(Fertiliser_SourceData.Fertiliser_Products_Data5(),FertiliserProducts[[#Headers],[Company]], 121)</f>
        <v>Wengfu 19-13-0-7 PrimeZinc</v>
      </c>
      <c r="F210" s="215" t="str" cm="1">
        <f t="array" ref="F210">Common_InputFunctions.Utility_DisplayArrayInTable(Fertiliser_SourceData.Fertiliser_Products_Data5(),FertiliserProducts[[#Headers],[Company]], 121)</f>
        <v>kg</v>
      </c>
      <c r="G210" s="215" cm="1">
        <f t="array" ref="G210">Common_InputFunctions.Utility_DisplayArrayInTable(Fertiliser_SourceData.Fertiliser_Products_Data5(),FertiliserProducts[[#Headers],[Company]], 121)</f>
        <v>1</v>
      </c>
      <c r="H210" s="215" t="str" cm="1">
        <f t="array" ref="H210">Common_InputFunctions.Utility_DisplayArrayInTable(Fertiliser_SourceData.Fertiliser_Products_Data5(),FertiliserProducts[[#Headers],[Company]], 121)</f>
        <v/>
      </c>
      <c r="I210" s="215" t="str" cm="1">
        <f t="array" ref="I210">Common_InputFunctions.Utility_DisplayArrayInTable(Fertiliser_SourceData.Fertiliser_Products_Data5(),FertiliserProducts[[#Headers],[Company]], 121)</f>
        <v/>
      </c>
      <c r="J210" s="215" t="str" cm="1">
        <f t="array" ref="J210">Common_InputFunctions.Utility_DisplayArrayInTable(Fertiliser_SourceData.Fertiliser_Products_Data5(),FertiliserProducts[[#Headers],[Company]], 121)</f>
        <v/>
      </c>
      <c r="K210" s="215" cm="1">
        <f t="array" ref="K210">Common_InputFunctions.Utility_DisplayArrayInTable(Fertiliser_SourceData.Fertiliser_Products_Data5(),FertiliserProducts[[#Headers],[Company]], 121)</f>
        <v>18.600000000000001</v>
      </c>
      <c r="L210" s="215" cm="1">
        <f t="array" ref="L210">Common_InputFunctions.Utility_DisplayArrayInTable(Fertiliser_SourceData.Fertiliser_Products_Data5(),FertiliserProducts[[#Headers],[Company]], 121)</f>
        <v>12.7</v>
      </c>
      <c r="M210" s="215" cm="1">
        <f t="array" ref="M210">Common_InputFunctions.Utility_DisplayArrayInTable(Fertiliser_SourceData.Fertiliser_Products_Data5(),FertiliserProducts[[#Headers],[Company]], 121)</f>
        <v>0</v>
      </c>
      <c r="N210" s="215" cm="1">
        <f t="array" ref="N210">Common_InputFunctions.Utility_DisplayArrayInTable(Fertiliser_SourceData.Fertiliser_Products_Data5(),FertiliserProducts[[#Headers],[Company]], 121)</f>
        <v>6.8</v>
      </c>
      <c r="O210" s="215" t="str" cm="1">
        <f t="array" ref="O210">Common_InputFunctions.Utility_DisplayArrayInTable(Fertiliser_SourceData.Fertiliser_Products_Data5(),FertiliserProducts[[#Headers],[Company]], 121)</f>
        <v>Nitrogen - Generic</v>
      </c>
      <c r="P210" s="215" cm="1">
        <f t="array" ref="P210">Common_InputFunctions.Utility_DisplayArrayInTable(Fertiliser_SourceData.Fertiliser_Products_Data5(),FertiliserProducts[[#Headers],[Company]], 121)</f>
        <v>0.186</v>
      </c>
      <c r="Q210" s="215" t="str" cm="1">
        <f t="array" ref="Q210">Common_InputFunctions.Utility_DisplayArrayInTable(Fertiliser_SourceData.Fertiliser_Products_Data5(),FertiliserProducts[[#Headers],[Company]], 121)</f>
        <v>Phosphorus - Generic</v>
      </c>
      <c r="R210" s="215" cm="1">
        <f t="array" ref="R210">Common_InputFunctions.Utility_DisplayArrayInTable(Fertiliser_SourceData.Fertiliser_Products_Data5(),FertiliserProducts[[#Headers],[Company]], 121)</f>
        <v>0.127</v>
      </c>
      <c r="S210" s="215" t="str" cm="1">
        <f t="array" ref="S210">Common_InputFunctions.Utility_DisplayArrayInTable(Fertiliser_SourceData.Fertiliser_Products_Data5(),FertiliserProducts[[#Headers],[Company]], 121)</f>
        <v>Sulfur - Generic</v>
      </c>
      <c r="T210" s="215" cm="1">
        <f t="array" ref="T210">Common_InputFunctions.Utility_DisplayArrayInTable(Fertiliser_SourceData.Fertiliser_Products_Data5(),FertiliserProducts[[#Headers],[Company]], 121)</f>
        <v>6.8000000000000005E-2</v>
      </c>
      <c r="U210" s="215" t="str" cm="1">
        <f t="array" ref="U210">Common_InputFunctions.Utility_DisplayArrayInTable(Fertiliser_SourceData.Fertiliser_Products_Data5(),FertiliserProducts[[#Headers],[Company]], 121)</f>
        <v>Zinc</v>
      </c>
      <c r="V210" s="215" cm="1">
        <f t="array" ref="V210">Common_InputFunctions.Utility_DisplayArrayInTable(Fertiliser_SourceData.Fertiliser_Products_Data5(),FertiliserProducts[[#Headers],[Company]], 121)</f>
        <v>6.0000000000000001E-3</v>
      </c>
      <c r="W210" s="215" t="str" cm="1">
        <f t="array" ref="W210">Common_InputFunctions.Utility_DisplayArrayInTable(Fertiliser_SourceData.Fertiliser_Products_Data5(),FertiliserProducts[[#Headers],[Company]], 121)</f>
        <v/>
      </c>
      <c r="X210" s="215" t="str" cm="1">
        <f t="array" ref="X210">Common_InputFunctions.Utility_DisplayArrayInTable(Fertiliser_SourceData.Fertiliser_Products_Data5(),FertiliserProducts[[#Headers],[Company]], 121)</f>
        <v/>
      </c>
      <c r="Y210" s="215" t="str" cm="1">
        <f t="array" ref="Y210">Common_InputFunctions.Utility_DisplayArrayInTable(Fertiliser_SourceData.Fertiliser_Products_Data5(),FertiliserProducts[[#Headers],[Company]], 121)</f>
        <v/>
      </c>
      <c r="Z210" s="215" t="str" cm="1">
        <f t="array" ref="Z210">Common_InputFunctions.Utility_DisplayArrayInTable(Fertiliser_SourceData.Fertiliser_Products_Data5(),FertiliserProducts[[#Headers],[Company]], 121)</f>
        <v/>
      </c>
      <c r="AA210" s="215" t="str" cm="1">
        <f t="array" ref="AA210">Common_InputFunctions.Utility_DisplayArrayInTable(Fertiliser_SourceData.Fertiliser_Products_Data5(),FertiliserProducts[[#Headers],[Company]], 121)</f>
        <v/>
      </c>
      <c r="AB210" s="215" t="str" cm="1">
        <f t="array" ref="AB210">Common_InputFunctions.Utility_DisplayArrayInTable(Fertiliser_SourceData.Fertiliser_Products_Data5(),FertiliserProducts[[#Headers],[Company]], 121)</f>
        <v/>
      </c>
      <c r="AC210" s="215" t="str" cm="1">
        <f t="array" ref="AC210">Common_InputFunctions.Utility_DisplayArrayInTable(Fertiliser_SourceData.Fertiliser_Products_Data5(),FertiliserProducts[[#Headers],[Company]], 121)</f>
        <v/>
      </c>
      <c r="AD210" s="215" t="str" cm="1">
        <f t="array" ref="AD210">Common_InputFunctions.Utility_DisplayArrayInTable(Fertiliser_SourceData.Fertiliser_Products_Data5(),FertiliserProducts[[#Headers],[Company]], 121)</f>
        <v/>
      </c>
      <c r="AE210" s="215" t="str" cm="1">
        <f t="array" ref="AE210">Common_InputFunctions.Utility_DisplayArrayInTable(Fertiliser_SourceData.Fertiliser_Products_Data5(),FertiliserProducts[[#Headers],[Company]], 121)</f>
        <v/>
      </c>
      <c r="AF210" s="215" t="str" cm="1">
        <f t="array" ref="AF210">Common_InputFunctions.Utility_DisplayArrayInTable(Fertiliser_SourceData.Fertiliser_Products_Data5(),FertiliserProducts[[#Headers],[Company]], 121)</f>
        <v/>
      </c>
      <c r="AG210" s="215" t="str" cm="1">
        <f t="array" ref="AG210">Common_InputFunctions.Utility_DisplayArrayInTable(Fertiliser_SourceData.Fertiliser_Products_Data5(),FertiliserProducts[[#Headers],[Company]], 121)</f>
        <v/>
      </c>
      <c r="AH210" s="215" t="str" cm="1">
        <f t="array" ref="AH210">Common_InputFunctions.Utility_DisplayArrayInTable(Fertiliser_SourceData.Fertiliser_Products_Data5(),FertiliserProducts[[#Headers],[Company]], 121)</f>
        <v/>
      </c>
    </row>
    <row r="211" spans="4:34" ht="20.100000000000001" customHeight="1" x14ac:dyDescent="0.25">
      <c r="D211" s="215" t="str" cm="1">
        <f t="array" ref="D211">Common_InputFunctions.Utility_DisplayArrayInTable(Fertiliser_SourceData.Fertiliser_Products_Data5(),FertiliserProducts[[#Headers],[Company]], 121)</f>
        <v>Wengfu Australia</v>
      </c>
      <c r="E211" s="215" t="str" cm="1">
        <f t="array" ref="E211">Common_InputFunctions.Utility_DisplayArrayInTable(Fertiliser_SourceData.Fertiliser_Products_Data5(),FertiliserProducts[[#Headers],[Company]], 121)</f>
        <v>Wengfu Booster K</v>
      </c>
      <c r="F211" s="215" t="str" cm="1">
        <f t="array" ref="F211">Common_InputFunctions.Utility_DisplayArrayInTable(Fertiliser_SourceData.Fertiliser_Products_Data5(),FertiliserProducts[[#Headers],[Company]], 121)</f>
        <v>kg</v>
      </c>
      <c r="G211" s="215" cm="1">
        <f t="array" ref="G211">Common_InputFunctions.Utility_DisplayArrayInTable(Fertiliser_SourceData.Fertiliser_Products_Data5(),FertiliserProducts[[#Headers],[Company]], 121)</f>
        <v>1</v>
      </c>
      <c r="H211" s="215" t="str" cm="1">
        <f t="array" ref="H211">Common_InputFunctions.Utility_DisplayArrayInTable(Fertiliser_SourceData.Fertiliser_Products_Data5(),FertiliserProducts[[#Headers],[Company]], 121)</f>
        <v/>
      </c>
      <c r="I211" s="215" t="str" cm="1">
        <f t="array" ref="I211">Common_InputFunctions.Utility_DisplayArrayInTable(Fertiliser_SourceData.Fertiliser_Products_Data5(),FertiliserProducts[[#Headers],[Company]], 121)</f>
        <v/>
      </c>
      <c r="J211" s="215" t="str" cm="1">
        <f t="array" ref="J211">Common_InputFunctions.Utility_DisplayArrayInTable(Fertiliser_SourceData.Fertiliser_Products_Data5(),FertiliserProducts[[#Headers],[Company]], 121)</f>
        <v/>
      </c>
      <c r="K211" s="215" cm="1">
        <f t="array" ref="K211">Common_InputFunctions.Utility_DisplayArrayInTable(Fertiliser_SourceData.Fertiliser_Products_Data5(),FertiliserProducts[[#Headers],[Company]], 121)</f>
        <v>32</v>
      </c>
      <c r="L211" s="215" cm="1">
        <f t="array" ref="L211">Common_InputFunctions.Utility_DisplayArrayInTable(Fertiliser_SourceData.Fertiliser_Products_Data5(),FertiliserProducts[[#Headers],[Company]], 121)</f>
        <v>0</v>
      </c>
      <c r="M211" s="215" cm="1">
        <f t="array" ref="M211">Common_InputFunctions.Utility_DisplayArrayInTable(Fertiliser_SourceData.Fertiliser_Products_Data5(),FertiliserProducts[[#Headers],[Company]], 121)</f>
        <v>11</v>
      </c>
      <c r="N211" s="215" cm="1">
        <f t="array" ref="N211">Common_InputFunctions.Utility_DisplayArrayInTable(Fertiliser_SourceData.Fertiliser_Products_Data5(),FertiliserProducts[[#Headers],[Company]], 121)</f>
        <v>3</v>
      </c>
      <c r="O211" s="215" t="str" cm="1">
        <f t="array" ref="O211">Common_InputFunctions.Utility_DisplayArrayInTable(Fertiliser_SourceData.Fertiliser_Products_Data5(),FertiliserProducts[[#Headers],[Company]], 121)</f>
        <v>Nitrogen - Generic</v>
      </c>
      <c r="P211" s="215" cm="1">
        <f t="array" ref="P211">Common_InputFunctions.Utility_DisplayArrayInTable(Fertiliser_SourceData.Fertiliser_Products_Data5(),FertiliserProducts[[#Headers],[Company]], 121)</f>
        <v>0.32</v>
      </c>
      <c r="Q211" s="215" t="str" cm="1">
        <f t="array" ref="Q211">Common_InputFunctions.Utility_DisplayArrayInTable(Fertiliser_SourceData.Fertiliser_Products_Data5(),FertiliserProducts[[#Headers],[Company]], 121)</f>
        <v>Potassium - Generic</v>
      </c>
      <c r="R211" s="215" cm="1">
        <f t="array" ref="R211">Common_InputFunctions.Utility_DisplayArrayInTable(Fertiliser_SourceData.Fertiliser_Products_Data5(),FertiliserProducts[[#Headers],[Company]], 121)</f>
        <v>0.11</v>
      </c>
      <c r="S211" s="215" t="str" cm="1">
        <f t="array" ref="S211">Common_InputFunctions.Utility_DisplayArrayInTable(Fertiliser_SourceData.Fertiliser_Products_Data5(),FertiliserProducts[[#Headers],[Company]], 121)</f>
        <v>Sulfur - Generic</v>
      </c>
      <c r="T211" s="215" cm="1">
        <f t="array" ref="T211">Common_InputFunctions.Utility_DisplayArrayInTable(Fertiliser_SourceData.Fertiliser_Products_Data5(),FertiliserProducts[[#Headers],[Company]], 121)</f>
        <v>0.03</v>
      </c>
      <c r="U211" s="215" t="str" cm="1">
        <f t="array" ref="U211">Common_InputFunctions.Utility_DisplayArrayInTable(Fertiliser_SourceData.Fertiliser_Products_Data5(),FertiliserProducts[[#Headers],[Company]], 121)</f>
        <v/>
      </c>
      <c r="V211" s="215" t="str" cm="1">
        <f t="array" ref="V211">Common_InputFunctions.Utility_DisplayArrayInTable(Fertiliser_SourceData.Fertiliser_Products_Data5(),FertiliserProducts[[#Headers],[Company]], 121)</f>
        <v/>
      </c>
      <c r="W211" s="215" t="str" cm="1">
        <f t="array" ref="W211">Common_InputFunctions.Utility_DisplayArrayInTable(Fertiliser_SourceData.Fertiliser_Products_Data5(),FertiliserProducts[[#Headers],[Company]], 121)</f>
        <v/>
      </c>
      <c r="X211" s="215" t="str" cm="1">
        <f t="array" ref="X211">Common_InputFunctions.Utility_DisplayArrayInTable(Fertiliser_SourceData.Fertiliser_Products_Data5(),FertiliserProducts[[#Headers],[Company]], 121)</f>
        <v/>
      </c>
      <c r="Y211" s="215" t="str" cm="1">
        <f t="array" ref="Y211">Common_InputFunctions.Utility_DisplayArrayInTable(Fertiliser_SourceData.Fertiliser_Products_Data5(),FertiliserProducts[[#Headers],[Company]], 121)</f>
        <v/>
      </c>
      <c r="Z211" s="215" t="str" cm="1">
        <f t="array" ref="Z211">Common_InputFunctions.Utility_DisplayArrayInTable(Fertiliser_SourceData.Fertiliser_Products_Data5(),FertiliserProducts[[#Headers],[Company]], 121)</f>
        <v/>
      </c>
      <c r="AA211" s="215" t="str" cm="1">
        <f t="array" ref="AA211">Common_InputFunctions.Utility_DisplayArrayInTable(Fertiliser_SourceData.Fertiliser_Products_Data5(),FertiliserProducts[[#Headers],[Company]], 121)</f>
        <v/>
      </c>
      <c r="AB211" s="215" t="str" cm="1">
        <f t="array" ref="AB211">Common_InputFunctions.Utility_DisplayArrayInTable(Fertiliser_SourceData.Fertiliser_Products_Data5(),FertiliserProducts[[#Headers],[Company]], 121)</f>
        <v/>
      </c>
      <c r="AC211" s="215" t="str" cm="1">
        <f t="array" ref="AC211">Common_InputFunctions.Utility_DisplayArrayInTable(Fertiliser_SourceData.Fertiliser_Products_Data5(),FertiliserProducts[[#Headers],[Company]], 121)</f>
        <v/>
      </c>
      <c r="AD211" s="215" t="str" cm="1">
        <f t="array" ref="AD211">Common_InputFunctions.Utility_DisplayArrayInTable(Fertiliser_SourceData.Fertiliser_Products_Data5(),FertiliserProducts[[#Headers],[Company]], 121)</f>
        <v/>
      </c>
      <c r="AE211" s="215" t="str" cm="1">
        <f t="array" ref="AE211">Common_InputFunctions.Utility_DisplayArrayInTable(Fertiliser_SourceData.Fertiliser_Products_Data5(),FertiliserProducts[[#Headers],[Company]], 121)</f>
        <v/>
      </c>
      <c r="AF211" s="215" t="str" cm="1">
        <f t="array" ref="AF211">Common_InputFunctions.Utility_DisplayArrayInTable(Fertiliser_SourceData.Fertiliser_Products_Data5(),FertiliserProducts[[#Headers],[Company]], 121)</f>
        <v/>
      </c>
      <c r="AG211" s="215" t="str" cm="1">
        <f t="array" ref="AG211">Common_InputFunctions.Utility_DisplayArrayInTable(Fertiliser_SourceData.Fertiliser_Products_Data5(),FertiliserProducts[[#Headers],[Company]], 121)</f>
        <v/>
      </c>
      <c r="AH211" s="215" t="str" cm="1">
        <f t="array" ref="AH211">Common_InputFunctions.Utility_DisplayArrayInTable(Fertiliser_SourceData.Fertiliser_Products_Data5(),FertiliserProducts[[#Headers],[Company]], 121)</f>
        <v/>
      </c>
    </row>
    <row r="212" spans="4:34" ht="20.100000000000001" customHeight="1" x14ac:dyDescent="0.25">
      <c r="D212" s="215" t="str" cm="1">
        <f t="array" ref="D212">Common_InputFunctions.Utility_DisplayArrayInTable(Fertiliser_SourceData.Fertiliser_Products_Data5(),FertiliserProducts[[#Headers],[Company]], 121)</f>
        <v>Wengfu Australia</v>
      </c>
      <c r="E212" s="215" t="str" cm="1">
        <f t="array" ref="E212">Common_InputFunctions.Utility_DisplayArrayInTable(Fertiliser_SourceData.Fertiliser_Products_Data5(),FertiliserProducts[[#Headers],[Company]], 121)</f>
        <v>Wengfu Booster Rich 1</v>
      </c>
      <c r="F212" s="215" t="str" cm="1">
        <f t="array" ref="F212">Common_InputFunctions.Utility_DisplayArrayInTable(Fertiliser_SourceData.Fertiliser_Products_Data5(),FertiliserProducts[[#Headers],[Company]], 121)</f>
        <v>kg</v>
      </c>
      <c r="G212" s="215" cm="1">
        <f t="array" ref="G212">Common_InputFunctions.Utility_DisplayArrayInTable(Fertiliser_SourceData.Fertiliser_Products_Data5(),FertiliserProducts[[#Headers],[Company]], 121)</f>
        <v>1</v>
      </c>
      <c r="H212" s="215" t="str" cm="1">
        <f t="array" ref="H212">Common_InputFunctions.Utility_DisplayArrayInTable(Fertiliser_SourceData.Fertiliser_Products_Data5(),FertiliserProducts[[#Headers],[Company]], 121)</f>
        <v/>
      </c>
      <c r="I212" s="215" t="str" cm="1">
        <f t="array" ref="I212">Common_InputFunctions.Utility_DisplayArrayInTable(Fertiliser_SourceData.Fertiliser_Products_Data5(),FertiliserProducts[[#Headers],[Company]], 121)</f>
        <v/>
      </c>
      <c r="J212" s="215" t="str" cm="1">
        <f t="array" ref="J212">Common_InputFunctions.Utility_DisplayArrayInTable(Fertiliser_SourceData.Fertiliser_Products_Data5(),FertiliserProducts[[#Headers],[Company]], 121)</f>
        <v/>
      </c>
      <c r="K212" s="215" cm="1">
        <f t="array" ref="K212">Common_InputFunctions.Utility_DisplayArrayInTable(Fertiliser_SourceData.Fertiliser_Products_Data5(),FertiliserProducts[[#Headers],[Company]], 121)</f>
        <v>31</v>
      </c>
      <c r="L212" s="215" cm="1">
        <f t="array" ref="L212">Common_InputFunctions.Utility_DisplayArrayInTable(Fertiliser_SourceData.Fertiliser_Products_Data5(),FertiliserProducts[[#Headers],[Company]], 121)</f>
        <v>6</v>
      </c>
      <c r="M212" s="215" cm="1">
        <f t="array" ref="M212">Common_InputFunctions.Utility_DisplayArrayInTable(Fertiliser_SourceData.Fertiliser_Products_Data5(),FertiliserProducts[[#Headers],[Company]], 121)</f>
        <v>0</v>
      </c>
      <c r="N212" s="215" cm="1">
        <f t="array" ref="N212">Common_InputFunctions.Utility_DisplayArrayInTable(Fertiliser_SourceData.Fertiliser_Products_Data5(),FertiliserProducts[[#Headers],[Company]], 121)</f>
        <v>6</v>
      </c>
      <c r="O212" s="215" t="str" cm="1">
        <f t="array" ref="O212">Common_InputFunctions.Utility_DisplayArrayInTable(Fertiliser_SourceData.Fertiliser_Products_Data5(),FertiliserProducts[[#Headers],[Company]], 121)</f>
        <v>Nitrogen - Generic</v>
      </c>
      <c r="P212" s="215" cm="1">
        <f t="array" ref="P212">Common_InputFunctions.Utility_DisplayArrayInTable(Fertiliser_SourceData.Fertiliser_Products_Data5(),FertiliserProducts[[#Headers],[Company]], 121)</f>
        <v>0.31</v>
      </c>
      <c r="Q212" s="215" t="str" cm="1">
        <f t="array" ref="Q212">Common_InputFunctions.Utility_DisplayArrayInTable(Fertiliser_SourceData.Fertiliser_Products_Data5(),FertiliserProducts[[#Headers],[Company]], 121)</f>
        <v>Phosphorus - Generic</v>
      </c>
      <c r="R212" s="215" cm="1">
        <f t="array" ref="R212">Common_InputFunctions.Utility_DisplayArrayInTable(Fertiliser_SourceData.Fertiliser_Products_Data5(),FertiliserProducts[[#Headers],[Company]], 121)</f>
        <v>0.06</v>
      </c>
      <c r="S212" s="215" t="str" cm="1">
        <f t="array" ref="S212">Common_InputFunctions.Utility_DisplayArrayInTable(Fertiliser_SourceData.Fertiliser_Products_Data5(),FertiliserProducts[[#Headers],[Company]], 121)</f>
        <v>Sulfur - Generic</v>
      </c>
      <c r="T212" s="215" cm="1">
        <f t="array" ref="T212">Common_InputFunctions.Utility_DisplayArrayInTable(Fertiliser_SourceData.Fertiliser_Products_Data5(),FertiliserProducts[[#Headers],[Company]], 121)</f>
        <v>0.06</v>
      </c>
      <c r="U212" s="215" t="str" cm="1">
        <f t="array" ref="U212">Common_InputFunctions.Utility_DisplayArrayInTable(Fertiliser_SourceData.Fertiliser_Products_Data5(),FertiliserProducts[[#Headers],[Company]], 121)</f>
        <v/>
      </c>
      <c r="V212" s="215" t="str" cm="1">
        <f t="array" ref="V212">Common_InputFunctions.Utility_DisplayArrayInTable(Fertiliser_SourceData.Fertiliser_Products_Data5(),FertiliserProducts[[#Headers],[Company]], 121)</f>
        <v/>
      </c>
      <c r="W212" s="215" t="str" cm="1">
        <f t="array" ref="W212">Common_InputFunctions.Utility_DisplayArrayInTable(Fertiliser_SourceData.Fertiliser_Products_Data5(),FertiliserProducts[[#Headers],[Company]], 121)</f>
        <v/>
      </c>
      <c r="X212" s="215" t="str" cm="1">
        <f t="array" ref="X212">Common_InputFunctions.Utility_DisplayArrayInTable(Fertiliser_SourceData.Fertiliser_Products_Data5(),FertiliserProducts[[#Headers],[Company]], 121)</f>
        <v/>
      </c>
      <c r="Y212" s="215" t="str" cm="1">
        <f t="array" ref="Y212">Common_InputFunctions.Utility_DisplayArrayInTable(Fertiliser_SourceData.Fertiliser_Products_Data5(),FertiliserProducts[[#Headers],[Company]], 121)</f>
        <v/>
      </c>
      <c r="Z212" s="215" t="str" cm="1">
        <f t="array" ref="Z212">Common_InputFunctions.Utility_DisplayArrayInTable(Fertiliser_SourceData.Fertiliser_Products_Data5(),FertiliserProducts[[#Headers],[Company]], 121)</f>
        <v/>
      </c>
      <c r="AA212" s="215" t="str" cm="1">
        <f t="array" ref="AA212">Common_InputFunctions.Utility_DisplayArrayInTable(Fertiliser_SourceData.Fertiliser_Products_Data5(),FertiliserProducts[[#Headers],[Company]], 121)</f>
        <v/>
      </c>
      <c r="AB212" s="215" t="str" cm="1">
        <f t="array" ref="AB212">Common_InputFunctions.Utility_DisplayArrayInTable(Fertiliser_SourceData.Fertiliser_Products_Data5(),FertiliserProducts[[#Headers],[Company]], 121)</f>
        <v/>
      </c>
      <c r="AC212" s="215" t="str" cm="1">
        <f t="array" ref="AC212">Common_InputFunctions.Utility_DisplayArrayInTable(Fertiliser_SourceData.Fertiliser_Products_Data5(),FertiliserProducts[[#Headers],[Company]], 121)</f>
        <v/>
      </c>
      <c r="AD212" s="215" t="str" cm="1">
        <f t="array" ref="AD212">Common_InputFunctions.Utility_DisplayArrayInTable(Fertiliser_SourceData.Fertiliser_Products_Data5(),FertiliserProducts[[#Headers],[Company]], 121)</f>
        <v/>
      </c>
      <c r="AE212" s="215" t="str" cm="1">
        <f t="array" ref="AE212">Common_InputFunctions.Utility_DisplayArrayInTable(Fertiliser_SourceData.Fertiliser_Products_Data5(),FertiliserProducts[[#Headers],[Company]], 121)</f>
        <v/>
      </c>
      <c r="AF212" s="215" t="str" cm="1">
        <f t="array" ref="AF212">Common_InputFunctions.Utility_DisplayArrayInTable(Fertiliser_SourceData.Fertiliser_Products_Data5(),FertiliserProducts[[#Headers],[Company]], 121)</f>
        <v/>
      </c>
      <c r="AG212" s="215" t="str" cm="1">
        <f t="array" ref="AG212">Common_InputFunctions.Utility_DisplayArrayInTable(Fertiliser_SourceData.Fertiliser_Products_Data5(),FertiliserProducts[[#Headers],[Company]], 121)</f>
        <v/>
      </c>
      <c r="AH212" s="215" t="str" cm="1">
        <f t="array" ref="AH212">Common_InputFunctions.Utility_DisplayArrayInTable(Fertiliser_SourceData.Fertiliser_Products_Data5(),FertiliserProducts[[#Headers],[Company]], 121)</f>
        <v/>
      </c>
    </row>
    <row r="213" spans="4:34" ht="20.100000000000001" customHeight="1" x14ac:dyDescent="0.25">
      <c r="D213" s="215" t="str" cm="1">
        <f t="array" ref="D213">Common_InputFunctions.Utility_DisplayArrayInTable(Fertiliser_SourceData.Fertiliser_Products_Data5(),FertiliserProducts[[#Headers],[Company]], 121)</f>
        <v>Wengfu Australia</v>
      </c>
      <c r="E213" s="215" t="str" cm="1">
        <f t="array" ref="E213">Common_InputFunctions.Utility_DisplayArrayInTable(Fertiliser_SourceData.Fertiliser_Products_Data5(),FertiliserProducts[[#Headers],[Company]], 121)</f>
        <v>Wengfu Booster Grass DAP</v>
      </c>
      <c r="F213" s="215" t="str" cm="1">
        <f t="array" ref="F213">Common_InputFunctions.Utility_DisplayArrayInTable(Fertiliser_SourceData.Fertiliser_Products_Data5(),FertiliserProducts[[#Headers],[Company]], 121)</f>
        <v>kg</v>
      </c>
      <c r="G213" s="215" cm="1">
        <f t="array" ref="G213">Common_InputFunctions.Utility_DisplayArrayInTable(Fertiliser_SourceData.Fertiliser_Products_Data5(),FertiliserProducts[[#Headers],[Company]], 121)</f>
        <v>1</v>
      </c>
      <c r="H213" s="215" t="str" cm="1">
        <f t="array" ref="H213">Common_InputFunctions.Utility_DisplayArrayInTable(Fertiliser_SourceData.Fertiliser_Products_Data5(),FertiliserProducts[[#Headers],[Company]], 121)</f>
        <v/>
      </c>
      <c r="I213" s="215" t="str" cm="1">
        <f t="array" ref="I213">Common_InputFunctions.Utility_DisplayArrayInTable(Fertiliser_SourceData.Fertiliser_Products_Data5(),FertiliserProducts[[#Headers],[Company]], 121)</f>
        <v/>
      </c>
      <c r="J213" s="215" t="str" cm="1">
        <f t="array" ref="J213">Common_InputFunctions.Utility_DisplayArrayInTable(Fertiliser_SourceData.Fertiliser_Products_Data5(),FertiliserProducts[[#Headers],[Company]], 121)</f>
        <v/>
      </c>
      <c r="K213" s="215" cm="1">
        <f t="array" ref="K213">Common_InputFunctions.Utility_DisplayArrayInTable(Fertiliser_SourceData.Fertiliser_Products_Data5(),FertiliserProducts[[#Headers],[Company]], 121)</f>
        <v>21</v>
      </c>
      <c r="L213" s="215" cm="1">
        <f t="array" ref="L213">Common_InputFunctions.Utility_DisplayArrayInTable(Fertiliser_SourceData.Fertiliser_Products_Data5(),FertiliserProducts[[#Headers],[Company]], 121)</f>
        <v>4</v>
      </c>
      <c r="M213" s="215" cm="1">
        <f t="array" ref="M213">Common_InputFunctions.Utility_DisplayArrayInTable(Fertiliser_SourceData.Fertiliser_Products_Data5(),FertiliserProducts[[#Headers],[Company]], 121)</f>
        <v>8</v>
      </c>
      <c r="N213" s="215" cm="1">
        <f t="array" ref="N213">Common_InputFunctions.Utility_DisplayArrayInTable(Fertiliser_SourceData.Fertiliser_Products_Data5(),FertiliserProducts[[#Headers],[Company]], 121)</f>
        <v>7</v>
      </c>
      <c r="O213" s="215" t="str" cm="1">
        <f t="array" ref="O213">Common_InputFunctions.Utility_DisplayArrayInTable(Fertiliser_SourceData.Fertiliser_Products_Data5(),FertiliserProducts[[#Headers],[Company]], 121)</f>
        <v>Nitrogen - Generic</v>
      </c>
      <c r="P213" s="215" cm="1">
        <f t="array" ref="P213">Common_InputFunctions.Utility_DisplayArrayInTable(Fertiliser_SourceData.Fertiliser_Products_Data5(),FertiliserProducts[[#Headers],[Company]], 121)</f>
        <v>0.21</v>
      </c>
      <c r="Q213" s="215" t="str" cm="1">
        <f t="array" ref="Q213">Common_InputFunctions.Utility_DisplayArrayInTable(Fertiliser_SourceData.Fertiliser_Products_Data5(),FertiliserProducts[[#Headers],[Company]], 121)</f>
        <v>Phosphorus - Generic</v>
      </c>
      <c r="R213" s="215" cm="1">
        <f t="array" ref="R213">Common_InputFunctions.Utility_DisplayArrayInTable(Fertiliser_SourceData.Fertiliser_Products_Data5(),FertiliserProducts[[#Headers],[Company]], 121)</f>
        <v>0.04</v>
      </c>
      <c r="S213" s="215" t="str" cm="1">
        <f t="array" ref="S213">Common_InputFunctions.Utility_DisplayArrayInTable(Fertiliser_SourceData.Fertiliser_Products_Data5(),FertiliserProducts[[#Headers],[Company]], 121)</f>
        <v>Potassium - Generic</v>
      </c>
      <c r="T213" s="215" cm="1">
        <f t="array" ref="T213">Common_InputFunctions.Utility_DisplayArrayInTable(Fertiliser_SourceData.Fertiliser_Products_Data5(),FertiliserProducts[[#Headers],[Company]], 121)</f>
        <v>0.08</v>
      </c>
      <c r="U213" s="215" t="str" cm="1">
        <f t="array" ref="U213">Common_InputFunctions.Utility_DisplayArrayInTable(Fertiliser_SourceData.Fertiliser_Products_Data5(),FertiliserProducts[[#Headers],[Company]], 121)</f>
        <v>Sulfur - Generic</v>
      </c>
      <c r="V213" s="215" cm="1">
        <f t="array" ref="V213">Common_InputFunctions.Utility_DisplayArrayInTable(Fertiliser_SourceData.Fertiliser_Products_Data5(),FertiliserProducts[[#Headers],[Company]], 121)</f>
        <v>7.0000000000000007E-2</v>
      </c>
      <c r="W213" s="215" t="str" cm="1">
        <f t="array" ref="W213">Common_InputFunctions.Utility_DisplayArrayInTable(Fertiliser_SourceData.Fertiliser_Products_Data5(),FertiliserProducts[[#Headers],[Company]], 121)</f>
        <v/>
      </c>
      <c r="X213" s="215" t="str" cm="1">
        <f t="array" ref="X213">Common_InputFunctions.Utility_DisplayArrayInTable(Fertiliser_SourceData.Fertiliser_Products_Data5(),FertiliserProducts[[#Headers],[Company]], 121)</f>
        <v/>
      </c>
      <c r="Y213" s="215" t="str" cm="1">
        <f t="array" ref="Y213">Common_InputFunctions.Utility_DisplayArrayInTable(Fertiliser_SourceData.Fertiliser_Products_Data5(),FertiliserProducts[[#Headers],[Company]], 121)</f>
        <v/>
      </c>
      <c r="Z213" s="215" t="str" cm="1">
        <f t="array" ref="Z213">Common_InputFunctions.Utility_DisplayArrayInTable(Fertiliser_SourceData.Fertiliser_Products_Data5(),FertiliserProducts[[#Headers],[Company]], 121)</f>
        <v/>
      </c>
      <c r="AA213" s="215" t="str" cm="1">
        <f t="array" ref="AA213">Common_InputFunctions.Utility_DisplayArrayInTable(Fertiliser_SourceData.Fertiliser_Products_Data5(),FertiliserProducts[[#Headers],[Company]], 121)</f>
        <v/>
      </c>
      <c r="AB213" s="215" t="str" cm="1">
        <f t="array" ref="AB213">Common_InputFunctions.Utility_DisplayArrayInTable(Fertiliser_SourceData.Fertiliser_Products_Data5(),FertiliserProducts[[#Headers],[Company]], 121)</f>
        <v/>
      </c>
      <c r="AC213" s="215" t="str" cm="1">
        <f t="array" ref="AC213">Common_InputFunctions.Utility_DisplayArrayInTable(Fertiliser_SourceData.Fertiliser_Products_Data5(),FertiliserProducts[[#Headers],[Company]], 121)</f>
        <v/>
      </c>
      <c r="AD213" s="215" t="str" cm="1">
        <f t="array" ref="AD213">Common_InputFunctions.Utility_DisplayArrayInTable(Fertiliser_SourceData.Fertiliser_Products_Data5(),FertiliserProducts[[#Headers],[Company]], 121)</f>
        <v/>
      </c>
      <c r="AE213" s="215" t="str" cm="1">
        <f t="array" ref="AE213">Common_InputFunctions.Utility_DisplayArrayInTable(Fertiliser_SourceData.Fertiliser_Products_Data5(),FertiliserProducts[[#Headers],[Company]], 121)</f>
        <v/>
      </c>
      <c r="AF213" s="215" t="str" cm="1">
        <f t="array" ref="AF213">Common_InputFunctions.Utility_DisplayArrayInTable(Fertiliser_SourceData.Fertiliser_Products_Data5(),FertiliserProducts[[#Headers],[Company]], 121)</f>
        <v/>
      </c>
      <c r="AG213" s="215" t="str" cm="1">
        <f t="array" ref="AG213">Common_InputFunctions.Utility_DisplayArrayInTable(Fertiliser_SourceData.Fertiliser_Products_Data5(),FertiliserProducts[[#Headers],[Company]], 121)</f>
        <v/>
      </c>
      <c r="AH213" s="215" t="str" cm="1">
        <f t="array" ref="AH213">Common_InputFunctions.Utility_DisplayArrayInTable(Fertiliser_SourceData.Fertiliser_Products_Data5(),FertiliserProducts[[#Headers],[Company]], 121)</f>
        <v/>
      </c>
    </row>
    <row r="214" spans="4:34" ht="20.100000000000001" customHeight="1" x14ac:dyDescent="0.25">
      <c r="D214" s="215" t="str" cm="1">
        <f t="array" ref="D214">Common_InputFunctions.Utility_DisplayArrayInTable(Fertiliser_SourceData.Fertiliser_Products_Data5(),FertiliserProducts[[#Headers],[Company]], 121)</f>
        <v>Wengfu Australia</v>
      </c>
      <c r="E214" s="215" t="str" cm="1">
        <f t="array" ref="E214">Common_InputFunctions.Utility_DisplayArrayInTable(Fertiliser_SourceData.Fertiliser_Products_Data5(),FertiliserProducts[[#Headers],[Company]], 121)</f>
        <v>Wengfu Aftergraze</v>
      </c>
      <c r="F214" s="215" t="str" cm="1">
        <f t="array" ref="F214">Common_InputFunctions.Utility_DisplayArrayInTable(Fertiliser_SourceData.Fertiliser_Products_Data5(),FertiliserProducts[[#Headers],[Company]], 121)</f>
        <v>kg</v>
      </c>
      <c r="G214" s="215" cm="1">
        <f t="array" ref="G214">Common_InputFunctions.Utility_DisplayArrayInTable(Fertiliser_SourceData.Fertiliser_Products_Data5(),FertiliserProducts[[#Headers],[Company]], 121)</f>
        <v>1</v>
      </c>
      <c r="H214" s="215" t="str" cm="1">
        <f t="array" ref="H214">Common_InputFunctions.Utility_DisplayArrayInTable(Fertiliser_SourceData.Fertiliser_Products_Data5(),FertiliserProducts[[#Headers],[Company]], 121)</f>
        <v/>
      </c>
      <c r="I214" s="215" t="str" cm="1">
        <f t="array" ref="I214">Common_InputFunctions.Utility_DisplayArrayInTable(Fertiliser_SourceData.Fertiliser_Products_Data5(),FertiliserProducts[[#Headers],[Company]], 121)</f>
        <v/>
      </c>
      <c r="J214" s="215" t="str" cm="1">
        <f t="array" ref="J214">Common_InputFunctions.Utility_DisplayArrayInTable(Fertiliser_SourceData.Fertiliser_Products_Data5(),FertiliserProducts[[#Headers],[Company]], 121)</f>
        <v/>
      </c>
      <c r="K214" s="215" cm="1">
        <f t="array" ref="K214">Common_InputFunctions.Utility_DisplayArrayInTable(Fertiliser_SourceData.Fertiliser_Products_Data5(),FertiliserProducts[[#Headers],[Company]], 121)</f>
        <v>23</v>
      </c>
      <c r="L214" s="215" cm="1">
        <f t="array" ref="L214">Common_InputFunctions.Utility_DisplayArrayInTable(Fertiliser_SourceData.Fertiliser_Products_Data5(),FertiliserProducts[[#Headers],[Company]], 121)</f>
        <v>0</v>
      </c>
      <c r="M214" s="215" cm="1">
        <f t="array" ref="M214">Common_InputFunctions.Utility_DisplayArrayInTable(Fertiliser_SourceData.Fertiliser_Products_Data5(),FertiliserProducts[[#Headers],[Company]], 121)</f>
        <v>25</v>
      </c>
      <c r="N214" s="215" cm="1">
        <f t="array" ref="N214">Common_InputFunctions.Utility_DisplayArrayInTable(Fertiliser_SourceData.Fertiliser_Products_Data5(),FertiliserProducts[[#Headers],[Company]], 121)</f>
        <v>0</v>
      </c>
      <c r="O214" s="215" t="str" cm="1">
        <f t="array" ref="O214">Common_InputFunctions.Utility_DisplayArrayInTable(Fertiliser_SourceData.Fertiliser_Products_Data5(),FertiliserProducts[[#Headers],[Company]], 121)</f>
        <v>Nitrogen - Generic</v>
      </c>
      <c r="P214" s="215" cm="1">
        <f t="array" ref="P214">Common_InputFunctions.Utility_DisplayArrayInTable(Fertiliser_SourceData.Fertiliser_Products_Data5(),FertiliserProducts[[#Headers],[Company]], 121)</f>
        <v>0.23</v>
      </c>
      <c r="Q214" s="215" t="str" cm="1">
        <f t="array" ref="Q214">Common_InputFunctions.Utility_DisplayArrayInTable(Fertiliser_SourceData.Fertiliser_Products_Data5(),FertiliserProducts[[#Headers],[Company]], 121)</f>
        <v>Potassium - Generic</v>
      </c>
      <c r="R214" s="215" cm="1">
        <f t="array" ref="R214">Common_InputFunctions.Utility_DisplayArrayInTable(Fertiliser_SourceData.Fertiliser_Products_Data5(),FertiliserProducts[[#Headers],[Company]], 121)</f>
        <v>0.25</v>
      </c>
      <c r="S214" s="215" t="str" cm="1">
        <f t="array" ref="S214">Common_InputFunctions.Utility_DisplayArrayInTable(Fertiliser_SourceData.Fertiliser_Products_Data5(),FertiliserProducts[[#Headers],[Company]], 121)</f>
        <v/>
      </c>
      <c r="T214" s="215" t="str" cm="1">
        <f t="array" ref="T214">Common_InputFunctions.Utility_DisplayArrayInTable(Fertiliser_SourceData.Fertiliser_Products_Data5(),FertiliserProducts[[#Headers],[Company]], 121)</f>
        <v/>
      </c>
      <c r="U214" s="215" t="str" cm="1">
        <f t="array" ref="U214">Common_InputFunctions.Utility_DisplayArrayInTable(Fertiliser_SourceData.Fertiliser_Products_Data5(),FertiliserProducts[[#Headers],[Company]], 121)</f>
        <v/>
      </c>
      <c r="V214" s="215" t="str" cm="1">
        <f t="array" ref="V214">Common_InputFunctions.Utility_DisplayArrayInTable(Fertiliser_SourceData.Fertiliser_Products_Data5(),FertiliserProducts[[#Headers],[Company]], 121)</f>
        <v/>
      </c>
      <c r="W214" s="215" t="str" cm="1">
        <f t="array" ref="W214">Common_InputFunctions.Utility_DisplayArrayInTable(Fertiliser_SourceData.Fertiliser_Products_Data5(),FertiliserProducts[[#Headers],[Company]], 121)</f>
        <v/>
      </c>
      <c r="X214" s="215" t="str" cm="1">
        <f t="array" ref="X214">Common_InputFunctions.Utility_DisplayArrayInTable(Fertiliser_SourceData.Fertiliser_Products_Data5(),FertiliserProducts[[#Headers],[Company]], 121)</f>
        <v/>
      </c>
      <c r="Y214" s="215" t="str" cm="1">
        <f t="array" ref="Y214">Common_InputFunctions.Utility_DisplayArrayInTable(Fertiliser_SourceData.Fertiliser_Products_Data5(),FertiliserProducts[[#Headers],[Company]], 121)</f>
        <v/>
      </c>
      <c r="Z214" s="215" t="str" cm="1">
        <f t="array" ref="Z214">Common_InputFunctions.Utility_DisplayArrayInTable(Fertiliser_SourceData.Fertiliser_Products_Data5(),FertiliserProducts[[#Headers],[Company]], 121)</f>
        <v/>
      </c>
      <c r="AA214" s="215" t="str" cm="1">
        <f t="array" ref="AA214">Common_InputFunctions.Utility_DisplayArrayInTable(Fertiliser_SourceData.Fertiliser_Products_Data5(),FertiliserProducts[[#Headers],[Company]], 121)</f>
        <v/>
      </c>
      <c r="AB214" s="215" t="str" cm="1">
        <f t="array" ref="AB214">Common_InputFunctions.Utility_DisplayArrayInTable(Fertiliser_SourceData.Fertiliser_Products_Data5(),FertiliserProducts[[#Headers],[Company]], 121)</f>
        <v/>
      </c>
      <c r="AC214" s="215" t="str" cm="1">
        <f t="array" ref="AC214">Common_InputFunctions.Utility_DisplayArrayInTable(Fertiliser_SourceData.Fertiliser_Products_Data5(),FertiliserProducts[[#Headers],[Company]], 121)</f>
        <v/>
      </c>
      <c r="AD214" s="215" t="str" cm="1">
        <f t="array" ref="AD214">Common_InputFunctions.Utility_DisplayArrayInTable(Fertiliser_SourceData.Fertiliser_Products_Data5(),FertiliserProducts[[#Headers],[Company]], 121)</f>
        <v/>
      </c>
      <c r="AE214" s="215" t="str" cm="1">
        <f t="array" ref="AE214">Common_InputFunctions.Utility_DisplayArrayInTable(Fertiliser_SourceData.Fertiliser_Products_Data5(),FertiliserProducts[[#Headers],[Company]], 121)</f>
        <v/>
      </c>
      <c r="AF214" s="215" t="str" cm="1">
        <f t="array" ref="AF214">Common_InputFunctions.Utility_DisplayArrayInTable(Fertiliser_SourceData.Fertiliser_Products_Data5(),FertiliserProducts[[#Headers],[Company]], 121)</f>
        <v/>
      </c>
      <c r="AG214" s="215" t="str" cm="1">
        <f t="array" ref="AG214">Common_InputFunctions.Utility_DisplayArrayInTable(Fertiliser_SourceData.Fertiliser_Products_Data5(),FertiliserProducts[[#Headers],[Company]], 121)</f>
        <v/>
      </c>
      <c r="AH214" s="215" t="str" cm="1">
        <f t="array" ref="AH214">Common_InputFunctions.Utility_DisplayArrayInTable(Fertiliser_SourceData.Fertiliser_Products_Data5(),FertiliserProducts[[#Headers],[Company]], 121)</f>
        <v/>
      </c>
    </row>
    <row r="215" spans="4:34" ht="20.100000000000001" customHeight="1" x14ac:dyDescent="0.25">
      <c r="D215" s="215" t="str" cm="1">
        <f t="array" ref="D215">Common_InputFunctions.Utility_DisplayArrayInTable(Fertiliser_SourceData.Fertiliser_Products_Data5(),FertiliserProducts[[#Headers],[Company]], 121)</f>
        <v>Wengfu Australia</v>
      </c>
      <c r="E215" s="215" t="str" cm="1">
        <f t="array" ref="E215">Common_InputFunctions.Utility_DisplayArrayInTable(Fertiliser_SourceData.Fertiliser_Products_Data5(),FertiliserProducts[[#Headers],[Company]], 121)</f>
        <v>Wengfu Sidedress</v>
      </c>
      <c r="F215" s="215" t="str" cm="1">
        <f t="array" ref="F215">Common_InputFunctions.Utility_DisplayArrayInTable(Fertiliser_SourceData.Fertiliser_Products_Data5(),FertiliserProducts[[#Headers],[Company]], 121)</f>
        <v>kg</v>
      </c>
      <c r="G215" s="215" cm="1">
        <f t="array" ref="G215">Common_InputFunctions.Utility_DisplayArrayInTable(Fertiliser_SourceData.Fertiliser_Products_Data5(),FertiliserProducts[[#Headers],[Company]], 121)</f>
        <v>1</v>
      </c>
      <c r="H215" s="215" t="str" cm="1">
        <f t="array" ref="H215">Common_InputFunctions.Utility_DisplayArrayInTable(Fertiliser_SourceData.Fertiliser_Products_Data5(),FertiliserProducts[[#Headers],[Company]], 121)</f>
        <v/>
      </c>
      <c r="I215" s="215" t="str" cm="1">
        <f t="array" ref="I215">Common_InputFunctions.Utility_DisplayArrayInTable(Fertiliser_SourceData.Fertiliser_Products_Data5(),FertiliserProducts[[#Headers],[Company]], 121)</f>
        <v/>
      </c>
      <c r="J215" s="215" t="str" cm="1">
        <f t="array" ref="J215">Common_InputFunctions.Utility_DisplayArrayInTable(Fertiliser_SourceData.Fertiliser_Products_Data5(),FertiliserProducts[[#Headers],[Company]], 121)</f>
        <v/>
      </c>
      <c r="K215" s="215" cm="1">
        <f t="array" ref="K215">Common_InputFunctions.Utility_DisplayArrayInTable(Fertiliser_SourceData.Fertiliser_Products_Data5(),FertiliserProducts[[#Headers],[Company]], 121)</f>
        <v>25</v>
      </c>
      <c r="L215" s="215" cm="1">
        <f t="array" ref="L215">Common_InputFunctions.Utility_DisplayArrayInTable(Fertiliser_SourceData.Fertiliser_Products_Data5(),FertiliserProducts[[#Headers],[Company]], 121)</f>
        <v>4</v>
      </c>
      <c r="M215" s="215" cm="1">
        <f t="array" ref="M215">Common_InputFunctions.Utility_DisplayArrayInTable(Fertiliser_SourceData.Fertiliser_Products_Data5(),FertiliserProducts[[#Headers],[Company]], 121)</f>
        <v>13</v>
      </c>
      <c r="N215" s="215" cm="1">
        <f t="array" ref="N215">Common_InputFunctions.Utility_DisplayArrayInTable(Fertiliser_SourceData.Fertiliser_Products_Data5(),FertiliserProducts[[#Headers],[Company]], 121)</f>
        <v>4</v>
      </c>
      <c r="O215" s="215" t="str" cm="1">
        <f t="array" ref="O215">Common_InputFunctions.Utility_DisplayArrayInTable(Fertiliser_SourceData.Fertiliser_Products_Data5(),FertiliserProducts[[#Headers],[Company]], 121)</f>
        <v>Nitrogen - Generic</v>
      </c>
      <c r="P215" s="215" cm="1">
        <f t="array" ref="P215">Common_InputFunctions.Utility_DisplayArrayInTable(Fertiliser_SourceData.Fertiliser_Products_Data5(),FertiliserProducts[[#Headers],[Company]], 121)</f>
        <v>0.25</v>
      </c>
      <c r="Q215" s="215" t="str" cm="1">
        <f t="array" ref="Q215">Common_InputFunctions.Utility_DisplayArrayInTable(Fertiliser_SourceData.Fertiliser_Products_Data5(),FertiliserProducts[[#Headers],[Company]], 121)</f>
        <v>Phosphorus - Generic</v>
      </c>
      <c r="R215" s="215" cm="1">
        <f t="array" ref="R215">Common_InputFunctions.Utility_DisplayArrayInTable(Fertiliser_SourceData.Fertiliser_Products_Data5(),FertiliserProducts[[#Headers],[Company]], 121)</f>
        <v>0.04</v>
      </c>
      <c r="S215" s="215" t="str" cm="1">
        <f t="array" ref="S215">Common_InputFunctions.Utility_DisplayArrayInTable(Fertiliser_SourceData.Fertiliser_Products_Data5(),FertiliserProducts[[#Headers],[Company]], 121)</f>
        <v>Potassium - Generic</v>
      </c>
      <c r="T215" s="215" cm="1">
        <f t="array" ref="T215">Common_InputFunctions.Utility_DisplayArrayInTable(Fertiliser_SourceData.Fertiliser_Products_Data5(),FertiliserProducts[[#Headers],[Company]], 121)</f>
        <v>0.13</v>
      </c>
      <c r="U215" s="215" t="str" cm="1">
        <f t="array" ref="U215">Common_InputFunctions.Utility_DisplayArrayInTable(Fertiliser_SourceData.Fertiliser_Products_Data5(),FertiliserProducts[[#Headers],[Company]], 121)</f>
        <v>Sulfur - Generic</v>
      </c>
      <c r="V215" s="215" cm="1">
        <f t="array" ref="V215">Common_InputFunctions.Utility_DisplayArrayInTable(Fertiliser_SourceData.Fertiliser_Products_Data5(),FertiliserProducts[[#Headers],[Company]], 121)</f>
        <v>0.04</v>
      </c>
      <c r="W215" s="215" t="str" cm="1">
        <f t="array" ref="W215">Common_InputFunctions.Utility_DisplayArrayInTable(Fertiliser_SourceData.Fertiliser_Products_Data5(),FertiliserProducts[[#Headers],[Company]], 121)</f>
        <v/>
      </c>
      <c r="X215" s="215" t="str" cm="1">
        <f t="array" ref="X215">Common_InputFunctions.Utility_DisplayArrayInTable(Fertiliser_SourceData.Fertiliser_Products_Data5(),FertiliserProducts[[#Headers],[Company]], 121)</f>
        <v/>
      </c>
      <c r="Y215" s="215" t="str" cm="1">
        <f t="array" ref="Y215">Common_InputFunctions.Utility_DisplayArrayInTable(Fertiliser_SourceData.Fertiliser_Products_Data5(),FertiliserProducts[[#Headers],[Company]], 121)</f>
        <v/>
      </c>
      <c r="Z215" s="215" t="str" cm="1">
        <f t="array" ref="Z215">Common_InputFunctions.Utility_DisplayArrayInTable(Fertiliser_SourceData.Fertiliser_Products_Data5(),FertiliserProducts[[#Headers],[Company]], 121)</f>
        <v/>
      </c>
      <c r="AA215" s="215" t="str" cm="1">
        <f t="array" ref="AA215">Common_InputFunctions.Utility_DisplayArrayInTable(Fertiliser_SourceData.Fertiliser_Products_Data5(),FertiliserProducts[[#Headers],[Company]], 121)</f>
        <v/>
      </c>
      <c r="AB215" s="215" t="str" cm="1">
        <f t="array" ref="AB215">Common_InputFunctions.Utility_DisplayArrayInTable(Fertiliser_SourceData.Fertiliser_Products_Data5(),FertiliserProducts[[#Headers],[Company]], 121)</f>
        <v/>
      </c>
      <c r="AC215" s="215" t="str" cm="1">
        <f t="array" ref="AC215">Common_InputFunctions.Utility_DisplayArrayInTable(Fertiliser_SourceData.Fertiliser_Products_Data5(),FertiliserProducts[[#Headers],[Company]], 121)</f>
        <v/>
      </c>
      <c r="AD215" s="215" t="str" cm="1">
        <f t="array" ref="AD215">Common_InputFunctions.Utility_DisplayArrayInTable(Fertiliser_SourceData.Fertiliser_Products_Data5(),FertiliserProducts[[#Headers],[Company]], 121)</f>
        <v/>
      </c>
      <c r="AE215" s="215" t="str" cm="1">
        <f t="array" ref="AE215">Common_InputFunctions.Utility_DisplayArrayInTable(Fertiliser_SourceData.Fertiliser_Products_Data5(),FertiliserProducts[[#Headers],[Company]], 121)</f>
        <v/>
      </c>
      <c r="AF215" s="215" t="str" cm="1">
        <f t="array" ref="AF215">Common_InputFunctions.Utility_DisplayArrayInTable(Fertiliser_SourceData.Fertiliser_Products_Data5(),FertiliserProducts[[#Headers],[Company]], 121)</f>
        <v/>
      </c>
      <c r="AG215" s="215" t="str" cm="1">
        <f t="array" ref="AG215">Common_InputFunctions.Utility_DisplayArrayInTable(Fertiliser_SourceData.Fertiliser_Products_Data5(),FertiliserProducts[[#Headers],[Company]], 121)</f>
        <v/>
      </c>
      <c r="AH215" s="215" t="str" cm="1">
        <f t="array" ref="AH215">Common_InputFunctions.Utility_DisplayArrayInTable(Fertiliser_SourceData.Fertiliser_Products_Data5(),FertiliserProducts[[#Headers],[Company]], 121)</f>
        <v/>
      </c>
    </row>
    <row r="216" spans="4:34" ht="20.100000000000001" customHeight="1" x14ac:dyDescent="0.25">
      <c r="D216" s="215" t="str" cm="1">
        <f t="array" ref="D216">Common_InputFunctions.Utility_DisplayArrayInTable(Fertiliser_SourceData.Fertiliser_Products_Data5(),FertiliserProducts[[#Headers],[Company]], 121)</f>
        <v>Wengfu Australia</v>
      </c>
      <c r="E216" s="215" t="str" cm="1">
        <f t="array" ref="E216">Common_InputFunctions.Utility_DisplayArrayInTable(Fertiliser_SourceData.Fertiliser_Products_Data5(),FertiliserProducts[[#Headers],[Company]], 121)</f>
        <v>Wengfu Pasture Booster</v>
      </c>
      <c r="F216" s="215" t="str" cm="1">
        <f t="array" ref="F216">Common_InputFunctions.Utility_DisplayArrayInTable(Fertiliser_SourceData.Fertiliser_Products_Data5(),FertiliserProducts[[#Headers],[Company]], 121)</f>
        <v>kg</v>
      </c>
      <c r="G216" s="215" cm="1">
        <f t="array" ref="G216">Common_InputFunctions.Utility_DisplayArrayInTable(Fertiliser_SourceData.Fertiliser_Products_Data5(),FertiliserProducts[[#Headers],[Company]], 121)</f>
        <v>1</v>
      </c>
      <c r="H216" s="215" t="str" cm="1">
        <f t="array" ref="H216">Common_InputFunctions.Utility_DisplayArrayInTable(Fertiliser_SourceData.Fertiliser_Products_Data5(),FertiliserProducts[[#Headers],[Company]], 121)</f>
        <v/>
      </c>
      <c r="I216" s="215" t="str" cm="1">
        <f t="array" ref="I216">Common_InputFunctions.Utility_DisplayArrayInTable(Fertiliser_SourceData.Fertiliser_Products_Data5(),FertiliserProducts[[#Headers],[Company]], 121)</f>
        <v/>
      </c>
      <c r="J216" s="215" t="str" cm="1">
        <f t="array" ref="J216">Common_InputFunctions.Utility_DisplayArrayInTable(Fertiliser_SourceData.Fertiliser_Products_Data5(),FertiliserProducts[[#Headers],[Company]], 121)</f>
        <v/>
      </c>
      <c r="K216" s="215" cm="1">
        <f t="array" ref="K216">Common_InputFunctions.Utility_DisplayArrayInTable(Fertiliser_SourceData.Fertiliser_Products_Data5(),FertiliserProducts[[#Headers],[Company]], 121)</f>
        <v>13</v>
      </c>
      <c r="L216" s="215" cm="1">
        <f t="array" ref="L216">Common_InputFunctions.Utility_DisplayArrayInTable(Fertiliser_SourceData.Fertiliser_Products_Data5(),FertiliserProducts[[#Headers],[Company]], 121)</f>
        <v>5</v>
      </c>
      <c r="M216" s="215" cm="1">
        <f t="array" ref="M216">Common_InputFunctions.Utility_DisplayArrayInTable(Fertiliser_SourceData.Fertiliser_Products_Data5(),FertiliserProducts[[#Headers],[Company]], 121)</f>
        <v>24</v>
      </c>
      <c r="N216" s="215" cm="1">
        <f t="array" ref="N216">Common_InputFunctions.Utility_DisplayArrayInTable(Fertiliser_SourceData.Fertiliser_Products_Data5(),FertiliserProducts[[#Headers],[Company]], 121)</f>
        <v>5</v>
      </c>
      <c r="O216" s="215" t="str" cm="1">
        <f t="array" ref="O216">Common_InputFunctions.Utility_DisplayArrayInTable(Fertiliser_SourceData.Fertiliser_Products_Data5(),FertiliserProducts[[#Headers],[Company]], 121)</f>
        <v>Nitrogen - Generic</v>
      </c>
      <c r="P216" s="215" cm="1">
        <f t="array" ref="P216">Common_InputFunctions.Utility_DisplayArrayInTable(Fertiliser_SourceData.Fertiliser_Products_Data5(),FertiliserProducts[[#Headers],[Company]], 121)</f>
        <v>0.13</v>
      </c>
      <c r="Q216" s="215" t="str" cm="1">
        <f t="array" ref="Q216">Common_InputFunctions.Utility_DisplayArrayInTable(Fertiliser_SourceData.Fertiliser_Products_Data5(),FertiliserProducts[[#Headers],[Company]], 121)</f>
        <v>Phosphorus - Generic</v>
      </c>
      <c r="R216" s="215" cm="1">
        <f t="array" ref="R216">Common_InputFunctions.Utility_DisplayArrayInTable(Fertiliser_SourceData.Fertiliser_Products_Data5(),FertiliserProducts[[#Headers],[Company]], 121)</f>
        <v>0.05</v>
      </c>
      <c r="S216" s="215" t="str" cm="1">
        <f t="array" ref="S216">Common_InputFunctions.Utility_DisplayArrayInTable(Fertiliser_SourceData.Fertiliser_Products_Data5(),FertiliserProducts[[#Headers],[Company]], 121)</f>
        <v>Potassium - Generic</v>
      </c>
      <c r="T216" s="215" cm="1">
        <f t="array" ref="T216">Common_InputFunctions.Utility_DisplayArrayInTable(Fertiliser_SourceData.Fertiliser_Products_Data5(),FertiliserProducts[[#Headers],[Company]], 121)</f>
        <v>0.24</v>
      </c>
      <c r="U216" s="215" t="str" cm="1">
        <f t="array" ref="U216">Common_InputFunctions.Utility_DisplayArrayInTable(Fertiliser_SourceData.Fertiliser_Products_Data5(),FertiliserProducts[[#Headers],[Company]], 121)</f>
        <v>Sulfur - Generic</v>
      </c>
      <c r="V216" s="215" cm="1">
        <f t="array" ref="V216">Common_InputFunctions.Utility_DisplayArrayInTable(Fertiliser_SourceData.Fertiliser_Products_Data5(),FertiliserProducts[[#Headers],[Company]], 121)</f>
        <v>0.05</v>
      </c>
      <c r="W216" s="215" t="str" cm="1">
        <f t="array" ref="W216">Common_InputFunctions.Utility_DisplayArrayInTable(Fertiliser_SourceData.Fertiliser_Products_Data5(),FertiliserProducts[[#Headers],[Company]], 121)</f>
        <v/>
      </c>
      <c r="X216" s="215" t="str" cm="1">
        <f t="array" ref="X216">Common_InputFunctions.Utility_DisplayArrayInTable(Fertiliser_SourceData.Fertiliser_Products_Data5(),FertiliserProducts[[#Headers],[Company]], 121)</f>
        <v/>
      </c>
      <c r="Y216" s="215" t="str" cm="1">
        <f t="array" ref="Y216">Common_InputFunctions.Utility_DisplayArrayInTable(Fertiliser_SourceData.Fertiliser_Products_Data5(),FertiliserProducts[[#Headers],[Company]], 121)</f>
        <v/>
      </c>
      <c r="Z216" s="215" t="str" cm="1">
        <f t="array" ref="Z216">Common_InputFunctions.Utility_DisplayArrayInTable(Fertiliser_SourceData.Fertiliser_Products_Data5(),FertiliserProducts[[#Headers],[Company]], 121)</f>
        <v/>
      </c>
      <c r="AA216" s="215" t="str" cm="1">
        <f t="array" ref="AA216">Common_InputFunctions.Utility_DisplayArrayInTable(Fertiliser_SourceData.Fertiliser_Products_Data5(),FertiliserProducts[[#Headers],[Company]], 121)</f>
        <v/>
      </c>
      <c r="AB216" s="215" t="str" cm="1">
        <f t="array" ref="AB216">Common_InputFunctions.Utility_DisplayArrayInTable(Fertiliser_SourceData.Fertiliser_Products_Data5(),FertiliserProducts[[#Headers],[Company]], 121)</f>
        <v/>
      </c>
      <c r="AC216" s="215" t="str" cm="1">
        <f t="array" ref="AC216">Common_InputFunctions.Utility_DisplayArrayInTable(Fertiliser_SourceData.Fertiliser_Products_Data5(),FertiliserProducts[[#Headers],[Company]], 121)</f>
        <v/>
      </c>
      <c r="AD216" s="215" t="str" cm="1">
        <f t="array" ref="AD216">Common_InputFunctions.Utility_DisplayArrayInTable(Fertiliser_SourceData.Fertiliser_Products_Data5(),FertiliserProducts[[#Headers],[Company]], 121)</f>
        <v/>
      </c>
      <c r="AE216" s="215" t="str" cm="1">
        <f t="array" ref="AE216">Common_InputFunctions.Utility_DisplayArrayInTable(Fertiliser_SourceData.Fertiliser_Products_Data5(),FertiliserProducts[[#Headers],[Company]], 121)</f>
        <v/>
      </c>
      <c r="AF216" s="215" t="str" cm="1">
        <f t="array" ref="AF216">Common_InputFunctions.Utility_DisplayArrayInTable(Fertiliser_SourceData.Fertiliser_Products_Data5(),FertiliserProducts[[#Headers],[Company]], 121)</f>
        <v/>
      </c>
      <c r="AG216" s="215" t="str" cm="1">
        <f t="array" ref="AG216">Common_InputFunctions.Utility_DisplayArrayInTable(Fertiliser_SourceData.Fertiliser_Products_Data5(),FertiliserProducts[[#Headers],[Company]], 121)</f>
        <v/>
      </c>
      <c r="AH216" s="215" t="str" cm="1">
        <f t="array" ref="AH216">Common_InputFunctions.Utility_DisplayArrayInTable(Fertiliser_SourceData.Fertiliser_Products_Data5(),FertiliserProducts[[#Headers],[Company]], 121)</f>
        <v/>
      </c>
    </row>
    <row r="217" spans="4:34" ht="20.100000000000001" customHeight="1" x14ac:dyDescent="0.25">
      <c r="D217" s="215" t="str" cm="1">
        <f t="array" ref="D217">Common_InputFunctions.Utility_DisplayArrayInTable(Fertiliser_SourceData.Fertiliser_Products_Data5(),FertiliserProducts[[#Headers],[Company]], 121)</f>
        <v>Wengfu Australia</v>
      </c>
      <c r="E217" s="215" t="str" cm="1">
        <f t="array" ref="E217">Common_InputFunctions.Utility_DisplayArrayInTable(Fertiliser_SourceData.Fertiliser_Products_Data5(),FertiliserProducts[[#Headers],[Company]], 121)</f>
        <v>Wengfu DAP Hay Booster</v>
      </c>
      <c r="F217" s="215" t="str" cm="1">
        <f t="array" ref="F217">Common_InputFunctions.Utility_DisplayArrayInTable(Fertiliser_SourceData.Fertiliser_Products_Data5(),FertiliserProducts[[#Headers],[Company]], 121)</f>
        <v>kg</v>
      </c>
      <c r="G217" s="215" cm="1">
        <f t="array" ref="G217">Common_InputFunctions.Utility_DisplayArrayInTable(Fertiliser_SourceData.Fertiliser_Products_Data5(),FertiliserProducts[[#Headers],[Company]], 121)</f>
        <v>1</v>
      </c>
      <c r="H217" s="215" t="str" cm="1">
        <f t="array" ref="H217">Common_InputFunctions.Utility_DisplayArrayInTable(Fertiliser_SourceData.Fertiliser_Products_Data5(),FertiliserProducts[[#Headers],[Company]], 121)</f>
        <v/>
      </c>
      <c r="I217" s="215" t="str" cm="1">
        <f t="array" ref="I217">Common_InputFunctions.Utility_DisplayArrayInTable(Fertiliser_SourceData.Fertiliser_Products_Data5(),FertiliserProducts[[#Headers],[Company]], 121)</f>
        <v/>
      </c>
      <c r="J217" s="215" t="str" cm="1">
        <f t="array" ref="J217">Common_InputFunctions.Utility_DisplayArrayInTable(Fertiliser_SourceData.Fertiliser_Products_Data5(),FertiliserProducts[[#Headers],[Company]], 121)</f>
        <v/>
      </c>
      <c r="K217" s="215" cm="1">
        <f t="array" ref="K217">Common_InputFunctions.Utility_DisplayArrayInTable(Fertiliser_SourceData.Fertiliser_Products_Data5(),FertiliserProducts[[#Headers],[Company]], 121)</f>
        <v>11</v>
      </c>
      <c r="L217" s="215" cm="1">
        <f t="array" ref="L217">Common_InputFunctions.Utility_DisplayArrayInTable(Fertiliser_SourceData.Fertiliser_Products_Data5(),FertiliserProducts[[#Headers],[Company]], 121)</f>
        <v>5</v>
      </c>
      <c r="M217" s="215" cm="1">
        <f t="array" ref="M217">Common_InputFunctions.Utility_DisplayArrayInTable(Fertiliser_SourceData.Fertiliser_Products_Data5(),FertiliserProducts[[#Headers],[Company]], 121)</f>
        <v>24</v>
      </c>
      <c r="N217" s="215" cm="1">
        <f t="array" ref="N217">Common_InputFunctions.Utility_DisplayArrayInTable(Fertiliser_SourceData.Fertiliser_Products_Data5(),FertiliserProducts[[#Headers],[Company]], 121)</f>
        <v>4</v>
      </c>
      <c r="O217" s="215" t="str" cm="1">
        <f t="array" ref="O217">Common_InputFunctions.Utility_DisplayArrayInTable(Fertiliser_SourceData.Fertiliser_Products_Data5(),FertiliserProducts[[#Headers],[Company]], 121)</f>
        <v>Nitrogen - Generic</v>
      </c>
      <c r="P217" s="215" cm="1">
        <f t="array" ref="P217">Common_InputFunctions.Utility_DisplayArrayInTable(Fertiliser_SourceData.Fertiliser_Products_Data5(),FertiliserProducts[[#Headers],[Company]], 121)</f>
        <v>0.11</v>
      </c>
      <c r="Q217" s="215" t="str" cm="1">
        <f t="array" ref="Q217">Common_InputFunctions.Utility_DisplayArrayInTable(Fertiliser_SourceData.Fertiliser_Products_Data5(),FertiliserProducts[[#Headers],[Company]], 121)</f>
        <v>Phosphorus - Generic</v>
      </c>
      <c r="R217" s="215" cm="1">
        <f t="array" ref="R217">Common_InputFunctions.Utility_DisplayArrayInTable(Fertiliser_SourceData.Fertiliser_Products_Data5(),FertiliserProducts[[#Headers],[Company]], 121)</f>
        <v>0.05</v>
      </c>
      <c r="S217" s="215" t="str" cm="1">
        <f t="array" ref="S217">Common_InputFunctions.Utility_DisplayArrayInTable(Fertiliser_SourceData.Fertiliser_Products_Data5(),FertiliserProducts[[#Headers],[Company]], 121)</f>
        <v>Potassium - Generic</v>
      </c>
      <c r="T217" s="215" cm="1">
        <f t="array" ref="T217">Common_InputFunctions.Utility_DisplayArrayInTable(Fertiliser_SourceData.Fertiliser_Products_Data5(),FertiliserProducts[[#Headers],[Company]], 121)</f>
        <v>0.24</v>
      </c>
      <c r="U217" s="215" t="str" cm="1">
        <f t="array" ref="U217">Common_InputFunctions.Utility_DisplayArrayInTable(Fertiliser_SourceData.Fertiliser_Products_Data5(),FertiliserProducts[[#Headers],[Company]], 121)</f>
        <v>Sulfur - Generic</v>
      </c>
      <c r="V217" s="215" cm="1">
        <f t="array" ref="V217">Common_InputFunctions.Utility_DisplayArrayInTable(Fertiliser_SourceData.Fertiliser_Products_Data5(),FertiliserProducts[[#Headers],[Company]], 121)</f>
        <v>0.04</v>
      </c>
      <c r="W217" s="215" t="str" cm="1">
        <f t="array" ref="W217">Common_InputFunctions.Utility_DisplayArrayInTable(Fertiliser_SourceData.Fertiliser_Products_Data5(),FertiliserProducts[[#Headers],[Company]], 121)</f>
        <v/>
      </c>
      <c r="X217" s="215" t="str" cm="1">
        <f t="array" ref="X217">Common_InputFunctions.Utility_DisplayArrayInTable(Fertiliser_SourceData.Fertiliser_Products_Data5(),FertiliserProducts[[#Headers],[Company]], 121)</f>
        <v/>
      </c>
      <c r="Y217" s="215" t="str" cm="1">
        <f t="array" ref="Y217">Common_InputFunctions.Utility_DisplayArrayInTable(Fertiliser_SourceData.Fertiliser_Products_Data5(),FertiliserProducts[[#Headers],[Company]], 121)</f>
        <v/>
      </c>
      <c r="Z217" s="215" t="str" cm="1">
        <f t="array" ref="Z217">Common_InputFunctions.Utility_DisplayArrayInTable(Fertiliser_SourceData.Fertiliser_Products_Data5(),FertiliserProducts[[#Headers],[Company]], 121)</f>
        <v/>
      </c>
      <c r="AA217" s="215" t="str" cm="1">
        <f t="array" ref="AA217">Common_InputFunctions.Utility_DisplayArrayInTable(Fertiliser_SourceData.Fertiliser_Products_Data5(),FertiliserProducts[[#Headers],[Company]], 121)</f>
        <v/>
      </c>
      <c r="AB217" s="215" t="str" cm="1">
        <f t="array" ref="AB217">Common_InputFunctions.Utility_DisplayArrayInTable(Fertiliser_SourceData.Fertiliser_Products_Data5(),FertiliserProducts[[#Headers],[Company]], 121)</f>
        <v/>
      </c>
      <c r="AC217" s="215" t="str" cm="1">
        <f t="array" ref="AC217">Common_InputFunctions.Utility_DisplayArrayInTable(Fertiliser_SourceData.Fertiliser_Products_Data5(),FertiliserProducts[[#Headers],[Company]], 121)</f>
        <v/>
      </c>
      <c r="AD217" s="215" t="str" cm="1">
        <f t="array" ref="AD217">Common_InputFunctions.Utility_DisplayArrayInTable(Fertiliser_SourceData.Fertiliser_Products_Data5(),FertiliserProducts[[#Headers],[Company]], 121)</f>
        <v/>
      </c>
      <c r="AE217" s="215" t="str" cm="1">
        <f t="array" ref="AE217">Common_InputFunctions.Utility_DisplayArrayInTable(Fertiliser_SourceData.Fertiliser_Products_Data5(),FertiliserProducts[[#Headers],[Company]], 121)</f>
        <v/>
      </c>
      <c r="AF217" s="215" t="str" cm="1">
        <f t="array" ref="AF217">Common_InputFunctions.Utility_DisplayArrayInTable(Fertiliser_SourceData.Fertiliser_Products_Data5(),FertiliserProducts[[#Headers],[Company]], 121)</f>
        <v/>
      </c>
      <c r="AG217" s="215" t="str" cm="1">
        <f t="array" ref="AG217">Common_InputFunctions.Utility_DisplayArrayInTable(Fertiliser_SourceData.Fertiliser_Products_Data5(),FertiliserProducts[[#Headers],[Company]], 121)</f>
        <v/>
      </c>
      <c r="AH217" s="215" t="str" cm="1">
        <f t="array" ref="AH217">Common_InputFunctions.Utility_DisplayArrayInTable(Fertiliser_SourceData.Fertiliser_Products_Data5(),FertiliserProducts[[#Headers],[Company]], 121)</f>
        <v/>
      </c>
    </row>
    <row r="218" spans="4:34" ht="20.100000000000001" customHeight="1" x14ac:dyDescent="0.25">
      <c r="D218" s="215" t="str" cm="1">
        <f t="array" ref="D218">Common_InputFunctions.Utility_DisplayArrayInTable(Fertiliser_SourceData.Fertiliser_Products_Data5(),FertiliserProducts[[#Headers],[Company]], 121)</f>
        <v>Wengfu Australia</v>
      </c>
      <c r="E218" s="215" t="str" cm="1">
        <f t="array" ref="E218">Common_InputFunctions.Utility_DisplayArrayInTable(Fertiliser_SourceData.Fertiliser_Products_Data5(),FertiliserProducts[[#Headers],[Company]], 121)</f>
        <v>Wengfu MAP Hay Booster</v>
      </c>
      <c r="F218" s="215" t="str" cm="1">
        <f t="array" ref="F218">Common_InputFunctions.Utility_DisplayArrayInTable(Fertiliser_SourceData.Fertiliser_Products_Data5(),FertiliserProducts[[#Headers],[Company]], 121)</f>
        <v>kg</v>
      </c>
      <c r="G218" s="215" cm="1">
        <f t="array" ref="G218">Common_InputFunctions.Utility_DisplayArrayInTable(Fertiliser_SourceData.Fertiliser_Products_Data5(),FertiliserProducts[[#Headers],[Company]], 121)</f>
        <v>1</v>
      </c>
      <c r="H218" s="215" t="str" cm="1">
        <f t="array" ref="H218">Common_InputFunctions.Utility_DisplayArrayInTable(Fertiliser_SourceData.Fertiliser_Products_Data5(),FertiliserProducts[[#Headers],[Company]], 121)</f>
        <v/>
      </c>
      <c r="I218" s="215" t="str" cm="1">
        <f t="array" ref="I218">Common_InputFunctions.Utility_DisplayArrayInTable(Fertiliser_SourceData.Fertiliser_Products_Data5(),FertiliserProducts[[#Headers],[Company]], 121)</f>
        <v/>
      </c>
      <c r="J218" s="215" t="str" cm="1">
        <f t="array" ref="J218">Common_InputFunctions.Utility_DisplayArrayInTable(Fertiliser_SourceData.Fertiliser_Products_Data5(),FertiliserProducts[[#Headers],[Company]], 121)</f>
        <v/>
      </c>
      <c r="K218" s="215" cm="1">
        <f t="array" ref="K218">Common_InputFunctions.Utility_DisplayArrayInTable(Fertiliser_SourceData.Fertiliser_Products_Data5(),FertiliserProducts[[#Headers],[Company]], 121)</f>
        <v>11</v>
      </c>
      <c r="L218" s="215" cm="1">
        <f t="array" ref="L218">Common_InputFunctions.Utility_DisplayArrayInTable(Fertiliser_SourceData.Fertiliser_Products_Data5(),FertiliserProducts[[#Headers],[Company]], 121)</f>
        <v>8</v>
      </c>
      <c r="M218" s="215" cm="1">
        <f t="array" ref="M218">Common_InputFunctions.Utility_DisplayArrayInTable(Fertiliser_SourceData.Fertiliser_Products_Data5(),FertiliserProducts[[#Headers],[Company]], 121)</f>
        <v>20</v>
      </c>
      <c r="N218" s="215" cm="1">
        <f t="array" ref="N218">Common_InputFunctions.Utility_DisplayArrayInTable(Fertiliser_SourceData.Fertiliser_Products_Data5(),FertiliserProducts[[#Headers],[Company]], 121)</f>
        <v>6</v>
      </c>
      <c r="O218" s="215" t="str" cm="1">
        <f t="array" ref="O218">Common_InputFunctions.Utility_DisplayArrayInTable(Fertiliser_SourceData.Fertiliser_Products_Data5(),FertiliserProducts[[#Headers],[Company]], 121)</f>
        <v>Nitrogen - Generic</v>
      </c>
      <c r="P218" s="215" cm="1">
        <f t="array" ref="P218">Common_InputFunctions.Utility_DisplayArrayInTable(Fertiliser_SourceData.Fertiliser_Products_Data5(),FertiliserProducts[[#Headers],[Company]], 121)</f>
        <v>0.11</v>
      </c>
      <c r="Q218" s="215" t="str" cm="1">
        <f t="array" ref="Q218">Common_InputFunctions.Utility_DisplayArrayInTable(Fertiliser_SourceData.Fertiliser_Products_Data5(),FertiliserProducts[[#Headers],[Company]], 121)</f>
        <v>Phosphorus - Generic</v>
      </c>
      <c r="R218" s="215" cm="1">
        <f t="array" ref="R218">Common_InputFunctions.Utility_DisplayArrayInTable(Fertiliser_SourceData.Fertiliser_Products_Data5(),FertiliserProducts[[#Headers],[Company]], 121)</f>
        <v>0.08</v>
      </c>
      <c r="S218" s="215" t="str" cm="1">
        <f t="array" ref="S218">Common_InputFunctions.Utility_DisplayArrayInTable(Fertiliser_SourceData.Fertiliser_Products_Data5(),FertiliserProducts[[#Headers],[Company]], 121)</f>
        <v>Potassium - Generic</v>
      </c>
      <c r="T218" s="215" cm="1">
        <f t="array" ref="T218">Common_InputFunctions.Utility_DisplayArrayInTable(Fertiliser_SourceData.Fertiliser_Products_Data5(),FertiliserProducts[[#Headers],[Company]], 121)</f>
        <v>0.2</v>
      </c>
      <c r="U218" s="215" t="str" cm="1">
        <f t="array" ref="U218">Common_InputFunctions.Utility_DisplayArrayInTable(Fertiliser_SourceData.Fertiliser_Products_Data5(),FertiliserProducts[[#Headers],[Company]], 121)</f>
        <v>Sulfur - Generic</v>
      </c>
      <c r="V218" s="215" cm="1">
        <f t="array" ref="V218">Common_InputFunctions.Utility_DisplayArrayInTable(Fertiliser_SourceData.Fertiliser_Products_Data5(),FertiliserProducts[[#Headers],[Company]], 121)</f>
        <v>0.06</v>
      </c>
      <c r="W218" s="215" t="str" cm="1">
        <f t="array" ref="W218">Common_InputFunctions.Utility_DisplayArrayInTable(Fertiliser_SourceData.Fertiliser_Products_Data5(),FertiliserProducts[[#Headers],[Company]], 121)</f>
        <v/>
      </c>
      <c r="X218" s="215" t="str" cm="1">
        <f t="array" ref="X218">Common_InputFunctions.Utility_DisplayArrayInTable(Fertiliser_SourceData.Fertiliser_Products_Data5(),FertiliserProducts[[#Headers],[Company]], 121)</f>
        <v/>
      </c>
      <c r="Y218" s="215" t="str" cm="1">
        <f t="array" ref="Y218">Common_InputFunctions.Utility_DisplayArrayInTable(Fertiliser_SourceData.Fertiliser_Products_Data5(),FertiliserProducts[[#Headers],[Company]], 121)</f>
        <v/>
      </c>
      <c r="Z218" s="215" t="str" cm="1">
        <f t="array" ref="Z218">Common_InputFunctions.Utility_DisplayArrayInTable(Fertiliser_SourceData.Fertiliser_Products_Data5(),FertiliserProducts[[#Headers],[Company]], 121)</f>
        <v/>
      </c>
      <c r="AA218" s="215" t="str" cm="1">
        <f t="array" ref="AA218">Common_InputFunctions.Utility_DisplayArrayInTable(Fertiliser_SourceData.Fertiliser_Products_Data5(),FertiliserProducts[[#Headers],[Company]], 121)</f>
        <v/>
      </c>
      <c r="AB218" s="215" t="str" cm="1">
        <f t="array" ref="AB218">Common_InputFunctions.Utility_DisplayArrayInTable(Fertiliser_SourceData.Fertiliser_Products_Data5(),FertiliserProducts[[#Headers],[Company]], 121)</f>
        <v/>
      </c>
      <c r="AC218" s="215" t="str" cm="1">
        <f t="array" ref="AC218">Common_InputFunctions.Utility_DisplayArrayInTable(Fertiliser_SourceData.Fertiliser_Products_Data5(),FertiliserProducts[[#Headers],[Company]], 121)</f>
        <v/>
      </c>
      <c r="AD218" s="215" t="str" cm="1">
        <f t="array" ref="AD218">Common_InputFunctions.Utility_DisplayArrayInTable(Fertiliser_SourceData.Fertiliser_Products_Data5(),FertiliserProducts[[#Headers],[Company]], 121)</f>
        <v/>
      </c>
      <c r="AE218" s="215" t="str" cm="1">
        <f t="array" ref="AE218">Common_InputFunctions.Utility_DisplayArrayInTable(Fertiliser_SourceData.Fertiliser_Products_Data5(),FertiliserProducts[[#Headers],[Company]], 121)</f>
        <v/>
      </c>
      <c r="AF218" s="215" t="str" cm="1">
        <f t="array" ref="AF218">Common_InputFunctions.Utility_DisplayArrayInTable(Fertiliser_SourceData.Fertiliser_Products_Data5(),FertiliserProducts[[#Headers],[Company]], 121)</f>
        <v/>
      </c>
      <c r="AG218" s="215" t="str" cm="1">
        <f t="array" ref="AG218">Common_InputFunctions.Utility_DisplayArrayInTable(Fertiliser_SourceData.Fertiliser_Products_Data5(),FertiliserProducts[[#Headers],[Company]], 121)</f>
        <v/>
      </c>
      <c r="AH218" s="215" t="str" cm="1">
        <f t="array" ref="AH218">Common_InputFunctions.Utility_DisplayArrayInTable(Fertiliser_SourceData.Fertiliser_Products_Data5(),FertiliserProducts[[#Headers],[Company]], 121)</f>
        <v/>
      </c>
    </row>
    <row r="219" spans="4:34" ht="20.100000000000001" customHeight="1" x14ac:dyDescent="0.25">
      <c r="D219" s="215" t="str" cm="1">
        <f t="array" ref="D219">Common_InputFunctions.Utility_DisplayArrayInTable(Fertiliser_SourceData.Fertiliser_Products_Data5(),FertiliserProducts[[#Headers],[Company]], 121)</f>
        <v>Wengfu Australia</v>
      </c>
      <c r="E219" s="215" t="str" cm="1">
        <f t="array" ref="E219">Common_InputFunctions.Utility_DisplayArrayInTable(Fertiliser_SourceData.Fertiliser_Products_Data5(),FertiliserProducts[[#Headers],[Company]], 121)</f>
        <v>Wengfu Fodder Booster</v>
      </c>
      <c r="F219" s="215" t="str" cm="1">
        <f t="array" ref="F219">Common_InputFunctions.Utility_DisplayArrayInTable(Fertiliser_SourceData.Fertiliser_Products_Data5(),FertiliserProducts[[#Headers],[Company]], 121)</f>
        <v>kg</v>
      </c>
      <c r="G219" s="215" cm="1">
        <f t="array" ref="G219">Common_InputFunctions.Utility_DisplayArrayInTable(Fertiliser_SourceData.Fertiliser_Products_Data5(),FertiliserProducts[[#Headers],[Company]], 121)</f>
        <v>1</v>
      </c>
      <c r="H219" s="215" t="str" cm="1">
        <f t="array" ref="H219">Common_InputFunctions.Utility_DisplayArrayInTable(Fertiliser_SourceData.Fertiliser_Products_Data5(),FertiliserProducts[[#Headers],[Company]], 121)</f>
        <v/>
      </c>
      <c r="I219" s="215" t="str" cm="1">
        <f t="array" ref="I219">Common_InputFunctions.Utility_DisplayArrayInTable(Fertiliser_SourceData.Fertiliser_Products_Data5(),FertiliserProducts[[#Headers],[Company]], 121)</f>
        <v/>
      </c>
      <c r="J219" s="215" t="str" cm="1">
        <f t="array" ref="J219">Common_InputFunctions.Utility_DisplayArrayInTable(Fertiliser_SourceData.Fertiliser_Products_Data5(),FertiliserProducts[[#Headers],[Company]], 121)</f>
        <v/>
      </c>
      <c r="K219" s="215" cm="1">
        <f t="array" ref="K219">Common_InputFunctions.Utility_DisplayArrayInTable(Fertiliser_SourceData.Fertiliser_Products_Data5(),FertiliserProducts[[#Headers],[Company]], 121)</f>
        <v>9</v>
      </c>
      <c r="L219" s="215" cm="1">
        <f t="array" ref="L219">Common_InputFunctions.Utility_DisplayArrayInTable(Fertiliser_SourceData.Fertiliser_Products_Data5(),FertiliserProducts[[#Headers],[Company]], 121)</f>
        <v>4</v>
      </c>
      <c r="M219" s="215" cm="1">
        <f t="array" ref="M219">Common_InputFunctions.Utility_DisplayArrayInTable(Fertiliser_SourceData.Fertiliser_Products_Data5(),FertiliserProducts[[#Headers],[Company]], 121)</f>
        <v>5</v>
      </c>
      <c r="N219" s="215" cm="1">
        <f t="array" ref="N219">Common_InputFunctions.Utility_DisplayArrayInTable(Fertiliser_SourceData.Fertiliser_Products_Data5(),FertiliserProducts[[#Headers],[Company]], 121)</f>
        <v>15</v>
      </c>
      <c r="O219" s="215" t="str" cm="1">
        <f t="array" ref="O219">Common_InputFunctions.Utility_DisplayArrayInTable(Fertiliser_SourceData.Fertiliser_Products_Data5(),FertiliserProducts[[#Headers],[Company]], 121)</f>
        <v>Nitrogen - Generic</v>
      </c>
      <c r="P219" s="215" cm="1">
        <f t="array" ref="P219">Common_InputFunctions.Utility_DisplayArrayInTable(Fertiliser_SourceData.Fertiliser_Products_Data5(),FertiliserProducts[[#Headers],[Company]], 121)</f>
        <v>0.09</v>
      </c>
      <c r="Q219" s="215" t="str" cm="1">
        <f t="array" ref="Q219">Common_InputFunctions.Utility_DisplayArrayInTable(Fertiliser_SourceData.Fertiliser_Products_Data5(),FertiliserProducts[[#Headers],[Company]], 121)</f>
        <v>Phosphorus - Generic</v>
      </c>
      <c r="R219" s="215" cm="1">
        <f t="array" ref="R219">Common_InputFunctions.Utility_DisplayArrayInTable(Fertiliser_SourceData.Fertiliser_Products_Data5(),FertiliserProducts[[#Headers],[Company]], 121)</f>
        <v>0.04</v>
      </c>
      <c r="S219" s="215" t="str" cm="1">
        <f t="array" ref="S219">Common_InputFunctions.Utility_DisplayArrayInTable(Fertiliser_SourceData.Fertiliser_Products_Data5(),FertiliserProducts[[#Headers],[Company]], 121)</f>
        <v>Potassium - Generic</v>
      </c>
      <c r="T219" s="215" cm="1">
        <f t="array" ref="T219">Common_InputFunctions.Utility_DisplayArrayInTable(Fertiliser_SourceData.Fertiliser_Products_Data5(),FertiliserProducts[[#Headers],[Company]], 121)</f>
        <v>0.05</v>
      </c>
      <c r="U219" s="215" t="str" cm="1">
        <f t="array" ref="U219">Common_InputFunctions.Utility_DisplayArrayInTable(Fertiliser_SourceData.Fertiliser_Products_Data5(),FertiliserProducts[[#Headers],[Company]], 121)</f>
        <v>Sulfur - Generic</v>
      </c>
      <c r="V219" s="215" cm="1">
        <f t="array" ref="V219">Common_InputFunctions.Utility_DisplayArrayInTable(Fertiliser_SourceData.Fertiliser_Products_Data5(),FertiliserProducts[[#Headers],[Company]], 121)</f>
        <v>0.15</v>
      </c>
      <c r="W219" s="215" t="str" cm="1">
        <f t="array" ref="W219">Common_InputFunctions.Utility_DisplayArrayInTable(Fertiliser_SourceData.Fertiliser_Products_Data5(),FertiliserProducts[[#Headers],[Company]], 121)</f>
        <v/>
      </c>
      <c r="X219" s="215" t="str" cm="1">
        <f t="array" ref="X219">Common_InputFunctions.Utility_DisplayArrayInTable(Fertiliser_SourceData.Fertiliser_Products_Data5(),FertiliserProducts[[#Headers],[Company]], 121)</f>
        <v/>
      </c>
      <c r="Y219" s="215" t="str" cm="1">
        <f t="array" ref="Y219">Common_InputFunctions.Utility_DisplayArrayInTable(Fertiliser_SourceData.Fertiliser_Products_Data5(),FertiliserProducts[[#Headers],[Company]], 121)</f>
        <v/>
      </c>
      <c r="Z219" s="215" t="str" cm="1">
        <f t="array" ref="Z219">Common_InputFunctions.Utility_DisplayArrayInTable(Fertiliser_SourceData.Fertiliser_Products_Data5(),FertiliserProducts[[#Headers],[Company]], 121)</f>
        <v/>
      </c>
      <c r="AA219" s="215" t="str" cm="1">
        <f t="array" ref="AA219">Common_InputFunctions.Utility_DisplayArrayInTable(Fertiliser_SourceData.Fertiliser_Products_Data5(),FertiliserProducts[[#Headers],[Company]], 121)</f>
        <v/>
      </c>
      <c r="AB219" s="215" t="str" cm="1">
        <f t="array" ref="AB219">Common_InputFunctions.Utility_DisplayArrayInTable(Fertiliser_SourceData.Fertiliser_Products_Data5(),FertiliserProducts[[#Headers],[Company]], 121)</f>
        <v/>
      </c>
      <c r="AC219" s="215" t="str" cm="1">
        <f t="array" ref="AC219">Common_InputFunctions.Utility_DisplayArrayInTable(Fertiliser_SourceData.Fertiliser_Products_Data5(),FertiliserProducts[[#Headers],[Company]], 121)</f>
        <v/>
      </c>
      <c r="AD219" s="215" t="str" cm="1">
        <f t="array" ref="AD219">Common_InputFunctions.Utility_DisplayArrayInTable(Fertiliser_SourceData.Fertiliser_Products_Data5(),FertiliserProducts[[#Headers],[Company]], 121)</f>
        <v/>
      </c>
      <c r="AE219" s="215" t="str" cm="1">
        <f t="array" ref="AE219">Common_InputFunctions.Utility_DisplayArrayInTable(Fertiliser_SourceData.Fertiliser_Products_Data5(),FertiliserProducts[[#Headers],[Company]], 121)</f>
        <v/>
      </c>
      <c r="AF219" s="215" t="str" cm="1">
        <f t="array" ref="AF219">Common_InputFunctions.Utility_DisplayArrayInTable(Fertiliser_SourceData.Fertiliser_Products_Data5(),FertiliserProducts[[#Headers],[Company]], 121)</f>
        <v/>
      </c>
      <c r="AG219" s="215" t="str" cm="1">
        <f t="array" ref="AG219">Common_InputFunctions.Utility_DisplayArrayInTable(Fertiliser_SourceData.Fertiliser_Products_Data5(),FertiliserProducts[[#Headers],[Company]], 121)</f>
        <v/>
      </c>
      <c r="AH219" s="215" t="str" cm="1">
        <f t="array" ref="AH219">Common_InputFunctions.Utility_DisplayArrayInTable(Fertiliser_SourceData.Fertiliser_Products_Data5(),FertiliserProducts[[#Headers],[Company]], 121)</f>
        <v/>
      </c>
    </row>
    <row r="220" spans="4:34" ht="20.100000000000001" customHeight="1" x14ac:dyDescent="0.25">
      <c r="D220" s="215" t="str" cm="1">
        <f t="array" ref="D220">Common_InputFunctions.Utility_DisplayArrayInTable(Fertiliser_SourceData.Fertiliser_Products_Data5(),FertiliserProducts[[#Headers],[Company]], 121)</f>
        <v>CSBP</v>
      </c>
      <c r="E220" s="215" t="str" cm="1">
        <f t="array" ref="E220">Common_InputFunctions.Utility_DisplayArrayInTable(Fertiliser_SourceData.Fertiliser_Products_Data5(),FertiliserProducts[[#Headers],[Company]], 121)</f>
        <v>K-Till Extra</v>
      </c>
      <c r="F220" s="215" t="str" cm="1">
        <f t="array" ref="F220">Common_InputFunctions.Utility_DisplayArrayInTable(Fertiliser_SourceData.Fertiliser_Products_Data5(),FertiliserProducts[[#Headers],[Company]], 121)</f>
        <v>kg</v>
      </c>
      <c r="G220" s="215" cm="1">
        <f t="array" ref="G220">Common_InputFunctions.Utility_DisplayArrayInTable(Fertiliser_SourceData.Fertiliser_Products_Data5(),FertiliserProducts[[#Headers],[Company]], 121)</f>
        <v>1</v>
      </c>
      <c r="H220" s="215" t="str" cm="1">
        <f t="array" ref="H220">Common_InputFunctions.Utility_DisplayArrayInTable(Fertiliser_SourceData.Fertiliser_Products_Data5(),FertiliserProducts[[#Headers],[Company]], 121)</f>
        <v/>
      </c>
      <c r="I220" s="215" t="str" cm="1">
        <f t="array" ref="I220">Common_InputFunctions.Utility_DisplayArrayInTable(Fertiliser_SourceData.Fertiliser_Products_Data5(),FertiliserProducts[[#Headers],[Company]], 121)</f>
        <v/>
      </c>
      <c r="J220" s="215" t="str" cm="1">
        <f t="array" ref="J220">Common_InputFunctions.Utility_DisplayArrayInTable(Fertiliser_SourceData.Fertiliser_Products_Data5(),FertiliserProducts[[#Headers],[Company]], 121)</f>
        <v/>
      </c>
      <c r="K220" s="215" cm="1">
        <f t="array" ref="K220">Common_InputFunctions.Utility_DisplayArrayInTable(Fertiliser_SourceData.Fertiliser_Products_Data5(),FertiliserProducts[[#Headers],[Company]], 121)</f>
        <v>10.73</v>
      </c>
      <c r="L220" s="215" cm="1">
        <f t="array" ref="L220">Common_InputFunctions.Utility_DisplayArrayInTable(Fertiliser_SourceData.Fertiliser_Products_Data5(),FertiliserProducts[[#Headers],[Company]], 121)</f>
        <v>10.95</v>
      </c>
      <c r="M220" s="215" cm="1">
        <f t="array" ref="M220">Common_InputFunctions.Utility_DisplayArrayInTable(Fertiliser_SourceData.Fertiliser_Products_Data5(),FertiliserProducts[[#Headers],[Company]], 121)</f>
        <v>11.35</v>
      </c>
      <c r="N220" s="215" cm="1">
        <f t="array" ref="N220">Common_InputFunctions.Utility_DisplayArrayInTable(Fertiliser_SourceData.Fertiliser_Products_Data5(),FertiliserProducts[[#Headers],[Company]], 121)</f>
        <v>6.55</v>
      </c>
      <c r="O220" s="215" t="str" cm="1">
        <f t="array" ref="O220">Common_InputFunctions.Utility_DisplayArrayInTable(Fertiliser_SourceData.Fertiliser_Products_Data5(),FertiliserProducts[[#Headers],[Company]], 121)</f>
        <v>Monoammonium phosphate (MAP)</v>
      </c>
      <c r="P220" s="215" cm="1">
        <f t="array" ref="P220">Common_InputFunctions.Utility_DisplayArrayInTable(Fertiliser_SourceData.Fertiliser_Products_Data5(),FertiliserProducts[[#Headers],[Company]], 121)</f>
        <v>0.5</v>
      </c>
      <c r="Q220" s="215" t="str" cm="1">
        <f t="array" ref="Q220">Common_InputFunctions.Utility_DisplayArrayInTable(Fertiliser_SourceData.Fertiliser_Products_Data5(),FertiliserProducts[[#Headers],[Company]], 121)</f>
        <v>Sulphate of ammonia (SOA)</v>
      </c>
      <c r="R220" s="215" cm="1">
        <f t="array" ref="R220">Common_InputFunctions.Utility_DisplayArrayInTable(Fertiliser_SourceData.Fertiliser_Products_Data5(),FertiliserProducts[[#Headers],[Company]], 121)</f>
        <v>0.27300000000000002</v>
      </c>
      <c r="S220" s="215" t="str" cm="1">
        <f t="array" ref="S220">Common_InputFunctions.Utility_DisplayArrayInTable(Fertiliser_SourceData.Fertiliser_Products_Data5(),FertiliserProducts[[#Headers],[Company]], 121)</f>
        <v>Muriate of potash (MOP)</v>
      </c>
      <c r="T220" s="215" cm="1">
        <f t="array" ref="T220">Common_InputFunctions.Utility_DisplayArrayInTable(Fertiliser_SourceData.Fertiliser_Products_Data5(),FertiliserProducts[[#Headers],[Company]], 121)</f>
        <v>0.22700000000000001</v>
      </c>
      <c r="U220" s="215" t="str" cm="1">
        <f t="array" ref="U220">Common_InputFunctions.Utility_DisplayArrayInTable(Fertiliser_SourceData.Fertiliser_Products_Data5(),FertiliserProducts[[#Headers],[Company]], 121)</f>
        <v>Copper</v>
      </c>
      <c r="V220" s="215" t="str" cm="1">
        <f t="array" ref="V220">Common_InputFunctions.Utility_DisplayArrayInTable(Fertiliser_SourceData.Fertiliser_Products_Data5(),FertiliserProducts[[#Headers],[Company]], 121)</f>
        <v>No data</v>
      </c>
      <c r="W220" s="215" t="str" cm="1">
        <f t="array" ref="W220">Common_InputFunctions.Utility_DisplayArrayInTable(Fertiliser_SourceData.Fertiliser_Products_Data5(),FertiliserProducts[[#Headers],[Company]], 121)</f>
        <v>Zinc</v>
      </c>
      <c r="X220" s="215" t="str" cm="1">
        <f t="array" ref="X220">Common_InputFunctions.Utility_DisplayArrayInTable(Fertiliser_SourceData.Fertiliser_Products_Data5(),FertiliserProducts[[#Headers],[Company]], 121)</f>
        <v>No data</v>
      </c>
      <c r="Y220" s="215" t="str" cm="1">
        <f t="array" ref="Y220">Common_InputFunctions.Utility_DisplayArrayInTable(Fertiliser_SourceData.Fertiliser_Products_Data5(),FertiliserProducts[[#Headers],[Company]], 121)</f>
        <v/>
      </c>
      <c r="Z220" s="215" t="str" cm="1">
        <f t="array" ref="Z220">Common_InputFunctions.Utility_DisplayArrayInTable(Fertiliser_SourceData.Fertiliser_Products_Data5(),FertiliserProducts[[#Headers],[Company]], 121)</f>
        <v/>
      </c>
      <c r="AA220" s="215" t="str" cm="1">
        <f t="array" ref="AA220">Common_InputFunctions.Utility_DisplayArrayInTable(Fertiliser_SourceData.Fertiliser_Products_Data5(),FertiliserProducts[[#Headers],[Company]], 121)</f>
        <v/>
      </c>
      <c r="AB220" s="215" t="str" cm="1">
        <f t="array" ref="AB220">Common_InputFunctions.Utility_DisplayArrayInTable(Fertiliser_SourceData.Fertiliser_Products_Data5(),FertiliserProducts[[#Headers],[Company]], 121)</f>
        <v/>
      </c>
      <c r="AC220" s="215" t="str" cm="1">
        <f t="array" ref="AC220">Common_InputFunctions.Utility_DisplayArrayInTable(Fertiliser_SourceData.Fertiliser_Products_Data5(),FertiliserProducts[[#Headers],[Company]], 121)</f>
        <v/>
      </c>
      <c r="AD220" s="215" t="str" cm="1">
        <f t="array" ref="AD220">Common_InputFunctions.Utility_DisplayArrayInTable(Fertiliser_SourceData.Fertiliser_Products_Data5(),FertiliserProducts[[#Headers],[Company]], 121)</f>
        <v/>
      </c>
      <c r="AE220" s="215" t="str" cm="1">
        <f t="array" ref="AE220">Common_InputFunctions.Utility_DisplayArrayInTable(Fertiliser_SourceData.Fertiliser_Products_Data5(),FertiliserProducts[[#Headers],[Company]], 121)</f>
        <v/>
      </c>
      <c r="AF220" s="215" t="str" cm="1">
        <f t="array" ref="AF220">Common_InputFunctions.Utility_DisplayArrayInTable(Fertiliser_SourceData.Fertiliser_Products_Data5(),FertiliserProducts[[#Headers],[Company]], 121)</f>
        <v/>
      </c>
      <c r="AG220" s="215" t="str" cm="1">
        <f t="array" ref="AG220">Common_InputFunctions.Utility_DisplayArrayInTable(Fertiliser_SourceData.Fertiliser_Products_Data5(),FertiliserProducts[[#Headers],[Company]], 121)</f>
        <v/>
      </c>
      <c r="AH220" s="215" t="str" cm="1">
        <f t="array" ref="AH220">Common_InputFunctions.Utility_DisplayArrayInTable(Fertiliser_SourceData.Fertiliser_Products_Data5(),FertiliserProducts[[#Headers],[Company]], 121)</f>
        <v/>
      </c>
    </row>
    <row r="221" spans="4:34" ht="20.100000000000001" customHeight="1" x14ac:dyDescent="0.25">
      <c r="D221" s="215" t="str" cm="1">
        <f t="array" ref="D221">Common_InputFunctions.Utility_DisplayArrayInTable(Fertiliser_SourceData.Fertiliser_Products_Data5(),FertiliserProducts[[#Headers],[Company]], 121)</f>
        <v>CSBP</v>
      </c>
      <c r="E221" s="215" t="str" cm="1">
        <f t="array" ref="E221">Common_InputFunctions.Utility_DisplayArrayInTable(Fertiliser_SourceData.Fertiliser_Products_Data5(),FertiliserProducts[[#Headers],[Company]], 121)</f>
        <v>Agras Extra</v>
      </c>
      <c r="F221" s="215" t="str" cm="1">
        <f t="array" ref="F221">Common_InputFunctions.Utility_DisplayArrayInTable(Fertiliser_SourceData.Fertiliser_Products_Data5(),FertiliserProducts[[#Headers],[Company]], 121)</f>
        <v>kg</v>
      </c>
      <c r="G221" s="215" cm="1">
        <f t="array" ref="G221">Common_InputFunctions.Utility_DisplayArrayInTable(Fertiliser_SourceData.Fertiliser_Products_Data5(),FertiliserProducts[[#Headers],[Company]], 121)</f>
        <v>1</v>
      </c>
      <c r="H221" s="215" t="str" cm="1">
        <f t="array" ref="H221">Common_InputFunctions.Utility_DisplayArrayInTable(Fertiliser_SourceData.Fertiliser_Products_Data5(),FertiliserProducts[[#Headers],[Company]], 121)</f>
        <v/>
      </c>
      <c r="I221" s="215" t="str" cm="1">
        <f t="array" ref="I221">Common_InputFunctions.Utility_DisplayArrayInTable(Fertiliser_SourceData.Fertiliser_Products_Data5(),FertiliserProducts[[#Headers],[Company]], 121)</f>
        <v/>
      </c>
      <c r="J221" s="215" t="str" cm="1">
        <f t="array" ref="J221">Common_InputFunctions.Utility_DisplayArrayInTable(Fertiliser_SourceData.Fertiliser_Products_Data5(),FertiliserProducts[[#Headers],[Company]], 121)</f>
        <v/>
      </c>
      <c r="K221" s="215" cm="1">
        <f t="array" ref="K221">Common_InputFunctions.Utility_DisplayArrayInTable(Fertiliser_SourceData.Fertiliser_Products_Data5(),FertiliserProducts[[#Headers],[Company]], 121)</f>
        <v>16.95</v>
      </c>
      <c r="L221" s="215" cm="1">
        <f t="array" ref="L221">Common_InputFunctions.Utility_DisplayArrayInTable(Fertiliser_SourceData.Fertiliser_Products_Data5(),FertiliserProducts[[#Headers],[Company]], 121)</f>
        <v>8.06</v>
      </c>
      <c r="M221" s="215" t="str" cm="1">
        <f t="array" ref="M221">Common_InputFunctions.Utility_DisplayArrayInTable(Fertiliser_SourceData.Fertiliser_Products_Data5(),FertiliserProducts[[#Headers],[Company]], 121)</f>
        <v/>
      </c>
      <c r="N221" s="215" cm="1">
        <f t="array" ref="N221">Common_InputFunctions.Utility_DisplayArrayInTable(Fertiliser_SourceData.Fertiliser_Products_Data5(),FertiliserProducts[[#Headers],[Company]], 121)</f>
        <v>15.17</v>
      </c>
      <c r="O221" s="215" t="str" cm="1">
        <f t="array" ref="O221">Common_InputFunctions.Utility_DisplayArrayInTable(Fertiliser_SourceData.Fertiliser_Products_Data5(),FertiliserProducts[[#Headers],[Company]], 121)</f>
        <v>Sulphate of ammonia (SOA)</v>
      </c>
      <c r="P221" s="215" cm="1">
        <f t="array" ref="P221">Common_InputFunctions.Utility_DisplayArrayInTable(Fertiliser_SourceData.Fertiliser_Products_Data5(),FertiliserProducts[[#Headers],[Company]], 121)</f>
        <v>0.63200000000000001</v>
      </c>
      <c r="Q221" s="215" t="str" cm="1">
        <f t="array" ref="Q221">Common_InputFunctions.Utility_DisplayArrayInTable(Fertiliser_SourceData.Fertiliser_Products_Data5(),FertiliserProducts[[#Headers],[Company]], 121)</f>
        <v>Monoammonium phosphate (MAP)</v>
      </c>
      <c r="R221" s="215" cm="1">
        <f t="array" ref="R221">Common_InputFunctions.Utility_DisplayArrayInTable(Fertiliser_SourceData.Fertiliser_Products_Data5(),FertiliserProducts[[#Headers],[Company]], 121)</f>
        <v>0.36799999999999999</v>
      </c>
      <c r="S221" s="215" t="str" cm="1">
        <f t="array" ref="S221">Common_InputFunctions.Utility_DisplayArrayInTable(Fertiliser_SourceData.Fertiliser_Products_Data5(),FertiliserProducts[[#Headers],[Company]], 121)</f>
        <v>Zinc</v>
      </c>
      <c r="T221" s="215" t="str" cm="1">
        <f t="array" ref="T221">Common_InputFunctions.Utility_DisplayArrayInTable(Fertiliser_SourceData.Fertiliser_Products_Data5(),FertiliserProducts[[#Headers],[Company]], 121)</f>
        <v>No data</v>
      </c>
      <c r="U221" s="215" t="str" cm="1">
        <f t="array" ref="U221">Common_InputFunctions.Utility_DisplayArrayInTable(Fertiliser_SourceData.Fertiliser_Products_Data5(),FertiliserProducts[[#Headers],[Company]], 121)</f>
        <v>Copper</v>
      </c>
      <c r="V221" s="215" t="str" cm="1">
        <f t="array" ref="V221">Common_InputFunctions.Utility_DisplayArrayInTable(Fertiliser_SourceData.Fertiliser_Products_Data5(),FertiliserProducts[[#Headers],[Company]], 121)</f>
        <v>No data</v>
      </c>
      <c r="W221" s="215" t="str" cm="1">
        <f t="array" ref="W221">Common_InputFunctions.Utility_DisplayArrayInTable(Fertiliser_SourceData.Fertiliser_Products_Data5(),FertiliserProducts[[#Headers],[Company]], 121)</f>
        <v>Molybdenum</v>
      </c>
      <c r="X221" s="215" t="str" cm="1">
        <f t="array" ref="X221">Common_InputFunctions.Utility_DisplayArrayInTable(Fertiliser_SourceData.Fertiliser_Products_Data5(),FertiliserProducts[[#Headers],[Company]], 121)</f>
        <v>No data</v>
      </c>
      <c r="Y221" s="215" t="str" cm="1">
        <f t="array" ref="Y221">Common_InputFunctions.Utility_DisplayArrayInTable(Fertiliser_SourceData.Fertiliser_Products_Data5(),FertiliserProducts[[#Headers],[Company]], 121)</f>
        <v>Cobalt</v>
      </c>
      <c r="Z221" s="215" t="str" cm="1">
        <f t="array" ref="Z221">Common_InputFunctions.Utility_DisplayArrayInTable(Fertiliser_SourceData.Fertiliser_Products_Data5(),FertiliserProducts[[#Headers],[Company]], 121)</f>
        <v>No data</v>
      </c>
      <c r="AA221" s="215" t="str" cm="1">
        <f t="array" ref="AA221">Common_InputFunctions.Utility_DisplayArrayInTable(Fertiliser_SourceData.Fertiliser_Products_Data5(),FertiliserProducts[[#Headers],[Company]], 121)</f>
        <v/>
      </c>
      <c r="AB221" s="215" t="str" cm="1">
        <f t="array" ref="AB221">Common_InputFunctions.Utility_DisplayArrayInTable(Fertiliser_SourceData.Fertiliser_Products_Data5(),FertiliserProducts[[#Headers],[Company]], 121)</f>
        <v/>
      </c>
      <c r="AC221" s="215" t="str" cm="1">
        <f t="array" ref="AC221">Common_InputFunctions.Utility_DisplayArrayInTable(Fertiliser_SourceData.Fertiliser_Products_Data5(),FertiliserProducts[[#Headers],[Company]], 121)</f>
        <v/>
      </c>
      <c r="AD221" s="215" t="str" cm="1">
        <f t="array" ref="AD221">Common_InputFunctions.Utility_DisplayArrayInTable(Fertiliser_SourceData.Fertiliser_Products_Data5(),FertiliserProducts[[#Headers],[Company]], 121)</f>
        <v/>
      </c>
      <c r="AE221" s="215" t="str" cm="1">
        <f t="array" ref="AE221">Common_InputFunctions.Utility_DisplayArrayInTable(Fertiliser_SourceData.Fertiliser_Products_Data5(),FertiliserProducts[[#Headers],[Company]], 121)</f>
        <v/>
      </c>
      <c r="AF221" s="215" t="str" cm="1">
        <f t="array" ref="AF221">Common_InputFunctions.Utility_DisplayArrayInTable(Fertiliser_SourceData.Fertiliser_Products_Data5(),FertiliserProducts[[#Headers],[Company]], 121)</f>
        <v/>
      </c>
      <c r="AG221" s="215" t="str" cm="1">
        <f t="array" ref="AG221">Common_InputFunctions.Utility_DisplayArrayInTable(Fertiliser_SourceData.Fertiliser_Products_Data5(),FertiliserProducts[[#Headers],[Company]], 121)</f>
        <v/>
      </c>
      <c r="AH221" s="215" t="str" cm="1">
        <f t="array" ref="AH221">Common_InputFunctions.Utility_DisplayArrayInTable(Fertiliser_SourceData.Fertiliser_Products_Data5(),FertiliserProducts[[#Headers],[Company]], 121)</f>
        <v/>
      </c>
    </row>
    <row r="222" spans="4:34" ht="20.100000000000001" customHeight="1" x14ac:dyDescent="0.25">
      <c r="D222" s="215" t="str" cm="1">
        <f t="array" ref="D222">Common_InputFunctions.Utility_DisplayArrayInTable(Fertiliser_SourceData.Fertiliser_Products_Data5(),FertiliserProducts[[#Headers],[Company]], 121)</f>
        <v>CSBP</v>
      </c>
      <c r="E222" s="215" t="str" cm="1">
        <f t="array" ref="E222">Common_InputFunctions.Utility_DisplayArrayInTable(Fertiliser_SourceData.Fertiliser_Products_Data5(),FertiliserProducts[[#Headers],[Company]], 121)</f>
        <v>Super Copper Zinc Moly</v>
      </c>
      <c r="F222" s="215" t="str" cm="1">
        <f t="array" ref="F222">Common_InputFunctions.Utility_DisplayArrayInTable(Fertiliser_SourceData.Fertiliser_Products_Data5(),FertiliserProducts[[#Headers],[Company]], 121)</f>
        <v>kg</v>
      </c>
      <c r="G222" s="215" cm="1">
        <f t="array" ref="G222">Common_InputFunctions.Utility_DisplayArrayInTable(Fertiliser_SourceData.Fertiliser_Products_Data5(),FertiliserProducts[[#Headers],[Company]], 121)</f>
        <v>1</v>
      </c>
      <c r="H222" s="215" t="str" cm="1">
        <f t="array" ref="H222">Common_InputFunctions.Utility_DisplayArrayInTable(Fertiliser_SourceData.Fertiliser_Products_Data5(),FertiliserProducts[[#Headers],[Company]], 121)</f>
        <v/>
      </c>
      <c r="I222" s="215" t="str" cm="1">
        <f t="array" ref="I222">Common_InputFunctions.Utility_DisplayArrayInTable(Fertiliser_SourceData.Fertiliser_Products_Data5(),FertiliserProducts[[#Headers],[Company]], 121)</f>
        <v/>
      </c>
      <c r="J222" s="215" t="str" cm="1">
        <f t="array" ref="J222">Common_InputFunctions.Utility_DisplayArrayInTable(Fertiliser_SourceData.Fertiliser_Products_Data5(),FertiliserProducts[[#Headers],[Company]], 121)</f>
        <v/>
      </c>
      <c r="K222" s="215" t="str" cm="1">
        <f t="array" ref="K222">Common_InputFunctions.Utility_DisplayArrayInTable(Fertiliser_SourceData.Fertiliser_Products_Data5(),FertiliserProducts[[#Headers],[Company]], 121)</f>
        <v/>
      </c>
      <c r="L222" s="215" cm="1">
        <f t="array" ref="L222">Common_InputFunctions.Utility_DisplayArrayInTable(Fertiliser_SourceData.Fertiliser_Products_Data5(),FertiliserProducts[[#Headers],[Company]], 121)</f>
        <v>8.8000000000000007</v>
      </c>
      <c r="M222" s="215" t="str" cm="1">
        <f t="array" ref="M222">Common_InputFunctions.Utility_DisplayArrayInTable(Fertiliser_SourceData.Fertiliser_Products_Data5(),FertiliserProducts[[#Headers],[Company]], 121)</f>
        <v/>
      </c>
      <c r="N222" s="215" cm="1">
        <f t="array" ref="N222">Common_InputFunctions.Utility_DisplayArrayInTable(Fertiliser_SourceData.Fertiliser_Products_Data5(),FertiliserProducts[[#Headers],[Company]], 121)</f>
        <v>11</v>
      </c>
      <c r="O222" s="215" t="str" cm="1">
        <f t="array" ref="O222">Common_InputFunctions.Utility_DisplayArrayInTable(Fertiliser_SourceData.Fertiliser_Products_Data5(),FertiliserProducts[[#Headers],[Company]], 121)</f>
        <v>Single superphosphate (SSP)</v>
      </c>
      <c r="P222" s="215" cm="1">
        <f t="array" ref="P222">Common_InputFunctions.Utility_DisplayArrayInTable(Fertiliser_SourceData.Fertiliser_Products_Data5(),FertiliserProducts[[#Headers],[Company]], 121)</f>
        <v>1</v>
      </c>
      <c r="Q222" s="215" t="str" cm="1">
        <f t="array" ref="Q222">Common_InputFunctions.Utility_DisplayArrayInTable(Fertiliser_SourceData.Fertiliser_Products_Data5(),FertiliserProducts[[#Headers],[Company]], 121)</f>
        <v>Copper</v>
      </c>
      <c r="R222" s="215" cm="1">
        <f t="array" ref="R222">Common_InputFunctions.Utility_DisplayArrayInTable(Fertiliser_SourceData.Fertiliser_Products_Data5(),FertiliserProducts[[#Headers],[Company]], 121)</f>
        <v>6.0000000000000001E-3</v>
      </c>
      <c r="S222" s="215" t="str" cm="1">
        <f t="array" ref="S222">Common_InputFunctions.Utility_DisplayArrayInTable(Fertiliser_SourceData.Fertiliser_Products_Data5(),FertiliserProducts[[#Headers],[Company]], 121)</f>
        <v>Zinc</v>
      </c>
      <c r="T222" s="215" cm="1">
        <f t="array" ref="T222">Common_InputFunctions.Utility_DisplayArrayInTable(Fertiliser_SourceData.Fertiliser_Products_Data5(),FertiliserProducts[[#Headers],[Company]], 121)</f>
        <v>3.0000000000000001E-3</v>
      </c>
      <c r="U222" s="215" t="str" cm="1">
        <f t="array" ref="U222">Common_InputFunctions.Utility_DisplayArrayInTable(Fertiliser_SourceData.Fertiliser_Products_Data5(),FertiliserProducts[[#Headers],[Company]], 121)</f>
        <v>Molybdenum</v>
      </c>
      <c r="V222" s="215" cm="1">
        <f t="array" ref="V222">Common_InputFunctions.Utility_DisplayArrayInTable(Fertiliser_SourceData.Fertiliser_Products_Data5(),FertiliserProducts[[#Headers],[Company]], 121)</f>
        <v>5.9999999999999995E-4</v>
      </c>
      <c r="W222" s="215" t="str" cm="1">
        <f t="array" ref="W222">Common_InputFunctions.Utility_DisplayArrayInTable(Fertiliser_SourceData.Fertiliser_Products_Data5(),FertiliserProducts[[#Headers],[Company]], 121)</f>
        <v/>
      </c>
      <c r="X222" s="215" t="str" cm="1">
        <f t="array" ref="X222">Common_InputFunctions.Utility_DisplayArrayInTable(Fertiliser_SourceData.Fertiliser_Products_Data5(),FertiliserProducts[[#Headers],[Company]], 121)</f>
        <v/>
      </c>
      <c r="Y222" s="215" t="str" cm="1">
        <f t="array" ref="Y222">Common_InputFunctions.Utility_DisplayArrayInTable(Fertiliser_SourceData.Fertiliser_Products_Data5(),FertiliserProducts[[#Headers],[Company]], 121)</f>
        <v/>
      </c>
      <c r="Z222" s="215" t="str" cm="1">
        <f t="array" ref="Z222">Common_InputFunctions.Utility_DisplayArrayInTable(Fertiliser_SourceData.Fertiliser_Products_Data5(),FertiliserProducts[[#Headers],[Company]], 121)</f>
        <v/>
      </c>
      <c r="AA222" s="215" t="str" cm="1">
        <f t="array" ref="AA222">Common_InputFunctions.Utility_DisplayArrayInTable(Fertiliser_SourceData.Fertiliser_Products_Data5(),FertiliserProducts[[#Headers],[Company]], 121)</f>
        <v/>
      </c>
      <c r="AB222" s="215" t="str" cm="1">
        <f t="array" ref="AB222">Common_InputFunctions.Utility_DisplayArrayInTable(Fertiliser_SourceData.Fertiliser_Products_Data5(),FertiliserProducts[[#Headers],[Company]], 121)</f>
        <v/>
      </c>
      <c r="AC222" s="215" t="str" cm="1">
        <f t="array" ref="AC222">Common_InputFunctions.Utility_DisplayArrayInTable(Fertiliser_SourceData.Fertiliser_Products_Data5(),FertiliserProducts[[#Headers],[Company]], 121)</f>
        <v/>
      </c>
      <c r="AD222" s="215" t="str" cm="1">
        <f t="array" ref="AD222">Common_InputFunctions.Utility_DisplayArrayInTable(Fertiliser_SourceData.Fertiliser_Products_Data5(),FertiliserProducts[[#Headers],[Company]], 121)</f>
        <v/>
      </c>
      <c r="AE222" s="215" t="str" cm="1">
        <f t="array" ref="AE222">Common_InputFunctions.Utility_DisplayArrayInTable(Fertiliser_SourceData.Fertiliser_Products_Data5(),FertiliserProducts[[#Headers],[Company]], 121)</f>
        <v/>
      </c>
      <c r="AF222" s="215" t="str" cm="1">
        <f t="array" ref="AF222">Common_InputFunctions.Utility_DisplayArrayInTable(Fertiliser_SourceData.Fertiliser_Products_Data5(),FertiliserProducts[[#Headers],[Company]], 121)</f>
        <v/>
      </c>
      <c r="AG222" s="215" t="str" cm="1">
        <f t="array" ref="AG222">Common_InputFunctions.Utility_DisplayArrayInTable(Fertiliser_SourceData.Fertiliser_Products_Data5(),FertiliserProducts[[#Headers],[Company]], 121)</f>
        <v/>
      </c>
      <c r="AH222" s="215" t="str" cm="1">
        <f t="array" ref="AH222">Common_InputFunctions.Utility_DisplayArrayInTable(Fertiliser_SourceData.Fertiliser_Products_Data5(),FertiliserProducts[[#Headers],[Company]], 121)</f>
        <v/>
      </c>
    </row>
    <row r="223" spans="4:34" ht="20.100000000000001" customHeight="1" x14ac:dyDescent="0.25">
      <c r="D223" s="215" t="str" cm="1">
        <f t="array" ref="D223">Common_InputFunctions.Utility_DisplayArrayInTable(Fertiliser_SourceData.Fertiliser_Products_Data5(),FertiliserProducts[[#Headers],[Company]], 121)</f>
        <v>CSBP</v>
      </c>
      <c r="E223" s="215" t="str" cm="1">
        <f t="array" ref="E223">Common_InputFunctions.Utility_DisplayArrayInTable(Fertiliser_SourceData.Fertiliser_Products_Data5(),FertiliserProducts[[#Headers],[Company]], 121)</f>
        <v>Flexi-N</v>
      </c>
      <c r="F223" s="215" t="str" cm="1">
        <f t="array" ref="F223">Common_InputFunctions.Utility_DisplayArrayInTable(Fertiliser_SourceData.Fertiliser_Products_Data5(),FertiliserProducts[[#Headers],[Company]], 121)</f>
        <v>L</v>
      </c>
      <c r="G223" s="215" cm="1">
        <f t="array" ref="G223">Common_InputFunctions.Utility_DisplayArrayInTable(Fertiliser_SourceData.Fertiliser_Products_Data5(),FertiliserProducts[[#Headers],[Company]], 121)</f>
        <v>1.32</v>
      </c>
      <c r="H223" s="215" t="str" cm="1">
        <f t="array" ref="H223">Common_InputFunctions.Utility_DisplayArrayInTable(Fertiliser_SourceData.Fertiliser_Products_Data5(),FertiliserProducts[[#Headers],[Company]], 121)</f>
        <v/>
      </c>
      <c r="I223" s="215" t="str" cm="1">
        <f t="array" ref="I223">Common_InputFunctions.Utility_DisplayArrayInTable(Fertiliser_SourceData.Fertiliser_Products_Data5(),FertiliserProducts[[#Headers],[Company]], 121)</f>
        <v/>
      </c>
      <c r="J223" s="215" t="str" cm="1">
        <f t="array" ref="J223">Common_InputFunctions.Utility_DisplayArrayInTable(Fertiliser_SourceData.Fertiliser_Products_Data5(),FertiliserProducts[[#Headers],[Company]], 121)</f>
        <v/>
      </c>
      <c r="K223" s="215" cm="1">
        <f t="array" ref="K223">Common_InputFunctions.Utility_DisplayArrayInTable(Fertiliser_SourceData.Fertiliser_Products_Data5(),FertiliserProducts[[#Headers],[Company]], 121)</f>
        <v>32</v>
      </c>
      <c r="L223" s="215" t="str" cm="1">
        <f t="array" ref="L223">Common_InputFunctions.Utility_DisplayArrayInTable(Fertiliser_SourceData.Fertiliser_Products_Data5(),FertiliserProducts[[#Headers],[Company]], 121)</f>
        <v/>
      </c>
      <c r="M223" s="215" t="str" cm="1">
        <f t="array" ref="M223">Common_InputFunctions.Utility_DisplayArrayInTable(Fertiliser_SourceData.Fertiliser_Products_Data5(),FertiliserProducts[[#Headers],[Company]], 121)</f>
        <v/>
      </c>
      <c r="N223" s="215" t="str" cm="1">
        <f t="array" ref="N223">Common_InputFunctions.Utility_DisplayArrayInTable(Fertiliser_SourceData.Fertiliser_Products_Data5(),FertiliserProducts[[#Headers],[Company]], 121)</f>
        <v/>
      </c>
      <c r="O223" s="215" t="str" cm="1">
        <f t="array" ref="O223">Common_InputFunctions.Utility_DisplayArrayInTable(Fertiliser_SourceData.Fertiliser_Products_Data5(),FertiliserProducts[[#Headers],[Company]], 121)</f>
        <v>Urea-ammonium nitrate (UAN)</v>
      </c>
      <c r="P223" s="215" cm="1">
        <f t="array" ref="P223">Common_InputFunctions.Utility_DisplayArrayInTable(Fertiliser_SourceData.Fertiliser_Products_Data5(),FertiliserProducts[[#Headers],[Company]], 121)</f>
        <v>1</v>
      </c>
      <c r="Q223" s="215" t="str" cm="1">
        <f t="array" ref="Q223">Common_InputFunctions.Utility_DisplayArrayInTable(Fertiliser_SourceData.Fertiliser_Products_Data5(),FertiliserProducts[[#Headers],[Company]], 121)</f>
        <v/>
      </c>
      <c r="R223" s="215" t="str" cm="1">
        <f t="array" ref="R223">Common_InputFunctions.Utility_DisplayArrayInTable(Fertiliser_SourceData.Fertiliser_Products_Data5(),FertiliserProducts[[#Headers],[Company]], 121)</f>
        <v/>
      </c>
      <c r="S223" s="215" t="str" cm="1">
        <f t="array" ref="S223">Common_InputFunctions.Utility_DisplayArrayInTable(Fertiliser_SourceData.Fertiliser_Products_Data5(),FertiliserProducts[[#Headers],[Company]], 121)</f>
        <v/>
      </c>
      <c r="T223" s="215" t="str" cm="1">
        <f t="array" ref="T223">Common_InputFunctions.Utility_DisplayArrayInTable(Fertiliser_SourceData.Fertiliser_Products_Data5(),FertiliserProducts[[#Headers],[Company]], 121)</f>
        <v/>
      </c>
      <c r="U223" s="215" t="str" cm="1">
        <f t="array" ref="U223">Common_InputFunctions.Utility_DisplayArrayInTable(Fertiliser_SourceData.Fertiliser_Products_Data5(),FertiliserProducts[[#Headers],[Company]], 121)</f>
        <v/>
      </c>
      <c r="V223" s="215" t="str" cm="1">
        <f t="array" ref="V223">Common_InputFunctions.Utility_DisplayArrayInTable(Fertiliser_SourceData.Fertiliser_Products_Data5(),FertiliserProducts[[#Headers],[Company]], 121)</f>
        <v/>
      </c>
      <c r="W223" s="215" t="str" cm="1">
        <f t="array" ref="W223">Common_InputFunctions.Utility_DisplayArrayInTable(Fertiliser_SourceData.Fertiliser_Products_Data5(),FertiliserProducts[[#Headers],[Company]], 121)</f>
        <v/>
      </c>
      <c r="X223" s="215" t="str" cm="1">
        <f t="array" ref="X223">Common_InputFunctions.Utility_DisplayArrayInTable(Fertiliser_SourceData.Fertiliser_Products_Data5(),FertiliserProducts[[#Headers],[Company]], 121)</f>
        <v/>
      </c>
      <c r="Y223" s="215" t="str" cm="1">
        <f t="array" ref="Y223">Common_InputFunctions.Utility_DisplayArrayInTable(Fertiliser_SourceData.Fertiliser_Products_Data5(),FertiliserProducts[[#Headers],[Company]], 121)</f>
        <v/>
      </c>
      <c r="Z223" s="215" t="str" cm="1">
        <f t="array" ref="Z223">Common_InputFunctions.Utility_DisplayArrayInTable(Fertiliser_SourceData.Fertiliser_Products_Data5(),FertiliserProducts[[#Headers],[Company]], 121)</f>
        <v/>
      </c>
      <c r="AA223" s="215" t="str" cm="1">
        <f t="array" ref="AA223">Common_InputFunctions.Utility_DisplayArrayInTable(Fertiliser_SourceData.Fertiliser_Products_Data5(),FertiliserProducts[[#Headers],[Company]], 121)</f>
        <v/>
      </c>
      <c r="AB223" s="215" t="str" cm="1">
        <f t="array" ref="AB223">Common_InputFunctions.Utility_DisplayArrayInTable(Fertiliser_SourceData.Fertiliser_Products_Data5(),FertiliserProducts[[#Headers],[Company]], 121)</f>
        <v/>
      </c>
      <c r="AC223" s="215" t="str" cm="1">
        <f t="array" ref="AC223">Common_InputFunctions.Utility_DisplayArrayInTable(Fertiliser_SourceData.Fertiliser_Products_Data5(),FertiliserProducts[[#Headers],[Company]], 121)</f>
        <v/>
      </c>
      <c r="AD223" s="215" t="str" cm="1">
        <f t="array" ref="AD223">Common_InputFunctions.Utility_DisplayArrayInTable(Fertiliser_SourceData.Fertiliser_Products_Data5(),FertiliserProducts[[#Headers],[Company]], 121)</f>
        <v/>
      </c>
      <c r="AE223" s="215" t="str" cm="1">
        <f t="array" ref="AE223">Common_InputFunctions.Utility_DisplayArrayInTable(Fertiliser_SourceData.Fertiliser_Products_Data5(),FertiliserProducts[[#Headers],[Company]], 121)</f>
        <v/>
      </c>
      <c r="AF223" s="215" t="str" cm="1">
        <f t="array" ref="AF223">Common_InputFunctions.Utility_DisplayArrayInTable(Fertiliser_SourceData.Fertiliser_Products_Data5(),FertiliserProducts[[#Headers],[Company]], 121)</f>
        <v/>
      </c>
      <c r="AG223" s="215" t="str" cm="1">
        <f t="array" ref="AG223">Common_InputFunctions.Utility_DisplayArrayInTable(Fertiliser_SourceData.Fertiliser_Products_Data5(),FertiliserProducts[[#Headers],[Company]], 121)</f>
        <v/>
      </c>
      <c r="AH223" s="215" t="str" cm="1">
        <f t="array" ref="AH223">Common_InputFunctions.Utility_DisplayArrayInTable(Fertiliser_SourceData.Fertiliser_Products_Data5(),FertiliserProducts[[#Headers],[Company]], 121)</f>
        <v/>
      </c>
    </row>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64D7-894B-4062-A058-3EA5D26C0564}">
  <sheetPr>
    <tabColor theme="2" tint="-0.499984740745262"/>
  </sheetPr>
  <dimension ref="A1:AI160"/>
  <sheetViews>
    <sheetView showGridLines="0" zoomScaleNormal="100" workbookViewId="0">
      <selection activeCell="A38" sqref="A38"/>
    </sheetView>
  </sheetViews>
  <sheetFormatPr defaultColWidth="9" defaultRowHeight="20.100000000000001" customHeight="1" x14ac:dyDescent="0.25"/>
  <cols>
    <col min="1" max="1" width="26.85546875" style="3" customWidth="1"/>
    <col min="2" max="2" width="4.140625" style="3" customWidth="1"/>
    <col min="3" max="3" width="4.140625" style="8" customWidth="1"/>
    <col min="4" max="4" width="34.28515625" style="8" customWidth="1"/>
    <col min="5" max="5" width="26.85546875" style="8" customWidth="1"/>
    <col min="6" max="6" width="25.85546875" style="8" customWidth="1"/>
    <col min="7" max="8" width="38" style="8" customWidth="1"/>
    <col min="9" max="9" width="38.140625" style="8" customWidth="1"/>
    <col min="10" max="10" width="32.85546875" style="8" customWidth="1"/>
    <col min="11" max="11" width="29.42578125" style="8" customWidth="1"/>
    <col min="12" max="31" width="18.140625" style="8" customWidth="1"/>
    <col min="32" max="32" width="4.140625" style="8" customWidth="1"/>
    <col min="33" max="16384" width="9" style="3"/>
  </cols>
  <sheetData>
    <row r="1" spans="1:35" s="1" customFormat="1" ht="30" customHeight="1" x14ac:dyDescent="0.35">
      <c r="A1" s="37" t="e" vm="1">
        <v>#VALUE!</v>
      </c>
      <c r="C1" s="1" t="s">
        <v>221</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Electricity_SourceData.Electricity_Scope2Scope3LocationBased_Title()</f>
        <v>Electricity scope 2 and scope 3 location-based emission factors</v>
      </c>
    </row>
    <row r="6" spans="1:35" ht="20.100000000000001" customHeight="1" x14ac:dyDescent="0.25">
      <c r="A6"/>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Site'!A1", "Site")</f>
        <v>Site</v>
      </c>
      <c r="D8" s="14"/>
      <c r="E8" s="14"/>
      <c r="F8" s="14"/>
    </row>
    <row r="9" spans="1:35" ht="20.100000000000001" customHeight="1" x14ac:dyDescent="0.25">
      <c r="A9" s="16" t="str">
        <f>HYPERLINK("#'Input - Fuel'!A1", "Fuel")</f>
        <v>Fuel</v>
      </c>
      <c r="D9" s="25" t="s">
        <v>222</v>
      </c>
      <c r="E9" s="25" t="s">
        <v>223</v>
      </c>
      <c r="F9" s="25" t="s">
        <v>224</v>
      </c>
    </row>
    <row r="10" spans="1:35" ht="20.100000000000001" customHeight="1" x14ac:dyDescent="0.25">
      <c r="A10" s="16" t="str">
        <f>HYPERLINK("#'Input - Fertiliser'!A1", "Fertiliser")</f>
        <v>Fertiliser</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HYPERLINK("#'Input - Farm Inputs'!A1", "Farm Inputs")</f>
        <v>Farm Inputs</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t="str">
        <f>HYPERLINK("#'Input - Livestock purchases'!A1", "Livestock purchases")</f>
        <v>Livestock purchases</v>
      </c>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16" t="str">
        <f>HYPERLINK("#'Input - Freight'!A1", "Freight")</f>
        <v>Freight</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16" t="str">
        <f>HYPERLINK("#'Input - Solid waste'!A1", "Solid waste")</f>
        <v>Solid waste</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HYPERLINK("#'Input - Manure sent off-site'!A1", "Manure sent off-site")</f>
        <v>Manure sent off-site</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16" t="str">
        <f>HYPERLINK("#'Input - Electricity'!A1", "Electricity")</f>
        <v>Electricity</v>
      </c>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21" t="s">
        <v>77</v>
      </c>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t="str">
        <f>HYPERLINK("#'15 Scope 3'!A1", "15 Scope 3")</f>
        <v>15 Scope 3</v>
      </c>
    </row>
    <row r="21" spans="1:8" ht="20.100000000000001" customHeight="1" x14ac:dyDescent="0.25">
      <c r="A21" s="16" t="str">
        <f>HYPERLINK("#'10.1.1-2 Solid waste treatment'!A1", "10.1.1-2 Solid waste treatment")</f>
        <v>10.1.1-2 Solid waste treatment</v>
      </c>
      <c r="D21" s="9" t="str" cm="1">
        <f t="array" ref="D21">Electricity_SourceData.Electricity_Scope2Scope3MarketBased_Title()</f>
        <v>Electricity scope 2 and scope 3 market-based emission factors</v>
      </c>
    </row>
    <row r="22" spans="1:8" ht="20.100000000000001" customHeight="1" x14ac:dyDescent="0.25">
      <c r="A22" s="16" t="str">
        <f>HYPERLINK("#'Calcs - Manure sent off-site'!A1", "Calcs - Manure sent off-site")</f>
        <v>Calcs - Manure sent off-site</v>
      </c>
      <c r="D22" s="11" t="str" cm="1">
        <f t="array" ref="D22">Electricity_SourceData.Electricity_Scope2Scope3MarketBased_Source()</f>
        <v>Australian National Greenhouse Accounts Factors 2025 - Table 2a</v>
      </c>
    </row>
    <row r="23" spans="1:8" ht="20.100000000000001" customHeight="1" x14ac:dyDescent="0.25">
      <c r="A23" s="16" t="str">
        <f>HYPERLINK("#'8.1.1.1-2 Transport fuel'!A1", "8.1.1.1-2 Transport fuel")</f>
        <v>8.1.1.1-2 Transport fuel</v>
      </c>
    </row>
    <row r="24" spans="1:8" ht="20.100000000000001" customHeight="1" x14ac:dyDescent="0.25">
      <c r="A24" s="16" t="str">
        <f>HYPERLINK("#'8.2.1.1-2 Stationary fuel'!A1", "8.2.1.1-2 Stationary fuel")</f>
        <v>8.2.1.1-2 Stationary fuel</v>
      </c>
      <c r="D24" s="62" t="s">
        <v>222</v>
      </c>
      <c r="E24" s="62" t="s">
        <v>225</v>
      </c>
      <c r="F24" s="62" t="s">
        <v>226</v>
      </c>
      <c r="G24" s="62" t="s">
        <v>227</v>
      </c>
      <c r="H24" s="62" t="s">
        <v>228</v>
      </c>
    </row>
    <row r="25" spans="1:8" ht="20.100000000000001" customHeight="1" x14ac:dyDescent="0.25">
      <c r="A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row>
    <row r="27" spans="1:8" ht="20.100000000000001" customHeight="1" x14ac:dyDescent="0.25">
      <c r="A27" s="213" t="s">
        <v>78</v>
      </c>
    </row>
    <row r="28" spans="1:8" ht="20.100000000000001" customHeight="1" x14ac:dyDescent="0.25">
      <c r="A28" s="16" t="str">
        <f>HYPERLINK("#'Constants - Scope 3'!A1", "Constants - Scope 3")</f>
        <v>Constants - Scope 3</v>
      </c>
    </row>
    <row r="29" spans="1:8" ht="20.100000000000001" customHeight="1" x14ac:dyDescent="0.25">
      <c r="A29" s="16" t="str">
        <f>HYPERLINK("#'Constants - Solid Waste'!A1", "Constants - Solid Waste")</f>
        <v>Constants - Solid Waste</v>
      </c>
    </row>
    <row r="30" spans="1:8" ht="20.100000000000001" customHeight="1" x14ac:dyDescent="0.25">
      <c r="A30" s="16" t="str">
        <f>HYPERLINK("#'Constants - Fuel'!A1", "Constants - Fuel")</f>
        <v>Constants - Fuel</v>
      </c>
    </row>
    <row r="31" spans="1:8" ht="20.100000000000001" customHeight="1" x14ac:dyDescent="0.25">
      <c r="A31" s="16" t="str">
        <f>HYPERLINK("#'Constants - Poultry'!A1", "Constants - Poultry")</f>
        <v>Constants - Poultry</v>
      </c>
    </row>
    <row r="32" spans="1:8" ht="20.100000000000001" customHeight="1" x14ac:dyDescent="0.25">
      <c r="A32" s="16" t="str">
        <f>HYPERLINK("#'Constants - Swine'!A1", "Constants - Swine")</f>
        <v>Constants - Swine</v>
      </c>
    </row>
    <row r="33" spans="1:1" ht="20.100000000000001" customHeight="1" x14ac:dyDescent="0.25">
      <c r="A33" s="16" t="str">
        <f>HYPERLINK("#'Constants - Dairy'!A1", "Constants - Dairy")</f>
        <v>Constants - Dairy</v>
      </c>
    </row>
    <row r="34" spans="1:1" ht="20.100000000000001" customHeight="1" x14ac:dyDescent="0.25">
      <c r="A34" s="16" t="str">
        <f>HYPERLINK("#'Constants - Pasture Beef'!A1", "Constants - Pasture Beef")</f>
        <v>Constants - Pasture Beef</v>
      </c>
    </row>
    <row r="35" spans="1:1" ht="20.100000000000001" customHeight="1" x14ac:dyDescent="0.25">
      <c r="A35" s="16" t="str">
        <f>HYPERLINK("#'Constants - Common Livestock'!A1", "Constants - Common Livestock")</f>
        <v>Constants - Common Livestock</v>
      </c>
    </row>
    <row r="36" spans="1:1" ht="20.100000000000001" customHeight="1" x14ac:dyDescent="0.25">
      <c r="A36" s="16" t="str">
        <f>HYPERLINK("#'Constants - Fertiliser'!A1", "Constants - Fertiliser")</f>
        <v>Constants - Fertiliser</v>
      </c>
    </row>
    <row r="37" spans="1:1" ht="20.100000000000001" customHeight="1" x14ac:dyDescent="0.25">
      <c r="A37" s="23" t="str">
        <f>HYPERLINK("#'Constants - Electricity'!A1", "Constants - Electricity")</f>
        <v>Constants - Electricity</v>
      </c>
    </row>
    <row r="38" spans="1:1" ht="20.100000000000001" customHeight="1" x14ac:dyDescent="0.25">
      <c r="A38" s="16" t="str">
        <f>HYPERLINK("#'Constants - Common'!A1", "Constants - Common")</f>
        <v>Constants - Common</v>
      </c>
    </row>
    <row r="39" spans="1:1" ht="20.100000000000001" customHeight="1" x14ac:dyDescent="0.25">
      <c r="A39"/>
    </row>
    <row r="40" spans="1:1" ht="20.100000000000001" customHeight="1" x14ac:dyDescent="0.25">
      <c r="A40"/>
    </row>
    <row r="41" spans="1:1" ht="20.100000000000001" customHeight="1" x14ac:dyDescent="0.25">
      <c r="A41"/>
    </row>
    <row r="42" spans="1:1" ht="20.100000000000001" customHeight="1" x14ac:dyDescent="0.25">
      <c r="A42"/>
    </row>
    <row r="43" spans="1:1" ht="20.100000000000001" customHeight="1" x14ac:dyDescent="0.25">
      <c r="A43"/>
    </row>
    <row r="44" spans="1:1" ht="20.100000000000001" customHeight="1" x14ac:dyDescent="0.25">
      <c r="A44"/>
    </row>
    <row r="45" spans="1:1" ht="20.100000000000001" customHeight="1" x14ac:dyDescent="0.25">
      <c r="A45"/>
    </row>
    <row r="46" spans="1:1" ht="20.100000000000001" customHeight="1" x14ac:dyDescent="0.25">
      <c r="A46"/>
    </row>
    <row r="47" spans="1:1" ht="20.100000000000001" customHeight="1" x14ac:dyDescent="0.25">
      <c r="A47"/>
    </row>
    <row r="48" spans="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sheetData>
  <pageMargins left="0.7" right="0.7" top="0.75" bottom="0.75" header="0.3" footer="0.3"/>
  <tableParts count="2">
    <tablePart r:id="rId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DCAE-73D1-47CF-95D2-EBBDD4BCEFAE}">
  <sheetPr>
    <tabColor theme="2" tint="-0.499984740745262"/>
  </sheetPr>
  <dimension ref="A1:BY297"/>
  <sheetViews>
    <sheetView showGridLines="0" topLeftCell="A239" zoomScaleNormal="100" workbookViewId="0">
      <selection activeCell="I279" sqref="I279"/>
    </sheetView>
  </sheetViews>
  <sheetFormatPr defaultColWidth="8" defaultRowHeight="20.100000000000001" customHeight="1" x14ac:dyDescent="0.2"/>
  <cols>
    <col min="1" max="1" width="26.85546875" style="4" customWidth="1"/>
    <col min="2" max="2" width="2.42578125" style="4" customWidth="1"/>
    <col min="3" max="3" width="4.140625" style="8" customWidth="1"/>
    <col min="4" max="4" width="42" style="8" customWidth="1"/>
    <col min="5" max="6" width="18.140625" style="8" customWidth="1"/>
    <col min="7" max="7" width="26.42578125" style="8" customWidth="1"/>
    <col min="8" max="9" width="18.140625" style="8" customWidth="1"/>
    <col min="10" max="10" width="30" style="8" customWidth="1"/>
    <col min="11" max="13" width="18.140625" style="8" customWidth="1"/>
    <col min="14" max="14" width="29" style="8" customWidth="1"/>
    <col min="15" max="15" width="31.85546875" style="8" customWidth="1"/>
    <col min="16" max="16" width="18.42578125" style="8" customWidth="1"/>
    <col min="17" max="17" width="18.5703125" style="8" customWidth="1"/>
    <col min="18" max="18" width="27.28515625" style="8" customWidth="1"/>
    <col min="19" max="20" width="18.140625" style="8" customWidth="1"/>
    <col min="21" max="21" width="4.140625" style="8" customWidth="1"/>
    <col min="22" max="33" width="18.140625" style="4" customWidth="1"/>
    <col min="34" max="39" width="19.140625" style="4" customWidth="1"/>
    <col min="40" max="44" width="18.1406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c r="A2" s="3"/>
    </row>
    <row r="3" spans="1:65" ht="20.100000000000001" customHeight="1" x14ac:dyDescent="0.2">
      <c r="A3" s="16" t="str">
        <f>HYPERLINK("#'Home'!A1", "Home")</f>
        <v>Home</v>
      </c>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
      <c r="A6" s="213" t="s">
        <v>78</v>
      </c>
      <c r="D6" s="10" t="s">
        <v>1</v>
      </c>
      <c r="E6" s="10" t="s">
        <v>2</v>
      </c>
      <c r="F6" s="10" t="s">
        <v>3</v>
      </c>
    </row>
    <row r="7" spans="1:65" ht="20.100000000000001" customHeight="1" x14ac:dyDescent="0.2">
      <c r="A7" s="23" t="str">
        <f>HYPERLINK("#'Constants - Common'!A1", "Constants - Common")</f>
        <v>Constants - Common</v>
      </c>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
      <c r="A8" s="16" t="str">
        <f>HYPERLINK("#'Acknowledgements'!A1", "Acknowledgements")</f>
        <v>Acknowledgements</v>
      </c>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A42" s="3"/>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A43" s="3"/>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c r="A44" s="3"/>
    </row>
    <row r="45" spans="1:8" ht="20.100000000000001" customHeight="1" x14ac:dyDescent="0.25">
      <c r="A45" s="3"/>
      <c r="D45" s="9" t="str" cm="1">
        <f t="array" ref="D45">Common_SourceData.Common_SourceData_ConvertGasElementalToMolecular_Title()</f>
        <v>Factor to convert elemental mass of gas to molecular mass</v>
      </c>
    </row>
    <row r="46" spans="1:8" ht="20.100000000000001" customHeight="1" x14ac:dyDescent="0.25">
      <c r="A46" s="3"/>
      <c r="D46" s="11" t="str" cm="1">
        <f t="array" ref="D46">Common_SourceData.Common_SourceData_ConvertGasElementalToMolecular_Source()</f>
        <v>XXXXXXX</v>
      </c>
    </row>
    <row r="47" spans="1:8" ht="20.100000000000001" customHeight="1" x14ac:dyDescent="0.25">
      <c r="A47" s="3"/>
      <c r="D47" s="10" t="s">
        <v>5</v>
      </c>
      <c r="E47" s="10" t="s">
        <v>7</v>
      </c>
      <c r="F47" s="10" t="s">
        <v>8</v>
      </c>
      <c r="G47" s="10" t="s">
        <v>9</v>
      </c>
      <c r="H47" s="10" t="s">
        <v>10</v>
      </c>
    </row>
    <row r="48" spans="1:8" ht="20.100000000000001" customHeight="1" x14ac:dyDescent="0.25">
      <c r="A48" s="3"/>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1:8" ht="20.100000000000001" customHeight="1" x14ac:dyDescent="0.25">
      <c r="A49" s="3"/>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1:8" ht="20.100000000000001" customHeight="1" x14ac:dyDescent="0.25">
      <c r="A50" s="3"/>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1:8" ht="20.100000000000001" customHeight="1" x14ac:dyDescent="0.25">
      <c r="A51" s="3"/>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1:8" ht="20.100000000000001" customHeight="1" x14ac:dyDescent="0.25">
      <c r="A52" s="3"/>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1:8" ht="20.100000000000001" customHeight="1" x14ac:dyDescent="0.25">
      <c r="A53" s="3"/>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1:8" ht="20.100000000000001" customHeight="1" x14ac:dyDescent="0.25">
      <c r="A54" s="3"/>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1:8" ht="20.100000000000001" customHeight="1" x14ac:dyDescent="0.25">
      <c r="A55" s="3"/>
    </row>
    <row r="56" spans="1:8" ht="20.100000000000001" customHeight="1" x14ac:dyDescent="0.25">
      <c r="A56" s="3"/>
    </row>
    <row r="57" spans="1:8" ht="20.100000000000001" customHeight="1" x14ac:dyDescent="0.25">
      <c r="A57" s="3"/>
      <c r="D57" s="9" t="str" cm="1">
        <f t="array" ref="D57">Common_SourceData.Common_SourceData_WetAndDryZones_Title()</f>
        <v>VEERG Australian wet and dry zones</v>
      </c>
    </row>
    <row r="58" spans="1:8" ht="20.100000000000001" customHeight="1" x14ac:dyDescent="0.25">
      <c r="A58" s="3"/>
      <c r="D58" s="11" t="str" cm="1">
        <f t="array" ref="D58">Common_SourceData.Common_SourceData_WetAndDryZones_Source()</f>
        <v>VEERG 2026: Table 1.2: Translating climate zones to wet and dry zones</v>
      </c>
    </row>
    <row r="59" spans="1:8" ht="20.100000000000001" customHeight="1" x14ac:dyDescent="0.25">
      <c r="A59" s="3"/>
      <c r="D59" s="12" t="str" cm="1">
        <f t="array" ref="D59:D61">"⚠️" &amp; Common_SourceData.Common_SourceData_WetAndDryZones_Variation()</f>
        <v>⚠️VARIATION OF SOURCE DATA:</v>
      </c>
    </row>
    <row r="60" spans="1:8" ht="20.100000000000001" customHeight="1" x14ac:dyDescent="0.25">
      <c r="A60" s="3"/>
      <c r="D60" s="12" t="str">
        <v>⚠️Added warm / cool temperate moist / dry - low frost and high temp classes to accommodate climate scenarios excluded by VEERG criteria.</v>
      </c>
    </row>
    <row r="61" spans="1:8" ht="20.100000000000001" customHeight="1" x14ac:dyDescent="0.25">
      <c r="A61" s="3"/>
      <c r="D61" s="12" t="str">
        <v>⚠️Fixed typo - Changed 'Fry' to 'Dry'.</v>
      </c>
    </row>
    <row r="62" spans="1:8" ht="20.100000000000001" customHeight="1" x14ac:dyDescent="0.25">
      <c r="A62" s="3"/>
    </row>
    <row r="63" spans="1:8" ht="20.100000000000001" customHeight="1" x14ac:dyDescent="0.25">
      <c r="A63" s="3"/>
      <c r="D63" s="10" t="s">
        <v>11</v>
      </c>
      <c r="E63" s="10" t="s">
        <v>12</v>
      </c>
    </row>
    <row r="64" spans="1:8" ht="20.100000000000001" customHeight="1" x14ac:dyDescent="0.25">
      <c r="A64" s="3"/>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s="3"/>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s="3"/>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s="3"/>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s="3"/>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s="3"/>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s="3"/>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s="3"/>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s="3"/>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s="3"/>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s="3"/>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s="3"/>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s="3"/>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s="3"/>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s="3"/>
    </row>
    <row r="79" spans="1:5" ht="20.100000000000001" customHeight="1" x14ac:dyDescent="0.25">
      <c r="A79" s="3"/>
    </row>
    <row r="80" spans="1:5" ht="20.100000000000001" customHeight="1" x14ac:dyDescent="0.25">
      <c r="A80" s="3"/>
    </row>
    <row r="81" spans="1:20" ht="20.100000000000001" customHeight="1" x14ac:dyDescent="0.25">
      <c r="A81" s="3"/>
      <c r="D81" s="9" t="str" cm="1">
        <f t="array" ref="D81">Common_SourceData.Common_SourceData_ClimateZones_Title()</f>
        <v>VEERG Australian climate zones</v>
      </c>
    </row>
    <row r="82" spans="1:20" ht="20.100000000000001" customHeight="1" x14ac:dyDescent="0.25">
      <c r="A82" s="3"/>
      <c r="D82" s="11" t="str" cm="1">
        <f t="array" ref="D82">Common_SourceData.Common_SourceData_ClimateZones_Source()</f>
        <v>VEERG 2026: Table 1.3: Climate and Rainfall zone classifications and definitions</v>
      </c>
    </row>
    <row r="83" spans="1:20" ht="20.100000000000001" customHeight="1" x14ac:dyDescent="0.25">
      <c r="A83" s="3"/>
      <c r="D83" s="12" t="str" cm="1">
        <f t="array" ref="D83:D87">"⚠️" &amp; Common_SourceData.Common_SourceData_ClimateZones_Variation()</f>
        <v>⚠️VARIATION OF SOURCE DATA:</v>
      </c>
    </row>
    <row r="84" spans="1:20" ht="20.100000000000001" customHeight="1" x14ac:dyDescent="0.25">
      <c r="A84" s="3"/>
      <c r="D84" s="12" t="str">
        <v>⚠️Added warm / cool temperate moist / dry - low frost and high temp classes to accommodate climate scenarios excluded by VEERG criteria.</v>
      </c>
    </row>
    <row r="85" spans="1:20" ht="20.100000000000001" customHeight="1" x14ac:dyDescent="0.25">
      <c r="A85" s="3"/>
      <c r="D85" s="12" t="str">
        <v>⚠️Fixed typo in MAT value for warm temperate dry - changed 10 to 11.</v>
      </c>
    </row>
    <row r="86" spans="1:20" ht="20.100000000000001" customHeight="1" x14ac:dyDescent="0.25">
      <c r="A86" s="3"/>
      <c r="D86" s="12" t="str">
        <v>⚠️Added min and max columns for MAT, MAP, frost days per year, elevation, MAP:PET to calculate zones from real climate data.</v>
      </c>
    </row>
    <row r="87" spans="1:20" ht="20.100000000000001" customHeight="1" x14ac:dyDescent="0.25">
      <c r="A87" s="3"/>
      <c r="D87" s="12" t="str">
        <v>⚠️GAF accepts rainfall as a proxy for precipitation.</v>
      </c>
    </row>
    <row r="88" spans="1:20" ht="20.100000000000001" customHeight="1" x14ac:dyDescent="0.25">
      <c r="A88" s="3"/>
    </row>
    <row r="89" spans="1:20" ht="20.100000000000001" customHeight="1" x14ac:dyDescent="0.25">
      <c r="A89" s="3"/>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1:20" ht="20.100000000000001" customHeight="1" x14ac:dyDescent="0.25">
      <c r="A90" s="3"/>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1:20" ht="20.100000000000001" customHeight="1" x14ac:dyDescent="0.25">
      <c r="A91" s="3"/>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1:20" ht="20.100000000000001" customHeight="1" x14ac:dyDescent="0.25">
      <c r="A92" s="3"/>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1:20" ht="20.100000000000001" customHeight="1" x14ac:dyDescent="0.25">
      <c r="A93" s="3"/>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1:20" ht="20.100000000000001" customHeight="1" x14ac:dyDescent="0.25">
      <c r="A94" s="3"/>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1:20" ht="20.100000000000001" customHeight="1" x14ac:dyDescent="0.25">
      <c r="A95" s="3"/>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1:20" ht="20.100000000000001" customHeight="1" x14ac:dyDescent="0.25">
      <c r="A96" s="3"/>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1:20" ht="20.100000000000001" customHeight="1" x14ac:dyDescent="0.25">
      <c r="A97" s="3"/>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1:20" ht="20.100000000000001" customHeight="1" x14ac:dyDescent="0.25">
      <c r="A98" s="3"/>
    </row>
    <row r="99" spans="1:20" ht="20.100000000000001" customHeight="1" x14ac:dyDescent="0.25">
      <c r="A99" s="3"/>
      <c r="D99" s="13" t="str" cm="1">
        <f t="array" ref="D99:D102">Common_SourceData.Common_SourceData_ClimateZones_Appendices()</f>
        <v>Note:</v>
      </c>
    </row>
    <row r="100" spans="1:20" ht="20.100000000000001" customHeight="1" x14ac:dyDescent="0.25">
      <c r="A100" s="3"/>
      <c r="D100" s="13" t="str">
        <v>MAT = mean annual temperature</v>
      </c>
    </row>
    <row r="101" spans="1:20" ht="20.100000000000001" customHeight="1" x14ac:dyDescent="0.25">
      <c r="A101" s="3"/>
      <c r="D101" s="13" t="str">
        <v>MAP = mean annual precipitation</v>
      </c>
    </row>
    <row r="102" spans="1:20" ht="20.100000000000001" customHeight="1" x14ac:dyDescent="0.25">
      <c r="A102" s="3"/>
      <c r="D102" s="13" t="str">
        <v>PET = potential evapotranspiration</v>
      </c>
    </row>
    <row r="103" spans="1:20" ht="20.100000000000001" customHeight="1" x14ac:dyDescent="0.25">
      <c r="A103" s="3"/>
      <c r="D103" s="13"/>
    </row>
    <row r="104" spans="1:20" ht="20.100000000000001" customHeight="1" x14ac:dyDescent="0.25">
      <c r="A104" s="3"/>
    </row>
    <row r="105" spans="1:20" ht="20.100000000000001" customHeight="1" x14ac:dyDescent="0.25">
      <c r="A105" s="3"/>
      <c r="D105" s="9" t="str" cm="1">
        <f t="array" ref="D105">Common_SourceData.Common_SourceData_TemperatureZones_Title()</f>
        <v>VEERG Australian temperature zones</v>
      </c>
    </row>
    <row r="106" spans="1:20" ht="20.100000000000001" customHeight="1" x14ac:dyDescent="0.25">
      <c r="A106" s="3"/>
      <c r="D106" s="11" t="str" cm="1">
        <f t="array" ref="D106">Common_SourceData.Common_SourceData_TemperatureZones_Source()</f>
        <v>VEERG 2026: Table 1.3: Climate and Rainfall zone classifications and definitions</v>
      </c>
    </row>
    <row r="107" spans="1:20" ht="20.100000000000001" customHeight="1" x14ac:dyDescent="0.25">
      <c r="A107" s="3"/>
      <c r="D107" s="1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s="3"/>
    </row>
    <row r="109" spans="1:20" ht="20.100000000000001" customHeight="1" x14ac:dyDescent="0.25">
      <c r="A109" s="3"/>
      <c r="D109" s="10" t="s">
        <v>28</v>
      </c>
      <c r="E109" s="10" t="s">
        <v>13</v>
      </c>
      <c r="F109" s="10" t="s">
        <v>29</v>
      </c>
      <c r="G109" s="10" t="s">
        <v>30</v>
      </c>
    </row>
    <row r="110" spans="1:20" ht="20.100000000000001" customHeight="1" x14ac:dyDescent="0.25">
      <c r="A110" s="3"/>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1:20" ht="20.100000000000001" customHeight="1" x14ac:dyDescent="0.25">
      <c r="A111" s="3"/>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s="3"/>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s="3"/>
    </row>
    <row r="114" spans="1:66" ht="20.100000000000001" customHeight="1" x14ac:dyDescent="0.25">
      <c r="A114" s="3"/>
    </row>
    <row r="115" spans="1:66" ht="20.100000000000001" customHeight="1" x14ac:dyDescent="0.25">
      <c r="A115" s="3"/>
      <c r="D115" s="9" t="str" cm="1">
        <f t="array" ref="D115">Common_SourceData.Common_SourceData_RainfallZones_Title()</f>
        <v>VEERG Australian rainfall zones</v>
      </c>
      <c r="BN115" s="4"/>
    </row>
    <row r="116" spans="1:66" ht="20.100000000000001" customHeight="1" x14ac:dyDescent="0.25">
      <c r="A116" s="3"/>
      <c r="D116" s="11" t="str" cm="1">
        <f t="array" ref="D116">Common_SourceData.Common_SourceData_RainfallZones_Source()</f>
        <v>VEERG 2026: Table 1.3: Climate and Rainfall zone classifications and definitions</v>
      </c>
      <c r="BN116" s="4"/>
    </row>
    <row r="117" spans="1:66" ht="20.100000000000001" customHeight="1" x14ac:dyDescent="0.25">
      <c r="A117" s="3"/>
      <c r="D117" s="12" t="str" cm="1">
        <f t="array" ref="D117">"⚠️" &amp; Common_SourceData.Common_SourceData_RainfallZones_Variation()</f>
        <v>⚠️VARIATION OF SOURCE DATA: Added extra Rainfall min and Rainfall max columns to calculate zone from real rainfall data.</v>
      </c>
      <c r="BN117" s="4"/>
    </row>
    <row r="118" spans="1:66" ht="20.100000000000001" customHeight="1" x14ac:dyDescent="0.25">
      <c r="A118" s="3"/>
      <c r="BN118" s="4"/>
    </row>
    <row r="119" spans="1:66" ht="20.100000000000001" customHeight="1" x14ac:dyDescent="0.25">
      <c r="A119" s="3"/>
      <c r="D119" s="10" t="s">
        <v>31</v>
      </c>
      <c r="E119" s="10" t="s">
        <v>32</v>
      </c>
      <c r="F119" s="10" t="s">
        <v>20</v>
      </c>
      <c r="G119" s="10" t="s">
        <v>21</v>
      </c>
      <c r="BN119" s="4"/>
    </row>
    <row r="120" spans="1:66" ht="20.100000000000001" customHeight="1" x14ac:dyDescent="0.25">
      <c r="A120" s="3"/>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1:66" ht="20.100000000000001" customHeight="1" x14ac:dyDescent="0.25">
      <c r="A121" s="3"/>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1:66" ht="20.100000000000001" customHeight="1" x14ac:dyDescent="0.25">
      <c r="A122" s="3"/>
      <c r="BN122" s="4"/>
    </row>
    <row r="123" spans="1:66" ht="20.100000000000001" customHeight="1" x14ac:dyDescent="0.25">
      <c r="A123" s="3"/>
    </row>
    <row r="124" spans="1:66" ht="20.100000000000001" customHeight="1" x14ac:dyDescent="0.25">
      <c r="A124" s="3"/>
      <c r="D124" s="9" t="str" cm="1">
        <f t="array" ref="D124">Common_SourceData.Common_SourceData_LeachingZones_Title()</f>
        <v>VEERG Australian leaching zones</v>
      </c>
    </row>
    <row r="125" spans="1:66" ht="20.100000000000001" customHeight="1" x14ac:dyDescent="0.25">
      <c r="A125" s="3"/>
      <c r="D125" s="11" t="str" cm="1">
        <f t="array" ref="D125">Common_SourceData.Common_SourceData_LeachingZones_Source()</f>
        <v>VEERG 2026: Table 1.3: Climate and Rainfall zone classifications and definitions</v>
      </c>
    </row>
    <row r="126" spans="1:66" ht="20.100000000000001" customHeight="1" x14ac:dyDescent="0.25">
      <c r="A126" s="3"/>
    </row>
    <row r="127" spans="1:66" ht="20.100000000000001" customHeight="1" x14ac:dyDescent="0.25">
      <c r="A127" s="3"/>
      <c r="D127" s="10" t="s">
        <v>33</v>
      </c>
      <c r="E127" s="10" t="s">
        <v>34</v>
      </c>
    </row>
    <row r="128" spans="1:66" ht="20.100000000000001" customHeight="1" x14ac:dyDescent="0.25">
      <c r="A128" s="3"/>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s="3"/>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s="3"/>
    </row>
    <row r="131" spans="1:77" ht="20.100000000000001" customHeight="1" x14ac:dyDescent="0.25">
      <c r="A131" s="3"/>
    </row>
    <row r="132" spans="1:77" ht="20.100000000000001" customHeight="1" x14ac:dyDescent="0.25">
      <c r="A132" s="3"/>
      <c r="D132" s="9" t="str" cm="1">
        <f t="array" ref="D132">Common_SourceData.Common_SourceData_FracWET_Title()</f>
        <v>Fraction of N that is available for leaching and runoff</v>
      </c>
      <c r="E132" s="14"/>
    </row>
    <row r="133" spans="1:77" ht="20.100000000000001" customHeight="1" x14ac:dyDescent="0.25">
      <c r="A133" s="3"/>
      <c r="D133" s="11" t="str" cm="1">
        <f t="array" ref="D133">Common_SourceData.Common_SourceData_FracWET_Source()</f>
        <v>VEERG 2026:5.5.2.3 Constant Parameters</v>
      </c>
      <c r="E133" s="14"/>
    </row>
    <row r="134" spans="1:77" ht="20.100000000000001" customHeight="1" x14ac:dyDescent="0.25">
      <c r="A134" s="3"/>
      <c r="D134" s="3" t="s">
        <v>35</v>
      </c>
      <c r="E134" s="3" t="s">
        <v>36</v>
      </c>
    </row>
    <row r="135" spans="1:77" ht="20.100000000000001" customHeight="1" x14ac:dyDescent="0.25">
      <c r="A135" s="3"/>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1:77" ht="20.100000000000001" customHeight="1" x14ac:dyDescent="0.25">
      <c r="A136" s="3"/>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1:77" ht="20.100000000000001" customHeight="1" x14ac:dyDescent="0.25">
      <c r="A137" s="3"/>
    </row>
    <row r="138" spans="1:77" ht="20.100000000000001" customHeight="1" x14ac:dyDescent="0.25">
      <c r="A138" s="3"/>
      <c r="BN138" s="4"/>
      <c r="BO138" s="4"/>
      <c r="BP138" s="4"/>
      <c r="BQ138" s="4"/>
      <c r="BR138" s="4"/>
      <c r="BS138" s="4"/>
      <c r="BT138" s="4"/>
      <c r="BU138" s="4"/>
      <c r="BV138" s="4"/>
      <c r="BW138" s="4"/>
      <c r="BX138" s="4"/>
      <c r="BY138" s="4"/>
    </row>
    <row r="139" spans="1:77" ht="20.100000000000001" customHeight="1" x14ac:dyDescent="0.25">
      <c r="A139" s="3"/>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1:77" ht="20.100000000000001" customHeight="1" x14ac:dyDescent="0.25">
      <c r="A140" s="3"/>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1:77" ht="20.100000000000001" customHeight="1" x14ac:dyDescent="0.25">
      <c r="A141" s="3"/>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1:77" ht="20.100000000000001" customHeight="1" x14ac:dyDescent="0.25">
      <c r="A142" s="3"/>
      <c r="D142" s="10" t="s">
        <v>37</v>
      </c>
      <c r="E142" s="10" t="s">
        <v>36</v>
      </c>
      <c r="BN142" s="4"/>
    </row>
    <row r="143" spans="1:77" ht="20.100000000000001" customHeight="1" x14ac:dyDescent="0.25">
      <c r="A143" s="3"/>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1:77" ht="20.100000000000001" customHeight="1" x14ac:dyDescent="0.25">
      <c r="A144" s="3"/>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1:66" ht="20.100000000000001" customHeight="1" x14ac:dyDescent="0.25">
      <c r="A145" s="3"/>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1:66" ht="20.100000000000001" customHeight="1" x14ac:dyDescent="0.25">
      <c r="A146" s="3"/>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1:66" ht="20.100000000000001" customHeight="1" x14ac:dyDescent="0.25">
      <c r="A147" s="3"/>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1:66" ht="20.100000000000001" customHeight="1" x14ac:dyDescent="0.25">
      <c r="A148" s="3"/>
      <c r="BN148" s="4"/>
    </row>
    <row r="149" spans="1:66" ht="20.100000000000001" customHeight="1" x14ac:dyDescent="0.25">
      <c r="A149" s="3"/>
      <c r="BN149" s="4"/>
    </row>
    <row r="150" spans="1:66" ht="20.100000000000001" customHeight="1" x14ac:dyDescent="0.25">
      <c r="A150" s="3"/>
      <c r="D150" s="9" t="str" cm="1">
        <f t="array" ref="D150">Common_SourceData.Common_SourceData_DataScores_Scope3_Title()</f>
        <v>Australian data scores for scope 3</v>
      </c>
      <c r="BN150" s="4"/>
    </row>
    <row r="151" spans="1:66" ht="20.100000000000001" customHeight="1" x14ac:dyDescent="0.25">
      <c r="A151" s="3"/>
      <c r="D151" s="11" t="str" cm="1">
        <f t="array" ref="D151">Common_SourceData.Common_SourceData_DataScores_Scope3_Source()</f>
        <v>VEERG 2026: XXXXXXXX</v>
      </c>
      <c r="BN151" s="4"/>
    </row>
    <row r="152" spans="1:66" ht="20.100000000000001" customHeight="1" x14ac:dyDescent="0.25">
      <c r="A152" s="3"/>
      <c r="BN152" s="4"/>
    </row>
    <row r="153" spans="1:66" ht="20.100000000000001" customHeight="1" x14ac:dyDescent="0.25">
      <c r="A153" s="3"/>
      <c r="D153" s="10" t="s">
        <v>38</v>
      </c>
      <c r="E153" s="10" t="s">
        <v>39</v>
      </c>
      <c r="BC153" s="7"/>
      <c r="BD153" s="7"/>
      <c r="BE153" s="7"/>
      <c r="BF153" s="7"/>
      <c r="BG153" s="7"/>
      <c r="BH153" s="7"/>
      <c r="BI153" s="7"/>
      <c r="BJ153" s="7"/>
      <c r="BK153" s="7"/>
      <c r="BL153" s="7"/>
      <c r="BM153" s="7"/>
    </row>
    <row r="154" spans="1:66" ht="20.100000000000001" customHeight="1" x14ac:dyDescent="0.25">
      <c r="A154" s="3"/>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1:66" ht="20.100000000000001" customHeight="1" x14ac:dyDescent="0.25">
      <c r="A155" s="3"/>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1:66" ht="20.100000000000001" customHeight="1" x14ac:dyDescent="0.25">
      <c r="A156" s="3"/>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1:66" ht="20.100000000000001" customHeight="1" x14ac:dyDescent="0.25">
      <c r="A157" s="3"/>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1:66" ht="20.100000000000001" customHeight="1" x14ac:dyDescent="0.25">
      <c r="A158" s="3"/>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1:66" ht="20.100000000000001" customHeight="1" x14ac:dyDescent="0.25">
      <c r="A159" s="3"/>
    </row>
    <row r="160" spans="1:66" ht="20.100000000000001" customHeight="1" x14ac:dyDescent="0.25">
      <c r="A160" s="3"/>
    </row>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
      <c r="BN165" s="4"/>
      <c r="BO165" s="4"/>
      <c r="BP165" s="4"/>
    </row>
    <row r="166" spans="4:68" ht="20.100000000000001" customHeight="1" x14ac:dyDescent="0.2">
      <c r="BN166" s="4"/>
      <c r="BO166" s="4"/>
      <c r="BP166" s="4"/>
    </row>
    <row r="167" spans="4:68" ht="20.100000000000001" customHeight="1" x14ac:dyDescent="0.2">
      <c r="D167" s="9" t="str" cm="1">
        <f t="array" ref="D167">Common_SourceData.Common_SourceData_EFleach_Title()</f>
        <v>Emission factor for nitrogen leaching and runoff</v>
      </c>
      <c r="BN167" s="4"/>
      <c r="BO167" s="4"/>
      <c r="BP167" s="4"/>
    </row>
    <row r="168" spans="4:68" ht="20.100000000000001" customHeight="1" x14ac:dyDescent="0.2">
      <c r="D168" s="11" t="str" cm="1">
        <f t="array" ref="D168">Common_SourceData.Common_SourceData_EFleach_Source()</f>
        <v>VEERG 2026:5.5.2.3 Constant Parameters</v>
      </c>
      <c r="BN168" s="4"/>
      <c r="BO168" s="4"/>
      <c r="BP168" s="4"/>
    </row>
    <row r="169" spans="4:68" ht="20.100000000000001" customHeight="1" x14ac:dyDescent="0.2">
      <c r="D169" s="11" t="str" cm="1">
        <f t="array" ref="D169">Common_SourceData.Common_SourceData_EFleach_NIRReference()</f>
        <v>National Inventory Report Volume 1: Equation 3.D.B_10</v>
      </c>
      <c r="BN169" s="4"/>
      <c r="BO169" s="4"/>
      <c r="BP169" s="4"/>
    </row>
    <row r="170" spans="4:68" ht="20.100000000000001" customHeight="1" x14ac:dyDescent="0.2">
      <c r="D170" s="8" t="str" cm="1">
        <f t="array" ref="D170:E170">Common_SourceData.Common_SourceData_EFleach_Data()</f>
        <v>EFleach</v>
      </c>
      <c r="E170" s="8">
        <v>1.0999999999999999E-2</v>
      </c>
      <c r="BN170" s="4"/>
      <c r="BO170" s="4"/>
      <c r="BP170" s="4"/>
    </row>
    <row r="171" spans="4:68" ht="20.100000000000001" customHeight="1" x14ac:dyDescent="0.2">
      <c r="BN171" s="4"/>
      <c r="BO171" s="4"/>
      <c r="BP171" s="4"/>
    </row>
    <row r="172" spans="4:68" ht="20.100000000000001" customHeight="1" x14ac:dyDescent="0.2">
      <c r="BN172" s="4"/>
      <c r="BO172" s="4"/>
      <c r="BP172" s="4"/>
    </row>
    <row r="173" spans="4:68" ht="20.100000000000001" customHeight="1" x14ac:dyDescent="0.2">
      <c r="D173" s="9" t="str" cm="1">
        <f t="array" ref="D173">Common_SourceData.Common_SourceData_DensityOfMethane_Title()</f>
        <v>p = density of methane</v>
      </c>
      <c r="BN173" s="4"/>
      <c r="BO173" s="4"/>
      <c r="BP173" s="4"/>
    </row>
    <row r="174" spans="4:68" ht="20.100000000000001" customHeight="1" x14ac:dyDescent="0.2">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
      <c r="BN176" s="4"/>
      <c r="BO176" s="4"/>
      <c r="BP176" s="4"/>
    </row>
    <row r="177" spans="4:68" ht="20.100000000000001" customHeight="1" x14ac:dyDescent="0.2">
      <c r="BN177" s="4"/>
      <c r="BO177" s="4"/>
      <c r="BP177" s="4"/>
    </row>
    <row r="178" spans="4:68" ht="20.100000000000001" customHeight="1" x14ac:dyDescent="0.2">
      <c r="D178" s="9" t="str" cm="1">
        <f t="array" ref="D178">Common_SourceData.Common_SourceData_EFN2O_Title()</f>
        <v>Nitrous oxide emission factors for inorganic fertiliser application</v>
      </c>
      <c r="BN178" s="4"/>
      <c r="BO178" s="4"/>
      <c r="BP178" s="4"/>
    </row>
    <row r="179" spans="4:68" ht="20.100000000000001" customHeight="1" x14ac:dyDescent="0.2">
      <c r="D179" s="11" t="str" cm="1">
        <f t="array" ref="D179">Common_SourceData.Common_SourceData_EFN2O_Source()</f>
        <v>VEERG 2026: Table A.2.2.1</v>
      </c>
      <c r="BN179" s="4"/>
      <c r="BO179" s="4"/>
      <c r="BP179" s="4"/>
    </row>
    <row r="180" spans="4:68" ht="20.100000000000001" customHeight="1" x14ac:dyDescent="0.2">
      <c r="D180" s="13" t="str" cm="1">
        <f t="array" ref="D180">Common_SourceData.Common_SourceData_EFN2O_Unit()</f>
        <v>(kg N2O-N / kg N</v>
      </c>
    </row>
    <row r="181" spans="4:68" ht="20.100000000000001" customHeight="1" x14ac:dyDescent="0.2">
      <c r="D181" s="12" t="str" cm="1">
        <f t="array" ref="D181:D185">Common_SourceData.Common_SourceData_EFN2O_Variation()</f>
        <v>VARIATION OF SOURCE DATA:</v>
      </c>
    </row>
    <row r="182" spans="4:68" ht="20.100000000000001" customHeight="1" x14ac:dyDescent="0.2">
      <c r="D182" s="12" t="str">
        <v>Removed duplicate 'Aquaculture' row.</v>
      </c>
    </row>
    <row r="183" spans="4:68" ht="20.100000000000001" customHeight="1" x14ac:dyDescent="0.2">
      <c r="D183" s="12" t="str">
        <v>Removed asterisks to aid lookup.</v>
      </c>
    </row>
    <row r="184" spans="4:68" ht="20.100000000000001" customHeight="1" x14ac:dyDescent="0.2">
      <c r="D184" s="12" t="str">
        <v>Added 'production system only', 'rainfall zone' and 'irrigation method' columns to aid lookup.</v>
      </c>
    </row>
    <row r="185" spans="4:68" ht="20.100000000000001" customHeight="1" x14ac:dyDescent="0.2">
      <c r="D185" s="12" t="str">
        <v>Duplicated 'non-irrigated pasture' row with same EF for low and high rainfall zones to aid lookup.</v>
      </c>
    </row>
    <row r="186" spans="4:68" ht="20.100000000000001" customHeight="1" x14ac:dyDescent="0.2">
      <c r="D186" s="10" t="s">
        <v>40</v>
      </c>
      <c r="E186" s="10" t="s">
        <v>41</v>
      </c>
      <c r="F186" s="10" t="s">
        <v>42</v>
      </c>
      <c r="G186" s="10" t="s">
        <v>43</v>
      </c>
      <c r="H186" s="10" t="s">
        <v>44</v>
      </c>
    </row>
    <row r="187" spans="4:68" ht="20.100000000000001" customHeight="1" x14ac:dyDescent="0.2">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ht="20.100000000000001" customHeight="1" x14ac:dyDescent="0.2">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ht="20.100000000000001" customHeight="1" x14ac:dyDescent="0.2">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ht="20.100000000000001" customHeight="1" x14ac:dyDescent="0.2">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0.100000000000001" customHeight="1" x14ac:dyDescent="0.2">
      <c r="D202" s="9" t="str" cm="1">
        <f t="array" ref="D202">Common_SourceData.Common_SourceData_EFPastureRangeAndPaddock_Title()</f>
        <v>Emission factor for urine and dung deposited on pasture, range or paddock</v>
      </c>
    </row>
    <row r="203" spans="4:8" ht="20.100000000000001" customHeight="1" x14ac:dyDescent="0.2">
      <c r="D203" s="11" t="str" cm="1">
        <f t="array" ref="D203">Common_SourceData.Common_SourceData_EFPastureRangeAndPaddock_Source()</f>
        <v>VEERG 2026: Table A.2.2.2</v>
      </c>
    </row>
    <row r="204" spans="4:8" ht="20.100000000000001" customHeight="1" x14ac:dyDescent="0.2">
      <c r="D204" s="12" t="str" cm="1">
        <f t="array" ref="D204">Common_SourceData.Common_SourceData_EFPastureRangeAndPaddock_Variation()</f>
        <v>VARIATION FROM SOURCE DATA: Changed 'Dry climate zones' to singular 'Dry climate zone' to aid lookup.</v>
      </c>
    </row>
    <row r="205" spans="4:8" ht="20.100000000000001" customHeight="1" x14ac:dyDescent="0.2">
      <c r="D205" s="13" t="str" cm="1">
        <f t="array" ref="D205">Common_SourceData.Common_SourceData_EFPastureRangeAndPaddock_Unit()</f>
        <v>kg N2O - N / kg N</v>
      </c>
    </row>
    <row r="206" spans="4:8" ht="20.100000000000001" customHeight="1" x14ac:dyDescent="0.2">
      <c r="D206" s="10" t="s">
        <v>11</v>
      </c>
      <c r="E206" s="10" t="s">
        <v>45</v>
      </c>
    </row>
    <row r="207" spans="4:8" ht="20.100000000000001" customHeight="1" x14ac:dyDescent="0.2">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ht="20.100000000000001" customHeight="1" x14ac:dyDescent="0.2">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ht="20.100000000000001" customHeight="1" x14ac:dyDescent="0.2">
      <c r="D211" s="8" t="str" cm="1">
        <f t="array" ref="D211">Common_SourceData.Common_SourceData_MonthsToSeasons_Title()</f>
        <v>Months to Seasons Mapping</v>
      </c>
    </row>
    <row r="212" spans="4:5" ht="20.100000000000001" customHeight="1" x14ac:dyDescent="0.2">
      <c r="D212" s="10" t="s">
        <v>46</v>
      </c>
      <c r="E212" s="10" t="s">
        <v>47</v>
      </c>
    </row>
    <row r="213" spans="4:5" ht="20.100000000000001" customHeight="1" x14ac:dyDescent="0.2">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ht="20.100000000000001" customHeight="1" x14ac:dyDescent="0.2">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ht="20.100000000000001" customHeight="1" x14ac:dyDescent="0.2">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ht="20.100000000000001" customHeight="1" x14ac:dyDescent="0.2">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ht="20.100000000000001" customHeight="1" x14ac:dyDescent="0.2">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ht="20.100000000000001" customHeight="1" x14ac:dyDescent="0.2">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ht="20.100000000000001" customHeight="1" x14ac:dyDescent="0.2">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ht="20.100000000000001" customHeight="1" x14ac:dyDescent="0.2">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ht="20.100000000000001" customHeight="1" x14ac:dyDescent="0.2">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ht="20.100000000000001" customHeight="1" x14ac:dyDescent="0.2">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ht="20.100000000000001" customHeight="1" x14ac:dyDescent="0.2">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ht="20.100000000000001" customHeight="1" x14ac:dyDescent="0.2">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0.100000000000001" customHeight="1" x14ac:dyDescent="0.2">
      <c r="D227" s="9" t="str" cm="1">
        <f t="array" ref="D227">Common_SourceData.Common_SourceData_MCFTemperatureZone_Title()</f>
        <v>Manure Management – Methane conversion factor per temperature zone (fraction) (MCFim)</v>
      </c>
    </row>
    <row r="228" spans="4:19" ht="20.100000000000001" customHeight="1" x14ac:dyDescent="0.2">
      <c r="D228" s="11" t="str" cm="1">
        <f t="array" ref="D228">Common_SourceData.Common_SourceData_MCFTemperatureZone_Source()</f>
        <v>VEERG 2026: Table A.1.8.1</v>
      </c>
    </row>
    <row r="229" spans="4:19" ht="20.100000000000001" customHeight="1" x14ac:dyDescent="0.2">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ht="20.100000000000001" customHeight="1" x14ac:dyDescent="0.2">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ht="20.100000000000001" customHeight="1" x14ac:dyDescent="0.2">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ht="20.100000000000001" customHeight="1" x14ac:dyDescent="0.2">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ht="20.100000000000001" customHeight="1" x14ac:dyDescent="0.2">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ht="20.100000000000001" customHeight="1" x14ac:dyDescent="0.2">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ht="20.100000000000001" customHeight="1" x14ac:dyDescent="0.2">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ht="20.100000000000001" customHeight="1" x14ac:dyDescent="0.2">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ht="20.100000000000001" customHeight="1" x14ac:dyDescent="0.2">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ht="20.100000000000001" customHeight="1" x14ac:dyDescent="0.2">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ht="20.100000000000001" customHeight="1" x14ac:dyDescent="0.2">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ht="20.100000000000001" customHeight="1" x14ac:dyDescent="0.2">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ht="20.100000000000001" customHeight="1" x14ac:dyDescent="0.2">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ht="20.100000000000001" customHeight="1" x14ac:dyDescent="0.2">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ht="20.100000000000001" customHeight="1" x14ac:dyDescent="0.2">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ht="20.100000000000001" customHeight="1" x14ac:dyDescent="0.2">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ht="20.100000000000001" customHeight="1" x14ac:dyDescent="0.2">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ht="20.100000000000001" customHeight="1" x14ac:dyDescent="0.2">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ht="20.100000000000001" customHeight="1" x14ac:dyDescent="0.2">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ht="20.100000000000001" customHeight="1" x14ac:dyDescent="0.2">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ht="20.100000000000001" customHeight="1" x14ac:dyDescent="0.2">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0.100000000000001" customHeight="1" x14ac:dyDescent="0.2">
      <c r="D253" s="9" t="str" cm="1">
        <f t="array" ref="D253">Common_SourceData.Common_SourceData_EFOrganicFertiliserAndCropResidues_Title()</f>
        <v>Emission factor for organic fertiliser and crop residues returned to the soil</v>
      </c>
    </row>
    <row r="254" spans="4:19" ht="20.100000000000001" customHeight="1" x14ac:dyDescent="0.2">
      <c r="D254" s="11" t="str" cm="1">
        <f t="array" ref="D254">Common_SourceData.Common_SourceData_EFOrganicFertiliserAndCropResidues_Source()</f>
        <v>VEERG 2026: Table A.2.1.4</v>
      </c>
    </row>
    <row r="255" spans="4:19" ht="20.100000000000001" customHeight="1" x14ac:dyDescent="0.2">
      <c r="D255" s="8" t="str" cm="1">
        <f t="array" ref="D255">Common_SourceData.Common_SourceData_EFOrganicFertiliserAndCropResidues_Variable()</f>
        <v>EFNi &amp; EFN2Oi</v>
      </c>
    </row>
    <row r="256" spans="4:19" ht="20.100000000000001" customHeight="1" x14ac:dyDescent="0.2">
      <c r="D256" s="13" t="str" cm="1">
        <f t="array" ref="D256">Common_SourceData.Common_SourceData_EFOrganicFertiliserAndCropResidues_Unit()</f>
        <v>kg N2O - N / kg N</v>
      </c>
    </row>
    <row r="257" spans="4:6" ht="20.100000000000001" customHeight="1" x14ac:dyDescent="0.2">
      <c r="D257" s="10" t="s">
        <v>64</v>
      </c>
      <c r="E257" s="10" t="s">
        <v>65</v>
      </c>
    </row>
    <row r="258" spans="4:6" ht="20.100000000000001" customHeight="1" x14ac:dyDescent="0.2">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6" ht="20.100000000000001" customHeight="1" x14ac:dyDescent="0.2">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row r="263" spans="4:6" ht="20.100000000000001" customHeight="1" x14ac:dyDescent="0.2">
      <c r="D263" s="9" t="s">
        <v>864</v>
      </c>
    </row>
    <row r="264" spans="4:6" ht="20.100000000000001" customHeight="1" x14ac:dyDescent="0.2">
      <c r="D264" s="8" t="s">
        <v>865</v>
      </c>
    </row>
    <row r="265" spans="4:6" ht="20.100000000000001" customHeight="1" x14ac:dyDescent="0.2">
      <c r="D265" s="10" t="s">
        <v>246</v>
      </c>
      <c r="E265" s="10" t="s">
        <v>866</v>
      </c>
      <c r="F265" s="10" t="s">
        <v>867</v>
      </c>
    </row>
    <row r="266" spans="4:6" ht="20.100000000000001" customHeight="1" x14ac:dyDescent="0.2">
      <c r="D266" s="10" t="s">
        <v>868</v>
      </c>
      <c r="E266" s="10" t="s">
        <v>869</v>
      </c>
      <c r="F266" s="10">
        <v>5</v>
      </c>
    </row>
    <row r="267" spans="4:6" ht="20.100000000000001" customHeight="1" x14ac:dyDescent="0.2">
      <c r="D267" s="10" t="s">
        <v>870</v>
      </c>
      <c r="E267" s="10" t="s">
        <v>871</v>
      </c>
      <c r="F267" s="10">
        <v>4</v>
      </c>
    </row>
    <row r="268" spans="4:6" ht="20.100000000000001" customHeight="1" x14ac:dyDescent="0.2">
      <c r="D268" s="10" t="s">
        <v>872</v>
      </c>
      <c r="E268" s="10" t="s">
        <v>873</v>
      </c>
      <c r="F268" s="10">
        <v>3</v>
      </c>
    </row>
    <row r="269" spans="4:6" ht="20.100000000000001" customHeight="1" x14ac:dyDescent="0.2">
      <c r="D269" s="10" t="s">
        <v>874</v>
      </c>
      <c r="E269" s="10" t="s">
        <v>875</v>
      </c>
      <c r="F269" s="10">
        <v>2</v>
      </c>
    </row>
    <row r="270" spans="4:6" ht="20.100000000000001" customHeight="1" x14ac:dyDescent="0.2">
      <c r="D270" s="10" t="s">
        <v>876</v>
      </c>
      <c r="E270" s="10" t="s">
        <v>877</v>
      </c>
      <c r="F270" s="10">
        <v>1</v>
      </c>
    </row>
    <row r="273" spans="4:6" ht="20.100000000000001" customHeight="1" x14ac:dyDescent="0.2">
      <c r="D273" s="8" t="s">
        <v>878</v>
      </c>
    </row>
    <row r="274" spans="4:6" ht="20.100000000000001" customHeight="1" x14ac:dyDescent="0.2">
      <c r="D274" s="10" t="s">
        <v>246</v>
      </c>
      <c r="E274" s="10" t="s">
        <v>866</v>
      </c>
      <c r="F274" s="10" t="s">
        <v>867</v>
      </c>
    </row>
    <row r="275" spans="4:6" ht="20.100000000000001" customHeight="1" x14ac:dyDescent="0.2">
      <c r="D275" s="10" t="s">
        <v>879</v>
      </c>
      <c r="E275" s="10" t="s">
        <v>880</v>
      </c>
      <c r="F275" s="10">
        <v>5</v>
      </c>
    </row>
    <row r="276" spans="4:6" ht="20.100000000000001" customHeight="1" x14ac:dyDescent="0.2">
      <c r="D276" s="10" t="s">
        <v>881</v>
      </c>
      <c r="E276" s="10" t="s">
        <v>882</v>
      </c>
      <c r="F276" s="10">
        <v>4</v>
      </c>
    </row>
    <row r="277" spans="4:6" ht="20.100000000000001" customHeight="1" x14ac:dyDescent="0.2">
      <c r="D277" s="10" t="s">
        <v>883</v>
      </c>
      <c r="E277" s="10" t="s">
        <v>884</v>
      </c>
      <c r="F277" s="10">
        <v>3</v>
      </c>
    </row>
    <row r="278" spans="4:6" ht="20.100000000000001" customHeight="1" x14ac:dyDescent="0.2">
      <c r="D278" s="10" t="s">
        <v>885</v>
      </c>
      <c r="E278" s="10" t="s">
        <v>886</v>
      </c>
      <c r="F278" s="10">
        <v>2</v>
      </c>
    </row>
    <row r="279" spans="4:6" ht="20.100000000000001" customHeight="1" x14ac:dyDescent="0.2">
      <c r="D279" s="10" t="s">
        <v>887</v>
      </c>
      <c r="E279" s="10" t="s">
        <v>888</v>
      </c>
      <c r="F279" s="10">
        <v>1</v>
      </c>
    </row>
    <row r="282" spans="4:6" ht="20.100000000000001" customHeight="1" x14ac:dyDescent="0.2">
      <c r="D282" s="8" t="s">
        <v>889</v>
      </c>
    </row>
    <row r="283" spans="4:6" ht="20.100000000000001" customHeight="1" x14ac:dyDescent="0.2">
      <c r="D283" s="10" t="s">
        <v>246</v>
      </c>
      <c r="E283" s="10" t="s">
        <v>866</v>
      </c>
      <c r="F283" s="10" t="s">
        <v>867</v>
      </c>
    </row>
    <row r="284" spans="4:6" ht="20.100000000000001" customHeight="1" x14ac:dyDescent="0.2">
      <c r="D284" s="10" t="s">
        <v>890</v>
      </c>
      <c r="E284" s="10" t="s">
        <v>891</v>
      </c>
      <c r="F284" s="10">
        <v>5</v>
      </c>
    </row>
    <row r="285" spans="4:6" ht="20.100000000000001" customHeight="1" x14ac:dyDescent="0.2">
      <c r="D285" s="10" t="s">
        <v>892</v>
      </c>
      <c r="E285" s="10" t="s">
        <v>893</v>
      </c>
      <c r="F285" s="10">
        <v>4</v>
      </c>
    </row>
    <row r="286" spans="4:6" ht="20.100000000000001" customHeight="1" x14ac:dyDescent="0.2">
      <c r="D286" s="10" t="s">
        <v>894</v>
      </c>
      <c r="E286" s="10" t="s">
        <v>895</v>
      </c>
      <c r="F286" s="10">
        <v>3</v>
      </c>
    </row>
    <row r="287" spans="4:6" ht="20.100000000000001" customHeight="1" x14ac:dyDescent="0.2">
      <c r="D287" s="10" t="s">
        <v>896</v>
      </c>
      <c r="E287" s="10" t="s">
        <v>897</v>
      </c>
      <c r="F287" s="10">
        <v>2</v>
      </c>
    </row>
    <row r="288" spans="4:6" ht="20.100000000000001" customHeight="1" x14ac:dyDescent="0.2">
      <c r="D288" s="10" t="s">
        <v>898</v>
      </c>
      <c r="E288" s="10" t="s">
        <v>899</v>
      </c>
      <c r="F288" s="10">
        <v>1</v>
      </c>
    </row>
    <row r="291" spans="4:6" ht="20.100000000000001" customHeight="1" x14ac:dyDescent="0.2">
      <c r="D291" s="8" t="s">
        <v>900</v>
      </c>
    </row>
    <row r="292" spans="4:6" ht="20.100000000000001" customHeight="1" x14ac:dyDescent="0.2">
      <c r="D292" s="10" t="s">
        <v>246</v>
      </c>
      <c r="E292" s="10" t="s">
        <v>866</v>
      </c>
      <c r="F292" s="10" t="s">
        <v>867</v>
      </c>
    </row>
    <row r="293" spans="4:6" ht="20.100000000000001" customHeight="1" x14ac:dyDescent="0.2">
      <c r="D293" s="10" t="s">
        <v>901</v>
      </c>
      <c r="E293" s="10" t="s">
        <v>902</v>
      </c>
      <c r="F293" s="10">
        <v>5</v>
      </c>
    </row>
    <row r="294" spans="4:6" ht="20.100000000000001" customHeight="1" x14ac:dyDescent="0.2">
      <c r="D294" s="10" t="s">
        <v>903</v>
      </c>
      <c r="E294" s="10" t="s">
        <v>904</v>
      </c>
      <c r="F294" s="10">
        <v>4</v>
      </c>
    </row>
    <row r="295" spans="4:6" ht="20.100000000000001" customHeight="1" x14ac:dyDescent="0.2">
      <c r="D295" s="10" t="s">
        <v>905</v>
      </c>
      <c r="E295" s="10" t="s">
        <v>906</v>
      </c>
      <c r="F295" s="10">
        <v>3</v>
      </c>
    </row>
    <row r="296" spans="4:6" ht="20.100000000000001" customHeight="1" x14ac:dyDescent="0.2">
      <c r="D296" s="10" t="s">
        <v>907</v>
      </c>
      <c r="E296" s="10" t="s">
        <v>908</v>
      </c>
      <c r="F296" s="10">
        <v>2</v>
      </c>
    </row>
    <row r="297" spans="4:6" ht="20.100000000000001" customHeight="1" x14ac:dyDescent="0.2">
      <c r="D297" s="10" t="s">
        <v>909</v>
      </c>
      <c r="E297" s="10" t="s">
        <v>910</v>
      </c>
      <c r="F297" s="10">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JwBOAGEAdAB1AHIAYQBsACAAZwBhAHMAIABkAGkAcwB0AHIAaQBiAHUAdABlAGQAIABpAG4AIABhACAAcABpAHAAZQBsAGkAbgBlACAALQAgAEcAaQBnAGEAagBvAHUAbABlAHMAJwAgAGEAbgBkACAAJwBUAG8AdwBuACAAZwBhAHMAIAAtACAARwBpAGcAYQBqAG8AdQBsAGUAcwAn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JwBDAC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AnAE4ARQAn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JwBOAEUAJ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AnAEIAYQBzAGkAcwAn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JwBTAGMAbwBwAGUAIAAzACAAZABlAGYAaQBuAGkAdABpAG8AbgAnACAAYwBvAGwAdQBtAG4AIAB0AG8AIABhAGwAbABvAHcAIABtAGEAcABwAGkAbgBnACAAdwBpAHQAaAAgAHMAYwBvAHAAZQAgADMAIABkAGEAdABhAFwAIgA7AFwAbgAgACAAXAAiAEEAZABkAGUAZAAgACcAUwBvAHUAcgBjAGUAJ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AnAFIAZQBmAGUAcgBlAG4AYwBlAHMAJwAgAGMAbwBsAHUAbQBuAFwAIgA7AFwAbgAgACAAXAAiAEUAeABjAGwAdQBkAGUAZAAgACcAQQBtAG0AbwBuAGkAdQBtACAAcwB1AGwAZgBhAHQAZQAnACAAYQBzACAAaQB0ACAAaQBzACAAYQAgAGQAdQBwAGwAaQBjAGEAdABlACAAbwBmACAAJwBTAHUAbABwAGgAYQB0AGUAIABvAGYAIABhAG0AbQBvAG4AaQBhACAAKABTAE8AQQApACcAXAAiADsAXABuACAAIABcACIARQB4AGMAbAB1AGQAZQBkACAAJwBDAGEAbABjAGkAdQBtACAAbgBpAHQAcgBhAHQAZQAnACAAYQBzACAAbgBvACAAcwBjAG8AcABlACAAMwAgAHYAYQBsAHUAZQAgAGEAdgBhAGkAbABhAGIAbABlAC4AXAAiADsAXABuACAAIABcACIAUwBlAHQAIAAnAE4AaQB0AHIAbwBnAGUAbgAgAC0AIABHAGUAbgBlAHIAaQBjACcAIABiAGEAcwBpAHMAIABhAHMAIAAn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AnAFUAcgBlAGEALQBhAG0AbQBvAG4AaQB1AG0AIABuAGkAdAByAGEAdABlACcAIABiAGEAcwBpAHMAIABhAHMAIAAnAFUAcgBlAGEALQBiAGEAcwBlAGQAIABmAGUAcgB0AGkAbABpAHMAZQByAC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AvACoAXABuAEYAZQByAHQAaQBsAGkAcwBlAHIAIABwAHIAbwBkAHUAYwB0ACAAZABhAHQAYQAgAC0AIABFAHgAYwBlAGwAIABNAEEASwBFAEEAUgBSAEEAWQAgAGUAeABwAG8AcgB0AFwAbgAtAC0ALQAtAC0ALQAtAC0ALQAtAC0ALQAtAC0ALQAtAC0ALQAtAC0ALQAtAC0ALQAtAC0ALQAtAC0ALQAtAC0ALQAtAC0ALQAtAC0ALQAtAC0ALQAtAC0ALQAtAC0ALQAtAC0ALQAtAC0ALQAtAC0ALQAtAC0ALQBcAG4AUAByAG8AZAB1AGMAdABzADoAIAAxADMANAAgACgASQBuAGMAbAB1AGQAZQAgAG8AbgBsAHkAOwAgAGMAbwBtAGIAaQBuAGUAZAAgAGYAcgBvAG0AIABtAGEAaQBuACAAKwAgAGIAYQB0AGMAaAAgADEAIAArACAAYgBhAHQAYwBoACAAMgAgAHcAbwByAGsAYgBvAG8AawBzACkAXABuAEEAcgByAGEAeQBzADoAIAA1ACAAfAAgAFIAbwB3AHMAIABwAGUAcgAgAGEAcgByAGEAeQA6ACAAMwAwACAAKABmAGkAbgBhAGwAIABhAHIAcgBhAHkAOgAgADEANAApACAAfAAgAEMAbwBsAHUAbQBuAHMAOgAgADMAMQBcAG4AXABuAEUAeABjAGwAdQBkAGUAZAAgAGMAbwBsAHUAbQBuAHMAOgAgAEkAbgBjAGwAdQBkAGUAIABvAHIAIABlAHgAYwBsAHUAZABlACwAIABBAG4AYQBsAHkAcwBpAHMAIABiAGEAcwBlACwAIABBAG4AYQBsAHkAcwBpAHMAIABzAG8AdQByAGMAZQAsACAAQQBuAGEAbAB5AHMAaQBzACAAZgBsAGEAZwAsACAATgBvAHQAZQBzACwAIABMAGkAbgBrACwAIABEAGEAdABhACAAcwBvAHUAcgBjAGUALAAgAEUATgBEACAAUgBPAFcALgBcAG4ASQBuAGcAcgBlAGQAaQBlAG4AdAAgAHAAZQByAGMAZQBuAHQAIAB2AGEAbAB1AGUAcwAgAGEAcgBlACAAZQB2AGEAbAB1AGEAdABlAGQAIABkAGUAYwBpAG0AYQBsACAAZgByAGEAYwB0AGkAbwBuAHMAIAAoAD0ANAA2AC8AMQAwADAAIAAtAD4AIAAwAC4ANAA2ACkAOwAgAGUAbQBwAHQAeQAgAGMAZQBsAGwAcwAgAGEAcgBlACAAXAAiAFwAIgAuAFwAbgBcAG4AQwBvAGwAdQBtAG4AIABvAHIAZABlAHIAIAAoADMAMQApADoAXABuACAAIAAxAC4AIABDAG8AbQBwAGEAbgB5AFwAbgAgACAAMgAuACAAUAByAG8AZAB1AGMAdAAgAG4AYQBtAGUAXABuACAAIAAzAC4AIABVAG4AaQB0AFwAbgAgACAANAAuACAARABlAG4AcwBpAHQAeQBcAG4AIAAgADUALgAgAEMAbwBuAHQAYQBpAG4AcwAgAGkAbgBoAGkAYgBpAHQAbwByAFwAbgAgACAANgAuACAAVQByAGUAYQAgAHMAbwB1AHIAYwBlAFwAbgAgACAANwAuACAAQQBtAG0AbwBuAGkAYQAgAHMAbwB1AHIAYwBlAFwAbgAgACAAOAAuACAATgAgAGQAZQBjAGwAYQByAGUAZABcAG4AIAAgADkALgAgAFAAIABkAGUAYwBsAGEAcgBlAGQAXABuACAAIAAxADAALgAgAEsAIABkAGUAYwBsAGEAcgBlAGQAXABuACAAIAAxADEALgAgAFMAIABkAGUAYwBsAGEAcgBlAGQAXABuACAAIAAxADIALgAgAEkAbgBnAHIAZQBkAGkAZQBuAHQAIAAxAFwAbgAgACAAMQAzAC4AIABJAG4AZwByAGUAZABpAGUAbgB0ACAAMQAgAHAAZQByAGMAZQBuAHQAXABuACAAIAAxADQALgAgAEkAbgBnAHIAZQBkAGkAZQBuAHQAIAAyAFwAbgAgACAAMQA1AC4AIABJAG4AZwByAGUAZABpAGUAbgB0ACAAMgAgAHAAZQByAGMAZQBuAHQAXABuACAAIAAxADYALgAgAEkAbgBnAHIAZQBkAGkAZQBuAHQAIAAzAFwAbgAgACAAMQA3AC4AIABJAG4AZwByAGUAZABpAGUAbgB0ACAAMwAgAHAAZQByAGMAZQBuAHQAXABuACAAIAAxADgALgAgAEkAbgBnAHIAZQBkAGkAZQBuAHQAIAA0AFwAbgAgACAAMQA5AC4AIABJAG4AZwByAGUAZABpAGUAbgB0ACAANAAgAHAAZQByAGMAZQBuAHQAXABuACAAIAAyADAALgAgAEkAbgBnAHIAZQBkAGkAZQBuAHQAIAA1AFwAbgAgACAAMgAxAC4AIABJAG4AZwByAGUAZABpAGUAbgB0ACAANQAgAHAAZQByAGMAZQBuAHQAXABuACAAIAAyADIALgAgAEkAbgBnAHIAZQBkAGkAZQBuAHQAIAA2AFwAbgAgACAAMgAzAC4AIABJAG4AZwByAGUAZABpAGUAbgB0ACAANgAgAHAAZQByAGMAZQBuAHQAXABuACAAIAAyADQALgAgAEkAbgBnAHIAZQBkAGkAZQBuAHQAIAA3AFwAbgAgACAAMgA1AC4AIABJAG4AZwByAGUAZABpAGUAbgB0ACAANwAgAHAAZQByAGMAZQBuAHQAXABuACAAIAAyADYALgAgAEkAbgBnAHIAZQBkAGkAZQBuAHQAIAA4AFwAbgAgACAAMgA3AC4AIABJAG4AZwByAGUAZABpAGUAbgB0ACAAOAAgAHAAZQByAGMAZQBuAHQAXABuACAAIAAyADgALgAgAEkAbgBnAHIAZQBkAGkAZQBuAHQAIAA5AFwAbgAgACAAMgA5AC4AIABJAG4AZwByAGUAZABpAGUAbgB0ACAAOQAgAHAAZQByAGMAZQBuAHQAXABuACAAIAAzADAALgAgAEkAbgBnAHIAZQBkAGkAZQBuAHQAIAAxADAAXABuACAAIAAzADEALgAgAEkAbgBnAHIAZQBkAGkAZQBuAHQAIAAxADAAIABwAGUAcgBjAGUAbgB0AFwAbgAgACAAXABuAC0ALQAtAC0ALQAtAC0ALQAtAC0ALQAtAC0ALQAtAC0ALQAtAC0ALQAtAC0ALQAtAC0ALQAtAC0ALQAtAC0ALQAtAC0ALQAtAC0ALQAtAC0ALQAtAC0ALQAtAC0ALQAtAC0ALQAtAC0ALQAtAC0ALQAtAC0ALQAtAFwAbgAqAC8AXABuAFwAbgBGAGUAcgB0AGkAbABpAHMAZQByAF8AUAByAG8AZAB1AGMAdABzAF8ARABhAHQAYQAxAFwAbgA9AEwAQQBNAEIARABBACgAXABuACAATQBBAEsARQBBAFIAUgBBAFkAKAAzADAALAAgADMAMQAsAFwAbgAgAEwAQQBNAEIARABBACgAcgAsAGMALABcAG4AIAAgAEkATgBEAEUAWAAoAHsAXABuAFwAIgBDAGEAbQBwAGIAZQBsAGwAcwAgAGYAZQByAHQAaQBsAGkAcwBlAHIAcwAgAEEAdQBzAHQAcgBhAGwAaQBhAFwAIgAsAFwAIgBBAHEAdQBhACAARgBpAG4AaQBzAGgAXAAiACwAXAAiAEwAXAAiACwAMQAuADIANgAsAFwAIgBcACIALABcACIAXAAiACwAXAAiAFwAIgAsADIALgA2ACwANAAsADIAMgAuADU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RwByAG8AdwBcACIALABcACIATABcACIALAAxAC4AMgA2ACwAXAAiAFwAIgAsAFwAIgBcACIALABcACIAXAAiACwAOQAuADYALAA1ACwAMQAwAC4ANQ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IABBAE4AXAAiACwAXAAiAEwAXAAiACwAMQAuADIANAAsAFwAIgBcACIALABcACIAXAAiACwAXAAiAFwAIgAsADIAMgAuADMALABcACIAXAAi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FwAIgAsAFwAIgBMAFwAIgAsADEALgA1ACwAXAAiAFwAIgAsAFwAIgBcACIALABcACIAXAAiACwAMQAzAC4AMgAsAFwAIgBcACIALABcACIAXAAiACwAXAAiAFwAIgAsAFwAIgBDAGEAbABjAGkAdQBt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CAAKABWAEkAKQBcACIALABcACIATABcACIALAAxAC4ANQAsAFwAIgBcACIALABcACIAXAAiACwAXAAiAFwAIgAsADEAMwAuADIALABcACIAXAAiACwAXAAiAFwAIgAsAFwAIgBcACIALABcACIAQwBhAGwAYwBpAHUAbQ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FUAbAB0AGkAbQBhAHQAZQBcACIALABcACIATABcACIALAAxAC4ANQAsAFwAIgBcACIALABcACIAXAAiACwAXAAiAFwAIgAsADEAMwAuADIALABcACIAXAAiACwAXAAiAFwAIgAsAFwAIgBcACIALABcACIAQwBhAGwAYwBpAHUAbQBcACIALAAwAC4AMQA4ADM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MAdABhAHIAdABcACIALABcACIATABcACIALAAxAC4AMgA1ACwAXAAiAFwAIgAsAFwAIgBcACIALABcACIAXAAiACwAMQAwAC4AMwAsADEAMAAsADMALgA0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QwBvAG0AcABsAGUAdABlAFwAIgAsAFwAIgBMAFwAIgAsADEALgA0ADMALABcACIAXAAiACwAXAAiAFwAIgAsAFwAIgBcACIALAAyAC4ANQAsADMALgA4ACwAMgAyAC4ANQ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FAG0AZQByAGcAZQBcACIALABcACIATABcACIALAAxAC4AMgA5ACwAXAAiAFwAIgAsAFwAIgBcACIALABcACIAXAAiACwAMQAwAC4ANQAsADkALgA0ACwANAAsADM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GAGwAbwB1AHIAaQBzAGgAXAAiACwAXAAiAEwAXAAiACwAMQAuADMAMgAsAFwAIgBcACIALABcACIAXAAiACwAXAAiAFwAIgAsADkALgA1ACwANAAuADcALAAxADAALgA4ACwAOAAuADE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OwBcAG4AXAAiAEMAYQBtAHAAYgBlAGwAbABzACAAZgBlAHIAdABpAGwAaQBzAGUAcgBzACAAQQB1AHMAdAByAGEAbABpAGEAXAAiACwAXAAiAEIAbwBvAHMAdAAtAEkAdABcACIALABcACIAawBnAFwAIgAsADEALABcACIAXAAiACwAXAAiAFwAIgAsAFwAIgBcACIALAAyADQALAA1AC4AMgAsADgALAA1AC4AMwAsAFwAIgBVAHIAZQBhAFwAIgAsADAALgA1ADIAMQA3ADMAOQ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OwBcAG4AXAAiAEMAYQBtAHAAYgBlAGwAbABzACAAZgBlAHIAdABpAGwAaQBzAGUAcgBzACAAQQB1AHMAdAByAGEAbABpAGEAXAAiACwAXAAiAEIAcgBvAG4AegBlAFwAIgAsAFwAIgBrAGcAXAAiACwAMQAsAFwAIgBcACIALABcACIAXAAiACwAXAAiAFwAIgAsADEANwAsADAALgAwADQALAAxADEALgA2ACwAMAAuADUALABcACIATQB1AHIAaQBhAHQAZQAgAG8AZgAgAH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OwBcAG4AXAAiAEMAYQBtAHAAYgBlAGwAbABzACAAZgBlAHIAdABpAGwAaQBzAGUAcgBzACAAQQB1AHMAdAByAGEAbABpAGEAXAAiACwAXAAiAEMAYQBsAGIAaQB0ACAAQwBcACIALABcACIATABcACIALAAxAC4ANAA1ACwAXAAiAFwAIgAsAFwAIgBcACIALABcACIAXAAiACwAXAAiAFwAIgAsAFwAIgBcACIALABcACIAXAAiACwAXAAiAFwAIgAsAFwAIgBDAGEAbABjAGkAdQBtAFwAIgAsADAALgAxADAAN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wBvAG0AcABhAHMAcwBcACIALABcACIAawBnAFwAIgAsADEALABcACIAXAAiACwAXAAiAFwAIgAsAFwAIgBcACIALAAxADUALAA2AC4ANQAsADEAMgAuADUALAA2ACwAXAAiAE4AaQB0AHIAbwBnAGUAbgAgAC0AIABBAG0AbQBvAG4AaQBhAGMAYQBsAFwAIgAsADAALgAwADcANQAsAFwAIgBOAGkAdAByAG8AZwBlAG4AIAAtACAATgBpAHQAcgBhAHQAZQBcACIALAAwAC4AMAA3ADUALABcACIAUABvAHQAYQBzAHMAaQB1AG0AIAAtACAARwBlAG4AZQByAGkAYwBcACIALAAwAC4AMQAyADUALABcACIAUABoAG8AcwBwAGgAbwByAHUAcwAgAC0AIABHAGUAbgBlAHIAaQBjAFwAIgAsADAALgAwADYANQAsAFwAIgBTAHUAbABmAHUAcgAgAC0AIABHAGUAbgBlAHIAaQBjAFwAIgAsADAALgAwADYALABcACIAXAAiACwAXAAiAFwAIgAsAFwAIgBcACIALABcACIAXAAiACwAXAAiAFwAIgAsAFwAIgBcACIALABcACIAXAAiACwAXAAiAFwAIgAsAFwAIgBcACIALABcACIAXAAiADsAXABuAFwAIgBDAGEAbQBwAGIAZQBsAGwAcwAgAGYAZQByAHQAaQBsAGkAcwBlAHIAcwAgAEEAdQBzAHQAcgBhAGwAaQBhAFwAIgAsAFwAIgBDAG8AUgBvAE4AIAAxADIALQAwAC0AMQAwAFwAIgAsAFwAIgBMAFwAIgAsADEALgAyADEANQAsAFwAIgBcACIALABcACIAXAAiACwAXAAiAFwAIgAsADEAMgAsAFwAIgBcACIALAAxADAALABcACIAXAAiACwAXAAiAFUAcgBlAGEAXAAiACwAMAAuADEAOQA1ADYANQAy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DsAXABuAFwAIgBDAGEAbQBwAGIAZQBsAGwAcwAgAGYAZQByAHQAaQBsAGkAcwBlAHIAcwAgAEEAdQBzAHQAcgBhAGwAaQBhAFwAIgAsAFwAIgBNAGEAeABpAG0AdQBtACAAUQB1AGkAYwBrAC0ATgBcACIALABcACIAawBnAFwAIgAsADEALABcACIAXAAiACwAXAAiAFwAIgAsAFwAIgBcACIALAAyADEALgA2ADYALABcACIAXAAiACwAXAAiAFwAIgAsADEAMwAuADIALABcACIAUwB1AGwAcABoAGEAdABlACAAbwBmACAAYQBtAG0AbwBuAGkAYQAgACgAUwBPAEEAKQBcACIALAAwAC4ANQA1ACwAXAAiAEEAbQBtAG8AbgBpAHUAbQAgAG4AaQB0AHIAYQB0AGUAIAAoAEEATgApAFwAIgAsADAALgAzACwAXAAiAFwAIgAsAFwAIgBcACIALABcACIAXAAiACwAXAAiAFwAIgAsAFwAIgBcACIALABcACIAXAAiACwAXAAiAFwAIgAsAFwAIgBcACIALABcACIAXAAiACwAXAAiAFwAIgAsAFwAIgBcACIALABcACIAXAAiACwAXAAiAFwAIgAsAFwAIgBcACIALABcACIAXAAiACwAXAAiAFwAIgA7AFwAbgBcACIAUwBMACAAVABlAGMAXAAiACwAXAAiAEMAcgBvAHAAIABCAG8AbwBzAHQAZQByACAAUABMAFUAUwBcACIALABcACIATABcACIALAAxAC4AMwAxADkALABcACIAXAAiACwAXAAiAFwAIgAsAFwAIgBcACIALAA1ACwAMQA1ACwAMgAuADEALABcACIAXAAiACwAXAAiAFAAaABvAHMAcABoAG8AcgB1AHMAIAAtACAARwBlAG4AZQByAGkAYwBcACIALAAwAC4AMQA1ACwAXAAiAEMAYQBsAGMAaQB1AG0AXAAiACwAMAAuADAANAAsAFwAIgBOAGkAdAByAG8AZwBlAG4AIAAtACAAQQBtAG0AbwBuAGkAYQBjAGEAbABcACIALAAwAC4AMAAyADkALABcACIATgBpAHQAcgBvAGcAZQBuACAALQAgAE4AaQB0AHIAYQB0AGUAXAAiACwAMAAuADAAMgAxACwAXAAiAFAAbwB0AGEAcwBzAGkAdQBtACAALQAgAEcAZQBuAGUAcgBpAGMAXAAiACwAMAAuADAAMgAxACwAXAAiAEMAbwBwAHAAZQByAFwAIgAsADAALgAwADAANQAsAFwAIgBaAGkAbgBjAFwAIgAsADAALgAwADAANAAsAFwAIgBNAGEAbgBnAGEAbgBlAHMAZQBcACIALAAwAC4AMAAwADQALABcACIATQBhAGcAbgBlAHMAaQB1AG0AXAAiACwAMAAuADAAMAAyACwAXAAiAFwAIgAsAFwAIgBcACIAOwBcAG4AXAAiAFIAaQBzAHMAbwAtAEMAaABlAG0AaQBjAGEAbABcACIALABcACIAQQBtAG0AbwBuAGkAdQBtACAAQgBpAGMAYQByAGIAbwBuAGEAdABlAFwAIgAsAFwAIgBrAGcAXAAiACwAMQAsAFwAIgBcACIALABcACIAXAAiACwAXAAiAEMAaABpAG4AYQBcACIALAAxADcALgA3ACwAXAAiAFwAIgAsAFwAIgBcACIALABcACI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BAG0AbQBvAG4AaQB1AG0AIABTAHUAbABmAGEAdABlAFwAIgAsAFwAIgBrAGcAXAAiACwAMQAsAFwAIgBcACIALABcACIAXAAiACwAXAAiAEMAaABpAG4AYQBcACIALAAyADEALABcACIAXAAiACwAXAAiAFwAIgAsADIANA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OwBcAG4AXAAiAFIAYQB2AGUAbgBzAGQAbwB3AG4AXAAiACwAXAAiAEEAbQBtAG8AbgBpAHUAbQAgAFMAdQBsAHAAaABhAHQAZQAgAC0AIABHAHIAYQBuAHUAbABhAHI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RABpAC0AQQBtAG0AbwBuAGkAdQBtACAAUABoAG8AcwBwAGgAYQB0AGUAIAAoAEQAQQBQACkAXAAiACwAXAAiAGsAZwBcACIALAAxACwAXAAiAFwAIgAsAFwAIgBcACIALABcACIAXAAiACwAMQA4ACwAMgAwACwAXAAiAFwAIgAsAFwAIgBcACIALABcACIARABpAGEAbQBtAG8AbgBpAHUAbQAgAHAAaABvAHMAcABoAGEAdABlACAAKABEAEE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IAYQBzAGEAbAB0ACAAQgBvAG8AUwBTAHQAYQBcACIALABcACIAawBnAFwAIgAsADEALABcACIAXAAiACwAXAAiAFwAIgAsAFwAIgBcACIALAA4ACwAMQA0ACwAXAAiAFwAIgAsADIANwAuADYALABcACIAUwB1AGwAZgB1AHIAIAAtACAARwBlAG4AZQByAGkAYwBcACIALAAwAC4AMgA3ADYALABcACIAUABoAG8AcwBwAGgAbwByAHUAcwAgAC0AIABHAGUAbgBlAHIAaQBjAFwAIgAsADAALgAxADQALABcACIATgBpAHQAcgBvAGcAZQBuACAALQAgAEcAZQBuAGUAcgBpAGMAXAAiACwAMAAuADAAOAAsAFwAIgBGAGwAdQBvAHIAaQBkAGUAXAAiACwAMAAuADAAMgA0ACwAXAAiAFwAIgAsAFwAIgBcACIALABcACIAXAAiACwAXAAiAFwAIgAsAFwAIgBcACIALABcACIAXAAiACwAXAAiAFwAIgAsAFwAIgBcACIALABcACIAXAAiACwAXAAiAFwAIgAsAFwAIgBcACIALABcACIAXAAiADsAXABuAFwAIgBTAHUAbQBtAGkAdAAgAEYAZQByAHQAaQBsAGkAegBlAHIAcwBcACIALABcACIARABBAFAAUwBaAEMAXAAiACwAXAAiAGsAZwBcACIALAAxACwAXAAiAFwAIgAsAFwAIgBcACIALABcACIAXAAiACwAMQA2AC4AOQAsADEAOAAuADIALABcACIAXAAiACwAOAAsAFwAIgBQAGgAbwBzAHAAaABvAHIAdQBzACAALQAgAEcAZQBuAGUAcgBpAGMAXAAiACwAMAAuADEAOAAyACwAXAAiAE4AaQB0AHIAbwBnAGUAbgAgAC0AIABHAGUAbgBlAHIAaQBjAFwAIgAsADAALgAxADYAOQAsAFwAIgBTAHUAbABmAHUAcgAgAC0AIABHAGUAbgBlAHIAaQBjAFwAIgAsADAALgAwADgALABcACIAWgBpAG4AYwBcACIALAAwAC4AMAAwADIALABcACIAQwBvAHAAcABlAHIAXAAiACwAMAAuADAAMAAxACwAXAAiAFwAIgAsAFwAIgBcACIALABcACIAXAAiACwAXAAiAFwAIgAsAFwAIgBcACIALABcACIAXAAiACwAXAAiAFwAIgAsAFwAIgBcACIALABcACIAXAAiACwAXAAiAFwAIgA7AFwAbgBcACIASQBuAGMAaQB0AGUAYwAgAFAAaQB2AG8AdAAgAEYAZQByAHQAaQBsAGkAcwBlAHIAcwBcACIALABcACIARQBhAHMAeQAgAE4AXAAiACwAXAAiAEwAXAAiACwAMQAuADMAMgAsAFwAIgBcACIALABcACIAXAAiACwAXAAiAFwAIgAsADQAMgAuADUALABcACIAXAAiACwAXAAiAFwAIgAsAFwAIgBcACIALABcACIAVQByAGUAYQBcACIALAAwAC4ANAA2ADcAMwA5ADE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OwBcAG4AXAAiAFIAaQBzAHMAbwAtAEMAaABlAG0AaQBjAGEAbABcACIALABcACIAQwBhAGwAYwBpAHUAbQAgAEEAbQBtAG8AbgBpAHUAbQAgAG4AaQB0AHIAYQB0AGUAXAAiACwAXAAiAGsAZwBcACIALAAxACwAXAAiAFwAIgAsAFwAIgBcACIALABcACIAQwBoAGkAbgBhAFwAIgAsADQAMAAuADUALABcACIAXAAiACwAXAAiAFwAIgAsAFwAIgBcACIALABcACIATgBpAHQAcgBvAGcAZQBuACAALQAgAEEAbQBtAG8AbgBpAGEAYwBhAGwAXAAiACwAMAAuADIANwAsAFwAIgBOAGkAdAByAG8AZwBlAG4AIAAtACAATgBpAHQAcgBhAHQAZQBcACIALAAwAC4AMQAzADUALABcACIAQwBhAGwAYwBpAHUAbQBcACIALAAwAC4AMQAyACwAXAAiAFwAIgAsAFwAIgBcACIALABcACIAXAAiACwAXAAiAFwAIgAsAFwAIgBcACIALABcACIAXAAiACwAXAAiAFwAIgAsAFwAIgBcACIALABcACIAXAAiACwAXAAiAFwAIgAsAFwAIgBcACIALABcACIAXAAiACwAXAAiAFwAIgAsAFwAIgBcACIAOwBcAG4AXAAiAFMATAAgAFQAZQBjAFwAIgAsAFwAIgBDAGUAbABsAEMAQQBMACAAUABsAHUAcwBcACIALABcACIATABcACIALAAxAC4AMQAzADgALABcACIAXAAiACwAXAAiAFwAIgAsAFwAIgBcACIALABcACIAXAAiACwAXAAiAFwAIgAsAFwAIgBcACIALABcACIAXAAiACwAXAAiAEMAYQBsAGMAaQB1AG0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SwA1ADUAXAAiACwAXAAiAGsAZwBcACIALAAxACwAXAAiAFwAIgAsAFwAIgBcACIALABcACIAXAAiACwAMQAzAC4ANQAsADEANQAsADYALgAyADUALAAxAC4AMgAsAFwAIgBQAGgAbwBzAHAAaABvAHIAdQBzACAALQAgAEcAZQBuAGUAcgBpAGMAXAAiACwAMAAuADEANQAsAFwAIgBOAGkAdAByAG8AZwBlAG4AIAAtACAAQQBtAG0AbwBuAGkAYQBjAGEAbABcACIALAAwAC4AMQAzADUALABcACIATQB1AHIAaQBhAHQAZQAgAG8AZgAgAHAAbwB0AGEAcwBoACAAKABNAE8AUAApAFwAIgAsADAALgAxADIANQAsAFwAIgBGAGwAdQBvAHIAaQBkAGUAXAAiACwAMAAuADAAMgAzACwAXAAiAFMAdQBsAGYAdQByACAALQAgAEcAZQBuAGUAcgBpAGMAXAAiACwAMAAuADAAMQAyACwAXAAiAFwAIgAsAFwAIgBcACIALABcACIAXAAiACwAXAAiAFwAIgAsAFwAIgBcACIALABcACIAXAAiACwAXAAiAFwAIgAsAFwAIgBcACIALABcACIAXAAiACwAXAAiAFwAIgA7AFwAbgBcACIAUwB3AGkAdABjAGgAIABBAGcAXAAiACwAXAAiAEMAcgBvAHAAIABLAFwAIgAsAFwAIgBMAFwAIgAsADEALgAyADUALABcACIAXAAiACwAXAAiAFwAIgAsAFwAIgBcACIALAAzACwAXAAiAFwAIgAsADIAMQAsAFwAIgBcACIALABcACIAUABvAHQAYQBzAHMAaQB1AG0AIAAtACAARwBlAG4AZQByAGkAYwBcACIALAAwAC4AMgAx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TAHcAaQB0AGMAaAAgAEEAZwBcACIALABcACIAQwByAG8AcAAgAFMAdABhAHIAdABlAHIAXAAiACwAXAAiAEwAXAAiACwAMQAuADIALABcACIAXAAiACwAXAAiAFwAIgAsAFwAIgBcACIALAA1ACwAMwAsADgALABcACIAXAAiACwAXAAiAFAAbwB0AGEAcwBzAGkAdQBtACAALQAgAEcAZQBuAGUAcgBpAGMAXAAiACwAMAAuADAAOAAsAFwAIgBOAGkAdAByAG8AZwBlAG4AIAAtACAARwBlAG4AZQByAGkAYwBcACIALAAwAC4AMAA1ACwAXAAiAFAAaABvAHMAcABoAG8AcgB1AHMAIAAtACAARwBlAG4AZQByAGkAYwBcACIALAAwAC4AMAAz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cAcgBhAG4ALQBB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DsAXABuAFwAbgBcAG4ARgBlAHIAdABpAGwAaQBzAGUAcgBfAFAAcgBvAGQAdQBjAHQAcwBfAEQAYQB0AGEAMgBcAG4APQBMAEEATQBCAEQAQQAoAFwAbgAgAE0AQQBLAEUAQQBSAFIAQQBZACgAMwAwACwAIAAzADEALABcAG4AIABMAEEATQBCAEQAQQAoAHIALABjACwAXABuACAAIABJAE4ARABFAFgAKAB7AFwAbgBcACIAQwBhAG0AcABiAGUAbABsAHMAIABmAGUAcgB0AGkAbABpAHMAZQByAHMAIABBAHUAcwB0AHIAYQBsAGkAYQBcACIALABcACIARQBuAGMAYQBsAFwAIgAsAFwAIgBMAFwAIgAsADEALgA1ACwAXAAiAFwAIgAsAFwAIgBcACIALABcACIAXAAiACwAOQAsAFwAIgBcACIALABcACIAXAAiACwAMQAzAC4AOQA0ACwAXAAiAFMAdQBsAHAAaABhAHQAZQAgAG8AZgAgAGEAbQBtAG8AbgBpAGEAIAAoAFMATwBBACkAXAAiACwAMAAuADUAOAAwADYANAA1ACwAXAAiAE0AYQBnAG4AZQBzAGkAdQBtAFwAIgAsADAALgAwADEAM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cAcgBhAG4AdQBsAG8AYwBrACAAUwBTAFwAIgAsAFwAIgBrAGcAXAAiACwAMQAsAFwAIgBcACIALABcACIAXAAiACwAXAAiAFwAIgAsADEAMAAsADEANwAuADUALABcACIAXAAiACwAMQAyACwAXAAiAFAAaABvAHMAcABoAG8AcgB1AHMAIAAtACAARwBlAG4AZQByAGkAYwBcACIALAAwAC4AMQA3ADUALABcACIAUwB1AGwAZgB1AHIAIAAtACAARwBlAG4AZQByAGkAYwBcACIALAAwAC4AMQAyACwAXAAiAE4AaQB0AHIAbwBnAGUAbgAgAC0AIABBAG0AbQBvAG4AaQBhAGMAYQBsAFwAIgAsADAALgAxACwAXAAiAEYAbAB1AG8AcgBpAGQAZQBcACIALAAwAC4AMAAzACwAXAAiAFwAIgAsAFwAIgBcACIALABcACIAXAAiACwAXAAiAFwAIgAsAFwAIgBcACIALABcACIAXAAiACwAXAAiAFwAIgAsAFwAIgBcACIALABcACIAXAAiACwAXAAiAFwAIgAsAFwAIgBcACIALABcACIAXAAiADsAXABuAFwAIgBJAG4AYwBpAHQAZQBjACAAUABpAHYAbwB0ACAARgBlAHIAdABpAGwAaQBzAGUAcgBzAFwAIgAsAFwAIgBHAHIAYQBuAHUAbABvAGMAawAgAFoAXAAiACwAXAAiAGsAZwBcACIALAAxACwAXAAiAFwAIgAsAFwAIgBcACIALABcACIAXAAiACwAMQAxACwAMgAxAC4AOAAsAFwAIgBcACIALAA0ACwAXAAiAFAAaABvAHMAcABoAG8AcgB1AHMAIAAtACAARwBlAG4AZQByAGkAYwBcACIALAAwAC4AMgAxADgALABcACIATgBpAHQAcgBvAGcAZQBuACAALQAgAEcAZQBuAGUAcgBpAGMAXAAiACwAMAAuADEAMQAsAFwAIgBTAHUAbABmAHUAcgAgAC0AIABHAGUAbgBlAHIAaQBjAFwAIgAsADAALgAwADQALABcACIARgBsAHUAbwByAGkAZABlAFwAIgAsADAALgAwADMALABcACIAWgBpAG4AYwBcACIALAAwAC4AMAAxACwAXAAiAFwAIgAsAFwAIgBcACIALABcACIAXAAiACwAXAAiAFwAIgAsAFwAIgBcACIALABcACIAXAAiACwAXAAiAFwAIgAsAFwAIgBcACIALABcACIAXAAiACwAXAAiAFwAIgA7AFwAbgBcACIASQBuAGMAaQB0AGUAYwAgAFAAaQB2AG8AdAAgAEYAZQByAHQAaQBsAGkAcwBlAHIAcwBcACIALABcACIARgBhAHIAbQAgAEEAZwAgAEwAZQBpAGMAaABoAGEAcgBkAHQAXAAiACwAXAAiAGsAZwBcACIALAAxACwAXAAiAFwAIgAsAFwAIgBcACIALABcACIAXAAiACwAMwAyAC4ANQAsADUALgA0ACwANgAuADIANQAsAFwAIgBcACIALABcACIAVQByAGUAYQBcACIALAAwAC4ANgAsAFwAIgBOAGkAdAByAG8AZwBlAG4AIAAtACAAQQBtAG0AbwBuAGkAYQBjAGEAbABcACIALAAwAC4AMAA0ADkALABcACIAUABoAG8AcwBwAGgAbwByAHUAcwAgAC0AIABHAGUAbgBlAHIAaQBjAFwAIgAsADAALgAwADUANAAsAFwAIgBNAHUAcgBpAGEAdABlACAAbwBmACAAcABvAHQAYQBzAGgAIAAoAE0ATwBQACkAXAAiACwAMAAuADEAMgA1ACwAXAAiAFwAIgAsAFwAIgBcACIALABcACIAXAAiACwAXAAiAFwAIgAsAFwAIgBcACIALABcACIAXAAiACwAXAAiAFwAIgAsAFwAIgBcACIALABcACIAXAAiACwAXAAiAFwAIgAsAFwAIgBcACIALABcACIAXAAiADsAXABuAFwAIgBSAGEAdgBlAG4AcwBkAG8AdwBuAFwAIgAsAFwAIgBGAGwAZQB4AGkALQBOACAATgBCAFAAVABcACIALABcACIAawBnAFwAIgAsADEALABcACIAWQBlAHMAXAAiACwAXAAiAFwAIgAsAFwAIgBcACIALAA0ADUALgA1ADQALABcACIAXAAiACwAXAAiAFwAIgAsAFwAIgBcACIALABcACIAVQByAGUAYQBcACIALAAwAC4AOQA5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HAG8AbABkACAAUAByAGUAbQBpAHUAbQBcACIALABcACIAawBnAFwAIgAsADEALABcACIAXAAiACwAXAAiAFwAIgAsAFwAIgBcACIALAAxADQALgA4ADcALAAyAC4AMgAsADEANgAuADYALAA4ACwAXAAiAEEAbQBtAG8AbgBpAHUAbQAgAG4AaQB0AHIAYQB0AGUAIAAoAEEATgApAFwAIgAsADAALgA0ADQAMQAxADcANgAsAFwAIgBQAG8AdABhAHMAcwBpAHUAbQAgAC0AIABHAGUAbgBlAHIAaQBjAFwAIgAsADAALgAxADYANgAsAFwAIgBTAHUAbABmAHUAcgAgAC0AIABHAGUAbgBlAHIAaQBjAFwAIgAsADAALgAwADgALABcACIAUABoAG8AcwBwAGgAbwByAHUAcwAgAC0AIABHAGUAbgBlAHIAaQBjAFwAIgAsADAALgAwADIAMgAsAFwAIgBNAGEAZwBuAGUAcwBpAHUAbQBcACIALAAwAC4AMAAxADIALABcACIAQgBvAHIAbwBuAFwAIgAsADAALgAwADAAMAAyACwAXAAiAFoAaQBuAGMAXAAiACwAMAAuADAAMAAwADEALABcACIAXAAiACwAXAAiAFwAIgAsAFwAIgBcACIALABcACIAXAAiACwAXAAiAFwAIgAsAFwAIgBcACIAOwBcAG4AXAAiAFMATAAgAFQAZQBjAFwAIgAsAFwAIgBIAGkAZwBoACAATgBTAFwAIgAsAFwAIgBMAFwAIgAsADEALgAyADkAOQAsAFwAIgBcACIALABcACIAXAAiACwAXAAiAFwAIgAsADMAOAAsAFwAIgBcACIALABcACIAXAAiACwAMgAsAFwAIgBVAHIAZQBhAFwAIgAsADAALgA0ADYAMAA4ADcALABcACIATgBpAHQAcgBvAGcAZQBuACAALQAgAEEAbQBtAG8AbgBpAGEAYwBhAGwAXAAiACwAMAAuADAAOQAyACwAXAAiAE4AaQB0AHIAbwBnAGUAbgAgAC0AIABOAGkAdAByAGEAdABlAFwAIgAsADAALgAwADcANgAsAFwAIgBTAHUAbABmAHUAcgAgAC0AIABHAGUAbgBlAHIAaQBjAFwAIgAsADAALgAwADIALABcACIAXAAiACwAXAAiAFwAIgAsAFwAIgBcACIALABcACIAXAAiACwAXAAiAFwAIgAsAFwAIgBcACIALABcACIAXAAiACwAXAAiAFwAIgAsAFwAIgBcACIALABcACIAXAAiACwAXAAiAFwAIgAsAFwAIgBcACIAOwBcAG4AXAAiAEkAbQBwAGEAYwB0ACAARgBlAHIAdABpAGwAaQBzAGUAcgBzAFwAIgAsAFwAIgBJAG0AcABhAGMAdAAgAFMAUwBQ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UwB3AGkAdABjAGgAIABBAGcAXAAiACwAXAAiAEkAbgAgAEMAcgBvAHAAXAAiACwAXAAiAEwAXAAiACwAMQAuADIALABcACIAXAAiACwAXAAiAFwAIgAsAFwAIgBcACIALAAxADAALAAxACwAMQAxACwAXAAiAFwAIgAsAFwAIgBQAG8AdABhAHMAcwBpAHUAbQAgAC0AIABHAGUAbgBlAHIAaQBjAFwAIgAsADAALgAxADEALABcACIATgBpAHQAcgBvAGcAZQBuACAALQAgAEcAZQBuAGUAcgBpAGMAXAAiACwAMAAuADEALABcACIAUABoAG8AcwBwAGgAbwByAHUAcwAgAC0AIABHAGUAbgBlAHIAaQBjAFwAIgAsADAALgAwADEALABcACIAXAAiACwAXAAiAFwAIgAsAFwAIgBcACIALABcACIAXAAiACwAXAAiAFwAIgAsAFwAIgBcACIALABcACIAXAAiACwAXAAiAFwAIgAsAFwAIgBcACIALABcACIAXAAiACwAXAAiAFwAIgAsAFwAIgBcACIALABcACIAXAAiACwAXAAiAFwAIgA7AFwAbgBcACIAUwB3AGkAdABjAGgAIABBAGcAXAAiACwAXAAiAEsAMgAwAFwAIgAsAFwAIgBMAFwAIgAsADEALgAzACwAXAAiAFwAIgAsAFwAIgBcACIALABcACIAXAAiACwAMwAsAFwAIgBcACIALAAyADIALABcACIAXAAiACwAXAAiAFAAbwB0AGEAcwBzAGkAdQBtACAALQAgAEcAZQBuAGUAcgBpAGMAXAAiACwAMAAuADIAMgAsAFwAIgBOAGkAdAByAG8AZwBlAG4AIAAtACAARwBlAG4AZQByAGkAYwBcACIALAAwAC4AMAAzACwAXAAiAFwAIgAsAFwAIgBcACIALABcACIAXAAiACwAXAAiAFwAIgAsAFwAIgBcACIALABcACIAXAAiACwAXAAiAFwAIgAsAFwAIgBcACIALABcACIAXAAiACwAXAAiAFwAIgAsAFwAIgBcACIALABcACIAXAAiACwAXAAiAFwAIgAsAFwAIgBcACIALABcACIAXAAiACwAXAAiAFwAIgA7AFwAbgBcACIATABvAHYAZQBsAGEAbgBkACAAQQBnAHIAaQBwAHIAbwBkAHUAYwB0AHMAXAAiACwAXAAiAE0AYQB4AGkAbQB1AG0AIABOAC0AUABhAGMAdABcACIALABcACIATABcACIALAAxAC4AMQA4ADUALABcACIAXAAiACwAXAAiAFwAIgAsAFwAIgBcACIALAAyADMALgA4ACwAXAAiAFwAIgAsAFwAIgBcACIALABcACIAXAAiACwAXAAiAFUAcgBlAGEAXAAiACwAMAAuADUAMQA3ADMAOQAxACwAXAAiAFwAIgAsAFwAIgBcACIALABcACIAXAAiACwAXAAiAFwAIgAsAFwAIgBcACIALABcACIAXAAiACwAXAAiAFwAIgAsAFwAIgBcACIALABcACIAXAAiACwAXAAiAFwAIgAsAFwAIgBcACIALABcACIAXAAiACwAXAAiAFwAIgAsAFwAIgBcACIALABcACIAXAAiACwAXAAiAFwAIgAsAFwAIgBcACIALABcACIAXAAiADsAXABuAFwAIgBTAEwAIABUAGUAYwBcACIALABcACIATgBpAHQAcgBvACAAQwBvAG0AYgBpACAAVABFAFwAIgAsAFwAIgBMAFwAIgAsADEALgAyADUANQAsAFwAIgBcACIALABcACIAXAAiACwAXAAiAFwAIgAsAFwAIgBcACIALABcACIAXAAiACwAMAAuADEALAA0AC4ANAAsAFwAIgBTAHUAbABmAHUAcgAgAC0AIABHAGUAbgBlAHIAaQBjAFwAIgAsADAALgAwADQANAAsAFwAIgBaAGkAbgBjAFwAIgAsADAALgAwADIAMgAsAFwAIgBJAHIAbwBuAFwAIgAsADAALgAwADIAMgAsAFwAIgBNAGEAbgBnAGEAbgBlAHMAZQBcACIALAAwAC4AMAAxADYALABcACIAQgBvAHIAbwBuAFwAIgAsADAALgAwADAAOAAsAFwAIgBNAGEAZwBuAGUAcwBpAHUAbQBcACIALAAwAC4AMAAwADcALABcACIARgB1AGwAdgBpAGMAIABhAGMAaQBkACAAKABvAHIAZwBhAG4AaQBjACkAXAAiACwAMAAuADAAMAA1ACwAXAAiAEMAbwBwAHAAZQByAFwAIgAsADAALgAwADAAMwAsAFwAIgBQAG8AdABhAHMAcwBpAHUAbQAgAC0AIABHAGUAbgBlAHIAaQBjAFwAIgAsADAALgAwADAAMQAsAFwAIgBNAG8AbAB5AGIAZABlAG4AdQBtAFwAIgAsADAALgAwADAAMAAzADsAXABuAFwAIgBTAHcAaQB0AGMAaAAgAEEAZwBcACIALABcACIAUABhAHMAdAB1AHIAZQBNAEEAWABYAFwAIgAsAFwAIgBMAFwAIgAsADEALgAyADMALABcACIAXAAiACwAXAAiAFwAIgAsAFwAIgBcACIALAA5AC4ANwAxACwAXAAiAFwAIgAsADMALgAyADUALAAyAC4AMQAxACwAXAAiAE4AaQB0AHIAbwBnAGUAbgAgAC0AIABHAGUAbgBlAHIAaQBjAFwAIgAsADAALgAwADkANwAxACwAXAAiAFAAbwB0AGEAcwBzAGkAdQBtACAALQAgAEcAZQBuAGUAcgBpAGMAXAAiACwAMAAuADAAMwAyADUALABcACIAUwB1AGwAZgB1AHIAIAAtACAARwBlAG4AZQByAGkAYwBcACIALAAwAC4AMAAyADEAMQAsAFwAIgBaAGkAbgBjAFwAIgAsADAALgAwADEANQAsAFwAIgBJAHIAbwBuAFwAIgAsADAALgAwADEAMQAxACwAXAAiAE0AYQBuAGcAYQBuAGUAcwBlAFwAIgAsADAALgAwADEAMQA1ACwAXAAiAE0AYQBnAG4AZQBzAGkAdQBtAFwAIgAsADAALgAwADAANAA1ACwAXAAiAEIAbwByAG8AbgBcACIALAAwAC4AMAAwADIALABcACIAXAAiACwAXAAiAFwAIgAsAFwAIgBcACIALABcACIAXAAiADsAXABuAFwAIgBDAGEAbQBwAGIAZQBsAGwAcwAgAGYAZQByAHQAaQBsAGkAcwBlAHIAcwAgAEEAdQBzAHQAcgBhAGwAaQBhAFwAIgAsAFwAIgBQAGwAYQB0AGkAbgB1AG0AIABOAGUAcgBnAGUAdABpAGMAXAAiACwAXAAiAGsAZwBcACIALAAxACwAXAAiAFwAIgAsAFwAIgBcACIALABcACIAXAAiACwAMQAwACwAMQAwAC4AOQAsADEAMAAsADQALgAzADQALABcACIATQBvAG4AbwBhAG0AbQBvAG4AaQB1AG0AIABwAGgAbwBzAHAAaABhAHQAZQAgACgATQBBAFAAKQBcACIALAAwAC4ANAAxADcAOAAsAFwAIgBBAG0AbQBvAG4AaQB1AG0AIABuAGkAdAByAGEAdABlACAAKABBAE4AKQBcACIALAAwAC4AMQA3ADIAOAAsAFwAIgBQAG8AdABhAHMAcwBpAHUAbQAgAHMAdQBsAHAAaABhAHQAZQBcACIALAAwAC4AMgA0ADAAOQA2ADQALABcACIARABvAHUAYgBsAGUAIABzAHUAcABlAHIAcABoAG8AcwBwAGgAYQB0AGUAXAAiACwAMAAuADEALABcACIATQBhAGcAbgBlAHMAaQB1AG0AXAAiACwAMAAuADAAMQAyACwAXAAiAFoAaQBuAGMAXAAiACwAMAAuADAAMAAzADYALABcACIAQgBvAHIAbwBuAFwAIgAsADAALgAwADAAMQAsAFwAIgBHAGwAYQB6AGUAIABFAHgAdABlAG4AZAAgAEcAMwAgAEYAbABlAHgAaQBcACIALAAwAC4AMAA1ADEAOQAsAFwAIgBcACIALABcACIAXAAiACwAXAAiAFwAIgAsAFwAIgBcACIAOwBcAG4AXAAiAEkAbQBwAGEAYwB0ACAARgBlAHIAdABpAGwAaQBzAGUAcgBzAFwAIgAsAFwAIgBTAHUAbABwAGgAYQB0AGUAIABvAGYAIABhAG0AbQBvAG4AaQBhACAAKABTAE8AQQAp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0AbwBuAG8ALQBBAG0AbQBvAG4AaQB1AG0AIABQAGgAbwBzAHAAaABhAHQAZQAgACgATQBBAFAAKQBcACIALABcACIAawBnAFwAIgAsADEALABcACIAXAAiACwAXAAiAFwAIgAsAFwAIgBcACIALAAxADAALAAyADEALgA5ACwAXAAiAFwAIgAsADEALgA1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FUAcgBlAGEAXAAiACwAXAAiAGsAZwBcACIALAAxACwAXAAiAFwAIgAsAFwAIgBcACIALABcACIAXAAiACwANAA2ACwAXAAiAFwAIgAsAFwAIgBcACIALABcACIAXAAiACwAXAAiAFUAcgBlAGEAXAAiACwAMQAsAFwAIgBcACIALABcACIAXAAiACwAXAAiAFwAIgAsAFwAIgBcACIALABcACIAXAAiACwAXAAiAFwAIgAsAFwAIgBcACIALABcACIAXAAiACwAXAAiAFwAIgAsAFwAIgBcACIALABcACIAXAAiACwAXAAiAFwAIgAsAFwAIgBcACIALABcACIAXAAiACwAXAAiAFwAIgAsAFwAIgBcACIALABcACIAXAAiACwAXAAiAFwAIgA7AFwAbgBcACIASwBvAGMAaAAgAEYAZQByAHQAaQBsAGkAcwBlAHIAIABBAHUAcwB0AHIAYQBsAGkAYQBcACIALABcACIATQB1AHIAaQBhAHQAZQAgAG8AZgAgAHAAbwB0AGEAcwBoACAAKABNAE8AUAApAFwAIgAsAFwAIgBrAGcAXAAiACwAMQAsAFwAIgBcACIALABcACIAXAAiACwAXAAiAFwAIgAsAFwAIgBcACIALABcACIAXAAiACwANQAwACwAXAAiAFwAIgAsAFwAIgBNAHUAcgBpAGEAdABlACAAbwBmACAAcABvAHQAYQBzAGgAIAAoAE0ATwBQACkAXAAiACwAMQ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VAHIAZQBhACAAQQBtAG0AbwBuAGkAdQBtACAAbgBpAHQAcgBhAHQAZQAgACgAVQBBAE4AIAAzADIALQAwAC0AMAApAFwAIgAsAFwAIgBMAFwAIgAsADEALgAzADIALABcACIAXAAiACwAXAAiAEMAaABpAG4AYQBcACIALABcACIAQwBoAGkAbgBhAFwAIgAsADMAMgAsAFwAIgBcACIALABcACIAXAAiACwAXAAiAFwAIgAsAFwAIgBVAHIAZQBhAC0AYQBtAG0AbwBuAGkAdQBtACAAbgBpAHQAcgBhAHQAZQAgACgAVQBBAE4AKQBcACIALAAx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FAAbwBsAHkAcABlAHAAdABpAGQAZQAgAFUAcgBlAGEAXAAiACwAXAAiAGsAZwBcACIALAAxACwAXAAiAFwAIgAsAFwAIgBDAGgAaQBuAGEAXAAiACwAXAAiAFwAIgAsADQANgAsAFwAIgBcACIALABcACIAXAAiACwAXAAiAFwAIgAsAFwAIgBVAHIAZQBhAFwAIgAsADEALABcACIAUABvAGwAeQBwAGUAcAB0AGkAZABlACAAKABhAG0AaQBuAG8AIABhAGMAaQBkAHMAKQBcACIALAAw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FQAZQByAGEAIABDAEEATABDAEkATgBJAFQAXAAiACwAXAAiAGsAZwBcACIALAAxACwAXAAiAFwAIgAsAFwAIgBcACIALABcACIAXAAiACwAMQA1AC4ANQAsAFwAIgBcACIALABcACIAXAAiACwAXAAiAFwAIgAsAFwAIgBDAGEAbABjAGkAdQBtACAAbgBpAHQAcgBhAHQAZQBcACIALAAxACwAXAAiAFwAIgAsAFwAIgBcACI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TABpAHYAYQAgAE4ASQBUAFIAQQBCAE8AUgBcACIALABcACIAawBnAFwAIgAsADEALABcACIAXAAiACwAXAAiAFwAIgAsAFwAIgBcACIALAAxADUALgA0ACwAXAAiAFwAIgAsAFwAIgBcACIALABcACIAXAAiACwAXAAiAEMAYQBsAGMAaQB1AG0AIABuAGkAdAByAGEAdABlAFwAIgAsADAALgA5ADkAMwA1ADQAOAAsAFwAIgBCAG8AcgBvAG4AXAAiACwAMAAuADAAMAAz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E0AaQBsAGEAIABDAE8ATQBQAEwARQBYAFwAIgAsAFwAIgBrAGcAXAAiACwAMQAsAFwAIgBcACIALABcACIAXAAiACwAXAAiAFwAIgAsADEAMgAsADUALAAxADUALAA4ACwAXAAiAE4AaQB0AHIAbwBnAGUAbgAgAC0AIABOAGkAdAByAGEAdABlAFwAIgAsADAALgAwADUALABcACIATgBpAHQAcgBvAGcAZQBuACAALQAgAEEAbQBtAG8AbgBpAGEAYwBhAGwAXAAiACwAMAAuADAANwAsAFwAIgBQAGgAbwBzAHAAaABvAHIAdQBzACAALQAgAEcAZQBuAGUAcgBpAGMAXAAiACwAMAAuADAANQAsAFwAIgBQAG8AdABhAHMAcwBpAHUAbQAgAC0AIABHAGUAbgBlAHIAaQBjAFwAIgAsADAALgAxADUALABcACIAUwB1AGwAZgB1AHIAIAAtACAARwBlAG4AZQByAGkAYwBcACIALAAwAC4AMAA4ACwAXAAiAE0AYQBnAG4AZQBzAGkAdQBtAFwAIgAsADAALgAwADEANgAsAFwAIgBaAGkAbgBjAFwAIgAsADAALgAwADAAMAAyACwAXAAiAEIAbwByAG8AbgBcACIALAAwAC4AMAAwADAAMQA1ACwAXAAiAFwAIgAsAFwAIgBcACIALABcACIAXAAiACwAXAAiAFwAIgA7AFwAbgBcACIAWQBhAHIAYQAgAEEAdQBzAHQAcgBhAGwAaQBhAFwAIgAsAFwAIgBZAGEAcgBhAFIAZQBnAGEAIAA5AC0AMAAtADMAMAAgACgAMQA0ACkAXAAiACwAXAAiAGsAZwBcACIALAAxACwAXAAiAFwAIgAsAFwAIgBcACIALABcACIAXAAiACwAOQAsAFwAIgBcACIALAAzADAALAAxADQALABcACIAUABvAHQAYQBzAHMAaQB1AG0AIAAtACAARwBlAG4AZQByAGkAYwBcACIALAAwAC4AMwAsAFwAIgBTAHUAbABmAHUAcgAgAC0AIABHAGUAbgBlAHIAaQBjAFwAIgAsADAALgAxADQALABcACIATgBpAHQAcgBvAGcAZQBuACAALQAgAE4AaQB0AHIAYQB0AGUAXAAiACwAMAAuADAANAA1ACwAXAAiAE4AaQB0AHIAbwBnAGUAbgAgAC0AIABBAG0AbQBvAG4AaQBhAGMAYQBsAFwAIgAsADAALgAwADQANQAsAFwAIgBcACIALABcACIAXAAiACwAXAAiAFwAIgAsAFwAIgBcACIALABcACIAXAAiACwAXAAiAFwAIgAsAFwAIgBcACIALABcACIAXAAiACwAXAAiAFwAIgAsAFwAIgBcACIALABcACIAXAAiACwAXAAiAFwAIgA7AFwAbgBcACIAWQBhAHIAYQAgAEEAdQBzAHQAcgBhAGwAaQBhAFwAIgAsAFwAIgBZAGEAcgBhAFIAZQBnAGEAIAAxADMALQAyAC0AMgAxAFwAIgAsAFwAIgBrAGcAXAAiACwAMQAsAFwAIgBcACIALABcACIAXAAiACwAXAAiAFwAIgAsADEAMwAsADEALgA3ADUALAAyADEALAAxADAALgA4ACwAXAAiAFAAbwB0AGEAcwBzAGkAdQBtACAALQAgAEcAZQBuAGUAcgBpAGMAXAAiACwAMAAuADIAMQAsAFwAIgBTAHUAbABmAHUAcgAgAC0AIABHAGUAbgBlAHIAaQBjAFwAIgAsADAALgAxADAAOAAsAFwAIgBOAGkAdAByAG8AZwBlAG4AIAAtACAAQQBtAG0AbwBuAGkAYQBjAGEAbABcACIALAAwAC4AMAA3ADcALABcACIATgBpAHQAcgBvAGcAZQBuACAALQAgAE4AaQB0AHIAYQB0AGUAXAAiACwAMAAuADAANQAzACwAXAAiAFAAaABvAHMAcABoAG8AcgB1AHMAIAAtACAARwBlAG4AZQByAGkAYwBcACIALAAwAC4AMAAxADcANQAsAFwAIgBNAGEAZwBuAGUAcwBpAHUAbQBcACIALAAwAC4AMAAwADQALABcACIAWgBpAG4AYwBcACIALAAwAC4AMAAwADAAOAAsAFwAIgBCAG8AcgBvAG4AXAAiACwAMAAuADAAMAAwADgALABcACIAXAAiACwAXAAiAFwAIgAsAFwAIgBcACIALABcACIAXAAiADsAXABuAFwAIgBZAGEAcgBhACAAQQB1AHMAdAByAGEAbABpAGEAXAAiACwAXAAiAFkAYQByAGEAUgBlAGcAYQAgADEANQAtADcALQAxADMAIAAoADcAUwApAFwAIgAsAFwAIgBrAGcAXAAiACwAMQAsAFwAIgBcACIALABcACIAXAAiACwAXAAiAFwAIgAsADEANQAsADYALgA1ACwAMQAyAC4ANQAsADcALgAyACwAXAAiAE4AaQB0AHIAbwBnAGUAbgAgAC0AIABOAGkAdAByAGEAdABlAFwAIgAsADAALgAwADkANQAsAFwAIgBQAG8AdABhAHMAcwBpAHUAbQAgAC0AIABHAGUAbgBlAHIAaQBjAFwAIgAsADAALgAxADIANQAsAFwAIgBTAHUAbABmAHUAcgAgAC0AIABHAGUAbgBlAHIAaQBjAFwAIgAsADAALgAwADcAMgAsAFwAIgBQAGgAbwBzAHAAaABvAHIAdQBzACAALQAgAEcAZQBuAGUAcgBpAGMAXAAiACwAMAAuADAANgA1ACwAXAAiAE4AaQB0AHIAbwBnAGUAbgAgAC0AIABBAG0AbQBvAG4AaQBhAGMAYQBsAFwAIgAsADAALgAwADUANQAsAFwAIgBNAGEAZwBuAGUAcwBpAHUAbQBcACIALAAwAC4AMAAwADYANgAsAFwAIgBCAG8AcgBvAG4AXAAiACwAMAAuADAAMAAxACwAXAAiAFoAaQBuAGMAXAAiACwAMAAuADAAMAAwADYALABcACIAXAAiACwAXAAiAFwAIgAsAFwAIgBcACIALABcACIAXAAiADsAXABuAFwAIgBZAGEAcgBhACAAQQB1AHMAdAByAGEAbABpAGEAXAAiACwAXAAiAFkAYQByAGEAVABlAHIAYQAgAEMAQQBMAEMASQBOAEkAVAAgAEIAXAAiACwAXAAiAGsAZwBcACIALAAxACwAXAAiAFwAIgAsAFwAIgBcACIALABcACIAXAAiACwAMQA1AC4ANQAsAFwAIgBcACIALABcACIAXAAiACwAXAAiAFwAIgAsAFwAIgBDAGEAbABjAGkAdQBtACAAbgBpAHQAcgBhAHQAZQBcACIALAAxACwAXAAiAEIAbwByAG8AbgBcACIALAAwAC4AMAAwADE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sAUgBJAFMAVABBACAATQBBAFAAXAAiACwAXAAiAGsAZwBcACIALAAxACwAXAAiAFwAIgAsAFwAIgBcACIALABcACIAXAAiACwAMQAwACwAMgAxAC4AOQAsAFwAIgBcACIALABcACIAXAAi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FQAZQByAGEAIABLAFIASQBTAFQAQQBMAE8ATgAgAFIARQBEAFwAIgAsAFwAIgBrAGcAXAAiACwAMQAsAFwAIgBcACIALABcACIAXAAiACwAXAAiAFwAIgAsADEAMgAsADUALgAyACwAMgA5AC4AOQAsADEALABcACIAUABvAHQAYQBzAHMAaQB1AG0AIAAtACAARwBlAG4AZQByAGkAYwBcACIALAAwAC4AMgA5ADkALABcACIATgBpAHQAcgBvAGcAZQBuACAALQAgAE4AaQB0AHIAYQB0AGUAXAAiACwAMAAuADEAMAAxACwAXAAiAFAAaABvAHMAcABoAG8AcgB1AHMAIAAtACAARwBlAG4AZQByAGkAYwBcACIALAAwAC4AMAA1ADIALABcACIATgBpAHQAcgBvAGcAZQBuACAALQAgAEEAbQBtAG8AbgBpAGEAYwBhAGwAXAAiACwAMAAuADAAMQA5ACwAXAAiAFMAdQBsAGYAdQByACAALQAgAEcAZQBuAGUAcgBpAGMAXAAiACwAMAAuADAAMQAsAFwAIgBNAGEAZwBuAGUAcwBpAHUAbQBcACIALAAwAC4AMAAwADYALABcACIASQByAG8AbgBcACIALAAwAC4AMAAwADAANwAsAFwAIgBNAGEAbgBnAGEAbgBlAHMAZQBcACIALAAwAC4AMAAwADAANAAsAFwAIgBaAGkAbgBjAFwAIgAsADAALgAwADAAMAAyADUALABcACIAQgBvAHIAbwBuAFwAIgAsADAALgAwADAAMAAyADUAOwBcAG4AXAAiAFkAYQByAGEAIABBAHUAcwB0AHIAYQBsAGkAYQBcACIALABcACIAWQBhAHIAYQBUAGUAcgBhACAASwBSAEkAUwBUAEEATABPAE4AIABTAFAARQBDAEkAQQBMAFwAIgAsAFwAIgBrAGcAXAAiACwAMQAsAFwAIgBcACIALABcACIAXAAiACwAXAAiAFwAIgAsADEAOAAsADcALgA5ACwAMQA0AC4AOQAsADIALABcACIAUABvAHQAYQBzAHMAaQB1AG0AIAAtACAARwBlAG4AZQByAGkAYwBcACIALAAwAC4AMQA0ADkALABcACIAVQByAGUAYQBcACIALAAwAC4AMgAxADMAMAA0ADMALABcACIAUABoAG8AcwBwAGgAbwByAHUAcwAgAC0AIABHAGUAbgBlAHIAaQBjAFwAIgAsADAALgAwADcAOQAsAFwAIgBOAGkAdAByAG8AZwBlAG4AIAAtACAATgBpAHQAcgBhAHQAZQBcACIALAAwAC4AMAA0ADkALABcACIATgBpAHQAcgBvAGcAZQBuACAALQAgAEEAbQBtAG8AbgBpAGEAYwBhAGwAXAAiACwAMAAuADAAMwAzACwAXAAiAFMAdQBsAGYAdQByACAALQAgAEcAZQBuAGUAcgBpAGMAXAAiACwAMAAuADAAMgAsAFwAIgBNAGEAZwBuAGUAcwBpAHUAbQBcACIALAAwAC4AMAAxADgALABcACIASQByAG8AbgBcACIALAAwAC4AMAAwADAANwAsAFwAIgBNAGEAbgBnAGEAbgBlAHMAZQBcACIALAAwAC4AMAAwADAANAAsAFwAIgBaAGkAbgBjAFwAIgAsADAALgAwADAAMAAyADUAXABuACAAIAB9ACwAIAByACwAIABjACkAXABuACAAKQApACkAOwBcAG4AXABuAFwAbgBGAGUAcgB0AGkAbABpAHMAZQByAF8AUAByAG8AZAB1AGMAdABzAF8ARABhAHQAYQAzAFwAbgA9AEwAQQBNAEIARABBACgAXABuACAATQBBAEsARQBBAFIAUgBBAFkAKAAzADAALAAgADMAMQAsAFwAbgAgAEwAQQBNAEIARABBACgAcgAsAGMALABcAG4AIAAgAEkATgBEAEUAWAAoAHsAXABuAFwAIgBZAGEAcgBhACAAQQB1AHMAdAByAGEAbABpAGEAXAAiACwAXAAiAFkAYQByAGEATQBpAGwAYQAgADIAMQAtADcALQAzACgANAApAFwAIgAsAFwAIgBrAGcAXAAiACwAMQAsAFwAIgBcACIALABcACIAXAAiACwAXAAiAFwAIgAsADIAMQAsADcALgA0ACwAMgAuADUALAA0ACwAXAAiAE4AaQB0AHIAbwBnAGUAbgAgAC0AIABOAGkAdAByAGEAdABlAFwAIgAsADAALgAxADAANQAsAFwAIgBOAGkAdAByAG8AZwBlAG4AIAAtACAAQQBtAG0AbwBuAGkAYQBjAGEAbABcACIALAAwAC4AMQAwADUALABcACIAUABoAG8AcwBwAGgAbwByAHUAcwAgAC0AIABHAGUAbgBlAHIAaQBjAFwAIgAsADAALgAwADcANAAsAFwAIgBTAHUAbABmAHUAcgAgAC0AIABHAGUAbgBlAHIAaQBjAFwAIgAsADAALgAwADQALABcACIAUABvAHQAYQBzAHMAaQB1AG0AIAAtACAARwBlAG4AZQByAGkAYwBcACIALAAwAC4AMAAyADUALABcACIATQBhAGcAbgBlAHMAaQB1AG0AXAAiACwAMAAuADAAMAA0ACwAXAAiAFoAaQBuAGMAXAAiACwAMAAuADAAMAAxADUALABcACIAXAAiACwAXAAiAFwAIgAsAFwAIgBcACIALABcACIAXAAiACwAXAAiAFwAIgAsAFwAIgBcACIAOwBcAG4AXAAiAFkAYQByAGEAIABBAHUAcwB0AHIAYQBsAGkAYQBcACIALABcACIAWQBhAHIAYQBUAGUAcgBhACAASwBSAEkAUwBUAEEATABPAE4AIABTAEMAQQBSAEwARQBUAFwAIgAsAFwAIgBrAGcAXAAiACwAMQAsAFwAIgBcACIALABcACIAXAAiACwAXAAiAFwAIgAsADcALgA1ACwAXAAiAFwAIgAsADIAOQAuADkALAA0ACwAXAAiAFAAbwB0AGEAcwBzAGkAdQBtACAALQAgAEcAZQBuAGUAcgBpAGMAXAAiACwAMAAuADIAOQA5ACwAXAAiAE4AaQB0AHIAbwBnAGUAbgAgAC0AIABOAGkAdAByAGEAdABlAFwAIgAsADAALgAwADUAMgAsAFwAIgBTAHUAbABmAHUAcgAgAC0AIABHAGUAbgBlAHIAaQBjAFwAIgAsADAALgAwADQALABcACIATQBhAGcAbgBlAHMAaQB1AG0AXAAiACwAMAAuADAAMgA3ACwAXAAiAE4AaQB0AHIAbwBnAGUAbgAgAC0AIABBAG0AbQBvAG4AaQBhAGMAYQBsAFwAIgAsADAALgAwADIAMwAsAFwAIgBcACIALABcACIAXAAiACwAXAAiAFwAIgAsAFwAIgBcACIALABcACIAXAAiACwAXAAiAFwAIgAsAFwAIgBcACIALABcACIAXAAiACwAXAAiAFwAIgAsAFwAIgBcACIAOwBcAG4AXAAiAEMAYQBtAHAAYgBlAGwAbABzACAAZgBlAHIAdABpAGwAaQBzAGUAcgBzACAAQQB1AHMAdAByAGEAbABpAGEAXAAiACwAXAAiAFMAbwBsAHUALQ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TAG8AbAB1AC0AUwBh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SAHUAcwB0AGkAYwBhACAAUABsAHUAcwBcACIALABcACIAawBnAFwAIgAsADEALABcACIAXAAiACwAXAAiAFwAIgAsAFwAIgBcACIALAAxADIALAA1ACwAMQA0ACwAOQAuADcALABcACIAUABvAHQAYQBzAHMAaQB1AG0AIAAtACAARwBlAG4AZQByAGkAYwBcACIALAAwAC4AMQA0ACwAXAAiAFMAdQBsAGYAdQByACAALQAgAEcAZQBuAGUAcgBpAGMAXAAiACwAMAAuADAAOQA3ACwAXAAiAE4AaQB0AHIAbwBnAGUAbgAgAC0AIABOAGkAdAByAGEAdABlAFwAIgAsADAALgAwADYALABcACIATgBpAHQAcgBvAGcAZQBuACAALQAgAEEAbQBtAG8AbgBpAGEAYwBhAGwAXAAiACwAMAAuADAANgAsAFwAIgBQAGgAbwBzAHAAaABvAHIAdQBzACAALQAgAEcAZQBuAGUAcgBpAGMAXAAiACwAMAAuADAANQAsAFwAIgBDAGEAbABjAGkAdQBtAFwAIgAsADAALgAwADMAMQAsAFwAIgBNAGEAZwBuAGUAcwBpAHUAbQBcACIALAAwAC4AMAAxADIALABcACIAWgBpAG4AYwBcACIALAAwAC4AMAAwADEALABcACIAQgBvAHIAbwBuAFwAIgAsADAALgAwADAAMAAyACwAXAAiAFwAIgAsAFwAIgBcACIAOwBcAG4AXAAiAEMAYQBtAHAAYgBlAGwAbABzACAAZgBlAHIAdABpAGwAaQBzAGUAcgBzACAAQQB1AHMAdAByAGEAbABpAGEAXAAiACwAXAAiAFAAbABhAHQAaQBuAHUAbQAgAFAAbAB1AHMAXAAiACwAXAAiAGsAZwBcACIALAAxACwAXAAiAFwAIgAsAFwAIgBcACIALABcACIAXAAiACwAMQAwACwAMQAxACwAMQAwACwANgAsAFwAIgBQAGgAbwBzAHAAaABvAHIAdQBzACAALQAgAEcAZQBuAGUAcgBpAGMAXAAiACwAMAAuADEAMQAsAFwAIgBQAG8AdABhAHMAcwBpAHUAbQAgAC0AIABHAGUAbgBlAHIAaQBjAFwAIgAsADAALgAxACwAXAAiAFMAdQBsAGYAdQByACAALQAgAEcAZQBuAGUAcgBpAGMAXAAiACwAMAAuADAANgAsAFwAIgBOAGkAdAByAG8AZwBlAG4AIAAtACAATgBpAHQAcgBhAHQAZQBcACIALAAwAC4AMAA1ACwAXAAiAE4AaQB0AHIAbwBnAGUAbgAgAC0AIABBAG0AbQBvAG4AaQBhAGMAYQBsAFwAIgAsADAALgAwADUALABcACIAQwBhAGwAYwBpAHUAbQBcACIALAAwAC4AMAA0ADMALABcACIATQBhAGcAbgBlAHMAaQB1AG0AXAAiACwAMAAuADAAMQAyACwAXAAiAFoAaQBuAGMAXAAiACwAMAAuADAAMAAzADYALABcACIAQgBvAHIAbwBuAFwAIgAsADAALgAwADAAMQAsAFwAIgBcACIALABcACIAXAAiADsAXABuAFwAIgBDAGEAbQBwAGIAZQBsAGwAcwAgAGYAZQByAHQAaQBsAGkAcwBlAHIAcwAgAEEAdQBzAHQAcgBhAGwAaQBhAFwAIgAsAFwAIgBUAHIAbwBwAGkAawBhAFwAIgAsAFwAIgBrAGcAXAAiACwAMQAsAFwAIgBcACIALABcACIAXAAiACwAXAAiAFwAIgAsADEAMQAsADIALgA2ACwAMgAwAC4AOAAsADQALABcACIATgBpAHQAcgBvAGcAZQBuACAALQAgAE4AaQB0AHIAYQB0AGUAXAAiACwAMAAuADAANQA1ACwAXAAiAE4AaQB0AHIAbwBnAGUAbgAgAC0AIABBAG0AbQBvAG4AaQBhAGMAYQBsAFwAIgAsADAALgAwADUANQAsAFwAIgBQAGgAbwBzAHAAaABvAHIAdQBzACAALQAgAEcAZQBuAGUAcgBpAGMAXAAiACwAMAAuADAAMgA2ACwAXAAiAFAAbwB0AGEAcwBzAGkAdQBtACAALQAgAEcAZQBuAGUAcgBpAGMAXAAiACwAMAAuADIAMAA4ACwAXAAiAFMAdQBsAGYAdQByACAALQAgAEcAZQBuAGUAcgBpAGMAXAAiACwAMAAuADAANAAsAFwAIgBNAGEAZwBuAGUAcwBpAHUAbQBcACIALAAwAC4AMAAyADQALABcACIAXAAiACwAXAAiAFwAIgAsAFwAIgBcACIALABcACIAXAAiACwAXAAiAFwAIgAsAFwAIgBcACIALABcACIAXAAiACwAXAAiAFwAIgA7AFwAbgBcACIAQwBhAG0AcABiAGUAbABsAHMAIABmAGUAcgB0AGkAbABpAHMAZQByAHMAIABBAHUAcwB0AHIAYQBsAGkAYQBcACIALABcACIAUgB1AHMAdABpAGMAYQAgAE4AZQByAGcAZQB0AGkAYwBcACIALABcACIAawBnAFwAIgAsADEALABcACIAXAAiACwAXAAiAFwAIgAsAFwAIgBcACIALAAxADIALAA1AC4AMgAsADEANAAuADEALAA5AC4ANgAsAFwAIgBQAG8AdABhAHMAcwBpAHUAbQAgAC0AIABHAGUAbgBlAHIAaQBjAFwAIgAsADAALgAxADQAMQAsAFwAIgBTAHUAbABmAHUAcgAgAC0AIABHAGUAbgBlAHIAaQBjAFwAIgAsADAALgAwADkANgAsAFwAIgBOAGkAdAByAG8AZwBlAG4AIAAtACAATgBpAHQAcgBhAHQAZQBcACIALAAwAC4AMAA2ACwAXAAiAE4AaQB0AHIAbwBnAGUAbgAgAC0AIABBAG0AbQBvAG4AaQBhAGMAYQBsAFwAIgAsADAALgAwADYALABcACIAUABoAG8AcwBwAGgAbwByAHUAcwAgAC0AIABHAGUAbgBlAHIAaQBjAFwAIgAsADAALgAwADUAMgAsAFwAIgBNAGEAZwBuAGUAcwBpAHUAbQBcACIALAAwAC4AMAAxADIALABcACIAWgBpAG4AYwBcACIALAAwAC4AMAAwADAAOAAsAFwAIgBJAHIAbwBuAFwAIgAsADAALgAwADAAMAA3ACwAXAAiAE0AYQBuAGcAYQBuAGUAcwBlAFwAIgAsADAALgAwADAAMAA2ACwAXAAiAEIAbwByAG8AbgBcACIALAAwAC4AMAAwADAAMgA7AFwAbgBcACIAQwBhAG0AcABiAGUAbABsAHMAIABmAGUAcgB0AGkAbABpAHMAZQByAHMAIABBAHUAcwB0AHIAYQBsAGkAYQBcACIALABcACIAUQB1AGkAYwBrAC0ATgAgAE4AZQByAGcAZQB0AGkAYwBcACIALABcACIAawBnAFwAIgAsADEALABcACIAXAAiACwAXAAiAFwAIgAsAFwAIgBcACIALAAyADUALABcACIAXAAiACwAXAAiAFwAIgAsADEAMgAuADgALABcACIAUwB1AGwAcABoAGEAdABlACAAbwBmACAAYQBtAG0AbwBuAGkAYQAgACgAUwBPAEEAKQBcACIALAAwAC4ANQAzADMAMwAzADMALABcACIAQQBtAG0AbwBuAGkAdQBtACAAbgBpAHQAcgBhAHQAZQAgACgAQQBOACkAXAAiACwAMAAuADQAMAA5ADQAOQA2ACwAXAAiAFoAaQBuAGMAXAAiACwAMAAuADAAMAAxACwAXAAiAE0AYQBuAGcAYQBuAGUAcwBlAFwAIgAsADAALgAwADAAMQAsAFwAIgBCAG8AcgBvAG4AXAAiACwAMAAuADAAMAAwADEALABcACIATQBvAGwAeQBiAGQAZQBuAHUAbQBcACIALAAwAC4AMAAwADAAMAAxACwAXAAiAFwAIgAsAFwAIgBcACIALABcACIAXAAiACwAXAAiAFwAIgAsAFwAIgBcACIALABcACIAXAAiACwAXAAiAFwAIgAsAFwAIgBcACIAOwBcAG4AXAAiAEYAZQByAHQAUAByAG8AIABNAGEAbgB1AGYAYQBjAHQAdQByAGkAbgBnACAAUAB0AHkALgAgAEwAdABkAC4AXAAiACwAXAAiACgAUwBTAFAAKQAgAFMAaQBuAGcAbABlACAAUwB1AHAAZQByACAARgBlAHIAdABpAGwAaQBzAGUAcg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aAGkAbgBjAFMAdABhAHIAXAAiACwAXAAiAGsAZwBcACIALAAxACwAXAAiAFwAIgAsAFwAIgBcACIALABcACIAXAAiACwAMQAwACwAMgAxAC4AOQAsADAALAAyACwAXAAiAE0AbwBuAG8AYQBtAG0AbwBuAGkAdQBtACAAcABoAG8AcwBwAGgAYQB0AGUAIAAoAE0AQQBQACkAXAAiACwAMQAsAFwAIgBaAGkAbgBjAFwAIgAsADAALgAwADEALABcACIAXAAiACwAXAAiAFwAIgAsAFwAIgBcACIALABcACIAXAAiACwAXAAiAFwAIgAsAFwAIgBcACIALABcACIAXAAiACwAXAAiAFwAIgAsAFwAIgBcACIALABcACIAXAAiACwAXAAiAFwAIgAsAFwAIgBcACIALABcACIAXAAiACwAXAAiAFwAIgAsAFwAIgBcACIALABcACIAXAAiADsAXABuAFwAIgBCAGEAaQBsAGUAeQBzACAAKABTAGkAbQBwAGwAbwB0ACkAIABbAGwAaQBzAHQAZQBkACAAYQBzACAASQBtAHAAYQBjAHQAXQBcACIALABcACIAQQBwAGUAeAAgAEcAYQBJAFgAZQAgAEwAbwB3ACAAUAAgADIAMQAtADEALQA2AFwAIgAsAFwAIgBrAGcAXAAiACwAMQAsAFwAIgBcACIALABcACIAXAAiACwAXAAiAFwAIgAsADIAMQAsADAALgA4ADYALAA1AC4AOAAsADQALgAyACwAXAAiAE4AaQB0AHIAbwBnAGUAbgAgAC0AIABHAGUAbgBlAHIAaQBjAFwAIgAsADAALgAyADEALABcACIAUABvAHQAYQBzAHMAaQB1AG0AIAAtACAARwBlAG4AZQByAGkAYwBcACIALAAwAC4AMAA1ADgALABcACIAUwB1AGwAZgB1AHIAIAAtACAARwBlAG4AZQByAGkAYwBcACIALAAwAC4AMAA0ADIALABcACIAUABoAG8AcwBwAGgAbwByAHUAcwAgAC0AIABHAGUAbgBlAHIAaQBjAFwAIgAsADAALgAwADAAOAA2ACwAXAAiAFwAIgAsAFwAIgBcACIALABcACIAXAAiACwAXAAiAFwAIgAsAFwAIgBcACIALABcACIAXAAiACwAXAAiAFwAIgAsAFwAIgBcACIALABcACIAXAAiACwAXAAiAFwAIgAsAFwAIgBcACIALABcACIAXAAiADsAXABuAFwAIgBJAG4AYwBpAHQAZQBjACAAUABpAHYAbwB0ACAARgBlAHIAdABpAGwAaQBzAGUAcgBzAFwAIgAsAFwAIgBTAHUAUABlAHIAZgBlAGMAd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IABbAGwAaQBzAHQAZQBkACAAYQBzACAAUwB1AG0AbQBpAHQAXQBcACIALABcACIAQgBpAGcAIABOAFwAIgAsAFwAIgBrAGcAXAAiACwAMQAsAFwAIgBcACIALABcACIAXAAiACwAXAAiAFwAIgAsADgAMgAuADMANQAsAFwAIgBcACIALABcACIAXAAiACwAXAAiAFwAIgAsAFwAIgBBAG0AbQBvAG4AaQBh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UAbgB0AGUAYwAgAFUAcgBlAGEAXAAiACwAXAAiAGsAZwBcACIALAAxACwAXAAiAFkAZQBzAFwAIgAsAFwAIgBcACIALABcACIAXAAiACwANAA2ACwAXAAiAFwAIgAsAFwAIgBcACIALABcACIAXAAiACwAXAAiAFUAcgBl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CgAbwByACAAUgBhAHYAZQBuAHMAZABvAHcAbgAgAC0AIABzAGUAZQAgAG4AbwB0AGUAKQBcACIALABcACIARgBsAGUAeABpAC0ATgAgAE4ASQAgAG8AbgBsAHkAXAAiACwAXAAiAGsAZwBcACIALAAxACwAXAAiAFkAZQBzAFwAIgAsAFwAIgBcACIALABcACIAXAAiACwANAA1AC4ANQA0ACwAXAAiAFwAIgAsAFwAIgBcACIALABcACIAXAAiACwAXAAiAFUAcgBlAGEAXAAiACwAMAAuADkAOQAsAFwAIgBVAHIAZQBhAHMAZQAvAG4AaQB0AHIAaQBmAGkAYwBhAHQAaQBvAG4AIABpAG4AaABpAGIAaQB0AG8AcgBcACIALAAwAC4AMAAxACwAXAAiAFwAIgAsAFwAIgBcACIALABcACIAXAAiACwAXAAiAFwAIgAsAFwAIgBcACIALABcACIAXAAiACwAXAAiAFwAIgAsAFwAIgBcACIALABcACIAXAAiACwAXAAiAFwAIgAsAFwAIgBcACIALABcACIAXAAiACwAXAAiAFwAIgAsAFwAIgBcACIALABcACIAXAAiACwAXAAiAFwAIgA7AFwAbgBcACIATgB1AHQAcgBpAC0AVABlAGMAaAAgAFMAbwBsAHUAdABpAG8AbgBzACAAKABOAFQAUwApAFwAIgAsAFwAIgBNAHUAcgBpAGEAdABlACAATwBmACAAUABvAHQAYQBzAGgAIABNAE8AUA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E4AdQB0AHUAcgBmAFwAIgAsAFwAIgBNAEEAUAAgAE4AVQBUAFUAUgBG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EAdQBpAGMAawAtAE4AXAAiACwAXAAiAGsAZwBcACIALAAxACwAXAAiAFwAIgAsAFwAIgBcACIALABcACIAXAAiACwAMgA2ACwAXAAiAFwAIgAsAFwAIgBcACIALAAxADMALABcACIAUwB1AGwAcABoAGEAdABlACAAbwBmACAAYQBtAG0AbwBuAGkAYQAgACgAUwBPAEEAKQBcACIALAAwAC4ANQA0ADEANgA2ADcALABcACIAQQBtAG0AbwBuAGkAdQBtACAAbgBpAHQAcgBhAHQAZQAgACgAQQBOACkAXAAiACwAMAAuADQAMwAzADkANwA2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VAEEAUwBcACIALABcACIATABcACIALAAxAC4AMgAzADUALABcACIAXAAiACwAXAAiAFwAIgAsAFwAIgBcACIALAAyADYALgA2ACwAXAAiAFwAIgAsAFwAIgBcACIALAA2AC4ANwAsAFwAIgBVAHIAZQBhAFwAIgAsADAALgA0ADUAMAA4ADEANQAsAFwAIgBTAHUAbABwAGgAYQB0AGUAIABvAGYAIABhAG0AbQBvAG4AaQBhACAAKABTAE8AQQApAFwAIgAsADAALgAyADcAOQAxADYANwAsAFwAIgBcACIALABcACIAXAAiACwAXAAiAFwAIgAsAFwAIgBcACIALABcACIAXAAiACwAXAAiAFwAIgAsAFwAIgBcACIALABcACIAXAAiACwAXAAiAFwAIgAsAFwAIgBcACIALABcACIAXAAiACwAXAAiAFwAIgAsAFwAIgBcACIALABcACIAXAAiACwAXAAiAFwAIgAsAFwAIgBcACIAOwBcAG4AXAAiAFMATABUAEUAQwAgAEYAZQByAHQAaQBsAGkAegBlAHIAcwBcACIALABcACIAVAByAGkAYQB6AG8AbgBlACAAVQByAGUAYQBcACIALABcACIATABcACIALAAxAC4AMgA4ACwAXAAiAFwAIgAsAFwAIgBcACIALABcACIAXAAiACwAMAAsAFwAIgBcACIALABcACIAXAAiACwAXAAiAFwAIgAsAFwAIgBVAHIAZQBhAFwAIgAsADAALgA2ADUAMgAxADcANAAsAFwAIgBcACIALABcACIAXAAiACwAXAAiAFwAIgAsAFwAIgBcACIALABcACIAXAAiACwAXAAiAFwAIgAsAFwAIgBcACIALABcACIAXAAiACwAXAAiAFwAIgAsAFwAIgBcACIALABcACIAXAAiACwAXAAiAFwAIgAsAFwAIgBcACIALABcACIAXAAiACwAXAAiAFwAIgAsAFwAIgBcACIALABcACIAXAAiACwAXAAiAFwAIgA7AFwAbgBcACIATQBhAHIAbgBjAG8AIABbAGwAaQBzAHQAZQBkACAAYQBzACAAUwBMAFQARQBDAF0AXAAiACwAXAAiAEEAbQBtAG8AIAAzADYATgBcACIALABcACIAawBnAFwAIgAsADEALABcACIAXAAiACwAXAAiAFwAIgAsAFwAIgBcACIALAAzADYALABcACIAXAAiACwAXAAiAFwAIgAsADkALgA2ACwAXAAiAE4AaQB0AHIAbwBnAGUAbgAgAC0AIABHAGUAbgBlAHIAaQBjAFwAIgAsADAALgAzADYALABcACIAUwB1AGwAZgB1AHIAIAAtACAARwBlAG4AZQByAGkAYwBcACIALAAwAC4AMAA5ADYALABcACIAXAAiACwAXAAiAFwAIgAsAFwAIgBcACIALABcACIAXAAiACwAXAAiAFwAIgAsAFwAIgBcACIALABcACIAXAAiACwAXAAiAFwAIgAsAFwAIgBcACIALABcACIAXAAiACwAXAAiAFwAIgAsAFwAIgBcACIALABcACIAXAAiACwAXAAiAFwAIgAsAFwAIgBcACIALABcACIAXAAiADsAXABuAFwAIgBSAGkAcwBzAG8ALQBDAGgAZQBtAGkAYwBhAGwAXAAiACwAXAAiAFIAaQBzAHMAbwAgAEwAaQBxAHUAaQBkACAATgBQAEsAIAAoADIAMAAwAC0AMgAwADAALQAyADAAMAApAFwAIgAsAFwAIgBMAFwAIgAsADEALgAzACwAXAAiAFwAIgAsAFwAIgBcACIALABcACIAXAAiACwAMgAwACwAOAAuADcAMwAsADEANgAuADYALABcACIAXAAiACwAXAAiAE4AaQB0AHIAbwBnAGUAbgAgAC0AIABHAGUAbgBlAHIAaQBjAFwAIgAsADAALgAyACwAXAAiAFAAaABvAHMAcABoAG8AcgB1AHMAIAAtACAARwBlAG4AZQByAGkAYwBcACIALAAwAC4AMAA4ADcAMgA4ACwAXAAiAFAAbwB0AGEAcwBzAGkAdQBtACAALQAgAEcAZQBuAGUAcgBpAGMAXAAiACwAMAAuADEANgA2ADAAMgAsAFwAIgBcACIALABcACIAXAAiACwAXAAiAFwAIgAsAFwAIgBcACIALABcACIAXAAiACwAXAAiAFwAIgAsAFwAIgBcACIALABcACIAXAAiACwAXAAiAFwAIgAsAFwAIgBcACIALABcACIAXAAiACwAXAAiAFwAIgAsAFwAIgBcACIALABcACIAXAAiADsAXABuAFwAIgBUAHUAcgBmACAARwByAG8AdQBwACAAQQB1AHMAdAByAGEAbABpAGEAIAAoAFMAaQBtAHAAbABvAHQAKQBcACIALABcACIAUwB1AHAAZQByACAAQwBhAGwAIAAxADUALQAwAC0AMQAyAFwAIgAsAFwAIgBrAGcAXAAiACwAMQAsAFwAIgBcACIALABcACIAXAAiACwAXAAiAFwAIgAsADEANQAsAFwAIgBcACIALAA5AC4AOQA2ACwAXAAiAFwAIgAsAFwAIgBOAGkAdAByAG8AZwBlAG4AIAAtACAATgBpAHQAcgBhAHQAZQBcACIALAAwAC4AMAA4ADQANwAzADcALABcACIAUABvAHQAYQBzAHMAaQB1AG0AIAAtACAARwBlAG4AZQByAGkAYwBcACIALAAwAC4AMAA5ADkANgAxADIALABcACIAQwBhAGwAYwBpAHUAbQAgAG4AaQB0AHIAYQB0AGUAXAAiACwAMAAuADQAMgAxADAANQAzACwAXAAiAE0AYQBnAG4AZQBzAGkAdQBtAFwAIgAsADAALgAwADAANQAsAFwAIgBCAG8AcgBvAG4AXAAiACwAMAAuADAAMAAwADIALABcACIAXAAiACwAXAAiAFwAIgAsAFwAIgBcACIALABcACIAXAAiACwAXAAiAFwAIgAsAFwAIgBcACIALABcACIAXAAiACwAXAAiAFwAIgAsAFwAIgBcACIALABcACIAXAAiADsAXABuAFwAIgBJAG4AYwBpAHQAZQBjACAAUABpAHYAbwB0ACAARgBlAHIAdABpAGwAaQBzAGUAcgBzAFwAIgAsAFwAIgBDAEsAIAA4ADgAXAAiACwAXAAiAGsAZwBcACIALAAxACwAXAAiAFwAIgAsAFwAIgBcACIALABcACIAXAAiACwAMQA1AC4AMQAsADQALgA0ACwAMQAxAC4ANQAsADEAMwAuADYALABcACIATgBpAHQAcgBvAGcAZQBuACAALQAgAEcAZQBuAGUAcgBpAGMAXAAiACwAMAAuADEANQAxACwAXAAiAFAAaABvAHMAcABoAG8AcgB1AHMAIAAtACAARwBlAG4AZQByAGkAYwBcACIALAAwAC4AMAA0ADQALABcACIAUABvAHQAYQBzAHMAaQB1AG0AIAAtACAARwBlAG4AZQByAGkAYwBcACIALAAwAC4AMQAxADUALABcACIAUwB1AGwAZgB1AHIAIAAtACAARwBlAG4AZQByAGkAYwBcACIALAAwAC4AMQAzADYALABcACIAXAAiACwAXAAiAFwAIgAsAFwAIgBcACIALABcACIAXAAiACwAXAAiAFwAIgAsAFwAIgBcACIALABcACIAXAAiACwAXAAiAFwAIgAsAFwAIgBcACIALABcACIAXAAiACwAXAAiAFwAIgAsAFwAIgBcACIAOwBcAG4AXAAiAEkAbgBjAGkAdABlAGMAIABQAGkAdgBvAHQAIABGAGUAcgB0AGkAbABpAHMAZQByAHMAXAAiACwAXAAiAEMAcgBvAHAATABpAGYAdAAgADEANQBcACIALABcACIAawBnAFwAIgAsADEALABcACIAXAAiACwAXAAiAFwAIgAsAFwAIgBcACIALAAxADQALgA2ACwAMQAyAC4AMQAsAFwAIgBcACIALAAxADEALgA2ACwAXAAiAE4AaQB0AHIAbwBnAGUAbgAgAC0AIABHAGUAbgBlAHIAaQBjAFwAIgAsADAALgAxADQANgAsAFwAIgBQAGgAbwBzAHAAaABvAHIAdQBzACAALQAgAEcAZQBuAGUAcgBpAGMAXAAiACwAMAAuADEAMgAxACwAXAAiAFMAdQBsAGYAdQByACAALQAgAEcAZQBuAGUAcgBpAGMAXAAiACwAMAAuADEAMQA2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4AUABLAFMAIAAxADkALQAxADMALQAwAC0AOQBcACIALABcACIAawBnAFwAIgAsADEALABcACIAXAAiACwAXAAiAFwAIgAsAFwAIgBcACIALAAxADkALAAxADMALAAwACwAOQAsAFwAIgBOAGkAdAByAG8AZwBlAG4AIAAtACAARwBlAG4AZQByAGkAYwBcACIALAAwAC4AMQA5ACwAXAAiAFAAaABvAHMAcABoAG8AcgB1AHMAIAAtACAARwBlAG4AZQByAGkAYwBcACIALAAwAC4AMQAzACwAXAAiAFMAdQBsAGYAdQByACAALQAgAEcAZQBuAGUAcgBpAGMAXAAiACwAMAAuADAAO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QAGEAcwB0AHUAcgBlAEIAbwBvAHMAdABhAFwAIgAsAFwAIgBrAGcAXAAiACwAMQAsAFwAIgBcACIALABcACIAXAAiACwAXAAiAFwAIgAsADIAMwAuADgALAAzAC4ANwAsADEAMwAsADQALgAxACwAXAAiAE4AaQB0AHIAbwBnAGUAbgAgAC0AIABHAGUAbgBlAHIAaQBjAFwAIgAsADAALgAyADMAOAAsAFwAIgBQAGgAbwBzAHAAaABvAHIAdQBzACAALQAgAEcAZQBuAGUAcgBpAGMAXAAiACwAMAAuADAAMwA3ACwAXAAiAFAAbwB0AGEAcwBzAGkAdQBtACAALQAgAEcAZQBuAGUAcgBpAGMAXAAiACwAMAAuADEAMwAsAFwAIgBTAHUAbABmAHUAcgAgAC0AIABHAGUAbgBlAHIAaQBjAFwAIgAsADAALgAwADQAMQAsAFwAIgBcACIALABcACIAXAAiACwAXAAiAFwAIgAsAFwAIgBcACIALABcACIAXAAiACwAXAAiAFwAIgAsAFwAIgBcACIALABcACIAXAAiACwAXAAiAFwAIgAsAFwAIgBcACIALABcACIAXAAiACwAXAAiAFwAIgA7AFwAbgBcACIASQBuAGMAaQB0AGUAYwAgAFAAaQB2AG8AdAAgAEYAZQByAHQAaQBsAGkAcwBlAHIAcwBcACIALABcACIARwByAGUAZQBuAHQAbwBwACAASwBcACIALABcACIAawBnAFwAIgAsADEALABcACIAXAAiACwAXAAiAFwAIgAsAFwAIgBcACIALAAzADIALgA4ACwAXAAiAFwAIgAsADEAMQAsADIALgA5ACwAXAAiAFUAcgBlAGEAXAAiACwAMAAuADYANgAwADgANwAsAFwAIgBOAGkAdAByAG8AZwBlAG4AIAAtACAAQQBtAG0AbwBuAGkAYQBjAGEAbABcACIALAAwAC4AMAAyADQALABcACIAUABvAHQAYQBzAHMAaQB1AG0AIAAtACAARwBlAG4AZQByAGkAYwBcACIALAAwAC4AMQAxACwAXAAiAFMAdQBsAGYAdQByACAALQAgAEcAZQBuAGUAcgBpAGMAXAAiACwAMAAuADAAMgA5ACwAXAAiAFwAIgAsAFwAIgBcACIALABcACIAXAAiACwAXAAiAFwAIgAsAFwAIgBcACIALABcACIAXAAiACwAXAAiAFwAIgAsAFwAIgBcACIALABcACIAXAAiACwAXAAiAFwAIgAsAFwAIgBcACIALABcACIAXAAiADsAXABuAFwAIgBJAG4AYwBpAHQAZQBjACAAUABpAHYAbwB0ACAARgBlAHIAdABpAGwAaQBzAGUAcgBzAFwAIgAsAFwAIgBIAGEAeQBCAG8AbwBzAHQAYQBcACIALABcACIAawBnAFwAIgAsADEALABcACIAXAAiACwAXAAiAFwAIgAsAFwAIgBcACIALAAxADEALgA3ACwANAAuADcALAAyADMALgA5ACwANAAuADYALABcACIATgBpAHQAcgBvAGcAZQBuACAALQAgAEcAZQBuAGUAcgBpAGMAXAAiACwAMAAuADEAMQA3ACwAXAAiAFAAaABvAHMAcABoAG8AcgB1AHMAIAAtACAARwBlAG4AZQByAGkAYwBcACIALAAwAC4AMAA0ADcALABcACIAUABvAHQAYQBzAHMAaQB1AG0AIAAtACAARwBlAG4AZQByAGkAYwBcACIALAAwAC4AMgAzADkALABcACIAUwB1AGwAZgB1AHIAIAAtACAARwBlAG4AZQByAGkAYwBcACIALAAwAC4AMAA0ADYALABcACIAXAAiACwAXAAiAFwAIgAsAFwAIgBcACIALABcACIAXAAiACwAXAAiAFwAIgAsAFwAIgBcACIALABcACIAXAAiACwAXAAiAFwAIgAsAFwAIgBcACIALABcACIAXAAiACwAXAAiAFwAIgAsAFwAIgBcACIAXABuACAAIAB9ACwAIAByACwAIABjACkAXABuACAAKQApACkAOwBcAG4AXABuAFwAbgBGAGUAcgB0AGkAbABpAHMAZQByAF8AUAByAG8AZAB1AGMAdABzAF8ARABhAHQAYQA0AFwAbgA9AEwAQQBNAEIARABBACgAXABuACAATQBBAEsARQBBAFIAUgBBAFkAKAAzADAALAAgADMAMQAsAFwAbgAgAEwAQQBNAEIARABBACgAcgAsAGMALABcAG4AIAAgAEkATgBEAEUAWAAoAHsAXABuAFwAIgBJAG0AcABhAGMAdAAgAEYAZQByAHQAaQBsAGkAcwBlAHIAcwBcACIALABcACIASQBtAHAAYQBjAHQAIABTAHUAcABlAHIAIABQAG8AdABhAHMAaAAgADEAJgAxAFwAIgAsAFwAIgBrAGcAXAAiACwAMQAsAFwAIgBcACIALABcACIAXAAiACwAXAAiAFwAIgAsAFwAIgBcACIALAA0AC4ANAAsADIANQAsADUALgA1ACwAXAAiAFMAaQBuAGcAbABlACAAcwB1AHAAZQByAHAAaABvAHMAcABoAGEAdABlACAAKABTAFMAUAApAFwAIgAsADAALgA1ACwAXAAiAE0AdQByAGkAYQB0AGUAIABvAGYAIABwAG8AdABhAHMAaAAgACgATQBPAFAAKQBcACIALAAwAC4ANQ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MgAmADEAXAAiACwAXAAiAGsAZwBcACIALAAxACwAXAAiAFwAIgAsAFwAIgBcACIALABcACIAXAAiACwAXAAiAFwAIgAsADUALgA4ADQALAAxADYALgA4ACwANwAuADIAOQAsAFwAIgBTAGkAbgBnAGwAZQAgAHMAdQBwAGUAcgBwAGgAbwBzAHAAaABhAHQAZQAgACgAUwBTAFAAKQBcACIALAAwAC4ANgA2ADMAMQA1ADgALABcACIATQB1AHIAaQBhAHQAZQAgAG8AZgAgAHAAbwB0AGEAcwBoACAAKABNAE8AUAApAFwAIgAsADAALgAzADMAN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MwAmADEAXAAiACwAXAAiAGsAZwBcACIALAAxACwAXAAiAFwAIgAsAFwAIgBcACIALABcACIAXAAiACwAXAAiAFwAIgAsADYALgA1ADgALAAxADIALgA1ACwAOAAuADIAMgAsAFwAIgBTAGkAbgBnAGwAZQAgAHMAdQBwAGUAcgBwAGgAbwBzAHAAaABhAHQAZQAgACgAUwBTAFAAKQBcACIALAAwAC4ANwA0ADcAMwA2ADgALABcACIATQB1AHIAaQBhAHQAZQAgAG8AZgAgAHAAbwB0AGEAcwBoACAAKABNAE8AUAApAFwAIgAsADAALgAy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QAJgAxAFwAIgAsAFwAIgBrAGcAXAAiACwAMQAsAFwAIgBcACIALABcACIAXAAiACwAXAAiAFwAIgAsAFwAIgBcACIALAA3AC4AMAA0ACwAMQAwACwAOAAuADgALABcACIAUwBpAG4AZwBsAGUAIABzAHUAcABlAHIAcABoAG8AcwBwAGgAYQB0AGUAIAAoAFMAUwBQACkAXAAiACwAMAAuADgALABcACIATQB1AHIAaQBhAHQAZQAgAG8AZgAgAHAAbwB0AGEAcwBoACAAKABNAE8AUAApAFwAIgAsADAALgAy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1ACYAMQBcACIALABcACIAawBnAFwAIgAsADEALABcACIAXAAiACwAXAAiAFwAIgAsAFwAIgBcACIALABcACIAXAAiACwANwAuADMAMgAsADgALgA0ACwAOQAuADEANQAsAFwAIgBTAGkAbgBnAGwAZQAgAHMAdQBwAGUAcgBwAGgAbwBzAHAAaABhAHQAZQAgACgAUwBTAFAAKQBcACIALAAwAC4AOAAzADEANQA3ADkALABcACIATQB1AHIAaQBhAHQAZQAgAG8AZgAgAHAAbwB0AGEAcwBoACAAKABNAE8AUAApAFwAIgAsADAALgAxADYAOAAsAFwAIgBcACIALABcACIAXAAiACwAXAAiAFwAIgAsAFwAIgBcACI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BcACIALABcACIAawBnAFwAIgAsADEALABcACIAXAAiACwAXAAiAFwAIgAsAFwAIgBcACIALAAyADMALgA5ACwAXAAiAFwAIgAsAFwAIgBcACIALAAxADAALgA4ACwAXAAiAE4AaQB0AHIAbwBnAGUAbgAgAC0AIABOAGkAdAByAGEAdABlAFwAIgAsADAALgAwADcANAAsAFwAIgBOAGkAdAByAG8AZwBlAG4AIAAtACAAQQBtAG0AbwBuAGkAYQBjAGEAbABcACIALAAwAC4AMQA2ADUALABcACIAUwB1AGwAZgB1AHIAIAAtACAARwBlAG4AZQByAGkAYwBcACIALAAwAC4AMQAwADgALABcACIAQwBhAGwAYwBpAHUAbQBcACIALAAwAC4AMAA0ADQ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UAMAAvADUAMABcACIALABcACIAawBnAFwAIgAsADEALABcACIAXAAiACwAXAAiAFwAIgAsAFwAIgBcACIALAAxADcALgA5ACwAXAAiAFwAIgAsADEANQAsADMALgA2ACwAXAAiAE4AaQB0AHIAbwBnAGUAbgAgAC0AIABOAGkAdAByAGEAdABlAFwAIgAsADAALgAwADUANQAsAFwAIgBOAGkAdAByAG8AZwBlAG4AIAAtACAAQQBtAG0AbwBuAGkAYQBjAGEAbABcACIALAAwAC4AMQAyADQALABcACIAUABvAHQAYQBzAHMAaQB1AG0AIAAtACAARwBlAG4AZQByAGkAYwBcACIALAAwAC4AMQA1ACwAXAAiAFMAdQBsAGYAdQByACAALQAgAEcAZQBuAGUAcgBpAGMAXAAiACwAMAAuADAAMwA2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CAAKABTACkAXAAiACwAXAAiAGsAZwBcACIALAAxACwAXAAiAFwAIgAsAFwAIgBcACIALABcACIAXAAiACwAMQA2AC4AOQAsAFwAIgBcACIALAAxADQALgA0ACwAOAAuADcALABcACIATgBpAHQAcgBvAGcAZQBuACAALQAgAE4AaQB0AHIAYQB0AGUAXAAiACwAMAAuADAANQAyACwAXAAiAE4AaQB0AHIAbwBnAGUAbgAgAC0AIABBAG0AbQBvAG4AaQBhAGMAYQBsAFwAIgAsADAALgAxADEANwAsAFwAIgBQAG8AdABhAHMAcwBpAHUAbQAgAC0AIABHAGUAbgBlAHIAaQBjAFwAIgAsADAALgAxADQANAAsAFwAIgBTAHUAbABmAHUAcgAgAC0AIABHAGUAbgBlAHIAaQBjAFwAIgAsADAALgAwADgANwAsAFwAIgBDAGEAbABjAGkAdQBtAFwAIgAsADAALgAwADQANA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MwAwAFwAIgAsAFwAIgBrAGcAXAAiACwAMQAsAFwAIgBcACIALABcACIAXAAiACwAXAAiAFwAIgAsADEAOAAuADgALAAxACwAMQAyAC4ANQAsADMALgA3ACwAXAAiAE4AaQB0AHIAbwBnAGUAbgAgAC0AIABOAGkAdAByAGEAdABlAFwAIgAsADAALgAwADUAOAAsAFwAIgBOAGkAdAByAG8AZwBlAG4AIAAtACAAQQBtAG0AbwBuAGkAYQBjAGEAbABcACIALAAwAC4AMQAzACwAXAAiAFAAaABvAHMAcABoAG8AcgB1AHMAIAAtACAARwBlAG4AZQByAGkAYwBcACIALAAwAC4AMAAxACwAXAAiAFAAbwB0AGEAcwBzAGkAdQBtACAALQAgAEcAZQBuAGUAcgBpAGMAXAAiACwAMAAuADEAMgA1ACwAXAAiAFMAdQBsAGYAdQByACAALQAgAEcAZQBuAGUAcgBpAGMAXAAiACwAMAAuADAAMwA3ACwAXAAiAEMAYQBsAGMAaQB1AG0AXAAiACwAMAAuADAANAA0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NQAwAFwAIgAsAFwAIgBrAGcAXAAiACwAMQAsAFwAIgBcACIALABcACIAXAAiACwAXAAiAFwAIgAsADEAOAAuADYALAAzACwAMQAyAC4ANQAsADEALgA0ACwAXAAiAE4AaQB0AHIAbwBnAGUAbgAgAC0AIABOAGkAdAByAGEAdABlAFwAIgAsADAALgAwADUAOAAsAFwAIgBOAGkAdAByAG8AZwBlAG4AIAAtACAAQQBtAG0AbwBuAGkAYQBjAGEAbABcACIALAAwAC4AMQAyADgALABcACIAUABoAG8AcwBwAGgAbwByAHUAcwAgAC0AIABHAGUAbgBlAHIAaQBjAFwAIgAsADAALgAwADMALABcACIAUABvAHQAYQBzAHMAaQB1AG0AIAAtACAARwBlAG4AZQByAGkAYwBcACIALAAwAC4AMQAyADUALABcACIAUwB1AGwAZgB1AHIAIAAtACAARwBlAG4AZQByAGkAYwBcACIALAAwAC4AMAAxADQ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RQB4AHQAcgBhACAASwBcACIALABcACIAawBnAFwAIgAsADEALABcACIAXAAiACwAXAAiAFwAIgAsAFwAIgBcACIALAAxADUALgA4ACwAXAAiAFwAIgAsADEAOQAsADMALgAyACwAXAAiAE4AaQB0AHIAbwBnAGUAbgAgAC0AIABOAGkAdAByAGEAdABlAFwAIgAsADAALgAwADQAOQAsAFwAIgBOAGkAdAByAG8AZwBlAG4AIAAtACAAQQBtAG0AbwBuAGkAYQBjAGEAbABcACIALAAwAC4AMQAwADkALABcACIAUABvAHQAYQBzAHMAaQB1AG0AIAAtACAARwBlAG4AZQByAGkAYwBcACIALAAwAC4AMQA5ACwAXAAiAFMAdQBsAGYAdQByACAALQAgAEcAZQBuAGUAcgBpAGMAXAAiACwAMAAuADAAMwAyACwAXAAiAEMAYQBsAGMAaQB1AG0AXAAiACwAMAAuADAAMwA5ACwAXAAiAFwAIgAsAFwAIgBcACIALABcACIAXAAiACwAXAAiAFwAIgAsAFwAIgBcACIALABcACIAXAAiACwAXAAiAFwAIgAsAFwAIgBcACIALABcACIAXAAiACwAXAAiAFwAIgA7AFwAbgBcACIASQBuAGMAaQB0AGUAYwAgAFAAaQB2AG8AdAAgAEYAZQByAHQAaQBsAGkAcwBlAHIAcwBcACIALABcACIARABhAGkAcgB5ACAAUAByAG8AXAAiACwAXAAiAGsAZwBcACIALAAxACwAXAAiAFwAIgAsAFwAIgBcACIALABcACIAXAAiACwAMgA1AC4AOQAsADMALgA5ACwAMQA1AC4AOQAsADAALgAzACwAXAAiAE4AaQB0AHIAbwBnAGUAbgAgAC0AIABHAGUAbgBlAHIAaQBjAFwAIgAsADAALgAyADUAOQAsAFwAIgBQAGgAbwBzAHAAaABvAHIAdQBzACAALQAgAEcAZQBuAGUAcgBpAGMAXAAiACwAMAAuADAAMwA5ACwAXAAiAFAAbwB0AGEAcwBzAGkAdQBtACAALQAgAEcAZQBuAGUAcgBpAGMAXAAiACwAMAAuADEANQA5ACwAXAAiAFMAdQBsAGYAdQByACAALQAgAEcAZQBuAGUAcgBpAGMAXAAiACwAMAAuADAAMAAzACwAXAAiAFwAIgAsAFwAIgBcACIALABcACIAXAAiACwAXAAiAFwAIgAsAFwAIgBcACIALABcACIAXAAiACwAXAAiAFwAIgAsAFwAIgBcACIALABcACIAXAAiACwAXAAiAFwAIgAsAFwAIgBcACIALABcACIAXAAiADsAXABuAFwAIgBZAGEAcgBhACAAQQB1AHMAdAByAGEAbABpAGEAXAAiACwAXAAiAFkAYQByAGEATQBpAGwAYQAgAEEAQwBUAFkAVgBBACAAUwBcACIALABcACIAawBnAFwAIgAsADEALABcACIAXAAiACwAXAAiAFwAIgAsAFwAIgBcACIALAAxADUALgA2ACwANgAuADMANwAsADEAMgAuADQANQAsADIALgA2ACwAXAAiAE4AaQB0AHIAbwBnAGUAbgAgAC0AIABOAGkAdAByAGEAdABlAFwAIgAsADAALgAwADUAOAAsAFwAIgBOAGkAdAByAG8AZwBlAG4AIAAtACAAQQBtAG0AbwBuAGkAYQBjAGEAbABcACIALAAwAC4AMAA5ADgALABcACIAUABoAG8AcwBwAGgAbwByAHUAcwAgAC0AIABHAGUAbgBlAHIAaQBjAFwAIgAsADAALgAwADYAMwA3ADEANAAsAFwAIgBQAG8AdABhAHMAcwBpAHUAbQAgAC0AIABHAGUAbgBlAHIAaQBjAFwAIgAsADAALgAxADIANAA1ADEANQAsAFwAIgBTAHUAbABmAHUAcgAgAC0AIABHAGUAbgBlAHIAaQBjAFwAIgAsADAALgAwADIANgAsAFwAIgBcACIALABcACIAXAAiACwAXAAiAFwAIgAsAFwAIgBcACIALABcACIAXAAiACwAXAAiAFwAIgAsAFwAIgBcACIALABcACIAXAAiACwAXAAiAFwAIgAsAFwAIgBcACIAOwBcAG4AXAAiAEMAUwBCAFAAXAAiACwAXAAiAEEAZwBmAGwAbwB3ACAARQB4AHQAcgBhAFwAIgAsAFwAIgBrAGcAXAAiACwAMQAsAFwAIgBcACIALABcACIAXAAiACwAXAAiAFwAIgAsADEAMQAuADEANQAsADEANwAuADUAMgAsAFwAIgBcACIALAAzAC4ANgAsAFwAIgBNAG8AbgBvAGEAbQBtAG8AbgBpAHUAbQAgAHAAaABvAHMAcABoAGEAdABlACAAKABNAEEAUAApAFwAIgAsADAALgA4ACwAXAAiAFMAdQBsAHAAaABhAHQAZQAgAG8AZgAgAGEAbQBtAG8AbgBpAGEAIAAoAFMATwBBACkAXAAiACwAMAAuADEANQAsAFwAIgBDAG8AcABwAGUAcgBcACIALABcACIATgBvACAAZABhAHQAYQBcACIALABcACIATQBvAGwAeQBiAGQAZQBuAHUAbQBcACIALABcACIATgBvACAAZABhAHQAYQBcACIALABcACIAWgBpAG4AYwBcACIALABcACIATgBvACAAZABhAHQAYQBcACIALABcACIAXAAiACwAXAAiAFwAIgAsAFwAIgBcACIALABcACIAXAAiACwAXAAiAFwAIgAsAFwAIgBcACIALABcACIAXAAiACwAXAAiAFwAIgAsAFwAIgBcACIALABcACIAXAAiADsAXABuAFwAIgBDAFMAQgBQAFwAIgAsAFwAIgBTAHUAcABlAHIAIAAmACAAUABvAHQAYQBzAGgAIAAzADoAMQBcACIALABcACIAawBnAFwAIgAsADEALABcACIAXAAiACwAXAAiAFwAIgAsAFwAIgBcACIALABcACIAXAAiACwANQAuADUALAAxADUALAA2AC4AOAA4ACwAXAAiAFMAaQBuAGcAbABlACAAcwB1AHAAZQByAHAAaABvAHMAcABoAGEAdABlACAAKABTAFMAUAApAFwAIgAsADAALgA2ADIANQAsAFwAIgBNAHUAcgBpAGEAdABlACAAbwBmACAAcABvAHQAYQBzAGgAIAAoAE0ATwBQACkAXAAiACwAMAAuADMALABcACIAXAAiACwAXAAiAFwAIgAsAFwAIgBcACIALABcACIAXAAiACwAXAAiAFwAIgAsAFwAIgBcACIALABcACIAXAAiACwAXAAiAFwAIgAsAFwAIgBcACIALABcACIAXAAiACwAXAAiAFwAIgAsAFwAIgBcACIALABcACIAXAAiACwAXAAiAFwAIgAsAFwAIgBcACIALABcACIAXAAiADsAXABuAFwAIgBZAGEAcgBhAFwAIgAsAFwAIgBZAGEAcgBhAEIAZQBsAGEAIABDAEEATgAtADIANwBcACIALABcACIAawBnAFwAIgAsADEALABcACIAXAAiACwAXAAiAFwAIgAsAFwAIgBcACIALAAyADcALABcACIAXAAiACwAXAAiAFwAIgAsAFwAIgBcACIALABcACIAQwBhAGwAYwBpAHUAbQAgAGEAbQBtAG8AbgBpAHUAbQAgAG4AaQB0AHIAYQB0AGUAIAAoAEMAQQBO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wBhAGwALQBHAHIAYQBuACAAQQBmAHQAZQByAGcAcgBhAHoAZQBcACIALABcACIAawBnAFwAIgAsADEALABcACIAXAAiACwAXAAiAFwAIgAsAFwAIgBcACIALAAyADAALgA2ACwAMwAsADcALgA1ACwAMwAuADgALABcACIATgBpAHQAcgBvAGcAZQBuACAALQAgAE4AaQB0AHIAYQB0AGUAXAAiACwAMAAuADAANgA0ACwAXAAiAE4AaQB0AHIAbwBnAGUAbgAgAC0AIABBAG0AbQBvAG4AaQBhAGMAYQBsAFwAIgAsADAALgAxADQAMgAsAFwAIgBQAGgAbwBzAHAAaABvAHIAdQBzACAALQAgAEcAZQBuAGUAcgBpAGMAXAAiACwAMAAuADAAMwAsAFwAIgBQAG8AdABhAHMAcwBpAHUAbQAgAC0AIABHAGUAbgBlAHIAaQBjAFwAIgAsADAALgAwADcANQAsAFwAIgBTAHUAbABmAHUAcgAgAC0AIABHAGUAbgBlAHIAaQBjAFwAIgAsADAALgAwADMAOAAsAFwAIgBDAGEAbABjAGkAdQBtAFwAIgAsADAALgAwADQANAAsAFwAIgBcACIALABcACIAXAAiACwAXAAiAFwAIgAsAFwAIgBcACIALABcACIAXAAiACwAXAAiAFwAIgAsAFwAIgBcACIALABcACIAXAAiADsAXABuAFwAIgBJAG4AYwBpAHQAZQBjACAAUABpAHYAbwB0ACAARgBlAHIAdABpAGwAaQBzAGUAcgBzAFwAIgAsAFwAIgBDAGEAbAAtAEcAcgBhAG4AIABQAHIAbwBkAHIAZQBzAHMAXAAiACwAXAAiAGsAZwBcACIALAAxACwAXAAiAFwAIgAsAFwAIgBcACIALABcACIAXAAiACwAMQA3AC4AOAAsADEALAAxADUALAAyAC4ANQAsAFwAIgBOAGkAdAByAG8AZwBlAG4AIAAtACAATgBpAHQAcgBhAHQAZQBcACIALAAwAC4AMAA1ADUALABcACIATgBpAHQAcgBvAGcAZQBuACAALQAgAEEAbQBtAG8AbgBpAGEAYwBhAGwAXAAiACwAMAAuADEAMgAzACwAXAAiAFAAaABvAHMAcABoAG8AcgB1AHMAIAAtACAARwBlAG4AZQByAGkAYwBcACIALAAwAC4AMAAxACwAXAAiAFAAbwB0AGEAcwBzAGkAdQBtACAALQAgAEcAZQBuAGUAcgBpAGMAXAAiACwAMAAuADEANQAsAFwAIgBTAHUAbABmAHUAcgAgAC0AIABHAGUAbgBlAHIAaQBjAFwAIgAsADAALgAwADIANQAsAFwAIgBDAGEAbABjAGkAdQBtAFwAIgAsADAALgAwADQANAAsAFwAIgBcACIALABcACIAXAAiACwAXAAiAFwAIgAsAFwAIgBcACIALABcACIAXAAiACwAXAAiAFwAIgAsAFwAIgBcACIALABcACIAXAAiADsAXABuAFwAIgBXAGUAbgBnAGYAdQAgAEEAdQBzAHQAcgBhAGwAaQBhAFwAIgAsAFwAIgBXAGUAbgBnAGYAdQAgAFAAcgBpAG0AZQBaAGkAbgBjACAAMQAwAFwAIgAsAFwAIgBrAGcAXAAiACwAMQAsAFwAIgBcACIALABcACIAXAAiACwAXAAiAFwAIgAsADEAMAAsADIAMgAsAFwAIgBcACIALAAxAC4ANQAsAFwAIgBOAGkAdAByAG8AZwBlAG4AIAAtACAARwBlAG4AZQByAGkAYwBcACIALAAwAC4AMQAsAFwAIgBQAGgAbwBzAHAAaABvAHIAdQBzACAALQAgAEcAZQBuAGUAcgBpAGMAXAAiACwAMAAuADIAMgAsAFwAIgBTAHUAbABmAHUAcgAgAC0AIABHAGUAbgBlAHIAaQBjAFwAIgAsADAALgAwADEANQAsAFwAIgBaAGkAbgBjAFwAIgAsADAALgAwADEALABcACIAXAAiACwAXAAiAFwAIgAsAFwAIgBcACIALABcACIAXAAiACwAXAAiAFwAIgAsAFwAIgBcACIALABcACIAXAAiACwAXAAiAFwAIgAsAFwAIgBcACIALABcACIAXAAiACwAXAAiAFwAIgAsAFwAIgBcACIAOwBcAG4AXAAiAFcAZQBuAGcAZgB1ACAAQQB1AHMAdAByAGEAbABpAGEAXAAiACwAXAAiAFcAZQBuAGcAZgB1ACAAUABhAHMAdAB1AHIAZQAgAEsAaQBuAGcAXAAiACwAXAAiAGsAZwBcACIALAAxACwAXAAiAFwAIgAsAFwAIgBcACIALABcACIAXAAiACwAXAAiAFwAIgAsADEANQAuADcALABcACIAXAAiACwANAAuADYALABcACIAUABoAG8AcwBwAGgAbwByAHUAcwAgAC0AIABHAGUAbgBlAHIAaQBjAFwAIgAsADAALgAxADUANwAsAFwAIgBTAHUAbABmAHUAcgAgAC0AIABHAGUAbgBlAHIAaQBjAFwAIgAsADAALgAwADQANgAsAFwAIgBDAGEAbABjAGkAdQBtAFwAIgAsADAALgAxADQALABcACIAXAAiACwAXAAiAFwAIgAsAFwAIgBcACIALABcACIAXAAiACwAXAAiAFwAIgAsAFwAIgBcACIALABcACIAXAAiACwAXAAiAFwAIgAsAFwAIgBcACIALABcACIAXAAiACwAXAAiAFwAIgAsAFwAIgBcACIALABcACIAXAAiACwAXAAiAFwAIgA7AFwAbgBcACIAVwBlAG4AZwBmAHUAIABBAHUAcwB0AHIAYQBsAGkAYQBcACIALABcACIAVwBlAG4AZwBmAHUAIABTAHUAUwB0AGEAaQBuAFwAIgAsAFwAIgBrAGcAXAAiACwAMQAsAFwAIgBcACIALABcACIAXAAiACwAXAAiAFwAIgAsAFwAIgBcACIALABcACIAXAAiACwAXAAiAFwAIgAsADkAMAAsAFwAIgBTAHUAbABmAHUAcgAgAC0AIABHAGUAbgBlAHIAaQBjAFwAIgAsADAALgA5ACwAXAAiAFwAIgAsAFwAIgBcACI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bABhAG0AXAAiACwAXAAiAGsAZwBcACIALAAxACwAXAAiAFwAIgAsAFwAIgBcACIALABcACIAXAAiACwAMQA5AC4ANQAsADAALgA3ACwAXAAiAFwAIgAsADIAMwAsAFwAIgBOAGkAdAByAG8AZwBlAG4AIAAtACAARwBlAG4AZQByAGkAYwBcACIALAAwAC4AMQA5ADUALABcACIAUABoAG8AcwBwAGgAbwByAHUAcwAgAC0AIABHAGUAbgBlAHIAaQBjAFwAIgAsADAALgAwADAANwAsAFwAIgBTAHUAbABmAHUAcgAgAC0AIABHAGUAbgBlAHIAaQBjAFwAIgAsADAALgAyADMALABcACIAXAAiACwAXAAiAFwAIgAsAFwAIgBcACIALABcACIAXAAiACwAXAAiAFwAIgAsAFwAIgBcACIALABcACIAXAAiACwAXAAiAFwAIgAsAFwAIgBcACIALABcACIAXAAiACwAXAAiAFwAIgAsAFwAIgBcACIALABcACIAXAAiACwAXAAiAFwAIgA7AFwAbgBcACIAVwBlAG4AZwBmAHUAIABBAHUAcwB0AHIAYQBsAGkAYQBcACIALABcACIAVwBlAG4AZwBmAHUAIABQAHIAaQBtAGUAIABNAFMAWgBcACIALABcACIAawBnAFwAIgAsADEALABcACIAXAAiACwAXAAiAFwAIgAsAFwAIgBcACIALAAxADAALAAxADgALABcACIAXAAiACwAOAAsAFwAIgBOAGkAdAByAG8AZwBlAG4AIAAtACAARwBlAG4AZQByAGkAYwBcACIALAAwAC4AMQAsAFwAIgBQAGgAbwBzAHAAaABvAHIAdQBzACAALQAgAEcAZQBuAGUAcgBpAGMAXAAiACwAMAAuADEAOAAsAFwAIgBTAHUAbABmAHUAcgAgAC0AIABHAGUAbgBlAHIAaQBjAFwAIgAsADAALgAwADgALABcACIAWgBpAG4AYwBcACIALAAwAC4AMAAwADUALABcACIAXAAiACwAXAAiAFwAIgAsAFwAIgBcACIALABcACIAXAAiACwAXAAiAFwAIgAsAFwAIgBcACIALABcACIAXAAiACwAXAAiAFwAIgAsAFwAIgBcACIALABcACIAXAAiACwAXAAiAFwAIgAsAFwAIgBcACIAOwBcAG4AXAAiAFcAZQBuAGcAZgB1ACAAQQB1AHMAdAByAGEAbABpAGEAXAAiACwAXAAiAFcAZQBuAGcAZgB1ACAAOQAtADIAMAAtADAALQAxADAAIABNAEEAUAAgAFMAdQBTAHQAYQBpAG4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xADUALQAxADcALQAwAC0AMQA1ACAARABBAFAAIABTAHUAUwB0AGEAaQBuAFwAIgAsAFwAIgBrAGcAXAAiACwAMQAsAFwAIgBcACIALABcACIAXAAiACwAXAAiAFwAIgAsADEANQAuADIALAAxADYALgA5ACwAMAAsADEANQAuADIALABcACIATgBpAHQAcgBvAGcAZQBuACAALQAgAEcAZQBuAGUAcgBpAGMAXAAiACwAMAAuADEANQAyACwAXAAiAFAAaABvAHMAcABoAG8AcgB1AHMAIAAtACAARwBlAG4AZQByAGkAYwBcACIALAAwAC4AMQA2ADkALABcACIAUwB1AGwAZgB1AHIAIAAtACAARwBlAG4AZQByAGkAYwBcACIALAAwAC4AMQA1ADIALABcACIAXAAiACwAXAAiAFwAIgAsAFwAIgBcACIALABcACIAXAAiACwAXAAiAFwAIgAsAFwAIgBcACIALABcACIAXAAiACwAXAAiAFwAIgAsAFwAIgBcACIALABcACIAXAAiACwAXAAiAFwAIgAsAFwAIgBcACIALABcACIAXAAiACwAXAAiAFwAIgA7AFwAbgBcACIAVwBlAG4AZwBmAHUAIABBAHUAcwB0AHIAYQBsAGkAYQBcACIALABcACIAVwBlAG4AZwBmAHUAIAAxADYALQAxADgALQAwAC0AMQAwACAARABBAFAAIABTAHUAUwB0AGEAaQBuAFwAIgAsAFwAIgBrAGcAXAAiACwAMQAsAFwAIgBcACIALABcACIAXAAiACwAXAAiAFwAIgAsADEANgAuADIALAAxADgALAAwACwAMQAwAC4ANAAsAFwAIgBOAGkAdAByAG8AZwBlAG4AIAAtACAARwBlAG4AZQByAGkAYwBcACIALAAwAC4AMQA2ADIALABcACIAUABoAG8AcwBwAGgAbwByAHUAcwAgAC0AIABHAGUAbgBlAHIAaQBjAFwAIgAsADAALgAx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1AC0AMQA1AC0AMAAtADYAIABGAGEAcwB0ACAAUwB0AGEAcgB0ACAATABlAGcAdQBtAGUAXAAiACwAXAAiAGsAZwBcACIALAAxACwAXAAiAFwAIgAsAFwAIgBcACIALABcACIAXAAiACwANQAsADEANQAuADQALAAwACwANgAuADMALABcACIATgBpAHQAcgBvAGcAZQBuACAALQAgAEcAZQBuAGUAcgBpAGMAXAAiACwAMAAuADAANQAsAFwAIgBQAGgAbwBzAHAAaABvAHIAdQBzACAALQAgAEcAZQBuAGUAcgBpAGMAXAAiACwAMAAuADEANQA0ACwAXAAiAFMAdQBsAGYAdQByACAALQAgAEcAZQBuAGUAcgBpAGMAXAAiACwAMAAuADAANgAzACwAXAAiAFwAIgAsAFwAIgBcACIALABcACIAXAAiACwAXAAiAFwAIgAsAFwAIgBcACIALABcACIAXAAiACwAXAAiAFwAIgAsAFwAIgBcACIALABcACIAXAAiACwAXAAiAFwAIgAsAFwAIgBcACIALABcACIAXAAiACwAXAAiAFwAIgAsAFwAIgBcACIAOwBcAG4AXAAiAFcAZQBuAGcAZgB1ACAAQQB1AHMAdAByAGEAbABpAGEAXAAiACwAXAAiAFcAZQBuAGcAZgB1ACAAOQAtADIAMAAtADAALQAxADAAIABQAHIAaQBtAGUAWgBpAG4AYwBcACIALABcACIAawBnAFwAIgAsADEALABcACIAXAAiACwAXAAiAFwAIgAsAFwAIgBcACIALAA5ACwAMQA5AC4AOAAsADAALAAxADAALgA0ACwAXAAiAE4AaQB0AHIAbwBnAGUAbgAgAC0AIABHAGUAbgBlAHIAaQBjAFwAIgAsADAALgAwADkALABcACIAUABoAG8AcwBwAGgAbwByAHUAcwAgAC0AIABHAGUAbgBlAHIAaQBjAFwAIgAsADAALgAxADkAOAAsAFwAIgBTAHUAbABmAHUAcgAgAC0AIABHAGUAbgBlAHIAaQBjAFwAIgAsADAALgAxADAANAAsAFwAIgBaAGkAbgBjAFwAIgAsADAALgAwADAAOQAsAFwAIgBcACIALABcACIAXAAiACwAXAAiAFwAIgAsAFwAIgBcACIALABcACIAXAAiACwAXAAiAFwAIgAsAFwAIgBcACIALABcACIAXAAiACwAXAAiAFwAIgAsAFwAIgBcACIALABcACIAXAAiACwAXAAiAFwAIgA7AFwAbgBcACIAVwBlAG4AZwBmAHUAIABBAHUAcwB0AHIAYQBsAGkAYQBcACIALABcACIAVwBlAG4AZwBmAHUAIAAxADIALQAxADgALQAwAC0ANgAgAFAAcgBpAG0AZQBaAGkAbgBjAFwAIgAsAFwAIgBrAGcAXAAiACwAMQAsAFwAIgBcACIALABcACIAXAAiACwAXAAiAFwAIgAsADEAMQAuADkALAAxADcALgA2ACwAMAAsADUALgA5ACwAXAAiAE4AaQB0AHIAbwBnAGUAbgAgAC0AIABHAGUAbgBlAHIAaQBjAFwAIgAsADAALgAxADEAOQAsAFwAIgBQAGgAbwBzAHAAaABvAHIAdQBzACAALQAgAEcAZQBuAGUAcgBpAGMAXAAiACwAMAAuADEANwA2ACwAXAAiAFMAdQBsAGYAdQByACAALQAgAEcAZQBuAGUAcgBpAGMAXAAiACwAMAAuADAANQA5ACwAXAAiAFoAaQBuAGMAXAAiACwAMAAuADAAMAA4ACwAXAAiAFwAIgAsAFwAIgBcACIALABcACIAXAAiACwAXAAiAFwAIgAsAFwAIgBcACIALABcACIAXAAiACwAXAAiAFwAIgAsAFwAIgBcACIALABcACIAXAAiACwAXAAiAFwAIgAsAFwAIgBcACIALABcACIAXAAiADsAXABuAFwAIgBXAGUAbgBnAGYAdQAgAEEAdQBzAHQAcgBhAGwAaQBhAFwAIgAsAFwAIgBXAGUAbgBnAGYAdQAgADEANAAtADEAMwAtADAALQAxADEAIABQAHIAaQBtAGUAWgBpAG4AYwBcACIALABcACIAawBnAFwAIgAsADEALABcACIAXAAiACwAXAAiAFwAIgAsAFwAIgBcACIALAAxADQALgAxACwAMQAyAC4AOAAsADAALAAxADAALgA3ACwAXAAiAE4AaQB0AHIAbwBnAGUAbgAgAC0AIABHAGUAbgBlAHIAaQBjAFwAIgAsADAALgAxADQAMQAsAFwAIgBQAGgAbwBzAHAAaABvAHIAdQBzACAALQAgAEcAZQBuAGUAcgBpAGMAXAAiACwAMAAuADEAMgA4ACwAXAAiAFMAdQBsAGYAdQByACAALQAgAEcAZQBuAGUAcgBpAGMAXAAiACwAMAAuADEAMAA3ACwAXAAiAFoAaQBuAGMAXAAiACwAMAAuADAAMAA2ACwAXAAiAFwAIgAsAFwAIgBcACIALABcACIAXAAiACwAXAAiAFwAIgAsAFwAIgBcACIALABcACIAXAAiACwAXAAiAFwAIgAsAFwAIgBcACIALABcACIAXAAiACwAXAAiAFwAIgAsAFwAIgBcACIALABcACIAXAAiAFwAbgAgACAAfQAsACAAcgAsACAAYwApAFwAbgAgACkAKQApADsAXABuAFwAbgBcAG4ARgBlAHIAdABpAGwAaQBzAGUAcgBfAFAAcgBvAGQAdQBjAHQAcwBfAEQAYQB0AGEANQBcAG4APQBMAEEATQBCAEQAQQAoAFwAbgAgAE0AQQBLAEUAQQBSAFIAQQBZACgAMQA0ACwAIAAzADEALABcAG4AIABMAEEATQBCAEQAQQAoAHIALABjACwAXABuACAAIABJAE4ARABFAFgAKAB7AFwAbgBcACIAVwBlAG4AZwBmAHUAIABBAHUAcwB0AHIAYQBsAGkAYQBcACIALABcACIAVwBlAG4AZwBmAHUAIAAxADkALQAxADMALQAwAC0ANwAgAFAAcgBpAG0AZQBaAGkAbgBjAFwAIgAsAFwAIgBrAGcAXAAiACwAMQAsAFwAIgBcACIALABcACIAXAAiACwAXAAiAFwAIgAsADEAOAAuADYALAAxADIALgA3ACwAMAAsADYALgA4ACwAXAAiAE4AaQB0AHIAbwBnAGUAbgAgAC0AIABHAGUAbgBlAHIAaQBjAFwAIgAsADAALgAxADgANgAsAFwAIgBQAGgAbwBzAHAAaABvAHIAdQBzACAALQAgAEcAZQBuAGUAcgBpAGMAXAAiACwAMAAuADEAMgA3ACwAXAAiAFMAdQBsAGYAdQByACAALQAgAEcAZQBuAGUAcgBpAGMAXAAiACwAMAAuADAANgA4ACwAXAAiAFoAaQBuAGMAXAAiACwAMAAuADAAMAA2ACwAXAAiAFwAIgAsAFwAIgBcACIALABcACIAXAAiACwAXAAiAFwAIgAsAFwAIgBcACIALABcACIAXAAiACwAXAAiAFwAIgAsAFwAIgBcACIALABcACIAXAAiACwAXAAiAFwAIgAsAFwAIgBcACIALABcACIAXAAiADsAXABuAFwAIgBXAGUAbgBnAGYAdQAgAEEAdQBzAHQAcgBhAGwAaQBhAFwAIgAsAFwAIgBXAGUAbgBnAGYAdQAgAEIAbwBvAHMAdABlAHIAIABLAFwAIgAsAFwAIgBrAGcAXAAiACwAMQAsAFwAIgBcACIALABcACIAXAAiACwAXAAiAFwAIgAsADMAMgAsADAALAAxADEALAAzACwAXAAiAE4AaQB0AHIAbwBnAGUAbgAgAC0AIABHAGUAbgBlAHIAaQBjAFwAIgAsADAALgAzADIALABcACIAUABvAHQAYQBzAHMAaQB1AG0AIAAtACAARwBlAG4AZQByAGkAYwBcACIALAAwAC4AMQAxACwAXAAiAFMAdQBsAGYAdQByACAALQAgAEcAZQBuAGUAcgBpAGMAXAAiACwAMAAuADAAMwAsAFwAIgBcACIALABcACIAXAAiACwAXAAiAFwAIgAsAFwAIgBcACIALABcACIAXAAiACwAXAAiAFwAIgAsAFwAIgBcACIALABcACIAXAAiACwAXAAiAFwAIgAsAFwAIgBcACIALABcACIAXAAiACwAXAAiAFwAIgAsAFwAIgBcACIALABcACIAXAAiADsAXABuAFwAIgBXAGUAbgBnAGYAdQAgAEEAdQBzAHQAcgBhAGwAaQBhAFwAIgAsAFwAIgBXAGUAbgBnAGYAdQAgAEIAbwBvAHMAdABlAHIAIABSAGkAYwBoACAAMQBcACIALABcACIAawBnAFwAIgAsADEALABcACIAXAAiACwAXAAiAFwAIgAsAFwAIgBcACIALAAzADEALAA2ACwAMAAsADYALABcACIATgBpAHQAcgBvAGcAZQBuACAALQAgAEcAZQBuAGUAcgBpAGMAXAAiACwAMAAuADMAMQAsAFwAIgBQAGgAbwBzAHAAaABvAHIAdQBzACAALQAgAEcAZQBuAGUAcgBpAGMAXAAiACwAMAAuADAANgAsAFwAIgBTAHUAbABmAHUAcgAgAC0AIABHAGUAbgBlAHIAaQBjAFwAIgAsADAALgAwADYALABcACIAXAAiACwAXAAiAFwAIgAsAFwAIgBcACIALABcACIAXAAiACwAXAAiAFwAIgAsAFwAIgBcACIALABcACIAXAAiACwAXAAiAFwAIgAsAFwAIgBcACIALABcACIAXAAiACwAXAAiAFwAIgAsAFwAIgBcACIALABcACIAXAAiACwAXAAiAFwAIgA7AFwAbgBcACIAVwBlAG4AZwBmAHUAIABBAHUAcwB0AHIAYQBsAGkAYQBcACIALABcACIAVwBlAG4AZwBmAHUAIABCAG8AbwBzAHQAZQByACAARwByAGEAcwBzACAARABBAFAAXAAiACwAXAAiAGsAZwBcACIALAAxACwAXAAiAFwAIgAsAFwAIgBcACIALABcACIAXAAiACwAMgAxACwANAAsADgALAA3ACwAXAAiAE4AaQB0AHIAbwBnAGUAbgAgAC0AIABHAGUAbgBlAHIAaQBjAFwAIgAsADAALgAyADEALABcACIAUABoAG8AcwBwAGgAbwByAHUAcwAgAC0AIABHAGUAbgBlAHIAaQBjAFwAIgAsADAALgAwADQALABcACIAUABvAHQAYQBzAHMAaQB1AG0AIAAtACAARwBlAG4AZQByAGkAYwBcACIALAAwAC4AMAA4ACwAXAAiAFMAdQBsAGYAdQByACAALQAgAEcAZQBuAGUAcgBpAGMAXAAiACwAMAAuADAANwAsAFwAIgBcACIALABcACIAXAAiACwAXAAiAFwAIgAsAFwAIgBcACIALABcACIAXAAiACwAXAAiAFwAIgAsAFwAIgBcACIALABcACIAXAAiACwAXAAiAFwAIgAsAFwAIgBcACIALABcACIAXAAiACwAXAAiAFwAIgA7AFwAbgBcACIAVwBlAG4AZwBmAHUAIABBAHUAcwB0AHIAYQBsAGkAYQBcACIALABcACIAVwBlAG4AZwBmAHUAIABBAGYAdABlAHIAZwByAGEAegBlAFwAIgAsAFwAIgBrAGcAXAAiACwAMQAsAFwAIgBcACIALABcACIAXAAiACwAXAAiAFwAIgAsADIAMwAsADAALAAyADUALAAwACwAXAAiAE4AaQB0AHIAbwBnAGUAbgAgAC0AIABHAGUAbgBlAHIAaQBjAFwAIgAsADAALgAyADMALABcACIAUABvAHQAYQBzAHMAaQB1AG0AIAAtACAARwBlAG4AZQByAGkAYwBcACIALAAwAC4AMgA1ACwAXAAiAFwAIgAsAFwAIgBcACIALABcACIAXAAiACwAXAAiAFwAIgAsAFwAIgBcACIALABcACIAXAAiACwAXAAiAFwAIgAsAFwAIgBcACIALABcACIAXAAiACwAXAAiAFwAIgAsAFwAIgBcACIALABcACIAXAAiACwAXAAiAFwAIgAsAFwAIgBcACIALABcACIAXAAiACwAXAAiAFwAIgA7AFwAbgBcACIAVwBlAG4AZwBmAHUAIABBAHUAcwB0AHIAYQBsAGkAYQBcACIALABcACIAVwBlAG4AZwBmAHUAIABTAGkAZABlAGQAcgBlAHMAcwBcACIALABcACIAawBnAFwAIgAsADEALABcACIAXAAiACwAXAAiAFwAIgAsAFwAIgBcACIALAAyADUALAA0ACwAMQAzACwANAAsAFwAIgBOAGkAdAByAG8AZwBlAG4AIAAtACAARwBlAG4AZQByAGkAYwBcACIALAAwAC4AMgA1ACwAXAAiAFAAaABvAHMAcABoAG8AcgB1AHMAIAAtACAARwBlAG4AZQByAGkAYwBcACIALAAwAC4AMAA0ACwAXAAiAFAAbwB0AGEAcwBzAGkAdQBtACAALQAgAEcAZQBuAGUAcgBpAGMAXAAiACwAMAAuADEAMwAsAFwAIgBTAHUAbABmAHUAcgAgAC0AIABHAGUAbgBlAHIAaQBjAFwAIgAsADAALgAwADQALABcACIAXAAiACwAXAAiAFwAIgAsAFwAIgBcACIALABcACIAXAAiACwAXAAiAFwAIgAsAFwAIgBcACIALABcACIAXAAiACwAXAAiAFwAIgAsAFwAIgBcACIALABcACIAXAAiACwAXAAiAFwAIgAsAFwAIgBcACIAOwBcAG4AXAAiAFcAZQBuAGcAZgB1ACAAQQB1AHMAdAByAGEAbABpAGEAXAAiACwAXAAiAFcAZQBuAGcAZgB1ACAAUABhAHMAdAB1AHIAZQAgAEIAbwBvAHMAdABlAHIAXAAiACwAXAAiAGsAZwBcACIALAAxACwAXAAiAFwAIgAsAFwAIgBcACIALABcACIAXAAiACwAMQAzACwANQAsADIANAAsADUALABcACIATgBpAHQAcgBvAGcAZQBuACAALQAgAEcAZQBuAGUAcgBpAGMAXAAiACwAMAAuADEAMwAsAFwAIgBQAGgAbwBzAHAAaABvAHIAdQBzACAALQAgAEcAZQBuAGUAcgBpAGMAXAAiACwAMAAuADAANQAsAFwAIgBQAG8AdABhAHMAcwBpAHUAbQAgAC0AIABHAGUAbgBlAHIAaQBjAFwAIgAsADAALgAyADQALABcACIAUwB1AGwAZgB1AHIAIAAtACAARwBlAG4AZQByAGkAYwBcACIALAAwAC4AMAA1ACwAXAAiAFwAIgAsAFwAIgBcACIALABcACIAXAAiACwAXAAiAFwAIgAsAFwAIgBcACIALABcACIAXAAiACwAXAAiAFwAIgAsAFwAIgBcACIALABcACIAXAAiACwAXAAiAFwAIgAsAFwAIgBcACIALABcACIAXAAiADsAXABuAFwAIgBXAGUAbgBnAGYAdQAgAEEAdQBzAHQAcgBhAGwAaQBhAFwAIgAsAFwAIgBXAGUAbgBnAGYAdQAgAEQAQQBQACAASABhAHkAIABCAG8AbwBzAHQAZQByAFwAIgAsAFwAIgBrAGcAXAAiACwAMQAsAFwAIgBcACIALABcACIAXAAiACwAXAAiAFwAIgAsADEAMQAsADUALAAyADQALAA0ACwAXAAiAE4AaQB0AHIAbwBnAGUAbgAgAC0AIABHAGUAbgBlAHIAaQBjAFwAIgAsADAALgAxADEALABcACIAUABoAG8AcwBwAGgAbwByAHUAcwAgAC0AIABHAGUAbgBlAHIAaQBjAFwAIgAsADAALgAwADUALABcACIAUABvAHQAYQBzAHMAaQB1AG0AIAAtACAARwBlAG4AZQByAGkAYwBcACIALAAwAC4AMgA0ACwAXAAiAFMAdQBsAGYAdQByACAALQAgAEcAZQBuAGUAcgBpAGMAXAAiACwAMAAuADAANAAsAFwAIgBcACIALABcACIAXAAiACwAXAAiAFwAIgAsAFwAIgBcACIALABcACIAXAAiACwAXAAiAFwAIgAsAFwAIgBcACIALABcACIAXAAiACwAXAAiAFwAIgAsAFwAIgBcACIALABcACIAXAAiACwAXAAiAFwAIgA7AFwAbgBcACIAVwBlAG4AZwBmAHUAIABBAHUAcwB0AHIAYQBsAGkAYQBcACIALABcACIAVwBlAG4AZwBmAHUAIABNAEEAUAAgAEgAYQB5ACAAQgBvAG8AcwB0AGUAcgBcACIALABcACIAawBnAFwAIgAsADEALABcACIAXAAiACwAXAAiAFwAIgAsAFwAIgBcACIALAAxADEALAA4ACwAMgAwACwANgAsAFwAIgBOAGkAdAByAG8AZwBlAG4AIAAtACAARwBlAG4AZQByAGkAYwBcACIALAAwAC4AMQAxACwAXAAiAFAAaABvAHMAcABoAG8AcgB1AHMAIAAtACAARwBlAG4AZQByAGkAYwBcACIALAAwAC4AMAA4ACwAXAAiAFAAbwB0AGEAcwBzAGkAdQBtACAALQAgAEcAZQBuAGUAcgBpAGMAXAAiACwAMAAuADIALABcACIAUwB1AGwAZgB1AHIAIAAtACAARwBlAG4AZQByAGkAYwBcACIALAAwAC4AMAA2ACwAXAAiAFwAIgAsAFwAIgBcACIALABcACIAXAAiACwAXAAiAFwAIgAsAFwAIgBcACIALABcACIAXAAiACwAXAAiAFwAIgAsAFwAIgBcACIALABcACIAXAAiACwAXAAiAFwAIgAsAFwAIgBcACIALABcACIAXAAiADsAXABuAFwAIgBXAGUAbgBnAGYAdQAgAEEAdQBzAHQAcgBhAGwAaQBhAFwAIgAsAFwAIgBXAGUAbgBnAGYAdQAgAEYAbwBkAGQAZQByACAAQgBvAG8AcwB0AGUAcgBcACIALABcACIAawBnAFwAIgAsADEALABcACIAXAAiACwAXAAiAFwAIgAsAFwAIgBcACIALAA5ACwANAAsADUALAAxADUALABcACIATgBpAHQAcgBvAGcAZQBuACAALQAgAEcAZQBuAGUAcgBpAGMAXAAiACwAMAAuADAAOQAsAFwAIgBQAGgAbwBzAHAAaABvAHIAdQBzACAALQAgAEcAZQBuAGUAcgBpAGMAXAAiACwAMAAuADAANAAsAFwAIgBQAG8AdABhAHMAcwBpAHUAbQAgAC0AIABHAGUAbgBlAHIAaQBjAFwAIgAsADAALgAwADUALABcACIAUwB1AGwAZgB1AHIAIAAtACAARwBlAG4AZQByAGkAYwBcACIALAAwAC4AMQA1ACwAXAAiAFwAIgAsAFwAIgBcACIALABcACIAXAAiACwAXAAiAFwAIgAsAFwAIgBcACIALABcACIAXAAiACwAXAAiAFwAIgAsAFwAIgBcACIALABcACIAXAAiACwAXAAiAFwAIgAsAFwAIgBcACIALABcACIAXAAiADsAXABuAFwAIgBDAFMAQgBQAFwAIgAsAFwAIgBLAC0AVABpAGwAbAAgAEUAeAB0AHIAYQBcACIALABcACIAawBnAFwAIgAsADEALABcACIAXAAiACwAXAAiAFwAIgAsAFwAIgBcACIALAAxADAALgA3ADMALAAxADAALgA5ADUALAAxADEALgAzADUALAA2AC4ANQA1ACwAXAAiAE0AbwBuAG8AYQBtAG0AbwBuAGkAdQBtACAAcABoAG8AcwBwAGgAYQB0AGUAIAAoAE0AQQBQACkAXAAiACwAMAAuADUALABcACIAUwB1AGwAcABoAGEAdABlACAAbwBmACAAYQBtAG0AbwBuAGkAYQAgACgAUwBPAEEAKQBcACIALAAwAC4AMgA3ADMALABcACIATQB1AHIAaQBhAHQAZQAgAG8AZgAgAHAAbwB0AGEAcwBoACAAKABNAE8AUAApAFwAIgAsADAALgAyADIANwAsAFwAIgBDAG8AcABwAGUAcgBcACIALABcACIATgBvACAAZABhAHQAYQBcACIALABcACIAWgBpAG4AYwBcACIALABcACIATgBvACAAZABhAHQAYQBcACIALABcACIAXAAiACwAXAAiAFwAIgAsAFwAIgBcACIALABcACIAXAAiACwAXAAiAFwAIgAsAFwAIgBcACIALABcACIAXAAiACwAXAAiAFwAIgAsAFwAIgBcACIALABcACIAXAAiADsAXABuAFwAIgBDAFMAQgBQAFwAIgAsAFwAIgBBAGcAcgBhAHMAIABFAHgAdAByAGEAXAAiACwAXAAiAGsAZwBcACIALAAxACwAXAAiAFwAIgAsAFwAIgBcACIALABcACIAXAAiACwAMQA2AC4AOQA1ACwAOAAuADAANgAsAFwAIgBcACIALAAxADUALgAxADcALABcACIAUwB1AGwAcABoAGEAdABlACAAbwBmACAAYQBtAG0AbwBuAGkAYQAgACgAUwBPAEEAKQBcACIALAAwAC4ANgAzADIALABcACIATQBvAG4AbwBhAG0AbQBvAG4AaQB1AG0AIABwAGgAbwBzAHAAaABhAHQAZQAgACgATQBBAFAAKQBcACIALAAwAC4AMwA2ADgALABcACIAWgBpAG4AYwBcACIALABcACIATgBvACAAZABhAHQAYQBcACIALABcACIAQwBvAHAAcABlAHIAXAAiACwAXAAiAE4AbwAgAGQAYQB0AGEAXAAiACwAXAAiAE0AbwBsAHkAYgBkAGUAbgB1AG0AXAAiACwAXAAiAE4AbwAgAGQAYQB0AGEAXAAiACwAXAAiAEMAbwBiAGEAbAB0AFwAIgAsAFwAIgBOAG8AIABkAGEAdABhAFwAIgAsAFwAIgBcACIALABcACIAXAAiACwAXAAiAFwAIgAsAFwAIgBcACIALABcACIAXAAiACwAXAAiAFwAIgAsAFwAIgBcACIALABcACIAXAAiADsAXABuAFwAIgBDAFMAQgBQAFwAIgAsAFwAIgBTAHUAcABlAHIAIABDAG8AcABwAGUAcgAgAFoAaQBuAGMAIABNAG8AbAB5AFwAIgAsAFwAIgBrAGcAXAAiACwAMQAsAFwAIgBcACIALABcACIAXAAiACwAXAAiAFwAIgAsAFwAIgBcACIALAA4AC4AOAAsAFwAIgBcACIALAAxADEALABcACIAUwBpAG4AZwBsAGUAIABzAHUAcABlAHIAcABoAG8AcwBwAGgAYQB0AGUAIAAoAFMAUwBQACkAXAAiACwAMQAsAFwAIgBDAG8AcABwAGUAcgBcACIALAAwAC4AMAAwADYALABcACIAWgBpAG4AYwBcACIALAAwAC4AMAAwADMALABcACIATQBvAGwAeQBiAGQAZQBuAHUAbQBcACIALAAwAC4AMAAwADAANgAsAFwAIgBcACIALABcACIAXAAiACwAXAAiAFwAIgAsAFwAIgBcACIALABcACIAXAAiACwAXAAiAFwAIgAsAFwAIgBcACIALABcACIAXAAiACwAXAAiAFwAIgAsAFwAIgBcACIALABcACIAXAAiACwAXAAiAFwAIgA7AFwAbgBcACIAQwBTAEIAUABcACIALABcACIARgBsAGUAeABpAC0ATgBcACIALABcACIATABcACIALAAxAC4AMwAyACwAXAAiAFwAIgAsAFwAIgBcACIALABcACIAXAAiACwAMwAyACwAXAAiAFwAIgAsAFwAIgBcACIALABcACIAXAAiACwAXAAiAFUAcgBlAGEALQBhAG0AbQBvAG4AaQB1AG0AIABuAGkAdAByAGEAdABlACAAKABVAEEATgApAFwAIgAsADEALABcACIAXAAiACwAXAAiAFwAIgAsAFwAIgBcACIALABcACIAXAAiACwAXAAiAFwAIgAsAFwAIgBcACIALABcACIAXAAiACwAXAAiAFwAIgAsAFwAIgBcACIALABcACIAXAAiACwAXAAiAFwAIgAsAFwAIgBcACIALABcACIAXAAiACwAXAAiAFwAIgAsAFwAIgBcACIALABcACIAXAAiACwAXAAiAFwAIgAsAFwAIgBcACIAXABuACAAIAB9ACwAIAByACwAIABjACkAXABuACAAKQApACkAOwBcAG4AXABuAFwAbgBcAG4AIgB9ACwAewAiAHAAYQB0AGgAIgA6ACIALwBwAHIAbwBqAGUAYwB0AHMALwBGAGUAcgB0AGkAbABpAHMAZQByAF8ASQBuAHAAdQB0AEYAdQBuAGMAdABpAG8AbgBzACIALAAiAHQAZQB4AHQAIgA6ACIARgBlAHIAdABpAGwAaQBzAGUAcgBfAEYAZQByAHQAaQBsAGkAcwBlAHIAUAByAG8AZAB1AGMAdABMAG8AbwBrAHUAcABcAG4APQBMAEEATQBCAEQAQQAoAFwAbgAgACAAUAByAG8AZAB1AGMAdAAsAFwAbgAgACAAUAByAG8AZAB1AGMAdABBAHQAdAByAGkAYgB1AHQAZQAsAFwAbgAgACAAUAByAG8AZAB1AGMAdABBAHIAcgBhAHkALABcAG4AIAAgAFAAcgBvAGQAdQBjAHQAQQByAHIAYQB5AEMAbwBsAHUAbQBuACwAXABuACAAIABQAHIAbwBkAHUAYwB0AEEAcgByAGEAeQBIAGUAYQBkAGUAcgBzACwAXABuACAAIABJAEYARQBSAFIATwBSACgAXABuACAAIAAgACAASQBOAEQARQBYACgAXABuACAAIAAgACAAIAAgAFAAcgBvAGQAdQBjAHQAQQByAHIAYQB5ACwAXABuACAAIAAgACAAIAAgAFgATQBBAFQAQwBIACgAXABuACAAIAAgACAAIAAgACAAIABUAFIASQBNACgAXABuACAAIAAgACAAIAAgACAAIAAgACAAUAByAG8AZAB1AGMAdABcAG4AIAAgACAAIAAgACAAIAAgACkALABcAG4AIAAgACAAIAAgACAAIAAgAFAAcgBvAGQAdQBjAHQAQQByAHIAYQB5AEMAbwBsAHUAbQBuACwAXABuACAAIAAgACAAIAAgACAAIAAwAFwAbgAgACAAIAAgACAAIAApACwAXABuACAAIAAgACAAIAAgAFgATQBBAFQAQwBIACgAXABuACAAIAAgACAAIAAgACAAIABUAFIASQBNACgAXABuACAAIAAgACAAIAAgACAAIAAgACAAUAByAG8AZAB1AGMAdABBAHQAdAByAGkAYgB1AHQAZQBcAG4AIAAgACAAIAAgACAAIAAgACkALABcAG4AIAAgACAAIAAgACAAIAAgAFAAcgBvAGQAdQBjAHQAQQByAHIAYQB5AEgAZQBhAGQAZQByAHMALABcAG4AIAAgACAAIAAgACAAIAAgADAAXABuACAAIAAgACAAIAAgACkAXABuACAAIAAgACAAKQAsAFwAbgAgACAAIAAgAFwAIgBcACIAXABuACAAIAApAFwAbgApADsAXABuAFwAbgBGAGUAcgB0AGkAbABpAHMAZQByAF8AUwB1AG0AUAByAG8AZAB1AGMAdABBAHAAcABsAGkAZQBkAFwAbgA9AEwAQQBNAEIARABBACgAXABuACAAIABMAG8AbwBrAHUAcABUAGEAcgBnAGUAdAAxACwAXABuACAAIABMAG8AbwBrAHUAcABBAHIAcgBhAHkAMQAsAFwAbgAgACAAQQBtAG8AdQBuAHQAQQBwAHAAbABpAGUAZAAsAFwAbgAgACAAWwBMAG8AbwBrAHUAcABUAGEAcgBnAGUAdAAyAF0ALABcAG4AIAAgAFsATABvAG8AawB1AHAAQQByAHIAYQB5ADIAXQAsAFwAbgAgACAATABFAFQAKABcAG4AIAAgACAAIABjAHIAaQB0AGUAcgBpAGEAMQAsAFwAbgAgACAAIAAgAC0ALQAoAFwAbgAgACAAIAAgACAAIABMAG8AbwBrAHUAcABBAHIAcgBhAHkAMQAgAD0AIABMAG8AbwBrAHUAcABUAGEAcgBnAGUAdAAxAFwAbgAgACAAIAAgACkALABcAG4AIAAgACAAIABjAHIAaQB0AGUAcgBpAGEAMgAsAFwAbgAgACAAIAAgAEkARgAoAFwAbgAgACAAIAAgACAAIABJAFMATwBNAEkAVABUAEUARAAoAFwAbgAgACAAIAAgACAAIAAgACAATABvAG8AawB1AHAAVABhAHIAZwBlAHQAMgBcAG4AIAAgACAAIAAgACAAKQAsAFwAbgAgACAAIAAgACAAIAAxACwAXABuACAAIAAgACAAIAAgAC0ALQAoAFwAbgAgACAAIAAgACAAIAAgACAATABvAG8AawB1AHAAQQByAHIAYQB5ADIAIAA9ACAATABvAG8AawB1AHAAVABhAHIAZwBlAHQAMgBcAG4AIAAgACAAIAAgACAAKQBcAG4AIAAgACAAIAApACwAXABuACAAIAAgACAAUwBVAE0AUABSAE8ARABVAEMAVAAoAFwAbgAgACAAIAAgACAAIABJAEYARQBSAFIATwBSACgAYwByAGkAdABlAHIAaQBhADEAIAAqACAAYwByAGkAdABlAHIAaQBhADIAIAAqACAAQQBtAG8AdQBuAHQAQQBwAHAAbABpAGUAZAAsACAAMAApAFwAbgAgACAAIAAgACkAXABuACAAIAApAFwAbgApADsAXABuAFwAbgBGAGUAcgB0AGkAbABpAHMAZQByAF8AVABvAHQAYQBsAFMAbwBpAGwAQQBtAGUAbgBkAG0AZQBuAHQAQQBwAHAAbABpAGUAZABcAG4APQBMAEEATQBCAEQAQQAoAFwAbgAgACAAQQBtAG8AdQBuAHQAQQBwAHAAbABpAGUAZAAsAFwAbgAgACAAQQBtAGUAbgBkAG0AZQBuAHQAUABlAHIAYwBlAG4AdAAsAFwAbgAgACAAUwBVAE0AUABSAE8ARABVAEMAVAAoAFwAbgAgACAAIAAgAEEAbQBvAHUAbgB0AEEAcABwAGwAaQBlAGQAIAAqACAAQQBtAGUAbgBkAG0AZQBuAHQAUABlAHIAYwBlAG4AdABcAG4AIAAgACkAXABuACkAOw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QAGUAcgBjAGUAbgB0ADE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FwAbgAgACAAIAAgACAAIAApACwAXABuACAAIAAgACAAIAAgADAAXABuACAAIAAgAC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bAFAAcgBvAGQAdQBjAHQASQBuAGcAcgBlAGQAaQBlAG4AdABTAG8AdQByAGMAZQBd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FAAcgBvAGQAdQBjAHQASQBuAGcAcgBlAGQAaQBlAG4AdABTAG8AdQByAGMAZQAsAFwAbgAgACAAIAAgAEkARgAoAFwAbgAgACAAIAAgACAAIABQAHIAbwBkAHUAYwB0AEkAbgBnAHIAZQBkAGkAZQBuAHQAUwBvAHUAcgBjAGUAIAA9ACAAXAAiAFwAIgAsAFwAbgAgACAAIAAgACAAIABcACIARwBsAG8AYgBhAGwAXAAiACwAXABuACAAIAAgACAAIAAgAFAAcgBvAGQAdQBjAHQASQBuAGcAcgBlAGQAaQBlAG4AdABTAG8AdQByAGMAZQ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AsAFwAbgAgACAAIAAgACAAIABTAG8AdQByAGMAZQAsAFwAbgAgACAAIAAgACAAIABQAHIAbwBkAHUAYwB0AEkAbgBnAHIAZQBkAGkAZQBuAHQAUwBvAHUAcgBjAGU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AsAFwAbgAgACAAIAAgACAAIAAgACAAUwBvAHUAcgBjAGUALABcAG4AIAAgACAAIAAgACAAIAAgAFAAcgBvAGQAdQBjAHQASQBuAGcAcgBlAGQAaQBlAG4AdABTAG8AdQByAGMAZQBcAG4AIAAgACAAIAAgACAAKQAsAFwAbgAgACAAIAAgACAAIAAwAFwAbgAgACAAIAAgACkAXABuACAAIAApAFwAbgApADsAXABuAFwAbgBGAGUAcgB0AGkAbABpAHMAZQByAF8ARwBlAHQAUwBjAG8AcABlADMARQBGAFwAbgA9AEwAQQBNAEIARABBACgAXABuACAAIABDAGgAZQBtAGkAYwBhAGwAQwBvAG0AcABvAHUAbgBkACwAXABuACAAIABTAGMAbwBwAGUAMwBBAHIAcgBhAHkALABcAG4AIAAgAEMAaABlAG0AaQBjAGEAbABDAG8AbQBwAG8AdQBuAGQAQwBvAGwAdQBtAG4ALABcAG4AIAAgAFMAbwB1AHIAYwBlACwAXABuACAAIABTAG8AdQByAGMAZQBSAG8AdwAsAFwAbgAgACAASQBOAEQARQBYACgAXABuACAAIAAgACAAUwBjAG8AcABlADM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UwBvAHUAcgBjAGUALABcAG4AIAAgACAAIAAgACAAUwBvAHUAcgBjAGUAUgBvAHcALABcAG4AIAAgACAAIAAgACAAMABcAG4AIAAgACAAIAApAFwAbgAgACAAKQBcAG4AKQA7AFwAbgBcAG4ARgBlAHIAdABpAGwAaQBzAGUAcgBfAEcAZQB0AEMAaABlAG0AaQBjAGEAbABDAG8AbQBwAG8AdQBuAGQARQBsAGUAbQBlAG4AdABGAHIAYQBjAHQAaQBvAG4AXABuAD0ATABBAE0AQgBEAEEAKABcAG4AIAAgAEMAaABlAG0AaQBjAGEAbABDAG8AbQBwAG8AdQBuAGQALABcAG4AIAAgAEUAbABlAG0AZQBuAHQALABcAG4AIAAgAEMAaABlAG0AaQBjAGEAbABDAG8AbQBwAG8AdQBuAGQAQQByAHIAYQB5ACwAXABuACAAIABDAGgAZQBtAGkAYwBhAGwAQwBvAG0AcABvAHUAbgBkAEMAbwBsAHUAbQBuACwAXABuACAAIABFAGwAZQBtAGUAbgB0AFIAbwB3ACwAXABuACAAIABJAE4ARABFAFgAKABcAG4AIAAgACAAIABDAGgAZQBtAGkAYwBhAGwAQwBvAG0AcABvAHUAbgBk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EUAbABlAG0AZQBuAHQALABcAG4AIAAgACAAIAAgACAARQBsAGUAbQBlAG4AdABSAG8AdwAsAFwAbgAgACAAIAAgACAAIAAwAFwAbgAgACAAIAAgACkAXABuACAAIAApAFwAbgApADsAXABuAFwAbgBGAGUAcgB0AGkAbABpAHMAZQByAF8AVABvAHQAYQBsAEEAYwB0AGkAdgBlAEkAbgBnAHIAZQBkAGkAZQBuAH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VQBuAGkAdAAxACwAXABuACAAIABQAHIAbwBkAHUAYwB0AEkAbgBnAHIAZQBkAGkAZQBuAHQAUABlAHIAYwBlAG4AdAAxACwAXABuACAAIABbAFAAcgBvAGQAdQBjAHQASQBuAGcAcgBlAGQAaQBlAG4AdAAyAF0ALABcAG4AIAAgAFsAUAByAG8AZAB1AGMAdABJAG4AZwByAGUAZABpAGUAbgB0AFUAbgBpAHQAMgBdACwAXABuACAAIABbAFAAcgBvAGQAdQBjAHQASQBuAGcAcgBlAGQAaQBlAG4AdABQAGUAcgBjAGUAbgB0ADIAXQAsAFwAbgAgACAAWwBQAHIAbwBkAHUAYwB0AEkAbgBnAHIAZQBkAGkAZQBuAHQAMwBdACwAXABuACAAIABbAFAAcgBvAGQAdQBjAHQASQBuAGcAcgBlAGQAaQBlAG4AdABVAG4AaQB0ADMAXQAsAFwAbgAgACAAWwBQAHIAbwBkAHUAYwB0AEkAbgBnAHIAZQBkAGkAZQBuAHQAUABlAHIAYwBlAG4AdAAzAF0ALABcAG4AIAAgAEwARQBUACgAXABuACAAIAAgACAAYwBhAGwAYwB1AGwAYQB0AGUAZABBAG0AbwB1AG4AdAAx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QAsAFwAbgAgACAAIAAgACAAIAAgACAAQQBtAG8AdQBuAHQAQQBwAHAAbABpAGUAZAAgACoAKABcAG4AIAAgACAAIAAgACAAIAAgACAAIABQAHIAbwBkAHUAYwB0AEkAbgBnAHIAZQBkAGkAZQBuAHQAUABlAHIAYwBlAG4AdAAxACAAKgAgADEAMAAgAF4AIAAtACAAMwBcAG4AIAAgACAAIAAgACAAIAAgACkAXABuACAAIAAgACAAIAAgACkAXABuACAAIAAgACAAKQAsAFwAbgAgACAAIAAgAGMAYQBsAGMAdQBsAGEAdABlAGQAQQBtAG8AdQBuAHQAMg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IALABcAG4AIAAgACAAIAAgACAAIAAgAEEAbQBvAHUAbgB0AEEAcABwAGwAaQBlAGQAIAAqACgAXABuACAAIAAgACAAIAAgACAAIAAgACAAUAByAG8AZAB1AGMAdABJAG4AZwByAGUAZABpAGUAbgB0AFAAZQByAGMAZQBuAHQAMgAgACoAIAAxADAAIABeACAALQAgADMAXABuACAAIAAgACAAIAAgACAAIAApAFwAbgAgACAAIAAgACAAIAApAFwAbgAgACAAIAAgACkALABcAG4AIAAgACAAIABjAGEAbABjAHUAbABhAHQAZQBkAEEAbQBvAHUAbgB0ADM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zACwAXABuACAAIAAgACAAIAAgACAAIABBAG0AbwB1AG4AdABBAHAAcABsAGkAZQBkACAAKgAoAFwAbgAgACAAIAAgACAAIAAgACAAIAAgAFAAcgBvAGQAdQBjAHQASQBuAGcAcgBlAGQAaQBlAG4AdABQAGUAcgBjAGUAbgB0ADMAIAAqACAAMQAwACAAXgAgAC0AIAAzAFwAbgAgACAAIAAgACAAIAAgACAAKQBcAG4AIAAgACAAIAAgACAAKQBcAG4AIAAgACAAIAApACwAXABuACAAIAAgACAARgBlAHIAdABpAGwAaQBzAGUAcgBfAEkAbgBwAHUAdABGAHUAbgBjAHQAaQBvAG4AcwAu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BcAG4AIAAgACkAXABuACk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pAHMAaAAgAGYAZQBlAGQAIABhAG4AZAAgAGIAYQBpAHQAXABuAD0APQA9AD0APQA9AD0APQA9AD0APQA9AD0APQA9AD0APQA9AD0APQA9AD0APQA9AD0APQA9AD0APQA9AD0APQA9AD0APQA9AD0APQA9AD0APQA9AD0APQA9AD0APQA9AD0APQA9AD0APQA9AD0APQA9AD0APQA9AD0APQA9AD0APQA9AD0APQA9AD0APQA9AD0APQA9AD0AXABuACoALwBcAG4AXABuAFMAYwBvAHAAZQAzAF8ARgBpAHMAaABGAGUAZQBkAEEAbgBkAEIAYQBpAHQAXwBUAGkAdABsAGUAXABuAD0ATABBAE0AQgBEAEEAKAAoAFwAIgBGAGkAcwBoACAAZgBlAGUAZAAgAGEAbgBkACAAYgBhAGkAdAAgAHMAYwBvAHAAZQAgADMAXAAiACkAKQA7AFwAbgBcAG4AUwBjAG8AcABlADMAXwBGAGkAcwBoAEYAZQBlAGQAQQBuAGQAQgBhAGkAdABfAFMAbwB1AHIAYwBlAFwAbgA9AEwAQQBNAEIARABBACgAKABcACIAVgBFAEUAUgBHACAAMgAwADIANgA6ACAAVABhAGIAbABlACAAQQAuADMALgAxAC4AMQA6ACAATABpAGYAZQAtAGMAeQBjAGwAZQAgAGUAbQBpAHMAcwBpAG8AbgAgAGYAYQBjAHQAbwByAHMAIABmAG8AcgAgAHAAdQByAGMAaABhAHMAZQBkACAAZgBlAGUAZAAgACgAawBnACAAQwBPADIAZQAvAGsAZwApACAAKABFAEYAagApAFwAIgApACkAOwBcAG4AXABuAFMAYwBvAHAAZQAzAF8ARgBpAHMAaABGAGUAZQBkAEEAbgBkAEIAYQBpAHQAXwBWAGEAcgBpAGEAdABpAG8AbgBcAG4APQBMAEEATQBCAEQAQQAoACgAXAAiAFwAIgApACkAOwBcAG4AXABuAFMAYwBvAHAAZQAzAF8ARgBpAHMAaABGAGUAZQBkAEEAbgBkAEIAYQBpAHQAXwBEAGEAdABhAFwAbgA9AEwAQQBNAEIARABBACgAXABuACAAIABNAEEASwBFAEEAUgBSAEEAWQAoADYALAAgADYALABcAG4AIAAgACAAIABMAEEATQBCAEQAQQAoAHIALABjACwAXABuACAAIAAgACAAIAAgAEkATgBEAEUAWAAoAHsAXABuACAAIAAgACAAIAAgACAAIABcACIAQ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kAcwBoACAAZgBlAGUAZAAgAGEAbgBkACAAYgBhAGkAdABcACIALAAgAFwAIgBTAGEAcgBkAGkAbgBlAHMAIAAoAHcAaABvAGwAZQApAFwAIgAsACAAXAAiAEEAdQBzAHQAcgBhAGwAaQBhAFwAIgAsACAAXAAiAGsAZwBcACIALAAgADAALgAzACwAIABcACIATgBvAHQAIABzAHAAZQBjAGkAZgBpAGUAZABcACIAOwBcAG4AIAAgACAAIAAgACAAIAAgAFwAIgBGAGkAcwBoACAAZgBlAGUAZAAgAGEAbgBkACAAYgBhAGkAdABcACIALAAgAFwAIgBMAG8AdwAgAEEAbgBpAG0AYQBsACAAUAByAG8AdABlAGkAbgAgAEYAbwByAG0AdQBsAGEAdABlAGQAIABGAGUAZQBkAFwAIgAsACAAXAAiAEEAdQBzAHQAcgBhAGwAaQBhAFwAIgAsACAAXAAiAGsAZwBcACIALAAgADIALgAyACwAIABcACIATgBvAHQAIABzAHAAZQBjAGkAZgBpAGUAZABcACIAOwBcAG4AIAAgACAAIAAgACAAIAAgAFwAIgBGAGkAcwBoACAAZgBlAGUAZAAgAGEAbgBkACAAYgBhAGkAdABcACIALAAgAFwAIgBTAHEAdQBpAGQAXAAiACwAIABcACIAQQB1AHMAdAByAGEAbABpAGEAXAAiACwAIABcACIAawBnAFwAIgAsACAAMAAuADMALAAgAFwAIgBOAG8AdAAgAHMAcABlAGMAaQBmAGkAZQBkAFwAIgA7AFwAbgAgACAAIAAgACAAIAAgACAAXAAiAEYAaQBzAGgAIABmAGUAZQBkACAAYQBuAGQAIABiAGEAaQB0AFwAIgAsACAAXAAiAFcAaABvAGwAZQAgAGYAaQBzAGgAXAAiACwAIABcACIAQQB1AHMAdAByAGEAbABpAGEAXAAiACwAIABcACIAawBnAFwAIgAsACAAMAAuADMALAAgAFwAIgBOAG8AdAAgAHMAcABlAGMAaQBmAGkAZQBkAFwAIgA7AFwAbgAgACAAIAAgACAAIAAgACAAXAAiAEYAaQBzAGgAIABmAGUAZQBkACAAYQBuAGQAIABiAGEAaQB0AFwAIgAsACAAXAAiAEMAdQBzAHQAbwBtACAAQgBhAGkAdABcACIALAAgAFwAIgBBAHUAcwB0AHIAYQBsAGkAYQBcACIALAAgAFwAIgBrAGcAXAAiACwAIAAwAC4AMAA4ACwAIABcACIATgBvAHQAIABzAHAAZQBjAGkAZgBpAGUAZ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IAAxAFwAIgAsACAAXAAiAEIAdQBsAGwAIAA+ACAAMQBcACIALAAgAFwAIgBDAG8AdwAgADwAIAAxAFwAIgAsACAAXAAiAEMAbwB3ACAAMQAtADIAXAAiACwAIABcACIAQwBvAHcAIAA+ACAAMgBcACIALAAgAFwAIgBTAHQAZQBlAHIAIAA8ACAAMQBcACIALAAgAFwAIgBTAHQAZQBlAHIAIAA+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HMAIAA8ADEAXAAiACwAIABcACIAQwBvAHcAcwAgADEALQAyAFwAIgAsACAAXAAiAEMAbwB3AHMAIAAyAC0AMwBcACIALAAgAFwAIgBDAG8AdwBzACAAPgAzAFwAIgAsACAAXAAiAFMAdABlAGUAcgAgADwAMQBcACIALAAgAFwAIgBTAHQAZQBlAHIAIAAxAC0AMgBcACIALAAgAFwAIgBTAHQAZQBlAHIAIAAyAC0AMwBcACIALAAgAFwAIgBTAHQAZQBlAHIAIAA+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AnAG4ALwBhACcAIAB3AGkAdABoACAAJwBTAG8AdQB0AGgAIABXAGUAcwB0AC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PAAxAFwAIgAsACAAXAAiAEIAdQBsAGwAIAA+ADEAXAAiACwAIABcACIAQwBvAHcAIAA8ADEAXAAiACwAIABcACIAQwBvAHcAIAAxAC0AMgBcACIALAAgAFwAIgBDAG8AdwAgAD4AMgBcACIALAAgAFwAIgBTAHQAZQBlAHIAIAA8ADEAXAAiACwAIABcACIAUwB0AGUAZQByACAAPg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PAAxAFwAIgAsACAAXAAiAEIAdQBsAGwAIAA+ADEAXAAiACwAIABcACIAQwBvAHcAIAA8ADEAXAAiACwAIABcACIAQwBvAHcAIAAxAC0AMgBcACIALAAgAFwAIgBDAG8AdwAgADIALQAzAFwAIgAsACAAXAAiAEMAbwB3ACAAPgAzAFwAIgAsACAAXAAiAFMAdABlAGUAcgAgADwAMQBcACIALAAgAFwAIgBTAHQAZQBlAHIAIAAxAC0AMgBcACIALAAgAFwAIgBTAHQAZQBlAHIAIAAyAC0AMwBcACIALAAgAFwAIgBTAHQAZQBlAHIAIAA+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JwBTAHQAYQB0AGUAIABhAGIAYgByAGUAdgBpAGEAdABpAG8AbgAn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A8ADEAXAAiACwAIABcACIAQgB1AGwAbABzACAAPgAxAFwAIgAsACAAXAAiAEMAbwB3AHMAIAA8ADEAXAAiACwAIABcACIAQwBvAHcAcwAgADEALQAyAFwAIgAsACAAXAAiAEMAbwB3AHMAIAA+ADIAXAAiACwAIABcACIAUwB0AGUAZQByACAAPAAxAFwAIgAsACAAXAAiAFMAdABlAGUAcgAgAD4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JwBQAGEAcwB0AHUAcgBlACAAcgBhAG4AZwBlACAAYQBuAGQAIABwAGEAZABkAG8AYwBrAC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CcAUABhAHMAdAB1AHIAZQAgAHIAYQBuAGcAZQAgAGEAbgBkACAAcABhAGQAZABvAGMAawAn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A8AD0AIAAyACwAIAAgAFwAIgBTAHUAbQBtAGUAcgBcACIALABcAG4AIAAgACAAIAAgACAATQBPAE4AVABIACgAUAB1AHIAYwBoAGEAcwBlAEQAYQB0AGUAKQAgADwAPQAgADUALAAgACAAXAAiAEEAdQB0AHUAbQBuAFwAIgAsAFwAbgAgACAAIAAgACAAIABNAE8ATgBUAEgAKABQAHUAcgBjAGgAYQBzAGUARABhAHQAZQApACAAPAA9ACAAOAAsACAAIABcACIAVwBpAG4AdABlAHIAXAAiACwAXABuACAAIAAgACAAIAAgAE0ATwBOAFQASAAoAFAAdQByAGMAaABhAHMAZQBEAGEAdABlACkAIAA8AD0AIAAxADEALAAgAFwAIgBTAHAAcgBpAG4AZwBcACIALABcAG4AIAAgACAAIAAgACAATQBPAE4AVABIACgAUAB1AHIAYwBoAGEAcwBlAEQAYQB0AGUAKQAgAD0AIAAxADIALAAgACAAXAAiAFMAdQBtAG0AZQByAFwAIgBcAG4AIAAgACAAIAApACwAXABuACAAIAAgACAAUwBvAHUAcgBjAGUAUgBlAGcAaQBvAG4AUgBpAGcAaAB0ACwAIABJAEYAKABJAFMATgBVAE0AQgBFAFIAKABGAEkATgBEACgAXAAiACAALQAgAFwAIgAsACAAUwBvAHUAcgBjAGUAUgBlAGcAaQBvAG4AKQApACwAIABNAEkARAAoAFMAbwB1AHIAYwBlAFIAZQBnAGkAbwBuACwAIABGAEkATgBEACgAXAAiACAALQAgAFwAIgAsACAAUwBvAHUAcgBjAGUAUgBlAGcAaQBvAG4AKQAgACsAIAAzACwAIABMAEUATgAoAFMAbwB1AHIAYwBlAFIAZQBnAGkAbwBuACkAKQAsACAAXAAiAG4ALwBhAFwAIgApACwAXABuACAAIAAgACAAUwBvAHUAcgBjAGUAUgBlAGcAaQBvAG4ATABlAGYAdAAsACAAIABJAEYAKABJAFMATgBVAE0AQgBFAFIAKABGAEkATgBEACgAXAAiACAALQAgAFwAIgAsACAAUwBvAHUAcgBjAGUAUgBlAGcAaQBvAG4AKQApACwAIABMAEUARgBUACgAUwBvAHUAcgBjAGUAUgBlAGcAaQBvAG4ALAAgAEYASQBOAEQAKABcACIAIAAtACAAXAAiACwAIABTAG8AdQByAGMAZQBSAGUAZwBpAG8AbgApACAALQAgADEAKQAsACAAUwBvAHUAcgBjAGUAUgBlAGcAaQBvAG4AKQAsAFwAbgAgACAAIAAgAEkARgBFAFIAUgBPAFIAKABcAG4AIAAgACAAIAAgACAAWABMAE8ATwBLAFUAUAAoADEALABcAG4AIAAgACAAIAAgACAAIAAgACgAUwBvAHUAcgBjAGUAUgBlAGcAaQBvAG4ATABlAGYAdABBAHIAcgBhAHkAIAA9ACAAUwBvAHUAcgBjAGUAUgBlAGcAaQBvAG4ATABlAGYAdAApACAAKgAgACgAUwBvAHUAcgBjAGUAUgBlAGcAaQBvAG4AUgBpAGcAaAB0AEEAcgByAGEAeQAgAD0AIABTAG8AdQByAGMAZQBSAGUAZwBpAG8AbgBSAGkAZwBoAHQAKQAgACoAIAAoAFMAZQBhAHMAbwBuAEEAcgByAGEAeQAgAD0AIABTAGUAYQBzAG8AbgApACwAXABuACAAIAAgACAAIAAgACAAIABYAEwATwBPAEsAVQBQACgATABpAHYAZQBzAHQAbwBjAGsAQwBsAGEAcwBzACwAIABMAGkAdgBlAHMAdABvAGMAawBDAGwAYQBzAHMAQQByAHIAYQB5ACwAIABMAGkAdgBlAHcAZQBpAGcAaAB0AEEAcgByAGEAeQAsACAAMAApACwAXABuACAAIAAgACAAIAAgADAAKQAsAFwAbgAgACAAIAAgADAAKQBcAG4AIAAgACkAXABuACkAOw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CcAUgBlAGYAZQByAGUAbgBjAGUAJwAsACAAYQBzACAAdABoAGUAIAB2AGEAbAB1AGUAIABpAHMAIABjAG8AbgBzAGkAcwB0AGUAbgB0AGwAeQAgACcARABhAGkAcgB5ACAAQQB1AHMAdAByAGEAbABpAGEAIABbADEAXQAn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D4AMQBcACIALAAgAFwAIgBIAGUAaQBmAGUAcgBzACAAPA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A+ADEAXAAiACwAIABcACIAQgB1AGwAbABzACAAPAAxACAAKAB3AGUAYQBuAGUAZAApAFwAIgA7AFwAbgAgACAAIAAgACAAIAAgACAAIAAgAFwAIgBBAGwAbAAgAGIAcgBlAGUAZABzAFwAIgAsACAANgAwADAALAAgADIAMgA1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ABpAHYAZQB3AGUAaQBnAGgAdABHAGEAaQBuAFwAbgBUAGEAYgBsAGUAIABBAC4AMQAuADMALgAzADoAIABEAGEAaQByAHkAIABjAGEAdAB0AGwAZQAgAC0AIABMAGkAdgBlAHcAZQBpAGcAaAB0ACAAZwBhAGkAbgAgACgAawBnACkAIAAoAEwAVwBHAGoAKQBcAG4ALQAtAC0ALQAtAC0ALQAtAC0ALQAtAC0ALQAtAC0ALQAtAC0ALQAtAC0ALQAtAC0ALQAtAC0ALQAtAC0ALQAtAC0ALQAtAC0ALQAtAFwAbgAqAC8AXABuAFwAbgBTAG8AdQByAGMAZQBEAGEAdABhAF8ARABhAGkAcgB5AF8ATABpAHYAZQB3AGUAaQBnAGgAdABHAGEAaQBuAF8AVABpAHQAbABlAFwAbgAgACAAPQBMAEEATQBCAEQAQQAoAFwAIgBUAGEAYgBsAGUAIABBAC4AMQAuADMALgAzADoAIABEAGEAaQByAHkAIABjAGEAdAB0AGwAZQAgAC0AIABMAGkAdgBlAHcAZQBpAGcAaAB0ACAAZwBhAGkAbgAgACgAawBnACkAIAAoAEwAVwBHAGoAKQBcACIAKQA7AFwAbgBcAG4AUwBvAHUAcgBjAGUARABhAHQAYQBfAEQAYQBpAHIAeQBfAEwAaQB2AGUAdwBlAGkAZwBoAHQARwBhAGkAbgBfAFYAYQByAGkAYQBiAGwAZQBcAG4AIAAgAD0ATABBAE0AQgBEAEEAKABcACIATABXAEcAagBcACIAKQA7AFwAbgBcAG4AUwBvAHUAcgBjAGUARABhAHQAYQBfAEQAYQBpAHIAeQBfAEwAaQB2AGUAdwBlAGkAZwBoAHQARwBhAGkAbgBfAFUAbgBpAHQAXABuACAAIAA9AEwAQQBNAEIARABBACgAXAAiAGsAZwBcACIAKQA7AFwAbgBcAG4AUwBvAHUAcgBjAGUARABhAHQAYQBfAEQAYQBpAHIAeQBfAEwAaQB2AGUAdwBlAGkAZwBoAHQARwBhAGkAbgBfAFMAbwB1AHIAYwBlAFwAbgAgACAAPQBMAEEATQBCAEQAQQAoAFwAIgBWAEUARQBSAEcAIAAyADAAMgA2ADoAIABUAGEAYgBsAGUAIABBAC4AMQAuADMALgAzAFwAIgApADsAXABuAFwAbgBTAG8AdQByAGMAZQBEAGEAdABhAF8ARABhAGkAcgB5AF8ATABpAHYAZQB3AGUAaQBnAGgAdABHAGEAaQBuAF8AVgBhAHIAaQBhAHQAaQBvAG4AXABuACAAIAA9AEwAQQBNAEIARABBACgAXAAiAFwAIgApADsAXABuAFwAbgBTAG8AdQByAGMAZQBEAGEAdABhAF8ARABhAGkAcgB5AF8ATABpAHYAZQB3AGUAaQBnAGgAdABHAGEAaQBu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D4AMQBcACIALAAgAFwAIgBIAGUAaQBmAGUAcgBzACAAPAAxACAAKAB3AGUAYQBuAGUAZAApAFwAIgAsACAAXAAiAEIAdQBsAGwAcwAgAD4AMQBcACIALAAgAFwAIgBCAHUAbABsAHMAIAA8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D4AMQBcACIALAAgAFwAIgBIAGUAaQBmAGUAcgBzACAAPAAxACAAKAB3AGUAYQBuAGUAZAApAFwAIgAsACAAXAAiAEIAdQBsAGwAcwAgAD4AMQBcACIALAAgAFwAIgBCAHUAbABsAHMAIAA8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JwBBAG4AaQBtAGEAbAAgAGMAbABhAHMAcwAgAGoAJ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A8ADEAXAAiACwAIAAwAC4AMAAxADcANgAsACAAMAAuADIANgA4ADUALAAgADAALgAwADEAMwA3ADsAXABuACAAIAAgACAAIAAgACAAIAAgACAAXAAiAEIAdQBsAGwAcwA8ADEAXAAiACwAIAAwAC4AMAAyADAANAAsACAAMAAuADMAMAAwADMALAAgADAALgAwADAAOQAy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QBDAEYAXABuAFQAYQBiAGwAZQAgAEEALgAxAC4AMwAuADYAOgAgAEQAYQBpAHIAeQAgAGMAYQB0AHQAbABlACAALQAgAEQAYQBpAHIAeQAgAGMAYQB0AHQAbABlACAALQAgAE0AQwBGAHMAIAAoAGYAcgBhAGMAdABpAG8AbgApACAAKABNAEMARgBqAG0AKQBcAG4ALQAtAC0ALQAtAC0ALQAtAC0ALQAtAC0ALQAtAC0ALQAtAC0ALQAtAC0ALQAtAC0ALQAtAC0ALQAtAC0ALQAtAC0ALQAtAC0ALQAtAFwAbgAqAC8AXABuAFwAbgBTAG8AdQByAGMAZQBEAGEAdABhAF8ARABhAGkAcgB5AF8ATQBDAEYAXwBUAGkAdABsAGUAXABuACAAIAA9AEwAQQBNAEIARABBACgAXAAiAFQAYQBiAGwAZQAgAEEALgAxAC4AMwAuADYAOgAgAEQAYQBpAHIAeQAgAGMAYQB0AHQAbABlACAALQAgAEQAYQBpAHIAeQAgAGMAYQB0AHQAbABlACAALQAgAE0AQwBGAHMAIAAoAGYAcgBhAGMAdABpAG8AbgApACAAKABNAEMARgBqAG0AKQBcACIAKQA7AFwAbgBcAG4AUwBvAHUAcgBjAGUARABhAHQAYQBfAEQAYQBpAHIAeQBfAE0AQwBGAF8AVgBhAHIAaQBhAGIAbABlAFwAbgAgACAAPQBMAEEATQBCAEQAQQAoAFwAIgBNAEMARgBqAG0AXAAiACkAOwBcAG4AXABuAFMAbwB1AHIAYwBlAEQAYQB0AGEAXwBEAGEAaQByAHkAXwBNAEMARgBfAFUAbgBpAHQAXABuACAAIAA9AEwAQQBNAEIARABBACgAXAAiAGYAcgBhAGMAdABpAG8AbgBcACIAKQA7AFwAbgBcAG4AUwBvAHUAcgBjAGUARABhAHQAYQBfAEQAYQBpAHIAeQBfAE0AQwBGAF8AUwBvAHUAcgBjAGUAXABuACAAIAA9AEwAQQBNAEIARABBACgAXAAiAFYARQBFAFIARwAgADIAMAAyADYAOgAgAFQAYQBiAGwAZQAgAEEALgAxAC4AMwAuADYAXAAiACkAOwBcAG4AXABuAFMAbwB1AHIAYwBlAEQAYQB0AGEAXwBEAGEAaQByAHkAXwBNAEMARgBfAFYAYQByAGkAYQB0AGkAbwBuAFwAbgAgACAAPQBMAEEATQBCAEQAQQAoAFwAIgBWAEEAUgBJAEEAVABJAE8ATgAgAE8ARgAgAFMATwBVAFIAQwBFADoAIABBAGQAZABlAGQAIAAnAE4ASQBSACAAcgBlAGYAZQByAGUAbgBjAGUAJ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DwAIAAxACAAeQBlAGEAcgBcACIALAAgADAALgAwADEANwA2ADsAXABuACAAIAAgACAAIAAgACAAIAAgACAAXAAiAEIAdQBsAGwAcwAgADwAIAAxACAAeQBlAGEAcgBcACIALAAgADAALgAwADIAMAA0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SQBuAGMAcgBlAGEAcwBlAGQATQBlAHQAYQBiAG8AbABpAGMAUgBhAHQAZQBNAGkAbABrAFwAbgBUAGEAYgBsAGUAIABBAC4AMQAuADMALgA5ADoAIABEAGEAaQByAHkAIABjAGEAdAB0AGwAZQAgAC0AIABJAG4AYwByAGUAYQBzAGUAZAAgAG0AZQB0AGEAYgBvAGwAaQBjACAAcgBhAHQAZQAgAHcAaABlAG4AIABwAHIAbwBkAHUAYwBpAG4AZwAgAG0AaQBsAGsAIAAoAGsAZwAgAEQATQAvAGgAZQBhAGQALwBkAGEAeQApACAAKABNAFIAagApAFwAbgAtAC0ALQAtAC0ALQAtAC0ALQAtAC0ALQAtAC0ALQAtAC0ALQAtAC0ALQAtAC0ALQAtAC0ALQAtAC0ALQAtAC0ALQAtAC0ALQAtAC0AXABuACoALwBcAG4AXABuAFMAbwB1AHIAYwBlAEQAYQB0AGEAXwBEAGEAaQByAHkAXwBJAG4AYwByAGUAYQBzAGUAZABNAGUAdABhAGIAbwBsAGkAYwBSAGEAdABlAE0AaQBsAGsAXwBUAGkAdABsAGUAXABuACAAIAA9AEwAQQBNAEIARABBACgAXAAiAFQAYQBiAGwAZQAgAEEALgAxAC4AMwAuADkAOgAgAEQAYQBpAHIAeQAgAGMAYQB0AHQAbABlACAALQAgAEkAbgBjAHIAZQBhAHMAZQBkACAAbQBlAHQAYQBiAG8AbABpAGMAIAByAGEAdABlACAAdwBoAGUAbgAgAHAAcgBvAGQAdQBjAGkAbgBnACAAbQBpAGwAawAgACgATQBSAGoAKQBcACIAKQA7AFwAbgBcAG4AUwBvAHUAcgBjAGUARABhAHQAYQBfAEQAYQBpAHIAeQBfAEkAbgBjAHIAZQBhAHMAZQBkAE0AZQB0AGEAYgBvAGwAaQBjAFIAYQB0AGUATQBpAGwAawBfAFYAYQByAGkAYQBiAGwAZQBcAG4AIAAgAD0ATABBAE0AQgBEAEEAKABcACIATQBSAGoAXAAiACkAOwBcAG4AXABuAFMAbwB1AHIAYwBlAEQAYQB0AGEAXwBEAGEAaQByAHkAXwBJAG4AYwByAGUAYQBzAGUAZABNAGUAdABhAGIAbwBsAGkAYwBSAGEAdABlAE0AaQBsAGsAXwBVAG4AaQB0AFwAbgAgACAAPQBMAEEATQBCAEQAQQAoAFwAIgBcACIAKQA7AFwAbgBcAG4AUwBvAHUAcgBjAGUARABhAHQAYQBfAEQAYQBpAHIAeQBfAEkAbgBjAHIAZQBhAHMAZQBkAE0AZQB0AGEAYgBvAGwAaQBjAFIAYQB0AGUATQBpAGwAawBfAFMAbwB1AHIAYwBlAFwAbgAgACAAPQBMAEEATQBCAEQAQQAoAFwAIgBWAEUARQBSAEcAIAAyADAAMgA2ADoAIABUAGEAYgBsAGUAIABBAC4AMQAuADMALgA5AFwAIgApADsAXABuAFwAbgBTAG8AdQByAGMAZQBEAGEAdABhAF8ARABhAGkAcgB5AF8ASQBuAGMAcgBlAGEAcwBlAGQATQBlAHQAYQBiAG8AbABpAGMAUgBhAHQAZQBNAGkAbABrAF8AVgBhAHIAaQBhAHQAaQBvAG4AXABuACAAIAA9AEwAQQBNAEIARABBACgAXAAiAFwAIgApADsAXABuAFwAbgBTAG8AdQByAGMAZQBEAGEAdABhAF8ARABhAGkAcgB5AF8ASQBuAGMAcgBlAGEAcwBlAGQATQBlAHQAYQBiAG8AbABpAGMAUgBhAHQAZQBNAGkAbABr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gBqAFwAIgA7AFwAbgAgACAAIAAgACAAIAAgACAAIAAgAFwAIgBNAGkAbABrAGkAbgBnACAAYwBvAHcAcwAsACAAYQBuAGQAIABoAG8AdQBzAGUAIABjAG8AdwBzAFwAIgAsACAAMQAuADEAOwBcAG4AIAAgACAAIAAgACAAIAAgACAAIABcACIAQQBsAGwAIABvAHQAaABlAHIAIABjAGEAdAB0AGwAZQAgAGMAbABhAHMAcwBlAHMAXAAiACwAIAAxAC4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YAcgBhAGMAdABpAG8AbgBWAG8AbABhAHQAaQBsAGUAUwBvAGwAaQBkAHMAVgBvAGkAZABlAGQATQBNAFMAXABu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bgAtAC0ALQAtAC0ALQAtAC0ALQAtAC0ALQAtAC0ALQAtAC0ALQAtAC0ALQAtAC0ALQAtAC0ALQAtAC0ALQAtAC0ALQAtAC0ALQAtAC0AXABuACoALwBcAG4AXABuAFMAbwB1AHIAYwBlAEQAYQB0AGEAXwBEAGEAaQByAHkAXwBGAHIAYQBjAHQAaQBvAG4AVgBvAGwAYQB0AGkAbABlAFMAbwBsAGkAZABzAFYAbwBpAGQAZQBkAE0ATQBTAF8AVABpAHQAbABlAFwAbgAgACAAPQBMAEEATQBCAEQAQQAoAFwAI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CIAKQA7AFwAbgBcAG4AUwBvAHUAcgBjAGUARABhAHQAYQBfAEQAYQBpAHIAeQBfAEYAcgBhAGMAdABpAG8AbgBWAG8AbABhAHQAaQBsAGUAUwBvAGwAaQBkAHMAVgBvAGkAZABlAGQATQBNAFMAXwBWAGEAcgBpAGEAYgBsAGUAXABuACAAIAA9AEwAQQBNAEIARABBACgAXAAiAE0ATQBTAGoAbQBcACIAKQA7AFwAbgBcAG4AUwBvAHUAcgBjAGUARABhAHQAYQBfAEQAYQBpAHIAeQBfAEYAcgBhAGMAdABpAG8AbgBWAG8AbABhAHQAaQBsAGUAUwBvAGwAaQBkAHMAVgBvAGkAZABlAGQATQBNAFMAXwBVAG4AaQB0AFwAbgAgACAAPQBMAEEATQBCAEQAQQAoAFwAIgBmAHIAYQBjAHQAaQBvAG4AXAAiACkAOwBcAG4AXABuAFMAbwB1AHIAYwBlAEQAYQB0AGEAXwBEAGEAaQByAHkAXwBGAHIAYQBjAHQAaQBvAG4AVgBvAGwAYQB0AGkAbABlAFMAbwBsAGkAZABzAFYAbwBpAGQAZQBkAE0ATQBTAF8AUwBvAHUAcgBjAGUAXABuACAAIAA9AEwAQQBNAEIARABBACgAXAAiAFYARQBFAFIARwAgADIAMAAyADYAOgAgAFQAYQBiAGwAZQAgAEEALgAxAC4AMwAuADEAMABcACIAKQA7AFwAbgBcAG4AUwBvAHUAcgBjAGUARABhAHQAYQBfAEQAYQBpAHIAeQBfAEYAcgBhAGMAdABpAG8AbgBWAG8AbABhAHQAaQBsAGUAUwBvAGwAaQBkAHMAVgBvAGkAZABlAGQATQBNAFMAXwBWAGEAcgBpAGEAdABpAG8AbgBcAG4AIAAgAD0ATABBAE0AQgBEAEEAKABcACIAVgBBAFIASQBBAFQASQBPAE4AIABPAEYAIABTAE8AVQBSAEMARQA6ACAARQB4AGMAbAB1AGQAZQBkACAAJwBBAG4AbgB1AGEAbAAgAGYAcgBhAGMAdABpAG8AbgAgAG8AZgAgAHQAaQBtAGUAIABzAHAAZQBuAHQAIABwAGUAcgAgAGEAcgBlAGEAJ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DwAMQAwACAAaAByAC8AZABhAHkAIABmAG8AcgAgADw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AnAE4ASQBSACAAcgBlAGYAZQByAGUAbgBjAGUAJwAgAGMAbwBsAHUAbQBuACAAdABvACAAYQBpAGQAIABsAG8AbwBrAHUAcABcACIAKQA7AFwAbgBcAG4AUwBvAHUAcgBjAGUARABhAHQAYQBfAEQAYQBpAHIAeQBfAEUARgBOAGkAdAByAG8AdQBzAE8AeABpAGQAZQBQAGUAcgBNAE0AUwBfAEQAYQB0AGEAXABuACAAIAA9AEwAQQBNAEIARABBACgAXABuACAAIAAgACAATQBBAEsARQBBAFIAUgBBAFkAKAA2ACwAIAAzACwAXABuACAAIAAgACAAIAAgAEwAQQBNAEIARABBACgAcgAsAGMALABcAG4AIAAgACAAIAAgACAAIAAgAEkATgBEAEUAWAAoAHsAXABuACAAIAAgACAAIAAgACAAIAAgACAAXAAiAE0ATQBTACAAbQBcACIALAAgAFwAIgBFAEYAbQBcACIALAAgAFwAIgBOAEkAUgAgAHIAZQBmAGUAcgBlAG4AYwBlAFwAIgA7AFwAbgAgACAAIAAgACAAIAAgACAAIAAgAFwAIgBtAD0AMQA0ACAAUABhAHMAdAB1AHIAZQBcACIALAAgADAALAAgAFwAIgBQAGEAcwB0AHUAcgBlACAAcgBhAG4AZwBlACAAYQBuAGQAIABwAGEAZABkAG8AYwBrAFwAIgA7AFwAbgAgACAAIAAgACAAIAAgACAAIAAgAFwAIgBtAD0AMQAgAEEAbgBlAHIAbwBiAGkAYwAgAEwAYQBnAG8AbwBuAFwAIgAsACAAMAAsACAAXAAiAEEAbgBhAGUAcgBvAGIAaQBjACAAbABhAGcAbwBvAG4AXAAiADsAXABuACAAIAAgACAAIAAgACAAIAAgACAAXAAiAG0APQAyACAARABhAGkAbAB5ACAAUwBwAHIAZQBhAGQAOgAgAFMAdQBtAHAAIABhAG4AZAAgAGQAaQBzAHAAZQByAHMAYQBsAFwAIgAsACAAMAAsACAAXAAiAFMAdQBtAHAAIABhAG4AZAAgAGQAaQBzAHAAZQByAHMAYQBsACAAcwB5AHMAdABlAG0AXAAiADsAXABuACAAIAAgACAAIAAgACAAIAAgACAAXAAiAG0APQAzACAARABhAGkAbAB5ACAAUwBwAHIAZQBhAGQAOgAgAEQAcgBhAGkAbgBzACAAdABvACAAcABhAGQAZABvAGMAawBzAFwAIgAsACAAMAAsACAAXAAiAEQAcgBhAGkAbgBzACAAdABvACAAcABhAGQAZABvAGMAawBcACIAOwBcAG4AIAAgACAAIAAgACAAIAAgACAAIABcACIAbQA9ADQAIABTAG8AbABpAGQAIABTAHQAbwByAGEAZwBlAFwAIgAsACAAMAAuADAAMAA1ACwAIABcACIAUwBvAGwAaQBkACAAcwB0AG8AcgBhAGcAZQ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QAYQBpAHIAeQBfAEQAdQByAGEAdABpAG8AbgBPAGYAUwB0AGEAeQBcAG4ARAB1AHIAYQB0AGkAbwBuACAAbwBmACAAcwB0AGEAeQAgAGYAbwByACAAZQBhAGMAaAAgAGQAYQBpAHIAeQAgAGMAYQB0AHQAbABlACAAaQBuAHAAdQB0ACAAYwBsAGEAcwBzAFwAbgAtAC0ALQAtAC0ALQAtAC0ALQAtAC0ALQAtAC0ALQAtAC0ALQAtAC0ALQAtAC0ALQAtAC0ALQAtAC0ALQAtAC0ALQAtAC0ALQAtAC0AXABuACoALwBcAG4AXABuAFMAbwB1AHIAYwBlAEQAYQB0AGEAXwBEAGEAaQByAHkAXwBEAHUAcgBhAHQAaQBvAG4ATwBmAFMAdABhAHkAXwBUAGkAdABsAGUAXABuACAAIAA9AEwAQQBNAEIARABBACgAXAAiAEQAdQByAGEAdABpAG8AbgAgAG8AZgAgAHMAdABhAHkAIABmAG8AcgAgAGUAYQBjAGgAIABkAGEAaQByAHkAIABjAGEAdAB0AGwAZQAgAGkAbgBwAHUAdAAgAGMAbABhAHMAcwBcACIAKQA7AFwAbgBcAG4AUwBvAHUAcgBjAGUARABhAHQAYQBfAEQAYQBpAHIAeQBfAEQAdQByAGEAdABpAG8AbgBPAGYAUwB0AGEAeQBfAFYAYQByAGkAYQBiAGwAZQBcAG4AIAAgAD0ATABBAE0AQgBEAEEAKABcACIARABcACIAKQA7AFwAbgBcAG4AUwBvAHUAcgBjAGUARABhAHQAYQBfAEQAYQBpAHIAeQBfAEQAdQByAGEAdABpAG8AbgBPAGYAUwB0AGEAeQBfAFUAbgBpAHQAXABuACAAIAA9AEwAQQBNAEIARABBACgAXAAiAGQAYQB5AHMAXAAiACkAOwBcAG4AXABuAFMAbwB1AHIAYwBlAEQAYQB0AGEAXwBEAGEAaQByAHkAXwBEAHUAcgBhAHQAaQBvAG4ATwBmAFMAdABhAHkAXwBTAG8AdQByAGMAZQBcAG4AIAAgAD0ATABBAE0AQgBEAEEAKABcACIAVgBFAEUAUgBHACAAMgAwADIANgA6ACAANAAuADMALgAyAC4AMgBcAHQARABBAFQAQQAgACgATQBFAFQASABPAEQAIAAxACAAQQBOAEQAIAAyACAATwBQAFQASQBPAE4AUwApAFwAIgApADsAXABuAFwAbgBTAG8AdQByAGMAZQBEAGEAdABhAF8ARABhAGkAcgB5AF8ARAB1AHIAYQB0AGkAbwBuAE8AZgBTAHQAYQB5AF8AVgBhAHIAaQBhAHQAaQBvAG4AXABuACAAIAA9AEwAQQBNAEIARABBACgAXAAiAFYAQQBSAEkAQQBUAEkATwBOACAATwBGACAAUwBPAFUAUgBDAEUAOgAgAEMAbwBuAHYAZQByAHQAZQBkACAAZgByAGUAZQAgAHQAZQB4AHQAIABpAG4AIABkAG8AYwB1AG0AZQBuAHQAIAB0AG8AIAB0AGEAYgBsAGUALAAgAG0AYQB0AGMAaABpAG4AZwAgAGwAaQB2AGUAcwB0AG8AYwBrACAAYwBsAGEAcwBzACAAbgBhAG0AZQBzAC4AXAAiACkAOwBcAG4AXABuAFMAbwB1AHIAYwBlAEQAYQB0AGEAXwBEAGEAaQByAHkAXwBEAHUAcgBhAHQAaQBvAG4ATwBmAFMAdABhAHkAXwBEAGEAdABhAFwAbgAgACAAPQBMAEEATQBCAEQAQQAoAFwAbgAgACAAIAAgAE0AQQBLAEUAQQBSAFIAQQBZACgANgAsACAAMwAsAFwAbgAgACAAIAAgACAAIABMAEEATQBCAEQAQQAoAHIALABjACwAXABuACAAIAAgACAAIAAgACAAIABJAE4ARABFAFgAKAB7AFwAbgAgACAAIAAgACAAIAAgACAAIAAgAFwAIgBBAG4AaQBtAGEAbAAgAGMAbABhAHMAcwAgAGoAXAAiACwAIABcACIARAB1AHIAYQB0AGkAbwBuACAAKAB3AGUAYQBuAGUAZAApAFwAIgAsACAAXAAiAEQAdQByAGEAdABpAG8AbgAgACgAcAByAGUALQB3AGUAYQBuAGUAZAApAFwAIgA7AFwAbgAgACAAIAAgACAAIAAgACAAIAAgAFwAIgBNAGkAbABrAGkAbgBnACAAYwBvAHcAcwBcACIALAAgADMANgA1ACwAIAAwADsAXABuACAAIAAgACAAIAAgACAAIAAgACAAXAAiAEgAZQBpAGYAZQByAHMAIAA+ACAAMQAgAHkAZQBhAHIAXAAiACwAIAAzADYANQAsACAAMAA7AFwAbgAgACAAIAAgACAAIAAgACAAIAAgAFwAIgBIAGUAaQBmAGUAcgBzACAAPAAgADEAIAB5AGUAYQByAFwAIgAsACAAMgA4ADEALAAgADgANAA7AFwAbgAgACAAIAAgACAAIAAgACAAIAAgAFwAIgBCAHUAbABsAHMAIAA+ACAAMQAgAHkAZQBhAHIAXAAiACwAIAAzADYANQAsACAAMAA7AFwAbgAgACAAIAAgACAAIAAgACAAIAAgAFwAIgBCAHUAbABsAHMAIAA8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TAG8AdQByAGMAZQBEAGEAdABhAF8AUwB3AGkAbgBl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GAG8AcgAgAFMAdwBpAG4AZQBcAG4ARQB4AGMAZQBsACAAbQBvAGQAdQBsAGUAIABuAGEAbQBlADoAIABTAG8AdQByAGMAZQBEAGEAdABhAF8AUwB3AGkAbgBl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BcAG4ALwAqACAAXABuAC0ALQAtAC0ALQAtAC0ALQAtAC0ALQAtAC0ALQAtAC0ALQAtAC0ALQAtAC0ALQAtAC0ALQAtAC0ALQAtAC0ALQAtAC0ALQAtAC0ALQBcAG4AUwBvAHUAcgBjAGUARABhAHQAYQBfAFMAdwBpAG4AZQBfAFYAbwBsAGEAdABpAGwAZQBTAG8AbABpAGQAcwBcAG4AVgBTAGoAXABuAGsAZwAvAGgAZQBhAGQALwBkAGEAeQBcAG4ALQAtAC0ALQAtAC0ALQAtAC0ALQAtAC0ALQAtAC0ALQAtAC0ALQAtAC0ALQAtAC0ALQAtAC0ALQAtAC0ALQAtAC0ALQAtAC0ALQAtAFwAbgAqAC8AXABuAFwAbgBTAG8AdQByAGMAZQBEAGEAdABhAF8AUwB3AGkAbgBlAF8AVgBvAGwAYQB0AGkAbABlAFMAbwBsAGkAZABzAF8AVABpAHQAbABlAFwAbgAgACAAPQBMAEEATQBCAEQAQQAoAFwAIgBTAHcAaQBuAGUAIAAtACAAVgBvAGwAYQB0AGkAbABlACAAcwBvAGwAaQBkAHMAIAAoAFYAUwBqACkAIAAtACAAMgAwADIAMAAgAHQAbwAgADIAMAAyADQAXAAiACkAOwBcAG4AXABuAFMAbwB1AHIAYwBlAEQAYQB0AGEAXwBTAHcAaQBuAGUAXwBWAG8AbABhAHQAaQBsAGUAUwBvAGwAaQBkAHMAXwBVAG4AaQB0AFwAbgAgACAAPQBMAEEATQBCAEQAQQAoAFwAIgBrAGcALwBoAGUAYQBkAC8AZABhAHkAXAAiACkAOwBcAG4AXABuAFMAbwB1AHIAYwBlAEQAYQB0AGEAXwBTAHcAaQBuAGUAXwBWAG8AbABhAHQAaQBsAGUAUwBvAGwAaQBkAHM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FYAbwBsAGEAdABpAGwAZQBTAG8AbABpAGQAcwBfAFYAYQByAGkAYQB0AGkAbwBuAFwAbgAgACAAPQBMAEEATQBCAEQAQQAoAFwAIgBWAEEAUgBJAEEAVABJAE8ATgAgAE8ATgAgAFMATwBVAFIAQwBFACAARABBAFQAQQA6ACAATwBuAGwAeQAgAHUAcwBlAHMAIABkAGEAdABhACAAZgBvAHIAIAAyADAAMgAwAC0AMgAwADIANAAuACAAVQBzAGUAIAAnAFMAbABhAHUAZwBoAHQAZQByACAAcABpAGcAcwAnACAAZABhAHQAYQAgAGYAbwByACAAJwBPAHQAaABlAHIAIABqAD0ANAAnACAAYwBsAGEAcwBzAC4AXAAiACkAOwBcAG4AXABuAFMAbwB1AHIAYwBlAEQAYQB0AGEAXwBTAHcAaQBuAGUAXwBWAG8AbABhAHQAaQBsAGUAUwBvAGwAaQBkAHMAXwBEAGEAdABhAFwAbgAgACAAPQBMAEEATQBCAEQAQQAoAFwAbgAgACAAIAAgAE0AQQBLAEUAQQBSAFIAQQBZACgANQAsACAAMgAsACAAXABuACAAIAAgACAAIAAgAEwAQQBNAEIARABBACgAcgAsAGMALAAgAFwAbgAgACAAIAAgACAAIAAgACAASQBOAEQARQBYACgAewBcAG4AIAAgACAAIAAgACAAIAAgACAAIABcACIAQwBsAGEAcwBzAFwAIgAsACAAXAAiAFYAUwBqAFwAIgA7AFwAbgAgACAAIAAgACAAIAAgACAAIAAgAFwAIgBCAG8AYQByAHMAXAAiACwAIAAwAC4ANAAwADsAXABuACAAIAAgACAAIAAgACAAIAAgACAAXAAiAFMAbwB3AHMAXAAiACwAIAAwAC4ANAA2ADsAXABuACAAIAAgACAAIAAgACAAIAAgACAAXAAiAEcAaQBsAHQAcwBcACIALAAgADAALgA1ADUAOwBcAG4AIAAgACAAIAAgACAAIAAgACAAIABcACIATwB0AGg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ZQBlAGQASQBuAHQAYQBrAGUAXABuAEkAagBcAG4AawBnAC8AaABlAGEAZAAvAGQAYQB5AFwAbgAtAC0ALQAtAC0ALQAtAC0ALQAtAC0ALQAtAC0ALQAtAC0ALQAtAC0ALQAtAC0ALQAtAC0ALQAtAC0ALQAtAC0ALQAtAC0ALQAtAC0AXABuACoALwBcAG4AXABuAFMAbwB1AHIAYwBlAEQAYQB0AGEAXwBTAHcAaQBuAGUAXwBGAGUAZQBkAEkAbgB0AGEAawBlAF8AVABpAHQAbABlAFwAbgAgACAAPQBMAEEATQBCAEQAQQAoAFwAIgBTAHcAaQBuAGUAIAAtACAARgBlAGUAZAAgAGkAbgB0AGEAawBlACAALQAgAGkAbgBnAGUAcwB0AGUAZAAgAGEAcwAgAGYAZQBkACAAIAAoAEkAagApACAALQAgADIAMAAyADAAIAB0AG8AIAAyADAAMgA0AFwAIgApADsAXABuAFwAbgBTAG8AdQByAGMAZQBEAGEAdABhAF8AUwB3AGkAbgBlAF8ARgBlAGUAZABJAG4AdABhAGsAZQBfAFUAbgBpAHQAXABuACAAIAA9AEwAQQBNAEIARABBACgAXAAiAGsAZwAvAGgAZQBhAGQALwBkAGEAeQBcACIAKQA7AFwAbgBcAG4AUwBvAHUAcgBjAGUARABhAHQAYQBfAFMAdwBpAG4AZQBfAEYAZQBlAGQASQBuAHQAYQBr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YAZQBlAGQASQBuAHQAYQBrAGUAXwBWAGEAcgBpAGEAdABpAG8AbgBcAG4AIAAgAD0ATABBAE0AQgBEAEEAKABcACIAVgBBAFIASQBBAFQASQBPAE4AIABPAE4AIABTAE8AVQBSAEMARQAgAEQAQQBUAEEAOgAgAE8AbgBsAHkAIAB1AHMAZQBzACAAZABhAHQAYQAgAGYAbwByACAAMgAwADIAMAAtADIAMAAyADQALgAgAFUAcwBlACAAJwBTAGwAYQB1AGcAaAB0AGUAcgAgAHAAaQBnAHMAJwAgAGQAYQB0AGEAIABmAG8AcgAgACcATwB0AGgAZQByACAAagA9ADQAJwAgAGMAbABhAHMAcwAuAFwAIgApADsAXABuAFwAbgBTAG8AdQByAGMAZQBEAGEAdABhAF8AUwB3AGkAbgBlAF8ARgBlAGUAZABJAG4AdABhAGsAZQBfAEQAYQB0AGEAXABuACAAIAA9AEwAQQBNAEIARABBACgAXABuACAAIAAgACAATQBBAEsARQBBAFIAUgBBAFkAKAA1ACwAIAAyACwAIABcAG4AIAAgACAAIAAgACAATABBAE0AQgBEAEEAKAByACwAYwAsACAAXABuACAAIAAgACAAIAAgACAAIABJAE4ARABFAFgAKAB7AFwAbgAgACAAIAAgACAAIAAgACAAIAAgAFwAIgBDAGwAYQBzAHMAXAAiACwAIABcACIASQBqAFwAIgA7AFwAbgAgACAAIAAgACAAIAAgACAAIAAgAFwAIgBCAG8AYQByAHMAXAAiACwAIAAyAC4ANgAyADsAXABuACAAIAAgACAAIAAgACAAIAAgACAAXAAiAFMAbwB3AHMAXAAiACwAMgAuADMAMAA7AFwAbgAgACAAIAAgACAAIAAgACAAIAAgAFwAIgBHAGkAbAB0AHMAXAAiACwAIAAyAC4ANQAwADsAXABuACAAIAAgACAAIAAgACAAIAAgACAAXAAiAE8AdABoAGUAcgBzAFwAIgAsACAAMQAuADcAMQBcAG4AIAAgACAAIAAgACAAIAAgAH0ALAAgAHIALAAgAGMAKQBcAG4AIAAgACAAIAAgACAAKQBcAG4AIAAgACAAIAApAFwAbgAgACAAKQA7AFwAbgBcAG4ALwAqACAAXABuAC0ALQAtAC0ALQAtAC0ALQAtAC0ALQAtAC0ALQAtAC0ALQAtAC0ALQAtAC0ALQAtAC0ALQAtAC0ALQAtAC0ALQAtAC0ALQAtAC0ALQBcAG4AUwBvAHUAcgBjAGUARABhAHQAYQBfAFMAdwBpAG4AZQBfAE4AaQB0AHIAbwBnAGUAbgBJAG4AVwBhAHMAdABlAFwAbgBOAFcAagBcAG4AawBnAC8AaABlAGEAZAAvAGQAYQB5AFwAbgAtAC0ALQAtAC0ALQAtAC0ALQAtAC0ALQAtAC0ALQAtAC0ALQAtAC0ALQAtAC0ALQAtAC0ALQAtAC0ALQAtAC0ALQAtAC0ALQAtAC0AXABuACoALwBcAG4AXABuAFMAbwB1AHIAYwBlAEQAYQB0AGEAXwBTAHcAaQBuAGUAXwBOAGkAdAByAG8AZwBlAG4ASQBuAFcAYQBzAHQAZQBfAFQAaQB0AGwAZQBcAG4AIAAgAD0ATABBAE0AQgBEAEEAKABcACIAUwB3AGkAbgBlACAALQAgAE4AaQB0AHIAbwBnAGUAbgAgAGkAbgAgAHcAYQBzAHQAZQAgACgATgBXAGoAKQAgAC0AIAAyADAAMgAwACAAdABvACAAMgAwADIANABcACIAKQA7AFwAbgBcAG4AUwBvAHUAcgBjAGUARABhAHQAYQBfAFMAdwBpAG4AZQBfAE4AaQB0AHIAbwBnAGUAbgBJAG4AVwBhAHMAdABlAF8AVQBuAGkAdABcAG4AIAAgAD0ATABBAE0AQgBEAEEAKABcACIAawBnAC8AaABlAGEAZAAvAGQAYQB5AFwAIgApADsAXABuAFwAbgBTAG8AdQByAGMAZQBEAGEAdABhAF8AUwB3AGkAbgBlAF8ATgBpAHQAcgBvAGcAZQBuAEkAbgBXAGEAcwB0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4AaQB0AHIAbwBnAGUAbgBJAG4AVwBhAHMAdABlAF8AVgBhAHIAaQBhAHQAaQBvAG4AXABuACAAIAA9AEwAQQBNAEIARABBACgAXAAiAFYAQQBSAEkAQQBUAEkATwBOACAATwBOACAAUwBPAFUAUgBDAEUAIABEAEEAVABBADoAIABPAG4AbAB5ACAAdQBzAGUAcwAgAGQAYQB0AGEAIABmAG8AcgAgADIAMAAyADAALQAyADAAMgA0AC4AIABVAHMAZQAgACcAUwBsAGEAdQBnAGgAdABlAHIAIABwAGkAZwBzACcAIABkAGEAdABhACAAZgBvAHIAIAAnAE8AdABoAGUAcgAgAGoAPQA0ACcAIABjAGwAYQBzAHMALgAgAEEAZABkAGUAZAAgACcATgBXAGoAIABkAGEAaQBsAHkAJwAgAGMAbwBsAHUAbQBuACAAdABvACAAcAByAG8AdgBpAGQAZQAgAGQAYQBpAGwAeQAgAHYAYQBsAHUAZQAgAGYAbwByACAATwB0AGgAZQByAHMAIABjAGwAYQBzAHMALgAgAEEAZABkAGUAZAAgACcAQwBsAGEAcwBzACAAbgBhAG0AZQAnACAAYwBvAGwAdQBtAG4AIAB0AG8AIABhAGkAZAAgAGwAbwBvAGsAdQBwAC4AXAAiACkAOwBcAG4AXABuAFMAbwB1AHIAYwBlAEQAYQB0AGEAXwBTAHcAaQBuAGUAXwBOAGkAdAByAG8AZwBlAG4ASQBuAFcAYQBzAHQAZQBfAEQAYQB0AGEAXABuACAAIAA9AEwAQQBNAEIARABBACgAXABuACAAIAAgACAATQBBAEsARQBBAFIAUgBBAFkAKAA1ACwAIAA0ACwAIABcAG4AIAAgACAAIAAgACAATABBAE0AQgBEAEEAKAByACwAYwAsACAAXABuACAAIAAgACAAIAAgACAAIABJAE4ARABFAFgAKAB7AFwAbgAgACAAIAAgACAAIAAgACAAIAAgAFwAIgBDAGwAYQBzAHMAXAAiACwAIABcACIATgBXAGoAXAAiACwAIABcACIATgBXAGoAIABkAGEAaQBsAHkAXAAiACwAIABcACIAQwBsAGEAcwBzACAAbgBhAG0AZQBcACIAOwBcAG4AIAAgACAAIAAgACAAIAAgACAAIABcACIAQgBvAGEAcgBzAFwAIgAsACAAMAAuADAANAA2ACwAIAAwAC4AMAA0ADYALAAgAFwAIgBCAG8AYQByAHMAXAAiADsAXABuACAAIAAgACAAIAAgACAAIAAgACAAXAAiAFMAbwB3AHMAXAAiACwAMAAuADAANAA5ACwAIAAwAC4AMAA0ADkALAAgAFwAIgBTAG8AdwBzAFwAIgA7AFwAbgAgACAAIAAgACAAIAAgACAAIAAgAFwAIgBHAGkAbAB0AHMAXAAiACwAIAAwAC4AMAA0ADYALAAgADAALgAwADQANgAsACAAXAAiAEcAaQBsAHQAcwBcACIAOwBcAG4AIAAgACAAIAAgACAAIAAgACAAIABcACIATwB0AGgAZQByAHMAIAAoAGsAZwAvAGgAZQBhAGQALwB5AGUAYQByACkAXAAiACwAIAAxADEALgA0ACwAIAAwAC4AMAAzADEAMgAsACAAXAAiAE8AdABoAGUAc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HQAaQBvAG4ATgBWAG8AbABhAHQAaQBsAGkAcwBlAGQAXABuAEYAcgBhAGMARwBBAFMATQBtAFQAXABuACgAawBnACAATgBIADMALQBOACAAKwAgAE4ATwB4AC0ATgApAC8AawBnAE4AXABuAC0ALQAtAC0ALQAtAC0ALQAtAC0ALQAtAC0ALQAtAC0ALQAtAC0ALQAtAC0ALQAtAC0ALQAtAC0ALQAtAC0ALQAtAC0ALQAtAC0ALQBcAG4AKgAvAFwAbgBcAG4AUwBvAHUAcgBjAGUARABhAHQAYQBfAFMAdwBpAG4AZQBfAEYAcgBhAGMAdABpAG8AbgBOAFYAbwBsAGEAdABpAGwAaQBzAGUAZABfAFQAaQB0AGwAZQBcAG4AIAAgAD0ATABBAE0AQgBEAEEAKABcACIAUwB3AGkAbgBlACAALQAgAEYAcgBhAGMAdABpAG8AbgAgAG8AZgAgAG4AaQB0AHIAbwBnAGUAbgAgAHYAbwBsAGEAdABpAGwAaQBzAGUAZAAgACgARgByAGEAYwBHAEEAUwBNAG0AVAApAFwAIgApADsAXABuAFwAbgBTAG8AdQByAGMAZQBEAGEAdABhAF8AUwB3AGkAbgBlAF8ARgByAGEAYwB0AGkAbwBuAE4AVgBvAGwAYQB0AGkAbABpAHMAZQBkAF8AVQBuAGkAdABcAG4AIAAgAD0ATABBAE0AQgBEAEEAKABcACIAKABrAGcAIABOAEgAMwAtAE4AIAArACAATgBPAHgALQBOACkALwBrAGcATgBcACIAKQA7AFwAbgBcAG4AUwBvAHUAcgBjAGUARABhAHQAYQBfAFMAdwBpAG4AZQBfAEYAcgBhAGMAdABpAG8AbgBOAFYAbwBsAGEAdABpAGwAaQBzAGUAZABfAFMAbwB1AHIAYwBlAFwAbgAgACAAPQBMAEEATQBCAEQAQQAoAFwAIgBWAEUARQBSAEcAIAAyADAAMgA2ADoAIABUAGEAYgBsAGUAIABBAC4AMQAuADYALgAyADoAIABTAHcAaQBuAGUAIAAtACAARgByAGEAYwB0AGkAbwBuACAAbwBmACAATgAgAHYAbwBsAGEAdABpAGwAaQBzAGUAZAAgAGIAeQAgAE0ATQBTACAAKAAoAGsAZwAgAE4ASAAzAC0ATgAgACsAIABOAE8AeAAtAE4AKQAvAGsAZwBOACkAIAAoAEYAcgBhAGMARwBBAFMATQBtAFQAKQBcACIAKQA7AFwAbgBcAG4AUwBvAHUAcgBjAGUARABhAHQAYQBfAFMAdwBpAG4AZQBfAEYAcgBhAGMAdABpAG8AbgBOAFYAbwBsAGEAdABpAGwAaQBzAGUAZABfAFYAYQByAGkAYQB0AGkAbwBuAFwAbgAgACAAPQBMAEEATQBCAEQAQQAoAFwAIgBWAEEAUgBJAEEAVABJAE8ATgAgAE8ATgAgAFMATwBVAFIAQwBFACAARABBAFQAQQA6ACAAQQBkAGQAZQBkACAAJwBOAEkAUgAgAHIAZQBmAGUAcgBlAG4AYwBlACAAYwBvAGwAdQBtAG4AIAB0AG8AIABhAGkAZAAgAGwAbwBvAGsAdQBwAC4AXAAiACkAOwBcAG4AXABuAFMAbwB1AHIAYwBlAEQAYQB0AGEAXwBTAHcAaQBuAGUAXwBGAHIAYQBjAHQAaQBvAG4ATgBWAG8AbABhAHQAaQBsAGkAcwBlAGQAXwBEAGEAdABhAFwAbgAgACAAPQBMAEEATQBCAEQAQQAoAFwAbgAgACAAIAAgAE0AQQBLAEUAQQBSAFIAQQBZACgANwAsACAAMwAsACAAXABuACAAIAAgACAAIAAgAEwAQQBNAEIARABBACgAcgAsAGMALAAgAFwAbgAgACAAIAAgACAAIAAgACAASQBOAEQARQBYACgAewBcAG4AIAAgACAAIAAgACAAIAAgACAAIABcACIATQBNAFMAbQBcACIALAAgAFwAIgBGAHIAYQBjAEcAQQBTAE0AbQBUAFwAIgAsACAAXAAiAE4ASQBSACAAcgBlAGYAZQByAGUAbgBjAGUAXAAiADsAXABuACAAIAAgACAAIAAgACAAIAAgACAAXAAiAE8AdQB0AGQAbwBvAHIAIAAoAEQAcgB5ACAAbABvAHQAKQBcACIALAAgADAALgAzACwAIABcACIARAByAHkAbABvAHQAIAAoAGYAZQBlAGQAIABwAGEAZAApAFwAIgA7AFwAbgAgACAAIAAgACAAIAAgACAAIAAgAFwAIgBEAGUAZQBwACAAbABpAHQAdABlAHIAXAAiACwAIAAwAC4AMQAyADUALAAgAFwAIgBEAGUAZQBwACAAbABpAHQAdABlAHIAXAAiADsAXABuACAAIAAgACAAIAAgACAAIAAgACAAXAAiAFMAdABvAGMAawBwAGkAbABlACAAKABTAG8AbABpAGQAIABzAHQAbwByAGEAZwBlACkAXAAiACwAIAAwAC4AMgAsACAAXAAiAFMAbwBsAGkAZAAgAHMAdABvAHIAYQBnAGUAXAAiADsAXABuACAAIAAgACAAIAAgACAAIAAgACAAXAAiAEUAZgBmAGwAdQBlAG4AdAAgAHAAbwBuAGQAIAAoAFUAbgBjAG8AdgBlAHIAZQBkACAAYQBuAGEAZQByAG8AYgBpAGMAIABsAGEAZwBvAG8AbgApAFwAIgAsACAAMAAuADUANQAsACAAXAAiAEEAbgBhAGUAcgBvAGIAaQBjACAAbABhAGcAbwBvAG4AXAAiADsAXABuACAAIAAgACAAIAAgACAAIAAgACAAXAAiAEEAbgBhAGUAcgBvAGIAaQBjACAAZABpAGcAZQBzAHQAZQByACAALwAgAEMAbwB2AGUAcgBlAGQAIABsAGEAZwBvAG8AbgBcACIALAAgADAALAAgAFwAIgBEAGkAZwBlAHMAdABlAHIAIAAvACAAYwBvAHYAZQByAGUAZAAgAGwAYQBnAG8AbwBuAHMAXAAiADsAXABuACAAIAAgACAAIAAgACAAIAAgACAAXAAiAFMAaABvAHIAdAAgAEgAUgBUACAAdABhAG4AawAgAHMAdABvAHIAYQBnAGUAIAA8ACAAMQAgAG0AbwBuAHQAaAAgACgAcABpAHQAIABzAHQAbwByAGEAZwBlACkAXAAiACwAIAAwAC4AMgA1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OAGkAdAByAG8AdQBzAE8AeABpAGQAZQBFAEYAcwBcAG4ARgByAGEAYwBHAEEAUwBNAG0AVABcAG4AawBnAE4AMgBPACAALQAgAE4AIAAvACAAawBnAE4AXABuAC0ALQAtAC0ALQAtAC0ALQAtAC0ALQAtAC0ALQAtAC0ALQAtAC0ALQAtAC0ALQAtAC0ALQAtAC0ALQAtAC0ALQAtAC0ALQAtAC0ALQBcAG4AKgAvAFwAbgBcAG4AUwBvAHUAcgBjAGUARABhAHQAYQBfAFMAdwBpAG4AZQBfAE4AaQB0AHIAbwB1AHMATwB4AGkAZABlAEUARgBzAF8AVABpAHQAbABlAFwAbgAgACAAPQBMAEEATQBCAEQAQQAoAFwAIgBTAHcAaQBuAGUAIAAtACAATgBpAHQAcgBvAHUAcwAgAG8AeABpAGQAZQAgAEUARgBzACAAYgB5ACAATQBNAFMAIAAoAEUARgBtAFQAKQBcACIAKQA7AFwAbgBcAG4AUwBvAHUAcgBjAGUARABhAHQAYQBfAFMAdwBpAG4AZQBfAE4AaQB0AHIAbwB1AHMATwB4AGkAZABlAEUARgBzAF8AVQBuAGkAdABcAG4AIAAgAD0ATABBAE0AQgBEAEEAKABcACIAawBnAE4AMgBPACAALQAgAE4AIAAvACAAawBnAE4AXAAiACkAOwBcAG4AXABuAFMAbwB1AHIAYwBlAEQAYQB0AGEAXwBTAHcAaQBuAGUAXwBOAGkAdAByAG8AdQBzAE8AeABpAGQAZQBFAEYAcwBfAFMAbwB1AHIAYwBlAFwAbgAgACAAPQBMAEEATQBCAEQAQQAoAFwAIgBWAEUARQBSAEcAIAAyADAAMgA2ADoAIABUAGEAYgBsAGUAIABBAC4AMQAuADYALgAzADoAIABTAHcAaQBuAGUAIAAtACAATgBpAHQAcgBvAHUAcwAgAG8AeABpAGQAZQAgAEUARgBzACAAYgB5ACAATQBNAFMAIAAoAGsAZwBOADIATwAtAE4ALwBrAGcATgApACAAKABFAEYAbQBUACkAXAAiACkAOwBcAG4AXABuAFMAbwB1AHIAYwBlAEQAYQB0AGEAXwBTAHcAaQBuAGUAXwBOAGkAdAByAG8AdQBzAE8AeABpAGQAZQBFAEYAcwBfAFYAYQByAGkAYQB0AGkAbwBuAFwAbgAgACAAPQBMAEEATQBCAEQAQQAoAFwAIgBWAEEAUgBJAEEAVABJAE8ATgAgAE8ATgAgAFMATwBVAFIAQwBFACAARABBAFQAQQA6ACAAQQBkAGQAZQBkACAAJwBOAEkAUgAgAHIAZQBmAGUAcgBlAG4AYwBlACAAYwBvAGwAdQBtAG4AIAB0AG8AIABhAGkAZAAgAGwAbwBvAGsAdQBwAC4AXAAiACkAOwBcAG4AXABuAFMAbwB1AHIAYwBlAEQAYQB0AGEAXwBTAHcAaQBuAGUAXwBOAGkAdAByAG8AdQBzAE8AeABpAGQAZQBFAEYAcwBfAEQAYQB0AGEAXABuACAAIAA9AEwAQQBNAEIARABBACgAXABuACAAIAAgACAATQBBAEsARQBBAFIAUgBBAFkAKAA3ACwAIAAzACwAIABcAG4AIAAgACAAIAAgACAATABBAE0AQgBEAEEAKAByACwAYwAsACAAXABuACAAIAAgACAAIAAgACAAIABJAE4ARABFAFgAKAB7AFwAbgAgACAAIAAgACAAIAAgACAAIAAgAFwAIgBNAE0AUwBtAFwAIgAsACAAXAAiAEUARgBtAFQAXAAiACwAIABcACIATgBJAFIAIAByAGUAZgBlAHIAZQBuAGMAZQBcACIAOwBcAG4AIAAgACAAIAAgACAAIAAgACAAIABcACIATwB1AHQAZABvAG8AcgAgACgARAByAHkAIABsAG8AdAApAFwAIgAsACAAMAAuADAAMgAsACAAXAAiAEQAcgB5AGwAbwB0ACAAKABmAGUAZQBkACAAcABhAGQAKQBcACIAOwBcAG4AIAAgACAAIAAgACAAIAAgACAAIABcACIARABlAGUAcAAgAGwAaQB0AHQAZQByAFwAIgAsACAAMAAuADAAMQAsACAAXAAiAEQAZQBlAHAAIABsAGkAdAB0AGUAcgBcACIAOwBcAG4AIAAgACAAIAAgACAAIAAgACAAIABcACIAUwB0AG8AYwBrAHAAaQBsAGUAIAAoAFMAbwBsAGkAZAAgAHMAdABvAHIAYQBnAGUAKQBcACIALAAgADAALgAwADAANQAsACAAXAAiAFMAbwBsAGkAZAAgAHMAdABvAHIAYQBnAGUAXAAiADsAXABuACAAIAAgACAAIAAgACAAIAAgACAAXAAiAEUAZgBmAGwAdQBlAG4AdAAgAHAAbwBuAGQAIAAoAFUAbgBjAG8AdgBlAHIAZQBkACAAYQBuAGEAZQByAG8AYgBpAGMAIABsAGEAZwBvAG8AbgApAFwAIgAsACAAMAAsACAAXAAiAEEAbgBhAGUAcgBvAGIAaQBjACAAbABhAGcAbwBvAG4AXAAiADsAXABuACAAIAAgACAAIAAgACAAIAAgACAAXAAiAEEAbgBhAGUAcgBvAGIAaQBjACAAZABpAGcAZQBzAHQAbwByACAALwAgAEMAbwB2AGUAcgBlAGQAIABsAGEAZwBvAG8AbgBcACIALAAgADAALAAgAFwAIgBEAGkAZwBlAHMAdABlAHIAIAAvACAAYwBvAHYAZQByAGUAZAAgAGwAYQBnAG8AbwBuAHMAXAAiADsAXABuACAAIAAgACAAIAAgACAAIAAgACAAXAAiAFMAaABvAHIAdAAgAEgAUgBUACAAdABhAG4AawAgAHMAdABvAHIAYQBnAGUAIAA8ACAAMQAgAG0AbwBuAHQAaAAgACgAcABpAHQAIABzAHQAbwByAGEAZwBlACkAXAAiACwAIAAwAC4AMAAwADI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C0A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A8ACAAMQAgAG0AbwBuAHQAaAAgACgAcABpAHQAIABzAHQAbwByAGEAZwBlACkAXAAiACwAIAAwAC4AMAAzACwAIAAwAC4AMAAzACwAIAAwAC4AMAAzACwAIAAwAC4AMAAzACwAIAAwAC4AMAAzACwAIAAwAC4AMAAzACwAIAAwAC4AMAAzACwAIAAwAC4AMAAzACwAIABcACIAUABpAHQAIABzAHQAbwByAGEAZwBlAFwAIgA7ACA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QQB2AGUAcgBhAGcAZQBMAGkAdgBlAHcAZQBpAGcAaAB0AFwAbgBXAGMAbwBcAG4AawBnAFwAbgAtAC0ALQAtAC0ALQAtAC0ALQAtAC0ALQAtAC0ALQAtAC0ALQAtAC0ALQAtAC0ALQAtAC0ALQAtAC0ALQAtAC0ALQAtAC0ALQAtAC0AXABuACoALwBcAG4AXABuAFMAbwB1AHIAYwBlAEQAYQB0AGEAXwBTAHcAaQBuAGUAXwBBAHYAZQByAGEAZwBlAEwAaQB2AGUAdwBlAGkAZwBoAHQAXwBUAGkAdABsAGUAXABuACAAIAA9AEwAQQBNAEIARABBACgAXAAiAFMAdwBpAG4AZQAgAC0AIABBAHYAZQByAGEAZwBlACAAbABpAHYAZQB3AGUAaQBnAGgAdAAgACgAaQBuAHYAZQBuAHQAbwByAHkAIABkAGUAZgBhAHUAbAB0AHMAKQAgACgAawBnACkAIAAoAFcAYwBvACkAXAAiACkAOwBcAG4AXABuAFMAbwB1AHIAYwBlAEQAYQB0AGEAXwBTAHcAaQBuAGUAXwBBAHYAZQByAGEAZwBlAEwAaQB2AGUAdwBlAGkAZwBoAHQAXwBVAG4AaQB0AFwAbgAgACAAPQBMAEEATQBCAEQAQQAoAFwAIgBrAGcAXAAiACkAOwBcAG4AXABuAFMAbwB1AHIAYwBlAEQAYQB0AGEAXwBTAHcAaQBuAGUAXwBBAHYAZQByAGEAZwBlAEwAaQB2AGUAdwBlAGkAZwBoAHQAXwBTAG8AdQByAGMAZQBcAG4AIAAgAD0ATABBAE0AQgBEAEEAKABcACIAVgBFAEUAUgBHACAAMgAwADIANgA6ACAAVABhAGIAbABlACAAQQAuADEALgA2AC4ANQA6ACAAUwB3AGkAbgBlACAALQAgAEEAdgBlAHIAYQBnAGUAIABsAGkAdgBlAHcAZQBpAGcAaAB0ACAAKABpAG4AdgBlAG4AdABvAHIAeQAgAGQAZQBmAGEAdQBsAHQAcwApACAAKABrAGcAKQAgACgAVwBjAG8AKQBcACIAKQA7AFwAbgBcAG4AUwBvAHUAcgBjAGUARABhAHQAYQBfAFMAdwBpAG4AZQBfAEEAdgBlAHIAYQBnAGUATABpAHYAZQB3AGUAaQBnAGgAdABfAFYAYQByAGkAYQB0AGkAbwBuAFwAbgAgACAAPQBMAEEATQBCAEQAQQAoAFwAIgAuAFwAIgApADsAXABuAFwAbgBTAG8AdQByAGMAZQBEAGEAdABhAF8AUwB3AGkAbgBlAF8AQQB2AGUAcgBhAGcAZQBMAGkAdgBlAHcAZQBpAGcAaAB0AF8ARABhAHQAYQBcAG4AIAAgAD0ATABBAE0AQgBEAEEAKABcAG4AIAAgACAAIABNAEEASwBFAEEAUgBSAEEAWQAoADYALAAgADIALAAgAFwAbgAgACAAIAAgACAAIABMAEEATQBCAEQAQQAoAHIALABjACwAIABcAG4AIAAgACAAIAAgACAAIAAgAEkATgBEAEUAWAAoAHsAXABuACAAIAAgACAAIAAgACAAIAAgACAAXAAiAEwAaQB2AGUAcwB0AG8AYwBrACAAVAB5AHAAZQAgAGoAXAAiACwAIABcACIAQQB2AGUAcgBhAGcAZQAgAEwAaQB2AGUAdwBlAGkAZwBoAHQAIAAoAGsAZwApAFwAIgA7AFwAbgAgACAAIAAgACAAIAAgACAAIAAgAFwAIgBTAG8AdwBzAFwAIgAsACAAMQA4ADgAOwBcAG4AIAAgACAAIAAgACAAIAAgACAAIABcACIAQgBvAGEAcgBzAFwAIgAsACAAMgAwADYAOwBcAG4AIAAgACAAIAAgACAAIAAgACAAIABcACIARwBpAGwAdABzAFwAIgAsACAAMQAyADUAOwBcAG4AIAAgACAAIAAgACAAIAAgACAAIABcACIAUwBsAGEAdQBnAGgAdABlAHIAIABwAGkAZwBzAFwAIgAsACAAMwA5ADsAXABuACAAIAAgACAAIAAgACAAIAAgACAAXAAiAFMAbABhAHUAZwBoAHQAZQByACAAcABpAGcAcwAgAGEAdAAgAHQAdQByAG4AbwBmAGYAXAAiACwAIAA5ADc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UAByAG8AZAB1AGMAdABpAG8AbgBTAHkAcwB0AGUAbQBzAFwAbgA0AC4ANQAgAFMAdwBpAG4AZQAgAEYAaQBnAHUAcgBlACAANAAuADgAXABuAC0ALQAtAC0ALQAtAC0ALQAtAC0ALQAtAC0ALQAtAC0ALQAtAC0ALQAtAC0ALQAtAC0ALQAtAC0ALQAtAC0ALQAtAC0ALQAtAC0ALQBcAG4AKgAvAFwAbgBcAG4AUwBvAHUAcgBjAGUARABhAHQAYQBfAFMAdwBpAG4AZQBfAFAAcgBvAGQAdQBjAHQAaQBvAG4AUwB5AHMAdABlAG0AcwBfAFQAaQB0AGwAZQBcAG4AIAAgAD0ATABBAE0AQgBEAEEAKABcACIAUwB3AGkAbgBlACAAcAByAG8AZAB1AGMAdABpAG8AbgAgAHMAeQBzAHQAZQBtAHMAXAAiACkAOwBcAG4AXABuAFMAbwB1AHIAYwBlAEQAYQB0AGEAXwBTAHcAaQBuAGUAXwBQAHIAbwBkAHUAYwB0AGkAbwBuAFMAeQBzAHQAZQBtAHMAXwBVAG4AaQB0AFwAbgAgACAAPQBMAEEATQBCAEQAQQAoAFwAIgBcACIAKQA7AFwAbgBcAG4AUwBvAHUAcgBjAGUARABhAHQAYQBfAFMAdwBpAG4AZQBfAFAAcgBvAGQAdQBjAHQAaQBvAG4AUwB5AHMAdABlAG0AcwBfAFMAbwB1AHIAYwBlAFwAbgAgACAAPQBMAEEATQBCAEQAQQAoAFwAIgBWAEUARQBSAEcAIAAyADAAMgA2ADoAIAA0AC4ANQAgAFMAdwBpAG4AZQAgAEYAaQBnAHUAcgBlACAANAAuADgAXAAiACkAOwBcAG4AXABuAFMAbwB1AHIAYwBlAEQAYQB0AGEAXwBTAHcAaQBuAGUAXwBQAHIAbwBkAHUAYwB0AGkAbwBuAFMAeQBzAHQAZQBtAHMAXwBWAGEAcgBpAGEAdABpAG8AbgBcAG4AIAAgAD0ATABBAE0AQgBEAEEAKABcACIAXAAiACkAOwBcAG4AXABuAFMAbwB1AHIAYwBlAEQAYQB0AGEAXwBTAHcAaQBuAGUAXwBQAHIAbwBkAHUAYwB0AGkAbwBuAFMAeQBzAHQAZQBtAHMAXwBEAGEAdABhAFwAbgAgACAAPQBMAEEATQBCAEQAQQAoAFwAbgAgACAAIAAgAE0AQQBLAEUAQQBSAFIAQQBZACgANAAsACAAMQAsACAAXABuACAAIAAgACAAIAAgAEwAQQBNAEIARABBACgAcgAsAGMALAAgAFwAbgAgACAAIAAgACAAIAAgACAASQBOAEQARQBYACgAewBcAG4AIAAgACAAIAAgACAAIAAgACAAIABcACIAUAByAG8AZAB1AGMAdABpAG8AbgAgAHMAeQBzAHQAZQBtAFwAIgA7AFwAbgAgACAAIAAgACAAIAAgACAAIAAgAFwAIgBDAG8AbgB2AGUAbgB0AGkAbwBuAGEAbAAgAGgAbwB1AHMAaQBuAGcAXAAiADsAXABuACAAIAAgACAAIAAgACAAIAAgACAAXAAiAEQAZQBlAHAAIABsAGkAdAB0AGUAcgAgAGgAbwB1AHMAaQBuAGcAXAAiADsAXABuACAAIAAgACAAIAAgACAAIAAgACAAXAAiAE8AdQB0AGQAbwBvAHIALwBmAHIAZQBlACAAcgBhAG4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EwARQBBAEMASABfAEQAcgB5AGwAbwB0AE0ATQBTAFwAbgBGAHIAYQBjAEwARQBBAEMASABfAE0AUwBcAG4AZgByAGEAYwB0AGkAbwBuAFwAbgAtAC0ALQAtAC0ALQAtAC0ALQAtAC0ALQAtAC0ALQAtAC0ALQAtAC0ALQAtAC0ALQAtAC0ALQAtAC0ALQAtAC0ALQAtAC0ALQAtAC0AXABuACoALwBcAG4AXABuAFMAbwB1AHIAYwBlAEQAYQB0AGEAXwBTAHcAaQBuAGUAXwBGAHIAYQBjAEwARQBBAEMASABfAEQAcgB5AGwAbwB0AE0ATQBTAF8AVABpAHQAbABlAFwAbgAgACAAPQBMAEEATQBCAEQAQQAoAFwAIgBGAHIAYQBjAHQAaQBvAG4AIABvAGYAIABuAGkAdAByAG8AZwBlAG4AIABsAG8AcwB0ACAAdABoAHIAbwB1AGcAaAAgAGwAZQBhAGMAaABpAG4AZwAgAGEAbgBkACAAcgB1AG4AbwBmAGYAIABmAG8AcgAgAGQAcgB5AGwAbwB0ACAATQBNAFMAXAAiACkAOwBcAG4AXABuAFMAbwB1AHIAYwBlAEQAYQB0AGEAXwBTAHcAaQBuAGUAXwBGAHIAYQBjAEwARQBBAEMASABfAEQAcgB5AGwAbwB0AE0ATQBTAF8AVgBhAHIAaQBhAGIAbABlAFwAbgAgACAAPQBMAEEATQBCAEQAQQAoAFwAIgBGAHIAYQBjAEwARQBBAEMASABfAE0AUwBcACIAKQA7AFwAbgBcAG4AUwBvAHUAcgBjAGUARABhAHQAYQBfAFMAdwBpAG4AZQBfAEYAcgBhAGMATABFAEEAQwBIAF8ARAByAHkAbABvAHQATQBNAFMAXwBVAG4AaQB0AFwAbgAgACAAPQBMAEEATQBCAEQAQQAoAFwAIgBmAHIAYQBjAHQAaQBvAG4AXAAiACkAOwBcAG4AXABuAFMAbwB1AHIAYwBlAEQAYQB0AGEAXwBTAHcAaQBuAGUAXwBGAHIAYQBjAEwARQBBAEMASABfAEQAcgB5AGwAbwB0AE0ATQBTAF8AUwBvAHUAcgBjAGUAXABuACAAIAA9AEwAQQBNAEIARABBACgAXAAiAFYARQBFAFIARwAgADIAMAAyADYAOgAgADQALgA1AC4AMgAuADMAIABDAE8ATgBTAFQAQQBOAFQAXAAiACkAOwBcAG4AXABuAFMAbwB1AHIAYwBlAEQAYQB0AGEAXwBTAHcAaQBuAGUAXwBGAHIAYQBjAEwARQBBAEMASABfAEQAcgB5AGwAbwB0AE0ATQBTAF8AVgBhAHIAaQBhAHQAaQBvAG4AXABuACAAIAA9AEwAQQBNAEIARABBACgAXAAiAFYAQQBSAEkAQQBUAEkATwBOACAATwBOACAAUwBPAFUAUgBDAEUAOgAgAFQAZQB4AHQAIAByAGUAZgBlAHIAcwAgAHQAbwAgACcAcwBvAGwAaQBkACAAcwB0AG8AcgBhAGcAZQAnACAATQBNAFMALAAgAGIAdQB0ACAAZQBxAHUAYQB0AGkAbwBuACAAcgBlAGYAZQByAHMAIAB0AG8AIAAnAGQAcgB5AGwAbwB0ACcAIABNAE0AUwAuAFwAIgApADsAXABuAFwAbgBTAG8AdQByAGMAZQBEAGEAdABhAF8AUwB3AGkAbgBlAF8ARgByAGEAYwBMAEUAQQBDAEgAXwBEAHIAeQBsAG8AdABNAE0AUwBfAEQAYQB0AGEAXABuACAAIAA9AEwAQQBNAEIARABBACgAMAAuADAAMgApADsAXABuAFwAbgBcAG4ALwAqACAAXABuAC0ALQAtAC0ALQAtAC0ALQAtAC0ALQAtAC0ALQAtAC0ALQAtAC0ALQAtAC0ALQAtAC0ALQAtAC0ALQAtAC0ALQAtAC0ALQAtAC0ALQBcAG4AUwBvAHUAcgBjAGUARABhAHQAYQBfAFMAdwBpAG4AZQBfAE0AZQBnAGEAagBvAHUAbABlAHMAUABlAHIASwBpAGwAbwBnAHIAYQBtAE0AZQB0AGgAYQBuAGUAXABuAEYAXABuAE0ASgAvAGsAZwAgAEMASAA0AFwAbgBcAG4ALQAtAC0ALQAtAC0ALQAtAC0ALQAtAC0ALQAtAC0ALQAtAC0ALQAtAC0ALQAtAC0ALQAtAC0ALQAtAC0ALQAtAC0ALQAtAC0ALQAtAFwAbgAqAC8AXABuAFwAbgBTAG8AdQByAGMAZQBEAGEAdABhAF8AUwB3AGkAbgBlAF8ATQBlAGcAYQBqAG8AdQBsAGUAcwBQAGUAcgBLAGkAbABvAGcAcgBhAG0ATQBlAHQAaABhAG4AZQBfAFQAaQB0AGwAZQBcAG4AIAAgAD0ATABBAE0AQgBEAEEAKABcACIATQBlAGcAYQBqAG8AdQBsAGUAcwAgAHAAZQByACAAawBpAGwAbwBnAHIAYQBtACAAbwBmACAAbQBlAHQAaABhAG4AZQBcACIAKQA7AFwAbgBcAG4AUwBvAHUAcgBjAGUARABhAHQAYQBfAFMAdwBpAG4AZQBfAE0AZQBnAGEAagBvAHUAbABlAHMAUABlAHIASwBpAGwAbwBnAHIAYQBtAE0AZQB0AGgAYQBuAGUAXwBWAGEAcgBpAGEAYgBsAGUAXABuACAAIAA9AEwAQQBNAEIARABBACgAXAAiAEYAXAAiACkAOwBcAG4AXABuAFMAbwB1AHIAYwBlAEQAYQB0AGEAXwBTAHcAaQBuAGUAXwBNAGUAZwBhAGoAbwB1AGwAZQBzAFAAZQByAEsAaQBsAG8AZwByAGEAbQBNAGUAdABoAGEAbgBlAF8AVQBuAGkAdABcAG4AIAAgAD0ATABBAE0AQgBEAEEAKABcACIATQBKACAALwAgAGsAZwAgAEMASAA0AFwAIgApADsAXABuAFwAbgBTAG8AdQByAGMAZQBEAGEAdABhAF8AUwB3AGkAbgBlAF8ATQBlAGcAYQBqAG8AdQBsAGUAcwBQAGUAcgBLAGkAbABvAGcAcgBhAG0ATQBlAHQAaABhAG4AZQBfAFMAbwB1AHIAYwBlAFwAbgAgACAAPQBMAEEATQBCAEQAQQAoAFwAIgBWAEUARQBSAEcAIAAyADAAMgA2ADoAIAAzAC4ANQAuADIALgAzACAAQwBPAE4AUwBUAEEATgBUAFwAIgApADsAXABuAFwAbgBTAG8AdQByAGMAZQBEAGEAdABhAF8AUwB3AGkAbgBlAF8ATQBlAGcAYQBqAG8AdQBsAGUAcwBQAGUAcgBLAGkAbABvAGcAcgBhAG0ATQBlAHQAaABhAG4AZQBfAFYAYQByAGkAYQB0AGkAbwBuAFwAbgAgACAAPQBMAEEATQBCAEQAQQAoAFwAIgBcACIAKQA7AFwAbgBcAG4AUwBvAHUAcgBjAGUARABhAHQAYQBfAFMAdwBpAG4AZQBfAE0AZQBnAGEAagBvAHUAbABlAHMAUABlAHIASwBpAGwAbwBnAHIAYQBtAE0AZQB0AGgAYQBuAGUAXwBEAGEAdABhAFwAbgAgACAAPQBMAEEATQBCAEQAQQAoADUANQAuADIAMgApADsAIgB9ACwAewAiAHAAYQB0AGgAIgA6ACIALwBwAHIAbwBqAGUAYwB0AHMALwBTAG8AdQByAGMAZQBEAGEAdABhAF8AUABvAHUAbAB0AHIAeQAiACwAIgB0AGUAeAB0ACIAOgAiAC8AKgAgAFwAbgAtAC0ALQAtAC0ALQAtAC0ALQAtAC0ALQAtAC0ALQAtAC0ALQAtAC0ALQAtAC0ALQAtAC0ALQAtAC0ALQAtAC0ALQAtAC0ALQAtAC0AXABuAFMAbwB1AHIAYwBlAEQAYQB0AGEAXwBQAG8AdQBsAHQAcgB5AF8ARABpAGUAdABQAHIAbwBwAGUAcgB0AGkAZQBzAFwAbgBUAGEAYgBsAGUAIABBAC4AMQAuADcALgAxADoAIABQAG8AdQBsAHQAcgB5ACAALQAgAEQAaQBlAHQAIABwAHIAbwBwAGUAcgB0AGkAZQBzAFwAbgAtAC0ALQAtAC0ALQAtAC0ALQAtAC0ALQAtAC0ALQAtAC0ALQAtAC0ALQAtAC0ALQAtAC0ALQAtAC0ALQAtAC0ALQAtAC0ALQAtAC0AXABuACoALwBcAG4AXABuAFMAbwB1AHIAYwBlAEQAYQB0AGEAXwBQAG8AdQBsAHQAcgB5AF8ARABpAGUAdABQAHIAbwBwAGUAcgB0AGkAZQBzAF8AVABpAHQAbABlAFwAbgAgACAAPQBMAEEATQBCAEQAQQAoAFwAIgBQAG8AdQBsAHQAcgB5ACAALQAgAEQAaQBlAHQAIABwAHIAbwBwAGUAcgB0AGkAZQBzAFwAIgApADsAXABuAFwAbgBTAG8AdQByAGMAZQBEAGEAdABhAF8AUABvAHUAbAB0AHIAeQBfAEQAaQBlAHQAUAByAG8AcABlAHIAdABpAGUAcwBfAFUAbgBpAHQAXABuACAAIAA9AEwAQQBNAEIARABBACgAXAAiAFwAIgApADsAXABuAFwAbgBTAG8AdQByAGMAZQBEAGEAdABhAF8AUABvAHUAbAB0AHIAeQBfAEQAaQBlAHQAUAByAG8AcABlAHIAdABpAGUAcwBfAFMAbwB1AHIAYwBlAFwAbgAgACAAPQBMAEEATQBCAEQAQQAoAFwAIgBWAEUARQBSAEcAIAAyADAAMgA2ADoAIABUAGEAYgBsAGUAIABBAC4AMQAuADcALgAxADoAIABQAG8AdQBsAHQAcgB5ACAALQAgAEQAaQBlAHQAIABwAHIAbwBwAGUAcgB0AGkAZQBzAFwAIgApADsAXABuAFwAbgBTAG8AdQByAGMAZQBEAGEAdABhAF8AUABvAHUAbAB0AHIAeQBfAEQAaQBlAHQAUAByAG8AcABlAHIAdABpAGUAcwBfAFYAYQByAGkAYQB0AGkAbwBuAFwAbgAgACAAPQBMAEEATQBCAEQAQQAoAFwAIgBcACIAKQA7AFwAbgBcAG4AUwBvAHUAcgBjAGUARABhAHQAYQBfAFAAbwB1AGwAdAByAHkAXwBEAGkAZQB0AFAAcgBvAHAAZQByAHQAaQBlAHMAXwBEAGEAdABhAFwAbgAgACAAPQBMAEEATQBCAEQAQQAoAFwAbgAgACAAIAAgAE0AQQBLAEUAQQBSAFIAQQBZACgANgAsACAANQAsACAAXABuACAAIAAgACAAIAAgAEwAQQBNAEIARABBACgAcgAsAGMALAAgAFwAbgAgACAAIAAgACAAIAAgACAASQBOAEQARQBYACgAewBcAG4AIAAgACAAIAAgACAAIAAgACAAIABcACIATgB1AHQAcgBpAGUAbgB0ACAAYQBuAGEAbAB5AHMAaQBzAFwAIgAsACAAXAAiAEwAYQB5AGUAcgBzAFwAIgAsACAAXAAiAE0AZQBhAHQAIABjAGgAaQBjAGsAZQBuACAAZwByAG8AdwBlAHIAcwBcACIALAAgAFwAIgBNAGUAYQB0ACAAYwBoAGkAYwBrAGUAbgAgAGIAcgBlAGUAZABlAHIAXAAiACwAIABcACIATQBlAGEAdAAgAG8AdABoAGUAcgBcACIAOwBcAG4AIAAgACAAIAAgACAAIAAgACAAIABcACIARAByAHkAIABtAGEAdAB0AGUAcgAgAGkAbgB0AGEAawBlACAAKABrAGcALwBoAGUAYQBkAC8AZABhAHkAKQBcACIALAAgADAALgAwADgANgAsACAAMAAuADAAOQAzACwAIAAwAC4AMQAwADMALAAgADAALgAwADkAMwA7ACAAXABuACAAIAAgACAAIAAgACAAIAAgACAAXAAiAEQAcgB5ACAAbQBhAHQAdABlAHIAIABkAGkAZwBlAHMAdABpAGIAaQBsAGkAdAB5AFwAIgAsACAAMAAuADgAMAAsACAAMAAuADgAMAAsACAAMAAuADgAMAAsACAAMAAuADgAMAA7AFwAbgAgACAAIAAgACAAIAAgACAAIAAgAFwAIgBDAHIAdQBkAGUAIABwAHIAbwB0AGUAaQBuAFwAIgAsACAAMAAuADEAOQAsACAAMAAuADIAMwAsACAAMAAuADEAOQAsACAAMAAuADIAMwA7AFwAbgAgACAAIAAgACAAIAAgACAAIAAgAFwAIgBOAGkAdAByAG8AZwBlAG4AIAByAGUAdABlAG4AdABpAG8AbgAgAHIAYQB0AGUAXAAiACwAIAAwAC4AMwA1ACwAIAAwAC4ANAA3ACwAIAAwAC4AMwAyACwAIAAwAC4ANAA3ADsAXABuACAAIAAgACAAIAAgACAAIAAgACAAXAAiAE0AYQBuAHUAcgBlACAAYQBzAGgAXAAiACwAIAAwAC4AMQA4ACwAIAAwAC4AMQA1ACwAIAAwAC4AMQA4ACwAIAAwAC4AMQA1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0AQwBGAFwAbgBUAGEAYgBsAGUAIABBAC4AMQAuADcALgA0ADoAIABQAG8AdQBsAHQAcgB5ACAALQAgAE0AQwBGAHMAXABuAC0ALQAtAC0ALQAtAC0ALQAtAC0ALQAtAC0ALQAtAC0ALQAtAC0ALQAtAC0ALQAtAC0ALQAtAC0ALQAtAC0ALQAtAC0ALQAtAC0ALQBcAG4AKgAvAFwAbgBcAG4AUwBvAHUAcgBjAGUARABhAHQAYQBfAFAAbwB1AGwAdAByAHkAXwBNAEMARgBfAFQAaQB0AGwAZQBcAG4AIAAgAD0ATABBAE0AQgBEAEEAKABcACIAUABvAHUAbAB0AHIAeQAgAC0AIABNAEMARgBzAFwAIgApADsAXABuAFwAbgBTAG8AdQByAGMAZQBEAGEAdABhAF8AUABvAHUAbAB0AHIAeQBfAE0AQwBGAF8AVQBuAGkAdABcAG4AIAAgAD0ATABBAE0AQgBEAEEAKABcACIAXAAiACkAOwBcAG4AXABuAFMAbwB1AHIAYwBlAEQAYQB0AGEAXwBQAG8AdQBsAHQAcgB5AF8ATQBDAEYAXwBTAG8AdQByAGMAZQBcAG4AIAAgAD0ATABBAE0AQgBEAEEAKABcACIAVgBFAEUAUgBHACAAMgAwADIANgA6ACAAVABhAGIAbABlACAAQQAuADEALgA3AC4ANAA6ACAAUABvAHUAbAB0AHIAeQAgAC0AIABNAEMARgBzAFwAIgApADsAXABuAFwAbgBTAG8AdQByAGMAZQBEAGEAdABhAF8AUABvAHUAbAB0AHIAeQBfAE0AQwBG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TgAgAFMATwBVAFIAQwBFADoAXAAiADsAXABuACAAIAAgACAAIAAgACAAIAAgACAAXAAiAFMAcABsAGkAdAAgAE4AUwBXACAAYQBuAGQAIABBAEMAVAAgAGkAbgB0AG8AIABzAGUAcABhAHIAYQB0AGUAIABzAHQAYQB0AGUAcwAuACAAUwBwAGwAaQB0ACAAUQBMAEQAIABhAG4AZAAgAE4AVAAgAGkAbgB0AG8AIABzAGUAcABhAHIAYQB0AGUAIABzAHQAYQB0AGUAcwAuAFwAIgA7AFwAbgAgACAAIAAgACAAIAAgACAAIAAgAFwAIgBJAG4AYwBsAHUAZABlAGQAIAB2AGEAbAB1AGUAcwAgAGYAbwByACAAZQBhAGMAaAAgAHMAdABhAHQAZQAgAHcAaABlAG4AIAAnAEEAbABsACAAcwB0AGEAdABlAHMAJwAgAHYAYQBsAHUAZQAgAGkAcwAgAGcAaQB2AGUAbgAuAFwAIgA7AFwAbgAgACAAIAAgACAAIAAgACAAIAAgAFwAIgBBAGQAZABlAGQAIAAnAE4ASQBSACAAZABlAGYAaQBuAGkAdABpAG8AbgAnACAAYwBvAGwAdQBtAG4AIAB3AGkAdABoACAATQBNAFMAIABuAGEAbQBlAHMAIAB0AGgAYQB0ACAAbQBhAHQAYwBoACAATgBJAFIAIABkAGUAZgBpAG4AaQB0AGkAbwBuAHMALgBcACIAOwBcAG4AIAAgACAAIAAgACAAIAAgACAAIABcACIARAB1AHAAbABpAGMAYQB0AGUAZAAgACcAUABvAHUAbAB0AHIAeQAgAG0AYQBuAHUAcgBlACAAdwBpAHQAaABvAHUAdAAgAGwAaQB0AHQAZQByACcAIAByAG8AdwAgAGYAbwByACAATgBJAFIAIABNAE0AUwAgACcAQgBlAGwAdAAgAG0AYQBuAHUAcgBlACAAcgBlAG0AbwB2AGEAbAAnACAAYQBuAGQAIAAnAE0AYQBuAHUAcgBlACAAcwB0AG8AcgBlAGQAIABpAG4AIABoAG8AdQBzAGUAJwBcACIAXABuACAAIAAgACAAIAAgACAAIAB9ACwAIAByACwAIABjACkAXABuACAAIAAgACAAIAAgACkAXABuACAAIAAgACAAKQBcAG4AIAAgACkAOwBcAG4AXABuAFMAbwB1AHIAYwBlAEQAYQB0AGEAXwBQAG8AdQBsAHQAcgB5AF8ATQBDAEYAXwBEAGEAdABhAFwAbgAgACAAPQBMAEEATQBCAEQAQQAoAFwAbgAgACAAIAAgAE0AQQBLAEUAQQBSAFIAQQBZACgAMQAwACwAIAAxADEALAAgAFwAbgAgACAAIAAgACAAIABMAEEATQBCAEQAQQAoAHIALABjACwAIABcAG4AIAAgACAAIAAgACAAIAAgAEkATgBEAEUAWAAoAHsAXABuACAAIAAgACAAIAAgACAAIAAgACAAXAAiAE0ATQBTACAAbQBcACIALAAgAFwAIgBBAGwAbAAgAHMAdABhAHQAZQBzAFwAIgAsACAAXAAiAE4AUwBXAFwAIgAsACAAXAAiAEEAQwBUAFwAIgAsACAAXAAiAFEATABEAFwAIgAsACAAXAAiAE4AVABcACIALAAgAFwAIgBWAEkAQwBcACIALAAgAFwAIgBTAEEAXAAiACwAIABcACIAVwBBAFwAIgAsACAAXAAiAFQAQQBTAFwAIgAsACAAXAAiAE4ASQBSACAAZABlAGYAaQBuAGkAdABpAG8AbgBcACIAOwBcAG4AIAAgACAAIAAgACAAIAAgACAAIABcACIAUABvAHUAbAB0AHIAeQAgAG0AYQBuAHUAcgBlACAAdwBpAHQAaAAgAGwAaQB0AHQAZQByAFwAIgAsACAAMAAuADAAMQA1ACwAIAAwAC4AMAAxADUALAAgADAALgAwADEANQAsACAAMAAuADAAMQA1ACwAIAAwAC4AMAAxADUALAAgADAALgAwADEANQAsACAAMAAuADAAMQA1ACwAIAAwAC4AMAAxADUALAAgADAALgAwADEANQAsACAAXAAiAFAAbwB1AGwAdAByAHkAIABtAGEAbgB1AHIAZQAgAHcAaQB0AGgAIABiAGUAZABkAGkAbgBnAFwAIgA7ACA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CAGUAbAB0ACAAbQBhAG4AdQByAGUAIAByAGUAbQBvAHYAYQBsAFwAIgA7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TQBhAG4AdQByAGUAIABzAHQAbwByAGUAZAAgAGkAbgAgAGgAbwB1AHMAZQBcACIAOwBcAG4AIAAgACAAIAAgACAAIAAgACAAIABcACIAUABhAHMAdAB1AHIAZQAgAHIAYQBuAGcAZQAgAGEAbgBkACAAcABhAGQAZABvAGMAawBcACIALAAgAFwAIgBuAC8AYQBcACIALAAgADAALgAwADEALAAgADAALgAwADEALAAgADAALgAwADMALAAgADAALgAwADMALAAgADAALgAwADEALAAgADAALgAwADEALAAgADAALgAwADEALAAgADAALgAwADEALAAgAFwAIgBQAGEAcwB0AHUAcgBlACAAcgBhAG4AZwBlACAAYQBuAGQAIABwAGEAZABkAG8AYwBrAFwAIgA7AFwAbgAgACAAIAAgACAAIAAgACAAIAAgAFwAIgBTAG8AbABpAGQAIABzAHQAbwByAGEAZwBlAFwAIgAsACAAMAAuADAAMgAsACAAMAAuADAAMgAsACAAMAAuADAAMgAsACAAMAAuADAAMgAsACAAMAAuADAAMgAsACAAMAAuADAAMgAsACAAMAAuADAAMgAsACAAMAAuADAAMgAsACAAMAAuADAAMgAsACAAXAAiAFMAbwBsAGkAZAAgAHMAdABvAHIAYQBnAGUAXAAiADsAXABuACAAIAAgACAAIAAgACAAIAAgACAAXAAiAEMAbwBtAHAAbwBzAHQAaQBuAGcAIAAoAHAAYQBzAHMAaQB2AGUAIAB3AGkAbgBkAHIAbwB3ACkAXAAiACwAIABcACIAbgAvAGEAXAAiACwAIAAwAC4AMAAxACwAIAAwAC4AMAAxACwAIAAwAC4AMAAxACwAIAAwAC4AMAAxACwAIAAwAC4AMAAxACwAIAAwAC4AMAAxACwAIAAwAC4AMAAxACwAIAAwAC4AMAAwADUALAAgAFwAIgBDAG8AbQBwAG8AcwB0AGkAbgBnACAAKABwAGEAcwBzAGkAdgBlACAAdwBpAG4AZAByAG8AdwApAFwAIgA7AFwAbgAgACAAIAAgACAAIAAgACAAIAAgAFwAIgBBAG4AYQBlAHIAbwBiAGkAYwAgAGQAaQBnAGUAcwB0AGUAcgAgAC8AIABDAG8AdgBlAHIAZQBkACAAcABvAG4AZABcACIALAAgADAALgAxACwAIAAwAC4AMQAsACAAMAAuADEALAAgADAALgAxACwAIAAwAC4AMQAsACAAMAAuADEALAAgADAALgAxACwAIAAwAC4AMQAsACAAMAAuADEALAAgAFwAIgBEAGkAZwBlAHMAdABlAHIAIAAvACAAYwBvAHYAZQByAGUAZAAgAGwAYQBnAG8AbwBuAHMAXAAiADsAXABuACAAIAAgACAAIAAgACAAIAAgACAAXAAiAEQAaQByAGUAYwB0ACAAcAByAG8AYwBlAHMAcwBpAG4AZwBcACIALAAgADAALAAgADAALAAgADAALAAgADAALAAgADAALAAgADAALAAgADAALAAgADAALAAgADAALAAgAFwAIgBEAGkAcgBlAGMAdAAgAHAAcgBvAGMAZQBzAHMAaQBuAGcAXAAiADsAXABuACAAIAAgACAAIAAgACAAIAAgACAAXAAiAEQAaQByAGUAYwB0ACAAYQBwAHAAbABpAGMAYQB0AGkAbwBuACAAdABvACAAcwBvAGkAbABcACIALAAgADAALAAgADAALAAgADAALAAgADAALAAgADAALAAgADAALAAgADAALAAgADAALAAgADAALAAgAFwAIgBEAGkAcgBlAGMAdAAgAGEAcABwAGwAaQBjAGEAdABpAG8AbgBcACIAXABuACAAIAAgACAAIAAgACAAIAB9ACwAIAByACwAIABjACkAXABuACAAIAAgACAAIAAgACkAXABuACAAIAAgACAAKQBcAG4AIAAgACkAOwBcAG4AXABuAFMAbwB1AHIAYwBlAEQAYQB0AGEAXwBQAG8AdQBsAHQAcgB5AF8ATQBDAEYAXwBOAG8AdABlAHMAXABuACAAIAA9AEwAQQBNAEIARABBACgAXAAiACcAUABhAHMAdAB1AHIAZQAgAHIAYQBuAGcAZQAgAGEAbgBkACAAcABhAGQAZABvAGMAawAnACAAYQBwAHAAbABpAGUAcwAgAE0AQwBGACAAZgBvAHIAIABkAHIAeQBsAG8AdAAuAFwAIgApADsAXABuAFwAbgBcAG4ALwAqACAAXABuAC0ALQAtAC0ALQAtAC0ALQAtAC0ALQAtAC0ALQAtAC0ALQAtAC0ALQAtAC0ALQAtAC0ALQAtAC0ALQAtAC0ALQAtAC0ALQAtAC0ALQBcAG4AUwBvAHUAcgBjAGUARABhAHQAYQBfAFAAbwB1AGwAdAByAHkAXwBNAGUAdABoAGEAbgBlAEUAbQBpAHMAcwBpAG8AbgBzAFAAbwB0AGUAbgB0AGkAYQBsAFwAbgBNAGUAdABoAGEAbgBlACAAZQBtAGkAcwBzAGkAbwBuAHMAIABwAG8AdABlAG4AdABpAGEAbAAgAHAAZQByACAAcABvAHUAbAB0AHIAeQAgAGMAbABhAHMAcwBcAG4ALQAtAC0ALQAtAC0ALQAtAC0ALQAtAC0ALQAtAC0ALQAtAC0ALQAtAC0ALQAtAC0ALQAtAC0ALQAtAC0ALQAtAC0ALQAtAC0ALQAtAFwAbgAqAC8AXABuAFwAbgBTAG8AdQByAGMAZQBEAGEAdABhAF8AUABvAHUAbAB0AHIAeQBfAE0AZQB0AGgAYQBuAGUARQBtAGkAcwBzAGkAbwBuAHMAUABvAHQAZQBuAHQAaQBhAGwAXwBUAGkAdABsAGUAXABuACAAIAA9AEwAQQBNAEIARABBACgAXAAiAFAAbwB1AGwAdAByAHkAIAAtACAATQBlAHQAaABhAG4AZQAgAGUAbQBpAHMAcwBpAG8AbgBzACAAcABvAHQAZQBuAHQAaQBhAGwAIABwAGUAcgAgAGMAbABhAHMAcwBcACIAKQA7AFwAbgBcAG4AUwBvAHUAcgBjAGUARABhAHQAYQBfAFAAbwB1AGwAdAByAHkAXwBNAGUAdABoAGEAbgBlAEUAbQBpAHMAcwBpAG8AbgBzAFAAbwB0AGUAbgB0AGkAYQBsAF8AVQBuAGkAdABcAG4AIAAgAD0ATABBAE0AQgBEAEEAKABcACIAbQAzACAAQwBIADQALwBrAGcAIABWAFMAXAAiACkAOwBcAG4AXABuAFMAbwB1AHIAYwBlAEQAYQB0AGEAXwBQAG8AdQBsAHQAcgB5AF8ATQBlAHQAaABhAG4AZQBFAG0AaQBzAHMAaQBvAG4AcwBQAG8AdABlAG4AdABpAGEAbABfAFMAbwB1AHIAYwBlAFwAbgAgACAAPQBMAEEATQBCAEQAQQAoAFwAIgBWAEUARQBSAEcAIAAyADAAMgA2ADoAIAA0AC4ANgAuADIALgAzACAAQwBPAE4AUwBUAEEATgBUADoAIABQAG8AdQBsAHQAcgB5ACAALQAgAE0AZQB0AGgAYQBuAGUAIABlAG0AaQBzAHMAaQBvAG4AcwAgAHAAbwB0AGUAbgB0AGkAYQBsACAAcABlAHIAIABjAGwAYQBzAHMAXAAiACkAOwBcAG4AXABuAFMAbwB1AHIAYwBlAEQAYQB0AGEAXwBQAG8AdQBsAHQAcgB5AF8ATQBlAHQAaABhAG4AZQBFAG0AaQBzAHMAaQBvAG4AcwBQAG8AdABlAG4AdABpAGEAbABfAFYAYQByAGkAYQB0AGkAbwBuAFwAbgAgACAAPQBMAEEATQBCAEQAQQAoAFwAIgBcACIAKQA7AFwAbgBcAG4AUwBvAHUAcgBjAGUARABhAHQAYQBfAFAAbwB1AGwAdAByAHkAXwBNAGUAdABoAGEAbgBlAEUAbQBpAHMAcwBpAG8AbgBzAFAAbwB0AGUAbgB0AGkAYQBsAF8ARABhAHQAYQBcAG4AIAAgAD0ATABBAE0AQgBEAEEAKABcAG4AIAAgACAAIABNAEEASwBFAEEAUgBSAEEAWQAoADMALAAgADIALAAgAFwAbgAgACAAIAAgACAAIABMAEEATQBCAEQAQQAoAHIALABjACwAIABcAG4AIAAgACAAIAAgACAAIAAgAEkATgBEAEUAWAAoAHsAXABuACAAIAAgACAAIAAgACAAIAAgACAAXAAiAFAAbwB1AGwAdAByAHkAIABjAGwAYQBzAHMAXAAiACwAIABcACIAQgAwAFwAIgA7AFwAbgAgACAAIAAgACAAIAAgACAAIAAgAFwAIgBMAGEAeQBlAHIAcwBcACIALAAgADAALgAzADkAOwAgAFwAbgAgACAAIAAgACAAIAAgACAAIAAgAFwAIgBNAGUAYQB0ACAAYwBoAGkAYwBrAGUAbgBzAFwAIgAsACAAMAAuADMAN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QAHIAbwBkAHUAYwB0AGkAbwBuAFMAeQBzAHQAZQBtAHMAXABuAFAAbwB1AGwAdAByAHkAIABwAHIAbwBkAHUAYwB0AGkAbwBuACAAcwB5AHMAdABlAG0AcwBcAG4ALQAtAC0ALQAtAC0ALQAtAC0ALQAtAC0ALQAtAC0ALQAtAC0ALQAtAC0ALQAtAC0ALQAtAC0ALQAtAC0ALQAtAC0ALQAtAC0ALQAtAFwAbgAqAC8AXABuAFwAbgBTAG8AdQByAGMAZQBEAGEAdABhAF8AUABvAHUAbAB0AHIAeQBfAFAAcgBvAGQAdQBjAHQAaQBvAG4AUwB5AHMAdABlAG0AcwBfAFQAaQB0AGwAZQBcAG4AIAAgAD0ATABBAE0AQgBEAEEAKABcACIAUABvAHUAbAB0AHIAeQAgAC0AIABQAHIAbwBkAHUAYwB0AGkAbwBuACAAcwB5AHMAdABlAG0AcwBcACIAKQA7AFwAbgBcAG4AUwBvAHUAcgBjAGUARABhAHQAYQBfAFAAbwB1AGwAdAByAHkAXwBQAHIAbwBkAHUAYwB0AGkAbwBuAFMAeQBzAHQAZQBtAHMAXwBVAG4AaQB0AFwAbgAgACAAPQBMAEEATQBCAEQAQQAoAFwAIgBcACIAKQA7AFwAbgBcAG4AUwBvAHUAcgBjAGUARABhAHQAYQBfAFAAbwB1AGwAdAByAHkAXwBQAHIAbwBkAHUAYwB0AGkAbwBuAFMAeQBzAHQAZQBtAHMAXwBTAG8AdQByAGMAZQBcAG4AIAAgAD0ATABBAE0AQgBEAEEAKABcACIAVgBFAEUAUgBHACAAMgAwADIANgA6ACAANAAuADYAIABQAG8AdQBsAHQAcgB5AFwAIgApADsAXABuAFwAbgBTAG8AdQByAGMAZQBEAGEAdABhAF8AUABvAHUAbAB0AHIAeQBfAFAAcgBvAGQAdQBjAHQAaQBvAG4AUwB5AHMAdABlAG0AcwBfAFYAYQByAGkAYQB0AGkAbwBuAFwAbgAgACAAPQBMAEEATQBCAEQAQQAoAFwAIgBcACIAKQA7AFwAbgBcAG4AUwBvAHUAcgBjAGUARABhAHQAYQBfAFAAbwB1AGwAdAByAHkAXwBQAHIAbwBkAHUAYwB0AGkAbwBuAFMAeQBzAHQAZQBtAHMAXwBEAGEAdABhAFwAbgAgACAAPQBMAEEATQBCAEQAQQAoAFwAbgAgACAAIAAgAE0AQQBLAEUAQQBSAFIAQQBZACgANAAsACAAMQAsACAAXABuACAAIAAgACAAIAAgAEwAQQBNAEIARABBACgAcgAsAGMALAAgAFwAbgAgACAAIAAgACAAIAAgACAASQBOAEQARQBYACgAewBcAG4AIAAgACAAIAAgACAAIAAgACAAIABcACIAUAByAG8AZAB1AGMAdABpAG8AbgAgAHMAeQBzAHQAZQBtAFwAIgA7AFwAbgAgACAAIAAgACAAIAAgACAAIAAgAFwAIgBGAHIAZQBlACAAcgBhAG4AZwBlAFwAIgA7ACAAXABuACAAIAAgACAAIAAgACAAIAAgACAAXAAiAEIAYQByAG4AXAAiADsAXABuACAAIAAgACAAIAAgACAAIAAgACAAXAAiAEM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FAAbwB1AGwAdAByAHkAXwBWAFMATABfAFQAaQB0AGwAZQBcAG4AIAAgAD0ATABBAE0AQgBEAEEAKABcACIAUABvAHUAbAB0AHIAeQAgAC0AIABGAHIAYQBjAHQAaQBvAG4AIABvAGYAIAB2AG8AbABhAHQAaQBsAGUAIABzAG8AbABpAGQAcwAgAGwAbwBzAHQAIABpAG4AIAB0AGgAZQAgAHAAcgBpAG0AYQByAHkAIABNAE0AUwBcACIAKQA7AFwAbgBcAG4AUwBvAHUAcgBjAGUARABhAHQAYQBfAFAAbwB1AGwAdAByAHkAXwBWAFMATABfAFUAbgBpAHQAXABuACAAIAA9AEwAQQBNAEIARABBACgAXAAiAFwAIgApADsAXABuAFwAbgBTAG8AdQByAGMAZQBEAGEAdABhAF8AUABvAHUAbAB0AHIAeQBfAFYAUwBMAF8AUwBvAHUAcgBjAGUAXABuACAAIAA9AEwAQQBNAEIARABBACgAXAAiAFYARQBFAFIARwAgADIAMAAyADYAOgAgADQALgA2AC4AMgAuADMAIABDAE8ATgBTAFQAQQBOAFQAXAAiACkAOwBcAG4AXABuAFMAbwB1AHIAYwBlAEQAYQB0AGEAXwBQAG8AdQBsAHQAcgB5AF8AVgBTAEwAXwBWAGEAcgBpAGEAdABpAG8AbgBcAG4AIAAgAD0ATABBAE0AQgBEAEEAKABcACIAVgBBAFIASQBBAFQASQBPAE4AIABPAE4AIABTAE8AVQBSAEMARQA6ACAAVABhAGIAbABlACAAZwBlAG4AZQByAGEAdABlAGQAIABmAHIAbwBtACAAbABpAG4AZQAgAGkAdABlAG0AcwAuACAAQQBkAGQAZQBkACAAJwBOAEkAUgAgAGQAZQBmAGkAbgBpAHQAaQBvAG4AIABjAG8AbAB1AG0AbgAnAC4AXAAiACkAOwBcAG4AXABuAFMAbwB1AHIAYwBlAEQAYQB0AGEAXwBQAG8AdQBsAHQAcgB5AF8AVgBTAEwAXwBEAGEAdABhAFwAbgAgACAAPQBMAEEATQBCAEQAQQAoAFwAbgAgACAAIAAgAE0AQQBLAEUAQQBSAFIAQQBZACgANAAsACAAMwAsACAAXABuACAAIAAgACAAIAAgAEwAQQBNAEIARABBACgAcgAsAGMALAAgAFwAbgAgACAAIAAgACAAIAAgACAASQBOAEQARQBYACgAewBcAG4AIAAgACAAIAAgACAAIAAgACAAIABcACIATQBNAFMAXAAiACwAIABcACIAVgBTAEwAXAAiACwAIABcACIATgBJAFIAIABkAGUAZgBpAG4AaQB0AGkAbwBuAFwAIgA7AFwAbgAgACAAIAAgACAAIAAgACAAIAAgAFwAIgBQAG8AdQBsAHQAcgB5ACAAbQBhAG4AdQByAGUAIAB3AGkAdABoACAAbABpAHQAdABlAHIAXAAiACwAIAAwAC4AMQA1ACwAIABcACIAUABvAHUAbAB0AHIAeQAgAG0AYQBuAHUAcgBlACAAdwBpAHQAaAAgAGIAZQBkAGQAaQBuAGcAXAAiADsAXABuACAAIAAgACAAIAAgACAAIAAgACAAXAAiAFAAbwB1AGwAdAByAHkAIABtAGEAbgB1AHIAZQAgAHcAaQB0AGgAbwB1AHQAIABsAGkAdAB0AGUAcgAgAC0AIABzAHQAbwByAGUAZAAgAGkAbgAgAGgAbwB1AHMAZQBcACIALAAgADAALgAyACwAIABcACIATQBhAG4AdQByAGUAIABzAHQAbwByAGUAZAAgAGkAbgAgAGgAbwB1AHMAZQBcACIAOwBcAG4AIAAgACAAIAAgACAAIAAgACAAIABcACIAUABvAHUAbAB0AHIAeQAgAG0AYQBuAHUAcgBlACAAdwBpAHQAaABvAHUAdAAgAGwAaQB0AHQAZQByACAALQAgAGIAZQBsAHQAIAByAGUAbQBvAHYAYQBsAFwAIgAsACAAMAAsACAAXAAiAEIAZQBsAHQAIABtAGEAbgB1AHIAZQAgAHIAZQBtAG8AdgBhAGw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8AdQBsAHQAcgB5AF8ARgByAGEAYwBHAEEAUwBNAG0AVABcAG4AVABhAGIAbABlACAAQQAuADEALgA3AC4AMgA6ACAAUABvAHUAbAB0AHIAeQAgAC0AIABGAHIAYQBjAHQAaQBvAG4AIABvAGYAIABOACAAdgBvAGwAYQB0AGkAbABpAHMAZQBkACAAYgB5ACAATQBNAFMAIAAoACgAawBnACAATgBIADMALQBOACAAKwAgAE4ATwB4AC0ATgApAC8AawBnAE4AKQAgACgARgByAGEAYwBHAEEAUwBNAG0AVAApAFwAbgAtAC0ALQAtAC0ALQAtAC0ALQAtAC0ALQAtAC0ALQAtAC0ALQAtAC0ALQAtAC0ALQAtAC0ALQAtAC0ALQAtAC0ALQAtAC0ALQAtAC0AXABuACoALwBcAG4AXABuAFMAbwB1AHIAYwBlAEQAYQB0AGEAXwBQAG8AdQBsAHQAcgB5AF8ARgByAGEAYwBHAEEAUwBNAG0AVABfAFQAaQB0AGwAZQBcAG4AIAAgAD0ATABBAE0AQgBEAEEAKABcACIAUABvAHUAbAB0AHIAeQAgAC0AIABGAHIAYQBjAHQAaQBvAG4AIABvAGYAIABOACAAdgBvAGwAYQB0AGkAbABpAHMAZQBkACAAYgB5ACAATQBNAFMAIAAoACgAawBnACAATgBIADMALQBOACAAKwAgAE4ATwB4AC0ATgApAC8AawBnAE4AKQAgACgARgByAGEAYwBHAEEAUwBNAG0AVAApAFwAIgApADsAXABuAFwAbgBTAG8AdQByAGMAZQBEAGEAdABhAF8AUABvAHUAbAB0AHIAeQBfAEYAcgBhAGMARwBBAFMATQBtAFQAXwBVAG4AaQB0AFwAbgAgACAAPQBMAEEATQBCAEQAQQAoAFwAIgAoAGsAZwAgAE4ASAAzAC0ATgAgACsAIABOAE8AeAAtAE4AKQAvAGsAZwBOAFwAIgApADsAXABuAFwAbgBTAG8AdQByAGMAZQBEAGEAdABhAF8AUABvAHUAbAB0AHIAeQBfAEYAcgBhAGMARwBBAFMATQBtAFQAXwBTAG8AdQByAGMAZQBcAG4AIAAgAD0ATABBAE0AQgBEAEEAKABcACIAVgBFAEUAUgBHACAAMgAwADIANgA6ACAAVABhAGIAbABlACAAQQAuADEALgA3AC4AMgBcACIAKQA7AFwAbgBcAG4AUwBvAHUAcgBjAGUARABhAHQAYQBfAFAAbwB1AGwAdAByAHkAXwBGAHIAYQBjAEcAQQBTAE0AbQBUAF8AVgBhAHIAaQBhAHQAaQBvAG4AXABuACAAIAA9AEwAQQBNAEIARABBACgAXAAiAFYAQQBSAEkAQQBUAEkATwBOACAATwBOACAAUwBPAFUAUgBDAEUAOgAgAEEAZABkAGUAZAAgACcATgBJAFIAIABkAGUAZgBpAG4AaQB0AGkAbwBuACAAYwBvAGwAdQBtAG4AJwAuAFwAIgApADsAXABuAFwAbgBTAG8AdQByAGMAZQBEAGEAdABhAF8AUABvAHUAbAB0AHIAeQBfAEYAcgBhAGMARwBBAFMATQBtAFQAXwBEAGEAdABhAFwAbgAgACAAPQBMAEEATQBCAEQAQQAoAFwAbgAgACAAIAAgAE0AQQBLAEUAQQBSAFIAQQBZACgAOAAsACAAMwAsACAAXABuACAAIAAgACAAIAAgAEwAQQBNAEIARABBACgAcgAsAGMALAAgAFwAbgAgACAAIAAgACAAIAAgACAASQBOAEQARQBYACgAewBcAG4AIAAgACAAIAAgACAAIAAgACAAIABcACIATQBNAFMAIABtAFwAIgAsACAAXAAiAEYAcgBhAGMARwBBAFMATQBtAFQAXAAiACwAIABcACIATgBJAFIAIAByAGUAZgBlAHIAZQBuAGMAZQBcACIAOwBcAG4AIAAgACAAIAAgACAAIAAgACAAIABcACIAUABvAHUAbAB0AHIAeQAgAG0AYQBuAHUAcgBlACAAdwBpAHQAaAAgAGwAaQB0AHQAZQByACAAKABoAG8AdQBzAGkAbgBnACkAXAAiACwAIAAwAC4AMwAsACAAXAAiAFAAbwB1AGwAdAByAHkAIABtAGEAbgB1AHIAZQAgAHcAaQB0AGgAIABiAGUAZABkAGkAbgBnAFwAIgA7AFwAbgAgACAAIAAgACAAIAAgACAAIAAgAFwAIgBQAG8AdQBsAHQAcgB5ACAAbQBhAG4AdQByAGUAIAB3AGkAdABoAG8AdQB0ACAAbABpAHQAdABlAHIAIAAoAGgAbwB1AHMAaQBuAGcAKQAgAEIAZQBsAHQAIABtAGEAbgB1AHIAZQAgAHIAZQBtAG8AdgBhAGwAXAAiACwAIAAwAC4AMAA1ACwAIABcACIAQgBlAGwAdAAgAG0AYQBuAHUAcgBlACAAcgBlAG0AbwB2AGEAbABcACIAOwBcAG4AIAAgACAAIAAgACAAIAAgACAAIABcACIAUABvAHUAbAB0AHIAeQAgAG0AYQBuAHUAcgBlACAAdwBpAHQAaABvAHUAdAAgAGwAaQB0AHQAZQByACAAKABoAG8AdQBzAGkAbgBnACkAIABNAGEAbgB1AHIAZQAgAHMAdABvAHIAZQBkACAAaQBuACAAaABvAHUAcwBlACAAdQBuAGQAZQByACAAYwBhAGcAZQBzACAAbwByACAAcwBsAGEAdABcACIALAAgADAALgA0ACwAIABcACIATQBhAG4AdQByAGUAIABzAHQAbwByAGUAZAAgAGkAbgAgAGgAbwB1AHMAZQBcACIAOwBcAG4AIAAgACAAIAAgACAAIAAgACAAIABcACIAUwBvAGwAaQBkACAAcwB0AG8AcgBhAGcAZQAgACgAcwB0AG8AYwBrAHAAaQBsAGUAKQBcACIALAAgADAALgAyACwAIABcACIAUwBvAGwAaQBkACAAcwB0AG8AcgBhAGcAZQBcACIAOwBcAG4AIAAgACAAIAAgACAAIAAgACAAIABcACIAQwBvAG0AcABvAHMAdABpAG4AZwAgACgAcABhAHMAcwBpAHYAZQAgAHcAaQBuAGQAcgBvAHcAKQBcACIALAAgADAALgAy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RQBGAG0AVABcAG4AVABhAGIAbABlACAAQQAuADEALgA3AC4AMwA6ACAAUABvAHUAbAB0AHIAeQAgAC0AIABOAGkAdAByAG8AdQBzACAAbwB4AGkAZABlACAARQBGAHMAIABiAHkAIABNAE0AUwAgACgAawBnAE4AMgBPAC0ATgAvAGsAZwBOACkAIAAoAEUARgBtAFQAKQBcAG4ALQAtAC0ALQAtAC0ALQAtAC0ALQAtAC0ALQAtAC0ALQAtAC0ALQAtAC0ALQAtAC0ALQAtAC0ALQAtAC0ALQAtAC0ALQAtAC0ALQAtAFwAbgAqAC8AXABuAFwAbgBTAG8AdQByAGMAZQBEAGEAdABhAF8AUABvAHUAbAB0AHIAeQBfAEUARgBtAFQAXwBUAGkAdABsAGUAXABuACAAIAA9AEwAQQBNAEIARABBACgAXAAiAFAAbwB1AGwAdAByAHkAIAAtACAATgBpAHQAcgBvAHUAcwAgAG8AeABpAGQAZQAgAEUARgBzACAAYgB5ACAATQBNAFMAIAAoAGsAZwBOADIATwAtAE4ALwBrAGcATgApACAAKABFAEYAbQBUACkAXAAiACkAOwBcAG4AXABuAFMAbwB1AHIAYwBlAEQAYQB0AGEAXwBQAG8AdQBsAHQAcgB5AF8ARQBGAG0AVABfAFUAbgBpAHQAXABuACAAIAA9AEwAQQBNAEIARABBACgAXAAiAGsAZwBOADIATwAgAC0AIABOACAALwAgAGsAZwBOAFwAIgApADsAXABuAFwAbgBTAG8AdQByAGMAZQBEAGEAdABhAF8AUABvAHUAbAB0AHIAeQBfAEUARgBtAFQAXwBTAG8AdQByAGMAZQBcAG4AIAAgAD0ATABBAE0AQgBEAEEAKABcACIAVgBFAEUAUgBHACAAMgAwADIANgA6ACAAVABhAGIAbABlACAAQQAuADEALgA3AC4AMwBcACIAKQA7AFwAbgBcAG4AUwBvAHUAcgBjAGUARABhAHQAYQBfAFAAbwB1AGwAdAByAHkAXwBFAEYAbQBUAF8AVgBhAHIAaQBhAHQAaQBvAG4AXABuACAAIAA9AEwAQQBNAEIARABBACgAXAAiAFYAQQBSAEkAQQBUAEkATwBOACAATwBOACAAUwBPAFUAUgBDAEUAOgAgAEEAZABkAGUAZAAgACcATgBJAFIAIABkAGUAZgBpAG4AaQB0AGkAbwBuACAAYwBvAGwAdQBtAG4AJwAuACAARAB1AHAAbABpAGMAYQB0AGUAZAAgACcAUABvAHUAbAB0AHIAeQAgAG0AYQBuAHUAcgBlACAAdwBpAHQAaABvAHUAdAAgAGwAaQB0AHQAZQByACcAIAByAG8AdwAgAGYAbwByACAATgBJAFIAIABNAE0AUwAgACcAQgBlAGwAdAAgAG0AYQBuAHUAcgBlACAAcgBlAG0AbwB2AGEAbAAnACAAYQBuAGQAIAAnAE0AYQBuAHUAcgBlACAAcwB0AG8AcgBlAGQAIABpAG4AIABoAG8AdQBzAGUAJwAuAFwAIgApADsAXABuAFwAbgBTAG8AdQByAGMAZQBEAGEAdABhAF8AUABvAHUAbAB0AHIAeQBfAEUARgBtAFQAXwBEAGEAdABhAFwAbgAgACAAPQBMAEEATQBCAEQAQQAoAFwAbgAgACAAIAAgAE0AQQBLAEUAQQBSAFIAQQBZACgAOQAsACAAMwAsACAAXABuACAAIAAgACAAIAAgAEwAQQBNAEIARABBACgAcgAsAGMALAAgAFwAbgAgACAAIAAgACAAIAAgACAASQBOAEQARQBYACgAewBcAG4AIAAgACAAIAAgACAAIAAgACAAIABcACIATQBNAFMAIABtAFwAIgAsACAAXAAiAEUARgBtAFQAXAAiACwAIABcACIATgBJAFIAIAByAGUAZgBlAHIAZQBuAGMAZQBcACIAOwBcAG4AIAAgACAAIAAgACAAIAAgACAAIABcACIAUABvAHUAbAB0AHIAeQAgAG0AYQBuAHUAcgBlACAAdwBpAHQAaAAgAGwAaQB0AHQAZQByACAAKABoAG8AdQBzAGkAbgBnACkAXAAiACwAIAAwAC4AMAAwADEALAAgAFwAIgBQAG8AdQBsAHQAcgB5ACAAbQBhAG4AdQByAGUAIAB3AGkAdABoACAAYgBlAGQAZABpAG4AZwBcACIAOwBcAG4AIAAgACAAIAAgACAAIAAgACAAIABcACIAUABvAHUAbAB0AHIAeQAgAG0AYQBuAHUAcgBlACAAdwBpAHQAaABvAHUAdAAgAGwAaQB0AHQAZQByACAAKABoAG8AdQBzAGkAbgBnACkAXAAiACwAIAAwAC4AMAAwADEALAAgAFwAIgBCAGUAbAB0ACAAbQBhAG4AdQByAGUAIAByAGUAbQBvAHYAYQBsAFwAIgA7AFwAbgAgACAAIAAgACAAIAAgACAAIAAgAFwAIgBQAG8AdQBsAHQAcgB5ACAAbQBhAG4AdQByAGUAIAB3AGkAdABoAG8AdQB0ACAAbABpAHQAdABlAHIAIAAoAGgAbwB1AHMAaQBuAGcAKQBcACIALAAgADAALgAwADAAMQAsACAAXAAiAE0AYQBuAHUAcgBlACAAcwB0AG8AcgBlAGQAIABpAG4AIABoAG8AdQBzAGUAXAAiADsAXABuACAAIAAgACAAIAAgACAAIAAgACAAXAAiAFAAYQBzAHQAdQByAGUAIAByAGEAbgBnAGUAIABhAG4AZAAgAHAAYQBkAGQAbwBjAGsAIAAoAGYAcgBlAGUAIAByAGEAbgBnAGUAKQBcACIALAAgADAALgAwADIALAAgAFwAIgBQAGEAcwB0AHUAcgBlACAAcgBhAG4AZwBlACAAYQBuAGQAIABwAGEAZABkAG8AYwBrAFwAIgA7AFwAbgAgACAAIAAgACAAIAAgACAAIAAgAFwAIgBTAG8AbABpAGQAIABzAHQAbwByAGEAZwBlACAAKABzAHQAbwBjAGsAcABpAGwAZQApAFwAIgAsACAAMAAuADAAMAA1ACwAIABcACIAUwBvAGwAaQBkACAAcwB0AG8AcgBhAGcAZQBcACIAOwBcAG4AIAAgACAAIAAgACAAIAAgACAAIABcACIAQwBvAG0AcABvAHMAdABpAG4AZwAgACgAcABhAHMAcwBpAHYAZQAgAHcAaQBuAGQAcgBvAHcAKQBcACIALAAgADAALgAwADE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FAAbwB1AGwAdA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FAAbwB1AGwAdAByAHkAXwBGAHIAYQBjAHQAaQBvAG4ATwBmAE4AaQB0AHIAbwBnAGUAbgBMAG8AcwB0AFQAaAByAG8AdQBnAGgATABlAGEAYwBoAGkAbgBnAEEAbgBkAFIAdQBuAG8AZgBmAF8AVgBhAHIAaQBhAGIAbABlAFwAbgAgACAAPQBMAEEATQBCAEQAQQAoAFwAIgBGAHIAYQBjAF8ATABFAEEAQwBIAF8ATQBTAFwAIgApADsAXABuAFwAbgBTAG8AdQByAGMAZQBEAGEAdABhAF8AUABvAHUAbAB0AHIAeQBfAEYAcgBhAGMAdABpAG8AbgBPAGYATgBpAHQAcgBvAGcAZQBuAEwAbwBzAHQAVABoAHIAbwB1AGcAaABMAGUAYQBjAGgAaQBuAGcAQQBuAGQAUgB1AG4AbwBmAGYAXwBVAG4AaQB0AFwAbgAgACAAPQBMAEEATQBCAEQAQQAoAFwAIgBEAGkAbQBlAG4AcwBpAG8AbgBsAGUAcwBzAFwAIgApADsAXABuAFwAbgBTAG8AdQByAGMAZQBEAGEAdABhAF8AUABvAHUAbAB0AHIAeQBfAEYAcgBhAGMAdABpAG8AbgBPAGYATgBpAHQAcgBvAGcAZQBuAEwAbwBzAHQAVABoAHIAbwB1AGcAaABMAGUAYQBjAGgAaQBuAGcAQQBuAGQAUgB1AG4AbwBmAGYAXwBTAG8AdQByAGMAZQBcAG4AIAAgAD0ATABBAE0AQgBEAEEAKABcACIAVgBFAEUAUgBHACAAMgAwADIANgA6ACAANAAuADYALgAyAC4AMwAgAEMATwBOAFMAVABBAE4AVABTAFwAIgApADsAXABuAFwAbgBTAG8AdQByAGMAZQBEAGEAdABhAF8AUABvAHUAbAB0AHIAeQBfAEYAcgBhAGMAdABpAG8AbgBPAGYATgBpAHQAcgBvAGcAZQBuAEwAbwBzAHQAVABoAHIAbwB1AGcAaABMAGUAYQBjAGgAaQBuAGcAQQBuAGQAUgB1AG4AbwBmAGYAXwBWAGEAcgBpAGEAdABpAG8AbgBcAG4AIAAgAD0ATABBAE0AQgBEAEEAKABcACIAXAAiACkAOwBcAG4AXABuAFMAbwB1AHIAYwBlAEQAYQB0AGEAXwBQAG8AdQBsAHQ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FAAbwB1AGwAdAByAHkAXwBGAHIAYQBjAEcAQQBNAFM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bwB1AGwAdAByAHkAXwBGAHIAYQBjAEcAQQBNAFM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8AdQBsAHQAcgB5AF8ARgByAGEAYwBHAEEATQBTAFMAbwBpAGwAXwBWAGEAcgBpAGEAYgBsAGUAXABuACAAIAA9AEwAQQBNAEIARABBACgAXAAiAEYAcgBhAGMARwBBAFMATQBfAHMAbwBpAGwAXAAiACkAOwBcAG4AXABuAFMAbwB1AHIAYwBlAEQAYQB0AGEAXwBQAG8AdQBsAHQAcgB5AF8ARgByAGEAYwBHAEEATQBTAFMAbwBpAGwAXwBVAG4AaQB0AFwAbgAgACAAPQBMAEEATQBCAEQAQQAoAFwAIgAoAGsAZwAgAE4ASAAzAC0ATgAgACsAIABOAE8AeAAtAE4AKQAvAGsAZwAgAE4AXAAiACkAOwBcAG4AXABuAFMAbwB1AHIAYwBlAEQAYQB0AGEAXwBQAG8AdQBsAHQAcgB5AF8ARgByAGEAYwBHAEEATQBTAFMAbwBpAGwAXwBTAG8AdQByAGMAZQBcAG4AIAAgAD0ATABBAE0AQgBEAEEAKABcACIAVgBFAEUAUgBHACAAMgAwADIANgA6ACAANAAuADYALgAyAC4AMwAgAEMATwBOAFMAVABBAE4AVABTAFwAIgApADsAXABuAFwAbgBTAG8AdQByAGMAZQBEAGEAdABhAF8AUABvAHUAbAB0AHIAeQBfAEYAcgBhAGMARwBBAE0AUwBTAG8AaQBsAF8AVgBhAHIAaQBhAHQAaQBvAG4AXABuACAAIAA9AEwAQQBNAEIARABBACgAXAAiAFYAQQBSAEkAQQBUAEkATwBOACAATwBOACAAUwBPAFUAUgBDAEUAOgAgAFQAaABpAHMAIABjAG8AbgBzAHQAYQBuAHQAIABpAHMAIABuAG8AdAAgAGQAbwBjAHUAbQBlAG4AdABlAGQAIABpAG4AIAB0AGgAZQAgAGQAcgBhAGYAdAAsACAAdQBzAGUAZAAgAHQAaABlACAAcwBhAG0AZQAgAHYAYQBsAHUAZQAgAG8AZgAgADAALgAyADEAIABhAHMAIABhAGwAbAAgAG8AdABoAGUAcgAgAGwAaQB2AGUAcwB0AG8AYwBrAC4AXAAiACkAOwBcAG4AXABuAFMAbwB1AHIAYwBlAEQAYQB0AGEAXwBQAG8AdQBsAHQAcgB5AF8ARgByAGEAYwBHAEEATQBTAFMAbwBpAGwAXwBEAGEAdABhAFwAbgAgACAAPQBMAEEATQBCAEQAQQAoADAALgAyADEAKQA7AFwAbgBcAG4AXABuAC8AKgAgAFwAbgAtAC0ALQAtAC0ALQAtAC0ALQAtAC0ALQAtAC0ALQAtAC0ALQAtAC0ALQAtAC0ALQAtAC0ALQAtAC0ALQAtAC0ALQAtAC0ALQAtAC0AXABuAFMAbwB1AHIAYwBlAEQAYQB0AGEAXwBQAG8AdQBsAHQAcgB5AF8ATABpAHYAZQB3AGUAaQBnAGgAdABzAFwAbgBUAGEAYgBsAGUAIABBAC4AMQAuADcALgA1ADoAIABQAG8AdQBsAHQAcgB5ACAALQAgAEwAaQB2AGUAdwBlAGkAZwBoAHQAcwAgACgAVwBjAG8AKQAgACgAawBnACkAXABuAC0ALQAtAC0ALQAtAC0ALQAtAC0ALQAtAC0ALQAtAC0ALQAtAC0ALQAtAC0ALQAtAC0ALQAtAC0ALQAtAC0ALQAtAC0ALQAtAC0ALQBcAG4AKgAvAFwAbgBcAG4AUwBvAHUAcgBjAGUARABhAHQAYQBfAFAAbwB1AGwAdAByAHkAXwBMAGkAdgBlAHcAZQBpAGcAaAB0AHMAXwBUAGkAdABsAGUAXABuACAAIAA9AEwAQQBNAEIARABBACgAXAAiAFAAbwB1AGwAdAByAHkAIAAtACAATABpAHYAZQB3AGUAaQBnAGgAdABzACAAKABXAGMAbwApACAAKABrAGcAKQBcACIAKQA7AFwAbgBcAG4AUwBvAHUAcgBjAGUARABhAHQAYQBfAFAAbwB1AGwAdAByAHkAXwBMAGkAdgBlAHcAZQBpAGcAaAB0AHMAXwBVAG4AaQB0AFwAbgAgACAAPQBMAEEATQBCAEQAQQAoAFwAIgBrAGcAXAAiACkAOwBcAG4AXABuAFMAbwB1AHIAYwBlAEQAYQB0AGEAXwBQAG8AdQBsAHQAcgB5AF8ATABpAHYAZQB3AGUAaQBnAGgAdABzAF8AUwBvAHUAcgBjAGUAXABuACAAIAA9AEwAQQBNAEIARABBACgAXAAiAFYARQBFAFIARwAgADIAMAAyADYAOgAgAFQAYQBiAGwAZQAgAEEALgAxAC4ANwAuADUAXAAiACkAOwBcAG4AXABuAFMAbwB1AHIAYwBlAEQAYQB0AGEAXwBQAG8AdQBsAHQAcgB5AF8ATABpAHYAZQB3AGUAaQBnAGgAdABzAF8AVgBhAHIAaQBhAHQAaQBvAG4AXABuACAAIAA9AEwAQQBNAEIARABBACgAXAAiAFwAIgApADsAXABuAFwAbgBTAG8AdQByAGMAZQBEAGEAdABhAF8AUABvAHUAbAB0AHIAeQBfAEwAaQB2AGUAdwBlAGkAZwBoAHQAcwBfAEQAYQB0AGEAXABuACAAIAA9AEwAQQBNAEIARABBACgAXABuACAAIAAgACAATQBBAEsARQBBAFIAUgBBAFkAKAA1ACwAIAAyACwAIABcAG4AIAAgACAAIAAgACAATABBAE0AQgBEAEEAKAByACwAYwAsACAAXABuACAAIAAgACAAIAAgACAAIABJAE4ARABFAFgAKAB7AFwAbgAgACAAIAAgACAAIAAgACAAIAAgAFwAIgBMAGkAdgBlAHMAdABvAGMAawAgAEMAbABhAHMAcwAgAGoAXAAiACwAIABcACIAQQB2AGUAcgBhAGcAZQAgAEwAaQB2AGUAdwBlAGkAZwBoAHQAIAAoAGsAZwApAFwAIgA7AFwAbgAgACAAIAAgACAAIAAgACAAIAAgAFwAIgBDAGgAaQBjAGsAZQBuAFwAIgAsACAAMQAuADMAOwBcAG4AIAAgACAAIAAgACAAIAAgACAAIABcACIASABlAG4AIAA+AC8APQAxACAAeQByAFwAIgAsACAAMgA7AFwAbgAgACAAIAAgACAAIAAgACAAIAAgAFwAIgBQAHUAbABsAGUAdABzAFwAIgAsACAAMQAuADQAOwBcAG4AIAAgACAAIAAgACAAIAAgACAAIABcACIAQgByAG8AaQBsAGUAcgBzAFwAIgAsACAAMQAuADIAXABuACAAIAAgACAAIAAgACAAIAB9ACwAIAByACwAIABjACkAXABuACAAIAAgACAAIAAgACkAXABuACAAIAAgACAAKQBcAG4AIAAgACkAOwAiAH0ALAB7ACIAcABhAHQAaAAiADoAIgAvAHAAcgBvAGoAZQBjAHQAcwAvAFMAYwBvAHAAZQAzAF8ARQBxAHUAYQB0AGkAbwBuAHMAIgAsACIAdABlAHgAdAAiADoAIgAvACoAXABuAD0APQA9AD0APQA9AD0APQA9AD0APQA9AD0APQA9AD0APQA9AD0APQA9AD0APQA9AD0APQA9AD0APQA9AD0APQA9AD0APQA9AD0APQA9AD0APQA9AD0APQA9AD0APQA9AD0APQA9AD0APQA9AD0APQA9AD0APQA9AD0APQA9AD0APQA9AD0APQA9AD0APQA9AD0APQA9AD0AXABuADEANQA6ACAAUwBjAG8AcABlACAAMwAgAEUAbQBpAHMAcwBpAG8Abg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1AF8AMQBfADEAXwAxAF8AXwAxAF8ARQBtAGkAcwBzAGkAbwBuAHMARgByAG8AbQBQAHUAcgBjAGgAYQBzAGUAZABMAGkAdgBlAHMAdABvAGMAawBcAG4AVABvAHQAYQBsACAAZQBtAGkAcwBzAGkAbwBuAHMAIABmAHIAbwBtACAAcAB1AHIAYwBoAGEAcwBlAGQAIABsAGkAdgBlAHMAdABvAGMAawBcAG4ARQBcAG4AdAAgAEMATwAyAGUAXABuAEUAPQBcAFwAcwB1AG0AXABcAG4AbwBsAGkAbQBpAHQAcwBfAGMAXABcAHMAdQBtAFwAXABuAG8AbABpAG0AaQB0AHMAXwBvAFwAXABsAGUAZgB0ACgATgBfAHsAYwBvAH0AXABcAHQAaQBtAGUAcwAgAFcAXwB7AGMAbwB9AFwAXAB0AGkAbQBlAHMAIABFAEYAXwB7AGMAbwB9AFwAXAByAGkAZwBoAHQAKQBcAFwAdABpAG0AZQBzACAAMQAwAF4AewAtADMAfQBcAG4ATgBfAGMAbwAgAD0AIABuAHUAbQBiAGUAcgAgAG8AZgAgAGEAbgBpAG0AYQBsAHMAIABwAHUAcgBjAGgAYQBzAGUAZAAgAGkAbgAgAGwAaQB2AGUAcwB0AG8AYwBrACAAdAB5AHAAZQAgAGMAIABmAHIAbwBtACAAbwByAGkAZwBpAG4AIABvAFwAbgBXAF8AYwBvACAAPQAgAGEAdgBlAHIAYQBnAGUAIABsAGkAdgBlAHcAZQBpAGcAaAB0ACAAbwBmACAAcAB1AHIAYwBoAGEAcwBlAGQAIABsAGkAdgBlAHMAdABvAGMAawAgAGEAdAAgAHAAbwBpAG4AdAAgAG8AZgAgAHAAdQByAGMAaABhAHMAZQBcAG4ARQBGAF8AYwBvACAAPQAgAGUAbQBpAHMAcwBpAG8AbgAgAGYAYQBjAHQAbwByACAAcABlAHIAIABsAGkAdgBlAHMAdABvAGMAawAgAHQAeQBwAGUAIABhAG4AZAAgAG8AcgBpAGcAaQBuAFwAbgAtAC0ALQAtAC0ALQAtAC0ALQAtAC0ALQAtAC0ALQAtAC0ALQAtAC0ALQAtAC0ALQAtAC0ALQAtAC0ALQAtAC0ALQAtAC0ALQAtAC0AXABuACoALwBcAG4AXABuAFYARQBFAFIARwBfADEANQBfADEAXwAxAF8AMQBfAF8AMQBfAEUAbQBpAHMAcwBpAG8AbgBzAEYAcgBvAG0AUAB1AHIAYwBoAGEAcwBlAGQATABpAHYAZQBzAHQAbwBjAGsAXABuACAAIAA9AEwAQQBNAEIARABBACgAXABuACAAIAAgACAATgBfAGMAbwAsACAAVwBfAGMAbwAsACAARQBGAF8AYwBvACwAXABuACAAIAAgACAAKABOAF8AYwBvACAAKgAgAFcAXwBjAG8AIAAqACAARQBGAF8AYwBvACkAIAAqACAAMQAwACAAXgAgAC0AMwBcAG4AIAAgACkAOwBcAG4AXABuAFYARQBFAFIARwBfADEANQBfADEAXwAxAF8AMQBfAF8AMQBfAEUAbQBpAHMAcwBpAG8AbgBzAEYAcgBvAG0AUAB1AHIAYwBoAGEAcwBlAGQATABpAHYAZQBzAHQAbwBjAGsAXwBUAGkAdABsAGUAXABuACAAIAA9AEwAQQBNAEIARABBACgAXAAiAFQAbwB0AGEAbAAgAGUAbQBpAHMAcwBpAG8AbgBzACAAZgByAG8AbQAgAHAAdQByAGMAaABhAHMAZQBkACAAbABpAHYAZQBzAHQAbwBjAGsAXAAiACkAOwBcAG4AXABuAFYARQBFAFIARwBfADEANQBfADEAXwAxAF8AMQBfAF8AMQBfAEUAbQBpAHMAcwBpAG8AbgBzAEYAcgBvAG0AUAB1AHIAYwBoAGEAcwBlAGQATABpAHYAZQBzAHQAbwBjAGsAXwBWAGEAcgBpAGEAYgBsAGUAXABuACAAIAA9AEwAQQBNAEIARABBACgAXAAiAEUAXAAiACkAOwBcAG4AXABuAFYARQBFAFIARwBfADEANQBfADEAXwAxAF8AMQBfAF8AMQBfAEUAbQBpAHMAcwBpAG8AbgBzAEYAcgBvAG0AUAB1AHIAYwBoAGEAcwBlAGQATABpAHYAZQBzAHQAbwBjAGsAXwBVAG4AaQB0AFwAbgAgACAAPQBMAEEATQBCAEQAQQAoAFwAIgB0ACAAQwBPADIAZQBcACIAKQA7AFwAbgBcAG4AVgBFAEUAUgBHAF8AMQA1AF8AMQBfADEAXwAxAF8AXwAxAF8ARQBtAGkAcwBzAGkAbwBuAHMARgByAG8AbQBQAHUAcgBjAGgAYQBzAGUAZABMAGkAdgBlAHMAdABvAGMAawBfAFMAbwB1AHIAYwBlAFwAbgAgACAAPQBMAEEATQBCAEQAQQAoAFwAIgBWAEUARQBSAEcAIAAyADAAMgA2ADoAIAAxADUALgAxAC4AMQAuADEALAAgAEUAcQB1AGEAdABpAG8AbgAgACgAMQApAFwAIgApADsAXABuAFwAbgBWAEUARQBSAEcAXwAxADUAXwAxAF8AMQBfADEAXwBfADEAXwBFAG0AaQBzAHMAaQBvAG4AcwBGAHIAbwBtAFAAdQByAGMAaABhAHMAZQBkAEwAaQB2AGUAcwB0AG8AYwBrAF8ATgBJAFIAUgBlAGYAZQByAGUAbgBjAGUAXABuACAAIAA9AEwAQQBNAEIARABBACgAXAAiAFwAIgApADsAXABuAFwAbgBWAEUARQBSAEcAXwAxADUAXwAxAF8AMQBfADEAXwBfADEAXwBFAG0AaQBzAHMAaQBvAG4AcwBGAHIAbwBtAFAAdQByAGMAaABhAHMAZQBkAEwAaQB2AGUAcwB0AG8AYwBrAF8ATABhAHQAZQB4AEUAcQB1AGEAdABpAG8AbgBcAG4AIAAgAD0ATABBAE0AQgBEAEEAKABcACIARQA9AFwAXABzAHUAbQBcAFwAbgBvAGwAaQBtAGkAdABzAF8AYwBcAFwAcwB1AG0AXABcAG4AbwBsAGkAbQBpAHQAcwBfAG8AXABcAGwAZQBmAHQAKABOAF8AewBjAG8AfQBcAFwAdABpAG0AZQBzACAAVwBfAHsAYwBvAH0AXABcAHQAaQBtAGUAcwAgAEUARgBfAHsAYwBvAH0AXABcAHIAaQBnAGgAdAApAFwAXAB0AGkAbQBlAHMAIAAxADAAXgB7AC0AMwB9AFwAIgApADsAXABuAFwAbgBWAEUARQBSAEcAXwAxADUAXwAxAF8AMQBfADEAXwBfADEAXwBFAG0AaQBzAHMAaQBvAG4AcwBGAHIAbwBtAFAAdQByAGMAaABhAHMAZQBkAEwAaQB2AGUAcwB0AG8AYwBrAF8AQQByAGcAdQBtAGUAbgB0AHMAXABuACAAIAA9AEwAQQBNAEIARABBACgAXABuACAAIAAgACAATQBBAEsARQBBAFIAUgBBAFkAKAA1ACwAIAA0ACwAXABuACAAIAAgACAAIAAgAEwAQQBNAEIARABBACgAcgAsAGMALABcAG4AIAAgACAAIAAgACAAIAAgAEkATgBEAEUAWAAoAHsAXABuACAAIAAgACAAIAAgACAAIAAgACAAXAAiAE4AXwBjAG8AXAAiACwAIABcACIAbgB1AG0AYgBlAHIAIABvAGYAIABhAG4AaQBtAGEAbABzACAAcAB1AHIAYwBoAGEAcwBlAGQAIABpAG4AIABsAGkAdgBlAHMAdABvAGMAawAgAHQAeQBwAGUAIABjACAAZgByAG8AbQAgAG8AcgBpAGcAaQBuACAAbwBcACIALAAgAFwAIgBoAGUAYQBkAFwAIgAsACAAXAAiAEkAbgBwAHUAdABcACIAOwBcAG4AIAAgACAAIAAgACAAIAAgACAAIABcACIAVwBfAGMAbwBcACIALAAgAFwAIgBhAHYAZQByAGEAZwBlACAAbABpAHYAZQB3AGUAaQBnAGgAdAAgAG8AZgAgAHAAdQByAGMAaABhAHMAZQBkACAAbABpAHYAZQBzAHQAbwBjAGsAIABhAHQAIABwAG8AaQBuAHQAIABvAGYAIABwAHUAcgBjAGgAYQBzAGUAXAAiACwAIABcACIAawBnAC8AaABlAGEAZABcACIALAAgAFwAIgBJAG4AcAB1AHQAXAAiADsAXABuACAAIAAgACAAIAAgACAAIAAgACAAXAAiAEUARgBfAGMAbwBcACIALAAgAFwAIgBlAG0AaQBzAHMAaQBvAG4AIABmAGEAYwB0AG8AcgAgAHAAZQByACAAbABpAHYAZQBzAHQAbwBjAGsAIAB0AHkAcABlACAAYQBuAGQAIABvAHIAaQBnAGkAbgBcACIALAAgAFwAIgBrAGcAIABDAE8AMgBlAC8AawBnAFwAIgAsACAAXAAiAEMAbwBuAHMAdABhAG4AdABcACIAOwBcAG4AIAAgACAAIAAgACAAIAAgACAAIABcACIAYwBcACIALAAgAFwAIgBsAGkAdgBlAHMAdABvAGMAawAgAHQAeQBwAGUAXAAiACwAIABcACIAXAAiACwAIABcACIASQBuAHAAdQB0AFwAIgA7AFwAbgAgACAAIAAgACAAIAAgACAAIAAgAFwAIgBvAFwAIgAsACAAXAAiAG8AcgBpAGcAaQ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yAF8AMQBfADEAXwBfADEAXwBFAG0AaQBzAHMAaQBvAG4AcwBGAHIAbwBtAFAAdQByAGMAaABhAHMAZQBkAEYAZQBlAGQAXABuAEUAbQBpAHMAcwBpAG8AbgBzACAAZgByAG8AbQAgAHAAdQByAGMAaABhAHMAZQBkACAAZgBlAGUAZABcAG4ARQBcAG4AdAAgAEMATwAyAGUAXABuAEUAPQBcAFwAcwB1AG0AXABcAG4AbwBsAGkAbQBpAHQAcwBfAGoAXABcAGwAZQBmAHQAKABRAF8AagBcAFwAdABpAG0AZQBzACAARQBGAF8AagBcAFwAcgBpAGcAaAB0ACkAXABuAFEAXwBqACAAPQAgAHEAdQBhAG4AdABpAHQAeQAgAG8AZgAgAGYAZQBlAGQAIAB0AHkAcABlACAAagAgAHAAdQByAGMAaABhAHMAZQBkAFwAbgBFAEYAXwBqACAAPQAgAGUAbQBpAHMAcwBpAG8AbgAgAGYAYQBjAHQAbwByACAAbwBmACAAcAB1AHIAYwBoAGEAcwBlAGQAIABmAGUAZQBkAFwAbgAtAC0ALQAtAC0ALQAtAC0ALQAtAC0ALQAtAC0ALQAtAC0ALQAtAC0ALQAtAC0ALQAtAC0ALQAtAC0ALQAtAC0ALQAtAC0ALQAtAC0AXABuACoALwBcAG4AXABuAFYARQBFAFIARwBfADEANQBfADIAXwAxAF8AMQBfAF8AMQBfAEUAbQBpAHMAcwBpAG8AbgBzAEYAcgBvAG0AUAB1AHIAYwBoAGEAcwBlAGQARgBlAGUAZABcAG4AIAAgAD0ATABBAE0AQgBEAEEAKABcAG4AIAAgACAAIABRAF8AagAsACAARQBGAF8AagAsAFwAbgAgACAAIAAgAFEAXwBqACAAKgAgAEUARgBfAGoAXABuACAAIAApADsAXABuAFwAbgBWAEUARQBSAEcAXwAxADUAXwAyAF8AMQBfADEAXwBfADEAXwBFAG0AaQBzAHMAaQBvAG4AcwBGAHIAbwBtAFAAdQByAGMAaABhAHMAZQBkAEYAZQBlAGQAVgBhAHIAaQBhAHQAaQBvAG4AXABuACAAIAA9AEwAQQBNAEIARABBACgAXABuACAAIAAgACAAUQBfAGoALAAgAEUARgBfAGoALABcAG4AIAAgACAAIAAoAFEAXwBqACAAKgAgAEUARgBfAGoAKQAgACoAIAAxADAAIABeACAALQAz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wAYQB0AGUAeABFAHEAdQBhAHQAaQBvAG4AVgBhAHIAaQBhAHQAaQBvAG4AXABuACAAIAA9AEwAQQBNAEIARABBACgAXAAiAEUAPQBcAFwAcwB1AG0AXABcAG4AbwBsAGkAbQBpAHQAcwBfAGoAXABcAGwAZQBmAHQAKABRAF8AagBcAFwAdABpAG0AZQBzACAARQBGAF8AagBcAFwAcgBpAGcAaAB0ACkAIABcAFwAdABpAG0AZQBzACAAMQAwAF4AewAtADMAfQBcACIAKQA7AFwAbgBcAG4AVgBFAEUAUgBHAF8AMQA1AF8AMgBfADEAXwAxAF8AXwAxAF8ARQBtAGkAcwBzAGkAbwBuAHMARgByAG8AbQBQAHUAcgBjAGgAYQBzAGUAZABGAGUAZQBkAF8AQQByAGcAdQBtAGUAbgB0AHMAXABuACAAIAA9AEwAQQBNAEIARABBACgAXABuACAAIAAgACAATQBBAEsARQBBAFIAUgBBAFkAKAAzACwAIAA0ACwAXABuACAAIAAgACAAIAAgAEwAQQBNAEIARABBACgAcgAsAGMALABcAG4AIAAgACAAIAAgACAAIAAgAEkATgBEAEUAWAAoAHsAXABuACAAIAAgACAAIAAgACAAIAAgACAAXAAiAFEAXwBqAFwAIgAsACAAXAAiAHEAdQBhAG4AdABpAHQAeQAgAG8AZgAgAGYAZQBlAGQAIAB0AHkAcABlACAAagAgAHAAdQByAGMAaABhAHMAZQBkAFwAIgAsACAAXAAiAHQAXAAiACwAIABcACIASQBuAHAAdQB0AFwAIgA7AFwAbgAgACAAIAAgACAAIAAgACAAIAAgAFwAIgBFAEYAXwBqAFwAIgAsACAAXAAiAGUAbQBpAHMAcwBpAG8AbgAgAGYAYQBjAHQAbwByACAAbwBmACAAcAB1AHIAYwBoAGEAcwBlAGQAIABmAGUAZQBkAFwAIgAsACAAXAAiAGsAZwAgAEMATwAyAGUALwBrAGcAXAAiACwAIABcACIAQwBvAG4AcwB0AGEAbgB0AFwAIgA7AFwAbgAgACAAIAAgACAAIAAgACAAIAAgAFwAIgBqAFwAIgAsACAAXAAiAGYAZQBlAGQAIAB0AHkAcABlAFwAIgAsACAAXAAiAFwAIgAsACAAXAAiAEkAbgBwAHUAdABcACIAXABuACAAIAAgACAAIAAgACAAIAB9ACwAIAByACwAIABjACkAXABuACAAIAAgACAAIAAgACkAXABuACAAIAAgACAAKQBcAG4AIAAgACkAOwBcAG4AXABuAFYARQBFAFIARwBfADEANQBfADIAXwAxAF8AMQBfAF8AMQBfAEUAbQBpAHMAcwBpAG8AbgBzAEYAcgBvAG0AUAB1AHIAYwBoAGEAcwBlAGQARgBlAGUAZABfAEEAcgBnAHUAbQBlAG4AdABzAFYAYQByAGkAYQB0AGkAbwBu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rAGcAXAAiACwAIABcACIASQBuAHAAdQB0AFwAIgA7AFwAbgAgACAAIAAgACAAIAAgACAAIAAgAFwAIgBFAEYAXwBqAFwAIgAsACAAXAAiAGUAbQBpAHMAcwBpAG8AbgAgAGYAYQBjAHQAbwByACAAbwBmACAAcAB1AHIAYwBoAGEAcwBlAGQAIABmAGUAZQBkAFwAIgAsACAAXAAiAGsAZwAgAEMATwAyAGUALwBrAGcAXAAiACwAIABcACIAQwBvAG4AcwB0AGEAbgB0AFwAIgA7AFwAbgAgACAAIAAgACAAIAAgACAAIAAgAFwAIgBqAFwAIgAsACAAXAAiAGYAZQBlAGQAIAB0AHkAcABlAFwAIgAsACAAXAAiAFwAIgAsACAAXAAiAEkAbgBwAHUAdABcACIAXABuACAAIAAgACAAIAAgACAAIAB9ACwAIAByACwAIABjACkAXABuACAAIAAgACAAIAAgACkAXABuACAAIAAgACAAKQBcAG4AIAAgACkAOwBcAG4AXABuAFYARQBFAFIARwBfADEANQBfADIAXwAxAF8AMQBfAF8AMQBfAEUAbQBpAHMAcwBpAG8AbgBzAEYAcgBvAG0AUAB1AHIAYwBoAGEAcwBlAGQARgBlAGUAZABfAFYAYQByAGkAYQB0AGkAbwBuAFwAbgAgACAAPQBMAEEATQBCAEQAQQAoAFwAIgBWAEEAUgBJAEEAVABJAE8ATgAgAE8ATgAgAFMATwBVAFIAQwBFADoAIABJAG4AcAB1AHQAIABRAF8AagAgAGkAbgAgAGsAZwAgAGkAbgBzAHQAZQBhAGQAIABvAGYAIAB0ACAAdABvACAAbQBhAHQAYwBoACAARQBGACAAdQBuAGkAdABzAC4AIABNAHUAbAB0AGkAcABsAHkAIABiAHkAIAAxADAAXgAtADMAIAB0AG8AIABjAG8AbgB2AGUAcgB0ACAAawBnACAAQwBPADIAZQAgAHQAbwAgAHQAIABDAE8AMgBlAC4AXAAiACkAOwBcAG4AXABuAC8AKgBcAG4ALQAtAC0ALQAtAC0ALQAtAC0ALQAtAC0ALQAtAC0ALQAtAC0ALQAtAC0ALQAtAC0ALQAtAC0ALQAtAC0ALQAtAC0ALQAtAC0ALQAtAFwAbgBWAEUARQBSAEcAXwAxADUAXwAzAF8AMQBfADEAXwBfADEAXwBFAG0AaQBzAHMAaQBvAG4AcwBGAHIAbwBtAFAAdQByAGMAaABhAHMAZQBkAE0AaQBuAGUAcgBhAGwAUwB1AHAAcABsAGUAbQBlAG4AdABzAFwAbgBUAG8AdABhAGwAIABlAG0AaQBzAHMAaQBvAG4AcwAgAGYAcgBvAG0AIABwAHUAcgBjAGgAYQBzAGUAZAAgAG0AaQBuAGUAcgBhAGwAIABzAHUAcABwAGwAZQBtAGUAbgB0AHMAXABuAEUAXABuAHQAIABDAE8AMgBlAFwAbgBFAD0AXABcAHMAdQBtAFwAXABuAG8AbABpAG0AaQB0AHMAXwBtAFwAXABsAGUAZgB0ACgAUQBfAG0AXABcAHQAaQBtAGUAcwAgAEUARgBfAG0AXABcAHIAaQBnAGgAdAApAFwAbgBRAF8AbQAgAD0AIAB0AG8AdABhAGwAIABxAHUAYQBuAHQAaQB0AHkAIABvAGYAIABtAGkAbgBlAHIAYQBsACAAcwB1AHAAcABsAGUAbQBlAG4AdAAgAHQAeQBwAGUAIABtACAAdQBzAGUAZABcAG4ARQBGAF8AbQAgAD0AIABlAG0AaQBzAHMAaQBvAG4AIABmAGEAYwB0AG8AcgAgAG8AZgAgAHAAdQByAGMAaABhAHMAZQBkACAAbQBpAG4AZQByAGEAbAAgAHMAdQBwAHAAbABlAG0AZQBuAHQAXABuAC0ALQAtAC0ALQAtAC0ALQAtAC0ALQAtAC0ALQAtAC0ALQAtAC0ALQAtAC0ALQAtAC0ALQAtAC0ALQAtAC0ALQAtAC0ALQAtAC0ALQBcAG4AKgAvAFwAbgBcAG4AVgBFAEUAUgBHAF8AMQA1AF8AMwBfADEAXwAxAF8AXwAxAF8ARQBtAGkAcwBzAGkAbwBuAHMARgByAG8AbQBQAHUAcgBjAGgAYQBzAGUAZABNAGkAbgBlAHIAYQBsAFMAdQBwAHAAbABlAG0AZQBuAHQAcwBcAG4AIAAgAD0ATABBAE0AQgBEAEEAKABcAG4AIAAgACAAIABRAF8AbQAsACAARQBGAF8AbQAsAFwAbgAgACAAIAAgAFEAXwBtACAAKgAgAEUARgBfAG0AXABuACAAIAApADsAXABuAFwAbgBWAEUARQBSAEcAXwAxADUAXwAzAF8AMQBfADEAXwBfADEAXwBFAG0AaQBzAHMAaQBvAG4AcwBGAHIAbwBtAFAAdQByAGMAaABhAHMAZQBkAE0AaQBuAGUAcgBhAGwAUwB1AHAAcABsAGUAbQBlAG4AdABzAFYAYQByAGkAYQB0AGkAbwBuAFwAbgAgACAAPQBMAEEATQBCAEQAQQAoAFwAbgAgACAAIAAgAFEAXwBtACwAIABFAEYAXwBtACwAXABuACAAIAAgACAAKABRAF8AbQAgACoAIABFAEYAXwBtACkAIAAqACAAMQAwACAAXgAgAC0AMwBcAG4AIAAgACkAOwBcAG4AXABuAFwAbgBWAEUARQBSAEcAXwAxADUAXwAzAF8AMQBfADEAXwBfADEAXwBFAG0AaQBzAHMAaQBvAG4AcwBGAHIAbwBtAFAAdQByAGMAaABhAHMAZQBkAE0AaQBuAGUAcgBhAGwAUwB1AHAAcABsAGUAbQBlAG4AdABzAF8AVABpAHQAbABlAFwAbgAgACAAPQBMAEEATQBCAEQAQQAoAFwAIgBUAG8AdABhAGwAIABlAG0AaQBzAHMAaQBvAG4AcwAgAGYAcgBvAG0AIABwAHUAcgBjAGgAYQBzAGUAZAAgAG0AaQBuAGUAcgBhAGwAIABzAHUAcABwAGwAZQBtAGUAbgB0AHMAXAAiACkAOwBcAG4AXABuAFYARQBFAFIARwBfADEANQBfADMAXwAxAF8AMQBfAF8AMQBfAEUAbQBpAHMAcwBpAG8AbgBzAEYAcgBvAG0AUAB1AHIAYwBoAGEAcwBlAGQATQBpAG4AZQByAGEAbABTAHUAcABwAGwAZQBtAGUAbgB0AHMAXwBWAGEAcgBpAGEAYgBsAGUAXABuACAAIAA9AEwAQQBNAEIARABBACgAXAAiAEUAXAAiACkAOwBcAG4AXABuAFYARQBFAFIARwBfADEANQBfADMAXwAxAF8AMQBfAF8AMQBfAEUAbQBpAHMAcwBpAG8AbgBzAEYAcgBvAG0AUAB1AHIAYwBoAGEAcwBlAGQATQBpAG4AZQByAGEAbABTAHUAcABwAGwAZQBtAGUAbgB0AHMAXwBVAG4AaQB0AFwAbgAgACAAPQBMAEEATQBCAEQAQQAoAFwAIgB0ACAAQwBPADIAZQBcACIAKQA7AFwAbgBcAG4AVgBFAEUAUgBHAF8AMQA1AF8AMwBfADEAXwAxAF8AXwAxAF8ARQBtAGkAcwBzAGkAbwBuAHMARgByAG8AbQBQAHUAcgBjAGgAYQBzAGUAZABNAGkAbgBlAHIAYQBsAFMAdQBwAHAAbABlAG0AZQBuAHQAcwBfAFMAbwB1AHIAYwBlAFwAbgAgACAAPQBMAEEATQBCAEQAQQAoAFwAIgBWAEUARQBSAEcAIAAyADAAMgA2ADoAIAAxADUALgAzAC4AMQAuADEALAAgAEUAcQB1AGEAdABpAG8AbgAgACgAMQApAFwAIgApADsAXABuAFwAbgBWAEUARQBSAEcAXwAxADUAXwAzAF8AMQBfADEAXwBfADEAXwBFAG0AaQBzAHMAaQBvAG4AcwBGAHIAbwBtAFAAdQByAGMAaABhAHMAZQBkAE0AaQBuAGUAcgBhAGwAUwB1AHAAcABsAGUAbQBlAG4AdABzAF8ATgBJAFIAUgBlAGYAZQByAGUAbgBjAGUAXABuACAAIAA9AEwAQQBNAEIARABBACgAXAAiAFwAIgApADsAXABuAFwAbgBWAEUARQBSAEcAXwAxADUAXwAzAF8AMQBfADEAXwBfADEAXwBFAG0AaQBzAHMAaQBvAG4AcwBGAHIAbwBtAFAAdQByAGMAaABhAHMAZQBkAE0AaQBuAGUAcgBhAGwAUwB1AHAAcABsAGUAbQBlAG4AdABzAF8ATABhAHQAZQB4AEUAcQB1AGEAdABpAG8AbgBcAG4AIAAgAD0ATABBAE0AQgBEAEEAKABcACIARQA9AFwAXABzAHUAbQBcAFwAbgBvAGwAaQBtAGkAdABzAF8AbQBcAFwAbABlAGYAdAAoAFEAXwBtAFwAXAB0AGkAbQBlAHMAIABFAEYAXwBtAFwAXAByAGkAZwBoAHQAKQBcACIAKQA7AFwAbgBcAG4AVgBFAEUAUgBHAF8AMQA1AF8AMwBfADEAXwAxAF8AXwAxAF8ARQBtAGkAcwBzAGkAbwBuAHMARgByAG8AbQBQAHUAcgBjAGgAYQBzAGUAZABNAGkAbgBlAHIAYQBsAFMAdQBwAHAAbABlAG0AZQBuAHQAcwBfAEwAYQB0AGUAeABFAHEAdQBhAHQAaQBvAG4AVgBhAHIAaQBhAHQAaQBvAG4AXABuACAAIAA9AEwAQQBNAEIARABBACgAXAAiAEUAPQBcAFwAcwB1AG0AXABcAG4AbwBsAGkAbQBpAHQAcwBfAG0AXABcAGwAZQBmAHQAKABRAF8AbQBcAFwAdABpAG0AZQBzACAARQBGAF8AbQBcAFwAcgBpAGcAaAB0ACkAIABcAFwAdABpAG0AZQBzACAAMQAwAF4AewAtADMAfQBcACIAKQA7AFwAbgBcAG4AVgBFAEUAUgBHAF8AMQA1AF8AMwBfADEAXwAxAF8AXwAxAF8ARQBtAGkAcwBzAGkAbwBuAHMARgByAG8AbQBQAHUAcgBjAGgAYQBzAGUAZABNAGkAbgBlAHIAYQBsAFMAdQBwAHAAbABlAG0AZQBuAHQAcwBfAEEAcgBnAHUAbQBlAG4AdABzAFwAbgAgACAAPQBMAEEATQBCAEQAQQAoAFwAbgAgACAAIAAgAE0AQQBLAEUAQQBSAFIAQQBZACgAMwAsACAANAAsAFwAbgAgACAAIAAgACAAIABMAEEATQBCAEQAQQAoAHIALABjACwAXABuACAAIAAgACAAIAAgACAAIABJAE4ARABFAFgAKAB7AFwAbgAgACAAIAAgACAAIAAgACAAIAAgAFwAIgBRAF8AbQBcACIALAAgAFwAIgB0AG8AdABhAGwAIABxAHUAYQBuAHQAaQB0AHkAIABvAGYAIABtAGkAbgBlAHIAYQBsACAAcwB1AHAAcABsAGUAbQBlAG4AdAAgAHQAeQBwAGUAIABtACAAdQBzAGUAZABcACIALAAgAFwAIgB0AFwAIgAsACAAXAAiAEkAbgBwAHUAdABcACIAOwBcAG4AIAAgACAAIAAgACAAIAAgACAAIABcACIARQBGAF8AbQBcACIALAAgAFwAIgBlAG0AaQBzAHMAaQBvAG4AIABmAGEAYwB0AG8AcgAgAG8AZgAgAHAAdQByAGMAaABhAHMAZQBkACAAbQBpAG4AZQByAGEAbAAgAHMAdQBwAHAAbABlAG0AZQBuAHQAXAAiACwAIABcACIAawBnACAAQwBPADIAZQAvAGsAZwBcACIALAAgAFwAIgBDAG8AbgBzAHQAYQBuAHQAXAAiADsAXABuACAAIAAgACAAIAAgACAAIAAgACAAXAAiAG0AXAAiACwAIABcACIAbQBpAG4AZQByAGEAbAAgAHMAdQBwAHAAbABlAG0AZQBuAHQAIAB0AHkAcABlAFwAIgAsACAAXAAiAFwAIgAsACAAXAAiAEkAbgBwAHUAdABcACIAXABuACAAIAAgACAAIAAgACAAIAB9ACwAIAByACwAIABjACkAXABuACAAIAAgACAAIAAgACkAXABuACAAIAAgACAAKQBcAG4AIAAgACkAOwBcAG4AXABuAFYARQBFAFIARwBfADEANQBfADMAXwAxAF8AMQBfAF8AMQBfAEUAbQBpAHMAcwBpAG8AbgBzAEYAcgBvAG0AUAB1AHIAYwBoAGEAcwBlAGQATQBpAG4AZQByAGEAbABTAHUAcABwAGwAZQBtAGUAbgB0AHMAXwBBAHIAZwB1AG0AZQBuAHQAcwBWAGEAcgBpAGEAdABpAG8Abg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awBnAFwAIgAsACAAXAAiAEkAbgBwAHUAdABcACIAOwBcAG4AIAAgACAAIAAgACAAIAAgACAAIABcACIARQBGAF8AbQBcACIALAAgAFwAIgBlAG0AaQBzAHMAaQBvAG4AIABmAGEAYwB0AG8AcgAgAG8AZgAgAHAAdQByAGMAaABhAHMAZQBkACAAbQBpAG4AZQByAGEAbAAgAHMAdQBwAHAAbABlAG0AZQBuAHQAXAAiACwAIABcACIAawBnACAAQwBPADIAZQAvAGsAZwBcACIALAAgAFwAIgBDAG8AbgBzAHQAYQBuAHQAXAAiADsAXABuACAAIAAgACAAIAAgACAAIAAgACAAXAAiAG0AXAAiACwAIABcACIAbQBpAG4AZQByAGEAbAAgAHMAdQBwAHAAbABlAG0AZQBuAHQAIAB0AHkAcABlAFwAIgAsACAAXAAiAFwAIgAsACAAXAAiAEkAbgBwAHUAdABcACIAXABuACAAIAAgACAAIAAgACAAIAB9ACwAIAByACwAIABjACkAXABuACAAIAAgACAAIAAgACkAXABuACAAIAAgACAAKQBcAG4AIAAgACkAOwBcAG4AXABuAFYARQBFAFIARwBfADEANQBfADMAXwAxAF8AMQBfAF8AMQBfAEUAbQBpAHMAcwBpAG8AbgBzAEYAcgBvAG0AUAB1AHIAYwBoAGEAcwBlAGQATQBpAG4AZQByAGEAbABTAHUAcABwAGwAZQBtAGUAbgB0AHMAXwBWAGEAcgBpAGEAdABpAG8AbgBcAG4AIAAgAD0ATABBAE0AQgBEAEEAKABcACIAVgBBAFIASQBBAFQASQBPAE4AIABPAE4AIABTAE8AVQBSAEMARQA6ACAASQBuAHAAdQB0ACAAUQBfAGoAIABpAG4AIABrAGcAIABpAG4AcwB0AGUAYQBkACAAbwBmACAAdAAgAHQAbwAgAG0AYQB0AGMAaAAgAEUARgAgAHUAbgBpAHQAcwAuACAATQB1AGwAdABpAHAAbAB5ACAAYgB5ACAAMQAwAF4ALQAzACAAdABvACAAYwBvAG4AdgBlAHIAdAAgAGsAZwAgAEMATwAyAGUAIAB0AG8AIAB0ACAAQwBPADIAZQAuAFwAIg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JwB1AG4AaQB0AHMAJwAgAHQAbwAgACcAawBnACcAIABhAHMAIABFAEYAIABkAGEAdABhACAAaQBzACAAaQBuACAAawBnAC4AXAAiACkAOwBcAG4AIAAgAFwAbgBcAG4ALwAqAFwAbgAtAC0ALQAtAC0ALQAtAC0ALQAtAC0ALQAtAC0ALQAtAC0ALQAtAC0ALQAtAC0ALQAtAC0ALQAtAC0ALQAtAC0ALQAtAC0ALQAtAC0AXABuAFYARQBFAFIARwBfADEANQBfADkAXwAxAF8AMQBfAF8AMQBfAEUAbQBpAHMAcwBpAG8AbgBzAEYAcgBvAG0AUAB1AHIAYwBoAGEAcwBlAGQARwByAG8AdwBNAGUAZABpAGEAXABuAEUAbQBiAGUAZABkAGUAZAAgAGUAbQBpAHMAcwBpAG8AbgBzACAAZgByAG8AbQAgAHUAcwBlACAAbwBmACAAZwByAG8AdwAgAG0AZQBkAGkAYQAgAHAAcgBvAGQAdQBjAHQAcwBcAG4ARQBcAG4AdAAgAEMATwAyAGUAXABuAEUAPQBcAFwAcwB1AG0AXABcAG4AbwBsAGkAbQBpAHQAcwBfAGcAXABcAGwAZQBmAHQAKABRAF8AZwBcAFwAdABpAG0AZQBzACAARQBGAF8AZwBcAFwAcgBpAGcAaAB0ACkAXABcAHQAaQBtAGUAcwAgADEAMABeAHsALQAzAH0AXABuAFEAXwBnACAAPQAgAHQAbwB0AGEAbAAgAHEAdQBhAG4AdABpAHQAeQAgAG8AZgAgAGcAcgBvAHcAIABtAGUAZABpAGEAIAB0AHkAcABlACAAZwBcAG4ARQBGAF8AZwAgAD0AIABlAG0AaQBzAHMAaQBvAG4AIABmAGEAYwB0AG8AcgAgAGYAbwByACAAZwByAG8AdwAgAG0AZQBkAGkAYQAgAHQAeQBwAGUAIABnAFwAbgAtAC0ALQAtAC0ALQAtAC0ALQAtAC0ALQAtAC0ALQAtAC0ALQAtAC0ALQAtAC0ALQAtAC0ALQAtAC0ALQAtAC0ALQAtAC0ALQAtAC0AXABuACoALwBcAG4AXABuAFYARQBFAFIARwBfADEANQBfADkAXwAxAF8AMQBfAF8AMQBfAEUAbQBpAHMAcwBpAG8AbgBzAEYAcgBvAG0AUAB1AHIAYwBoAGEAcwBlAGQARwByAG8AdwBNAGUAZABpAGEAXABuACAAIAA9AEwAQQBNAEIARABBACgAXABuACAAIAAgACAAUQBfAGcALAAgAEUARgBfAGcALABcAG4AIAAgACAAIAAoAFEAXwBnACAAKgAgAEUARgBfAGcAKQAgACoAIAAxADAAIABeACAALQAzAFwAbgAgACAAKQA7AFwAbgBcAG4AVgBFAEUAUgBHAF8AMQA1AF8AOQBfADEAXwAxAF8AXwAxAF8ARQBtAGkAcwBzAGkAbwBuAHMARgByAG8AbQBQAHUAcgBjAGgAYQBzAGUAZABHAHIAbwB3AE0AZQBkAGkAYQBfAFQAaQB0AGwAZQBcAG4AIAAgAD0ATABBAE0AQgBEAEEAKABcACIARQBtAGIAZQBkAGQAZQBkACAAZQBtAGkAcwBzAGkAbwBuAHMAIABmAHIAbwBtACAAdQBzAGUAIABvAGYAIABnAHIAbwB3ACAAbQBlAGQAaQBhACAAcAByAG8AZAB1AGMAdABzAFwAIgApADsAXABuAFwAbgBWAEUARQBSAEcAXwAxADUAXwA5AF8AMQBfADEAXwBfADEAXwBFAG0AaQBzAHMAaQBvAG4AcwBGAHIAbwBtAFAAdQByAGMAaABhAHMAZQBkAEcAcgBvAHcATQBlAGQAaQBhAF8AVgBhAHIAaQBhAGIAbABlAFwAbgAgACAAPQBMAEEATQBCAEQAQQAoAFwAIgBFAFwAIgApADsAXABuAFwAbgBWAEUARQBSAEcAXwAxADUAXwA5AF8AMQBfADEAXwBfADEAXwBFAG0AaQBzAHMAaQBvAG4AcwBGAHIAbwBtAFAAdQByAGMAaABhAHMAZQBkAEcAcgBvAHcATQBlAGQAaQBhAF8AVQBuAGkAdABcAG4AIAAgAD0ATABBAE0AQgBEAEEAKABcACIAdAAgAEMATwAyAGUAXAAiACkAOwBcAG4AXABuAFYARQBFAFIARwBfADEANQBfADkAXwAxAF8AMQBfAF8AMQBfAEUAbQBpAHMAcwBpAG8AbgBzAEYAcgBvAG0AUAB1AHIAYwBoAGEAcwBlAGQARwByAG8AdwBNAGUAZABpAGEAXwBTAG8AdQByAGMAZQBcAG4AIAAgAD0ATABBAE0AQgBEAEEAKABcACIAVgBFAEUAUgBHACAAMgAwADIANgA6ACAAMQA1AC4AOQAuADEALgAxACwAIABFAHEAdQBhAHQAaQBvAG4AIAAoADEAKQBcACIAKQA7AFwAbgBcAG4AVgBFAEUAUgBHAF8AMQA1AF8AOQBfADEAXwAxAF8AXwAxAF8ARQBtAGkAcwBzAGkAbwBuAHMARgByAG8AbQBQAHUAcgBjAGgAYQBzAGUAZABHAHIAbwB3AE0AZQBkAGkAYQBfAE4ASQBSAFIAZQBmAGUAcgBlAG4AYwBlAFwAbgAgACAAPQBMAEEATQBCAEQAQQAoAFwAIgBcACIAKQA7AFwAbgBcAG4AVgBFAEUAUgBHAF8AMQA1AF8AOQBfADEAXwAxAF8AXwAxAF8ARQBtAGkAcwBzAGkAbwBuAHMARgByAG8AbQBQAHUAcgBjAGgAYQBzAGUAZABHAHIAbwB3AE0AZQBkAGkAYQBfAEwAYQB0AGUAeABFAHEAdQBhAHQAaQBvAG4AXABuACAAIAA9AEwAQQBNAEIARABBACgAXAAiAEUAPQBcAFwAcwB1AG0AXABcAG4AbwBsAGkAbQBpAHQAcwBfAGcAXABcAGwAZQBmAHQAKABRAF8AZwBcAFwAdABpAG0AZQBzACAARQBGAF8AZwBcAFwAcgBpAGcAaAB0ACkAXABcAHQAaQBtAGUAcwAgADEAMABeAHsALQAzAH0AXAAiACkAOwBcAG4AXABuAFYARQBFAFIARwBfADEANQBfADkAXwAxAF8AMQBfAF8AMQBfAEUAbQBpAHMAcwBpAG8AbgBzAEYAcgBvAG0AUAB1AHIAYwBoAGEAcwBlAGQARwByAG8AdwBNAGUAZABpAGEAXwBBAHIAZwB1AG0AZQBuAHQAcwBcAG4AIAAgAD0ATABBAE0AQgBEAEEAKABcAG4AIAAgACAAIABNAEEASwBFAEEAUgBSAEEAWQAoADMALAAgADQALABcAG4AIAAgACAAIAAgACAATABBAE0AQgBEAEEAKAByACwAYwAsAFwAbgAgACAAIAAgACAAIAAgACAASQBOAEQARQBYACgAewBcAG4AIAAgACAAIAAgACAAIAAgACAAIABcACIAUQBfAGcAXAAiACwAIABcACIAdABvAHQAYQBsACAAcQB1AGEAbgB0AGkAdAB5ACAAbwBmACAAZwByAG8AdwAgAG0AZQBkAGkAYQAgAHQAeQBwAGUAIABnAFwAIgAsACAAXAAiAGsAZwAgAG8AcgAgAG0AMwBcACIALAAgAFwAIgBJAG4AcAB1AHQAXAAiADsAXABuACAAIAAgACAAIAAgACAAIAAgACAAXAAiAEUARgBfAGcAXAAiACwAIABcACIAZQBtAGkAcwBzAGkAbwBuACAAZgBhAGMAdABvAHIAIABmAG8AcgAgAGcAcgBvAHcAIABtAGUAZABpAGEAIAB0AHkAcABlACAAZwBcACIALAAgAFwAIgBrAGcAIABDAE8AMgBlAC8AawBnACAAbwByACAAawBnACAAQwBPADIAZQAvAG0AMwBcACIALAAgAFwAIgBDAG8AbgBzAHQAYQBuAHQAXAAiADsAXABuACAAIAAgACAAIAAgACAAIAAgACAAXAAiAGcAXAAiACwAIABcACIAZwByAG8AdwAgAG0AZQBkAGkAY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ABfADEAXwAxAF8AXwAxAF8ATwB0AGgAZQByAFAAdQByAGMAaABhAHMAZQBkAEcAbwBvAGQAcwBBAG4AZABTAGUAcgB2AGkAYwBlAHMAXABuAE8AdABoAGUAcgAgAHAAdQByAGMAaABhAHMAZQBkACAAZwBvAG8AZABzACAAYQBuAGQAIABzAGUAcgB2AGkAYwBlAHMAIABnAGUAbgBlAHIAaQBjACAAZQBzAHQAaQBtAGEAdABlAFwAbgBlAG0AaQBzAHMAaQBvAG4AcwBcAG4AdAAgAEMATwAyAGUAXABuAGUAbQBpAHMAcwBpAG8AbgBzAD0AYQBjAHQAaQB2AGkAdAB5AF8AZABhAHQAYQBcAFwAdABpAG0AZQBzACAAZQBtAGkAcwBzAGkAbwBuAF8AZgBhAGMAdABvAHIAXABuAGEAYwB0AGkAdgBpAHQAeQBfAGQAYQB0AGEAIAA9ACAAbQBlAGEAcwB1AHIAZQBkACAAYQBjAHQAaQB2AGkAdAB5ACAAZgBvAHIAIAB0AGgAZQAgAHAAdQByAGMAaABhAHMAZQBkACAAZwBvAG8AZAAgAG8AcgAgAHMAZQByAHYAaQBjAGUAXABuAGUAbQBpAHMAcwBpAG8AbgBfAGYAYQBjAHQAbwByACAAPQAgAGwAaQBmAGUAYwB5AGMAbABlACAAZQBtAGkAcwBzAGkAbwBuAHMAIABwAGUAcgAgAHUAbgBpAHQAIABvAGYAIABhAGMAdABpAHYAaQB0AHkAXABuAC0ALQAtAC0ALQAtAC0ALQAtAC0ALQAtAC0ALQAtAC0ALQAtAC0ALQAtAC0ALQAtAC0ALQAtAC0ALQAtAC0ALQAtAC0ALQAtAC0ALQBcAG4AKgAvAFwAbgBcAG4AVgBFAEUAUgBHAF8AMQA1AF8AMQAwAF8AMQBfADEAXwBfADEAXwBPAHQAaABlAHIAUAB1AHIAYwBoAGEAcwBlAGQARwBvAG8AZABzAEEAbgBkAFMAZQByAHYAaQBjAGUAcwBcAG4AIAAgAD0ATABBAE0AQgBEAEEAKABcAG4AIAAgACAAIABhAGMAdABpAHYAaQB0AHkAXwBkAGEAdABhACwAIABlAG0AaQBzAHMAaQBvAG4AXwBmAGEAYwB0AG8AcgAsAFwAbgAgACAAIAAgAGEAYwB0AGkAdgBpAHQAeQBfAGQAYQB0AGEAIAAqACAAZQBtAGkAcwBzAGkAbwBuAF8AZgBhAGMAdABvAHIAXABuACAAIAApADsAXABuAFwAbgBWAEUARQBSAEcAXwAxADUAXwAxADAAXwAxAF8AMQBfAF8AMQBfAE8AdABoAGUAcgBQAHUAcgBjAGgAYQBzAGUAZABHAG8AbwBkAHMAQQBuAGQAUwBlAHIAdgBpAGMAZQBzAF8AVABpAHQAbABlAFwAbgAgACAAPQBMAEEATQBCAEQAQQAoAFwAIgBPAHQAaABlAHIAIABwAHUAcgBjAGgAYQBzAGUAZAAgAGcAbwBvAGQAcwAgAGEAbgBkACAAcwBlAHIAdgBpAGMAZQBzACAAZwBlAG4AZQByAGkAYwAgAGUAcwB0AGkAbQBhAHQAZQBcACIAKQA7AFwAbgBcAG4AVgBFAEUAUgBHAF8AMQA1AF8AMQAwAF8AMQBfADEAXwBfADEAXwBPAHQAaABlAHIAUAB1AHIAYwBoAGEAcwBlAGQARwBvAG8AZABzAEEAbgBkAFMAZQByAHYAaQBjAGUAcwBfAFYAYQByAGkAYQBiAGwAZQBcAG4AIAAgAD0ATABBAE0AQgBEAEEAKABcACIAZQBtAGkAcwBzAGkAbwBuAHMAXAAiACkAOwBcAG4AXABuAFYARQBFAFIARwBfADEANQBfADEAMABfADEAXwAxAF8AXwAxAF8ATwB0AGgAZQByAFAAdQByAGMAaABhAHMAZQBkAEcAbwBvAGQAcwBBAG4AZABTAGUAcgB2AGkAYwBlAHMAXwBVAG4AaQB0AFwAbgAgACAAPQBMAEEATQBCAEQAQQAoAFwAIgB0ACAAQwBPADIAZQBcACIAKQA7AFwAbgBcAG4AVgBFAEUAUgBHAF8AMQA1AF8AMQAwAF8AMQBfADEAXwBfADEAXwBPAHQAaABlAHIAUAB1AHIAYwBoAGEAcwBlAGQARwBvAG8AZABzAEEAbgBkAFMAZQByAHYAaQBjAGUAcwBfAFMAbwB1AHIAYwBlAFwAbgAgACAAPQBMAEEATQBCAEQAQQAoAFwAIgBWAEUARQBSAEcAIAAyADAAMgA2ADoAIAAxADUALgAxADAALAAgAGcAZQBuAGUAcgBpAGMAIABwAGwAYQBjAGUAaABvAGwAZABlAHIAIABlAHEAdQBhAHQAaQBvAG4AXAAiACkAOwBcAG4AXABuAFYARQBFAFIARwBfADEANQBfADEAMABfADEAXwAxAF8AXwAxAF8ATwB0AGgAZQByAFAAdQByAGMAaABhAHMAZQBkAEcAbwBvAGQAcwBBAG4AZABTAGUAcgB2AGkAYwBlAHMAXwBOAEkAUgBSAGUAZgBlAHIAZQBuAGMAZQBcAG4AIAAgAD0ATABBAE0AQgBEAEEAKABcACIAXAAiACkAOwBcAG4AXABuAFYARQBFAFIARwBfADEANQBfADEAMABfADEAXwAxAF8AXwAxAF8ATwB0AGgAZQByAFAAdQByAGMAaABhAHMAZQBkAEcAbwBvAGQAcwBBAG4AZABTAGUAcgB2AGkAYwBlAHMAXwBMAGEAdABlAHgARQBxAHUAYQB0AGkAbwBuAFwAbgAgACAAPQBMAEEATQBCAEQAQQAoAFwAIgBlAG0AaQBzAHMAaQBvAG4AcwA9AGEAYwB0AGkAdgBpAHQAeQBcAFwAXwBkAGEAdABhAFwAXAB0AGkAbQBlAHMAIABlAG0AaQBzAHMAaQBvAG4AXABcAF8AZgBhAGMAdABvAHIAXAAiACkAOwBcAG4AXABuAFYARQBFAFIARwBfADEANQBfADEAMABfADEAXwAxAF8AXwAxAF8ATwB0AGgAZQByAFAAdQByAGMAaABhAHMAZQBkAEcAbwBvAGQAcwBBAG4AZABTAGUAcgB2AGkAYwBlAHMAXwBBAHIAZwB1AG0AZQBuAHQAcwBcAG4AIAAgAD0ATABBAE0AQgBEAEEAKABcAG4AIAAgACAAIABNAEEASwBFAEEAUgBSAEEAWQAoADIALAAgADQALABcAG4AIAAgACAAIAAgACAATABBAE0AQgBEAEEAKAByACwAYwAsAFwAbgAgACAAIAAgACAAIAAgACAASQBOAEQARQBYACgAewBcAG4AIAAgACAAIAAgACAAIAAgACAAIABcACIAYQBjAHQAaQB2AGkAdAB5AF8AZABhAHQAYQBcACIALAAgAFwAIgBtAGUAYQBzAHUAcgBlAGQAIABhAGMAdABpAHYAaQB0AHkAIABmAG8AcgAgAHQAaABlACAAcAB1AHIAYwBoAGEAcwBlAGQAIABnAG8AbwBkACAAbwByACAAcwBlAHIAdgBpAGMAZQBcACIALAAgAFwAIgB2AGEAcgBpAGUAcwBcACIALAAgAFwAIgBJAG4AcAB1AHQAXAAiADsAXABuACAAIAAgACAAIAAgACAAIAAgACAAXAAiAGUAbQBpAHMAcwBpAG8AbgBfAGYAYQBjAHQAbwByAFwAIgAsACAAXAAiAGwAaQBmAGUAYwB5AGMAbABlACAAZQBtAGkAcwBzAGkAbwBuAHMAIABwAGUAcgAgAHUAbgBpAHQAIABvAGYAIABhAGMAdABpAHYAaQB0AHkAXAAiACwAIABcACIAdgBhAHIAaQBlAH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xAF8AVABvAHQAYQBsAFUAcABzAHQAcgBlAGEAbQBFAG0AaQBzAHMAaQBvAG4AcwBGAHIAbwBtAEYAdQBlAGwAXABuAFQAbwB0AGEAbAAgAHUAcABzAHQAcgBlAGEAbQAgAGUAbQBpAHMAcwBpAG8AbgBzACAAZgByAG8AbQAgAHMAYwBvAHAAZQAgADEAIABmAHUAZQBsACAAYwBvAG4AcwB1AG0AcAB0AGkAbwBuAFwAbgBFAFwAbgB0ACAAQwBPADIAZQBcAG4ARQA9AFwAXABzAHUAbQBcAFwAbgBvAGwAaQBtAGkAdABzAF8AcQBFAF8AewBXAFQAVAAsAHQAcgBhAG4AcwAsAHEAfQArAFwAXABzAHUAbQBcAFwAbgBvAGwAaQBtAGkAdABzAF8AcQBFAF8AewBXAFQAVAAsAFMAQwAsAHEAfQBcAG4ARQBfAFcAVABUAHQAcgBhAG4AcwBxACAAPQAgAHUAcABzAHQAcgBlAGEAbQAgAGUAbQBpAHMAcwBpAG8AbgBzACAAZgByAG8AbQAgAHMAYwBvAHAAZQAgADEAIAB0AHIAYQBuAHMAcABvAHIAdAAgAGYAdQBlAGwAIAB1AHMAZQBcAG4ARQBfAFcAVABUAFMAQwBxACAAPQAgAHUAcABzAHQAcgBlAGEAbQAgAGUAbQBpAHMAcwBpAG8AbgBzACAAZgByAG8AbQAgAHMAYwBvAHAAZQAgADEAIABzAHQAYQB0AGkAbwBuAGEAcgB5ACAAYwBvAG0AYgB1AHMAdABpAG8AbgAgAGYAdQBlAGwAIAB1AHMAZQBcAG4ALQAtAC0ALQAtAC0ALQAtAC0ALQAtAC0ALQAtAC0ALQAtAC0ALQAtAC0ALQAtAC0ALQAtAC0ALQAtAC0ALQAtAC0ALQAtAC0ALQAtAFwAbgAqAC8AXABuAFwAbgBWAEUARQBSAEcAXwAxADUAXwAxADEAXwAxAF8AMQBfAF8AMQBfAFQAbwB0AGEAbABVAHAAcwB0AHIAZQBhAG0ARQBtAGkAcwBzAGkAbwBuAHMARgByAG8AbQBGAHUAZQBsAFwAbgAgACAAPQBMAEEATQBCAEQAQQAoAFwAbgAgACAAIAAgAEUAXwBXAFQAVAB0AHIAYQBuAHMAcQAsACAARQBfAFcAVABUAFMAQwBxACwAXABuACAAIAAgACAARQBfAFcAVABUAHQAcgBhAG4AcwBxACAAKwAgAEUAXwBXAFQAVABTAEMAcQBcAG4AIAAgACkAOwBcAG4AXABuAFYARQBFAFIARwBfADEANQBfADEAMQBfADEAXwAxAF8AXwAxAF8AVABvAHQAYQBsAFUAcABzAHQAcgBlAGEAbQBFAG0AaQBzAHMAaQBvAG4AcwBGAHIAbwBtAEYAdQBlAGwAXwBUAGkAdABsAGUAXABuACAAIAA9AEwAQQBNAEIARABBACgAXAAiAFQAbwB0AGEAbAAgAHUAcABzAHQAcgBlAGEAbQAgAGUAbQBpAHMAcwBpAG8AbgBzACAAZgByAG8AbQAgAHMAYwBvAHAAZQAgADEAIABmAHUAZQBsACAAYwBvAG4AcwB1AG0AcAB0AGkAbwBuAFwAIgApADsAXABuAFwAbgBWAEUARQBSAEcAXwAxADUAXwAxADEAXwAxAF8AMQBfAF8AMQBfAFQAbwB0AGEAbABVAHAAcwB0AHIAZQBhAG0ARQBtAGkAcwBzAGkAbwBuAHMARgByAG8AbQBGAHUAZQBsAF8AVgBhAHIAaQBhAGIAbABlAFwAbgAgACAAPQBMAEEATQBCAEQAQQAoAFwAIgBFAFwAIgApADsAXABuAFwAbgBWAEUARQBSAEcAXwAxADUAXwAxADEAXwAxAF8AMQBfAF8AMQBfAFQAbwB0AGEAbABVAHAAcwB0AHIAZQBhAG0ARQBtAGkAcwBzAGkAbwBuAHMARgByAG8AbQBGAHUAZQBsAF8AVQBuAGkAdABcAG4AIAAgAD0ATABBAE0AQgBEAEEAKABcACIAdAAgAEMATwAyAGUAXAAiACkAOwBcAG4AXABuAFYARQBFAFIARwBfADEANQBfADEAMQBfADEAXwAxAF8AXwAxAF8AVABvAHQAYQBsAFUAcABzAHQAcgBlAGEAbQBFAG0AaQBzAHMAaQBvAG4AcwBGAHIAbwBtAEYAdQBlAGwAXwBTAG8AdQByAGMAZQBcAG4AIAAgAD0ATABBAE0AQgBEAEEAKABcACIAVgBFAEUAUgBHACAAMgAwADIANgA6ACAAMQA1AC4AMQAxAC4AMQAuADEALAAgAEUAcQB1AGEAdABpAG8AbgAgACgAMQApAFwAIgApADsAXABuAFwAbgBWAEUARQBSAEcAXwAxADUAXwAxADEAXwAxAF8AMQBfAF8AMQBfAFQAbwB0AGEAbABVAHAAcwB0AHIAZQBhAG0ARQBtAGkAcwBzAGkAbwBuAHMARgByAG8AbQBGAHUAZQBsAF8ATgBJAFIAUgBlAGYAZQByAGUAbgBjAGUAXABuACAAIAA9AEwAQQBNAEIARABBACgAXAAiAFwAIgApADsAXABuAFwAbgBWAEUARQBSAEcAXwAxADUAXwAxADEAXwAxAF8AMQBfAF8AMQBfAFQAbwB0AGEAbABVAHAAcwB0AHIAZQBhAG0ARQBtAGkAcwBzAGkAbwBuAHMARgByAG8AbQBGAHUAZQBsAF8ATABhAHQAZQB4AEUAcQB1AGEAdABpAG8AbgBcAG4AIAAgAD0ATABBAE0AQgBEAEEAKABcACIARQA9AFwAXABzAHUAbQBcAFwAbgBvAGwAaQBtAGkAdABzAF8AcQBFAF8AewBXAFQAVAAsAHQAcgBhAG4AcwAsAHEAfQArAFwAXABzAHUAbQBcAFwAbgBvAGwAaQBtAGkAdABzAF8AcQBFAF8AewBXAFQAVAAsAFMAQwAsAHEAfQBcACIAKQA7AFwAbgBcAG4AVgBFAEUAUgBHAF8AMQA1AF8AMQAxAF8AMQBfADEAXwBfADEAXwBUAG8AdABhAGwAVQBwAHMAdAByAGUAYQBtAEUAbQBpAHMAcwBpAG8AbgBzAEYAcgBvAG0ARgB1AGUAbABfAEEAcgBnAHUAbQBlAG4AdABzAFwAbgAgACAAPQBMAEEATQBCAEQAQQAoAFwAbgAgACAAIAAgAE0AQQBLAEUAQQBSAFIAQQBZACgAMgAsACAANAAsAFwAbgAgACAAIAAgACAAIABMAEEATQBCAEQAQQAoAHIALABjACwAXABuACAAIAAgACAAIAAgACAAIABJAE4ARABFAFgAKAB7AFwAbgAgACAAIAAgACAAIAAgACAAIAAgAFwAIgBFAF8AVwBUAFQAdAByAGEAbgBzAHEAXAAiACwAIABcACIAdQBwAHMAdAByAGUAYQBtACAAZQBtAGkAcwBzAGkAbwBuAHMAIABmAHIAbwBtACAAcwBjAG8AcABlACAAMQAgAHQAcgBhAG4AcwBwAG8AcgB0ACAAZgB1AGUAbAAgAHUAcwBlAFwAIgAsACAAXAAiAHQAIABDAE8AMgBlAFwAIgAsACAAXAAiAEMAYQBsAGMAdQBsAGEAdABlAGQAIABiAHkAIAAxADUALgAxADEALgAxAC4AMQAgACgAMgApAFwAIgA7AFwAbgAgACAAIAAgACAAIAAgACAAIAAgAFwAIgBFAF8AVwBUAFQAUwBDAHEAXAAiACwAIABcACIAdQBwAHMAdAByAGUAYQBtACAAZQBtAGkAcwBzAGkAbwBuAHMAIABmAHIAbwBtACAAcwBjAG8AcABlACAAMQAgAHMAdABhAHQAaQBvAG4AYQByAHkAIABjAG8AbQBiAHUAcwB0AGkAbwBuACAAZgB1AGUAbAAgAHUAcwBlAFwAIgAsACAAXAAiAHQAIABDAE8AMgBlAFwAIgAsACAAXAAiAEMAYQBsAGMAdQBsAGEAdABlAGQAIABiAHkAIAAxADUALgAxADEALgAxAC4AMQAgACgAMwAp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yAF8AVQBwAHMAdAByAGUAYQBtAFQAcgBhAG4AcwBwAG8AcgB0AEYAdQBlAGwARQBtAGkAcwBzAGkAbwBuAHMAXABuAFUAcABzAHQAcgBlAGEAbQAgAGUAbQBpAHMAcwBpAG8AbgBzACAAZgByAG8AbQAgAHMAYwBvAHAAZQAgADEAIABmAHUAZQBsACAAdQBzAGUAIABmAG8AcgAgAHQAcgBhAG4AcwBwAG8AcgB0ACAAcAB1AHIAcABvAHMAZQBzAFwAbgBFAF8AVwBUAFQAdAByAGEAbgBzAHEAXABuAHQAIABDAE8AMgBlAFwAbgBFAF8AewBXAFQAVAAsAHQAcgBhAG4AcwAsAHEAfQA9AFEAXwB7AFQAcgBhAG4AcwAsAHEAfQBcAFwAdABpAG0AZQBzACAARQBDAF8AewBUAHIAYQBuAHMALABxAH0AXABcAHQAaQBtAGUAcwAgAEUARgBfAHsAVAByAGEAbgBzACwAMwAsAHEAfQBcAFwAdABpAG0AZQBzACAAMQAwAF4AewAtADMAfQBcAG4AUQBfAFQAcgBhAG4AcwBxACAAPQAgAGEAbQBvAHUAbgB0ACAAbwBmACAAZgB1AGUAbAAgAHEAIABjAG8AbQBiAHUAcwB0AGUAZAAgAGYAbwByACAAdAByAGEAbgBzAHAAbwByAHQAIABlAG4AZQByAGcAeQAgAHAAdQByAHAAbwBzAGUAcwBcAG4ARQBDAF8AVAByAGEAbgBzAHEAIAA9ACAAZQBuAGUAcgBnAHkAIABjAG8AbgB0AGUAbgB0ACAAZgBhAGMAdABvAHIAIABmAG8AcgAgAHQAcgBhAG4AcwBwAG8AcgB0ACAAZQBuAGUAcgBnAHkAIABwAHUAcgBwAG8AcwBlAHMAXABuAEUARgBfAFQAcgBhAG4AcwAzAHEAIAA9ACAAcwBjAG8AcABlACAAMwAgAGUAbQBpAHMAcwBpAG8AbgAgAGYAYQBjAHQAbwByACAAZgBvAHIAIAB0AHIAYQBuAHMAcABvAHIAdAAgAGUAbgBlAHIAZwB5ACAAcAB1AHIAcABvAHMAZQBzAFwAbgAtAC0ALQAtAC0ALQAtAC0ALQAtAC0ALQAtAC0ALQAtAC0ALQAtAC0ALQAtAC0ALQAtAC0ALQAtAC0ALQAtAC0ALQAtAC0ALQAtAC0AXABuACoALwBcAG4AXABuAFYARQBFAFIARwBfADEANQBfADEAMQBfADEAXwAxAF8AXwAyAF8AVQBwAHMAdAByAGUAYQBtAFQAcgBhAG4AcwBwAG8AcgB0AEYAdQBlAGwARQBtAGkAcwBzAGkAbwBuAHMAXABuACAAIAA9AEwAQQBNAEIARABBACgAXABuACAAIAAgACAAUQBfAFQAcgBhAG4AcwBxACwAIABFAEMAXwBUAHIAYQBuAHMAcQAsACAARQBGAF8AVAByAGEAbgBzADMAcQAsAFwAbgAgACAAIAAgACgAUQBfAFQAcgBhAG4AcwBxACAAKgAgAEUAQwBfAFQAcgBhAG4AcwBxACAAKgAgAEUARgBfAFQAcgBhAG4AcwAzAHEAKQAgACoAIAAxADAAIABeACAALQAzAFwAbgAgACAAKQA7AFwAbgBcAG4AVgBFAEUAUgBHAF8AMQA1AF8AMQAxAF8AMQBfADEAXwBfADIAXwBVAHAAcwB0AHIAZQBhAG0AVAByAGEAbgBzAHAAbwByAHQARgB1AGUAbABFAG0AaQBzAHMAaQBvAG4AcwBfAFQAaQB0AGwAZQBcAG4AIAAgAD0ATABBAE0AQgBEAEEAKABcACIAVQBwAHMAdAByAGUAYQBtACAAZQBtAGkAcwBzAGkAbwBuAHMAIABmAHIAbwBtACAAcwBjAG8AcABlACAAMQAgAGYAdQBlAGwAIAB1AHMAZQAgAGYAbwByACAAdAByAGEAbgBzAHAAbwByAHQAIABwAHUAcgBwAG8AcwBlAHMAXAAiACkAOwBcAG4AXABuAFYARQBFAFIARwBfADEANQBfADEAMQBfADEAXwAxAF8AXwAyAF8AVQBwAHMAdAByAGUAYQBtAFQAcgBhAG4AcwBwAG8AcgB0AEYAdQBlAGwARQBtAGkAcwBzAGkAbwBuAHMAXwBWAGEAcgBpAGEAYgBsAGUAXABuACAAIAA9AEwAQQBNAEIARABBACgAXAAiAEUAXwBXAFQAVAB0AHIAYQBuAHMAcQBcACIAKQA7AFwAbgBcAG4AVgBFAEUAUgBHAF8AMQA1AF8AMQAxAF8AMQBfADEAXwBfADIAXwBVAHAAcwB0AHIAZQBhAG0AVAByAGEAbgBzAHAAbwByAHQARgB1AGUAbABFAG0AaQBzAHMAaQBvAG4AcwBfAFUAbgBpAHQAXABuACAAIAA9AEwAQQBNAEIARABBACgAXAAiAHQAIABDAE8AMgBlAFwAIgApADsAXABuAFwAbgBWAEUARQBSAEcAXwAxADUAXwAxADEAXwAxAF8AMQBfAF8AMgBfAFUAcABzAHQAcgBlAGEAbQBUAHIAYQBuAHMAcABvAHIAdABGAHUAZQBsAEUAbQBpAHMAcwBpAG8AbgBzAF8AUwBvAHUAcgBjAGUAXABuACAAIAA9AEwAQQBNAEIARABBACgAXAAiAFYARQBFAFIARwAgADIAMAAyADYAOgAgADEANQAuADEAMQAuADEALgAxACwAIABFAHEAdQBhAHQAaQBvAG4AIAAoADIAKQBcACIAKQA7AFwAbgBcAG4AVgBFAEUAUgBHAF8AMQA1AF8AMQAxAF8AMQBfADEAXwBfADIAXwBVAHAAcwB0AHIAZQBhAG0AVAByAGEAbgBzAHAAbwByAHQARgB1AGUAbABFAG0AaQBzAHMAaQBvAG4AcwBfAE4ASQBSAFIAZQBmAGUAcgBlAG4AYwBlAFwAbgAgACAAPQBMAEEATQBCAEQAQQAoAFwAIgBcACIAKQA7AFwAbgBcAG4AVgBFAEUAUgBHAF8AMQA1AF8AMQAxAF8AMQBfADEAXwBfADIAXwBVAHAAcwB0AHIAZQBhAG0AVAByAGEAbgBzAHAAbwByAHQARgB1AGUAbABFAG0AaQBzAHMAaQBvAG4AcwBfAEwAYQB0AGUAeABFAHEAdQBhAHQAaQBvAG4AXABuACAAIAA9AEwAQQBNAEIARABBACgAXAAiAEUAXwB7AFcAVABUACwAdAByAGEAbgBzACwAcQB9AD0AUQBfAHsAVAByAGEAbgBzACwAcQB9AFwAXAB0AGkAbQBlAHMAIABFAEMAXwB7AFQAcgBhAG4AcwAsAHEAfQBcAFwAdABpAG0AZQBzACAARQBGAF8AewBUAHIAYQBuAHMALAAzACwAcQB9AFwAXAB0AGkAbQBlAHMAIAAxADAAXgB7AC0AMwB9AFwAIgApADsAXABuAFwAbgBWAEUARQBSAEcAXwAxADUAXwAxADEAXwAxAF8AMQBfAF8AMgBfAFUAcABzAHQAcgBlAGEAbQBUAHIAYQBuAHMAcABvAHIAdABGAHUAZQBsAEUAbQBpAHMAcwBpAG8AbgBzAF8AQQByAGcAdQBtAGUAbgB0AHMAXABuACAAIAA9AEwAQQBNAEIARABBACgAXABuACAAIAAgACAATQBBAEsARQBBAFIAUgBBAFkAKAAzACwAIAA0ACwAXABuACAAIAAgACAAIAAgAEwAQQBNAEIARABBACgAcgAsAGMALABcAG4AIAAgACAAIAAgACAAIAAgAEkATgBEAEUAWAAoAHsAXABuACAAIAAgACAAIAAgACAAIAAgACAAXAAiAFEAXwBUAHIAYQBuAHMAcQBcACIALAAgAFwAIgBhAG0AbwB1AG4AdAAgAG8AZgAgAGYAdQBlAGwAIABxACAAYwBvAG0AYgB1AHMAdABlAGQAIABmAG8AcgAgAHQAcgBhAG4AcwBwAG8AcgB0ACAAZQBuAGUAcgBnAHkAIABwAHUAcgBwAG8AcwBlAHMAXAAiACwAIABcACIAawBMAFwAIgAsACAAXAAiAEkAbgBwAHUAdABcACIAOwBcAG4AIAAgACAAIAAgACAAIAAgACAAIABcACIARQBDAF8AVAByAGEAbgBzAHEAXAAiACwAIABcACIAZQBuAGUAcgBnAHkAIABjAG8AbgB0AGUAbgB0ACAAZgBhAGMAdABvAHIAIABmAG8AcgAgAHQAcgBhAG4AcwBwAG8AcgB0ACAAZQBuAGUAcgBnAHkAIABwAHUAcgBwAG8AcwBlAHMAXAAiACwAIABcACIARwBKAC8AawBMACAAbwByACAARwBKAC8AbQAzAFwAIgAsACAAXAAiAEMAbwBuAHMAdABhAG4AdABcACIAOwBcAG4AIAAgACAAIAAgACAAIAAgACAAIABcACIARQBGAF8AVAByAGEAbgBzADMAcQBcACIALAAgAFwAIgBzAGMAbwBwAGUAIAAzACAAZQBtAGkAcwBzAGkAbwBuACAAZgBhAGMAdABvAHIAIABmAG8AcgAgAHQAcgBhAG4AcwBwAG8AcgB0ACAAZQBuAGUAcgBnAHkAIABwAHUAcgBwAG8AcwBlAHMAXAAiACwAIABcACIAawBnACAAQwBPADIAZQAvAEcAS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MAXwBVAHAAcwB0AHIAZQBhAG0AUwB0AGEAdABpAG8AbgBhAHIAeQBGAHUAZQBsAEUAbQBpAHMAcwBpAG8AbgBzAFwAbgBVAHAAcwB0AHIAZQBhAG0AIABlAG0AaQBzAHMAaQBvAG4AcwAgAGYAcgBvAG0AIABzAGMAbwBwAGUAIAAxACAAcwB0AGEAdABpAG8AbgBhAHIAeQAgAGMAbwBtAGIAdQBzAHQAaQBvAG4AIABmAHUAZQBsACAAdQBzAGUAXABuAEUAXwBXAFQAVABTAEMAcQBcAG4AdAAgAEMATwAyAGUAXABuAEUAXwB7AFcAVABUACwAUwBDACwAcQB9AD0AUQBfAHsAUwBDACwAcQB9AFwAXAB0AGkAbQBlAHMAIABFAEMAXwB7AFMAQwAsAHEAfQBcAFwAdABpAG0AZQBzACAARQBGAF8AewBTAEMALAAzACwAcQB9AFwAXAB0AGkAbQBlAHMAIAAxADAAXgB7AC0AMwB9AFwAbgBRAF8AUwBDAHEAIAA9ACAAYQBtAG8AdQBuAHQAIABvAGYAIABmAHUAZQBsACAAcQAgAHUAcwBlAGQAIABmAG8AcgAgAHMAdABhAHQAaQBvAG4AYQByAHkAIABjAG8AbQBiAHUAcwB0AGkAbwBuACAAbwBwAGUAcgBhAHQAaQBvAG4AcwBcAG4ARQBDAF8AUwBDAHEAIAA9ACAAZQBuAGUAcgBnAHkAIABjAG8AbgB0AGUAbgB0ACAAZgBhAGMAdABvAHIAIABmAG8AcgAgAHMAdABhAHQAaQBvAG4AYQByAHkAIABjAG8AbQBiAHUAcwB0AGkAbwBuACAAbwBwAGUAcgBhAHQAaQBvAG4AcwBcAG4ARQBGAF8AUwBDADMAcQAgAD0AIABzAGMAbwBwAGUAIAAzACAAZQBtAGkAcwBzAGkAbwBuACAAZgBhAGMAdABvAHIAIABmAG8AcgAgAHMAdABhAHQAaQBvAG4AYQByAHkAIABjAG8AbQBiAHUAcwB0AGkAbwBuACAAbwBwAGUAcgBhAHQAaQBvAG4AcwBcAG4ALQAtAC0ALQAtAC0ALQAtAC0ALQAtAC0ALQAtAC0ALQAtAC0ALQAtAC0ALQAtAC0ALQAtAC0ALQAtAC0ALQAtAC0ALQAtAC0ALQAtAFwAbgAqAC8AXABuAFwAbgBWAEUARQBSAEcAXwAxADUAXwAxADEAXwAxAF8AMQBfAF8AMwBfAFUAcABzAHQAcgBlAGEAbQBTAHQAYQB0AGkAbwBuAGEAcgB5AEYAdQBlAGwARQBtAGkAcwBzAGkAbwBuAHMAXABuACAAIAA9AEwAQQBNAEIARABBACgAXABuACAAIAAgACAAUQBfAFMAQwBxACwAIABFAEMAXwBTAEMAcQAsACAARQBGAF8AUwBDADMAcQAsAFwAbgAgACAAIAAgACgAUQBfAFMAQwBxACAAKgAgAEUAQwBfAFMAQwBxACAAKgAgAEUARgBfAFMAQwAzAHEAKQAgACoAIAAxADAAIABeACAALQAzAFwAbgAgACAAKQA7AFwAbgBcAG4AVgBFAEUAUgBHAF8AMQA1AF8AMQAxAF8AMQBfADEAXwBfADMAXwBVAHAAcwB0AHIAZQBhAG0AUwB0AGEAdABpAG8AbgBhAHIAeQBGAHUAZQBsAEUAbQBpAHMAcwBpAG8AbgBzAF8AVABpAHQAbABlAFwAbgAgACAAPQBMAEEATQBCAEQAQQAoAFwAIgBVAHAAcwB0AHIAZQBhAG0AIABlAG0AaQBzAHMAaQBvAG4AcwAgAGYAcgBvAG0AIABzAGMAbwBwAGUAIAAxACAAcwB0AGEAdABpAG8AbgBhAHIAeQAgAGMAbwBtAGIAdQBzAHQAaQBvAG4AIABmAHUAZQBsACAAdQBzAGUAXAAiACkAOwBcAG4AXABuAFYARQBFAFIARwBfADEANQBfADEAMQBfADEAXwAxAF8AXwAzAF8AVQBwAHMAdAByAGUAYQBtAFMAdABhAHQAaQBvAG4AYQByAHkARgB1AGUAbABFAG0AaQBzAHMAaQBvAG4AcwBfAFYAYQByAGkAYQBiAGwAZQBcAG4AIAAgAD0ATABBAE0AQgBEAEEAKABcACIARQBfAFcAVABUAFMAQwBxAFwAIgApADsAXABuAFwAbgBWAEUARQBSAEcAXwAxADUAXwAxADEAXwAxAF8AMQBfAF8AMwBfAFUAcABzAHQAcgBlAGEAbQBTAHQAYQB0AGkAbwBuAGEAcgB5AEYAdQBlAGwARQBtAGkAcwBzAGkAbwBuAHMAXwBVAG4AaQB0AFwAbgAgACAAPQBMAEEATQBCAEQAQQAoAFwAIgB0ACAAQwBPADIAZQBcACIAKQA7AFwAbgBcAG4AVgBFAEUAUgBHAF8AMQA1AF8AMQAxAF8AMQBfADEAXwBfADMAXwBVAHAAcwB0AHIAZQBhAG0AUwB0AGEAdABpAG8AbgBhAHIAeQBGAHUAZQBsAEUAbQBpAHMAcwBpAG8AbgBzAF8AUwBvAHUAcgBjAGUAXABuACAAIAA9AEwAQQBNAEIARABBACgAXAAiAFYARQBFAFIARwAgADIAMAAyADYAOgAgADEANQAuADEAMQAuADEALgAxACwAIABFAHEAdQBhAHQAaQBvAG4AIAAoADMAKQBcACIAKQA7AFwAbgBcAG4AVgBFAEUAUgBHAF8AMQA1AF8AMQAxAF8AMQBfADEAXwBfADMAXwBVAHAAcwB0AHIAZQBhAG0AUwB0AGEAdABpAG8AbgBhAHIAeQBGAHUAZQBsAEUAbQBpAHMAcwBpAG8AbgBzAF8ATgBJAFIAUgBlAGYAZQByAGUAbgBjAGUAXABuACAAIAA9AEwAQQBNAEIARABBACgAXAAiAFwAIgApADsAXABuAFwAbgBWAEUARQBSAEcAXwAxADUAXwAxADEAXwAxAF8AMQBfAF8AMwBfAFUAcABzAHQAcgBlAGEAbQBTAHQAYQB0AGkAbwBuAGEAcgB5AEYAdQBlAGwARQBtAGkAcwBzAGkAbwBuAHMAXwBMAGEAdABlAHgARQBxAHUAYQB0AGkAbwBuAFwAbgAgACAAPQBMAEEATQBCAEQAQQAoAFwAIgBFAF8AewBXAFQAVAAsAFMAQwAsAHEAfQA9AFEAXwB7AFMAQwAsAHEAfQBcAFwAdABpAG0AZQBzACAARQBDAF8AewBTAEMALABxAH0AXABcAHQAaQBtAGUAcwAgAEUARgBfAHsAUwBDACwAMwAsAHEAfQBcAFwAdABpAG0AZQBzACAAMQAwAF4AewAtADMAfQBcACIAKQA7AFwAbgBcAG4AVgBFAEUAUgBHAF8AMQA1AF8AMQAxAF8AMQBfADEAXwBfADMAXwBVAHAAcwB0AHIAZQBhAG0AUwB0AGEAdABpAG8AbgBhAHIAeQBGAHUAZQBsAEUAbQBpAHMAcwBpAG8AbgBzAF8AQQByAGcAdQBtAGUAbgB0AHMAXABuACAAIAA9AEwAQQBNAEIARABBACgAXABuACAAIAAgACAATQBBAEsARQBBAFIAUgBBAFkAKAA1ACwAIAA0ACwAXABuACAAIAAgACAAIAAgAEwAQQBNAEIARABBACgAcgAsAGMALABcAG4AIAAgACAAIAAgACAAIAAgAEkATgBEAEUAWAAoAHsAXABuACAAIAAgACAAIAAgACAAIAAgACAAXAAiAFEAXwBTAEMAcQBcACIALAAgAFwAIgBhAG0AbwB1AG4AdAAgAG8AZgAgAGYAdQBlAGwAIABxACAAdQBzAGUAZAAgAGYAbwByACAAcwB0AGEAdABpAG8AbgBhAHIAeQAgAGMAbwBtAGIAdQBzAHQAaQBvAG4AIABvAHAAZQByAGEAdABpAG8AbgBzAFwAIgAsACAAXAAiAGsATABcACIALAAgAFwAIgBJAG4AcAB1AHQAXAAiADsAXABuACAAIAAgACAAIAAgACAAIAAgACAAXAAiAEUAQwBfAFMAQwBxAFwAIgAsACAAXAAiAGUAbgBlAHIAZwB5ACAAYwBvAG4AdABlAG4AdAAgAGYAYQBjAHQAbwByACAAZgBvAHIAIABzAHQAYQB0AGkAbwBuAGEAcgB5ACAAYwBvAG0AYgB1AHMAdABpAG8AbgAgAG8AcABlAHIAYQB0AGkAbwBuAHMAXAAiACwAIABcACIARwBKAC8AawBMAFwAIgAsACAAXAAiAEMAbwBuAHMAdABhAG4AdABcACIAOwBcAG4AIAAgACAAIAAgACAAIAAgACAAIABcACIARQBGAF8AUwBDADMAcQBcACIALAAgAFwAIgBzAGMAbwBwAGUAIAAzACAAZQBtAGkAcwBzAGkAbwBuACAAZgBhAGMAdABvAHIAIABmAG8AcgAgAHMAdABhAHQAaQBvAG4AYQByAHkAIABjAG8AbQBiAHUAcwB0AGkAbwBuACAAbwBwAGUAcgBhAHQAaQBvAG4AcwBcACIALAAgAFwAIgBrAGcAIABDAE8AMgBlAC8ARwBKAFwAIgAsACAAXAAiAEMAbwBuAHMAdABhAG4AdABcACIAOwBcAG4AIAAgACAAIAAgACAAIAAgACAAIABcACIAaQBcACIALAAgAFwAIgBzAHQAYQB0AGUAXAAiACwAIABcACIAXAAiACwAIABcACIASQBuAHAAdQB0AFwAIgA7AFwAbgAgACAAIAAgACAAIAAgACAAIAAgAFwAIgBtAFwAIgAsACAAXAAiAG0AZQB0AHIAbwBwAG8AbABpAHQAYQBuAC8AbgBvAG4ALQBtAGUAdAByAG8AcABvAGwAaQB0AGEAbgAgAGwAbwBjAGEAdABpAG8AbgBcACIALAAgAFwAIgBcACIALAAgAFwAIgBJAG4AcAB1AHQAXAAiAFwAbgAgACAAIAAgACAAIAAgACAAfQAsACAAcgAsACAAYwApAFwAbgAgACAAIAAgACAAIAApAFwAbgAgACAAIAAgACkAXABuACAAIAApADsAXABuAFwAbgBWAEUARQBSAEcAXwAxADUAXwAxADEAXwAxAF8AMQBfAF8AMwBfAFUAcABzAHQAcgBlAGEAbQBTAHQAYQB0AGkAbwBuAGEAcgB5AEYAdQBlAGwARQBtAGkAcwBzAGkAbwBuAHMAXwBWAGEAcgBpAGEAdABpAG8AbgBcAG4AIAAgAD0ATABBAE0AQgBEAEEAKABcACIAVgBBAFIASQBBAFQASQBPAE4AIABPAE4AIABTAE8AVQBSAEMARQA6ACAAQQBkAGQAZQBkACAAJwBzAHQAYQB0AGUAJwAgAGEAbgBkACAAJwBtAGUAdAByAG8ALwBuAG8AbgAtAG0AZQB0AHIAbwAnACAAYQByAGcAdQBtAGUAbgB0AHMAIABhAHMAIABnAGEAcwBlAG8AdQBzACAAcwBjAG8AcABlACAAMwAgAEUARgBzACAAYQByAGUAIABzAHQAYQB0AGUAIABhAG4AZAAgAG0AZQB0AHIAbwAvAG4AbwBuAC0AbQBlAHQAcgBvACAAbABvAGMAYQB0AGkAbwBuAC0AYgBhAHMAZQBkAC4AXAAi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A7AFwAbgAgACAAIAAgACAAIAAgACAAIAAgAFwAIgBnAFwAIgAsACAAXAAiAGcAcgBpAGQAIABlAGwAZQBjAHQAcgBpAGMAaQB0AHkAIAB3AGEAcwAgAHAAdQByAGMAaABhAHMAZQBkACAAZgByAG8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yAF8AMQBfADIAXwBfADEAXwBVAHAAcwB0AHIAZQBhAG0AUAB1AHIAYwBoAGEAcwBlAGQARQBsAGUAYwB0AHIAaQBjAGkAdAB5AE0AYQByAGsAZQB0AEIAYQBzAGUAZABcAG4AUwBjAG8AcABlACAAMwAgAGUAbQBpAHMAcwBpAG8AbgBzACAAZgByAG8AbQAgAHAAdQByAGMAaABhAHMAZQBkACAAZQBsAGUAYwB0AHIAaQBjAGkAdAB5ACAAbQBhAHIAawBlAHQAIABiAGEAcwBlAGQAXABuAEUAXwAzAGUAbABlAGMAXABuAHQAIABDAE8AMgBlAFwAb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bgBRAF8AZQBsAGUAYwAgAD0AIABhAG0AbwB1AG4AdAAgAG8AZgAgAGUAbABlAGMAdAByAGkAYwBpAHQAeQAgAHAAdQByAGMAaABhAHMAZQBkACAAZgByAG8AbQAgAHQAaABlACAAZwByAGkAZABcAG4AUgBQAFAAIAA9ACAAcgBlAG4AZQB3AGEAYgBsAGUAIABwAG8AdwBlAHIAIABwAGUAcgBjAGUAbgB0AGEAZwBlACAAdQBuAGQAZQByACAATABSAEUAVAAgAGYAbwByACAAdABoAGUAIABhAHAAcABsAGkAYwBhAGIAbABlACAAcABlAHIAaQBvAGQAXABuAEoAUgBQAFAAIAA9ACAAagB1AHIAaQBzAGQAaQBjAHQAaQBvAG4AYQBsACAAcgBlAG4AZQB3AGEAYgBsAGUAIABwAG8AdwBlAHIAIABwAGUAcgBjAGUAbgB0AGEAZwBlACAAZgBvAHIAIAB0AGgAZQAgAGEAcABwAGwAaQBjAGEAYgBsAGUAIABwAGUAcgBpAG8AZABcAG4AUgBFAEMAXwBzAHUAcgByAGUAbgBkAGUAcgBlAGQAIAA9ACAAZQBsAGkAZwBpAGIAbABlACAAcgBlAG4AZQB3AGEAYgBsAGUAIABlAG4AZQByAGcAeQAgAGMAZQByAHQAaQBmAGkAYwBhAHQAZQBzACAAdgBvAGwAdQBuAHQAYQByAGkAbAB5ACAAcwB1AHIAcgBlAG4AZABlAHIAZQBkAFwAbgBSAEUAQwBfAG8AbgBzAGkAdABlACAAPQAgAGUAbABpAGcAaQBiAGwAZQAgAHIAZQBuAGUAdwBhAGIAbABlACAAZQBuAGUAcgBnAHkAIABjAGUAcgB0AGkAZgBpAGMAYQB0AGUAcwAgAGkAcwBzAHUAZQBkACAAZgBvAHIAIABvAG4AcwBpAHQAZQAgAGcAZQBuAGUAcgBhAHQAZQBkACAAZQBsAGUAYwB0AHIAaQBjAGkAdAB5AFwAbgBFAEYAXwBSAE0ARgAzAGUAbABlAGMAIAA9ACAAcwBjAG8AcABlACAAMwAgAHIAZQBzAGkAZAB1AGEAbAAgAG0AaQB4ACAAZQBtAGkAcwBzAGkAbwBuACAAZgBhAGMAdABvAHIAIABmAG8AcgAgAGUAbABlAGMAdAByAGkAYwBpAHQAeQBcAG4ALQAtAC0ALQAtAC0ALQAtAC0ALQAtAC0ALQAtAC0ALQAtAC0ALQAtAC0ALQAtAC0ALQAtAC0ALQAtAC0ALQAtAC0ALQAtAC0ALQAtAFwAbgAqAC8AXABuAFwAbgBWAEUARQBSAEcAXwAxADUAXwAxADIAXwAxAF8AMgBfAF8AMQBfAFUAcABzAHQAcgBlAGEAbQBQAHUAcgBjAGgAYQBzAGUAZABFAGwAZQBjAHQAcgBpAGMAaQB0AHkATQBhAHIAawBlAHQAQgBhAHMAZQBk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C0AMwApACkAIAAqACAARQBGAF8AUgBNAEYAMwBlAGwAZQBjACAAKgAgADEAMAAgAF4AIAAtADMAXABuACAAIAApADsAXABuAFwAbgBWAEUARQBSAEcAXwAxADUAXwAxADIAXwAxAF8AMgBfAF8AMQBfAFUAcABzAHQAcgBlAGEAbQBQAHUAcgBjAGgAYQBzAGUAZABFAGwAZQBjAHQAcgBpAGMAaQB0AHkATQBhAHIAawBlAHQAQgBhAHMAZQBkAFYAYQByAGkAYQB0AGkAbwBu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C0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wAYQB0AGUAeABFAHEAdQBhAHQAaQBvAG4AVgBhAHIAa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HIAZQBuAGUAdwBhAGIAbABlACAAcABvAHcAZQByACAAcABlAHIAYwBlAG4AdABhAGcAZQAgAHUAbgBkAGUAcgAgAEwAUgBFAFQAIABmAG8AcgAgAHQAaABlACAAYQBwAHAAbABpAGMAYQBiAGwAZQAgAHAAZQByAGkAbwBkAFwAIgAsACAAXAAiAGYAcgBhAGMAdABpAG8Abg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BcACIALAAgAFwAIgBmAHIAYQBjAHQAaQBvAG4AXAAiACwAIABcACIASQBuAHAAdQB0AFwAIgA7AFwAbgAgACAAIAAgACAAIAAgACAAIAAgAFwAIgBSAEUAQwBfAHMAdQByAHIAZQBuAGQAZQByAGUAZABcACIALAAgAFwAIgBlAGwAaQBnAGkAYgBsAGUAIAByAGUAbgBlAHcAYQBiAGwAZQAgAGUAbgBlAHIAZwB5ACAAYwBlAHIAdABpAGYAaQBjAGEAdABlAHMAIAB2AG8AbAB1AG4AdABhAHIAaQBsAHkAIABzAHUAcgByAGUAbgBkAGUAcgBlAGQAXAAiACwAIABcACIATQBXAGgAXAAiACwAIABcACIASQBuAHAAdQB0AFwAIgA7AFwAbgAgACAAIAAgACAAIAAgACAAIAAgAFwAIgBSAEUAQwBfAG8AbgBzAGkAdABlAFwAIgAsACAAXAAiAGUAbABpAGcAaQBiAGwAZQAgAHIAZQBuAGUAdwBhAGIAbABlACAAZQBuAGUAcgBnAHkAIABjAGUAcgB0AGkAZgBpAGMAYQB0AGUAcwAgAGkAcwBzAHUAZQBkACAAZgBvAHIAIABvAG4AcwBpAHQAZQAgAGcAZQBuAGUAcgBhAHQAZQBkACAAZQBsAGUAYwB0AHIAaQBjAGkAdAB5AFwAIgAsACAAXAAiAE0AVwBoAFwAIgAsACAAXAAiAEkAbgBwAHUAdABcACIAOwBcAG4AIAAgACAAIAAgACAAIAAgACAAIABcACIARQBGAF8AUgBNAEYAMwBlAGwAZQBjAFwAIgAsACAAXAAiAHMAYwBvAHAAZQAgADM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1AF8AMQAyAF8AMQBfADIAXwBfADEAXwBVAHAAcwB0AHIAZQBhAG0AUAB1AHIAYwBoAGEAcwBlAGQARQBsAGUAYwB0AHIAaQBjAGkAdAB5AE0AYQByAGsAZQB0AEIAYQBzAGUAZA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FwAbgAvACoAXABuAC0ALQAtAC0ALQAtAC0ALQAtAC0ALQAtAC0ALQAtAC0ALQAtAC0ALQAtAC0ALQAtAC0ALQAtAC0ALQAtAC0ALQAtAC0ALQAtAC0ALQBcAG4AVgBFAEUAUgBHAF8AMQA1AF8AMQAzAF8AMQBfADEAXwBfADEAXwBFAG0AaQBzAHMAaQBvAG4AcwBGAHIAbwBtAE0AYQBuAHUAcgBlAFMAZQBuAHQATwBmAGYAUwBpAHQAZQBcAG4ARQBtAGkAcwBzAGkAbwBuAHMAIABmAHIAbwBtACAAbQBhAG4AdQByAGUAIABzAGUAbgB0ACAAbwBmAGYAIABzAGkAdABlACAAYQBwAHAAbABpAGUAZAAgAHQAbwAgAHMAbwBpAGwAcwAgAGkAbgAgAGEAbgBvAHQAaABlAHIAIABmAGEAcgBtAGkAbgBnACAAcwB5AHMAdABlAG0AIABvAHIAIABlAG4AdABlAHIAcAByAGkAcwBlAFwAbgBFAFwAbgB0ACAATgAyAE8AXABuAEUAPQBFAF8AewBOADIATwB9ACsARQBfAHsAYQBkAH0AKwBFAF8AewBsAGUAYQBjAGgAfQBcAG4ARQBfAE4AMgBPACAAPQAgAGQAaQByAGUAYwB0ACAAbgBpAHQAcgBvAHUAcwAgAG8AeABpAGQAZQAgAGUAbQBpAHMAcwBpAG8AbgBzACAAZgByAG8AbQAgAGEAcABwAGwAaQBjAGEAdABpAG8AbgAgAG8AZgAgAG0AYQBuAHUAcgBlACAAdABvACAAcwBvAGkAbABzACAAbwB1AHQAcwBpAGQAZQAgAG8AZgAgAHMAYwBvAHAAZQAgADEAIABiAG8AdQBuAGQAYQByAHkAXABuAEUAXwBhAGQAIAA9ACAAbgBpAHQAcgBvAHUAcwAgAG8AeABpAGQAZQAgAGUAbQBpAHMAcwBpAG8AbgBzACAAZgByAG8AbQAgAGEAdABtAG8AcwBwAGgAZQByAGkAYwAgAGQAZQBwAG8AcwBpAHQAaQBvAG4AIABvAGYAIABtAGEAbgB1AHIAZQAgAHQAbwAgAHMAbwBpAGwAcwBcAG4ARQBfAGwAZQBhAGMAaAAgAD0AIABuAGkAdAByAG8AdQBzACAAbwB4AGkAZABlACAAZQBtAGkAcwBzAGkAbwBuAHMAIABmAHIAbwBtACAAbgBpAHQAcgBvAGcAZQBuACAAbABlAGEAYwBoAGkAbgBnACAAYQBuAGQAIAByAHUAbgBvAGYAZgAgAG8AZgAgAG0AYQBuAHUAcgBlACAAdABvACAAcwBvAGkAbABzAFwAbgAtAC0ALQAtAC0ALQAtAC0ALQAtAC0ALQAtAC0ALQAtAC0ALQAtAC0ALQAtAC0ALQAtAC0ALQAtAC0ALQAtAC0ALQAtAC0ALQAtAC0AXABuACoALwBcAG4AXABuAFYARQBFAFIARwBfADEANQBfADEAMwBfADEAXwAxAF8AXwAxAF8ARQBtAGkAcwBzAGkAbwBuAHMARgByAG8AbQBNAGEAbgB1AHIAZQBTAGUAbgB0AE8AZgBmAFMAaQB0AGUAXABuACAAIAA9AEwAQQBNAEIARABBACgAXABuACAAIAAgACAARQBfAE4AMgBPACwAIABFAF8AYQBkACwAIABFAF8AbABlAGEAYwBoACwAXABuACAAIAAgACAARQBfAE4AMgBPACAAKwAgAEUAXwBhAGQAIAArACAARQBfAGwAZQBhAGMAaABcAG4AIAAgACkAOwBcAG4AXABuAFYARQBFAFIARwBfADEANQBfADEAMwBfADEAXwAxAF8AXwAxAF8ARQBtAGkAcwBzAGkAbwBuAHMARgByAG8AbQBNAGEAbgB1AHIAZQBTAGUAbgB0AE8AZgBmAFMAaQB0AGUAXwBUAGkAdABsAGUAXABuACAAIAA9AEwAQQBNAEIARABBACgAXAAiAEUAbQBpAHMAcwBpAG8AbgBzACAAZgByAG8AbQAgAG0AYQBuAHUAcgBlACAAcwBlAG4AdAAgAG8AZgBmACAAcwBpAHQAZQAgAGEAcABwAGwAaQBlAGQAIAB0AG8AIABzAG8AaQBsAHMAIABpAG4AIABhAG4AbwB0AGgAZQByACAAZgBhAHIAbQBpAG4AZwAgAHMAeQBzAHQAZQBtACAAbwByACAAZQBuAHQAZQByAHAAcgBpAHMAZQBcACIAKQA7AFwAbgBcAG4AVgBFAEUAUgBHAF8AMQA1AF8AMQAzAF8AMQBfADEAXwBfADEAXwBFAG0AaQBzAHMAaQBvAG4AcwBGAHIAbwBtAE0AYQBuAHUAcgBlAFMAZQBuAHQATwBmAGYAUwBpAHQAZQBfAFYAYQByAGkAYQBiAGwAZQBcAG4AIAAgAD0ATABBAE0AQgBEAEEAKABcACIARQBcACIAKQA7AFwAbgBcAG4AVgBFAEUAUgBHAF8AMQA1AF8AMQAzAF8AMQBfADEAXwBfADEAXwBFAG0AaQBzAHMAaQBvAG4AcwBGAHIAbwBtAE0AYQBuAHUAcgBlAFMAZQBuAHQATwBmAGYAUwBpAHQAZQBfAFUAbgBpAHQAXABuACAAIAA9AEwAQQBNAEIARABBACgAXAAiAHQAIABOADIATwBcACIAKQA7AFwAbgBcAG4AVgBFAEUAUgBHAF8AMQA1AF8AMQAzAF8AMQBfADEAXwBfADEAXwBFAG0AaQBzAHMAaQBvAG4AcwBGAHIAbwBtAE0AYQBuAHUAcgBlAFMAZQBuAHQATwBmAGYAUwBpAHQAZQBfAFMAbwB1AHIAYwBlAFwAbgAgACAAPQBMAEEATQBCAEQAQQAoAFwAIgBWAEUARQBSAEcAIAAyADAAMgA2ADoAIAAxADUALgAxADMALgAxAC4AMQAsACAARQBxAHUAYQB0AGkAbwBuACAAKAAxACkAXAAiACkAOwBcAG4AXABuAFYARQBFAFIARwBfADEANQBfADEAMwBfADEAXwAxAF8AXwAxAF8ARQBtAGkAcwBzAGkAbwBuAHMARgByAG8AbQBNAGEAbgB1AHIAZQBTAGUAbgB0AE8AZgBmAFMAaQB0AGUAXwBOAEkAUgBSAGUAZgBlAHIAZQBuAGMAZQBcAG4AIAAgAD0ATABBAE0AQgBEAEEAKABcACIAXAAiACkAOwBcAG4AXABuAFYARQBFAFIARwBfADEANQBfADEAMwBfADEAXwAxAF8AXwAxAF8ARQBtAGkAcwBzAGkAbwBuAHMARgByAG8AbQBNAGEAbgB1AHIAZQBTAGUAbgB0AE8AZgBmAFMAaQB0AGUAXwBMAGEAdABlAHgARQBxAHUAYQB0AGkAbwBuAFwAbgAgACAAPQBMAEEATQBCAEQAQQAoAFwAIgBFAD0ARQBfAHsATgAyAE8AfQArAEUAXwB7AGEAZAB9ACsARQBfAHsAbABlAGEAYwBoAH0AXAAiACkAOwBcAG4AXABuAFYARQBFAFIARwBfADEANQBfADEAMwBfADEAXwAxAF8AXwAxAF8ARQBtAGkAcwBzAGkAbwBuAHMARgByAG8AbQBNAGEAbgB1AHIAZQBTAGUAbgB0AE8AZgBmAFMAaQB0AGUAXwBBAHIAZwB1AG0AZQBuAHQAcwBcAG4AIAAgAD0ATABBAE0AQgBEAEEAKABcAG4AIAAgACAAIABNAEEASwBFAEEAUgBSAEEAWQAoADMALAAgADQALABcAG4AIAAgACAAIAAgACAATABBAE0AQgBEAEEAKAByACwAYwAsAFwAbgAgACAAIAAgACAAIAAgACAASQBOAEQARQBYACgAewBcAG4AIAAgACAAIAAgACAAIAAgACAAIABcACIARQBfAE4AMgBPAFwAIgAsACAAXAAiAGQAaQByAGUAYwB0ACAAbgBpAHQAcgBvAHUAcwAgAG8AeABpAGQAZQAgAGUAbQBpAHMAcwBpAG8AbgBzACAAZgByAG8AbQAgAGEAcABwAGwAaQBjAGEAdABpAG8AbgAgAG8AZgAgAG0AYQBuAHUAcgBlACAAdABvACAAcwBvAGkAbABzACAAbwB1AHQAcwBpAGQAZQAgAG8AZgAgAHMAYwBvAHAAZQAgADEAIABiAG8AdQBuAGQAYQByAHkAXAAiACwAIABcACIAdAAgAE4AMgBPAFwAIgAsACAAXAAiAEMAYQBsAGMAdQBsAGEAdABlAGQAXAAiADsAXABuACAAIAAgACAAIAAgACAAIAAgACAAXAAiAEUAXwBhAGQAXAAiACwAIABcACIAbgBpAHQAcgBvAHUAcwAgAG8AeABpAGQAZQAgAGUAbQBpAHMAcwBpAG8AbgBzACAAZgByAG8AbQAgAGEAdABtAG8AcwBwAGgAZQByAGkAYwAgAGQAZQBwAG8AcwBpAHQAaQBvAG4AIABvAGYAIABtAGEAbgB1AHIAZQAgAHQAbwAgAHMAbwBpAGwAcwBcACIALAAgAFwAIgB0ACAATgAyAE8AXAAiACwAIABcACIAQwBhAGwAYwB1AGwAYQB0AGUAZABcACIAOwBcAG4AIAAgACAAIAAgACAAIAAgACAAIABcACIARQBfAGwAZQBhAGMAaABcACIALAAgAFwAIgBuAGkAdAByAG8AdQBzACAAbwB4AGkAZABlACAAZQBtAGkAcwBzAGkAbwBuAHMAIABmAHIAbwBtACAAbgBpAHQAcgBvAGcAZQBuACAAbABlAGEAYwBoAGkAbgBnACAAYQBuAGQAIAByAHUAbgBvAGYAZgAgAG8AZgAgAG0AYQBuAHUAcgBlACAAdABvACAAcwBvAGkAbABzAFwAIgAsACAAXAAiAHQAIABOADIATwBcACIALAAgAFwAIgBDAGEAbABjAHUAbABhAHQAZQBkAFwAIgBcAG4AIAAgACAAIAAgACAAIAAgAH0ALAAgAHIALAAgAGMAKQBcAG4AIAAgACAAIAAgACAAKQBcAG4AIAAgACAAIAApAFwAbgAgACAAKQA7AFwAbgBcAG4AXABuAC8AKgBcAG4ALQAtAC0ALQAtAC0ALQAtAC0ALQAtAC0ALQAtAC0ALQAtAC0ALQAtAC0ALQAtAC0ALQAtAC0ALQAtAC0ALQAtAC0ALQAtAC0ALQAtAFwAbgBWAEUARQBSAEcAXwAxADUAXwAxADMAXwAxAF8AMwBfAF8AMQBfAEUAbQBpAHMAcwBpAG8AbgBzAEYAcgBvAG0AUwBvAGwAaQBkAFcAYQBzAHQAZQBUAHIAZQBhAHQAbQBlAG4AdABGAGEAYwBpAGwAaQB0AHkAXABuAC0ALQAtAC0ALQAtAC0ALQAtAC0ALQAtAC0ALQAtAC0ALQAtAC0ALQAtAC0ALQAtAC0ALQAtAC0ALQAtAC0ALQAtAC0ALQAtAC0ALQBcAG4AKgAvAFwAbgBcAG4AVgBFAEUAUgBHAF8AMQA1AF8AMQAzAF8AMQBfADMAXwBfADEAXwBFAG0AaQBzAHMAaQBvAG4AcwBGAHIAbwBtAFMAbwBsAGkAZABXAGEAcwB0AGUAVAByAGUAYQB0AG0AZQBuAHQARgBhAGMAaQBsAGkAdAB5AFwAbgAgACAAPQBMAEEATQBCAEQAQQAoAFwAbgAgACAAIAAgAEUAXwBOADIATwAsACAARQBfAGEAZAAsACAARQBfAGwAZQBhAGMAaAAsAFwAbgAgACAAIAAgAEUAXwBOADIATwAgACsAIABFAF8AYQBkACAAKwAgAEUAXwBsAGUAYQBjAGgAXABuACAAIAApADsAXABuAFwAbgBWAEUARQBSAEcAXwAxADUAXwAxADMAXwAxAF8AMwBfAF8AMQBfAEUAbQBpAHMAcwBpAG8AbgBzAEYAcgBvAG0AUwBvAGwAaQBkAFcAYQBzAHQAZQBUAHIAZQBhAHQAbQBlAG4AdABGAGEAYwBpAGwAaQB0AHkAXwBUAGkAdABsAGUAXABuACAAIAA9AEwAQQBNAEIARABBACgAXAAiAEUAbQBpAHMAcwBpAG8AbgBzACAAZgByAG8AbQAgAHMAbwBsAGkAZAAgAHcAYQBzAHQAZQAgAHMAZQBuAHQAIAB0AG8AIABhACAAdAByAGUAYQB0AG0AZQBuAHQAIABmAGEAYwBpAGwAaQB0AHkAXAAiACkAOwBcAG4AXABuAFYARQBFAFIARwBfADEANQBfADEAMwBfADEAXwAzAF8AXwAxAF8ARQBtAGkAcwBzAGkAbwBuAHMARgByAG8AbQBTAG8AbABpAGQAVwBhAHMAdABlAFQAcgBlAGEAdABtAGUAbgB0AEYAYQBjAGkAbABpAHQAeQBfAFYAYQByAGkAYQBiAGwAZQBcAG4AIAAgAD0ATABBAE0AQgBEAEEAKABcACIARQBcACIAKQA7AFwAbgBcAG4AVgBFAEUAUgBHAF8AMQA1AF8AMQAzAF8AMQBfADMAXwBfADEAXwBFAG0AaQBzAHMAaQBvAG4AcwBGAHIAbwBtAFMAbwBsAGkAZABXAGEAcwB0AGUAVAByAGUAYQB0AG0AZQBuAHQARgBhAGMAaQBsAGkAdAB5AF8AVQBuAGkAdABcAG4AIAAgAD0ATABBAE0AQgBEAEEAKABcACIAdAAgAEMATwAyAGUAXAAiACkAOwBcAG4AXABuAFYARQBFAFIARwBfADEANQBfADEAMwBfADEAXwAzAF8AXwAxAF8ARQBtAGkAcwBzAGkAbwBuAHMARgByAG8AbQBTAG8AbABpAGQAVwBhAHMAdABlAFQAcgBlAGEAdABtAGUAbgB0AEYAYQBjAGkAbABpAHQAeQBfAFMAbwB1AHIAYwBlAFwAbgAgACAAPQBMAEEATQBCAEQAQQAoAFwAIgBWAEUARQBSAEcAIAAyADAAMgA2ADoAIAAxADUALgAxADMALgAxAC4AMwBcACIAKQA7AFwAbgBcAG4AVgBFAEUAUgBHAF8AMQA1AF8AMQAzAF8AMQBfADMAXwBfADEAXwBFAG0AaQBzAHMAaQBvAG4AcwBGAHIAbwBtAFMAbwBsAGkAZABXAGEAcwB0AGUAVAByAGUAYQB0AG0AZQBuAHQARgBhAGMAaQBsAGkAdAB5AF8ATgBJAFIAUgBlAGYAZQByAGUAbgBjAGUAXABuACAAIAA9AEwAQQBNAEIARABBACgAXAAiAFwAIgApADsAXABuAFwAbgBWAEUARQBSAEcAXwAxADUAXwAxADMAXwAxAF8AMwBfAF8AMQBfAEUAbQBpAHMAcwBpAG8AbgBzAEYAcgBvAG0AUwBvAGwAaQBkAFcAYQBzAHQAZQBUAHIAZQBhAHQAbQBlAG4AdABGAGEAYwBpAGwAaQB0AHkAXwBMAGEAdABlAHgARQBxAHUAYQB0AGkAbwBuAFwAbgAgACAAPQBMAEEATQBCAEQAQQAoAFwAIgBcACIAKQA7AFwAbgBcAG4AVgBFAEUAUgBHAF8AMQA1AF8AMQAzAF8AMQBfADMAXwBfADEAXwBFAG0AaQBzAHMAaQBvAG4AcwBGAHIAbwBtAFMAbwBsAGkAZABXAGEAcwB0AGUAVAByAGUAYQB0AG0AZQBuAHQARgBhAGMAaQBsAGkAdAB5AF8AQQByAGcAdQBtAGUAbgB0AHMAXABuACAAIAA9AEwAQQBNAEIARABBACgAXAAiAFwAIgApADsAXABuAFwAbgBcAG4ALwAqAFwAbgAtAC0ALQAtAC0ALQAtAC0ALQAtAC0ALQAtAC0ALQAtAC0ALQAtAC0ALQAtAC0ALQAtAC0ALQAtAC0ALQAtAC0ALQAtAC0ALQAtAC0AXABuAFYARQBFAFIARwBfADEANQBfADEANABfADEAXwAxAF8AXwAxAF8ARQBtAGIAZQBkAGQAZQBkAEUAbQBpAHMAcwBpAG8AbgBzAEYAcgBvAG0AVQBwAHMAdAByAGUAYQBtAEYAcgBlAGkAZwBoAHQAXABuAEUAbQBiAGUAZABkAGUAZAAgAGUAbQBpAHMAcwBpAG8AbgBzACAAZgByAG8AbQAgAHUAcABzAHQAcgBlAGEAbQAgAGYAcgBlAGkAZwBoAHQAXABuAEUAXABuAHQAIABDAE8AMgBlAFwAbgBFAD0AXABcAHMAdQBtAFwAXABuAG8AbABpAG0AaQB0AHMAXwBmAFwAXABsAGUAZgB0ACgAKABXAF8AZgBcAFwAdABpAG0AZQBzACAARABfAGYAKQBcAFwAdABpAG0AZQBzACAARQBGAF8AZgBcAFwAcgBpAGcAaAB0ACkAXABuAFcAXwBmACAAPQAgAHQAbwB0AGEAbAAgAG0AYQBzAHMAIABvAGYAIABnAG8AbwBkAHMAIAB0AHIAYQBuAHMAcABvAHIAdABlAGQAIABwAGUAcgAgAGYAcgBlAGkAZwBoAHQAIAB0AHkAcABlACAAZgBcAG4ARABfAGYAIAA9ACAAdABvAHQAYQBsACAAZABpAHMAdABhAG4AYwBlACAAdAByAGEAbgBzAHAAbwByAHQAZQBkACAAcABlAHIAIABmAHIAZQBpAGcAaAB0ACAAdAB5AHAAZQAgAGYAXABuAEUARgBfAGYAIAA9ACAAZQBtAGkAcwBzAGkAbwBuACAAZgBhAGMAdABvAHIAIABmAG8AcgAgAGYAcgBlAGkAZwBoAHQAIAB0AHkAcABlACAAZgBcAG4ALQAtAC0ALQAtAC0ALQAtAC0ALQAtAC0ALQAtAC0ALQAtAC0ALQAtAC0ALQAtAC0ALQAtAC0ALQAtAC0ALQAtAC0ALQAtAC0ALQAtAFwAbgAqAC8AXABuAFwAbgBWAEUARQBSAEcAXwAxADUAXwAxADQAXwAxAF8AMQBfAF8AMQBfAEUAbQBiAGUAZABkAGUAZABFAG0AaQBzAHMAaQBvAG4AcwBGAHIAbwBtAFUAcABzAHQAcgBlAGEAbQBGAHIAZQBpAGcAaAB0AFwAbgAgACAAPQBMAEEATQBCAEQAQQAoAFwAbgAgACAAIAAgAFcAXwBmACwAIABEAF8AZgAsACAARQBGAF8AZgAsAFwAbgAgACAAIAAgACgAVwBfAGYAIAAqACAARABfAGYAKQAgACoAIABFAEYAXwBmAFwAbgAgACAAKQA7AFwAbgBcAG4AVgBFAEUAUgBHAF8AMQA1AF8AMQA0AF8AMQBfADEAXwBfADEAXwBFAG0AYgBlAGQAZABlAGQARQBtAGkAcwBzAGkAbwBuAHMARgByAG8AbQBVAHAAcwB0AHIAZQBhAG0ARgByAGUAaQBnAGgAdABfAFQAaQB0AGwAZQBcAG4AIAAgAD0ATABBAE0AQgBEAEEAKABcACIARQBtAGIAZQBkAGQAZQBkACAAZQBtAGkAcwBzAGkAbwBuAHMAIABmAHIAbwBtACAAdQBwAHMAdAByAGUAYQBtACAAZgByAGUAaQBnAGgAdABcACIAKQA7AFwAbgBcAG4AVgBFAEUAUgBHAF8AMQA1AF8AMQA0AF8AMQBfADEAXwBfADEAXwBFAG0AYgBlAGQAZABlAGQARQBtAGkAcwBzAGkAbwBuAHMARgByAG8AbQBVAHAAcwB0AHIAZQBhAG0ARgByAGUAaQBnAGgAdABfAFYAYQByAGkAYQBiAGwAZQBcAG4AIAAgAD0ATABBAE0AQgBEAEEAKABcACIARQBcACIAKQA7AFwAbgBcAG4AVgBFAEUAUgBHAF8AMQA1AF8AMQA0AF8AMQBfADEAXwBfADEAXwBFAG0AYgBlAGQAZABlAGQARQBtAGkAcwBzAGkAbwBuAHMARgByAG8AbQBVAHAAcwB0AHIAZQBhAG0ARgByAGUAaQBnAGgAdABfAFUAbgBpAHQAXABuACAAIAA9AEwAQQBNAEIARABBACgAXAAiAHQAIABDAE8AMgBlAFwAIgApADsAXABuAFwAbgBWAEUARQBSAEcAXwAxADUAXwAxADQAXwAxAF8AMQBfAF8AMQBfAEUAbQBiAGUAZABkAGUAZABFAG0AaQBzAHMAaQBvAG4AcwBGAHIAbwBtAFUAcABzAHQAcgBlAGEAbQBGAHIAZQBpAGcAaAB0AF8AUwBvAHUAcgBjAGUAXABuACAAIAA9AEwAQQBNAEIARABBACgAXAAiAFYARQBFAFIARwAgADIAMAAyADYAOgAgADEANQAuADEANAAuADEALgAxACwAIABFAHEAdQBhAHQAaQBvAG4AIAAoADEAKQBcACIAKQA7AFwAbgBcAG4AVgBFAEUAUgBHAF8AMQA1AF8AMQA0AF8AMQBfADEAXwBfADEAXwBFAG0AYgBlAGQAZABlAGQARQBtAGkAcwBzAGkAbwBuAHMARgByAG8AbQBVAHAAcwB0AHIAZQBhAG0ARgByAGUAaQBnAGgAdABfAE4ASQBSAFIAZQBmAGUAcgBlAG4AYwBlAFwAbgAgACAAPQBMAEEATQBCAEQAQQAoAFwAIgBcACIAKQA7AFwAbgBcAG4AVgBFAEUAUgBHAF8AMQA1AF8AMQA0AF8AMQBfADEAXwBfADEAXwBFAG0AYgBlAGQAZABlAGQARQBtAGkAcwBzAGkAbwBuAHMARgByAG8AbQBVAHAAcwB0AHIAZQBhAG0ARgByAGUAaQBnAGgAdABfAEwAYQB0AGUAeABFAHEAdQBhAHQAaQBvAG4AXABuACAAIAA9AEwAQQBNAEIARABBACgAXAAiAEUAPQBcAFwAcwB1AG0AXABcAG4AbwBsAGkAbQBpAHQAcwBfAGYAXABcAGwAZQBmAHQAKAAoAFcAXwBmAFwAXAB0AGkAbQBlAHMAIABEAF8AZgApAFwAXAB0AGkAbQBlAHMAIABFAEYAXwBmAFwAXAByAGkAZwBoAHQAKQBcACIAKQA7AFwAbgBcAG4AVgBFAEUAUgBHAF8AMQA1AF8AMQA0AF8AMQBfADEAXwBfADEAXwBFAG0AYgBlAGQAZABlAGQARQBtAGkAcwBzAGkAbwBuAHMARgByAG8AbQBVAHAAcwB0AHIAZQBhAG0ARgByAGUAaQBnAGgAdABfAEEAcgBnAHUAbQBlAG4AdABzAFwAbgAgACAAPQBMAEEATQBCAEQAQQAoAFwAbgAgACAAIAAgAE0AQQBLAEUAQQBSAFIAQQBZACgANAAsACAANAAsAFwAbgAgACAAIAAgACAAIABMAEEATQBCAEQAQQAoAHIALABjACwAXABuACAAIAAgACAAIAAgACAAIABJAE4ARABFAFgAKAB7AFwAbgAgACAAIAAgACAAIAAgACAAIAAgAFwAIgBXAF8AZgBcACIALAAgAFwAIgB0AG8AdABhAGwAIABtAGEAcwBzACAAbwBmACAAZwBvAG8AZABzACAAdAByAGEAbgBzAHAAbwByAHQAZQBkACAAcABlAHIAIABmAHIAZQBpAGcAaAB0ACAAdAB5AHAAZQAgAGYAXAAiACwAIABcACIAdABcACIALAAgAFwAIgBJAG4AcAB1AHQAXAAiADsAXABuACAAIAAgACAAIAAgACAAIAAgACAAXAAiAEQAXwBmAFwAIgAsACAAXAAiAHQAbwB0AGEAbAAgAGQAaQBzAHQAYQBuAGMAZQAgAHQAcgBhAG4AcwBwAG8AcgB0AGUAZAAgAHAAZQByACAAZgByAGUAaQBnAGgAdAAgAHQAeQBwAGUAIABmAFwAIgAsACAAXAAiAGsAbQBcACIALAAgAFwAIgBJAG4AcAB1AHQAXAAiADsAXABuACAAIAAgACAAIAAgACAAIAAgACAAXAAiAEUARgBfAGYAXAAiACwAIABcACIAZQBtAGkAcwBzAGkAbwBuACAAZgBhAGMAdABvAHIAIABmAG8AcgAgAGYAcgBlAGkAZwBoAHQAIAB0AHkAcABlACAAZgBcACIALAAgAFwAIgB0ACAAQwBPADIAZQAvACgAdAAgAGsAbQApAFwAIgAsACAAXAAiAEMAbwBuAHMAdABhAG4AdABcACIAOwBcAG4AIAAgACAAIAAgACAAIAAgACAAIABcACIAZgBcACIALAAgAFwAIgBmAHIAZQBpAGcAaAB0ACAAdAB5AHAAZQBcACIALAAgAFwAIgBcACIALAAgAFwAIgBJAG4AcAB1AHQAXAAiAFwAbgAgACAAIAAgACAAIAAgACAAfQAsACAAcgAsACAAYwApAFwAbgAgACAAIAAgACAAIAApAFwAbgAgACAAIAAgACkAXABuACAAIAApADsAXABu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TwByAGcAYQBuAGkAYwBOADIATw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IAIABP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gBfADEAXwAxAF8AXwAxAF8ATwByAGcAYQBuAGkAYwBGAGUAcgB0AGkAbABpAHMAZQByAEEAcABwAGwAaQBjAGEAdABpAG8AbgBOADIATwBFAG0AaQBzAHMAaQBvAG4AcwBcAG4ATgBpAHQAcgBvAHUAcwAgAG8AeABpAGQAZQAgAGUAbQBpAHMAcwBpAG8AbgBzACAAZgByAG8AbQAgAHQAaABlACAAYQBwAHAAbABpAGMAYQB0AGkAbwBuACAAbwBmACAAYQBsAGwAIABvAHIAZwBhAG4AaQBjACAAZgBlAHIAdABpAGwAaQBzAGUAcgAgAHQAeQBwAGUAcwAgAGYAIAB0AG8AIABhAGwAbAAgAHAAcgBvAGQAdQBjAHQAaQBvAG4AIABzAHkAcwB0AGUAbQBzACAAagBcAG4ARQBfAE4AMgBPAFwAbgB0ACAATgAyAE8AXABuAEUAXwB7AE4AMgBPAH0APQBcAFwAcwB1AG0AXwB7AGoAfQBcAFwAcwB1AG0AXwB7AGYAfQAoACgATQBOAFMAbwBpAGwAXwB7AGoAZgB9AFwAXAB0AGkAbQBlAHMAIABFAEYAXwB7AE4AMgBPACwAaQB9AFwAXAB0AGkAbQBlAHMAIABDAF8AewBOADIATwB9ACkAXABcAHQAaQBtAGUAcwAgADEAMABeAHsALQAzAH0AKQBcAG4ATQBOAFMAbwBpAGwAXwBqAGYAXABuAEUARgBfAE4AMgBPAGkAXABuAEMAXwBOADIATwBcAG4AagBcAG4AaQBcAG4AZgBcAG4ALQAtAC0ALQAtAC0ALQAtAC0ALQAtAC0ALQAtAC0ALQAtAC0ALQAtAC0ALQAtAC0ALQAtAC0ALQAtAC0ALQAtAC0ALQAtAC0ALQAtAFwAbgAqAC8AXABuAFwAbgBWAEUARQBSAEcAXwA1AF8AMgBfADEAXwAxAF8AXwAxAF8ATwByAGcAYQBuAGkAYwBGAGUAcgB0AGkAbABpAHMAZQByAEEAcABwAGwAaQBjAGEAdABpAG8AbgBOADIATwBFAG0AaQBzAHMAaQBvAG4AcwBcAG4AIAAgAD0ATABBAE0AQgBEAEEAKABcAG4AIAAgACAAIABNAE4AUwBvAGkAbABfAGoAZgAsACAARQBGAF8ATgAyAE8AaQAsACAAQwBfAE4AMgBPACwAXABuACAAIAAgACAAKABNAE4AUwBvAGkAbABfAGoAZgAgACoAIABFAEYAXwBOADIATwBpACAAKgAgAEMAXwBOADIATwApACAAKgAgADEAMAAgAF4AIAAtADMAXABuACAAIAApADsAXABuAFwAbgBWAEUARQBSAEcAXwA1AF8AMgBfADEAXwAxAF8AXwAxAF8AT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vAHIAZwBhAG4AaQBjACAAZgBlAHIAdABpAGwAaQBzAGUAcgAgAHQAeQBwAGUAcwAgAGYAIAB0AG8AIABhAGwAbAAgAHAAcgBvAGQAdQBjAHQAaQBvAG4AIABzAHkAcwB0AGUAbQBzACAAagBcACIAKQA7AFwAbgBcAG4AVgBFAEUAUgBHAF8ANQBfADIAXwAxAF8AMQBfAF8AMQBfAE8AcgBnAGEAbgBpAGMARgBlAHIAdABpAGwAaQBzAGUAcgBBAHAAcABsAGkAYwBhAHQAaQBvAG4ATgAyAE8ARQBtAGkAcwBzAGkAbwBuAHMAXwBWAGEAcgBpAGEAYgBsAGUAXABuACAAIAA9AEwAQQBNAEIARABBACgAXAAiAEUAXwBOADIATwBcACIAKQA7AFwAbgBcAG4AVgBFAEUAUgBHAF8ANQBfADIAXwAxAF8AMQBfAF8AMQBfAE8AcgBnAGEAbgBpAGMARgBlAHIAdABpAGwAaQBzAGUAcgBBAHAAcABsAGkAYwBhAHQAaQBvAG4ATgAyAE8ARQBtAGkAcwBzAGkAbwBuAHMAXwBVAG4AaQB0AFwAbgAgACAAPQBMAEEATQBCAEQAQQAoAFwAIgB0ACAATgAyAE8AXAAiACkAOwBcAG4AXABuAFYARQBFAFIARwBfADUAXwAyAF8AMQBfADEAXwBfADEAXwBPAHIAZwBhAG4AaQBjAEYAZQByAHQAaQBsAGkAcwBlAHIAQQBwAHAAbABpAGMAYQB0AGkAbwBuAE4AMgBPAEUAbQBpAHMAcwBpAG8AbgBzAF8AUwBvAHUAcgBjAGUAXABuACAAIAA9AEwAQQBNAEIARABBACgAXAAiAFYARQBFAFIARwAgADIAMAAyADYAOgAgADUALgAyAC4AMQAuADEALAAgAEUAcQB1AGEAdABpAG8AbgAgACgAMQApAFwAIgApADsAXABuAFwAbgBWAEUARQBSAEcAXwA1AF8AMgBfADEAXwAxAF8AXwAxAF8ATwByAGcAYQBuAGkAYwBGAGUAcgB0AGkAbABpAHMAZQByAEEAcABwAGwAaQBjAGEAdABpAG8AbgBOADIATwBFAG0AaQBzAHMAaQBvAG4AcwBfAE4ASQBSAFIAZQBmAGUAcgBlAG4AYwBlAFwAbgAgACAAPQBMAEEATQBCAEQAQQAoAFwAIgBcACIAKQA7AFwAbgBcAG4AVgBFAEUAUgBHAF8ANQBfADIAXwAxAF8AMQBfAF8AMQBfAE8AcgBnAGEAbgBpAGMARgBlAHIAdABpAGwAaQBzAGUAcgBBAHAAcABsAGkAYwBhAHQAaQBvAG4ATgAyAE8ARQBtAGkAcwBzAGkAbwBuAHMAXwBMAGEAdABlAHgARQBxAHUAYQB0AGkAbwBuAFwAbgAgACAAPQBMAEEATQBCAEQAQQAoAFwAIgBFAF8AewBOADIATwB9AD0AXABcAHMAdQBtAF8AewBqAH0AXABcAHMAdQBtAF8AewBmAH0AKAAoAE0ATgBTAG8AaQBsAF8AewBqAGYAfQBcAFwAdABpAG0AZQBzACAARQBGAF8AewBOADIATwAsAGkAfQBcAFwAdABpAG0AZQBzACAAQwBfAHsATgAyAE8AfQApAFwAXAB0AGkAbQBlAHMAIAAxADAAXgB7AC0AMwB9ACkAXAAiACkAOwBcAG4AXABuAFYARQBFAFIARwBfADUAXwAyAF8AMQBfADEAXwBfADEAXwBPAHIAZwBhAG4AaQBjAEYAZQByAHQAaQBsAGkAcwBlAHIAQQBwAHAAbABpAGMAYQB0AGkAbwBuAE4AMgBP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FAEYAXwBOADIATwBpAFwAIgAsAFwAIgBlAG0AaQBzAHMAaQBvAG4AIABmAGEAYwB0AG8AcgAgAGYAbwByACAAZABpAHIAZQBjAHQAIABuAGkAdAByAG8AdQBzACAAbwB4AGkAZABlACAAZQBtAGkAcwBzAGkAbwBuAHMAIABmAHIAbwBtACAAbwByAGcAYQBuAGkAYwAgAGYAZQByAHQAaQBsAGkAcwBlAHIAIABhAHAAcABsAGkAZQBkACAAdABvACAAcwBvAGkAbABzACAAYQBuAGQAIABhAHEAdQBhAHQAaQBjACAAcwB5AHMAdABlAG0AcwAgAGkAbgAgAGMAbABpAG0AYQB0AGUAIAB6AG8AbgBlACAAaQBcACIALAAgAFwAIgBrAGcAIABOADIATwAtAE4ALwBrAGcAIABOAFwAIgAsACAAXAAiAEwAbwBvAGsAdQBw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IAXwAxAF8AMQBfAF8AMgBfAE0AYQBzAHMATwBmAE4AaQB0AHIAbwBnAGUAbgBJAG4ATwByAGcAYQBuAGkAYwBGAGUAcgB0AGkAbABpAHMAZQByAFwAbgBNAGEAcwBzACAAbwBmACAAbgBpAHQAcgBvAGcAZQBuACAAaQBuACAAcAB1AHIAYwBoAGEAcwBlAGQAIABvAHIAZwBhAG4AaQBjACAAZgBlAHIAdABpAGwAaQBzAGUAcgBzACAAYQBwAHAAbABpAGUAZAAgAHQAbwAgAHAAcgBvAGQAdQBjAHQAaQBvAG4AIABzAHkAcwB0AGUAbQBcAG4ATQBOAFMAbwBpAGwAXwBqAGYAXABuAGsAZwAgAE4AXABuAE0ATgBTAG8AaQBsAF8AewBqAGYAfQA9AE0AXwB7AG8AcgBnAGEAbgBpAGMALABqAGYAfQBcAFwAdABpAG0AZQBzACAARgBOAF8AewBvAHIAZwBhAG4AaQBjACwAZgB9AFwAbgBNAF8AbwByAGcAYQBuAGkAYwBqAGYAXABuAEYATgBfAG8AcgBnAGEAbgBpAGMAZgBcAG4AagBcAG4AZgBcAG4ALQAtAC0ALQAtAC0ALQAtAC0ALQAtAC0ALQAtAC0ALQAtAC0ALQAtAC0ALQAtAC0ALQAtAC0ALQAtAC0ALQAtAC0ALQAtAC0ALQAtAFwAbgAqAC8AXABuAFwAbgBWAEUARQBSAEcAXwA1AF8AMgBfADEAXwAxAF8AXwAyAF8ATQBhAHMAcwBPAGYATgBpAHQAcgBvAGcAZQBuAEkAbgBPAHIAZwBhAG4AaQBjAEYAZQByAHQAaQBsAGkAcwBlAHIAXABuACAAIAA9AEwAQQBNAEIARABBACgAXABuACAAIAAgACAATQBfAG8AcgBnAGEAbgBpAGMAagBmACwAIABGAE4AXwBvAHIAZwBhAG4AaQBjAGYALABcAG4AIAAgACAAIABNAF8AbwByAGcAYQBuAGkAYwBqAGYAIAAqACAARgBOAF8AbwByAGcAYQBuAGkAYwBmAFwAbgAgACAAKQA7AFwAbgBcAG4AVgBFAEUAUgBHAF8ANQBfADIAXwAxAF8AMQBfAF8AMgBfAE0AYQBzAHMATwBmAE4AaQB0AHIAbwBnAGUAbgBJAG4ATwByAGcAYQBuAGkAYwBGAGUAcgB0AGkAbABpAHMAZQByAF8AVABpAHQAbABlAFwAbgAgACAAPQBMAEEATQBCAEQAQQAoAFwAIgBNAGEAcwBzACAAbwBmACAAbgBpAHQAcgBvAGcAZQBuACAAaQBuACAAcAB1AHIAYwBoAGEAcwBlAGQAIABvAHIAZwBhAG4AaQBjACAAZgBlAHIAdABpAGwAaQBzAGUAcgBzACAAYQBwAHAAbABpAGUAZAAgAHQAbwAgAHAAcgBvAGQAdQBjAHQAaQBvAG4AIABzAHkAcwB0AGUAbQBcACIAKQA7AFwAbgBcAG4AVgBFAEUAUgBHAF8ANQBfADIAXwAxAF8AMQBfAF8AMgBfAE0AYQBzAHMATwBmAE4AaQB0AHIAbwBnAGUAbgBJAG4ATwByAGcAYQBuAGkAYwBGAGUAcgB0AGkAbABpAHMAZQByAF8AVgBhAHIAaQBhAGIAbABlAFwAbgAgACAAPQBMAEEATQBCAEQAQQAoAFwAIgBNAE4AUwBvAGkAbABfAGoAZgBcACIAKQA7AFwAbgBcAG4AVgBFAEUAUgBHAF8ANQBfADIAXwAxAF8AMQBfAF8AMgBfAE0AYQBzAHMATwBmAE4AaQB0AHIAbwBnAGUAbgBJAG4ATwByAGcAYQBuAGkAYwBGAGUAcgB0AGkAbABpAHMAZQByAF8AVQBuAGkAdABcAG4AIAAgAD0ATABBAE0AQgBEAEEAKABcACIAawBnACAATgBcACIAKQA7AFwAbgBcAG4AVgBFAEUAUgBHAF8ANQBfADIAXwAxAF8AMQBfAF8AMgBfAE0AYQBzAHMATwBmAE4AaQB0AHIAbwBnAGUAbgBJAG4ATwByAGcAYQBuAGkAYwBGAGUAcgB0AGkAbABpAHMAZQByAF8AUwBvAHUAcgBjAGUAXABuACAAIAA9AEwAQQBNAEIARABBACgAXAAiAFYARQBFAFIARwAgADIAMAAyADYAOgAgADUALgAyAC4AMQAuADEALAAgAEUAcQB1AGEAdABpAG8AbgAgACgAMgApAFwAIgApADsAXABuAFwAbgBWAEUARQBSAEcAXwA1AF8AMgBfADEAXwAxAF8AXwAyAF8ATQBhAHMAcwBPAGYATgBpAHQAcgBvAGcAZQBuAEkAbgBPAHIAZwBhAG4AaQBjAEYAZQByAHQAaQBsAGkAcwBlAHIAXwBOAEkAUgBSAGUAZgBlAHIAZQBuAGMAZQBcAG4AIAAgAD0ATABBAE0AQgBEAEEAKABcACIAXAAiACkAOwBcAG4AXABuAFYARQBFAFIARwBfADUAXwAyAF8AMQBfADEAXwBfADIAXwBNAGEAcwBzAE8AZgBOAGkAdAByAG8AZwBlAG4ASQBuAE8AcgBnAGEAbgBpAGMARgBlAHIAdABpAGwAaQBzAGUAcgBfAEwAYQB0AGUAeABFAHEAdQBhAHQAaQBvAG4AXABuACAAIAA9AEwAQQBNAEIARABBACgAXAAiAE0ATgBTAG8AaQBsAF8AewBqAGYAfQA9AE0AXwB7AG8AcgBnAGEAbgBpAGMALABqAGYAfQBcAFwAdABpAG0AZQBzACAARgBOAF8AewBvAHIAZwBhAG4AaQBjACwAZgB9AFwAIgApADsAXABuAFwAbgBWAEUARQBSAEcAXwA1AF8AMgBfADEAXwAxAF8AXwAyAF8ATQBhAHMAcwBPAGYATgBpAHQAcgBvAGcAZQBuAEkAbgBPAHIAZwBhAG4AaQBjAEYAZQByAHQAaQBsAGkAcwBlAHIAXwBBAHIAZwB1AG0AZQBuAHQAcwBcAG4AIAAgAD0ATABBAE0AQgBEAEEAKABcAG4AIAAgACAAIABNAEEASwBFAEEAUgBSAEEAWQAoADMALAAgADQALAAgAFwAbgAgACAAIAAgACAAIABMAEEATQBCAEQAQQAoAHIALABjACwAIABcAG4AIAAgACAAIAAgACAAIAAgAEkATgBEAEUAWAAoAHsAXABuACAAIAAgACAAIAAgACAAIAAgACAAXAAiAE0AXwBvAHIAZwBhAG4AaQBjAGoAZgBcACIALABcACIAbQBhAHMAcwAgAG8AZgAgAG8AcgBnAGEAbgBpAGMAIABmAGUAcgB0AGkAbABpAHMAZQByACAAdAB5AHAAZQAgAGYAIABhAHAAcABsAGkAZQBkACAAdABvACAAcAByAG8AZAB1AGMAdABpAG8AbgAgAHMAeQBzAHQAZQBtACAAagBcACIALAAgAFwAIgBrAGcAXAAiACwAIABcACIASQBuAHAAdQB0AFwAIgA7AFwAbgAgACAAIAAgACAAIAAgACAAIAAgAFwAIgBGAE4AXwBvAHIAZwBhAG4AaQBjAGYAXAAiACwAXAAiAG4AaQB0AHIAbwBnAGUAbgAgAGYAcgBhAGMAdABpAG8AbgAgAG8AZgAgAG8AcgBnAGEAbgBpAGMAIABmAGUAcgB0AGkAbABpAHMAZQByACAAdAB5AHAAZQAgAGYAXAAiACwAIABcACIAawBnACAATgAvAGsAZwBcACIALAAgAFwAIgBJAG4AcAB1AHQAXAAiADsAXABuACAAIAAgACAAIAAgACAAIAAgACAAXAAiAGYAXAAiACwAXAAiAE8AcgBnAGEAbgBpAGMAIABmAGUAcgB0AGkAbABpAHMAZQByACAAdAB5AHAAZQBcACIALAAgAFwAIgBcACIALAAgAFwAIgBJAG4AcAB1AHQAXAAiAFwAbgAgACAAIAAgACAAIAAgACAAfQAsACAAcgAsACAAYwApAFwAbgAgACAAIAAgACAAIAApAFwAbgAgACAAIAAgACkAXABuACAAIAApADsAXABuACIAfQAsAHsAIgBwAGEAdABoACIAOgAiAC8AcAByAG8AagBlAGMAdABzAC8ARgBlAHIAdABpAGwAaQBzAGUAcgBfAEUAcQB1AGEAdABpAG8AbgBzAF8AQQB0AG0AbwBzAHAAaABlAHIAaQBjAEQAZQBwAG8AcwBpAHQAaQBvAG4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0ACAASQBuAG8AcgBnAGEAbgBpAGMAIABmAGUAcgB0AGkAbABpAHMAZQByACAAYQB0AG0AbwBzAHAAaABlAHIAaQBjACAAZABlAHAAbwBzAGk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NABfADEAXwAxAF8AXwAxAF8ASQBuAG8AcgBnAGEAbgBpAGMARgBlAHIAdABpAGwAaQBzAGUAcgBBAHQAbQBvAHMAcABoAGUAcgBpAGMARABlAHAAbwBzAGkAdABpAG8AbgBOADIATwBFAG0AaQBzAHMAaQBvAG4AcwBcAG4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G4ARQBfAGEAZABpAG4AbwByAGcAYQBuAGkAYwBcAG4AdAAgAE4AMgBPAFwAbgBFAF8AewBhAGQALABpAG4AbwByAGcAYQBuAGkAYwB9AD0AXABcAHMAdQBtAF8AewBqAH0AXABcAHMAdQBtAF8AewBmAH0AKAAoAE0AXwB7AHYAbwBsACwAaQBuAG8AcgBnAGEAbgBpAGMALABqAGYAfQBcAFwAdABpAG0AZQBzACAARQBGAF8AewBOADIATwAsAGoAfQApAFwAXAB0AGkAbQBlAHMAIABDAF8AewBOADIATwB9AFwAXAB0AGkAbQBlAHMAIAAxADAAXgB7AC0AMwB9ACkAXABuAE0AXwB2AG8AbABpAG4AbwByAGcAYQBuAGkAYwBqAGYAXABuAEUARgBfAE4AMgBPAGoAXABuAEMAXwBOADIATwBcAG4AagBcAG4AZgBcAG4ALQAtAC0ALQAtAC0ALQAtAC0ALQAtAC0ALQAtAC0ALQAtAC0ALQAtAC0ALQAtAC0ALQAtAC0ALQAtAC0ALQAtAC0ALQAtAC0ALQAtAFwAbgAqAC8AXABuAFwAbgBWAEUARQBSAEcAXwA1AF8ANABfADEAXwAxAF8AXwAxAF8ASQBuAG8AcgBnAGEAbgBpAGMARgBlAHIAdABpAGwAaQBzAGUAcgBBAHQAbQBvAHMAcABoAGUAcgBpAGMARABlAHAAbwBzAGkAdABpAG8AbgBOADIATwBFAG0AaQBzAHMAaQBvAG4AcwBcAG4AIAAgAD0ATABBAE0AQgBEAEEAKABcAG4AIAAgACAAIABNAF8AdgBvAGwAaQBuAG8AcgBnAGEAbgBpAGMAagBmACwAIABFAEYAXwBOADIATwBqACwAIABDAF8ATgAyAE8ALABcAG4AIAAgACAAIAAoAE0AXwB2AG8AbABpAG4AbwByAGcAYQBuAGkAYwBqAGYAIAAqACAARQBGAF8ATgAyAE8AagApACAAKgAgAEMAXwBOADIATwAgACoAIAAxADAAIABeACAALQAzAFwAbgAgACAAKQA7AFwAbgBcAG4AVgBFAEUAUgBHAF8ANQBfADQAXwAxAF8AMQBfAF8AMQBfAEkAbgBv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AiACkAOwBcAG4AXABuAFYARQBFAFIARwBfADUAXwA0AF8AMQBfADEAXwBfADEAXwBJAG4AbwByAGcAYQBuAGkAYwBGAGUAcgB0AGkAbABpAHMAZQByAEEAdABtAG8AcwBwAGgAZQByAGkAYwBEAGUAcABvAHMAaQB0AGkAbwBuAE4AMgBPAEUAbQBpAHMAcwBpAG8AbgBzAF8AVgBhAHIAaQBhAGIAbABlAFwAbgAgACAAPQBMAEEATQBCAEQAQQAoAFwAIgBFAF8AYQBkAGkAbgBvAHIAZwBhAG4AaQBjAFwAIgApADsAXABuAFwAbgBWAEUARQBSAEcAXwA1AF8ANABfADEAXwAxAF8AXwAxAF8ASQBuAG8AcgBnAGEAbgBpAGMARgBlAHIAdABpAGwAaQBzAGUAcgBBAHQAbQBvAHMAcABoAGUAcgBpAGMARABlAHAAbwBzAGkAdABpAG8AbgBOADIATwBFAG0AaQBzAHMAaQBvAG4AcwBfAFUAbgBpAHQAXABuACAAIAA9AEwAQQBNAEIARABBACgAXAAiAHQAIABOADIATwBcACIAKQA7AFwAbgBcAG4AVgBFAEUAUgBHAF8ANQBfADQAXwAxAF8AMQBfAF8AMQBfAEkAbgBvAHIAZwBhAG4AaQBjAEYAZQByAHQAaQBsAGkAcwBlAHIAQQB0AG0AbwBzAHAAaABlAHIAaQBjAEQAZQBwAG8AcwBpAHQAaQBvAG4ATgAyAE8ARQBtAGkAcwBzAGkAbwBuAHMAXwBTAG8AdQByAGMAZQBcAG4AIAAgAD0ATABBAE0AQgBEAEEAKABcACIAVgBFAEUAUgBHACAAMgAwADIANgA6ACAANQAuADQALgAxAC4AMQAsACAARQBxAHUAYQB0AGkAbwBuACAAKAAxACkAXAAiACkAOwBcAG4AXABuAFYARQBFAFIARwBfADUAXwA0AF8AMQBfADEAXwBfADEAXwBJAG4AbwByAGcAYQBuAGkAYwBGAGUAcgB0AGkAbABpAHMAZQByAEEAdABtAG8AcwBwAGgAZQByAGkAYwBEAGUAcABvAHMAaQB0AGkAbwBuAE4AMgBPAEUAbQBpAHMAcwBpAG8AbgBzAF8ATgBJAFIAUgBlAGYAZQByAGUAbgBjAGUAXABuACAAIAA9AEwAQQBNAEIARABBACgAXAAiAFwAIgApADsAXABuAFwAbgBWAEUARQBSAEcAXwA1AF8ANABfADEAXwAxAF8AXwAxAF8ASQBuAG8AcgBnAGEAbgBpAGMARgBlAHIAdABpAGwAaQBzAGUAcgBBAHQAbQBvAHMAcABoAGUAcgBpAGMARABlAHAAbwBzAGkAdABpAG8AbgBOADIATwBFAG0AaQBzAHMAaQBvAG4AcwBfAEwAYQB0AGUAeABFAHEAdQBhAHQAaQBvAG4AXABuACAAIAA9AEwAQQBNAEIARABBACgAXAAiAEUAXwB7AGEAZAAsAGkAbgBvAHIAZwBhAG4AaQBjAH0APQBcAFwAcwB1AG0AXABcAG4AbwBsAGkAbQBpAHQAcwBfAHsAagB9AFwAXABzAHUAbQBcAFwAbgBvAGwAaQBtAGkAdABzAF8AewBmAH0AKAAoAE0AXwB7AHYAbwBsACwAaQBuAG8AcgBnAGEAbgBpAGMALABqAGYAfQBcAFwAdABpAG0AZQBzACAARQBGAF8AewBOADIATwAsAGoAfQApAFwAXAB0AGkAbQBlAHMAIABDAF8AewBOADIATwB9AFwAXAB0AGkAbQBlAHMAIAAxADAAXgB7AC0AMwB9ACkAXAAiACkAOwBcAG4AXABuAFYARQBFAFIARwBfADUAXwA0AF8AMQBfADEAXwBfADEAXwBJAG4AbwByAGcAYQBuAGkAYwBGAGUAcgB0AGkAbABpAHMAZQByAEEAdABtAG8AcwBwAGgAZQByAGkAYwBEAGUAcABvAHMAaQB0AGkAbwBuAE4AMgBPAEUAbQBpAHMAcwBpAG8AbgBzAF8AQQByAGcAdQBtAGUAbgB0AHMAXABuACAAIAA9AEwAQQBNAEIARABBACgAXABuACAAIAAgACAATQBBAEsARQBBAFIAUgBBAFkAKAA2ACwAIAA0ACwAIABcAG4AIAAgACAAIAAgACAATABBAE0AQgBEAEEAKAByACwAYwAsACAAXABuACAAIAAgACAAIAAgACAAIABJAE4ARABFAFgAKAB7AFwAbgAgACAAIAAgACAAIAAgACAAIAAgAFwAIgBNAF8AdgBvAGwAaQBuAG8AcgBnAGEAbgBpAGMAagBmAFwAIgAsAFwAIgBtAGEAcwBzACAAbwBmACAAbgBpAHQAcgBvAGcAZQBuACAAdgBvAGwAYQB0AGkAbABpAHMAZQBkACAAZgByAG8AbQAgAGkAbgBvAHIAZwBhAG4AaQBjACAAZgBlAHIAdABpAGwAaQBzAGUAcgAgAGEAcABwAGwAaQBlAGQAIAB0AG8AIABwAHIAbwBkAHUAYwB0AGkAbwBuACAAcwB5AHMAdABlAG0AXAAiACwAIABcACIAawBnACAATgBcACIALAAgAFwAIgBDAGEAbABjAHUAbABhAHQAZQBkACAAZgByAG8AbQAgADUALgA0AC4AMQAuADEAIAAoADIAKQBcACIAOwBcAG4AIAAgACAAIAAgACAAIAAgACAAIABcACIARQBGAF8ATgAyAE8AagBcACIALABcACI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QBfAF8AMgBfAE0AYQBzAHMATwBmAE4AaQB0AHIAbwBnAGUAbgBWAG8AbABhAHQAaQBsAGkAcwBlAGQARgByAG8AbQBJAG4AbwByAGcAYQBuAGkAYwBGAGUAcgB0AGkAbABpAHMAZQByAFwAbgBNAGEAcwBzACAAbwBmACAAbgBpAHQAcgBvAGcAZQBuACAAdgBvAGwAYQB0AGkAbABpAHMAZQBkACAAZgByAG8AbQAgAGkAbgBvAHIAZwBhAG4AaQBjACAAZgBlAHIAdABpAGwAaQBzAGUAcgAgAGEAcABwAGwAaQBlAGQAIAB0AG8AIABwAHIAbwBkAHUAYwB0AGkAbwBuACAAcwB5AHMAdABlAG0AXABuAE0AXwB2AG8AbABpAG4AbwByAGcAYQBuAGkAYwBqAGYAXABuAGsAZwAgAE4AXABuAE0AXwB7AHYAbwBsACwAaQBuAG8AcgBnAGEAbgBpAGMALABqAGYAfQA9AHsATQBOAH0AXwB7AGoAZgB9AFwAXAB0AGkAbQBlAHMAIABGAHIAYQBjAEcAQQBTAEYAXwB7AGYAfQBcAG4ATQBOAF8AagBmAFwAbgBGAHIAYQBjAEcAQQBTAEYAXwBmAFwAbgBqAFwAbgBmAFwAbgAtAC0ALQAtAC0ALQAtAC0ALQAtAC0ALQAtAC0ALQAtAC0ALQAtAC0ALQAtAC0ALQAtAC0ALQAtAC0ALQAtAC0ALQAtAC0ALQAtAC0AXABuACoALwBcAG4AXABuAFYARQBFAFIARwBfADUAXwA0AF8AMQBfADEAXwBfADIAXwBNAGEAcwBzAE8AZgBOAGkAdAByAG8AZwBlAG4AVgBvAGwAYQB0AGkAbABpAHMAZQBkAEYAcgBvAG0ASQBuAG8AcgBnAGEAbgBpAGMARgBlAHIAdABpAGwAaQBzAGUAcgBcAG4AIAAgAD0ATABBAE0AQgBEAEEAKABcAG4AIAAgACAAIABNAE4AXwBqAGYALAAgAEYAcgBhAGMARwBBAFMARgBfAGYALABcAG4AIAAgACAAIABNAE4AXwBqAGYAIAAqACAARgByAGEAYwBHAEEAUwBGAF8AZgBcAG4AIAAgACkAOwBcAG4AXABuAFYARQBFAFIARwBfADUAXwA0AF8AMQBfADEAXwBfADIAXwBNAGEAcwBzAE8AZgBOAGkAdAByAG8AZwBlAG4AVgBvAGwAYQB0AGkAbABpAHMAZQBkAEYAcgBvAG0ASQBuAG8AcgBnAGEAbgBpAGMARgBlAHIAdABpAGwAaQBzAGUAcgBfAFQAaQB0AGwAZQBcAG4AIAAgAD0ATABBAE0AQgBEAEEAKABcACIATQBhAHMAcwAgAG8AZgAgAG4AaQB0AHIAbwBnAGUAbgAgAHYAbwBsAGEAdABpAGwAaQBzAGUAZAAgAGYAcgBvAG0AIABpAG4AbwByAGcAYQBuAGkAYwAgAGYAZQByAHQAaQBsAGkAcwBlAHIAIABhAHAAcABsAGkAZQBkACAAdABvACAAcAByAG8AZAB1AGMAdABpAG8AbgAgAHMAeQBzAHQAZQBtAFwAIgApADsAXABuAFwAbgBWAEUARQBSAEcAXwA1AF8ANABfADEAXwAxAF8AXwAyAF8ATQBhAHMAcwBPAGYATgBpAHQAcgBvAGcAZQBuAFYAbwBsAGEAdABpAGwAaQBzAGUAZABGAHIAbwBtAEkAbgBvAHIAZwBhAG4AaQBjAEYAZQByAHQAaQBsAGkAcwBlAHIAXwBWAGEAcgBpAGEAYgBsAGUAXABuACAAIAA9AEwAQQBNAEIARABBACgAXAAiAE0AXwB2AG8AbABpAG4AbwByAGcAYQBuAGkAYwBqAGYAXAAiACkAOwBcAG4AXABuAFYARQBFAFIARwBfADUAXwA0AF8AMQBfADEAXwBfADIAXwBNAGEAcwBzAE8AZgBOAGkAdAByAG8AZwBlAG4AVgBvAGwAYQB0AGkAbABpAHMAZQBkAEYAcgBvAG0ASQBuAG8AcgBnAGEAbgBpAGMARgBlAHIAdABpAGwAaQBzAGUAcgBfAFUAbgBpAHQAXABuACAAIAA9AEwAQQBNAEIARABBACgAXAAiAGsAZwAgAE4AXAAiACkAOwBcAG4AXABuAFYARQBFAFIARwBfADUAXwA0AF8AMQBfADEAXwBfADIAXwBNAGEAcwBzAE8AZgBOAGkAdAByAG8AZwBlAG4AVgBvAGwAYQB0AGkAbABpAHMAZQBkAEYAcgBvAG0ASQBuAG8AcgBnAGEAbgBpAGMARgBlAHIAdABpAGwAaQBzAGUAcgBfAFMAbwB1AHIAYwBlAFwAbgAgACAAPQBMAEEATQBCAEQAQQAoAFwAIgBWAEUARQBSAEcAIAAyADAAMgA2ADoAIAA1AC4ANAAuADEALgAxACwAIABFAHEAdQBhAHQAaQBvAG4AIAAoADIAKQBcACIAKQA7AFwAbgBcAG4AVgBFAEUAUgBHAF8ANQBfADQAXwAxAF8AMQBfAF8AMgBfAE0AYQBzAHMATwBmAE4AaQB0AHIAbwBnAGUAbgBWAG8AbABhAHQAaQBsAGkAcwBlAGQARgByAG8AbQBJAG4AbwByAGcAYQBuAGkAYwBGAGUAcgB0AGkAbABpAHMAZQByAF8ATgBJAFIAUgBlAGYAZQByAGUAbgBjAGUAXABuACAAIAA9AEwAQQBNAEIARABBACgAXAAiAFwAIgApADsAXABuAFwAbgBWAEUARQBSAEcAXwA1AF8ANABfADEAXwAxAF8AXwAyAF8ATQBhAHMAcwBPAGYATgBpAHQAcgBvAGcAZQBuAFYAbwBsAGEAdABpAGwAaQBzAGUAZABGAHIAbwBtAEkAbgBvAHIAZwBhAG4AaQBjAEYAZQByAHQAaQBsAGkAcwBlAHIAXwBMAGEAdABlAHgARQBxAHUAYQB0AGkAbwBuAFwAbgAgACAAPQBMAEEATQBCAEQAQQAoAFwAIgBNAF8AewB2AG8AbAAsAGkAbgBvAHIAZwBhAG4AaQBjACwAagBmAH0APQB7AE0ATgB9AF8AewBqAGYAfQBcAFwAdABpAG0AZQBzACAARgByAGEAYwBHAEEAUwBGAF8AewBmAH0AXAAiACkAOwBcAG4AXABuAFYARQBFAFIARwBfADUAXwA0AF8AMQBfADEAXwBfADIAXwBNAGEAcwBzAE8AZgBOAGkAdAByAG8AZwBlAG4AVgBvAGwAYQB0AGkAbABpAHMAZQBkAEYAcgBvAG0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YQBwAHAAbABpAGUAZABcACIALAAgAFwAIgBrAGcAIABOAFwAIgAsACAAXAAiAEMAYQBsAGMAdQBsAGEAdABlAGQAIABmAHIAbwBtACAANQAuADEALgAxAC4AMQAgACgAMgApAFwAIgA7AFwAbgAgACAAIAAgACAAIAAgACAAIAAgAFwAIgBGAHIAYQBjAEcAQQBTAEYAXwBmAFwAIgAsAFwAIgBmAHIAYQBjAHQAaQBvAG4AIABvAGYAIABpAG4AbwByAGcAYQBuAGkAYwAgAGYAZQByAHQAaQBsAGkAcwBlAHIAIAB0AGgAYQB0ACAAdgBvAGwAYQB0AGkAbABpAHMAZQBzAFwAIgAsACAAXAAiACgAawBnACAATgBIADMALQBOACAAKwAgAE4ATwB4AC0ATgApAC8AawBnACAATgBcACIALAAgAFwAIgBDAG8AbgBzAHQAYQBuAHQAXAAiAFwAbgAgACAAIAAgACAAIAAgACAAfQAsACAAcgAsACAAYwApAFwAbgAgACAAIAAgACAAIAApAFwAbgAgACAAIAAgACkAXABuACAAIAApADsAXABuAFwAbgBcAG4ALwAqACAAXABuAC0ALQAtAC0ALQAtAC0ALQAtAC0ALQAtAC0ALQAtAC0ALQAtAC0ALQAtAC0ALQAtAC0ALQAtAC0ALQAtAC0ALQAtAC0ALQAtAC0ALQBcAG4AVgBFAEUAUgBHAF8ANQBfADQAXwAxAF8AMwBfAF8AMQBfAE8AcgBnAGEAbgBpAGMARgBlAHIAdABpAGwAaQBzAGUAcgBBAHQAbQBvAHMAcABoAGUAcgBpAGMARABlAHAAbwBzAGkAdABpAG8AbgBOADIATwBFAG0AaQBzAHMAaQBvAG4AcwBcAG4ATgBpAHQAcgBvAHUAcwAgAG8AeABpAGQAZQAgAGUAbQBpAHMAcwBpAG8AbgBzACAAZgByAG8AbQAgAGEAdABtAG8AcwBwAGgAZQByAGkAYwAgAGQAZQBwAG8AcwBpAHQAaQBvAG4AIABvAGYAIABhAGwAbAAgAG8AcgBnAGEAbgBpAGMAIABmAGUAcgB0AGkAbABpAHMAZQByACAAdAB5AHAAZQBzACAAZgAgAGEAbgBkACAAYQBsAGwAIABwAHIAbwBkAHUAYwB0AGkAbwBuACAAcwB5AHMAdABlAG0AcwAgAGoAXABuAEUAXwBhAGQAbwByAGcAYQBuAGkAYwBcAG4AdAAgAE4AMgBPAFwAbgBFAF8AewBhAGQALABvAHIAZwBhAG4AaQBjAH0APQBcAFwAcwB1AG0AXwB7AGoAfQBcAFwAcwB1AG0AXwB7AGYAfQAoACgATQBfAHsAdgBvAGwALABvAHIAZwBhAG4AaQBjACwAagBmAH0AXABcAHQAaQBtAGUAcwAgAEUARgBfAHsATgAyAE8ALABqAH0AKQBcAFwAdABpAG0AZQBzACAAQwBfAHsATgAyAE8AfQBcAFwAdABpAG0AZQBzACAAMQAwAF4AewAtADMAfQApAFwAbgBNAF8AdgBvAGwAbwByAGcAYQBuAGkAYwBqAGYAXABuAEUARgBfAE4AMgBPAGoAXABuAEMAXwBOADIATwBcAG4AagBcAG4AZgBcAG4ALQAtAC0ALQAtAC0ALQAtAC0ALQAtAC0ALQAtAC0ALQAtAC0ALQAtAC0ALQAtAC0ALQAtAC0ALQAtAC0ALQAtAC0ALQAtAC0ALQAtAFwAbgAqAC8AXABuAFwAbgBWAEUARQBSAEcAXwA1AF8ANABfADEAXwAzAF8AXwAxAF8ATwByAGcAYQBuAGkAYwBGAGUAcgB0AGkAbABpAHMAZQByAEEAdABtAG8AcwBwAGgAZQByAGkAYwBEAGUAcABvAHMAaQB0AGkAbwBuAE4AMgBPAEUAbQBpAHMAcwBpAG8AbgBzAFwAbgAgACAAPQBMAEEATQBCAEQAQQAoAFwAbgAgACAAIAAgAE0AXwB2AG8AbABvAHIAZwBhAG4AaQBjAGoAZgAsACAARQBGAF8ATgAyAE8AagAsACAAQwBfAE4AMgBPACwAXABuACAAIAAgACAAKABNAF8AdgBvAGwAbwByAGcAYQBuAGkAYwBqAGYAIAAqACAARQBGAF8ATgAyAE8AagApACAAKgAgAEMAXwBOADIATwAgACoAIAAxADAAIABeACAALQAzAFwAbgAgACAAKQA7AFwAbgBcAG4AVgBFAEUAUgBHAF8ANQBfADQAXwAxAF8AMwBfAF8AMQBfAE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vAGYAIABhAGwAbAAgAG8AcgBnAGEAbgBpAGMAIABmAGUAcgB0AGkAbABpAHMAZQByACAAdAB5AHAAZQBzACAAZgAgAGEAbgBkACAAYQBsAGwAIABwAHIAbwBkAHUAYwB0AGkAbwBuACAAcwB5AHMAdABlAG0AcwAgAGoAXAAiACkAOwBcAG4AXABuAFYARQBFAFIARwBfADUAXwA0AF8AMQBfADMAXwBfADEAXwBPAHIAZwBhAG4AaQBjAEYAZQByAHQAaQBsAGkAcwBlAHIAQQB0AG0AbwBzAHAAaABlAHIAaQBjAEQAZQBwAG8AcwBpAHQAaQBvAG4ATgAyAE8ARQBtAGkAcwBzAGkAbwBuAHMAXwBWAGEAcgBpAGEAYgBsAGUAXABuACAAIAA9AEwAQQBNAEIARABBACgAXAAiAEUAXwBhAGQAbwByAGcAYQBuAGkAYwBcACIAKQA7AFwAbgBcAG4AVgBFAEUAUgBHAF8ANQBfADQAXwAxAF8AMwBfAF8AMQBfAE8AcgBnAGEAbgBpAGMARgBlAHIAdABpAGwAaQBzAGUAcgBBAHQAbQBvAHMAcABoAGUAcgBpAGMARABlAHAAbwBzAGkAdABpAG8AbgBOADIATwBFAG0AaQBzAHMAaQBvAG4AcwBfAFUAbgBpAHQAXABuACAAIAA9AEwAQQBNAEIARABBACgAXAAiAHQAIABOADIATwBcACIAKQA7AFwAbgBcAG4AVgBFAEUAUgBHAF8ANQBfADQAXwAxAF8AMwBfAF8AMQBfAE8AcgBnAGEAbgBpAGMARgBlAHIAdABpAGwAaQBzAGUAcgBBAHQAbQBvAHMAcABoAGUAcgBpAGMARABlAHAAbwBzAGkAdABpAG8AbgBOADIATwBFAG0AaQBzAHMAaQBvAG4AcwBfAFMAbwB1AHIAYwBlAFwAbgAgACAAPQBMAEEATQBCAEQAQQAoAFwAIgBWAEUARQBSAEcAIAAyADAAMgA2ADoAIAA1AC4ANAAuADEALgAzACwAIABFAHEAdQBhAHQAaQBvAG4AIAAoADEAKQBcACIAKQA7AFwAbgBcAG4AVgBFAEUAUgBHAF8ANQBfADQAXwAxAF8AMwBfAF8AMQBfAE8AcgBnAGEAbgBpAGMARgBlAHIAdABpAGwAaQBzAGUAcgBBAHQAbQBvAHMAcABoAGUAcgBpAGMARABlAHAAbwBzAGkAdABpAG8AbgBOADIATwBFAG0AaQBzAHMAaQBvAG4AcwBfAE4ASQBSAFIAZQBmAGUAcgBlAG4AYwBlAFwAbgAgACAAPQBMAEEATQBCAEQAQQAoAFwAIgBcACIAKQA7AFwAbgBcAG4AVgBFAEUAUgBHAF8ANQBfADQAXwAxAF8AMwBfAF8AMQBfAE8AcgBnAGEAbgBpAGMARgBlAHIAdABpAGwAaQBzAGUAcgBBAHQAbQBvAHMAcABoAGUAcgBpAGMARABlAHAAbwBzAGkAdABpAG8AbgBOADIATwBFAG0AaQBzAHMAaQBvAG4AcwBfAEwAYQB0AGUAeABFAHEAdQBhAHQAaQBvAG4AXABuACAAIAA9AEwAQQBNAEIARABBACgAXAAiAEUAXwB7AGEAZAAsAG8AcgBnAGEAbgBpAGMAfQA9AFwAXABzAHUAbQBcAFwAbgBvAGwAaQBtAGkAdABzAF8AewBqAH0AXABcAHMAdQBtAFwAXABuAG8AbABpAG0AaQB0AHMAXwB7AGYAfQAoACgATQBfAHsAdgBvAGwALABvAHIAZwBhAG4AaQBjACwAagBmAH0AXABcAHQAaQBtAGUAcwAgAEUARgBfAHsATgAyAE8ALABqAH0AKQBcAFwAdABpAG0AZQBzACAAQwBfAHsATgAyAE8AfQBcAFwAdABpAG0AZQBzACAAMQAwAF4AewAtADMAfQApAFwAIgApADsAXABuAFwAbgBWAEUARQBSAEcAXwA1AF8ANABfADEAXwAzAF8AXwAxAF8ATwByAGcAYQBuAGkAYwBGAGUAcgB0AGkAbABpAHMAZQByAEEAdABtAG8AcwBwAGgAZQByAGkAYwBEAGUAcABvAHMAaQB0AGkAbwBuAE4AMgBPAEUAbQBpAHMAcwBpAG8AbgBzAF8AQQByAGcAdQBtAGUAbgB0AHMAXABuACAAIAA9AEwAQQBNAEIARABBACgAXABuACAAIAAgACAATQBBAEsARQBBAFIAUgBBAFkAKAA2ACwAIAA0ACwAIABcAG4AIAAgACAAIAAgACAATABBAE0AQgBEAEEAKAByACwAYwAsACAAXABuACAAIAAgACAAIAAgACAAIABJAE4ARABFAFgAKAB7AFwAbgAgACAAIAAgACAAIAAgACAAIAAgAFwAIgBNAF8AdgBvAGwAbwByAGcAYQBuAGkAYwBqAGYAXAAiACwAXAAiAG0AYQBzAHMAIABvAGYAIABuAGkAdAByAG8AZwBlAG4AIAB2AG8AbABhAHQAaQBsAGkAcwBlAGQAIABmAHIAbwBtACAAbwByAGcAYQBuAGkAYwAgAGYAZQByAHQAaQBsAGkAcwBlAHIAIABhAHAAcABsAGkAZQBkACAAdABvACAAcAByAG8AZAB1AGMAdABpAG8AbgAgAHMAeQBzAHQAZQBtAFwAIgAsACAAXAAiAGsAZwAgAE4AXAAiACwAIABcACIAQwBhAGwAYwB1AGwAYQB0AGUAZAAgAGYAcgBvAG0AIAA1AC4ANAAuADEALgAzACAAKAAyACkAXAAiADsAXABuACAAIAAgACAAIAAgACAAIAAgACAAXAAiAEUARgBfAE4AMgBPAGoAXAAiACwAXAAiAGUAbQBpAHMAcwBpAG8AbgAgAGYAYQBjAHQAbwByACAAZgBvAHIAIABhAHQAbQBvAHMAcABoAGUAcgBpAGMAIABkAGUAcABvAHMAaQB0AGkAbwBuACAAaQBuACAAcAByAG8AZAB1AGMAdABpAG8AbgAgAHMAeQBzAHQAZQBtACAAa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zAF8AXwAyAF8ATQBhAHMAcwBPAGYATgBpAHQAcgBvAGcAZQBuAFYAbwBsAGEAdABpAGwAaQBzAGUAZABGAHIAbwBtAE8AcgBnAGEAbgBpAGMARgBlAHIAdABpAGwAaQBzAGUAcgBcAG4ATQBhAHMAcwAgAG8AZgAgAG4AaQB0AHIAbwBnAGUAbgAgAHYAbwBsAGEAdABpAGwAaQBzAGUAZAAgAGYAcgBvAG0AIABvAHIAZwBhAG4AaQBjACAAZgBlAHIAdABpAGwAaQBzAGUAcgAgAGEAcABwAGwAaQBlAGQAIAB0AG8AIABwAHIAbwBkAHUAYwB0AGkAbwBuACAAcwB5AHMAdABlAG0AXABuAE0AXwB2AG8AbABvAHIAZwBhAG4AaQBjAGoAZgBcAG4AawBnACAATgBcAG4ATQBfAHsAdgBvAGwALABvAHIAZwBhAG4AaQBjACwAagBmAH0APQBNAE4AUwBvAGkAbABfAHsAagBmAH0AXABcAHQAaQBtAGUAcwAgAEYAcgBhAGMARwBBAFMATQBfAHsAcwBvAGkAbAB9AFwAbgBNAE4AUwBvAGkAbABfAGoAZgBcAG4ARgByAGEAYwBHAEEAUwBNAF8AcwBvAGkAbABcAG4AagBcAG4AZgBcAG4ALQAtAC0ALQAtAC0ALQAtAC0ALQAtAC0ALQAtAC0ALQAtAC0ALQAtAC0ALQAtAC0ALQAtAC0ALQAtAC0ALQAtAC0ALQAtAC0ALQAtAFwAbgAqAC8AXABuAFwAbgBWAEUARQBSAEcAXwA1AF8ANABfADEAXwAzAF8AXwAyAF8ATQBhAHMAcwBPAGYATgBpAHQAcgBvAGcAZQBuAFYAbwBsAGEAdABpAGwAaQBzAGUAZABGAHIAbwBtAE8AcgBnAGEAbgBpAGMARgBlAHIAdABpAGwAaQBzAGUAcgBcAG4AIAAgAD0ATABBAE0AQgBEAEEAKABcAG4AIAAgACAAIABNAE4AUwBvAGkAbABfAGoAZgAsACAARgByAGEAYwBHAEEAUwBNAF8AcwBvAGkAbAAsAFwAbgAgACAAIAAgAE0ATgBTAG8AaQBsAF8AagBmACAAKgAgAEYAcgBhAGMARwBBAFMATQBfAHMAbwBpAGwAXABuACAAIAApADsAXABuAFwAbgBWAEUARQBSAEcAXwA1AF8ANABfADEAXwAzAF8AXwAyAF8ATQBhAHMAcwBPAGYATgBpAHQAcgBvAGcAZQBuAFYAbwBsAGEAdABpAGwAaQBzAGUAZABGAHIAbwBtAE8AcgBnAGEAbgBpAGMARgBlAHIAdABpAGwAaQBzAGUAcgBfAFQAaQB0AGwAZQBcAG4AIAAgAD0ATABBAE0AQgBEAEEAKABcACIATQBhAHMAcwAgAG8AZgAgAG4AaQB0AHIAbwBnAGUAbgAgAHYAbwBsAGEAdABpAGwAaQBzAGUAZAAgAGYAcgBvAG0AIABvAHIAZwBhAG4AaQBjACAAZgBlAHIAdABpAGwAaQBzAGUAcgAgAGEAcABwAGwAaQBlAGQAIAB0AG8AIABwAHIAbwBkAHUAYwB0AGkAbwBuACAAcwB5AHMAdABlAG0AXAAiACkAOwBcAG4AXABuAFYARQBFAFIARwBfADUAXwA0AF8AMQBfADMAXwBfADIAXwBNAGEAcwBzAE8AZgBOAGkAdAByAG8AZwBlAG4AVgBvAGwAYQB0AGkAbABpAHMAZQBkAEYAcgBvAG0ATwByAGcAYQBuAGkAYwBGAGUAcgB0AGkAbABpAHMAZQByAF8AVgBhAHIAaQBhAGIAbABlAFwAbgAgACAAPQBMAEEATQBCAEQAQQAoAFwAIgBNAF8AdgBvAGwAbwByAGcAYQBuAGkAYwBqAGYAXAAiACkAOwBcAG4AXABuAFYARQBFAFIARwBfADUAXwA0AF8AMQBfADMAXwBfADIAXwBNAGEAcwBzAE8AZgBOAGkAdAByAG8AZwBlAG4AVgBvAGwAYQB0AGkAbABpAHMAZQBkAEYAcgBvAG0ATwByAGcAYQBuAGkAYwBGAGUAcgB0AGkAbABpAHMAZQByAF8AVQBuAGkAdABcAG4AIAAgAD0ATABBAE0AQgBEAEEAKABcACIAawBnACAATgBcACIAKQA7AFwAbgBcAG4AVgBFAEUAUgBHAF8ANQBfADQAXwAxAF8AMwBfAF8AMgBfAE0AYQBzAHMATwBmAE4AaQB0AHIAbwBnAGUAbgBWAG8AbABhAHQAaQBsAGkAcwBlAGQARgByAG8AbQBPAHIAZwBhAG4AaQBjAEYAZQByAHQAaQBsAGkAcwBlAHIAXwBTAG8AdQByAGMAZQBcAG4AIAAgAD0ATABBAE0AQgBEAEEAKABcACIAVgBFAEUAUgBHACAAMgAwADIANgA6ACAANQAuADQALgAxAC4AMwAsACAARQBxAHUAYQB0AGkAbwBuACAAKAAyACkAXAAiACkAOwBcAG4AXABuAFYARQBFAFIARwBfADUAXwA0AF8AMQBfADMAXwBfADIAXwBNAGEAcwBzAE8AZgBOAGkAdAByAG8AZwBlAG4AVgBvAGwAYQB0AGkAbABpAHMAZQBkAEYAcgBvAG0ATwByAGcAYQBuAGkAYwBGAGUAcgB0AGkAbABpAHMAZQByAF8ATgBJAFIAUgBlAGYAZQByAGUAbgBjAGUAXABuACAAIAA9AEwAQQBNAEIARABBACgAXAAiAFwAIgApADsAXABuAFwAbgBWAEUARQBSAEcAXwA1AF8ANABfADEAXwAzAF8AXwAyAF8ATQBhAHMAcwBPAGYATgBpAHQAcgBvAGcAZQBuAFYAbwBsAGEAdABpAGwAaQBzAGUAZABGAHIAbwBtAE8AcgBnAGEAbgBpAGMARgBlAHIAdABpAGwAaQBzAGUAcgBfAEwAYQB0AGUAeABFAHEAdQBhAHQAaQBvAG4AXABuACAAIAA9AEwAQQBNAEIARABBACgAXAAiAE0AXwB7AHYAbwBsACwAbwByAGcAYQBuAGkAYwAsAGoAZgB9AD0ATQBOAFMAbwBpAGwAXwB7AGoAZgB9AFwAXAB0AGkAbQBlAHMAIABGAHIAYQBjAEcAQQBTAE0AXwB7AHMAbwBpAGwAfQBcACIAKQA7AFwAbgBcAG4AVgBFAEUAUgBHAF8ANQBfADQAXwAxAF8AMwBfAF8AMgBfAE0AYQBzAHMATwBmAE4AaQB0AHIAbwBnAGUAbgBWAG8AbABhAHQAaQBsAGkAcwBlAGQARgByAG8AbQBP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YAcgBhAGMARwBBAFMATQBfAHMAbwBpAGwAXAAiACwAXAAiAGYAcgBhAGMAdABpAG8AbgAgAG8AZgAgAG8AcgBnAGEAbgBpAGMAIABmAGUAcgB0AGkAbABpAHMAZQByACAATgAgAHQAaABhAHQAIAB2AG8AbABhAHQAaQBsAGkAcwBlAH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GAGUAcgB0AGkAbABpAHMAZQByAF8ARQBxAHUAYQB0AGkAbwBuAHMAXwBMAGUAYQBjAGgAaQBuAGcAQQBuAGQAUgB1AG4AbwBmAGY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1ACAATABlAGEAYwBoAGkAbgBnACAAYQBuAGQAIAByAHUAbgAtAG8AZgBmACAAcgBlAHMAdQBsAHQAaQBuAGcAIABmAHIAbwBt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NQBfADEAXwAxAF8AXwAxAF8ARgBlAHIAdABpAGwAaQBzAGUAcgBMAGUAYQBjAGgAaQBuAGcAQQBuAGQAUgB1AG4AbwBmAGYATgAyAE8ARQBtAGkAcwBzAGkAbwBuAHMAXABu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bgBFAF8AZgBlAHIAdABsAGUAYQBjAGgAXABuAHQAIABOADIATwBcAG4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BuAE0AXwBsAGUAYQBjAGgAaQBuAG8AcgBnAGEAbgBpAGMAagBcAG4ATQBfAGwAZQBhAGMAaABvAHIAZwBhAG4AaQBjAGoAXABuAEUARgBfAGwAZQBhAGMAaABcAG4AQwBfAE4AMgBPAFwAbgBqAFwAbgAtAC0ALQAtAC0ALQAtAC0ALQAtAC0ALQAtAC0ALQAtAC0ALQAtAC0ALQAtAC0ALQAtAC0ALQAtAC0ALQAtAC0ALQAtAC0ALQAtAC0AXABuACoALwBcAG4AXABuAFYARQBFAFIARwBfADUAXwA1AF8AMQBfADEAXwBfADEAXwBGAGUAcgB0AGkAbABpAHMAZQByAEwAZQBhAGMAaABpAG4AZwBBAG4AZABSAHUAbgBvAGYAZgBOADIATwBFAG0AaQBzAHMAaQBvAG4AcwBcAG4AIAAgAD0ATABBAE0AQgBEAEEAKABcAG4AIAAgACAAIABNAF8AbABlAGEAYwBoAGkAbgBvAHIAZwBhAG4AaQBjAGoALAAgAE0AXwBsAGUAYQBjAGgAbwByAGcAYQBuAGkAYwBqACwAIABFAEYAXwBsAGUAYQBjAGgALAAgAEMAXwBOADIATwAsAFwAbgAgACAAIAAgACgATQBfAGwAZQBhAGMAaABpAG4AbwByAGcAYQBuAGkAYwBqACAAKwAgAE0AXwBsAGUAYQBjAGgAbwByAGcAYQBuAGkAYwBqACkAIAAqACAARQBGAF8AbABlAGEAYwBoACAAKgAgAEMAXwBOADIATwAgACoAIAAxADAAIABeACAALQAzAFwAbgAgACAAKQA7AFwAbgBcAG4AVgBFAEUAUgBHAF8ANQBfADUAXwAxAF8AMQBfAF8AMQBfAEYAZQByAHQAaQBsAGkAcwBlAHIATABlAGEAYwBoAGkAbgBnAEEAbgBkAFIAdQBuAG8AZgBmAE4AMgBPAEUAbQBpAHMAcwBpAG8AbgBzAF8AVABpAHQAbABlAFwAbgAgACAAPQBMAEEATQBCAEQAQQAoAFwAI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CIAKQA7AFwAbgBcAG4AVgBFAEUAUgBHAF8ANQBfADUAXwAxAF8AMQBfAF8AMQBfAEYAZQByAHQAaQBsAGkAcwBlAHIATABlAGEAYwBoAGkAbgBnAEEAbgBkAFIAdQBuAG8AZgBmAE4AMgBPAEUAbQBpAHMAcwBpAG8AbgBzAF8AVgBhAHIAaQBhAGIAbABlAFwAbgAgACAAPQBMAEEATQBCAEQAQQAoAFwAIgBFAF8AZgBlAHIAdABsAGUAYQBjAGgAXAAiACkAOwBcAG4AXABuAFYARQBFAFIARwBfADUAXwA1AF8AMQBfADEAXwBfADEAXwBGAGUAcgB0AGkAbABpAHMAZQByAEwAZQBhAGMAaABpAG4AZwBBAG4AZABSAHUAbgBvAGYAZgBOADIATwBFAG0AaQBzAHMAaQBvAG4AcwBfAFUAbgBpAHQAXABuACAAIAA9AEwAQQBNAEIARABBACgAXAAiAHQAIABOADIATwBcACIAKQA7AFwAbgBcAG4AVgBFAEUAUgBHAF8ANQBfADUAXwAxAF8AMQBfAF8AMQBfAEYAZQByAHQAaQBsAGkAcwBlAHIATABlAGEAYwBoAGkAbgBnAEEAbgBkAFIAdQBuAG8AZgBmAE4AMgBPAEUAbQBpAHMAcwBpAG8AbgBzAF8AUwBvAHUAcgBjAGUAXABuACAAIAA9AEwAQQBNAEIARABBACgAXAAiAFYARQBFAFIARwAgADIAMAAyADYAOgAgADUALgA1ACwAIABFAHEAdQBhAHQAaQBvAG4AIAAoADEAKQBcACIAKQA7AFwAbgBcAG4AVgBFAEUAUgBHAF8ANQBfADUAXwAxAF8AMQBfAF8AMQBfAEYAZQByAHQAaQBsAGkAcwBlAHIATABlAGEAYwBoAGkAbgBnAEEAbgBkAFIAdQBuAG8AZgBmAE4AMgBPAEUAbQBpAHMAcwBpAG8AbgBzAF8ATgBJAFIAUgBlAGYAZQByAGUAbgBjAGUAXABuACAAIAA9AEwAQQBNAEIARABBACgAXAAiAFwAIgApADsAXABuAFwAbgBWAEUARQBSAEcAXwA1AF8ANQBfADEAXwAxAF8AXwAxAF8ARgBlAHIAdABpAGwAaQBzAGUAcgBMAGUAYQBjAGgAaQBuAGcAQQBuAGQAUgB1AG4AbwBmAGYATgAyAE8ARQBtAGkAcwBzAGkAbwBuAHMAXwBMAGEAdABlAHgARQBxAHUAYQB0AGkAbwBuAFwAbgAgACAAPQBMAEEATQBCAEQAQQAoAFwAI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CIAKQA7AFwAbgBcAG4AVgBFAEUAUgBHAF8ANQBfADUAXwAxAF8AMQBfAF8AMQBfAEYAZQByAHQAaQBsAGkAcwBlAHIATABlAGEAYwBoAGkAbgBnAEEAbgBkAFIAdQBuAG8AZgBmAE4AMgBPAEUAbQBpAHMAcwBpAG8AbgBzAF8AQQByAGcAdQBtAGUAbgB0AHMAXABuACAAIAA9AEwAQQBNAEIARABBACgAXABuACAAIAAgACAATQBBAEsARQBBAFIAUgBBAFkAKAA0ACwAIAA0ACwAIABcAG4AIAAgACAAIAAgACAATABBAE0AQgBEAEEAKAByACwAYwAsACAAXABuACAAIAAgACAAIAAgACAAIABJAE4ARABFAFgAKAB7AFwAbgAgACAAIAAgACAAIAAgACAAIAAgAFwAIgBNAF8AbABlAGEAYwBoAGkAbgBvAHIAZwBhAG4AaQBjAGoAXAAiACwAXAAiAG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LAAgAFwAIgBrAGcAIABOAFwAIgAsACAAXAAiAEMAYQBsAGMAdQBsAGEAdABlAGQAIABmAHIAbwBtACAANQAuADUALgAxAC4AMQAgACgAMgApAFwAIgA7AFwAbgAgACAAIAAgACAAIAAgACAAIAAgAFwAIgBNAF8AbABlAGEAYwBoAG8AcgBnAGEAbgBpAGMAagBcACIALABcACIAbQBhAHMAcwAgAG8AZgAgAG4AaQB0AHIAbwBnAGUAbgAgAGwAbwBzAHQAIAB0AGgAcgBvAHUAZwBoACAAbABlAGEAYwBoAGkAbgBnACAAYQBuAGQAIAByAHUAbgBvAGYAZgAgAGYAcgBvAG0AIABvAHIAZwBhAG4AaQBjACAAZgBlAHIAdABpAGwAaQBzAGUAcgAgAGEAcABwAGwAaQBjAGEAdABpAG8AbgBcACIALAAgAFwAIgBrAGcAIABOAFwAIgAsACAAXAAiAEMAYQBsAGMAdQBsAGEAdABlAGQAIABmAHIAbwBtACAANQAuADUALgAxAC4AMQAgACgAMwApAFwAIgA7AFwAbgAgACAAIAAgACAAIAAgACAAIAAgAFwAIgBFAEYAXwBsAGUAYQBjAGgAXAAiACwAXAAiAGUAbQBpAHMAcwBpAG8AbgAgAGYAYQBjAHQAbwByACAAZgBvAHIAIABuAGkAdAByAG8AZwBlAG4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gBfAE0AYQBzAHMATwBmAE4AaQB0AHIAbwBnAGUAbgBMAGUAYQBjAGgAZQBkAEYAcgBvAG0ASQBuAG8AcgBnAGEAbgBpAGMARgBlAHIAdABpAGwAaQBzAGUAcgBcAG4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bgBNAF8AbABlAGEAYwBoAGkAbgBvAHIAZwBhAG4AaQBjAGoAXABuAGsAZwAgAE4AXABuAE0AXwB7AGwAZQBhAGMAaAAsAGkAbgBvAHIAZwBhAG4AaQBjACwAagB9AD0AXABcAHMAdQBtAF8AewBmAH0AKAB7AE0ATgB9AF8AewBqAGYAfQBcAFwAdABpAG0AZQBzACAARgByAGEAYwBfAHsAVwBFAFQALABqAH0AXABcAHQAaQBtAGUAcwAgAEYAcgBhAGMAXwB7AEwARQBBAEMASAB9ACkAXABuAE0ATgBfAGoAZgBcAG4ARgByAGEAYwBXAEUAVABqAFwAbgBGAHIAYQBjAEwARQBBAEMASABcAG4AagBcAG4AZgBcAG4ALQAtAC0ALQAtAC0ALQAtAC0ALQAtAC0ALQAtAC0ALQAtAC0ALQAtAC0ALQAtAC0ALQAtAC0ALQAtAC0ALQAtAC0ALQAtAC0ALQAtAFwAbgAqAC8AXABuAFwAbgBWAEUARQBSAEcAXwA1AF8ANQBfADEAXwAxAF8AXwAyAF8ATQBhAHMAcwBPAGYATgBpAHQAcgBvAGcAZQBuAEwAZQBhAGMAaABlAGQARgByAG8AbQBJAG4AbwByAGcAYQBuAGkAYwBGAGUAcgB0AGkAbABpAHMAZQByAFwAbgAgACAAPQBMAEEATQBCAEQAQQAoAFwAbgAgACAAIAAgAE0ATgBfAGoAZgAsACAARgByAGEAYwBXAEUAVABqACwAIABGAHIAYQBjAEwARQBBAEMASAAsAFwAbgAgACAAIAAgAE0ATgBfAGoAZgAgACoAIABGAHIAYQBjAFcARQBUAGoAIAAqACAARgByAGEAYwBMAEUAQQBDAEgAXABuACAAIAApADsAXABuAFwAbgBWAEUARQBSAEcAXwA1AF8ANQBfADEAXwAxAF8AXwAyAF8ATQBhAHMAcwBPAGYATgBpAHQAcgBvAGcAZQBuAEwAZQBhAGMAaABlAGQARgByAG8AbQBJAG4AbwByAGcAYQBuAGkAYwBGAGUAcgB0AGkAbABpAHMAZQByAF8AVABpAHQAbABlAFwAbgAgACAAPQBMAEEATQBCAEQAQQAoAFwAI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kAOwBcAG4AXABuAFYARQBFAFIARwBfADUAXwA1AF8AMQBfADEAXwBfADIAXwBNAGEAcwBzAE8AZgBOAGkAdAByAG8AZwBlAG4ATABlAGEAYwBoAGUAZABGAHIAbwBtAEkAbgBvAHIAZwBhAG4AaQBjAEYAZQByAHQAaQBsAGkAcwBlAHIAXwBWAGEAcgBpAGEAYgBsAGUAXABuACAAIAA9AEwAQQBNAEIARABBACgAXAAiAE0AXwBsAGUAYQBjAGgAaQBuAG8AcgBnAGEAbgBpAGMAagBcACIAKQA7AFwAbgBcAG4AVgBFAEUAUgBHAF8ANQBfADUAXwAxAF8AMQBfAF8AMgBfAE0AYQBzAHMATwBmAE4AaQB0AHIAbwBnAGUAbgBMAGUAYQBjAGgAZQBkAEYAcgBvAG0ASQBuAG8AcgBnAGEAbgBpAGMARgBlAHIAdABpAGwAaQBzAGUAcgBfAFUAbgBpAHQAXABuACAAIAA9AEwAQQBNAEIARABBACgAXAAiAGsAZwAgAE4AXAAiACkAOwBcAG4AXABuAFYARQBFAFIARwBfADUAXwA1AF8AMQBfADEAXwBfADIAXwBNAGEAcwBzAE8AZgBOAGkAdAByAG8AZwBlAG4ATABlAGEAYwBoAGUAZABGAHIAbwBtAEkAbgBvAHIAZwBhAG4AaQBjAEYAZQByAHQAaQBsAGkAcwBlAHIAXwBTAG8AdQByAGMAZQBcAG4AIAAgAD0ATABBAE0AQgBEAEEAKABcACIAVgBFAEUAUgBHACAAMgAwADIANgA6ACAANQAuADUALAAgAEUAcQB1AGEAdABpAG8AbgAgACgAMgApAFwAIgApADsAXABuAFwAbgBWAEUARQBSAEcAXwA1AF8ANQBfADEAXwAxAF8AXwAyAF8ATQBhAHMAcwBPAGYATgBpAHQAcgBvAGcAZQBuAEwAZQBhAGMAaABlAGQARgByAG8AbQBJAG4AbwByAGcAYQBuAGkAYwBGAGUAcgB0AGkAbABpAHMAZQByAF8ATgBJAFIAUgBlAGYAZQByAGUAbgBjAGUAXABuACAAIAA9AEwAQQBNAEIARABBACgAXAAiAFwAIgApADsAXABuAFwAbgBWAEUARQBSAEcAXwA1AF8ANQBfADEAXwAxAF8AXwAyAF8ATQBhAHMAcwBPAGYATgBpAHQAcgBvAGcAZQBuAEwAZQBhAGMAaABlAGQARgByAG8AbQBJAG4AbwByAGcAYQBuAGkAYwBGAGUAcgB0AGkAbABpAHMAZQByAF8ATABhAHQAZQB4AEUAcQB1AGEAdABpAG8AbgBcAG4AIAAgAD0ATABBAE0AQgBEAEEAKABcACIATQBfAHsAbABlAGEAYwBoACwAaQBuAG8AcgBnAGEAbgBpAGMALABqAH0APQBcAFwAcwB1AG0AXABcAG4AbwBsAGkAbQBpAHQAcwBfAHsAZgB9AFwAXABsAGUAZgB0ACgAewBNAE4AfQBfAHsAagBmAH0AXABcAHQAaQBtAGUAcwAgAEYAcgBhAGMAXwB7AFcARQBUACwAagB9AFwAXAB0AGkAbQBlAHMAIABGAHIAYQBjAF8AewBMAEUAQQBDAEgAfQBcAFwAcgBpAGcAaAB0ACkAXAAiACkAOwBcAG4AXABuAFYARQBFAFIARwBfADUAXwA1AF8AMQBfADEAXwBfADIAXwBNAGEAcwBzAE8AZgBOAGkAdAByAG8AZwBlAG4ATABlAGEAYwBoAGUAZABGAHIAbwBtAEkAbgBv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BcACIALAAgAFwAIgBrAGcAIABOAFwAIgAsACAAXAAiAEMAYQBsAGMAdQBsAGEAdABlAGQAIABmAHIAbwBtACAANQAuADEALgAxAC4AMQAgACgAMgApAFwAIgA7AFwAbgAgACAAIAAgACAAIAAgACAAIAAgAFwAIgBGAHIAYQBjAFcARQBUAGo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AgACAAXAAiAHoAXAAiACwAXAAiAGwAbwBjAGEAdABpAG8AbgAgAGkAbgAgAGwAZQBhAGMAaABpAG4AZwAgAHoAbwBuAGUAXAAiACwAIABcACIAXAAiACwAIABcACIASQBuAHAAdQB0AFwAIgA7AFwAbgAgACAAIAAgACAAIAAgACAAIAAgACAAIABcACIAagBcACIALABcACIAcAByAG8AZAB1AGMAdABpAG8AbgAgAHMAeQBzAHQAZQBtAFwAIgAsACAAXAAiAFwAIgAsACAAXAAiAEkAbgBwAHUAdABcACIAOwBcAG4AIAAgACAAIAAgACAAIAAgACAAIAAgACAAXAAiAGkAcgBcACIALABcACIAaQByAHIAaQBnAGEAdABpAG8AbgAgAG0AZQB0AGgAbwBk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MAXwBNAGEAcwBzAE8AZgBOAGkAdAByAG8AZwBlAG4ATABlAGEAYwBoAGUAZABGAHIAbwBtAE8AcgBnAGEAbgBpAGMARgBlAHIAdABpAGwAaQBzAGUAcgBcAG4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BuAE0AXwBsAGUAYQBjAGgAbwByAGcAYQBuAGkAYwBqAFwAbgBrAGcAIABOAFwAbgBNAF8AewBsAGUAYQBjAGgALABvAHIAZwBhAG4AaQBjACwAagB9AD0AXABcAHMAdQBtAF8AewBmAH0AKAB7AE0ATgBTAG8AaQBsAH0AXwB7AGoAZgB9AFwAXAB0AGkAbQBlAHMAIABGAHIAYQBjAF8AewBXAEUAVAAsAGoAfQBcAFwAdABpAG0AZQBzACAARgByAGEAYwBfAHsATABFAEEAQwBIAH0AKQBcAG4ATQBOAFMAbwBpAGwAXwBqAGYAXABuAEYAcgBhAGMAVwBFAFQAagBcAG4ARgByAGEAYwBMAEUAQQBDAEgAXABuAGoAXABuAGYAXABuAC0ALQAtAC0ALQAtAC0ALQAtAC0ALQAtAC0ALQAtAC0ALQAtAC0ALQAtAC0ALQAtAC0ALQAtAC0ALQAtAC0ALQAtAC0ALQAtAC0ALQBcAG4AKgAvAFwAbgBcAG4AVgBFAEUAUgBHAF8ANQBfADUAXwAxAF8AMQBfAF8AMwBfAE0AYQBzAHMATwBmAE4AaQB0AHIAbwBnAGUAbgBMAGUAYQBjAGgAZQBkAEYAcgBvAG0ATwByAGcAYQBuAGkAYwBGAGUAcgB0AGkAbABpAHMAZQByAFwAbgAgACAAPQBMAEEATQBCAEQAQQAoAFwAbgAgACAAIAAgAE0ATgBTAG8AaQBsAF8AagBmACwAIABGAHIAYQBjAFcARQBUAGoALAAgAEYAcgBhAGMATABFAEEAQwBIACwAXABuACAAIAAgACAATQBOAFMAbwBpAGwAXwBqAGYAIAAqACAARgByAGEAYwBXAEUAVABqACAAKgAgAEYAcgBhAGMATABFAEEAQwBIAFwAbgAgACAAKQA7AFwAbgBcAG4AVgBFAEUAUgBHAF8ANQBfADUAXwAxAF8AMQBfAF8AMwBfAE0AYQBzAHMATwBmAE4AaQB0AHIAbwBnAGUAbgBMAGUAYQBjAGgAZQBkAEYAcgBvAG0ATwByAGcAYQBuAGkAYwBGAGUAcgB0AGkAbABpAHMAZQByAF8AVABpAHQAbABlAFwAbgAgACAAPQBMAEEATQBCAEQAQQAoAFwAI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CIAKQA7AFwAbgBcAG4AVgBFAEUAUgBHAF8ANQBfADUAXwAxAF8AMQBfAF8AMwBfAE0AYQBzAHMATwBmAE4AaQB0AHIAbwBnAGUAbgBMAGUAYQBjAGgAZQBkAEYAcgBvAG0ATwByAGcAYQBuAGkAYwBGAGUAcgB0AGkAbABpAHMAZQByAF8AVgBhAHIAaQBhAGIAbABlAFwAbgAgACAAPQBMAEEATQBCAEQAQQAoAFwAIgBNAF8AbABlAGEAYwBoAG8AcgBnAGEAbgBpAGMAagBcACIAKQA7AFwAbgBcAG4AVgBFAEUAUgBHAF8ANQBfADUAXwAxAF8AMQBfAF8AMwBfAE0AYQBzAHMATwBmAE4AaQB0AHIAbwBnAGUAbgBMAGUAYQBjAGgAZQBkAEYAcgBvAG0ATwByAGcAYQBuAGkAYwBGAGUAcgB0AGkAbABpAHMAZQByAF8AVQBuAGkAdABcAG4AIAAgAD0ATABBAE0AQgBEAEEAKABcACIAawBnACAATgBcACIAKQA7AFwAbgBcAG4AVgBFAEUAUgBHAF8ANQBfADUAXwAxAF8AMQBfAF8AMwBfAE0AYQBzAHMATwBmAE4AaQB0AHIAbwBnAGUAbgBMAGUAYQBjAGgAZQBkAEYAcgBvAG0ATwByAGcAYQBuAGkAYwBGAGUAcgB0AGkAbABpAHMAZQByAF8AUwBvAHUAcgBjAGUAXABuACAAIAA9AEwAQQBNAEIARABBACgAXAAiAFYARQBFAFIARwAgADIAMAAyADYAOgAgADUALgA1ACwAIABFAHEAdQBhAHQAaQBvAG4AIAAoADMAKQBcACIAKQA7AFwAbgBcAG4AVgBFAEUAUgBHAF8ANQBfADUAXwAxAF8AMQBfAF8AMwBfAE0AYQBzAHMATwBmAE4AaQB0AHIAbwBnAGUAbgBMAGUAYQBjAGgAZQBkAEYAcgBvAG0ATwByAGcAYQBuAGkAYwBGAGUAcgB0AGkAbABpAHMAZQByAF8ATgBJAFIAUgBlAGYAZQByAGUAbgBjAGUAXABuACAAIAA9AEwAQQBNAEIARABBACgAXAAiAFwAIgApADsAXABuAFwAbgBWAEUARQBSAEcAXwA1AF8ANQBfADEAXwAxAF8AXwAzAF8ATQBhAHMAcwBPAGYATgBpAHQAcgBvAGcAZQBuAEwAZQBhAGMAaABlAGQARgByAG8AbQBPAHIAZwBhAG4AaQBjAEYAZQByAHQAaQBsAGkAcwBlAHIAXwBMAGEAdABlAHgARQBxAHUAYQB0AGkAbwBuAFwAbgAgACAAPQBMAEEATQBCAEQAQQAoAFwAIgBNAF8AewBsAGUAYQBjAGgALABvAHIAZwBhAG4AaQBjACwAagB9AD0AXABcAHMAdQBtAFwAXABuAG8AbABpAG0AaQB0AHMAXwB7AGYAfQBcAFwAbABlAGYAdAAoAHsATQBOAFMAbwBpAGwAfQBfAHsAagBmAH0AXABcAHQAaQBtAGUAcwAgAEYAcgBhAGMAXwB7AFcARQBUACwAagB9AFwAXAB0AGkAbQBlAHMAIABGAHIAYQBjAF8AewBMAEUAQQBDAEgAfQBcAFwAcgBpAGcAaAB0ACkAXAAiACkAOwBcAG4AXABuAFYARQBFAFIARwBfADUAXwA1AF8AMQBfADEAXwBfADMAXwBNAGEAcwBzAE8AZgBOAGkAdAByAG8AZwBlAG4ATABlAGEAYwBoAGUAZABGAHIAbwBtAE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BcACIALAAgAFwAIgBrAGcAIABOAFwAIgAsACAAXAAiAEMAYQBsAGMAdQBsAGEAdABlAGQAIABmAHIAbwBtACAANQAuADIALgAxAC4AMQAgACgAMgApAFwAIgA7AFwAbgAgACAAIAAgACAAIAAgACAAIAAgAFwAIgBGAHIAYQBjAFcARQBUAGo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BcACIAbABvAGMAYQB0AGkAbwBuACAAaQBuACAAbABlAGEAYwBoAGkAbgBnACAAegBvAG4AZQBcACIALAAgAFwAIgBcACIALAAgAFwAIgBJAG4AcAB1AHQAXAAiADsAXABuACAAIAAgACAAIAAgACAAIAAgACAAXAAiAGoAXAAiACwAXAAiAHAAcgBvAGQAdQBjAHQAaQBvAG4AIABzAHkAcwB0AGUAbQBcACIALAAgAFwAIgBcACIALAAgAFwAIgBJAG4AcAB1AHQAXAAiADsAXABuACAAIAAgACAAIAAgACAAIAAgACAAXAAiAGkAcgBcACIALABcACIAaQByAHIAaQBnAGEAdABpAG8AbgAgAG0AZQB0AGgAbwBkAFwAIgAsACAAXAAiAFwAIgAsACAAXAAiAEkAbgBwAHUAdABcACIAXABuACAAIAAgACAAIAAgACAAIAB9ACwAIAByACwAIABjACkAXABuACAAIAAgACAAIAAgACkAXABuACAAIAAgACAAKQBcAG4AIAAgACkAOwBcAG4AIgB9ACwAewAiAHAAYQB0AGgAIgA6ACIALwBwAHIAbwBqAGUAYwB0AHMALwBXAGEAcwB0AGUAUwBvAGwAaQBkAF8ASQBuAHAAdQB0AEYAdQBuAGMAdABpAG8AbgBzACIALAAiAHQAZQB4AHQAIgA6ACIAXABuAFcAYQBzAHQAZQBTAG8AbABpAGQAXwBJAG4AcAB1AHQARgB1AG4AYwB0AGkAbwBuAHMAXwBTAHUAbQBXAGEAcwB0AGUAVAByAGUAYQB0AG0AZQBuAHQAXABuAD0ATABBAE0AQgBEAEEAKABcAG4AIAAgAFQAcgBlAGEAdABtAGUAbgB0AEEAcgByAGEAeQAsACAAVwBhAHMAdABlAEEAcgByAGEAeQAsACAAVAByAGUAYQB0AG0AZQBuAHQATABvAGMAYQB0AGkAbwBuAEEAcgByAGEAeQAsACAAVQBuAGkAdABBAHIAcgBhAHkALAAgAEEAbQBvAHUAbgB0AEEAcgByAGEAeQAsAFwAbgAgACAAVAByAGUAYQB0AG0AZQBuAHQAVAB5AHAAZQAsACAAVwBhAHMAdABlAFQAeQBwAGUALAAgAFQAcgBlAGEAdABtAGUAbgB0AEwAbwBjAGEAdABpAG8AbgBUAHkAcABlACwAIABVAG4AaQB0AFQAeQBwAGUALABcAG4AIAAgAFMAVQBNAEkARgBTACgAXABuACAAIAAgACAAQQBtAG8AdQBuAHQAQQByAHIAYQB5ACwAXABuACAAIAAgAFQAcgBlAGEAdABtAGUAbgB0AEEAcgByAGEAeQAsACAAVAByAGUAYQB0AG0AZQBuAHQAVAB5AHAAZQAsAFwAbgAgACAAIAAgAFcAYQBzAHQAZQBBAHIAcgBhAHkALAAgAFcAYQBzAHQAZQBUAHkAcABlACwAXABuACAAIAAgACAAVAByAGUAYQB0AG0AZQBuAHQATABvAGMAYQB0AGkAbwBuAEEAcgByAGEAeQAsACAAVAByAGUAYQB0AG0AZQBuAHQATABvAGMAYQB0AGkAbwBuAFQAeQBwAGUALAAgAFwAbgAgACAAIAAgAFUAbgBpAHQAQQByAHIAYQB5ACwAIABVAG4AaQB0AFQAeQBwAGUAXABuACAAIAApAFwAbgApADsAIgB9ACwAewAiAHAAYQB0AGgAIgA6ACIALwBwAHIAbwBqAGUAYwB0AHMALwBXAGEAcwB0AGUAUwBvAGwAaQBkAF8AUwBvAHUAcgBjAGUARABhAHQAYQAiACwAIgB0AGUAeAB0ACIAOgAiAC8AKgBcAG4APQA9AD0APQA9AD0APQA9AD0APQA9AD0APQA9AD0APQA9AD0APQA9AD0APQA9AD0APQA9AD0APQA9AD0APQA9AD0APQA9AD0APQA9AD0APQA9AD0APQA9AD0APQA9AD0APQA9AD0APQA9AD0APQA9AD0APQA9AD0APQA9AD0APQA9AD0APQA9AD0APQA9AD0APQA9AD0APQBcAG4ARQBtAGkAcwBzAGkAbwBuACAAZgBhAGMAdABvAHIAcwAgAGYAbwByACAAdwBhAHMAdABlAHMAIABkAGkAcwBwAG8AcwBlAGQAIABvAGYAIABhAHQAIABkAGkAZgBmAGUAcgBlAG4AdAAgAHQAcgBlAGEAdABtAGUAbgB0ACAAZgBhAGMAaQBsAGkAdABpAGUAcwBcAG4APQA9AD0APQA9AD0APQA9AD0APQA9AD0APQA9AD0APQA9AD0APQA9AD0APQA9AD0APQA9AD0APQA9AD0APQA9AD0APQA9AD0APQA9AD0APQA9AD0APQA9AD0APQA9AD0APQA9AD0APQA9AD0APQA9AD0APQA9AD0APQA9AD0APQA9AD0APQA9AD0APQA9AD0APQA9AD0APQBcAG4AKgAvAFwAbgBcAG4AVwBhAHMAdABlAF8ARQBtAGkAcwBzAGkAbwBuAEYAYQBjAHQAbwByAHMARgBvAHIAVwBhAHMAdABlAFQAcgBlAGEAdABtAGUAbgB0AF8AVABpAHQAbABlAFwAbgA9AEwAQQBNAEIARABBACgAKABcACIARQBtAGkAcwBzAGkAbwBuACAAZgBhAGMAdABvAHIAcwAgAGYAbwByACAAdwBhAHMAdABlAHMAIABkAGkAcwBwAG8AcwBlAGQAIABvAGYAIABhAHQAIABkAGkAZgBmAGUAcgBlAG4AdAAgAHQAcgBlAGEAdABtAGUAbgB0ACAAZgBhAGMAaQBsAGkAdABpAGUAcwBcACIAKQApADsAXABuAFwAbgBXAGEAcwB0AGUAXwBFAG0AaQBzAHMAaQBvAG4ARgBhAGMAdABvAHIAcwBGAG8AcgBXAGEAcwB0AGUAVAByAGUAYQB0AG0AZQBuAHQAXwBWAGEAcgBpAGEAYgBsAGUAXABuAD0ATABBAE0AQgBEAEEAKAAoAFwAIgBFAEYAdwB0AFwAIgApACkAOwBcAG4AXABuAFcAYQBzAHQAZQBfAEUAbQBpAHMAcwBpAG8AbgBGAGEAYwB0AG8AcgBzAEYAbwByAFcAYQBzAHQAZQBUAHIAZQBhAHQAbQBlAG4AdABfAFUAbgBpAHQAXABuAD0ATABBAE0AQgBEAEEAKAAoAFwAIgB0ACAAQwBPADIAZQAgAC8AIAB0AFwAIgApACkAOwBcAG4AXABuAFcAYQBzAHQAZQBfAEUAbQBpAHMAcwBpAG8AbgBGAGEAYwB0AG8AcgBzAEYAbwByAFcAYQBzAHQAZQBUAHIAZQBhAHQAbQBlAG4AdABfAFMAbwB1AHIAYwBlAFwAbgA9AEwAQQBNAEIARABBACgAKABcACIAVgBFAEUAUgBHACAAMgAwADIANgA6ACAAVABhAGIAbABlACAAQQAuADQALgAxAC4AMQBcACIAKQApADsAXABuAFwAbgBXAGEAcwB0AGUAXwBFAG0AaQBzAHMAaQBvAG4ARgBhAGMAdABvAHIAcwBGAG8AcgBXAGEAcwB0AGUAVAByAGUAYQB0AG0AZQBuAHQAXwBEAGEAdABhAFwAbgA9AEwAQQBNAEIARABBACgAXABuACAAIABNAEEASwBFAEEAUgBSAEEAWQAoADMANQAsACAANAAsAFwAbgAgACAAIAAgAEwAQQBNAEIARABBACgAcgAsAGMALABcAG4AIAAgACAAIAAgACAASQBOAEQARQBYACgAewBcAG4AIAAgACAAIAAgACAAIAAgAFwAIgBUAHIAZQBhAHQAbQBlAG4AdAAgAHQAeQBwAGUAIAB0AFwAIgAsACAAXAAiAFcAYQBzAHQAZQAgAHQAeQBwAGUAIAB3AFwAIgAsACAAXAAiAEUARgB3AHQAXAAiACwAIABcACIARQBGACAAcwBvAHUAcgBjAGUAXAAiADsAXABuACAAIAAgACAAIAAgACAAIABcACIATABhAG4AZABmAGkAbABsAFwAIgAsACAAXAAiAEYAbwBvAGQAIAB3AGEAcwB0AGUAIAAoAGkAbgBjAGwAdQBkAGkAbgBnACAAYQBuAGkAbQBhAGwAIABjAGEAcgBjAGEAcwBzAGUAcwAsACAAcwBwAG8AaQBsAGUAZAAgAGEAbgBpAG0AYQBsACAAZgBlAGUAZAAgAG8AcgAgAGMAcgBvAHAAKQBcACIALAAgADIALgAxACwAIABcACIATgBHAEEARgAgADIAMAAyADUAIAB0AGEAYgBsAGUAIAAxADUAXAAiADsAXABuACAAIAAgACAAIAAgACAAIABcACIATABhAG4AZABmAGkAbABsAFwAIgAsACAAXAAiAFAAYQBwAGUAcgAgAGEAbgBkACAAYwBhAHIAZABiAG8AYQByAGQAXAAiACwAIAAzAC4AMwAsACAAXAAiAE4ARwBBAEYAIAAyADAAMgA1ACAAdABhAGIAbABlACAAMQA1AFwAIgA7AFwAbgAgACAAIAAgACAAIAAgACAAXAAiAEwAYQBuAGQAZgBpAGwAbABcACIALAAgAFwAIgBHAHIAZQBlAG4AIAB3AGEAcwB0AGUAIAAoAGkAbgBjAGwAdQBkAGkAbgBnACAAYwByAG8AcAAgAHIAZQBzAGkAZAB1AGUAcwAgAG8AcgAgAHAAcgB1AG4AaQBuAGcAcwApAFwAIgAsACAAMQAuADYALAAgAFwAIgBOAEcAQQBGACAAMgAwADIANQAgAHQAYQBiAGwAZQAgADEANQBcACIAOwBcAG4AIAAgACAAIAAgACAAIAAgAFwAIgBMAGEAbgBkAGYAaQBsAGwAXAAiACwAIABcACIAVwBvAG8AZABcACIALAAgADAALgA3ACwAIABcACIATgBHAEEARgAgADIAMAAyADUAIAB0AGEAYgBsAGUAIAAxADUAXAAiADsAXABuACAAIAAgACAAIAAgACAAIABcACIATABhAG4AZABmAGkAbABsAFwAIgAsACAAXAAiAFQAZQB4AHQAaQBsAGUAcwBcACIALAAgADIALgAwACwAIABcACIATgBHAEEARgAgADIAMAAyADUAIAB0AGEAYgBsAGUAIAAxADUAXAAiADsAXABuACAAIAAgACAAIAAgACAAIABcACIATABhAG4AZABmAGkAbABsAFwAIgAsACAAXAAiAFMAbAB1AGQAZwBlAFwAIgAsACAAMAAuADQALAAgAFwAIgBOAEcAQQBGACAAMgAwADIANQAgAHQAYQBiAGwAZQAgADEANQBcACIAOwBcAG4AIAAgACAAIAAgACAAIAAgAFwAIgBMAGEAbgBkAGYAaQBsAGwAXAAiACwAIABcACIAUgB1AGIAYgBlAHIAIABhAG4AZAAgAGwAZQBhAHQAaABlAHIAXAAiACwAIAAzAC4AMwAsACAAXAAiAE4ARwBBAEYAIAAyADAAMgA1ACAAdABhAGIAbABlACAAMQA1AFwAIgA7AFwAbgAgACAAIAAgACAAIAAgACAAXAAiAEwAYQBuAGQAZgBpAGwAbABcACIALAAgAFwAIgBJAG4AZQByAHQAIAB3AGEAcwB0AGUAIAAoAGkAbgBjAGwAdQBkAGkAbgBnACAAYwBvAG4AYwByAGUAdABlACwAIABtAGUAdABhAGwALAAgAHAAbABhAHMAdABpAGMAIABvAHIAIABnAGwAYQBzAHMAKQBcACIALAAgADAALAAgAFwAIgBOAEcAQQBGACAAMgAwADIANQAgAHQAYQBiAGwAZQAgADEANQBcACIAOwBcAG4AIAAgACAAIAAgACAAIAAgAFwAIgBMAGEAbgBkAGYAaQBsAGwAXAAiACwAIABcACIATQB1AG4AaQBjAGkAcABhAGwAIABzAG8AbABpAGQAIAB3AGEAcwB0AGUAXAAiACwAIAAxAC4ANgAsACAAXAAiAE4ARwBBAEYAIAAyADAAMgA1ACAAdABhAGIAbABlACAAMQA1AFwAIgA7AFwAbgAgACAAIAAgACAAIAAgACAAXAAiAEwAYQBuAGQAZgBpAGwAbABcACIALAAgAFwAIgBDAG8AbQBtAGUAcgBjAGkAYQBsACAAYQBuAGQAIABpAG4AZAB1AHMAdAByAGkAYQBsACAAdwBhAHMAdABlAFwAIgAsACAAMQAuADMALAAgAFwAIgBOAEcAQQBGACAAMgAwADIANQAgAHQAYQBiAGwAZQAgADEANQBcACIAOwBcAG4AIAAgACAAIAAgACAAIAAgAFwAIgBMAGEAbgBkAGYAaQBsAGwAXAAiACwAIABcACIAQwBvAG4AcwB0AHIAdQBjAHQAaQBvAG4AIABhAG4AZAAgAGQAZQBtAG8AbABpAHQAaQBvAG4AIAB3AGEAcwB0AGUAXAAiACwAIAAwAC4AMgAsACAAXAAiAE4ARwBBAEYAIAAyADAAMgA1ACAAdABhAGIAbABlACAAMQA1AFwAIgA7AFwAbgAgACAAIAAgACAAIAAgACAAXABuACAAIAAgACAAIAAgACAAIABcACIASQBuAGMAaQBuAGUAcgBhAHQAaQBvAG4AXAAiACwAIABcACIARgBvAG8AZAAgAHcAYQBzAHQAZQAsACAAZwByAGUAZQBuACAAdwBhAHMAdABlACwAIAB3AG8AbwBkACwAIABzAGwAdQBkAGcAZQBcACIALAAgADAALAAgAFwAIgBcACIAOwBcAG4AIAAgACAAIAAgACAAIAAgAFwAIgBJAG4AYwBpAG4AZQByAGEAdABpAG8AbgBcACIALAAgAFwAIgBGAG8AbwBkACAAdwBhAHMAdABlACAAKABpAG4AYwBsAHUAZABpAG4AZwAgAGEAbgBpAG0AYQBsACAAYwBhAHIAYwBhAHMAcwBlAHMALAAgAHMAcABvAGkAbABlAGQAIABhAG4AaQBtAGEAbAAgAGYAZQBlAGQAIABvAHIAIABjAHIAbwBwACkAXAAiACwAIAAwACwAIABcACIAXAAiADsAXABuACAAIAAgACAAIAAgACAAIABcACIASQBuAGMAaQBuAGUAcgBhAHQAaQBvAG4AXAAiACwAIABcACIARwByAGUAZQBuACAAdwBhAHMAdABlACAAKABpAG4AYwBsAHUAZABpAG4AZwAgAGMAcgBvAHAAIAByAGUAcwBpAGQAdQBlAHMAIABvAHIAIABwAHIAdQBuAGkAbgBnAHMAKQBcACIALAAgADAALAAgAFwAIgBcACIAOwBcAG4AIAAgACAAIAAgACAAIAAgAFwAIgBJAG4AYwBpAG4AZQByAGEAdABpAG8AbgBcACIALAAgAFwAIgBXAG8AbwBkAFwAIgAsACAAMAAsACAAXAAiAFwAIgA7AFwAbgAgACAAIAAgACAAIAAgACAAXAAiAEkAbgBjAGkAbgBlAHIAYQB0AGkAbwBuAFwAIgAsACAAXAAiAFMAbAB1AGQAZwBlAFwAIgAsACAAMAAsACAAXAAiAFwAIgA7AFwAbgAgACAAIAAgACAAIAAgACAAXAAiAEkAbgBjAGkAbgBlAHIAYQB0AGkAbwBuAFwAIgAsACAAXAAiAFAAYQBwAGUAcgAgAGEAbgBkACAAYwBhAHIAZABiAG8AYQByAGQAXAAiACwAIAAwAC4AMAAxADYAOQAsACAAXAAiAFwAIgA7AFwAbgAgACAAIAAgACAAIAAgACAAXAAiAEkAbgBjAGkAbgBlAHIAYQB0AGkAbwBuAFwAIgAsACAAXAAiAFQAZQB4AHQAaQBsAGUAcwBcACIALAAgADAALgAzADYANgA3ACwAIABcACIAXAAiADsAXABuACAAIAAgACAAIAAgACAAIABcACIASQBuAGMAaQBuAGUAcgBhAHQAaQBvAG4AXAAiACwAIABcACIAUgB1AGIAYgBlAHIAIABhAG4AZAAgAGwAZQBhAHQAaABlAHIAXAAiACwAIAAwAC4ANAA5ADEAOQAsACAAXAAiAFwAIgA7AFwAbgAgACAAIAAgACAAIAAgACAAXAAiAEkAbgBjAGkAbgBlAHIAYQB0AGkAbwBuAFwAIgAsACAAXAAiAEkAbgBlAHIAdAAgAHcAYQBzAHQAZQAgACgAaQBuAGMAbAB1AGQAaQBuAGcAIABjAG8AbgBjAHIAZQB0AGUALAAgAG0AZQB0AGEAbAAsACAAcABsAGEAcwB0AGkAYwAgAG8AcgAgAGcAbABhAHMAcwApAFwAIgAsACAAMAAuADEAMQAwADAALAAgAFwAIgBcACIAOwBcAG4AIAAgACAAIAAgACAAIAAgAFwAIgBJAG4AYwBpAG4AZQByAGEAdABpAG8AbgBcACIALAAgAFwAIgBNAHUAbgBpAGMAaQBwAGEAbAAgAHMAbwBsAGkAZAAgAHcAYQBzAHQAZQBcACIALAAgADAALgAwADUAMwA3ACwAIABcACIATgBHAEEARgAgADIAMAAyADUAIABUAGEAYgBsAGUAIAAxADgAXAAiADsAXABuACAAIAAgACAAIAAgACAAIABcACIASQBuAGMAaQBuAGUAcgBhAHQAaQBvAG4AXAAiACwAIABcACIAQwBvAG0AbQBlAHIAYwBpAGEAbAAgAGEAbgBkACAAaQBuAGQAdQBzAHQAcgBpAGEAbAAgAHcAYQBzAHQAZQBcACIALAAgADEALgA2ADQAOQAsACAAXAAiAE4ARwBBAEYAIAAyADAAMgA1ACAAVABhAGIAbABlACAAMQA4AFwAIgA7AFwAbgBcAG4AIAAgACAAIAAgACAAIAAgAFwAIgBDAG8AbQBwAG8AcwB0AGkAbgBnAFwAIgAsACAAXAAiAEEAbABsACAAbwByAGcAYQBuAGkAYwAgAHcAYQBzAHQAZQBcACIALAAgADAALgAwADQANgAsACAAXAAiAE4ARwBBAEYAIAAyADAAMgA1ACAAVABhAGIAbABlACAAMQA5AFwAIgA7AFwAbgAgACAAIAAgACAAIAAgACAAXAAiAEMAbwBtAHAAbwBzAHQAaQBuAGcAXAAiACwAIABcACIARgBvAG8AZAAgAHcAYQBzAHQAZQAgACgAaQBuAGMAbAB1AGQAaQBuAGcAIABhAG4AaQBtAGEAbAAgAGMAYQByAGMAYQBzAHMAZQBzACwAIABzAHAAbwBpAGwAZQBkACAAYQBuAGkAbQBhAGwAIABmAGUAZQBkACAAbwByACAAYwByAG8AcAApAFwAIgAsACAAMAAuADAANAA2ACwAIABcACIAXAAiADsAXABuACAAIAAgACAAIAAgACAAIABcACIAQwBvAG0AcABvAHMAdABpAG4AZwBcACIALAAgAFwAIgBHAHIAZQBlAG4AIAB3AGEAcwB0AGUAIAAoAGkAbgBjAGwAdQBkAGkAbgBnACAAYwByAG8AcAAgAHIAZQBzAGkAZAB1AGUAcwAgAG8AcgAgAHAAcgB1AG4AaQBuAGcAcwApAFwAIgAsACAAMAAuADAANAA2ACwAIABcACIAXAAiADsAXABuACAAIAAgACAAIAAgACAAIABcACIAQwBvAG0AcABvAHMAdABpAG4AZwBcACIALAAgAFwAIgBXAG8AbwBkAFwAIgAsACAAMAAuADAANAA2ACwAIABcACIAXAAiADsAXABuACAAIAAgACAAIAAgACAAIABcACIAQwBvAG0AcABvAHMAdABpAG4AZwBcACIALAAgAFwAIgBTAGwAdQBkAGcAZQBcACIALAAgADAALgAwADQANgAsACAAXAAiAFwAIgA7AFwAbgAgACAAIAAgACAAIAAgACAAXAAiAEMAbwBtAHAAbwBzAHQAaQBuAGcAXAAiACwAIABcACIAUABhAHAAZQByACAAYQBuAGQAIABjAGEAcgBkAGIAbwBhAHIAZABcACIALAAgADAALgAwADQANgAsACAAXAAiAFwAIgA7AFwAbgBcAG4AIAAgACAAIAAgACAAIAAgAFwAIgBBAG4AYQBlAHIAbwBiAGkAYwAgAGQAaQBnAGUAcwB0AGkAbwBuAFwAIgAsACAAXAAiAEEAbABsACAAbwByAGcAYQBuAGkAYwAgAHcAYQBzAHQAZQBcACIALAAgADAALgAwADIAOAAsACAAXAAiAE4ARwBBAEYAIAAyADAAMgA1ACAAVABhAGIAbABlACAAMQA5AFwAIgA7AFwAbgAgACAAIAAgACAAIAAgACAAXAAiAEEAbgBhAGUAcgBvAGIAaQBjACAAZABpAGcAZQBzAHQAaQBvAG4AXAAiACwAIABcACIARgBvAG8AZAAgAHcAYQBzAHQAZQAgACgAaQBuAGMAbAB1AGQAaQBuAGcAIABhAG4AaQBtAGEAbAAgAGMAYQByAGMAYQBzAHMAZQBzACwAIABzAHAAbwBpAGwAZQBkACAAYQBuAGkAbQBhAGwAIABmAGUAZQBkACAAbwByACAAYwByAG8AcAApAFwAIgAsACAAMAAuADAAMgA4ACwAIABcACIAXAAiADsAXABuACAAIAAgACAAIAAgACAAIABcACIAQQBuAGEAZQByAG8AYgBpAGMAIABkAGkAZwBlAHMAdABpAG8AbgBcACIALAAgAFwAIgBHAHIAZQBlAG4AIAB3AGEAcwB0AGUAIAAoAGkAbgBjAGwAdQBkAGkAbgBnACAAYwByAG8AcAAgAHIAZQBzAGkAZAB1AGUAcwAgAG8AcgAgAHAAcgB1AG4AaQBuAGcAcwApAFwAIgAsACAAMAAuADAAMgA4ACwAIABcACIAXAAiADsAXABuACAAIAAgACAAIAAgACAAIABcACIAQQBuAGEAZQByAG8AYgBpAGMAIABkAGkAZwBlAHMAdABpAG8AbgBcACIALAAgAFwAIgBXAG8AbwBkAFwAIgAsACAAMAAuADAAMgA4ACwAIABcACIAXAAiADsAXABuACAAIAAgACAAIAAgACAAIABcACIAQQBuAGEAZQByAG8AYgBpAGMAIABkAGkAZwBlAHMAdABpAG8AbgBcACIALAAgAFwAIgBTAGwAdQBkAGcAZQBcACIALAAgADAALgAwADIAOAAsACAAXAAiAFwAIgA7AFwAbgAgACAAIAAgACAAIAAgACAAXAAiAEEAbgBhAGUAcgBvAGIAaQBjACAAZABpAGcAZQBzAHQAaQBvAG4AXAAiACwAIABcACIAUABhAHAAZQByACAAYQBuAGQAIABjAGEAcgBkAGIAbwBhAHIAZABcACIALAAgADAALgAwADIAOAAsACAAXAAiAFwAIgBcAG4AIAAgACAAIAAgACAAfQAsACAAcgAsACAAYwApAFwAbgApACkAKQA7AFwAbgBcAG4AVwBhAHMAdABlAF8ARQBtAGkAcwBzAGkAbwBuAEYAYQBjAHQAbwByAHMARgBvAHIAVwBhAHMAdABlAFQAcgBlAGEAdABtAGUAbgB0AF8AVgBhAHIAaQBhAHQAaQBvAG4AXABuAD0ATABBAE0AQgBEAEEAKABcAG4AIAAgAE0AQQBLAEUAQQBSAFIAQQBZACgANwAsACAAMQAsAFwAbgAgACAAIAAgAEwAQQBNAEIARABBACgAcgAsAGMALABcAG4AIAAgACAAIAAgACAASQBOAEQARQBYACgAewBcAG4AIAAgACAAIAAgACAAIAAgAFwAIgBWAEEAUgBJAEEAVABJAE8ATgAgAE8ATgAgAFMATwBVAFIAQwBFADoAXAAiADsAXABuACAAIAAgACAAIAAgACAAIABcACIARgBpAHgAZQBkACAAdAB5AHAAbwAgACcAcABhAHAAZQByACAAYQBuAGQAIABjAGEAcgBiAG8AYQByAGQAJwAgAHQAbwAgACcAcABhAHAAZQByACAAYQBuAGQAIABjAGEAcgBkAGIAbwBhAHIAZAAnAFwAIgA7AFwAbgAgACAAIAAgACAAIAAgACAAXAAiAEYAaQB4AGUAZAAgAHQAeQBwAG8AIAAnAHAAcgB1AG4AbgBpAG4AZwBzACcAIAB0AG8AIAAnAHAAcgB1AG4AaQBuAGcAcwAnAFwAIgA7AFwAbgAgACAAIAAgACAAIAAgACAAXAAiAEEAZABkAGUAZAAgAEUARgAgAHMAbwB1AHIAYwBlACAAYwBvAGwAdQBtAG4AIAB3AGkAdABoACAAcwBwAGUAYwBpAGYAaQBjACAAcgBlAGYAZQByAGUAbgBjAGUAcwBcACIAOwBcAG4AIAAgACAAIAAgACAAIAAgAFwAIgBBAGQAZABlAGQAIABzAHUAYgAtAGMAYQB0AGUAZwBvAHIAaQBlAHMAIABmAG8AcgAgACcASQBuAGMAaQBuAGUAcgBhAHQAaQBvAG4AOgAgAEYAbwBvAGQAIAB3AGEAcwB0AGUALAAgAGcAcgBlAGUAbgAgAHcAYQBzAHQAZQAsACAAdwBvAG8AZAAsACAAcwBsAHUAZABnAGUAJwAgAGkAbgAgAG8AcgBkAGUAcgAgAHQAbwAgAHUAcwBlACAAdgBvAGwAdQBtAGUAIAB0AG8AIABtAGEAcwBzACAAYwBvAG4AdgBlAHIAcwBpAG8AbgAgAGYAYQBjAHQAbwByACAAdgBhAGwAdQBlAHMAXAAiADsAXABuACAAIAAgACAAIAAgACAAIABcACIAQQBkAGQAZQBkACAAcwB1AGIALQBjAGEAdABlAGcAbwByAGkAZQBzACAAZgBvAHIAIAAnAEMAbwBtAHAAbwBzAHQAaQBuAGcAOgAgAEEAbABsACAAbwByAGcAYQBuAGkAYwAgAHcAYQBzAHQAZQAnACAAaQBuACAAbwByAGQAZQByACAAdABvACAAdQBzAGUAIAB2AG8AbAB1AG0AZQAgAHQAbwAgAG0AYQBzAHMAIABjAG8AbgB2AGUAcgBzAGkAbwBuACAAZgBhAGMAdABvAHIAIAB2AGEAbAB1AGUAcwBcACIAOwBcAG4AIAAgACAAIAAgACAAIAAgAFwAIgBBAGQAZABlAGQAIABzAHUAYgAtAGMAYQB0AGUAZwBvAHIAaQBlAHMAIABmAG8AcgAgACcAQQBuAGEAZQByAG8AYgBpAGMAIABkAGkAZwBlAHMAdABpAG8AbgA6ACAAQQBsAGwAIABvAHIAZwBhAG4AaQBjACAAdwBhAHMAdABlACcAIABpAG4AIABvAHIAZABlAHIAIAB0AG8AIAB1AHMAZQAgAHYAbwBsAHUAbQBlACAAdABvACAAbQBhAHMAcwAgAGMAbwBuAHYAZQByAHMAaQBvAG4AIABmAGEAYwB0AG8AcgAgAHYAYQBsAHUAZQBz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QQAuADQALgAxAC4AMgA6ACAAVgBvAGwAdQBtAGUAIAB0AG8AIABtAGEAcwBzACAAYwBvAG4AdgBlAHIAcwBpAG8AbgAgAGYAYQBjAHQAbwByACAAZgBvAHIAIAB2AGEAcgBpAG8AdQBzACAAdwBhAHMAdABlACAAdAB5AHAAZQBzACAAKAB0AC8AbQAzACkAIAAoAFYAVABNAHcAKQBcAG4APQA9AD0APQA9AD0APQA9AD0APQA9AD0APQA9AD0APQA9AD0APQA9AD0APQA9AD0APQA9AD0APQA9AD0APQA9AD0APQA9AD0APQA9AD0APQA9AD0APQA9AD0APQA9AD0APQA9AD0APQA9AD0APQA9AD0APQA9AD0APQA9AD0APQA9AD0APQA9AD0APQA9AD0APQA9AD0APQBcAG4AKgAvAFwAbgBcAG4AVwBhAHMAdABlAF8AVwBhAHMAdABlAFYAbwBsAHUAbQBlAFQAbwBNAGEAcwBzAEMAbwBuAHYAZQByAHMAaQBvAG4AXwBUAGkAdABsAGUAXABuAD0ATABBAE0AQgBEAEEAKAAoAFwAIgBWAG8AbAB1AG0AZQAgAHQAbwAgAG0AYQBzAHMAIABjAG8AbgB2AGUAcgBzAGkAbwBuACAAZgBhAGMAdABvAHIAIABmAG8AcgAgAHYAYQByAGkAbwB1AHMAIAB3AGEAcwB0AGUAIAB0AHkAcABlAHMAXAAiACkAKQA7AFwAbgBcAG4AVwBhAHMAdABlAF8AVwBhAHMAdABlAFYAbwBsAHUAbQBlAFQAbwBNAGEAcwBzAEMAbwBuAHYAZQByAHMAaQBvAG4AXwBWAGEAcgBpAGEAYgBsAGUAXABuAD0ATABBAE0AQgBEAEEAKAAoAFwAIgBWAFQATQB3AFwAIgApACkAOwBcAG4AXABuAFcAYQBzAHQAZQBfAFcAYQBzAHQAZQBWAG8AbAB1AG0AZQBUAG8ATQBhAHMAcwBDAG8AbgB2AGUAcgBzAGkAbwBuAF8AVQBuAGkAdABcAG4APQBMAEEATQBCAEQAQQAoACgAXAAiAHQALwBtADMAXAAiACkAKQA7AFwAbgBcAG4AVwBhAHMAdABlAF8AVwBhAHMAdABlAFYAbwBsAHUAbQBlAFQAbwBNAGEAcwBzAEMAbwBuAHYAZQByAHMAaQBvAG4AXwBTAG8AdQByAGMAZQBcAG4APQBMAEEATQBCAEQAQQAoACgAXAAiAFYARQBFAFIARwAgADIAMAAyADYAOgAgAFQAYQBiAGwAZQAgAEEALgA0AC4AMQAuADIAXAAiACkAKQA7AFwAbgBcAG4AVwBhAHMAdABlAF8AVwBhAHMAdABlAFYAbwBsAHUAbQBlAFQAbwBNAGEAcwBzAEMAbwBuAHYAZQByAHMAaQBvAG4AXwBEAGEAdABhAFwAbgA9AEwAQQBNAEIARABBACgAXABuACAAIABNAEEASwBFAEEAUgBSAEEAWQAoADEAMgAsACAAMgAsAFwAbgAgACAAIAAgAEwAQQBNAEIARABBACgAcgAsAGMALABcAG4AIAAgACAAIAAgACAASQBOAEQARQBYACgAewBcAG4AIAAgACAAIAAgACAAIAAgAFwAIgBXAGEAcwB0AGUAIAB0AHkAcABlACAAdwBcACIALAAgAFwAIgBWAFQATQB3AFwAIgA7AFwAbgAgACAAIAAgACAAIAAgACAAXAAiAEYAbwBvAGQAIAB3AGEAcwB0AGUAIAAoAGkAbgBjAGwAdQBkAGkAbgBnACAAYQBuAGkAbQBhAGwAIABjAGEAcgBjAGEAcwBzAGUAcwAsACAAcwBwAG8AaQBsAGUAZAAgAGEAbgBpAG0AYQBsACAAZgBlAGUAZAAgAG8AcgAgAGMAcgBvAHAAKQBcACIALAAgADAALgA1ADAAOwBcAG4AIAAgACAAIAAgACAAIAAgAFwAIgBQAGEAcABlAHIAIABhAG4AZAAgAGMAYQByAGQAYgBvAGEAcgBkAFwAIgAsACAAMAAuADAAOQA7AFwAbgAgACAAIAAgACAAIAAgACAAXAAiAEcAcgBlAGUAbgAgAHcAYQBzAHQAZQAgACgAaQBuAGMAbAB1AGQAaQBuAGcAIABjAHIAbwBwACAAcgBlAHMAaQBkAHUAZQBzACAAbwByACAAcAByAHUAbgBpAG4AZwBzACkAXAAiACwAIAAwAC4AMgA0ADsAXABuACAAIAAgACAAIAAgACAAIABcACIAVwBvAG8AZABcACIALAAgADAALgAxADUAOwBcAG4AIAAgACAAIAAgACAAIAAgAFwAIgBUAGUAeAB0AGkAbABlAHMAXAAiACwAIAAwAC4AMQA0ADsAXABuACAAIAAgACAAIAAgACAAIABcACIAUwBsAHUAZABnAGUAXAAiACwAIAAwAC4ANwAyADsAXABuACAAIAAgACAAIAAgACAAIABcACIAUgB1AGIAYgBlAHIAIABhAG4AZAAgAGwAZQBhAHQAaABlAHIAXAAiACwAIAAwAC4AMQA0ADsAXABuACAAIAAgACAAIAAgACAAIABcACIASQBuAGUAcgB0ACAAdwBhAHMAdABlACAAKABpAG4AYwBsAHUAZABpAG4AZwAgAGMAbwBuAGMAcgBlAHQAZQAsACAAbQBlAHQAYQBsACwAIABwAGwAYQBzAHQAaQBjACAAbwByACAAZwBsAGEAcwBzACkAXAAiACwAIAAwAC4ANAAyADsAXABuACAAIAAgACAAIAAgACAAIABcACIATQB1AG4AaQBjAGkAcABhAGwAIABzAG8AbABpAGQAIAB3AGEAcwB0AGUAXAAiACwAIAAwAC4AMwA2ADsAXABuACAAIAAgACAAIAAgACAAIABcACIAQwBvAG0AbQBlAHIAYwBpAGEAbAAgAGEAbgBkACAAaQBuAGQAdQBzAHQAcgBpAGEAbAAgAHcAYQBzAHQAZQBcACIALAAgADAALgAzADMAOwBcAG4AIAAgACAAIAAgACAAIAAgAFwAIgBDAG8AbgBzAHQAcgB1AGMAdABpAG8AbgAgAGEAbgBkACAAZABlAG0AbwBsAGkAdABpAG8AbgAgAHcAYQBzAHQAZQBcACIALAAgADAALgAzADkAXABuACAAIAAgACAAIAAgAH0ALAAgAHIALAAgAGMAKQBcAG4AKQApACkAOwBcAG4AXABuAFcAYQBzAHQAZQBfAFcAYQBzAHQAZQBWAG8AbAB1AG0AZQBUAG8ATQBhAHMAcwBDAG8AbgB2AGUAcgBzAGkAbwBuAF8AVgBhAHIAaQBhAHQAaQBvAG4AXABuAD0ATABBAE0AQgBEAEEAKAAoAFwAIgBWAEEAUgBJAEEAVABJAE8ATgAgAE8ARgAgAFMATwBVAFIAQwBFADoAIABDAGgAYQBuAGcAZQBkACAAYwBvAGwAdQBtAG4AIABoAGUAYQBkAGUAcgAgAEMARgB3ACAAdABvACAAVgBUAE0AdwAgAHQAbwAgAG0AYQB0AGMAaAAgAHQAaQB0AGwAZQAgAHYAYQByAGkAYQBiAGwAZQAuAFwAIgApACkAOwBcAG4AXABuAFwAbgAiAH0ALAB7ACIAcABhAHQAaAAiADoAIgAvAHAAcgBvAGoAZQBjAHQAcwAvAFcAYQBzAHQAZQBTAG8AbABpAGQAXwBFAHEAdQBhAHQAaQBvAG4AcwAiACwAIgB0AGUAeAB0ACIAOgAiAC8AKgBcAG4APQA9AD0APQA9AD0APQA9AD0APQA9AD0APQA9AD0APQA9AD0APQA9AD0APQA9AD0APQA9AD0APQA9AD0APQA9AD0APQA9AD0APQA9AD0APQA9AD0APQA9AD0APQA9AD0APQA9AD0APQA9AD0APQA9AD0APQA9AD0APQA9AD0APQA9AD0APQA9AD0APQA9AD0APQA9AD0APQBcAG4AMQAwAC4AMQA6ACAAVwBhAHMAdABlAFwAbgA9AD0APQA9AD0APQA9AD0APQA9AD0APQA9AD0APQA9AD0APQA9AD0APQA9AD0APQA9AD0APQA9AD0APQA9AD0APQA9AD0APQA9AD0APQA9AD0APQA9AD0APQA9AD0APQA9AD0APQA9AD0APQA9AD0APQA9AD0APQA9AD0APQA9AD0APQA9AD0APQA9AD0APQA9AD0APQA9AFwAbgAxADAALgAxAC4AMQAuADEAIABNAGUAdABoAG8AZAAgADEAIAAtACAAUwBvAGwAaQBkACAAVwBhAHMAdABlACAAVAByAGUAYQB0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AAXwAxAF8AMQBfADEAXwBfADEAXwBFAG0AaQBzAHMAaQBvAG4AcwBGAHIAbwBtAFcAYQBzAHQAZQBNAGEAbgBhAGcAZQBtAGUAbgB0AFwAbgBFAG0AaQBzAHMAaQBvAG4AcwAgAGYAcgBvAG0AIAB3AGEAcwB0AGUAIABtAGEAbgBhAGcAZQBtAGUAbgB0ACAAYgB5ACAAZwByAGUAZQBuAGgAbwB1AHMAZQAgAGcAYQBzAFwAbgBFAF8AZwBcAG4AdAAgAEMATwAyAGUAXABuAEUAXwBnAD0AXABcAHMAdQBtAF8AdABcAFwAcwB1AG0AXwB3ACgAUQBfAHcAdABcAFwAdABpAG0AZQBzACAARQBGAF8AdwB0AGcAKQBcAG4AUQBfAHcAdAAgAD0AIABxAHUAYQBuAHQAaQB0AHkAIABvAGYAIABzAG8AbABpAGQAIAB3AGEAcwB0AGUAIABvAGYAIAB0AHkAcABlACAAdwAgAGIAZQBpAG4AZwAgAHMAZQBuAHQAIAB0AG8AIAB0AHIAZQBhAHQAbQBlAG4AdAAgAGYAYQBjAGkAbABpAHQAeQAgAHQALAAgAG8AbgAgAGEAIAB3AGUAdAAgAHcAZQBpAGcAaAB0ACAAYgBhAHMAaQBzACAAKAB0ACkAXABuAEUARgBfAHcAdABnACAAPQAgAGUAbQBpAHMAcwBpAG8AbgAgAGYAYQBjAHQAbwByACAAZgBvAHIAIABnAHIAZQBlAG4AaABvAHUAcwBlACAAZwBhAHMAIABnACAAZgBvAHIAIAB0AGgAZQAgAG0AYQBuAGEAZwBlAG0AZQBuAHQAIABvAGYAIAB3AGEAcwB0AGUAIABhAHQAIAB0AHIAZQBhAHQAbQBlAG4AdAAgAGYAYQBjAGkAbABpAHQAeQAgAHQAIAAoAHQAIABDAE8AMgBlAC8AdAApAFwAbgAtAC0ALQAtAC0ALQAtAC0ALQAtAC0ALQAtAC0ALQAtAC0ALQAtAC0ALQAtAC0ALQAtAC0ALQAtAC0ALQAtAC0ALQAtAC0ALQAtAC0AXABuACoALwBcAG4AXABuAFYARQBFAFIARwBfADEAMABfADEAXwAxAF8AMQBfAF8AMQBfAEUAbQBpAHMAcwBpAG8AbgBzAEYAcgBvAG0AVwBhAHMAdABlAE0AYQBuAGEAZwBlAG0AZQBuAHQAXABuACAAIAA9AEwAQQBNAEIARABBACgAXABuACAAIAAgACAAUQBfAHcAdAAsACAARQBGAF8AdwB0AGcALABcAG4AIAAgACAAIABRAF8AdwB0ACAAKgAgAEUARgBfAHcAdABnAFwAbgAgACAAKQA7AFwAbgBcAG4AVgBFAEUAUgBHAF8AMQAwAF8AMQBfADEAXwAxAF8AXwAxAF8ARQBtAGkAcwBzAGkAbwBuAHMARgByAG8AbQBXAGEAcwB0AGUATQBhAG4AYQBnAGUAbQBlAG4AdABfAFQAaQB0AGwAZQBcAG4AIAAgAD0ATABBAE0AQgBEAEEAKABcACIARQBtAGkAcwBzAGkAbwBuAHMAIABmAHIAbwBtACAAdwBhAHMAdABlACAAbQBhAG4AYQBnAGUAbQBlAG4AdAAgAGIAeQAgAGcAcgBlAGUAbgBoAG8AdQBzAGUAIABnAGEAcwBcACIAKQA7AFwAbgBcAG4AVgBFAEUAUgBHAF8AMQAwAF8AMQBfADEAXwAxAF8AXwAxAF8ARQBtAGkAcwBzAGkAbwBuAHMARgByAG8AbQBXAGEAcwB0AGUATQBhAG4AYQBnAGUAbQBlAG4AdABfAFYAYQByAGkAYQBiAGwAZQBcAG4AIAAgAD0ATABBAE0AQgBEAEEAKABcACIARQBfAGcAXAAiACkAOwBcAG4AXABuAFYARQBFAFIARwBfADEAMABfADEAXwAxAF8AMQBfAF8AMQBfAEUAbQBpAHMAcwBpAG8AbgBzAEYAcgBvAG0AVwBhAHMAdABlAE0AYQBuAGEAZwBlAG0AZQBuAHQAXwBVAG4AaQB0AFwAbgAgACAAPQBMAEEATQBCAEQAQQAoAFwAIgB0ACAAQwBPADIAZQBcACIAKQA7AFwAbgBcAG4AVgBFAEUAUgBHAF8AMQAwAF8AMQBfADEAXwAxAF8AXwAxAF8ARQBtAGkAcwBzAGkAbwBuAHMARgByAG8AbQBXAGEAcwB0AGUATQBhAG4AYQBnAGUAbQBlAG4AdABfAFMAbwB1AHIAYwBlAFwAbgAgACAAPQBMAEEATQBCAEQAQQAoAFwAIgBWAEUARQBSAEcAIAAyADAAMgA2ADoAIAAxADAALgAxAC4AMQAuADEALAAgAEUAcQB1AGEAdABpAG8AbgAgACgAMQApAFwAIgApADsAXABuAFwAbgBWAEUARQBSAEcAXwAxADAAXwAxAF8AMQBfADEAXwBfADEAXwBFAG0AaQBzAHMAaQBvAG4AcwBGAHIAbwBtAFcAYQBzAHQAZQBNAGEAbgBhAGcAZQBtAGUAbgB0AF8ATgBJAFIAUgBlAGYAZQByAGUAbgBjAGUAXABuACAAIAA9AEwAQQBNAEIARABBACgAXAAiAFwAIgApADsAXABuAFwAbgBWAEUARQBSAEcAXwAxADAAXwAxAF8AMQBfADEAXwBfADEAXwBFAG0AaQBzAHMAaQBvAG4AcwBGAHIAbwBtAFcAYQBzAHQAZQBNAGEAbgBhAGcAZQBtAGUAbgB0AF8ATABhAHQAZQB4AEUAcQB1AGEAdABpAG8AbgBcAG4AIAAgAD0ATABBAE0AQgBEAEEAKABcACIARQBfAGcAPQBcAFwAcwB1AG0AXABcAG4AbwBsAGkAbQBpAHQAcwBfAHQAXABcAHMAdQBtAFwAXABuAG8AbABpAG0AaQB0AHMAXwB3ACgAUQBfAHsAdwB0AH0AXABcAHQAaQBtAGUAcwAgAEUARgBfAHsAdwB0AGcAfQApAFwAIgApADsAXABuAFwAbgBWAEUARQBSAEcAXwAxADAAXwAxAF8AMQBfADEAXwBfADEAXwBFAG0AaQBzAHMAaQBvAG4AcwBGAHIAbwBtAFcAYQBzAHQAZQBNAGEAbgBhAGcAZQBtAGUAbgB0AF8AQQByAGcAdQBtAGUAbgB0AHMAXABuACAAIAA9AEwAQQBNAEIARABBACgAXABuACAAIAAgACAATQBBAEsARQBBAFIAUgBBAFkAKAA3ACwAIAA0ACwAXABuACAAIAAgACAAIAAgAEwAQQBNAEIARABBACgAcgAsAGMALABcAG4AIAAgACAAIAAgACAAIAAgAEkATgBEAEUAWAAoAHsAXABuACAAIAAgACAAIAAgACAAIAAgACAAXAAiAFEAXwB3AHQAXAAiACwAIABcACIAcQB1AGEAbgB0AGkAdAB5ACAAbwBmACAAcwBvAGwAaQBkACAAdwBhAHMAdABlACAAbwBmACAAdAB5AHAAZQAgAHcAIABiAGUAaQBuAGcAIABzAGUAbgB0ACAAdABvACAAdAByAGUAYQB0AG0AZQBuAHQAIABmAGEAYwBpAGwAaQB0AHkAIAB0ACwAIABvAG4AIABhACAAdwBlAHQAIAB3AGUAaQBnAGgAdAAgAGIAYQBzAGkAcwBcACIALAAgAFwAIgB0AFwAIgAsACAAXAAiAFMAdQBtACAAbwBmACAAUQBfAHYAbwBsAHcAdAAgAGEAbgBkACAAUQBfAG0AYQBzAHMAdwB0AFwAIgA7AFwAbgAgACAAIAAgACAAIAAgACAAIAAgAFwAIgBFAEYAXwB3AHQAZwBcACIALAAgAFwAIgBlAG0AaQBzAHMAaQBvAG4AIABmAGEAYwB0AG8AcgAgAGYAbwByACAAZwByAGUAZQBuAGgAbwB1AHMAZQAgAGcAYQBzACAAZwAgAGYAbwByACAAdABoAGUAIABtAGEAbgBhAGcAZQBtAGUAbgB0ACAAbwBmACAAdwBhAHMAdABlACAAYQB0ACAAdAByAGUAYQB0AG0AZQBuAHQAIABmAGEAYwBpAGwAaQB0AHkAIAB0AFwAIgAsACAAXAAiAHQAIABDAE8AMgBlAC8AdA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A7AFwAbgAgACAAIAAgACAAIAAgACAAIAAgAFwAIgBnAFwAIgAsACAAXAAiAGcAcgBlAGUAbgBoAG8AdQBzAGUAIABnAGEAcwBcACIALAAgAFwAIgBcACIALAAgAFwAIgBJAG4AcAB1AHQAXAAiADsAXABuACAAIAAgACAAIAAgACAAIAAgACAAXAAiAFEAXwB2AG8AbAB3AHQAXAAiACwAIABcACIAcQB1AGEAbgB0AGkAdAB5ACAAbwBmACAAcwBvAGwAZAAgAHcAYQBzAHQAZQAgAGkAbgBwAHUAdAAgAGEAcwAgAHYAbwBsAHUAbQBlACAAYQBuAGQAIABjAG8AbgB2AGUAcgB0AGUAZAAgAHQAbwAgAHQAbwBuAG4AZQBzAFwAIgAsACAAXAAiAHQAbwBuAG4AZQBzAFwAIgAsACAAXAAiAEMAYQBsAGMAdQBsAGEAdABlAGQAIABmAHIAbwBtACAAMQAwAC4AMQAuADEALgAxACAAKAAyACkAXAAiADsAXABuACAAIAAgACAAIAAgACAAIAAgACAAXAAiAFEAXwBtAGEAcwBzAHcAdABcACIALAAgAFwAIgBxAHUAYQBuAHQAaQB0AHkAIABvAGYAIABzAG8AbABpAGQAIAB3AGEAcwB0AGUAIABpAG4AcAB1AHQAIABhAHMAIABtAGEAcwBzAFwAIgAsACAAXAAiAHQAbwBuAG4AZQBzAFwAIgAsACAAXAAiAEkAbgBwAHUAdABcACIAXABuACAAIAAgACAAIAAgACAAIAB9ACwAIAByACwAIABjACkAXABuACAAIAAgACAAIAAgACkAXABuACAAIAAgACAAKQBcAG4AIAAgACkAOwBcAG4AXABuAFYARQBFAFIARwBfADEAMABfADEAXwAxAF8AMQBfAF8AMQBfAEUAbQBpAHMAcwBpAG8AbgBzAEYAcgBvAG0AVwBhAHMAdABlAE0AYQBuAGEAZwBlAG0AZQBuAHQAXwBWAGEAcgBpAGEAdABpAG8AbgBcAG4AIAAgAD0ATABBAE0AQgBEAEEAKABcACIAVgBBAFIASQBBAFQASQBPAE4AIABPAE4AIABTAE8AVQBSAEMARQA6ACAAQQBkAGQAZQBkACAAUQBfAHYAbwBsAHcAdAAgAGEAbgBkACAAUQBfAG0AYQBzAHMAdwB0ACAAdgBhAHIAaQBhAGIAbABlAHMAIAB0AG8AIABjAGwAZQBhAHIAbAB5ACAAdAByAGEAYwBrACAAaQBuAHAAdQB0ACAAbwByACAAYwBhAGwAYwB1AGwAYQB0AGUAZAAgAFEAIAB2AGEAbAB1AGUAcwBcACIAKQA7AFwAbgBcAG4ALwAqAFwAbgAtAC0ALQAtAC0ALQAtAC0ALQAtAC0ALQAtAC0ALQAtAC0ALQAtAC0ALQAtAC0ALQAtAC0ALQAtAC0ALQAtAC0ALQAtAC0ALQAtAC0AXABuAFYARQBFAFIARwBfADEAMABfADEAXwAxAF8AMQBfAF8AMgBfAE0AYQBzAHMATwBmAFcAYQBzAHQAZQBGAHIAbwBtAFYAbwBsAHUAbQBlAFwAbgBNAGEAcwBzACAAbwBmACAAdwBhAHMAdABlACAAZgByAG8AbQAgAHcAYQBzAHQAZQAgAHYAbwBsAHUAbQBlAFwAbgBRAF8AdwB0AFwAbgB0AFwAbgBRAF8AdwB0AD0AVgBfAHcAdABcAFwAdABpAG0AZQBzACAAVgBUAE0AXwB3AFwAbgBWAF8AdwB0ACAAPQAgAHYAbwBsAHUAbQBlACAAbwBmACAAcwBvAGwAaQBkACAAdwBhAHMAdABlACAAdAB5AHAAZQAgAHcAIABiAGUAaQBuAGcAIABzAGUAbgB0ACAAdABvACAAdAByAGUAYQB0AG0AZQBuAHQAIABmAGEAYwBpAGwAaQB0AHkAIAB0ACAAKABtADMAKQBcAG4AVgBUAE0AXwB3ACAAPQAgAGMAbwBuAHYAZQByAHMAaQBvAG4AIABmAGEAYwB0AG8AcgAgAG8AZgAgAHYAbwBsAHUAbQBlACAAdABvACAAbQBhAHMAcwAgAGYAbwByACAAdwBhAHMAdABlACAAdAB5AHAAZQAgAHcAIAAoAHQALwBtADMAKQBcAG4ALQAtAC0ALQAtAC0ALQAtAC0ALQAtAC0ALQAtAC0ALQAtAC0ALQAtAC0ALQAtAC0ALQAtAC0ALQAtAC0ALQAtAC0ALQAtAC0ALQAtAFwAbgAqAC8AXABuAFwAbgBWAEUARQBSAEcAXwAxADAAXwAxAF8AMQBfADEAXwBfADIAXwBNAGEAcwBzAE8AZgBXAGEAcwB0AGUARgByAG8AbQBWAG8AbAB1AG0AZQBcAG4AIAAgAD0ATABBAE0AQgBEAEEAKABcAG4AIAAgACAAIABWAF8AdwB0ACwAIABWAFQATQBfAHcALABcAG4AIAAgACAAIABWAF8AdwB0ACAAKgAgAFYAVABNAF8AdwBcAG4AIAAgACkAOwBcAG4AXABuAFYARQBFAFIARwBfADEAMABfADEAXwAxAF8AMQBfAF8AMgBfAE0AYQBzAHMATwBmAFcAYQBzAHQAZQBGAHIAbwBtAFYAbwBsAHUAbQBlAF8AVABpAHQAbABlAFwAbgAgACAAPQBMAEEATQBCAEQAQQAoAFwAIgBNAGEAcwBzACAAbwBmACAAdwBhAHMAdABlACAAZgByAG8AbQAgAHcAYQBzAHQAZQAgAHYAbwBsAHUAbQBlAFwAIgApADsAXABuAFwAbgBWAEUARQBSAEcAXwAxADAAXwAxAF8AMQBfADEAXwBfADIAXwBNAGEAcwBzAE8AZgBXAGEAcwB0AGUARgByAG8AbQBWAG8AbAB1AG0AZQBfAFYAYQByAGkAYQBiAGwAZQBcAG4AIAAgAD0ATABBAE0AQgBEAEEAKABcACIAUQBfAHcAdABcACIAKQA7AFwAbgBcAG4AVgBFAEUAUgBHAF8AMQAwAF8AMQBfADEAXwAxAF8AXwAyAF8ATQBhAHMAcwBPAGYAVwBhAHMAdABlAEYAcgBvAG0AVgBvAGwAdQBtAGUAXwBVAG4AaQB0AFwAbgAgACAAPQBMAEEATQBCAEQAQQAoAFwAIgB0AFwAIgApADsAXABuAFwAbgBWAEUARQBSAEcAXwAxADAAXwAxAF8AMQBfADEAXwBfADIAXwBNAGEAcwBzAE8AZgBXAGEAcwB0AGUARgByAG8AbQBWAG8AbAB1AG0AZQBfAFMAbwB1AHIAYwBlAFwAbgAgACAAPQBMAEEATQBCAEQAQQAoAFwAIgBWAEUARQBSAEcAIAAyADAAMgA2ADoAIAAxADAALgAxAC4AMQAuADEALAAgAEUAcQB1AGEAdABpAG8AbgAgACgAMgApAFwAIgApADsAXABuAFwAbgBWAEUARQBSAEcAXwAxADAAXwAxAF8AMQBfADEAXwBfADIAXwBNAGEAcwBzAE8AZgBXAGEAcwB0AGUARgByAG8AbQBWAG8AbAB1AG0AZQBfAE4ASQBSAFIAZQBmAGUAcgBlAG4AYwBlAFwAbgAgACAAPQBMAEEATQBCAEQAQQAoAFwAIgBcACIAKQA7AFwAbgBcAG4AVgBFAEUAUgBHAF8AMQAwAF8AMQBfADEAXwAxAF8AXwAyAF8ATQBhAHMAcwBPAGYAVwBhAHMAdABlAEYAcgBvAG0AVgBvAGwAdQBtAGUAXwBMAGEAdABlAHgARQBxAHUAYQB0AGkAbwBuAFwAbgAgACAAPQBMAEEATQBCAEQAQQAoAFwAIgBRAF8AewB3AHQAfQA9AFYAXwB7AHcAdAB9AFwAXAB0AGkAbQBlAHMAIABWAFQATQBfAHcAXAAiACkAOwBcAG4AXABuAFYARQBFAFIARwBfADEAMABfADEAXwAxAF8AMQBfAF8AMgBfAE0AYQBzAHMATwBmAFcAYQBzAHQAZQBGAHIAbwBtAFYAbwBsAHUAbQBlAF8AQQByAGcAdQBtAGUAbgB0AHMAXABuACAAIAA9AEwAQQBNAEIARABBACgAXABuACAAIAAgACAATQBBAEsARQBBAFIAUgBBAFkAKAA0ACwAIAA0ACwAXABuACAAIAAgACAAIAAgAEwAQQBNAEIARABBACgAcgAsAGMALABcAG4AIAAgACAAIAAgACAAIAAgAEkATgBEAEUAWAAoAHsAXABuACAAIAAgACAAIAAgACAAIAAgACAAXAAiAFYAXwB3AHQAXAAiACwAIABcACIAdgBvAGwAdQBtAGUAIABvAGYAIABzAG8AbABpAGQAIAB3AGEAcwB0AGUAIAB0AHkAcABlACAAdwAgAGIAZQBpAG4AZwAgAHMAZQBuAHQAIAB0AG8AIAB0AHIAZQBhAHQAbQBlAG4AdAAgAGYAYQBjAGkAbABpAHQAeQAgAHQAXAAiACwAIABcACIAbQAzAFwAIgAsACAAXAAiAEkAbgBwAHUAdABcACIAOwBcAG4AIAAgACAAIAAgACAAIAAgACAAIABcACIAVgBUAE0AXwB3AFwAIgAsACAAXAAiAGMAbwBuAHYAZQByAHMAaQBvAG4AIABmAGEAYwB0AG8AcgAgAG8AZgAgAHYAbwBsAHUAbQBlACAAdABvACAAbQBhAHMAcwAgAGYAbwByACAAdwBhAHMAdABlACAAdAB5AHAAZQAgAHcAXAAiACwAIABcACIAdAAvAG0AMw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BcAG4AIAAgACAAIAAgACAAIAAgAH0ALAAgAHIALAAgAGMAKQBcAG4AIAAgACAAIAAgACAAKQBcAG4AIAAgACAAIAApAFwAbgAgACAAKQA7AFwAbgAiAH0AXQAsACIAcAByAG8AagBlAGMAdABOAGEAbQBlAHMAIgA6AFsAIgBWAGEAbABpAGQATABpAHYAZQBzAHQAbwBjAGsAQwBsAGEAcwBzACIALAAiAEYAdQBlAGwAXwBTAG8AdQByAGMAZQBEAGEAdABhAC4ARgB1AGUAbABfAFMAYwBvAHAAZQAxAEUAbQBpAHMAcwBpAG8AbgBGAGEAYwB0AG8AcgBzAFMAdABhAHQAaQBvAG4AYQByAHkARwBhAHMAZQBvAHUAcwBfAFQAaQB0AGwAZQAiACwAIgBGAHUAZQBsAF8AUwBvAHUAcgBjAGUARABhAHQAYQAuAEYAdQBlAGwAXwBTAGMAbwBwAGUAMQBFAG0AaQBzAHMAaQBvAG4ARgBhAGMAdABvAHIAcwBTAHQAYQB0AGkAbwBuAGEAcgB5AEcAYQBzAGUAbwB1AHMAXwBEAGUAcwBjAHIAaQBwAHQAaQBvAG4AIgAsACIARgB1AGUAbABfAFMAbwB1AHIAYwBlAEQAYQB0AGEALgBGAHUAZQBsAF8AUwBjAG8AcABlADEARQBtAGkAcwBzAGkAbwBuAEYAYQBjAHQAbwByAHMAUwB0AGEAdABpAG8AbgBhAHIAeQBHAGEAcwBlAG8AdQBzAF8AUwBvAHUAcgBjAGUAIgAsACIARgB1AGUAbABfAFMAbwB1AHIAYwBlAEQAYQB0AGEALgBGAHUAZQBsAF8AUwBjAG8AcABlADEARQBtAGkAcwBzAGkAbwBuAEYAYQBjAHQAbwByAHMAUwB0AGEAdABpAG8AbgBhAHIAeQBHAGEAcwBlAG8AdQBzAF8ARABhAHQAYQAiACwAIgBGAHUAZQBsAF8AUwBvAHUAcgBjAGUARABhAHQAYQAuAEYAdQBlAGwAXwBTAGMAbwBwAGUAMQ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UAGkAdABsAGUAIgAsACIARgB1AGUAbABfAFMAbwB1AHIAYwBlAEQAYQB0AGEALgBGAHUAZQBsAF8AUwBjAG8AcABlADMARQBtAGkAcwBzAGkAbwBuAEYAYQBjAHQAbwByAHMAUwB0AGEAdABpAG8AbgBhAHIAeQBHAGEAcwBlAG8AdQBzAF8ARABlAHMAYwByAGkAcAB0AGkAbwBuACIALAAiAEYAdQBlAGwAXwBTAG8AdQByAGMAZQBEAGEAdABhAC4ARgB1AGUAbABfAFMAYwBvAHAAZQAzAEUAbQBpAHMAcwBpAG8AbgBGAGEAYwB0AG8AcgBzAFMAdABhAHQAaQBvAG4AYQByAHkARwBhAHMAZQBvAHUAcwBfAFMAbwB1AHIAYwBlACIALAAiAEYAdQBlAGwAXwBTAG8AdQByAGMAZQBEAGEAdABhAC4ARgB1AGUAbABfAFMAYwBvAHAAZQAzAEUAbQBpAHMAcwBpAG8AbgBGAGEAYwB0AG8AcgBzAFMAdABhAHQAaQBvAG4AYQByAHkARwBhAHMAZQBvAHUAcwBfAEQAYQB0AGEAIgAsACIARgB1AGUAbABfAFMAbwB1AHIAYwBlAEQAYQB0AGEALgBGAHUAZQBsAF8AUwBjAG8AcABlADM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QQBwAHAAZQBuAGQAaQBjAGUAcwAiACwAIgBGAHUAZQBsAF8AUwBvAHUAcgBjAGUARABhAHQAYQAuAEYAdQBlAGwAXwBTAGMAbwBwAGUAMQBTAGMAbwBwAGUAMwBFAG0AaQBzAHMAaQBvAG4ARgBhAGMAdABvAHIAcwBTAHQAYQB0AGkAbwBuAGEAcgB5AEwAaQBxAHUAaQBkAF8AVABpAHQAbABlACIALAAiAEYAdQBlAGwAXwBTAG8AdQByAGMAZQBEAGEAdABhAC4ARgB1AGUAbABfAFMAYwBvAHAAZQAxAFMAYwBvAHAAZQAzAEUAbQBpAHMAcwBpAG8AbgBGAGEAYwB0AG8AcgBzAFMAdABhAHQAaQBvAG4AYQByAHkATABpAHEAdQBpAGQAXwBEAGUAcwBjAHIAaQBwAHQAaQBvAG4AIgAsACIARgB1AGUAbABfAFMAbwB1AHIAYwBlAEQAYQB0AGEALgBGAHUAZQBsAF8AUwBjAG8AcABlADEAUwBjAG8AcABlADMARQBtAGkAcwBzAGkAbwBuAEYAYQBjAHQAbwByAHMAUwB0AGEAdABpAG8AbgBhAHIAeQBMAGkAcQB1AGkAZABfAFMAbwB1AHIAYwBlACIALAAiAEYAdQBlAGwAXwBTAG8AdQByAGMAZQBEAGEAdABhAC4ARgB1AGUAbABfAFMAYwBvAHAAZQAxAFMAYwBvAHAAZQAzAEUAbQBpAHMAcwBpAG8AbgBGAGEAYwB0AG8AcgBzAFMAdABhAHQAaQBvAG4AYQByAHkATABpAHEAdQBpAGQAXwBEAGEAdABhACIALAAiAEYAdQBlAGwAXwBTAG8AdQByAGMAZQBEAGEAdABhAC4ARgB1AGUAbABfAFMAYwBvAHAAZQAxAFMAYwBvAHAAZQAzAEUAbQBpAHMAcwBpAG8AbgBGAGEAYwB0AG8AcgBzAFMAdABhAHQAaQBvAG4AYQByAHkATABpAHEAdQBpAGQAXwBWAGEAcgBpAGEAdABpAG8AbgAiACwAIgBGAHUAZQBsAF8AUwBvAHUAcgBjAGUARABhAHQAYQAuAEYAdQBlAGwAXwBTAGMAbwBwAGUAMQBTAGMAbwBwAGUAMwBFAG0AaQBzAHMAaQBvAG4ARgBhAGMAdABvAHIAcwBUAHIAYQBuAHMAcABvAHIAdABfAFQAaQB0AGwAZQAiACwAIgBGAHUAZQBsAF8AUwBvAHUAcgBjAGUARABhAHQAYQAuAEYAdQBlAGwAXwBTAGMAbwBwAGUAMQBTAGMAbwBwAGUAMwBFAG0AaQBzAHMAaQBvAG4ARgBhAGMAdABvAHIAcwBUAHIAYQBuAHMAcABvAHIAdABfAEQAZQBzAGMAcgBpAHAAdABpAG8AbgAiACwAIgBGAHUAZQBsAF8AUwBvAHUAcgBjAGUARABhAHQAYQAuAEYAdQBlAGwAXwBTAGMAbwBwAGUAMQBTAGMAbwBwAGUAMwBFAG0AaQBzAHMAaQBvAG4ARgBhAGMAdABvAHIAcwBUAHIAYQBuAHMAcABvAHIAdABfAFMAbwB1AHIAYwBlACIALAAiAEYAdQBlAGwAXwBTAG8AdQByAGMAZQBEAGEAdABhAC4ARgB1AGUAbABfAFMAYwBvAHAAZQAxAFMAYwBvAHAAZQAzAEUAbQBpAHMAcwBpAG8AbgBGAGEAYwB0AG8AcgBzAFQAcgBhAG4AcwBwAG8AcgB0AF8ARABhAHQAYQAiACwAIgBGAHUAZQBsAF8AUwBvAHUAcgBjAGUARABhAHQAYQAuAEYAdQBlAGwAXwBTAGMAbwBwAGUAMQBTAGMAbwBwAGUAMwBFAG0AaQBzAHMAaQBvAG4ARgBhAGMAdABvAHIAcwBUAHIAYQBuAHMAcABvAHIAdABfAFYAYQByAGkAYQB0AGkAbwBuACIALAAiAEYAdQBlAGwAXwBTAG8AdQByAGMAZQBEAGEAdABhAC4ARgB1AGUAbABfAFMAYwBvAHAAZQAxAFMAYwBvAHAAZQAzAEUAbQBpAHMAcwBpAG8AbgBGAGEAYwB0AG8AcgBzAFQAcgBhAG4AcwBwAG8AcgB0AE8AZgBmAFIAbwBhAGQAXwBUAGkAdABsAGUAIgAsACIARgB1AGUAbABfAFMAbwB1AHIAYwBlAEQAYQB0AGEALgBGAHUAZQBsAF8AUwBjAG8AcABlADEAUwBjAG8AcABlADMARQBtAGkAcwBzAGkAbwBuAEYAYQBjAHQAbwByAHMAVAByAGEAbgBzAHAAbwByAHQATwBmAGYAUgBvAGEAZABfAEQAZQBzAGMAcgBpAHAAdABpAG8AbgAiACwAIgBGAHUAZQBsAF8AUwBvAHUAcgBjAGUARABhAHQAYQAuAEYAdQBlAGwAXwBTAGMAbwBwAGUAMQBTAGMAbwBwAGUAMwBFAG0AaQBzAHMAaQBvAG4ARgBhAGMAdABvAHIAcwBUAHIAYQBuAHMAcABvAHIAdABPAGYAZgBSAG8AYQBkAF8AUwBvAHUAcgBjAGUAIgAsACIARgB1AGUAbABfAFMAbwB1AHIAYwBlAEQAYQB0AGEALgBGAHUAZQBsAF8AUwBjAG8AcABlADEAUwBjAG8AcABlADMARQBtAGkAcwBzAGkAbwBuAEYAYQBjAHQAbwByAHMAVAByAGEAbgBzAHAAbwByAHQATwBmAGYAUgBvAGEAZ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UwBvAHUAcgBjAGUASAB5AHAAZQByAGwAaQBuAGsARABpAGYAZgBlAHIAZQBuAHQAUwBoAGUAZQB0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EMAbwBtAG0AbwBuAF8ASQBuAHAAdQB0AEYAdQBuAGMAdABpAG8AbgBzAC4AVQB0AGkAbABpAHQAeQBfAFIAZQBzAHUAbAB0AHMASQB0AGUAbQBGAHIAbwBtAEUAcQB1AGEAdABpAG8AbgBUAGkAdABsAGUAQQBuAGQAUwBvAHUAcgBjAGUAIgAs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NAEMARgBUAGUAbQBwAGUAcgBhAHQAdQByAGUAWgBvAG4AZQBfAFQAaQB0AGwAZQAiACwAIgBDAG8AbQBtAG8AbgBfAFMAbwB1AHIAYwBlAEQAYQB0AGEALgBDAG8AbQBtAG8AbgBfAFMAbwB1AHIAYwBlAEQAYQB0AGEAXwBNAEMARgBUAGUAbQBwAGUAcgBhAHQAdQByAGUAWgBvAG4AZQBfAFUAbgBpAHQAIgAsACIAQwBvAG0AbQBvAG4AXwBTAG8AdQByAGMAZQBEAGEAdABhAC4AQwBvAG0AbQBvAG4AXwBTAG8AdQByAGMAZQBEAGEAdABhAF8ATQBDAEYAVABlAG0AcABlAHIAYQB0AHUAcgBlAFoAbwBuAGUAXwBTAG8AdQByAGMAZQAiACwAIgBDAG8AbQBtAG8AbgBfAFMAbwB1AHIAYwBlAEQAYQB0AGEALgBDAG8AbQBtAG8AbgBfAFMAbwB1AHIAYwBlAEQAYQB0AGEAXwBNAEMARgBUAGUAbQBwAGUAcgBhAHQAdQByAGUAWgBvAG4AZQBfAEQAYQB0AGEAIgAsACIAQwBvAG0AbQBvAG4AXwBTAG8AdQByAGMAZQBEAGEAdABhAC4AQwBvAG0AbQBvAG4AXwBTAG8AdQByAGMAZQBEAGEAdABhAF8ATQBDAEYAVABlAG0AcABlAHIAYQB0AHUAcgBlAFoAbwBuAGU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YAdQBlAGwAXwBJAG4AcAB1AHQARgB1AG4AYwB0AGkAbwBuAHMALgBGAHUAZQBsAF8ARwBlAHQAVAByAGEAbgBzAHAAbwByAHQARgB1AGUAbABTAHQAcgBpAG4AZwAiACwAIgBGAHUAZQBsAF8ASQBuAHAAdQB0AEYAdQBuAGMAdABpAG8AbgBzAC4ARgB1AGUAbABfAEcAZQB0AFMAdABhAHQAaQBvAG4AYQByAHkARgB1AGUAbABTAHQAcgBpAG4AZwAiACwAIgBGAHUAZQBsAF8ASQBuAHAAdQB0AEYAdQBuAGMAdABpAG8AbgBzAC4ARgB1AGUAbABfAFQAbwB0AGEAbABDAG8AbgBzAHUAbQBwAHQAaQBvAG4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UAcgBlAGEAQQBtAG0AbwBuAGkAYQBTAG8AdQByAGMAZQBSAGUAZwBpAG8AbgBzAF8AVABpAHQAbABlACIALAAiAEYAZQByAHQAaQBsAGkAcwBlAHIAXwBTAG8AdQByAGMAZQBEAGEAdABhAC4ARgBlAHIAdABpAGwAaQBzAGUAcgBfAFUAcgBlAGEAQQBtAG0AbwBuAGkAYQBTAG8AdQByAGMAZQBSAGUAZwBpAG8AbgBzAF8AUwBvAHUAcgBjAGUAIgAsACIARgBlAHIAdABpAGwAaQBzAGUAcgBfAFMAbwB1AHIAYwBlAEQAYQB0AGEALgBGAGUAcgB0AGkAbABpAHMAZQByAF8AVQByAGUAYQBBAG0AbQBvAG4AaQBhAFMAbwB1AHIAYwBlAFIAZQBnAGkAbwBuAHMAXwBEAGEAdABh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FMAbwB1AHIAYwBlAEQAYQB0AGEALgBGAGUAcgB0AGkAbABpAHMAZQByAF8AUAByAG8AZAB1AGMAdABzAF8ARABhAHQAYQAyACIALAAiAEYAZQByAHQAaQBsAGkAcwBlAHIAXwBTAG8AdQByAGMAZQBEAGEAdABhAC4ARgBlAHIAdABpAGwAaQBzAGUAcgBfAFAAcgBvAGQAdQBjAHQAcwBfAEQAYQB0AGEAMwAiACwAIgBGAGUAcgB0AGkAbABpAHMAZQByAF8AUwBvAHUAcgBjAGUARABhAHQAYQAuAEYAZQByAHQAaQBsAGkAcwBlAHIAXwBQAHIAbwBkAHUAYwB0AHMAXwBEAGEAdABhADQAIgAsACIARgBlAHIAdABpAGwAaQBzAGUAcgBfAFMAbwB1AHIAYwBlAEQAYQB0AGEALgBGAGUAcgB0AGkAbABpAHMAZQByAF8AUAByAG8AZAB1AGMAdABzAF8ARABhAHQAYQA1ACIALAAiAEYAZQByAHQAaQBsAGkAcwBlAHIAXwBJAG4AcAB1AHQARgB1AG4AYwB0AGkAbwBuAHMALgBGAGUAcgB0AGkAbABpAHMAZQByAF8ARgBlAHIAdABpAGwAaQBzAGUAcgBQAHIAbwBkAHUAYwB0AEwAbwBvAGsAdQBwACIALAAiAEYAZQByAHQAaQBsAGkAcwBlAHIAXwBJAG4AcAB1AHQARgB1AG4AYwB0AGkAbwBuAHMALgBGAGUAcgB0AGkAbABpAHMAZQByAF8AUwB1AG0AUAByAG8AZAB1AGMAdABBAHAAcABsAGkAZQBkACIALAAiAEYAZQByAHQAaQBsAGkAcwBlAHIAXwBJAG4AcAB1AHQARgB1AG4AYwB0AGkAbwBuAHMALgBGAGUAcgB0AGkAbABpAHMAZQByAF8AVABvAHQAYQBsAFMAbwBpAGwAQQBtAGUAbgBkAG0AZQBuAHQAQQBwAHAAbABpAGUAZAAiACwAIgBGAGUAcgB0AGkAbABpAHMAZQByAF8ASQBuAHAAdQB0AEYAdQBuAGMAdABpAG8AbgBzAC4ARgBlAHIAdABpAGwAaQBzAGUAcgBfAFQAbwB0AGEAbABDAGgAZQBtAGkAYwBhAGwAQwBvAG0AcABvAHUAbgBkAEEAcABwAGwAaQBlAGQAQQBsAGwASQBuAGcAcgBlAGQAaQBlAG4AdABzACIALAAiAEYAZQByAHQAaQBsAGkAcwBlAHIAXwBJAG4AcAB1AHQARgB1AG4AYwB0AGkAbwBuAHMALgBGAGUAcgB0AGkAbABpAHMAZQByAF8AVABvAHQAYQBsAEMAaABlAG0AaQBjAGEAbABDAG8AbQBwAG8AdQBuAGQAdABBAHAAcABsAGkAZQBkAEIAeQBTAG8AdQByAGMAZQBBAGwAbABJAG4AZwByAGUAZABpAGUAbgB0AHMAIgAsACIARgBlAHIAdABpAGwAaQBzAGUAcgBfAEkAbgBwAHUAdABGAHUAbgBjAHQAaQBvAG4AcwAuAEYAZQByAHQAaQBsAGkAcwBlAHIAXwBHAGUAdABTAGMAbwBwAGUAMwBFAEYAIgAsACIARgBlAHIAdABpAGwAaQBzAGUAcgBfAEkAbgBwAHUAdABGAHUAbgBjAHQAaQBvAG4AcwAuAEYAZQByAHQAaQBsAGkAcwBlAHIAXwBHAGUAdABDAGgAZQBtAGkAYwBhAGwAQwBvAG0AcABvAHUAbgBkAEUAbABlAG0AZQBuAHQARgByAGEAYwB0AGkAbwBuACIALAAiAEYAZQByAHQAaQBsAGkAcwBlAHIAXwBJAG4AcAB1AHQARgB1AG4AYwB0AGkAbwBuAHMALgBGAGUAcgB0AGkAbABpAHMAZQByAF8AVABvAHQAYQBsAEEAYwB0AGkAdgBlAEkAbgBnAHIAZQBkAGkAZQBuAHQAQQBwAHAAbABpAGUAZABBAGwAbABJAG4AZwByAGUAZABpAGUAbgB0AHMAIgAsACIARQBsAGUAYwB0AHIAaQBjAGkAdAB5AF8AUwBvAHUAcgBjAGUARABhAHQAYQAuAEUAbABlAGMAdAByAGkAYwBpAHQAeQBfAFMAYwBvAHAAZQAyAFMAYwBvAHAAZQAzAEwAbwBjAGEAdABpAG8AbgBCAGEAcwBlAGQAXwBUAGkAdABsAGUAIgAsACIARQBsAGUAYwB0AHIAaQBjAGkAdAB5AF8AUwBvAHUAcgBjAGUARABhAHQAYQAuAEUAbABlAGMAdAByAGkAYwBpAHQAeQBfAFMAYwBvAHAAZQAyAEwAbwBjAGEAdABpAG8AbgBCAGEAcwBlAGQAXwBEAGUAcwBjAHIAaQBwAHQAaQBvAG4AIgAsACIARQBsAGUAYwB0AHIAaQBjAGkAdAB5AF8AUwBvAHUAcgBjAGUARABhAHQAYQAuAEUAbABlAGMAdAByAGkAYwBpAHQAeQBfAFMAYwBvAHAAZQAyAFMAYwBvAHAAZQAzAEwAbwBjAGEAdABpAG8AbgBCAGEAcwBlAGQAXwBTAG8AdQByAGMAZQAiACwAIgBFAGwAZQBjAHQAcgBpAGMAaQB0AHkAXwBTAG8AdQByAGMAZQBEAGEAdABhAC4ARQBsAGUAYwB0AHIAaQBjAGkAdAB5AF8AUwBjAG8AcABlADIAUwBjAG8AcABlADMATABvAGMAYQB0AGkAbwBuAEIAYQBzAGUAZABfAEQAYQB0AGEAIgAsACIARQBsAGUAYwB0AHIAaQBjAGkAdAB5AF8AUwBvAHUAcgBjAGUARABhAHQAYQAuAEUAbABlAGMAdAByAGkAYwBpAHQAeQBfAFMAYwBvAHAAZQAyAFMAYwBvAHAAZQAzAEwAbwBjAGEAdABpAG8AbgBCAGEAcwBlAGQAXwBWAGEAcgBpAGEAdABpAG8AbgAiACwAIgBFAGwAZQBjAHQAcgBpAGMAaQB0AHkAXwBTAG8AdQByAGMAZQBEAGEAdABhAC4ARQBsAGUAYwB0AHIAaQBjAGkAdAB5AF8AUwBjAG8AcABlADIAUwBjAG8AcABlADMATQBhAHIAawBlAHQAQgBhAHMAZQBkAF8AVABpAHQAbABlACIALAAiAEUAbABlAGMAdAByAGkAYwBpAHQAeQBfAFMAbwB1AHIAYwBlAEQAYQB0AGEALgBFAGwAZQBjAHQAcgBpAGMAaQB0AHkAXwBTAGMAbwBwAGUAMgBNAGEAcgBrAGUAdABCAGEAcwBlAGQAXwBEAGUAcwBjAHIAaQBwAHQAaQBvAG4AIgAsACIARQBsAGUAYwB0AHIAaQBjAGkAdAB5AF8AUwBvAHUAcgBjAGUARABhAHQAYQAuAEUAbABlAGMAdAByAGkAYwBpAHQAeQBfAFMAYwBvAHAAZQAyAFMAYwBvAHAAZQAzAE0AYQByAGsAZQB0AEIAYQBzAGUAZABfAFMAbwB1AHIAYwBlACIALAAiAEUAbABlAGMAdAByAGkAYwBpAHQAeQBfAFMAbwB1AHIAYwBlAEQAYQB0AGEALgBFAGwAZQBjAHQAcgBpAGMAaQB0AHkAXwBTAGMAbwBwAGUAMgBTAGMAbwBwAGUAMwBNAGEAcgBrAGUAdABCAGEAcwBlAGQAXwBEAGEAdABhACIALAAiAEUAbABlAGMAdAByAGkAYwBpAHQAeQBfAFMAbwB1AHIAYwBlAEQAYQB0AGEALgBFAGwAZQBjAHQAcgBpAGMAaQB0AHkAXwBTAGMAbwBwAGUAMgBTAGMAbwBwAGUAMwBNAGEAcgBrAGUAdABCAGEAcwBlAGQAXwBWAGEAcgBpAGEAdABpAG8AbgAiACwAIgBTAGMAbwBwAGUAMwBfAFMAbwB1AHIAYwBlAEQAYQB0AGEALgBTAGMAbwBwAGUAMwBfAEwAaQB2AGUAcwB0AG8AYwBrAF8AVABpAHQAbABlACIALAAiAFMAYwBvAHAAZQAzAF8AUwBvAHUAcgBjAGUARABhAHQAYQAuAFMAYwBvAHAAZQAzAF8ATABpAHYAZQBzAHQAbwBjAGsAXwBTAG8AdQByAGMAZQAiACwAIgBTAGMAbwBwAGUAMwBfAFMAbwB1AHIAYwBlAEQAYQB0AGEALgBTAGMAbwBwAGUAMwBfAEwAaQB2AGUAcwB0AG8AYwBrAF8AVgBhAHIAaQBhAHQAaQBvAG4AIgAsACIAUwBjAG8AcABlADMAXwBTAG8AdQByAGMAZQBEAGEAdABhAC4AUwBjAG8AcABlADMAXwBMAGkAdgBlAHMAdABvAGMAawBfAEQAYQB0AGEAIgAsACIAUwBjAG8AcABlADMAXwBTAG8AdQByAGMAZQBEAGEAdABhAC4AUwBjAG8AcABlADMAXwBDAGgAZQBtAGkAYwBhAGwAcwBfAFQAaQB0AGwAZQAiACwAIgBTAGMAbwBwAGUAMwBfAFMAbwB1AHIAYwBlAEQAYQB0AGEALgBTAGMAbwBwAGUAMwBfAEMAaABlAG0AaQBjAGEAbABzAF8AUwBvAHUAcgBjAGUAIgAsACIAUwBjAG8AcABlADMAXwBTAG8AdQByAGMAZQBEAGEAdABhAC4AUwBjAG8AcABlADMAXwBDAGgAZQBtAGkAYwBhAGwAcwBfAFYAYQByAGkAYQB0AGkAbwBuACIALAAiAFMAYwBvAHAAZQAzAF8AUwBvAHUAcgBjAGUARABhAHQAYQAuAFMAYwBvAHAAZQAzAF8AQwBoAGUAbQBpAGMAYQBsAHMAXwBEAGEAdABhACIALAAiAFMAYwBvAHAAZQAzAF8AUwBvAHUAcgBjAGUARABhAHQAYQAuAFMAYwBvAHAAZQAzAF8ARgBlAGUAZABfAFQAaQB0AGwAZQAiACwAIgBTAGMAbwBwAGUAMwBfAFMAbwB1AHIAYwBlAEQAYQB0AGEALgBTAGMAbwBwAGUAMwBfAEYAZQBlAGQAXwBTAG8AdQByAGMAZQAiACwAIgBTAGMAbwBwAGUAMwBfAFMAbwB1AHIAYwBlAEQAYQB0AGEALgBTAGMAbwBwAGUAMwBfAEYAZQBlAGQAXwBWAGEAcgBpAGEAdABpAG8AbgAiACwAIgBTAGMAbwBwAGUAMwBfAFMAbwB1AHIAYwBlAEQAYQB0AGEALgBTAGMAbwBwAGUAMwBfAEYAZQBlAGQAXwBEAGEAdABhACIALAAiAFMAYwBvAHAAZQAzAF8AUwBvAHUAcgBjAGUARABhAHQAYQAuAFMAYwBvAHAAZQAzAF8ASQBuAG8AcgBnAGEAbgBpAGMARgBlAHIAdABpAGwAaQBzAGUAcgBzAF8AVABpAHQAbABlACIALAAiAFMAYwBvAHAAZQAzAF8AUwBvAHUAcgBjAGUARABhAHQAYQAuAFMAYwBvAHAAZQAzAF8ASQBuAG8AcgBnAGEAbgBpAGMARgBlAHIAdABpAGwAaQBzAGUAcgBzAF8AUwBvAHUAcgBjAGUAIgAsACIAUwBjAG8AcABlADMAXwBTAG8AdQByAGMAZQBEAGEAdABhAC4AUwBjAG8AcABlADMAXwBJAG4AbwByAGcAYQBuAGkAYwBGAGUAcgB0AGkAbABpAHMAZQByAHMAXwBWAGEAcgBpAGEAdABpAG8AbgAiACwAIgBTAGMAbwBwAGUAMwBfAFMAbwB1AHIAYwBlAEQAYQB0AGEALgBTAGMAbwBwAGUAMwBfAEkAbgBvAHIAZwBhAG4AaQBjAEYAZQByAHQAaQBsAGkAcwBlAHIAcwBfAEQAYQB0AGEAIgAsACIAUwBjAG8AcABlADMAXwBTAG8AdQByAGMAZQBEAGEAdABhAC4AUwBjAG8AcABlADMAXwBPAHQAaABlAHIAXwBUAGkAdABsAGUAIgAsACIAUwBjAG8AcABlADMAXwBTAG8AdQByAGMAZQBEAGEAdABhAC4AUwBjAG8AcABlADMAXwBPAHQAaABlAHIAXwBTAG8AdQByAGMAZQAiACwAIgBTAGMAbwBwAGUAMwBfAFMAbwB1AHIAYwBlAEQAYQB0AGEALgBTAGMAbwBwAGUAMwBfAE8AdABoAGUAcgBfAFYAYQByAGkAYQB0AGkAbwBuACIALAAiAFMAYwBvAHAAZQAzAF8AUwBvAHUAcgBjAGUARABhAHQAYQAuAFMAYwBvAHAAZQAzAF8ATwB0AGgAZQByAF8ARABhAHQAYQAiACwAIgBTAGMAbwBwAGUAMwBfAFMAbwB1AHIAYwBlAEQAYQB0AGEALgBTAGMAbwBwAGUAMwBfAFAAYQBjAGsAYQBnAGkAbgBnAF8AVABpAHQAbABlACIALAAiAFMAYwBvAHAAZQAzAF8AUwBvAHUAcgBjAGUARABhAHQAYQAuAFMAYwBvAHAAZQAzAF8AUABhAGMAawBhAGcAaQBuAGcAXwBTAG8AdQByAGMAZQAiACwAIgBTAGMAbwBwAGUAMwBfAFMAbwB1AHIAYwBlAEQAYQB0AGEALgBTAGMAbwBwAGUAMwBfAFAAYQBjAGsAYQBnAGkAbgBnAF8AVgBhAHIAaQBhAHQAaQBvAG4AIgAsACIAUwBjAG8AcABlADMAXwBTAG8AdQByAGMAZQBEAGEAdABhAC4AUwBjAG8AcABlADMAXwBQAGEAYwBrAGEAZwBpAG4AZwBfAEQAYQB0AGEAIgAsACIAUwBjAG8AcABlADMAXwBTAG8AdQByAGMAZQBEAGEAdABhAC4AUwBjAG8AcABlADMAXwBQAGUAcwB0AGkAYwBpAGQAZQBzAF8AVABpAHQAbABlACIALAAiAFMAYwBvAHAAZQAzAF8AUwBvAHUAcgBjAGUARABhAHQAYQAuAFMAYwBvAHAAZQAzAF8AUABlAHMAdABpAGMAaQBkAGUAcwBfAFMAbwB1AHIAYwBlACIALAAiAFMAYwBvAHAAZQAzAF8AUwBvAHUAcgBjAGUARABhAHQAYQAuAFMAYwBvAHAAZQAzAF8AUABlAHMAdABpAGMAaQBkAGUAcwBfAFYAYQByAGkAYQB0AGkAbwBuACIALAAiAFMAYwBvAHAAZQAzAF8AUwBvAHUAcgBjAGUARABhAHQAYQAuAFMAYwBvAHAAZQAzAF8AUABlAHMAdABpAGMAaQBkAGUAcwBfAEQAYQB0AGEAIgAsACIAUwBjAG8AcABlADMAXwBTAG8AdQByAGMAZQBEAGEAdABhAC4AUwBjAG8AcABlADMAXwBTAG8AaQBsAEEAbQBlAG4AZABtAGUAbgB0AHMAXwBUAGkAdABsAGUAIgAsACIAUwBjAG8AcABlADMAXwBTAG8AdQByAGMAZQBEAGEAdABhAC4AUwBjAG8AcABlADMAXwBTAG8AaQBsAEEAbQBlAG4AZABtAGUAbgB0AHMAXwBTAG8AdQByAGMAZQAiACwAIgBTAGMAbwBwAGUAMwBfAFMAbwB1AHIAYwBlAEQAYQB0AGEALgBTAGMAbwBwAGUAMwBfAFMAbwBpAGwAQQBtAGUAbgBkAG0AZQBuAHQAcwBfAFYAYQByAGkAYQB0AGkAbwBuACIALAAiAFMAYwBvAHAAZQAzAF8AUwBvAHUAcgBjAGUARABhAHQAYQAuAFMAYwBvAHAAZQAzAF8AUwBvAGkAbABBAG0AZQBuAGQAbQBlAG4AdABzAF8ARABhAHQAYQAiACwAIgBTAGMAbwBwAGUAMwBfAFMAbwB1AHIAYwBlAEQAYQB0AGEALgBTAGMAbwBwAGUAMwBfAEYAaQBzAGgARgBlAGUAZABBAG4AZABCAGEAaQB0AF8AVABpAHQAbABlACIALAAiAFMAYwBvAHAAZQAzAF8AUwBvAHUAcgBjAGUARABhAHQAYQAuAFMAYwBvAHAAZQAzAF8ARgBpAHMAaABGAGUAZQBkAEEAbgBkAEIAYQBpAHQAXwBTAG8AdQByAGMAZQAiACwAIgBTAGMAbwBwAGUAMwBfAFMAbwB1AHIAYwBlAEQAYQB0AGEALgBTAGMAbwBwAGUAMwBfAEYAaQBzAGgARgBlAGUAZABBAG4AZABCAGEAaQB0AF8AVgBhAHIAaQBhAHQAaQBvAG4AIgAsACIAUwBjAG8AcABlADMAXwBTAG8AdQByAGMAZQBEAGEAdABhAC4AUwBjAG8AcABlADMAXwBGAGkAcwBoAEYAZQBlAGQAQQBuAGQAQgBhAGkAdABfAEQAYQB0AGE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FMAYwBvAHAAZQAzAF8ASQBuAHAAdQB0AEYAdQBuAGMAdABpAG8AbgBzAC4ARwBlAHQATABpAHYAZQB3AGUAaQBnAGgAdABfAFAAYQBzAHQAdQByAGUAQgBlAGUAZg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TAG8AdQByAGMAZQBEAGEAdABhAF8AUwB3AGkAbgBlAC4AUwBvAHUAcgBjAGUARABhAHQAYQBfAFMAdwBpAG4AZQBfAFYAbwBsAGEAdABpAGwAZQBTAG8AbABpAGQAcwBfAFQAaQB0AGwAZQAiACwAIgBTAG8AdQByAGMAZQBEAGEAdABhAF8AUwB3AGkAbgBlAC4AUwBvAHUAcgBjAGUARABhAHQAYQBfAFMAdwBpAG4AZQBfAFYAbwBsAGEAdABpAGwAZQBTAG8AbABpAGQAcwBfAFUAbgBpAHQAIgAsACIAUwBvAHUAcgBjAGUARABhAHQAYQBfAFMAdwBpAG4AZQAuAFMAbwB1AHIAYwBlAEQAYQB0AGEAXwBTAHcAaQBuAGUAXwBWAG8AbABhAHQAaQBsAGUAUwBvAGwAaQBkAHMAXwBTAG8AdQByAGMAZQAiACwAIgBTAG8AdQByAGMAZQBEAGEAdABhAF8AUwB3AGkAbgBlAC4AUwBvAHUAcgBjAGUARABhAHQAYQBfAFMAdwBpAG4AZQBfAFYAbwBsAGEAdABpAGwAZQBTAG8AbABpAGQAcwBfAFYAYQByAGkAYQB0AGkAbwBuACIALAAiAFMAbwB1AHIAYwBlAEQAYQB0AGEAXwBTAHcAaQBuAGUALgBTAG8AdQByAGMAZQBEAGEAdABhAF8AUwB3AGkAbgBlAF8AVgBvAGwAYQB0AGkAbABlAFMAbwBsAGkAZABzAF8ARABhAHQAYQAiACwAIgBTAG8AdQByAGMAZQBEAGEAdABhAF8AUwB3AGkAbgBlAC4AUwBvAHUAcgBjAGUARABhAHQAYQBfAFMAdwBpAG4AZQBfAEYAZQBlAGQASQBuAHQAYQBrAGUAXwBUAGkAdABsAGUAIgAsACIAUwBvAHUAcgBjAGUARABhAHQAYQBfAFMAdwBpAG4AZQAuAFMAbwB1AHIAYwBlAEQAYQB0AGEAXwBTAHcAaQBuAGUAXwBGAGUAZQBkAEkAbgB0AGEAawBlAF8AVQBuAGkAdAAiACwAIgBTAG8AdQByAGMAZQBEAGEAdABhAF8AUwB3AGkAbgBlAC4AUwBvAHUAcgBjAGUARABhAHQAYQBfAFMAdwBpAG4AZQBfAEYAZQBlAGQASQBuAHQAYQBrAGUAXwBTAG8AdQByAGMAZQAiACwAIgBTAG8AdQByAGMAZQBEAGEAdABhAF8AUwB3AGkAbgBlAC4AUwBvAHUAcgBjAGUARABhAHQAYQBfAFMAdwBpAG4AZQBfAEYAZQBlAGQASQBuAHQAYQBrAGUAXwBWAGEAcgBpAGEAdABpAG8AbgAiACwAIgBTAG8AdQByAGMAZQBEAGEAdABhAF8AUwB3AGkAbgBlAC4AUwBvAHUAcgBjAGUARABhAHQAYQBfAFMAdwBpAG4AZQBfAEYAZQBlAGQASQBuAHQAYQBrAGUAXwBEAGEAdABhACIALAAiAFMAbwB1AHIAYwBlAEQAYQB0AGEAXwBTAHcAaQBuAGUALgBTAG8AdQByAGMAZQBEAGEAdABhAF8AUwB3AGkAbgBlAF8ATgBpAHQAcgBvAGcAZQBuAEkAbgBXAGEAcwB0AGUAXwBUAGkAdABsAGUAIgAsACIAUwBvAHUAcgBjAGUARABhAHQAYQBfAFMAdwBpAG4AZQAuAFMAbwB1AHIAYwBlAEQAYQB0AGEAXwBTAHcAaQBuAGUAXwBOAGkAdAByAG8AZwBlAG4ASQBuAFcAYQBzAHQAZQBfAFUAbgBpAHQAIgAsACIAUwBvAHUAcgBjAGUARABhAHQAYQBfAFMAdwBpAG4AZQAuAFMAbwB1AHIAYwBlAEQAYQB0AGEAXwBTAHcAaQBuAGUAXwBOAGkAdAByAG8AZwBlAG4ASQBuAFcAYQBzAHQAZQBfAFMAbwB1AHIAYwBlACIALAAiAFMAbwB1AHIAYwBlAEQAYQB0AGEAXwBTAHcAaQBuAGUALgBTAG8AdQByAGMAZQBEAGEAdABhAF8AUwB3AGkAbgBlAF8ATgBpAHQAcgBvAGcAZQBuAEkAbgBXAGEAcwB0AGUAXwBWAGEAcgBpAGEAdABpAG8AbgAiACwAIgBTAG8AdQByAGMAZQBEAGEAdABhAF8AUwB3AGkAbgBlAC4AUwBvAHUAcgBjAGUARABhAHQAYQBfAFMAdwBpAG4AZQBfAE4AaQB0AHIAbwBnAGUAbgBJAG4AVwBhAHMAdABlAF8ARABhAHQAYQAiACwAIgBTAG8AdQByAGMAZQBEAGEAdABhAF8AUwB3AGkAbgBlAC4AUwBvAHUAcgBjAGUARABhAHQAYQBfAFMAdwBpAG4AZQBfAEYAcgBhAGMAdABpAG8AbgBOAFYAbwBsAGEAdABpAGwAaQBzAGUAZABfAFQAaQB0AGwAZQAiACwAIgBTAG8AdQByAGMAZQBEAGEAdABhAF8AUwB3AGkAbgBlAC4AUwBvAHUAcgBjAGUARABhAHQAYQBfAFMAdwBpAG4AZQBfAEYAcgBhAGMAdABpAG8AbgBOAFYAbwBsAGEAdABpAGwAaQBzAGUAZABfAFUAbgBpAHQAIgAsACIAUwBvAHUAcgBjAGUARABhAHQAYQBfAFMAdwBpAG4AZQAuAFMAbwB1AHIAYwBlAEQAYQB0AGEAXwBTAHcAaQBuAGUAXwBGAHIAYQBjAHQAaQBvAG4ATgBWAG8AbABhAHQAaQBsAGkAcwBlAGQAXwBTAG8AdQByAGMAZQAiACwAIgBTAG8AdQByAGMAZQBEAGEAdABhAF8AUwB3AGkAbgBlAC4AUwBvAHUAcgBjAGUARABhAHQAYQBfAFMAdwBpAG4AZQBfAEYAcgBhAGMAdABpAG8AbgBOAFYAbwBsAGEAdABpAGwAaQBzAGUAZABfAFYAYQByAGkAYQB0AGkAbwBuACIALAAiAFMAbwB1AHIAYwBlAEQAYQB0AGEAXwBTAHcAaQBuAGUALgBTAG8AdQByAGMAZQBEAGEAdABhAF8AUwB3AGkAbgBlAF8ARgByAGEAYwB0AGkAbwBuAE4AVgBvAGwAYQB0AGkAbABpAHMAZQBkAF8ARABhAHQAYQAiACwAIgBTAG8AdQByAGMAZQBEAGEAdABhAF8AUwB3AGkAbgBlAC4AUwBvAHUAcgBjAGUARABhAHQAYQBfAFMAdwBpAG4AZQBfAE4AaQB0AHIAbwB1AHMATwB4AGkAZABlAEUARgBzAF8AVABpAHQAbABlACIALAAiAFMAbwB1AHIAYwBlAEQAYQB0AGEAXwBTAHcAaQBuAGUALgBTAG8AdQByAGMAZQBEAGEAdABhAF8AUwB3AGkAbgBlAF8ATgBpAHQAcgBvAHUAcwBPAHgAaQBkAGUARQBGAHMAXwBVAG4AaQB0ACIALAAiAFMAbwB1AHIAYwBlAEQAYQB0AGEAXwBTAHcAaQBuAGUALgBTAG8AdQByAGMAZQBEAGEAdABhAF8AUwB3AGkAbgBlAF8ATgBpAHQAcgBvAHUAcwBPAHgAaQBkAGUARQBGAHMAXwBTAG8AdQByAGMAZQAiACwAIgBTAG8AdQByAGMAZQBEAGEAdABhAF8AUwB3AGkAbgBlAC4AUwBvAHUAcgBjAGUARABhAHQAYQBfAFMAdwBpAG4AZQBfAE4AaQB0AHIAbwB1AHMATwB4AGkAZABlAEUARgBzAF8AVgBhAHIAaQBhAHQAaQBvAG4AIgAsACIAUwBvAHUAcgBjAGUARABhAHQAYQBfAFMAdwBpAG4AZQAuAFMAbwB1AHIAYwBlAEQAYQB0AGEAXwBTAHcAaQBuAGUAXwBOAGkAdAByAG8AdQBzAE8AeABpAGQAZQBFAEYAcwBfAEQAYQB0AGEAIgAsACIAUwBvAHUAcgBjAGUARABhAHQAYQBfAFMAdwBpAG4AZQAuAFMAbwB1AHIAYwBlAEQAYQB0AGEAXwBTAHcAaQBuAGUAXwBNAGUAdABoAGEAbgBlAFYAbwBsAGEAdABpAGwAZQBTAG8AbABpAGQAcwBFAG0AaQBzAHMAaQBvAG4AcwBQAG8AdABlAG4AdABpAGEAbABfAFQAaQB0AGwAZQAiACwAIgBTAG8AdQByAGMAZQBEAGEAdABhAF8AUwB3AGkAbgBlAC4AUwBvAHUAcgBjAGUARABhAHQAYQBfAFMAdwBpAG4AZQBfAE0AZQB0AGgAYQBuAGUAVgBvAGwAYQB0AGkAbABlAFMAbwBsAGkAZABzAEUAbQBpAHMAcwBpAG8AbgBzAFAAbwB0AGUAbgB0AGkAYQBsAF8AVgBhAHIAaQBhAGIAbABlACIALAAiAFMAbwB1AHIAYwBlAEQAYQB0AGEAXwBTAHcAaQBuAGUALgBTAG8AdQByAGMAZQBEAGEAdABhAF8AUwB3AGkAbgBlAF8ATQBlAHQAaABhAG4AZQBWAG8AbABhAHQAaQBsAGUAUwBvAGwAaQBkAHMARQBtAGkAcwBzAGkAbwBuAHMAUABvAHQAZQBuAHQAaQBhAGwAXwBVAG4AaQB0ACIALAAiAFMAbwB1AHIAYwBlAEQAYQB0AGEAXwBTAHcAaQBuAGUALgBTAG8AdQByAGMAZQBEAGEAdABhAF8AUwB3AGkAbgBlAF8ATQBlAHQAaABhAG4AZQBWAG8AbABhAHQAaQBsAGUAUwBvAGwAaQBkAHMARQBtAGkAcwBzAGkAbwBuAHMAUABvAHQAZQBuAHQAaQBhAGwAXwBTAG8AdQByAGMAZQAiACwAIgBTAG8AdQByAGMAZQBEAGEAdABhAF8AUwB3AGkAbgBlAC4AUwBvAHUAcgBjAGUARABhAHQAYQBfAFMAdwBpAG4AZQBfAE0AZQB0AGgAYQBuAGUAVgBvAGwAYQB0AGkAbABlAFMAbwBsAGkAZABzAEUAbQBpAHMAcwBpAG8AbgBzAFAAbwB0AGUAbgB0AGkAYQBsAF8AVgBhAHIAaQBhAHQAaQBvAG4AIgAsACIAUwBvAHUAcgBjAGUARABhAHQAYQBfAFMAdwBpAG4AZQAuAFMAbwB1AHIAYwBlAEQAYQB0AGEAXwBTAHcAaQBuAGUAXwBNAGUAdABoAGEAbgBlAFYAbwBsAGEAdABpAGwAZQBTAG8AbABpAGQAcwBFAG0AaQBzAHMAaQBvAG4AcwBQAG8AdABlAG4AdABpAGEAbABfAEQAYQB0AGEAIgAsACIAUwBvAHUAcgBjAGUARABhAHQAYQBfAFMAdwBpAG4AZQAuAFMAbwB1AHIAYwBlAEQAYQB0AGEAXwBTAHcAaQBuAGUAXwBNAE0AUwBfAE0AQwBGAHMAXwBUAGkAdABsAGUAIgAsACIAUwBvAHUAcgBjAGUARABhAHQAYQBfAFMAdwBpAG4AZQAuAFMAbwB1AHIAYwBlAEQAYQB0AGEAXwBTAHcAaQBuAGUAXwBNAE0AUwBfAE0AQwBGAHMAXwBVAG4AaQB0ACIALAAiAFMAbwB1AHIAYwBlAEQAYQB0AGEAXwBTAHcAaQBuAGUALgBTAG8AdQByAGMAZQBEAGEAdABhAF8AUwB3AGkAbgBlAF8ATQBNAFMAXwBNAEMARgBzAF8AUwBvAHUAcgBjAGUAIgAsACIAUwBvAHUAcgBjAGUARABhAHQAYQBfAFMAdwBpAG4AZQAuAFMAbwB1AHIAYwBlAEQAYQB0AGEAXwBTAHcAaQBuAGUAXwBNAE0AUwBfAE0AQwBGAHMAXwBWAGEAcgBpAGEAdABpAG8AbgAiACwAIgBTAG8AdQByAGMAZQBEAGEAdABhAF8AUwB3AGkAbgBlAC4AUwBvAHUAcgBjAGUARABhAHQAYQBfAFMAdwBpAG4AZQBfAE0ATQBTAF8ATQBDAEYAcwBfAEQAYQB0AGEAIgAsACIAUwBvAHUAcgBjAGUARABhAHQAYQBfAFMAdwBpAG4AZQAuAFMAbwB1AHIAYwBlAEQAYQB0AGEAXwBTAHcAaQBuAGUAXwBBAHYAZQByAGEAZwBlAEwAaQB2AGUAdwBlAGkAZwBoAHQAXwBUAGkAdABsAGUAIgAsACIAUwBvAHUAcgBjAGUARABhAHQAYQBfAFMAdwBpAG4AZQAuAFMAbwB1AHIAYwBlAEQAYQB0AGEAXwBTAHcAaQBuAGUAXwBBAHYAZQByAGEAZwBlAEwAaQB2AGUAdwBlAGkAZwBoAHQAXwBVAG4AaQB0ACIALAAiAFMAbwB1AHIAYwBlAEQAYQB0AGEAXwBTAHcAaQBuAGUALgBTAG8AdQByAGMAZQBEAGEAdABhAF8AUwB3AGkAbgBlAF8AQQB2AGUAcgBhAGcAZQBMAGkAdgBlAHcAZQBpAGcAaAB0AF8AUwBvAHUAcgBjAGUAIgAsACIAUwBvAHUAcgBjAGUARABhAHQAYQBfAFMAdwBpAG4AZQAuAFMAbwB1AHIAYwBlAEQAYQB0AGEAXwBTAHcAaQBuAGUAXwBBAHYAZQByAGEAZwBlAEwAaQB2AGUAdwBlAGkAZwBoAHQAXwBWAGEAcgBpAGEAdABpAG8AbgAiACwAIgBTAG8AdQByAGMAZQBEAGEAdABhAF8AUwB3AGkAbgBlAC4AUwBvAHUAcgBjAGUARABhAHQAYQBfAFMAdwBpAG4AZQBfAEEAdgBlAHIAYQBnAGUATABpAHYAZQB3AGUAaQBnAGgAdABfAEQAYQB0AGEAIgAsACIAUwBvAHUAcgBjAGUARABhAHQAYQBfAFMAdwBpAG4AZQAuAFMAbwB1AHIAYwBlAEQAYQB0AGEAXwBTAHcAaQBuAGUAXwBQAHIAbwBkAHUAYwB0AGkAbwBuAFMAeQBzAHQAZQBtAHMAXwBUAGkAdABsAGUAIgAsACIAUwBvAHUAcgBjAGUARABhAHQAYQBfAFMAdwBpAG4AZQAuAFMAbwB1AHIAYwBlAEQAYQB0AGEAXwBTAHcAaQBuAGUAXwBQAHIAbwBkAHUAYwB0AGkAbwBuAFMAeQBzAHQAZQBtAHMAXwBVAG4AaQB0ACIALAAiAFMAbwB1AHIAYwBlAEQAYQB0AGEAXwBTAHcAaQBuAGUALgBTAG8AdQByAGMAZQBEAGEAdABhAF8AUwB3AGkAbgBlAF8AUAByAG8AZAB1AGMAdABpAG8AbgBTAHkAcwB0AGUAbQBzAF8AUwBvAHUAcgBjAGUAIgAsACIAUwBvAHUAcgBjAGUARABhAHQAYQBfAFMAdwBpAG4AZQAuAFMAbwB1AHIAYwBlAEQAYQB0AGEAXwBTAHcAaQBuAGUAXwBQAHIAbwBkAHUAYwB0AGkAbwBuAFMAeQBzAHQAZQBtAHMAXwBWAGEAcgBpAGEAdABpAG8AbgAiACwAIgBTAG8AdQByAGMAZQBEAGEAdABhAF8AUwB3AGkAbgBlAC4AUwBvAHUAcgBjAGUARABhAHQAYQBfAFMAdwBpAG4AZQBfAFAAcgBvAGQAdQBjAHQAaQBvAG4AUwB5AHMAdABlAG0AcwBfAEQAYQB0AGEAIgAsACIAUwBvAHUAcgBjAGUARABhAHQAYQBfAFMAdwBpAG4AZQAuAFMAbwB1AHIAYwBlAEQAYQB0AGEAXwBTAHcAaQBuAGUAXwBGAHIAYQBjAEwARQBBAEMASABfAEQAcgB5AGwAbwB0AE0ATQBTAF8AVABpAHQAbABlACIALAAiAFMAbwB1AHIAYwBlAEQAYQB0AGEAXwBTAHcAaQBuAGUALgBTAG8AdQByAGMAZQBEAGEAdABhAF8AUwB3AGkAbgBlAF8ARgByAGEAYwBMAEUAQQBDAEgAXwBEAHIAeQBsAG8AdABNAE0AUwBfAFYAYQByAGkAYQBiAGwAZQAiACwAIgBTAG8AdQByAGMAZQBEAGEAdABhAF8AUwB3AGkAbgBlAC4AUwBvAHUAcgBjAGUARABhAHQAYQBfAFMAdwBpAG4AZQBfAEYAcgBhAGMATABFAEEAQwBIAF8ARAByAHkAbABvAHQATQBNAFMAXwBVAG4AaQB0ACIALAAiAFMAbwB1AHIAYwBlAEQAYQB0AGEAXwBTAHcAaQBuAGUALgBTAG8AdQByAGMAZQBEAGEAdABhAF8AUwB3AGkAbgBlAF8ARgByAGEAYwBMAEUAQQBDAEgAXwBEAHIAeQBsAG8AdABNAE0AUwBfAFMAbwB1AHIAYwBlACIALAAiAFMAbwB1AHIAYwBlAEQAYQB0AGEAXwBTAHcAaQBuAGUALgBTAG8AdQByAGMAZQBEAGEAdABhAF8AUwB3AGkAbgBlAF8ARgByAGEAYwBMAEUAQQBDAEgAXwBEAHIAeQBsAG8AdABNAE0AUwBfAFYAYQByAGkAYQB0AGkAbwBuACIALAAiAFMAbwB1AHIAYwBlAEQAYQB0AGEAXwBTAHcAaQBuAGUALgBTAG8AdQByAGMAZQBEAGEAdABhAF8AUwB3AGkAbgBlAF8ARgByAGEAYwBMAEUAQQBDAEgAXwBEAHIAeQBsAG8AdABNAE0AUwBfAEQAYQB0AGEAIgAsACIAUwBvAHUAcgBjAGUARABhAHQAYQBfAFMAdwBpAG4AZQAuAFMAbwB1AHIAYwBlAEQAYQB0AGEAXwBTAHcAaQBuAGUAXwBNAGUAZwBhAGoAbwB1AGwAZQBzAFAAZQByAEsAaQBsAG8AZwByAGEAbQBNAGUAdABoAGEAbgBlAF8AVABpAHQAbABlACIALAAiAFMAbwB1AHIAYwBlAEQAYQB0AGEAXwBTAHcAaQBuAGUALgBTAG8AdQByAGMAZQBEAGEAdABhAF8AUwB3AGkAbgBlAF8ATQBlAGcAYQBqAG8AdQBsAGUAcwBQAGUAcgBLAGkAbABvAGcAcgBhAG0ATQBlAHQAaABhAG4AZQBfAFYAYQByAGkAYQBiAGwAZQAiACwAIgBTAG8AdQByAGMAZQBEAGEAdABhAF8AUwB3AGkAbgBlAC4AUwBvAHUAcgBjAGUARABhAHQAYQBfAFMAdwBpAG4AZQBfAE0AZQBnAGEAagBvAHUAbABlAHMAUABlAHIASwBpAGwAbwBnAHIAYQBtAE0AZQB0AGgAYQBuAGUAXwBVAG4AaQB0ACIALAAiAFMAbwB1AHIAYwBlAEQAYQB0AGEAXwBTAHcAaQBuAGUALgBTAG8AdQByAGMAZQBEAGEAdABhAF8AUwB3AGkAbgBlAF8ATQBlAGcAYQBqAG8AdQBsAGUAcwBQAGUAcgBLAGkAbABvAGcAcgBhAG0ATQBlAHQAaABhAG4AZQBfAFMAbwB1AHIAYwBlACIALAAiAFMAbwB1AHIAYwBlAEQAYQB0AGEAXwBTAHcAaQBuAGUALgBTAG8AdQByAGMAZQBEAGEAdABhAF8AUwB3AGkAbgBlAF8ATQBlAGcAYQBqAG8AdQBsAGUAcwBQAGUAcgBLAGkAbABvAGcAcgBhAG0ATQBlAHQAaABhAG4AZQBfAFYAYQByAGkAYQB0AGkAbwBuACIALAAiAFMAbwB1AHIAYwBlAEQAYQB0AGEAXwBTAHcAaQBuAGUALgBTAG8AdQByAGMAZQBEAGEAdABhAF8AUwB3AGkAbgBlAF8ATQBlAGcAYQBqAG8AdQBsAGUAcwBQAGUAcgBLAGkAbABvAGcAcgBhAG0ATQBlAHQAaABhAG4AZQBfAEQAYQB0AGE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CwAIgBTAGMAbwBwAGUAMwBfAEUAcQB1AGEAdABpAG8AbgBzAC4AVgBFAEUAUgBHAF8AMQA1AF8AMQBfADEAXwAxAF8AXwAxAF8ARQBtAGkAcwBzAGkAbwBuAHMARgByAG8AbQBQAHUAcgBjAGgAYQBzAGUAZABMAGkAdgBlAHMAdABvAGMAawAiACwAIgBTAGMAbwBwAGUAMwBfAEUAcQB1AGEAdABpAG8AbgBzAC4AVgBFAEUAUgBHAF8AMQA1AF8AMQBfADEAXwAxAF8AXwAxAF8ARQBtAGkAcwBzAGkAbwBuAHMARgByAG8AbQBQAHUAcgBjAGgAYQBzAGUAZABMAGkAdgBlAHMAdABvAGMAawBfAFQAaQB0AGwAZQAiACwAIgBTAGMAbwBwAGUAMwBfAEUAcQB1AGEAdABpAG8AbgBzAC4AVgBFAEUAUgBHAF8AMQA1AF8AMQBfADEAXwAxAF8AXwAxAF8ARQBtAGkAcwBzAGkAbwBuAHMARgByAG8AbQBQAHUAcgBjAGgAYQBzAGUAZABMAGkAdgBlAHMAdABvAGMAawBfAFYAYQByAGkAYQBiAGwAZQAiACwAIgBTAGMAbwBwAGUAMwBfAEUAcQB1AGEAdABpAG8AbgBzAC4AVgBFAEUAUgBHAF8AMQA1AF8AMQBfADEAXwAxAF8AXwAxAF8ARQBtAGkAcwBzAGkAbwBuAHMARgByAG8AbQBQAHUAcgBjAGgAYQBzAGUAZABMAGkAdgBlAHMAdABvAGMAawBfAFUAbgBpAHQAIgAsACIAUwBjAG8AcABlADMAXwBFAHEAdQBhAHQAaQBvAG4AcwAuAFYARQBFAFIARwBfADEANQBfADEAXwAxAF8AMQBfAF8AMQBfAEUAbQBpAHMAcwBpAG8AbgBzAEYAcgBvAG0AUAB1AHIAYwBoAGEAcwBlAGQATABpAHYAZQBzAHQAbwBjAGsAXwBTAG8AdQByAGMAZQAiACwAIgBTAGMAbwBwAGUAMwBfAEUAcQB1AGEAdABpAG8AbgBzAC4AVgBFAEUAUgBHAF8AMQA1AF8AMQBfADEAXwAxAF8AXwAxAF8ARQBtAGkAcwBzAGkAbwBuAHMARgByAG8AbQBQAHUAcgBjAGgAYQBzAGUAZABMAGkAdgBlAHMAdABvAGMAawBfAE4ASQBSAFIAZQBmAGUAcgBlAG4AYwBlACIALAAiAFMAYwBvAHAAZQAzAF8ARQBxAHUAYQB0AGkAbwBuAHMALgBWAEUARQBSAEcAXwAxADUAXwAxAF8AMQBfADEAXwBfADEAXwBFAG0AaQBzAHMAaQBvAG4AcwBGAHIAbwBtAFAAdQByAGMAaABhAHMAZQBkAEwAaQB2AGUAcwB0AG8AYwBrAF8ATABhAHQAZQB4AEUAcQB1AGEAdABpAG8AbgAiACwAIgBTAGMAbwBwAGUAMwBfAEUAcQB1AGEAdABpAG8AbgBzAC4AVgBFAEUAUgBHAF8AMQA1AF8AMQBfADEAXwAxAF8AXwAxAF8ARQBtAGkAcwBzAGkAbwBuAHMARgByAG8AbQBQAHUAcgBjAGgAYQBzAGUAZABMAGkAdgBlAHMAdABvAGMAawBfAEEAcgBnAHUAbQBlAG4AdABzACIALAAiAFMAYwBvAHAAZQAzAF8ARQBxAHUAYQB0AGkAbwBuAHMALgBWAEUARQBSAEcAXwAxADUAXwAyAF8AMQBfADEAXwBfADEAXwBFAG0AaQBzAHMAaQBvAG4AcwBGAHIAbwBtAFAAdQByAGMAaABhAHMAZQBkAEYAZQBlAGQAIgAsACIAUwBjAG8AcABlADMAXwBFAHEAdQBhAHQAaQBvAG4AcwAuAFYARQBFAFIARwBfADEANQBfADIAXwAxAF8AMQBfAF8AMQBfAEUAbQBpAHMAcwBpAG8AbgBzAEYAcgBvAG0AUAB1AHIAYwBoAGEAcwBlAGQARgBlAGUAZABWAGEAcgBpAGEAdABpAG8AbgAiACwAIgBTAGMAbwBwAGUAMwBfAEUAcQB1AGEAdABpAG8AbgBzAC4AVgBFAEUAUgBHAF8AMQA1AF8AMgBfADEAXwAxAF8AXwAxAF8ARQBtAGkAcwBzAGkAbwBuAHMARgByAG8AbQBQAHUAcgBjAGgAYQBzAGUAZABGAGUAZQBkAF8AVABpAHQAbABlACIALAAiAFMAYwBvAHAAZQAzAF8ARQBxAHUAYQB0AGkAbwBuAHMALgBWAEUARQBSAEcAXwAxADUAXwAyAF8AMQBfADEAXwBfADEAXwBFAG0AaQBzAHMAaQBvAG4AcwBGAHIAbwBtAFAAdQByAGMAaABhAHMAZQBkAEYAZQBlAGQAXwBWAGEAcgBpAGEAYgBsAGUAIgAsACIAUwBjAG8AcABlADMAXwBFAHEAdQBhAHQAaQBvAG4AcwAuAFYARQBFAFIARwBfADEANQBfADIAXwAxAF8AMQBfAF8AMQBfAEUAbQBpAHMAcwBpAG8AbgBzAEYAcgBvAG0AUAB1AHIAYwBoAGEAcwBlAGQARgBlAGUAZABfAFUAbgBpAHQAIgAsACIAUwBjAG8AcABlADMAXwBFAHEAdQBhAHQAaQBvAG4AcwAuAFYARQBFAFIARwBfADEANQBfADIAXwAxAF8AMQBfAF8AMQBfAEUAbQBpAHMAcwBpAG8AbgBzAEYAcgBvAG0AUAB1AHIAYwBoAGEAcwBlAGQARgBlAGUAZABfAFMAbwB1AHIAYwBlACIALAAiAFMAYwBvAHAAZQAzAF8ARQBxAHUAYQB0AGkAbwBuAHMALgBWAEUARQBSAEcAXwAxADUAXwAyAF8AMQBfADEAXwBfADEAXwBFAG0AaQBzAHMAaQBvAG4AcwBGAHIAbwBtAFAAdQByAGMAaABhAHMAZQBkAEYAZQBlAGQAXwBOAEkAUgBSAGUAZgBlAHIAZQBuAGMAZQAiACwAIgBTAGMAbwBwAGUAMwBfAEUAcQB1AGEAdABpAG8AbgBzAC4AVgBFAEUAUgBHAF8AMQA1AF8AMgBfADEAXwAxAF8AXwAxAF8ARQBtAGkAcwBzAGkAbwBuAHMARgByAG8AbQBQAHUAcgBjAGgAYQBzAGUAZABGAGUAZQBkAF8ATABhAHQAZQB4AEUAcQB1AGEAdABpAG8AbgAiACwAIgBTAGMAbwBwAGUAMwBfAEUAcQB1AGEAdABpAG8AbgBzAC4AVgBFAEUAUgBHAF8AMQA1AF8AMgBfADEAXwAxAF8AXwAxAF8ARQBtAGkAcwBzAGkAbwBuAHMARgByAG8AbQBQAHUAcgBjAGgAYQBzAGUAZABGAGUAZQBkAF8ATABhAHQAZQB4AEUAcQB1AGEAdABpAG8AbgBWAGEAcgBpAGEAdABpAG8AbgAiACwAIgBTAGMAbwBwAGUAMwBfAEUAcQB1AGEAdABpAG8AbgBzAC4AVgBFAEUAUgBHAF8AMQA1AF8AMgBfADEAXwAxAF8AXwAxAF8ARQBtAGkAcwBzAGkAbwBuAHMARgByAG8AbQBQAHUAcgBjAGgAYQBzAGUAZABGAGUAZQBkAF8AQQByAGcAdQBtAGUAbgB0AHMAIgAsACIAUwBjAG8AcABlADMAXwBFAHEAdQBhAHQAaQBvAG4AcwAuAFYARQBFAFIARwBfADEANQBfADIAXwAxAF8AMQBfAF8AMQBfAEUAbQBpAHMAcwBpAG8AbgBzAEYAcgBvAG0AUAB1AHIAYwBoAGEAcwBlAGQARgBlAGUAZABfAEEAcgBnAHUAbQBlAG4AdABzAFYAYQByAGkAYQB0AGkAbwBuACIALAAiAFMAYwBvAHAAZQAzAF8ARQBxAHUAYQB0AGkAbwBuAHMALgBWAEUARQBSAEcAXwAxADUAXwAyAF8AMQBfADEAXwBfADEAXwBFAG0AaQBzAHMAaQBvAG4AcwBGAHIAbwBtAFAAdQByAGMAaABhAHMAZQBkAEYAZQBlAGQAXwBWAGEAcgBpAGEAdABpAG8AbgAiACwAIgBTAGMAbwBwAGUAMwBfAEUAcQB1AGEAdABpAG8AbgBzAC4AVgBFAEUAUgBHAF8AMQA1AF8AMwBfADEAXwAxAF8AXwAxAF8ARQBtAGkAcwBzAGkAbwBuAHMARgByAG8AbQBQAHUAcgBjAGgAYQBzAGUAZABNAGkAbgBlAHIAYQBsAFMAdQBwAHAAbABlAG0AZQBuAHQAcwAiACwAIgBTAGMAbwBwAGUAMwBfAEUAcQB1AGEAdABpAG8AbgBzAC4AVgBFAEUAUgBHAF8AMQA1AF8AMwBfADEAXwAxAF8AXwAxAF8ARQBtAGkAcwBzAGkAbwBuAHMARgByAG8AbQBQAHUAcgBjAGgAYQBzAGUAZABNAGkAbgBlAHIAYQBsAFMAdQBwAHAAbABlAG0AZQBuAHQAcwBWAGEAcgBpAGEAdABpAG8AbgAiACwAIgBTAGMAbwBwAGUAMwBfAEUAcQB1AGEAdABpAG8AbgBzAC4AVgBFAEUAUgBHAF8AMQA1AF8AMwBfADEAXwAxAF8AXwAxAF8ARQBtAGkAcwBzAGkAbwBuAHMARgByAG8AbQBQAHUAcgBjAGgAYQBzAGUAZABNAGkAbgBlAHIAYQBsAFMAdQBwAHAAbABlAG0AZQBuAHQAcwBfAFQAaQB0AGwAZQAiACwAIgBTAGMAbwBwAGUAMwBfAEUAcQB1AGEAdABpAG8AbgBzAC4AVgBFAEUAUgBHAF8AMQA1AF8AMwBfADEAXwAxAF8AXwAxAF8ARQBtAGkAcwBzAGkAbwBuAHMARgByAG8AbQBQAHUAcgBjAGgAYQBzAGUAZABNAGkAbgBlAHIAYQBsAFMAdQBwAHAAbABlAG0AZQBuAHQAcwBfAFYAYQByAGkAYQBiAGwAZQAiACwAIgBTAGMAbwBwAGUAMwBfAEUAcQB1AGEAdABpAG8AbgBzAC4AVgBFAEUAUgBHAF8AMQA1AF8AMwBfADEAXwAxAF8AXwAxAF8ARQBtAGkAcwBzAGkAbwBuAHMARgByAG8AbQBQAHUAcgBjAGgAYQBzAGUAZABNAGkAbgBlAHIAYQBsAFMAdQBwAHAAbABlAG0AZQBuAHQAcwBfAFUAbgBpAHQAIgAsACIAUwBjAG8AcABlADMAXwBFAHEAdQBhAHQAaQBvAG4AcwAuAFYARQBFAFIARwBfADEANQBfADMAXwAxAF8AMQBfAF8AMQBfAEUAbQBpAHMAcwBpAG8AbgBzAEYAcgBvAG0AUAB1AHIAYwBoAGEAcwBlAGQATQBpAG4AZQByAGEAbABTAHUAcABwAGwAZQBtAGUAbgB0AHMAXwBTAG8AdQByAGMAZQAiACwAIgBTAGMAbwBwAGUAMwBfAEUAcQB1AGEAdABpAG8AbgBzAC4AVgBFAEUAUgBHAF8AMQA1AF8AMwBfADEAXwAxAF8AXwAxAF8ARQBtAGkAcwBzAGkAbwBuAHMARgByAG8AbQBQAHUAcgBjAGgAYQBzAGUAZABNAGkAbgBlAHIAYQBsAFMAdQBwAHAAbABlAG0AZQBuAHQAcwBfAE4ASQBSAFIAZQBmAGUAcgBlAG4AYwBlACIALAAiAFMAYwBvAHAAZQAzAF8ARQBxAHUAYQB0AGkAbwBuAHMALgBWAEUARQBSAEcAXwAxADUAXwAzAF8AMQBfADEAXwBfADEAXwBFAG0AaQBzAHMAaQBvAG4AcwBGAHIAbwBtAFAAdQByAGMAaABhAHMAZQBkAE0AaQBuAGUAcgBhAGwAUwB1AHAAcABsAGUAbQBlAG4AdABzAF8ATABhAHQAZQB4AEUAcQB1AGEAdABpAG8AbgAiACwAIgBTAGMAbwBwAGUAMwBfAEUAcQB1AGEAdABpAG8AbgBzAC4AVgBFAEUAUgBHAF8AMQA1AF8AMwBfADEAXwAxAF8AXwAxAF8ARQBtAGkAcwBzAGkAbwBuAHMARgByAG8AbQBQAHUAcgBjAGgAYQBzAGUAZABNAGkAbgBlAHIAYQBsAFMAdQBwAHAAbABlAG0AZQBuAHQAcwBfAEwAYQB0AGUAeABFAHEAdQBhAHQAaQBvAG4AVgBhAHIAaQBhAHQAaQBvAG4AIgAsACIAUwBjAG8AcABlADMAXwBFAHEAdQBhAHQAaQBvAG4AcwAuAFYARQBFAFIARwBfADEANQBfADMAXwAxAF8AMQBfAF8AMQBfAEUAbQBpAHMAcwBpAG8AbgBzAEYAcgBvAG0AUAB1AHIAYwBoAGEAcwBlAGQATQBpAG4AZQByAGEAbABTAHUAcABwAGwAZQBtAGUAbgB0AHMAXwBBAHIAZwB1AG0AZQBuAHQAcwAiACwAIgBTAGMAbwBwAGUAMwBfAEUAcQB1AGEAdABpAG8AbgBzAC4AVgBFAEUAUgBHAF8AMQA1AF8AMwBfADEAXwAxAF8AXwAxAF8ARQBtAGkAcwBzAGkAbwBuAHMARgByAG8AbQBQAHUAcgBjAGgAYQBzAGUAZABNAGkAbgBlAHIAYQBsAFMAdQBwAHAAbABlAG0AZQBuAHQAcwBfAEEAcgBnAHUAbQBlAG4AdABzAFYAYQByAGkAYQB0AGkAbwBuACIALAAiAFMAYwBvAHAAZQAzAF8ARQBxAHUAYQB0AGkAbwBuAHMALgBWAEUARQBSAEcAXwAxADUAXwAzAF8AMQBfADEAXwBfADEAXwBFAG0AaQBzAHMAaQBvAG4AcwBGAHIAbwBtAFAAdQByAGMAaABhAHMAZQBkAE0AaQBuAGUAcgBhAGwAUwB1AHAAcABsAGUAbQBlAG4AdABzAF8AVgBhAHIAaQBhAHQAaQBvAG4AIgAsACIAUwBjAG8AcABlADMAXwBFAHEAdQBhAHQAaQBvAG4AcwAuAFYARQBFAFIARwBfADEANQBfADQAXwAxAF8AMQBfAF8AMQBfAEUAbQBpAHMAcwBpAG8AbgBzAEYAcgBvAG0AUAB1AHIAYwBoAGEAcwBlAGQARgBlAHIAdABpAGwAaQBzAGUAcgAiACwAIgBTAGMAbwBwAGUAMwBfAEUAcQB1AGEAdABpAG8AbgBzAC4AVgBFAEUAUgBHAF8AMQA1AF8ANABfADEAXwAxAF8AXwAxAF8ARQBtAGkAcwBzAGkAbwBuAHMARgByAG8AbQBQAHUAcgBjAGgAYQBzAGUAZABGAGUAcgB0AGkAbABpAHMAZQByAF8AVABpAHQAbABlACIALAAiAFMAYwBvAHAAZQAzAF8ARQBxAHUAYQB0AGkAbwBuAHMALgBWAEUARQBSAEcAXwAxADUAXwA0AF8AMQBfADEAXwBfADEAXwBFAG0AaQBzAHMAaQBvAG4AcwBGAHIAbwBtAFAAdQByAGMAaABhAHMAZQBkAEYAZQByAHQAaQBsAGkAcwBlAHIAXwBWAGEAcgBpAGEAYgBsAGUAIgAsACIAUwBjAG8AcABlADMAXwBFAHEAdQBhAHQAaQBvAG4AcwAuAFYARQBFAFIARwBfADEANQBfADQAXwAxAF8AMQBfAF8AMQBfAEUAbQBpAHMAcwBpAG8AbgBzAEYAcgBvAG0AUAB1AHIAYwBoAGEAcwBlAGQARgBlAHIAdABpAGwAaQBzAGUAcgBfAFUAbgBpAHQAIgAsACIAUwBjAG8AcABlADMAXwBFAHEAdQBhAHQAaQBvAG4AcwAuAFYARQBFAFIARwBfADEANQBfADQAXwAxAF8AMQBfAF8AMQBfAEUAbQBpAHMAcwBpAG8AbgBzAEYAcgBvAG0AUAB1AHIAYwBoAGEAcwBlAGQARgBlAHIAdABpAGwAaQBzAGUAcgBfAFMAbwB1AHIAYwBlACIALAAiAFMAYwBvAHAAZQAzAF8ARQBxAHUAYQB0AGkAbwBuAHMALgBWAEUARQBSAEcAXwAxADUAXwA0AF8AMQBfADEAXwBfADEAXwBFAG0AaQBzAHMAaQBvAG4AcwBGAHIAbwBtAFAAdQByAGMAaABhAHMAZQBkAEYAZQByAHQAaQBsAGkAcwBlAHIAXwBOAEkAUgBSAGUAZgBlAHIAZQBuAGMAZQAiACwAIgBTAGMAbwBwAGUAMwBfAEUAcQB1AGEAdABpAG8AbgBzAC4AVgBFAEUAUgBHAF8AMQA1AF8ANABfADEAXwAxAF8AXwAxAF8ARQBtAGkAcwBzAGkAbwBuAHMARgByAG8AbQBQAHUAcgBjAGgAYQBzAGUAZABGAGUAcgB0AGkAbABpAHMAZQByAF8ATABhAHQAZQB4AEUAcQB1AGEAdABpAG8AbgAiACwAIgBTAGMAbwBwAGUAMwBfAEUAcQB1AGEAdABpAG8AbgBzAC4AVgBFAEUAUgBHAF8AMQA1AF8ANABfADEAXwAxAF8AXwAxAF8ARQBtAGkAcwBzAGkAbwBuAHMARgByAG8AbQBQAHUAcgBjAGgAYQBzAGUAZABGAGUAcgB0AGkAbABpAHMAZQByAF8AQQByAGcAdQBtAGUAbgB0AHMAIgAsACIAUwBjAG8AcABlADMAXwBFAHEAdQBhAHQAaQBvAG4AcwAuAFYARQBFAFIARwBfADEANQBfADQAXwAxAF8AMQBfAF8AMgBfAEUAbQBpAHMAcwBpAG8AbgBzAEYAcgBvAG0AUAB1AHIAYwBoAGEAcwBlAGQARgBlAHIAdABpAGwAaQBzAGUAcgBDAG8AbQBwAG8AbgBlAG4AdABzACIALAAiAFMAYwBvAHAAZQAzAF8ARQBxAHUAYQB0AGkAbwBuAHMALgBWAEUARQBSAEcAXwAxADUAXwA0AF8AMQBfADEAXwBfADIAXwBFAG0AaQBzAHMAaQBvAG4AcwBGAHIAbwBtAFAAdQByAGMAaABhAHMAZQBkAEYAZQByAHQAaQBsAGkAcwBlAHIAQwBvAG0AcABvAG4AZQBuAHQAcwBWAGEAcgBpAGEAdABpAG8AbgAiACwAIgBTAGMAbwBwAGUAMwBfAEUAcQB1AGEAdABpAG8AbgBzAC4AVgBFAEUAUgBHAF8AMQA1AF8ANABfADEAXwAxAF8AXwAyAF8ARQBtAGkAcwBzAGkAbwBuAHMARgByAG8AbQBQAHUAcgBjAGgAYQBzAGUAZABGAGUAcgB0AGkAbABpAHMAZQByAEMAbwBtAHAAbwBuAGUAbgB0AHMAXwBUAGkAdABsAGUAIgAsACIAUwBjAG8AcABlADMAXwBFAHEAdQBhAHQAaQBvAG4AcwAuAFYARQBFAFIARwBfADEANQBfADQAXwAxAF8AMQBfAF8AMgBfAEUAbQBpAHMAcwBpAG8AbgBzAEYAcgBvAG0AUAB1AHIAYwBoAGEAcwBlAGQARgBlAHIAdABpAGwAaQBzAGUAcgBDAG8AbQBwAG8AbgBlAG4AdABzAF8AVgBhAHIAaQBhAGIAbABlACIALAAiAFMAYwBvAHAAZQAzAF8ARQBxAHUAYQB0AGkAbwBuAHMALgBWAEUARQBSAEcAXwAxADUAXwA0AF8AMQBfADEAXwBfADIAXwBFAG0AaQBzAHMAaQBvAG4AcwBGAHIAbwBtAFAAdQByAGMAaABhAHMAZQBkAEYAZQByAHQAaQBsAGkAcwBlAHIAQwBvAG0AcABvAG4AZQBuAHQAcwBfAFUAbgBpAHQAIgAsACIAUwBjAG8AcABlADMAXwBFAHEAdQBhAHQAaQBvAG4AcwAuAFYARQBFAFIARwBfADEANQBfADQAXwAxAF8AMQBfAF8AMgBfAEUAbQBpAHMAcwBpAG8AbgBzAEYAcgBvAG0AUAB1AHIAYwBoAGEAcwBlAGQARgBlAHIAdABpAGwAaQBzAGUAcgBDAG8AbQBwAG8AbgBlAG4AdABzAF8AUwBvAHUAcgBjAGUAIgAsACIAUwBjAG8AcABlADMAXwBFAHEAdQBhAHQAaQBvAG4AcwAuAFYARQBFAFIARwBfADEANQBfADQAXwAxAF8AMQBfAF8AMgBfAEUAbQBpAHMAcwBpAG8AbgBzAEYAcgBvAG0AUAB1AHIAYwBoAGEAcwBlAGQARgBlAHIAdABpAGwAaQBzAGUAcgBDAG8AbQBwAG8AbgBlAG4AdABzAF8ATgBJAFIAUgBlAGYAZQByAGUAbgBjAGUAIgAsACIAUwBjAG8AcABlADMAXwBFAHEAdQBhAHQAaQBvAG4AcwAuAFYARQBFAFIARwBfADEANQBfADQAXwAxAF8AMQBfAF8AMgBfAEUAbQBpAHMAcwBpAG8AbgBzAEYAcgBvAG0AUAB1AHIAYwBoAGEAcwBlAGQARgBlAHIAdABpAGwAaQBzAGUAcgBDAG8AbQBwAG8AbgBlAG4AdABzAF8ATABhAHQAZQB4AEUAcQB1AGEAdABpAG8AbgAiACwAIgBTAGMAbwBwAGUAMwBfAEUAcQB1AGEAdABpAG8AbgBzAC4AVgBFAEUAUgBHAF8AMQA1AF8ANABfADEAXwAxAF8AXwAyAF8ARQBtAGkAcwBzAGkAbwBuAHMARgByAG8AbQBQAHUAcgBjAGgAYQBzAGUAZABGAGUAcgB0AGkAbABpAHMAZQByAEMAbwBtAHAAbwBuAGUAbgB0AHMAXwBMAGEAdABlAHgARQBxAHUAYQB0AGkAbwBuAFYAYQByAGkAYQB0AGkAbwBuACIALAAiAFMAYwBvAHAAZQAzAF8ARQBxAHUAYQB0AGkAbwBuAHMALgBWAEUARQBSAEcAXwAxADUAXwA0AF8AMQBfADEAXwBfADIAXwBFAG0AaQBzAHMAaQBvAG4AcwBGAHIAbwBtAFAAdQByAGMAaABhAHMAZQBkAEYAZQByAHQAaQBsAGkAcwBlAHIAQwBvAG0AcABvAG4AZQBuAHQAcwBfAEEAcgBnAHUAbQBlAG4AdABzACIALAAiAFMAYwBvAHAAZQAzAF8ARQBxAHUAYQB0AGkAbwBuAHMALgBWAEUARQBSAEcAXwAxADUAXwA0AF8AMQBfADEAXwBfADIAXwBFAG0AaQBzAHMAaQBvAG4AcwBGAHIAbwBtAFAAdQByAGMAaABhAHMAZQBkAEYAZQByAHQAaQBsAGkAcwBlAHIAQwBvAG0AcABvAG4AZQBuAHQAcwBfAFYAYQByAGkAYQB0AGkAbwBuACIALAAiAFMAYwBvAHAAZQAzAF8ARQBxAHUAYQB0AGkAbwBuAHMALgBWAEUARQBSAEcAXwAxADUAXwA0AF8AMQBfADEAXwBfAFgAXwBFAG0AaQBzAHMAaQBvAG4ARgBhAGMAdABvAHIARgByAG8AbQBQAHUAcgBjAGgAYQBzAGUAZABGAGUAcgB0AGkAbABpAHMAZQByAEMAbwBtAHAAbwBuAGUAbgB0AHMAIgAsACIAUwBjAG8AcABlADMAXwBFAHEAdQBhAHQAaQBvAG4AcwAuAFYARQBFAFIARwBfADEANQBfADQAXwAxAF8AMQBfAF8AWABfAEUAbQBpAHMAcwBpAG8AbgBGAGEAYwB0AG8AcgBGAHIAbwBtAFAAdQByAGMAaABhAHMAZQBkAEYAZQByAHQAaQBsAGkAcwBlAHIAQwBvAG0AcABvAG4AZQBuAHQAcwBfAFQAaQB0AGwAZQAiACwAIgBTAGMAbwBwAGUAMwBfAEUAcQB1AGEAdABpAG8AbgBzAC4AVgBFAEUAUgBHAF8AMQA1AF8ANABfADEAXwAxAF8AXwBYAF8ARQBtAGkAcwBzAGkAbwBuAEYAYQBjAHQAbwByAEYAcgBvAG0AUAB1AHIAYwBoAGEAcwBlAGQARgBlAHIAdABpAGwAaQBzAGUAcgBDAG8AbQBwAG8AbgBlAG4AdABzAF8AVgBhAHIAaQBhAGIAbABlACIALAAiAFMAYwBvAHAAZQAzAF8ARQBxAHUAYQB0AGkAbwBuAHMALgBWAEUARQBSAEcAXwAxADUAXwA0AF8AMQBfADEAXwBfAFgAXwBFAG0AaQBzAHMAaQBvAG4ARgBhAGMAdABvAHIARgByAG8AbQBQAHUAcgBjAGgAYQBzAGUAZABGAGUAcgB0AGkAbABpAHMAZQByAEMAbwBtAHAAbwBuAGUAbgB0AHMAXwBVAG4AaQB0ACIALAAiAFMAYwBvAHAAZQAzAF8ARQBxAHUAYQB0AGkAbwBuAHMALgBWAEUARQBSAEcAXwAxADUAXwA0AF8AMQBfADEAXwBfAFgAXwBFAG0AaQBzAHMAaQBvAG4ARgBhAGMAdABvAHIARgByAG8AbQBQAHUAcgBjAGgAYQBzAGUAZABGAGUAcgB0AGkAbABpAHMAZQByAEMAbwBtAHAAbwBuAGUAbgB0AHMAXwBTAG8AdQByAGMAZQAiACwAIgBTAGMAbwBwAGUAMwBfAEUAcQB1AGEAdABpAG8AbgBzAC4AVgBFAEUAUgBHAF8AMQA1AF8ANABfADEAXwAxAF8AXwBYAF8ARQBtAGkAcwBzAGkAbwBuAEYAYQBjAHQAbwByAEYAcgBvAG0AUAB1AHIAYwBoAGEAcwBlAGQARgBlAHIAdABpAGwAaQBzAGUAcgBDAG8AbQBwAG8AbgBlAG4AdABzAF8ATgBJAFIAUgBlAGYAZQByAGUAbgBjAGUAIgAsACIAUwBjAG8AcABlADMAXwBFAHEAdQBhAHQAaQBvAG4AcwAuAFYARQBFAFIARwBfADEANQBfADQAXwAxAF8AMQBfAF8AWABfAEUAbQBpAHMAcwBpAG8AbgBGAGEAYwB0AG8AcgBGAHIAbwBtAFAAdQByAGMAaABhAHMAZQBkAEYAZQByAHQAaQBsAGkAcwBlAHIAQwBvAG0AcABvAG4AZQBuAHQAcwBfAEwAYQB0AGUAeABFAHEAdQBhAHQAaQBvAG4AIgAsACIAUwBjAG8AcABlADMAXwBFAHEAdQBhAHQAaQBvAG4AcwAuAFYARQBFAFIARwBfADEANQBfADQAXwAxAF8AMQBfAF8AWABfAEUAbQBpAHMAcwBpAG8AbgBGAGEAYwB0AG8AcgBGAHIAbwBtAFAAdQByAGMAaABhAHMAZQBkAEYAZQByAHQAaQBsAGkAcwBlAHIAQwBvAG0AcABvAG4AZQBuAHQAcwBfAEEAcgBnAHUAbQBlAG4AdABzACIALAAiAFMAYwBvAHAAZQAzAF8ARQBxAHUAYQB0AGkAbwBuAHMALgBWAEUARQBSAEcAXwAxADUAXwA0AF8AMQBfADEAXwBfAFgAXwBFAG0AaQBzAHMAaQBvAG4ARgBhAGMAdABvAHIARgByAG8AbQBQAHUAcgBjAGgAYQBzAGUAZABGAGUAcgB0AGkAbABpAHMAZQByAEMAbwBtAHAAbwBuAGUAbgB0AHMAXwBWAGEAcgBpAGEAdABpAG8AbgAiACwAIgBTAGMAbwBwAGUAMwBfAEUAcQB1AGEAdABpAG8AbgBzAC4AVgBFAEUAUgBHAF8AMQA1AF8ANQBfADEAXwAxAF8AXwAxAF8ARQBtAGkAcwBzAGkAbwBuAHMARgByAG8AbQBQAHUAcgBjAGgAYQBzAGUAZABBAGcAcgBpAGMAaABlAG0AaQBjAGEAbABzACIALAAiAFMAYwBvAHAAZQAzAF8ARQBxAHUAYQB0AGkAbwBuAHMALgBWAEUARQBSAEcAXwAxADUAXwA1AF8AMQBfADEAXwBfADEAXwBFAG0AaQBzAHMAaQBvAG4AcwBGAHIAbwBtAFAAdQByAGMAaABhAHMAZQBkAEEAZwByAGkAYwBoAGUAbQBpAGMAYQBsAHMAXwBUAGkAdABsAGUAIgAsACIAUwBjAG8AcABlADMAXwBFAHEAdQBhAHQAaQBvAG4AcwAuAFYARQBFAFIARwBfADEANQBfADUAXwAxAF8AMQBfAF8AMQBfAEUAbQBpAHMAcwBpAG8AbgBzAEYAcgBvAG0AUAB1AHIAYwBoAGEAcwBlAGQAQQBnAHIAaQBjAGgAZQBtAGkAYwBhAGwAcwBfAFYAYQByAGkAYQBiAGwAZQAiACwAIgBTAGMAbwBwAGUAMwBfAEUAcQB1AGEAdABpAG8AbgBzAC4AVgBFAEUAUgBHAF8AMQA1AF8ANQBfADEAXwAxAF8AXwAxAF8ARQBtAGkAcwBzAGkAbwBuAHMARgByAG8AbQBQAHUAcgBjAGgAYQBzAGUAZABBAGcAcgBpAGMAaABlAG0AaQBjAGEAbABzAF8AVQBuAGkAdAAiACwAIgBTAGMAbwBwAGUAMwBfAEUAcQB1AGEAdABpAG8AbgBzAC4AVgBFAEUAUgBHAF8AMQA1AF8ANQBfADEAXwAxAF8AXwAxAF8ARQBtAGkAcwBzAGkAbwBuAHMARgByAG8AbQBQAHUAcgBjAGgAYQBzAGUAZABBAGcAcgBpAGMAaABlAG0AaQBjAGEAbABzAF8AUwBvAHUAcgBjAGUAIgAsACIAUwBjAG8AcABlADMAXwBFAHEAdQBhAHQAaQBvAG4AcwAuAFYARQBFAFIARwBfADEANQBfADUAXwAxAF8AMQBfAF8AMQBfAEUAbQBpAHMAcwBpAG8AbgBzAEYAcgBvAG0AUAB1AHIAYwBoAGEAcwBlAGQAQQBnAHIAaQBjAGgAZQBtAGkAYwBhAGwAcwBfAE4ASQBSAFIAZQBmAGUAcgBlAG4AYwBlACIALAAiAFMAYwBvAHAAZQAzAF8ARQBxAHUAYQB0AGkAbwBuAHMALgBWAEUARQBSAEcAXwAxADUAXwA1AF8AMQBfADEAXwBfADEAXwBFAG0AaQBzAHMAaQBvAG4AcwBGAHIAbwBtAFAAdQByAGMAaABhAHMAZQBkAEEAZwByAGkAYwBoAGUAbQBpAGMAYQBsAHMAXwBMAGEAdABlAHgARQBxAHUAYQB0AGkAbwBuACIALAAiAFMAYwBvAHAAZQAzAF8ARQBxAHUAYQB0AGkAbwBuAHMALgBWAEUARQBSAEcAXwAxADUAXwA1AF8AMQBfADEAXwBfADEAXwBFAG0AaQBzAHMAaQBvAG4AcwBGAHIAbwBtAFAAdQByAGMAaABhAHMAZQBkAEEAZwByAGkAYwBoAGUAbQBpAGMAYQBsAHMAXwBBAHIAZwB1AG0AZQBuAHQAcwAiACwAIgBTAGMAbwBwAGUAMwBfAEUAcQB1AGEAdABpAG8AbgBzAC4AVgBFAEUAUgBHAF8AMQA1AF8ANgBfADEAXwAxAF8AXwAxAF8ARQBtAGkAcwBzAGkAbwBuAHMARgByAG8AbQBQAHUAcgBjAGgAYQBzAGUAZABMAGkAbQBlACIALAAiAFMAYwBvAHAAZQAzAF8ARQBxAHUAYQB0AGkAbwBuAHMALgBWAEUARQBSAEcAXwAxADUAXwA2AF8AMQBfADEAXwBfADEAXwBFAG0AaQBzAHMAaQBvAG4AcwBGAHIAbwBtAFAAdQByAGMAaABhAHMAZQBkAEwAaQBtAGUAXwBUAGkAdABsAGUAIgAsACIAUwBjAG8AcABlADMAXwBFAHEAdQBhAHQAaQBvAG4AcwAuAFYARQBFAFIARwBfADEANQBfADYAXwAxAF8AMQBfAF8AMQBfAEUAbQBpAHMAcwBpAG8AbgBzAEYAcgBvAG0AUAB1AHIAYwBoAGEAcwBlAGQATABpAG0AZQBfAFYAYQByAGkAYQBiAGwAZQAiACwAIgBTAGMAbwBwAGUAMwBfAEUAcQB1AGEAdABpAG8AbgBzAC4AVgBFAEUAUgBHAF8AMQA1AF8ANgBfADEAXwAxAF8AXwAxAF8ARQBtAGkAcwBzAGkAbwBuAHMARgByAG8AbQBQAHUAcgBjAGgAYQBzAGUAZABMAGkAbQBlAF8AVQBuAGkAdAAiACwAIgBTAGMAbwBwAGUAMwBfAEUAcQB1AGEAdABpAG8AbgBzAC4AVgBFAEUAUgBHAF8AMQA1AF8ANgBfADEAXwAxAF8AXwAxAF8ARQBtAGkAcwBzAGkAbwBuAHMARgByAG8AbQBQAHUAcgBjAGgAYQBzAGUAZABMAGkAbQBlAF8AUwBvAHUAcgBjAGUAIgAsACIAUwBjAG8AcABlADMAXwBFAHEAdQBhAHQAaQBvAG4AcwAuAFYARQBFAFIARwBfADEANQBfADYAXwAxAF8AMQBfAF8AMQBfAEUAbQBpAHMAcwBpAG8AbgBzAEYAcgBvAG0AUAB1AHIAYwBoAGEAcwBlAGQATABpAG0AZQBfAE4ASQBSAFIAZQBmAGUAcgBlAG4AYwBlACIALAAiAFMAYwBvAHAAZQAzAF8ARQBxAHUAYQB0AGkAbwBuAHMALgBWAEUARQBSAEcAXwAxADUAXwA2AF8AMQBfADEAXwBfADEAXwBFAG0AaQBzAHMAaQBvAG4AcwBGAHIAbwBtAFAAdQByAGMAaABhAHMAZQBkAEwAaQBtAGUAXwBMAGEAdABlAHgARQBxAHUAYQB0AGkAbwBuACIALAAiAFMAYwBvAHAAZQAzAF8ARQBxAHUAYQB0AGkAbwBuAHMALgBWAEUARQBSAEcAXwAxADUAXwA2AF8AMQBfADEAXwBfADEAXwBFAG0AaQBzAHMAaQBvAG4AcwBGAHIAbwBtAFAAdQByAGMAaABhAHMAZQBkAEwAaQBtAGUAXwBBAHIAZwB1AG0AZQBuAHQAcwAiACwAIgBTAGMAbwBwAGUAMwBfAEUAcQB1AGEAdABpAG8AbgBzAC4AVgBFAEUAUgBHAF8AMQA1AF8ANwBfADEAXwAxAF8AXwAxAF8ARQBtAGkAcwBzAGkAbwBuAHMARgByAG8AbQBQAHUAcgBjAGgAYQBzAGUAZABTAGUAcgB2AGkAYwBlAHMAIgAsACIAUwBjAG8AcABlADMAXwBFAHEAdQBhAHQAaQBvAG4AcwAuAFYARQBFAFIARwBfADEANQBfADcAXwAxAF8AMQBfAF8AMQBfAEUAbQBpAHMAcwBpAG8AbgBzAEYAcgBvAG0AUAB1AHIAYwBoAGEAcwBlAGQAUwBlAHIAdgBpAGMAZQBzAF8AVABpAHQAbABlACIALAAiAFMAYwBvAHAAZQAzAF8ARQBxAHUAYQB0AGkAbwBuAHMALgBWAEUARQBSAEcAXwAxADUAXwA3AF8AMQBfADEAXwBfADEAXwBFAG0AaQBzAHMAaQBvAG4AcwBGAHIAbwBtAFAAdQByAGMAaABhAHMAZQBkAFMAZQByAHYAaQBjAGUAcwBfAFYAYQByAGkAYQBiAGwAZQAiACwAIgBTAGMAbwBwAGUAMwBfAEUAcQB1AGEAdABpAG8AbgBzAC4AVgBFAEUAUgBHAF8AMQA1AF8ANwBfADEAXwAxAF8AXwAxAF8ARQBtAGkAcwBzAGkAbwBuAHMARgByAG8AbQBQAHUAcgBjAGgAYQBzAGUAZABTAGUAcgB2AGkAYwBlAHMAXwBVAG4AaQB0ACIALAAiAFMAYwBvAHAAZQAzAF8ARQBxAHUAYQB0AGkAbwBuAHMALgBWAEUARQBSAEcAXwAxADUAXwA3AF8AMQBfADEAXwBfADEAXwBFAG0AaQBzAHMAaQBvAG4AcwBGAHIAbwBtAFAAdQByAGMAaABhAHMAZQBkAFMAZQByAHYAaQBjAGUAcwBfAFMAbwB1AHIAYwBlACIALAAiAFMAYwBvAHAAZQAzAF8ARQBxAHUAYQB0AGkAbwBuAHMALgBWAEUARQBSAEcAXwAxADUAXwA3AF8AMQBfADEAXwBfADEAXwBFAG0AaQBzAHMAaQBvAG4AcwBGAHIAbwBtAFAAdQByAGMAaABhAHMAZQBkAFMAZQByAHYAaQBjAGUAcwBfAE4ASQBSAFIAZQBmAGUAcgBlAG4AYwBlACIALAAiAFMAYwBvAHAAZQAzAF8ARQBxAHUAYQB0AGkAbwBuAHMALgBWAEUARQBSAEcAXwAxADUAXwA3AF8AMQBfADEAXwBfADEAXwBFAG0AaQBzAHMAaQBvAG4AcwBGAHIAbwBtAFAAdQByAGMAaABhAHMAZQBkAFMAZQByAHYAaQBjAGUAcwBfAEwAYQB0AGUAeABFAHEAdQBhAHQAaQBvAG4AIgAsACIAUwBjAG8AcABlADMAXwBFAHEAdQBhAHQAaQBvAG4AcwAuAFYARQBFAFIARwBfADEANQBfADcAXwAxAF8AMQBfAF8AMQBfAEUAbQBpAHMAcwBpAG8AbgBzAEYAcgBvAG0AUAB1AHIAYwBoAGEAcwBlAGQAUwBlAHIAdgBpAGMAZQBzAF8AQQByAGcAdQBtAGUAbgB0AHMAIgAsACIAUwBjAG8AcABlADMAXwBFAHEAdQBhAHQAaQBvAG4AcwAuAFYARQBFAFIARwBfADEANQBfADgAXwAxAF8AMQBfAF8AMQBfAEUAbQBpAHMAcwBpAG8AbgBzAEYAcgBvAG0AUAB1AHIAYwBoAGEAcwBlAGQAUABhAGMAawBhAGcAaQBuAGcAIgAsACIAUwBjAG8AcABlADMAXwBFAHEAdQBhAHQAaQBvAG4AcwAuAFYARQBFAFIARwBfADEANQBfADgAXwAxAF8AMQBfAF8AMQBfAEUAbQBpAHMAcwBpAG8AbgBzAEYAcgBvAG0AUAB1AHIAYwBoAGEAcwBlAGQAUABhAGMAawBhAGcAaQBuAGcAXwBUAGkAdABsAGUAIgAsACIAUwBjAG8AcABlADMAXwBFAHEAdQBhAHQAaQBvAG4AcwAuAFYARQBFAFIARwBfADEANQBfADgAXwAxAF8AMQBfAF8AMQBfAEUAbQBpAHMAcwBpAG8AbgBzAEYAcgBvAG0AUAB1AHIAYwBoAGEAcwBlAGQAUABhAGMAawBhAGcAaQBuAGcAXwBWAGEAcgBpAGEAYgBsAGUAIgAsACIAUwBjAG8AcABlADMAXwBFAHEAdQBhAHQAaQBvAG4AcwAuAFYARQBFAFIARwBfADEANQBfADgAXwAxAF8AMQBfAF8AMQBfAEUAbQBpAHMAcwBpAG8AbgBzAEYAcgBvAG0AUAB1AHIAYwBoAGEAcwBlAGQAUABhAGMAawBhAGcAaQBuAGcAXwBVAG4AaQB0ACIALAAiAFMAYwBvAHAAZQAzAF8ARQBxAHUAYQB0AGkAbwBuAHMALgBWAEUARQBSAEcAXwAxADUAXwA4AF8AMQBfADEAXwBfADEAXwBFAG0AaQBzAHMAaQBvAG4AcwBGAHIAbwBtAFAAdQByAGMAaABhAHMAZQBkAFAAYQBjAGsAYQBnAGkAbgBnAF8AUwBvAHUAcgBjAGUAIgAsACIAUwBjAG8AcABlADMAXwBFAHEAdQBhAHQAaQBvAG4AcwAuAFYARQBFAFIARwBfADEANQBfADgAXwAxAF8AMQBfAF8AMQBfAEUAbQBpAHMAcwBpAG8AbgBzAEYAcgBvAG0AUAB1AHIAYwBoAGEAcwBlAGQAUABhAGMAawBhAGcAaQBuAGcAXwBOAEkAUgBSAGUAZgBlAHIAZQBuAGMAZQAiACwAIgBTAGMAbwBwAGUAMwBfAEUAcQB1AGEAdABpAG8AbgBzAC4AVgBFAEUAUgBHAF8AMQA1AF8AOABfADEAXwAxAF8AXwAxAF8ARQBtAGkAcwBzAGkAbwBuAHMARgByAG8AbQBQAHUAcgBjAGgAYQBzAGUAZABQAGEAYwBrAGEAZwBpAG4AZwBfAEwAYQB0AGUAeABFAHEAdQBhAHQAaQBvAG4AIgAsACIAUwBjAG8AcABlADMAXwBFAHEAdQBhAHQAaQBvAG4AcwAuAFYARQBFAFIARwBfADEANQBfADgAXwAxAF8AMQBfAF8AMQBfAEUAbQBpAHMAcwBpAG8AbgBzAEYAcgBvAG0AUAB1AHIAYwBoAGEAcwBlAGQAUABhAGMAawBhAGcAaQBuAGcAXwBBAHIAZwB1AG0AZQBuAHQAcwAiACwAIgBTAGMAbwBwAGUAMwBfAEUAcQB1AGEAdABpAG8AbgBzAC4AVgBFAEUAUgBHAF8AMQA1AF8AOABfADEAXwAxAF8AXwAxAF8ARQBtAGkAcwBzAGkAbwBuAHMARgByAG8AbQBQAHUAcgBjAGgAYQBzAGUAZABQAGEAYwBrAGEAZwBpAG4AZwBfAFYAYQByAGkAYQB0AGkAbwBuACIALAAiAFMAYwBvAHAAZQAzAF8ARQBxAHUAYQB0AGkAbwBuAHMALgBWAEUARQBSAEcAXwAxADUAXwA5AF8AMQBfADEAXwBfADEAXwBFAG0AaQBzAHMAaQBvAG4AcwBGAHIAbwBtAFAAdQByAGMAaABhAHMAZQBkAEcAcgBvAHcATQBlAGQAaQBhACIALAAiAFMAYwBvAHAAZQAzAF8ARQBxAHUAYQB0AGkAbwBuAHMALgBWAEUARQBSAEcAXwAxADUAXwA5AF8AMQBfADEAXwBfADEAXwBFAG0AaQBzAHMAaQBvAG4AcwBGAHIAbwBtAFAAdQByAGMAaABhAHMAZQBkAEcAcgBvAHcATQBlAGQAaQBhAF8AVABpAHQAbABlACIALAAiAFMAYwBvAHAAZQAzAF8ARQBxAHUAYQB0AGkAbwBuAHMALgBWAEUARQBSAEcAXwAxADUAXwA5AF8AMQBfADEAXwBfADEAXwBFAG0AaQBzAHMAaQBvAG4AcwBGAHIAbwBtAFAAdQByAGMAaABhAHMAZQBkAEcAcgBvAHcATQBlAGQAaQBhAF8AVgBhAHIAaQBhAGIAbABlACIALAAiAFMAYwBvAHAAZQAzAF8ARQBxAHUAYQB0AGkAbwBuAHMALgBWAEUARQBSAEcAXwAxADUAXwA5AF8AMQBfADEAXwBfADEAXwBFAG0AaQBzAHMAaQBvAG4AcwBGAHIAbwBtAFAAdQByAGMAaABhAHMAZQBkAEcAcgBvAHcATQBlAGQAaQBhAF8AVQBuAGkAdAAiACwAIgBTAGMAbwBwAGUAMwBfAEUAcQB1AGEAdABpAG8AbgBzAC4AVgBFAEUAUgBHAF8AMQA1AF8AOQBfADEAXwAxAF8AXwAxAF8ARQBtAGkAcwBzAGkAbwBuAHMARgByAG8AbQBQAHUAcgBjAGgAYQBzAGUAZABHAHIAbwB3AE0AZQBkAGkAYQBfAFMAbwB1AHIAYwBlACIALAAiAFMAYwBvAHAAZQAzAF8ARQBxAHUAYQB0AGkAbwBuAHMALgBWAEUARQBSAEcAXwAxADUAXwA5AF8AMQBfADEAXwBfADEAXwBFAG0AaQBzAHMAaQBvAG4AcwBGAHIAbwBtAFAAdQByAGMAaABhAHMAZQBkAEcAcgBvAHcATQBlAGQAaQBhAF8ATgBJAFIAUgBlAGYAZQByAGUAbgBjAGUAIgAsACIAUwBjAG8AcABlADMAXwBFAHEAdQBhAHQAaQBvAG4AcwAuAFYARQBFAFIARwBfADEANQBfADkAXwAxAF8AMQBfAF8AMQBfAEUAbQBpAHMAcwBpAG8AbgBzAEYAcgBvAG0AUAB1AHIAYwBoAGEAcwBlAGQARwByAG8AdwBNAGUAZABpAGEAXwBMAGEAdABlAHgARQBxAHUAYQB0AGkAbwBuACIALAAiAFMAYwBvAHAAZQAzAF8ARQBxAHUAYQB0AGkAbwBuAHMALgBWAEUARQBSAEcAXwAxADUAXwA5AF8AMQBfADEAXwBfADEAXwBFAG0AaQBzAHMAaQBvAG4AcwBGAHIAbwBtAFAAdQByAGMAaABhAHMAZQBkAEcAcgBvAHcATQBlAGQAaQBhAF8AQQByAGcAdQBtAGUAbgB0AHMAIgAsACIAUwBjAG8AcABlADMAXwBFAHEAdQBhAHQAaQBvAG4AcwAuAFYARQBFAFIARwBfADEANQBfADEAMABfADEAXwAxAF8AXwAxAF8ATwB0AGgAZQByAFAAdQByAGMAaABhAHMAZQBkAEcAbwBvAGQAcwBBAG4AZABTAGUAcgB2AGkAYwBlAHMAIgAsACIAUwBjAG8AcABlADMAXwBFAHEAdQBhAHQAaQBvAG4AcwAuAFYARQBFAFIARwBfADEANQBfADEAMABfADEAXwAxAF8AXwAxAF8ATwB0AGgAZQByAFAAdQByAGMAaABhAHMAZQBkAEcAbwBvAGQAcwBBAG4AZABTAGUAcgB2AGkAYwBlAHMAXwBUAGkAdABsAGUAIgAsACIAUwBjAG8AcABlADMAXwBFAHEAdQBhAHQAaQBvAG4AcwAuAFYARQBFAFIARwBfADEANQBfADEAMABfADEAXwAxAF8AXwAxAF8ATwB0AGgAZQByAFAAdQByAGMAaABhAHMAZQBkAEcAbwBvAGQAcwBBAG4AZABTAGUAcgB2AGkAYwBlAHMAXwBWAGEAcgBpAGEAYgBsAGUAIgAsACIAUwBjAG8AcABlADMAXwBFAHEAdQBhAHQAaQBvAG4AcwAuAFYARQBFAFIARwBfADEANQBfADEAMABfADEAXwAxAF8AXwAxAF8ATwB0AGgAZQByAFAAdQByAGMAaABhAHMAZQBkAEcAbwBvAGQAcwBBAG4AZABTAGUAcgB2AGkAYwBlAHMAXwBVAG4AaQB0ACIALAAiAFMAYwBvAHAAZQAzAF8ARQBxAHUAYQB0AGkAbwBuAHMALgBWAEUARQBSAEcAXwAxADUAXwAxADAAXwAxAF8AMQBfAF8AMQBfAE8AdABoAGUAcgBQAHUAcgBjAGgAYQBzAGUAZABHAG8AbwBkAHMAQQBuAGQAUwBlAHIAdgBpAGMAZQBzAF8AUwBvAHUAcgBjAGUAIgAsACIAUwBjAG8AcABlADMAXwBFAHEAdQBhAHQAaQBvAG4AcwAuAFYARQBFAFIARwBfADEANQBfADEAMABfADEAXwAxAF8AXwAxAF8ATwB0AGgAZQByAFAAdQByAGMAaABhAHMAZQBkAEcAbwBvAGQAcwBBAG4AZABTAGUAcgB2AGkAYwBlAHMAXwBOAEkAUgBSAGUAZgBlAHIAZQBuAGMAZQAiACwAIgBTAGMAbwBwAGUAMwBfAEUAcQB1AGEAdABpAG8AbgBzAC4AVgBFAEUAUgBHAF8AMQA1AF8AMQAwAF8AMQBfADEAXwBfADEAXwBPAHQAaABlAHIAUAB1AHIAYwBoAGEAcwBlAGQARwBvAG8AZABzAEEAbgBkAFMAZQByAHYAaQBjAGUAcwBfAEwAYQB0AGUAeABFAHEAdQBhAHQAaQBvAG4AIgAsACIAUwBjAG8AcABlADMAXwBFAHEAdQBhAHQAaQBvAG4AcwAuAFYARQBFAFIARwBfADEANQBfADEAMABfADEAXwAxAF8AXwAxAF8ATwB0AGgAZQByAFAAdQByAGMAaABhAHMAZQBkAEcAbwBvAGQAcwBBAG4AZABTAGUAcgB2AGkAYwBlAHMAXwBBAHIAZwB1AG0AZQBuAHQAcwAiACwAIgBTAGMAbwBwAGUAMwBfAEUAcQB1AGEAdABpAG8AbgBzAC4AVgBFAEUAUgBHAF8AMQA1AF8AMQAxAF8AMQBfADEAXwBfADEAXwBUAG8AdABhAGwAVQBwAHMAdAByAGUAYQBtAEUAbQBpAHMAcwBpAG8AbgBzAEYAcgBvAG0ARgB1AGUAbAAiACwAIgBTAGMAbwBwAGUAMwBfAEUAcQB1AGEAdABpAG8AbgBzAC4AVgBFAEUAUgBHAF8AMQA1AF8AMQAxAF8AMQBfADEAXwBfADEAXwBUAG8AdABhAGwAVQBwAHMAdAByAGUAYQBtAEUAbQBpAHMAcwBpAG8AbgBzAEYAcgBvAG0ARgB1AGUAbABfAFQAaQB0AGwAZQAiACwAIgBTAGMAbwBwAGUAMwBfAEUAcQB1AGEAdABpAG8AbgBzAC4AVgBFAEUAUgBHAF8AMQA1AF8AMQAxAF8AMQBfADEAXwBfADEAXwBUAG8AdABhAGwAVQBwAHMAdAByAGUAYQBtAEUAbQBpAHMAcwBpAG8AbgBzAEYAcgBvAG0ARgB1AGUAbABfAFYAYQByAGkAYQBiAGwAZQAiACwAIgBTAGMAbwBwAGUAMwBfAEUAcQB1AGEAdABpAG8AbgBzAC4AVgBFAEUAUgBHAF8AMQA1AF8AMQAxAF8AMQBfADEAXwBfADEAXwBUAG8AdABhAGwAVQBwAHMAdAByAGUAYQBtAEUAbQBpAHMAcwBpAG8AbgBzAEYAcgBvAG0ARgB1AGUAbABfAFUAbgBpAHQAIgAsACIAUwBjAG8AcABlADMAXwBFAHEAdQBhAHQAaQBvAG4AcwAuAFYARQBFAFIARwBfADEANQBfADEAMQBfADEAXwAxAF8AXwAxAF8AVABvAHQAYQBsAFUAcABzAHQAcgBlAGEAbQBFAG0AaQBzAHMAaQBvAG4AcwBGAHIAbwBtAEYAdQBlAGwAXwBTAG8AdQByAGMAZQAiACwAIgBTAGMAbwBwAGUAMwBfAEUAcQB1AGEAdABpAG8AbgBzAC4AVgBFAEUAUgBHAF8AMQA1AF8AMQAxAF8AMQBfADEAXwBfADEAXwBUAG8AdABhAGwAVQBwAHMAdAByAGUAYQBtAEUAbQBpAHMAcwBpAG8AbgBzAEYAcgBvAG0ARgB1AGUAbABfAE4ASQBSAFIAZQBmAGUAcgBlAG4AYwBlACIALAAiAFMAYwBvAHAAZQAzAF8ARQBxAHUAYQB0AGkAbwBuAHMALgBWAEUARQBSAEcAXwAxADUAXwAxADEAXwAxAF8AMQBfAF8AMQBfAFQAbwB0AGEAbABVAHAAcwB0AHIAZQBhAG0ARQBtAGkAcwBzAGkAbwBuAHMARgByAG8AbQBGAHUAZQBsAF8ATABhAHQAZQB4AEUAcQB1AGEAdABpAG8AbgAiACwAIgBTAGMAbwBwAGUAMwBfAEUAcQB1AGEAdABpAG8AbgBzAC4AVgBFAEUAUgBHAF8AMQA1AF8AMQAxAF8AMQBfADEAXwBfADEAXwBUAG8AdABhAGwAVQBwAHMAdAByAGUAYQBtAEUAbQBpAHMAcwBpAG8AbgBzAEYAcgBvAG0ARgB1AGUAbABfAEEAcgBnAHUAbQBlAG4AdABzACIALAAiAFMAYwBvAHAAZQAzAF8ARQBxAHUAYQB0AGkAbwBuAHMALgBWAEUARQBSAEcAXwAxADUAXwAxADEAXwAxAF8AMQBfAF8AMgBfAFUAcABzAHQAcgBlAGEAbQBUAHIAYQBuAHMAcABvAHIAdABGAHUAZQBsAEUAbQBpAHMAcwBpAG8AbgBzACIALAAiAFMAYwBvAHAAZQAzAF8ARQBxAHUAYQB0AGkAbwBuAHMALgBWAEUARQBSAEcAXwAxADUAXwAxADEAXwAxAF8AMQBfAF8AMgBfAFUAcABzAHQAcgBlAGEAbQBUAHIAYQBuAHMAcABvAHIAdABGAHUAZQBsAEUAbQBpAHMAcwBpAG8AbgBzAF8AVABpAHQAbABlACIALAAiAFMAYwBvAHAAZQAzAF8ARQBxAHUAYQB0AGkAbwBuAHMALgBWAEUARQBSAEcAXwAxADUAXwAxADEAXwAxAF8AMQBfAF8AMgBfAFUAcABzAHQAcgBlAGEAbQBUAHIAYQBuAHMAcABvAHIAdABGAHUAZQBsAEUAbQBpAHMAcwBpAG8AbgBzAF8AVgBhAHIAaQBhAGIAbABlACIALAAiAFMAYwBvAHAAZQAzAF8ARQBxAHUAYQB0AGkAbwBuAHMALgBWAEUARQBSAEcAXwAxADUAXwAxADEAXwAxAF8AMQBfAF8AMgBfAFUAcABzAHQAcgBlAGEAbQBUAHIAYQBuAHMAcABvAHIAdABGAHUAZQBsAEUAbQBpAHMAcwBpAG8AbgBzAF8AVQBuAGkAdAAiACwAIgBTAGMAbwBwAGUAMwBfAEUAcQB1AGEAdABpAG8AbgBzAC4AVgBFAEUAUgBHAF8AMQA1AF8AMQAxAF8AMQBfADEAXwBfADIAXwBVAHAAcwB0AHIAZQBhAG0AVAByAGEAbgBzAHAAbwByAHQARgB1AGUAbABFAG0AaQBzAHMAaQBvAG4AcwBfAFMAbwB1AHIAYwBlACIALAAiAFMAYwBvAHAAZQAzAF8ARQBxAHUAYQB0AGkAbwBuAHMALgBWAEUARQBSAEcAXwAxADUAXwAxADEAXwAxAF8AMQBfAF8AMgBfAFUAcABzAHQAcgBlAGEAbQBUAHIAYQBuAHMAcABvAHIAdABGAHUAZQBsAEUAbQBpAHMAcwBpAG8AbgBzAF8ATgBJAFIAUgBlAGYAZQByAGUAbgBjAGUAIgAsACIAUwBjAG8AcABlADMAXwBFAHEAdQBhAHQAaQBvAG4AcwAuAFYARQBFAFIARwBfADEANQBfADEAMQBfADEAXwAxAF8AXwAyAF8AVQBwAHMAdAByAGUAYQBtAFQAcgBhAG4AcwBwAG8AcgB0AEYAdQBlAGwARQBtAGkAcwBzAGkAbwBuAHMAXwBMAGEAdABlAHgARQBxAHUAYQB0AGkAbwBuACIALAAiAFMAYwBvAHAAZQAzAF8ARQBxAHUAYQB0AGkAbwBuAHMALgBWAEUARQBSAEcAXwAxADUAXwAxADEAXwAxAF8AMQBfAF8AMgBfAFUAcABzAHQAcgBlAGEAbQBUAHIAYQBuAHMAcABvAHIAdABGAHUAZQBsAEUAbQBpAHMAcwBpAG8AbgBzAF8AQQByAGcAdQBtAGUAbgB0AHMAIgAsACIAUwBjAG8AcABlADMAXwBFAHEAdQBhAHQAaQBvAG4AcwAuAFYARQBFAFIARwBfADEANQBfADEAMQBfADEAXwAxAF8AXwAzAF8AVQBwAHMAdAByAGUAYQBtAFMAdABhAHQAaQBvAG4AYQByAHkARgB1AGUAbABFAG0AaQBzAHMAaQBvAG4AcwAiACwAIgBTAGMAbwBwAGUAMwBfAEUAcQB1AGEAdABpAG8AbgBzAC4AVgBFAEUAUgBHAF8AMQA1AF8AMQAxAF8AMQBfADEAXwBfADMAXwBVAHAAcwB0AHIAZQBhAG0AUwB0AGEAdABpAG8AbgBhAHIAeQBGAHUAZQBsAEUAbQBpAHMAcwBpAG8AbgBzAF8AVABpAHQAbABlACIALAAiAFMAYwBvAHAAZQAzAF8ARQBxAHUAYQB0AGkAbwBuAHMALgBWAEUARQBSAEcAXwAxADUAXwAxADEAXwAxAF8AMQBfAF8AMwBfAFUAcABzAHQAcgBlAGEAbQBTAHQAYQB0AGkAbwBuAGEAcgB5AEYAdQBlAGwARQBtAGkAcwBzAGkAbwBuAHMAXwBWAGEAcgBpAGEAYgBsAGUAIgAsACIAUwBjAG8AcABlADMAXwBFAHEAdQBhAHQAaQBvAG4AcwAuAFYARQBFAFIARwBfADEANQBfADEAMQBfADEAXwAxAF8AXwAzAF8AVQBwAHMAdAByAGUAYQBtAFMAdABhAHQAaQBvAG4AYQByAHkARgB1AGUAbABFAG0AaQBzAHMAaQBvAG4AcwBfAFUAbgBpAHQAIgAsACIAUwBjAG8AcABlADMAXwBFAHEAdQBhAHQAaQBvAG4AcwAuAFYARQBFAFIARwBfADEANQBfADEAMQBfADEAXwAxAF8AXwAzAF8AVQBwAHMAdAByAGUAYQBtAFMAdABhAHQAaQBvAG4AYQByAHkARgB1AGUAbABFAG0AaQBzAHMAaQBvAG4AcwBfAFMAbwB1AHIAYwBlACIALAAiAFMAYwBvAHAAZQAzAF8ARQBxAHUAYQB0AGkAbwBuAHMALgBWAEUARQBSAEcAXwAxADUAXwAxADEAXwAxAF8AMQBfAF8AMwBfAFUAcABzAHQAcgBlAGEAbQBTAHQAYQB0AGkAbwBuAGEAcgB5AEYAdQBlAGwARQBtAGkAcwBzAGkAbwBuAHMAXwBOAEkAUgBSAGUAZgBlAHIAZQBuAGMAZQAiACwAIgBTAGMAbwBwAGUAMwBfAEUAcQB1AGEAdABpAG8AbgBzAC4AVgBFAEUAUgBHAF8AMQA1AF8AMQAxAF8AMQBfADEAXwBfADMAXwBVAHAAcwB0AHIAZQBhAG0AUwB0AGEAdABpAG8AbgBhAHIAeQBGAHUAZQBsAEUAbQBpAHMAcwBpAG8AbgBzAF8ATABhAHQAZQB4AEUAcQB1AGEAdABpAG8AbgAiACwAIgBTAGMAbwBwAGUAMwBfAEUAcQB1AGEAdABpAG8AbgBzAC4AVgBFAEUAUgBHAF8AMQA1AF8AMQAxAF8AMQBfADEAXwBfADMAXwBVAHAAcwB0AHIAZQBhAG0AUwB0AGEAdABpAG8AbgBhAHIAeQBGAHUAZQBsAEUAbQBpAHMAcwBpAG8AbgBzAF8AQQByAGcAdQBtAGUAbgB0AHMAIgAsACIAUwBjAG8AcABlADMAXwBFAHEAdQBhAHQAaQBvAG4AcwAuAFYARQBFAFIARwBfADEANQBfADEAMgBfADEAXwAxAF8AXwAxAF8AVQBwAHMAdAByAGUAYQBtAFAAdQByAGMAaABhAHMAZQBkAEUAbABlAGMAdAByAGkAYwBpAHQAeQBMAG8AYwBhAHQAaQBvAG4AQgBhAHMAZQBkACIALAAiAFMAYwBvAHAAZQAzAF8ARQBxAHUAYQB0AGkAbwBuAHMALgBWAEUARQBSAEcAXwAxADUAXwAxADIAXwAxAF8AMQBfAF8AMQBfAFUAcABzAHQAcgBlAGEAbQBQAHUAcgBjAGgAYQBzAGUAZABFAGwAZQBjAHQAcgBpAGMAaQB0AHkATABvAGMAYQB0AGkAbwBuAEIAYQBzAGUAZABfAFQAaQB0AGwAZQAiACwAIgBTAGMAbwBwAGUAMwBfAEUAcQB1AGEAdABpAG8AbgBzAC4AVgBFAEUAUgBHAF8AMQA1AF8AMQAyAF8AMQBfADEAXwBfADEAXwBVAHAAcwB0AHIAZQBhAG0AUAB1AHIAYwBoAGEAcwBlAGQARQBsAGUAYwB0AHIAaQBjAGkAdAB5AEwAbwBjAGEAdABpAG8AbgBCAGEAcwBlAGQAXwBWAGEAcgBpAGEAYgBsAGUAIgAsACIAUwBjAG8AcABlADMAXwBFAHEAdQBhAHQAaQBvAG4AcwAuAFYARQBFAFIARwBfADEANQBfADEAMgBfADEAXwAxAF8AXwAxAF8AVQBwAHMAdAByAGUAYQBtAFAAdQByAGMAaABhAHMAZQBkAEUAbABlAGMAdAByAGkAYwBpAHQAeQBMAG8AYwBhAHQAaQBvAG4AQgBhAHMAZQBkAF8AVQBuAGkAdAAiACwAIgBTAGMAbwBwAGUAMwBfAEUAcQB1AGEAdABpAG8AbgBzAC4AVgBFAEUAUgBHAF8AMQA1AF8AMQAyAF8AMQBfADEAXwBfADEAXwBVAHAAcwB0AHIAZQBhAG0AUAB1AHIAYwBoAGEAcwBlAGQARQBsAGUAYwB0AHIAaQBjAGkAdAB5AEwAbwBjAGEAdABpAG8AbgBCAGEAcwBlAGQAXwBTAG8AdQByAGMAZQAiACwAIgBTAGMAbwBwAGUAMwBfAEUAcQB1AGEAdABpAG8AbgBzAC4AVgBFAEUAUgBHAF8AMQA1AF8AMQAyAF8AMQBfADEAXwBfADEAXwBVAHAAcwB0AHIAZQBhAG0AUAB1AHIAYwBoAGEAcwBlAGQARQBsAGUAYwB0AHIAaQBjAGkAdAB5AEwAbwBjAGEAdABpAG8AbgBCAGEAcwBlAGQAXwBOAEkAUgBSAGUAZgBlAHIAZQBuAGMAZQAiACwAIgBTAGMAbwBwAGUAMwBfAEUAcQB1AGEAdABpAG8AbgBzAC4AVgBFAEUAUgBHAF8AMQA1AF8AMQAyAF8AMQBfADEAXwBfADEAXwBVAHAAcwB0AHIAZQBhAG0AUAB1AHIAYwBoAGEAcwBlAGQARQBsAGUAYwB0AHIAaQBjAGkAdAB5AEwAbwBjAGEAdABpAG8AbgBCAGEAcwBlAGQAXwBMAGEAdABlAHgARQBxAHUAYQB0AGkAbwBuACIALAAiAFMAYwBvAHAAZQAzAF8ARQBxAHUAYQB0AGkAbwBuAHMALgBWAEUARQBSAEcAXwAxADUAXwAxADIAXwAxAF8AMQBfAF8AMQBfAFUAcABzAHQAcgBlAGEAbQBQAHUAcgBjAGgAYQBzAGUAZABFAGwAZQBjAHQAcgBpAGMAaQB0AHkATABvAGMAYQB0AGkAbwBuAEIAYQBzAGUAZABfAEEAcgBnAHUAbQBlAG4AdABzACIALAAiAFMAYwBvAHAAZQAzAF8ARQBxAHUAYQB0AGkAbwBuAHMALgBWAEUARQBSAEcAXwAxADUAXwAxADIAXwAxAF8AMgBfAF8AMQBfAFUAcABzAHQAcgBlAGEAbQBQAHUAcgBjAGgAYQBzAGUAZABFAGwAZQBjAHQAcgBpAGMAaQB0AHkATQBhAHIAawBlAHQAQgBhAHMAZQBkACIALAAiAFMAYwBvAHAAZQAzAF8ARQBxAHUAYQB0AGkAbwBuAHMALgBWAEUARQBSAEcAXwAxADUAXwAxADIAXwAxAF8AMgBfAF8AMQBfAFUAcABzAHQAcgBlAGEAbQBQAHUAcgBjAGgAYQBzAGUAZABFAGwAZQBjAHQAcgBpAGMAaQB0AHkATQBhAHIAawBlAHQAQgBhAHMAZQBkAFYAYQByAGkAYQB0AGkAbwBuACIALAAiAFMAYwBvAHAAZQAzAF8ARQBxAHUAYQB0AGkAbwBuAHMALgBWAEUARQBSAEcAXwAxADUAXwAxADIAXwAxAF8AMgBfAF8AMQBfAFUAcABzAHQAcgBlAGEAbQBQAHUAcgBjAGgAYQBzAGUAZABFAGwAZQBjAHQAcgBpAGMAaQB0AHkATQBhAHIAawBlAHQAQgBhAHMAZQBkAF8AVABpAHQAbABlACIALAAiAFMAYwBvAHAAZQAzAF8ARQBxAHUAYQB0AGkAbwBuAHMALgBWAEUARQBSAEcAXwAxADUAXwAxADIAXwAxAF8AMgBfAF8AMQBfAFUAcABzAHQAcgBlAGEAbQBQAHUAcgBjAGgAYQBzAGUAZABFAGwAZQBjAHQAcgBpAGMAaQB0AHkATQBhAHIAawBlAHQAQgBhAHMAZQBkAF8AVgBhAHIAaQBhAGIAbABlACIALAAiAFMAYwBvAHAAZQAzAF8ARQBxAHUAYQB0AGkAbwBuAHMALgBWAEUARQBSAEcAXwAxADUAXwAxADIAXwAxAF8AMgBfAF8AMQBfAFUAcABzAHQAcgBlAGEAbQBQAHUAcgBjAGgAYQBzAGUAZABFAGwAZQBjAHQAcgBpAGMAaQB0AHkATQBhAHIAawBlAHQAQgBhAHMAZQBkAF8AVQBuAGkAdAAiACwAIgBTAGMAbwBwAGUAMwBfAEUAcQB1AGEAdABpAG8AbgBzAC4AVgBFAEUAUgBHAF8AMQA1AF8AMQAyAF8AMQBfADIAXwBfADEAXwBVAHAAcwB0AHIAZQBhAG0AUAB1AHIAYwBoAGEAcwBlAGQARQBsAGUAYwB0AHIAaQBjAGkAdAB5AE0AYQByAGsAZQB0AEIAYQBzAGUAZABfAFMAbwB1AHIAYwBlACIALAAiAFMAYwBvAHAAZQAzAF8ARQBxAHUAYQB0AGkAbwBuAHMALgBWAEUARQBSAEcAXwAxADUAXwAxADIAXwAxAF8AMgBfAF8AMQBfAFUAcABzAHQAcgBlAGEAbQBQAHUAcgBjAGgAYQBzAGUAZABFAGwAZQBjAHQAcgBpAGMAaQB0AHkATQBhAHIAawBlAHQAQgBhAHMAZQBkAF8ATgBJAFIAUgBlAGYAZQByAGUAbgBjAGUAIgAsACIAUwBjAG8AcABlADMAXwBFAHEAdQBhAHQAaQBvAG4AcwAuAFYARQBFAFIARwBfADEANQBfADEAMgBfADEAXwAyAF8AXwAxAF8AVQBwAHMAdAByAGUAYQBtAFAAdQByAGMAaABhAHMAZQBkAEUAbABlAGMAdAByAGkAYwBpAHQAeQBNAGEAcgBrAGUAdABCAGEAcwBlAGQAXwBMAGEAdABlAHgARQBxAHUAYQB0AGkAbwBuACIALAAiAFMAYwBvAHAAZQAzAF8ARQBxAHUAYQB0AGkAbwBuAHMALgBWAEUARQBSAEcAXwAxADUAXwAxADIAXwAxAF8AMgBfAF8AMQBfAFUAcABzAHQAcgBlAGEAbQBQAHUAcgBjAGgAYQBzAGUAZABFAGwAZQBjAHQAcgBpAGMAaQB0AHkATQBhAHIAawBlAHQAQgBhAHMAZQBkAF8ATABhAHQAZQB4AEUAcQB1AGEAdABpAG8AbgBWAGEAcgBpAGEAdABpAG8AbgAiACwAIgBTAGMAbwBwAGUAMwBfAEUAcQB1AGEAdABpAG8AbgBzAC4AVgBFAEUAUgBHAF8AMQA1AF8AMQAyAF8AMQBfADIAXwBfADEAXwBVAHAAcwB0AHIAZQBhAG0AUAB1AHIAYwBoAGEAcwBlAGQARQBsAGUAYwB0AHIAaQBjAGkAdAB5AE0AYQByAGsAZQB0AEIAYQBzAGUAZABfAEEAcgBnAHUAbQBlAG4AdABzACIALAAiAFMAYwBvAHAAZQAzAF8ARQBxAHUAYQB0AGkAbwBuAHMALgBWAEUARQBSAEcAXwAxADUAXwAxADIAXwAxAF8AMgBfAF8AMQBfAFUAcABzAHQAcgBlAGEAbQBQAHUAcgBjAGgAYQBzAGUAZABFAGwAZQBjAHQAcgBpAGMAaQB0AHkATQBhAHIAawBlAHQAQgBhAHMAZQBkAF8AVgBhAHIAaQBhAHQAaQBvAG4AIgAsACIAUwBjAG8AcABlADMAXwBFAHEAdQBhAHQAaQBvAG4AcwAuAFYARQBFAFIARwBfADEANQBfADEAMwBfADEAXwAxAF8AXwAxAF8ARQBtAGkAcwBzAGkAbwBuAHMARgByAG8AbQBNAGEAbgB1AHIAZQBTAGUAbgB0AE8AZgBmAFMAaQB0AGUAIgAsACIAUwBjAG8AcABlADMAXwBFAHEAdQBhAHQAaQBvAG4AcwAuAFYARQBFAFIARwBfADEANQBfADEAMwBfADEAXwAxAF8AXwAxAF8ARQBtAGkAcwBzAGkAbwBuAHMARgByAG8AbQBNAGEAbgB1AHIAZQBTAGUAbgB0AE8AZgBmAFMAaQB0AGUAXwBUAGkAdABsAGUAIgAsACIAUwBjAG8AcABlADMAXwBFAHEAdQBhAHQAaQBvAG4AcwAuAFYARQBFAFIARwBfADEANQBfADEAMwBfADEAXwAxAF8AXwAxAF8ARQBtAGkAcwBzAGkAbwBuAHMARgByAG8AbQBNAGEAbgB1AHIAZQBTAGUAbgB0AE8AZgBmAFMAaQB0AGUAXwBWAGEAcgBpAGEAYgBsAGUAIgAsACIAUwBjAG8AcABlADMAXwBFAHEAdQBhAHQAaQBvAG4AcwAuAFYARQBFAFIARwBfADEANQBfADEAMwBfADEAXwAxAF8AXwAxAF8ARQBtAGkAcwBzAGkAbwBuAHMARgByAG8AbQBNAGEAbgB1AHIAZQBTAGUAbgB0AE8AZgBmAFMAaQB0AGUAXwBVAG4AaQB0ACIALAAiAFMAYwBvAHAAZQAzAF8ARQBxAHUAYQB0AGkAbwBuAHMALgBWAEUARQBSAEcAXwAxADUAXwAxADMAXwAxAF8AMQBfAF8AMQBfAEUAbQBpAHMAcwBpAG8AbgBzAEYAcgBvAG0ATQBhAG4AdQByAGUAUwBlAG4AdABPAGYAZgBTAGkAdABlAF8AUwBvAHUAcgBjAGUAIgAsACIAUwBjAG8AcABlADMAXwBFAHEAdQBhAHQAaQBvAG4AcwAuAFYARQBFAFIARwBfADEANQBfADEAMwBfADEAXwAxAF8AXwAxAF8ARQBtAGkAcwBzAGkAbwBuAHMARgByAG8AbQBNAGEAbgB1AHIAZQBTAGUAbgB0AE8AZgBmAFMAaQB0AGUAXwBOAEkAUgBSAGUAZgBlAHIAZQBuAGMAZQAiACwAIgBTAGMAbwBwAGUAMwBfAEUAcQB1AGEAdABpAG8AbgBzAC4AVgBFAEUAUgBHAF8AMQA1AF8AMQAzAF8AMQBfADEAXwBfADEAXwBFAG0AaQBzAHMAaQBvAG4AcwBGAHIAbwBtAE0AYQBuAHUAcgBlAFMAZQBuAHQATwBmAGYAUwBpAHQAZQBfAEwAYQB0AGUAeABFAHEAdQBhAHQAaQBvAG4AIgAsACIAUwBjAG8AcABlADMAXwBFAHEAdQBhAHQAaQBvAG4AcwAuAFYARQBFAFIARwBfADEANQBfADEAMwBfADEAXwAxAF8AXwAxAF8ARQBtAGkAcwBzAGkAbwBuAHMARgByAG8AbQBNAGEAbgB1AHIAZQBTAGUAbgB0AE8AZgBmAFMAaQB0AGUAXwBBAHIAZwB1AG0AZQBuAHQAcwAiACwAIgBTAGMAbwBwAGUAMwBfAEUAcQB1AGEAdABpAG8AbgBzAC4AVgBFAEUAUgBHAF8AMQA1AF8AMQAzAF8AMQBfADMAXwBfADEAXwBFAG0AaQBzAHMAaQBvAG4AcwBGAHIAbwBtAFMAbwBsAGkAZABXAGEAcwB0AGUAVAByAGUAYQB0AG0AZQBuAHQARgBhAGMAaQBsAGkAdAB5ACIALAAiAFMAYwBvAHAAZQAzAF8ARQBxAHUAYQB0AGkAbwBuAHMALgBWAEUARQBSAEcAXwAxADUAXwAxADMAXwAxAF8AMwBfAF8AMQBfAEUAbQBpAHMAcwBpAG8AbgBzAEYAcgBvAG0AUwBvAGwAaQBkAFcAYQBzAHQAZQBUAHIAZQBhAHQAbQBlAG4AdABGAGEAYwBpAGwAaQB0AHkAXwBUAGkAdABsAGUAIgAsACIAUwBjAG8AcABlADMAXwBFAHEAdQBhAHQAaQBvAG4AcwAuAFYARQBFAFIARwBfADEANQBfADEAMwBfADEAXwAzAF8AXwAxAF8ARQBtAGkAcwBzAGkAbwBuAHMARgByAG8AbQBTAG8AbABpAGQAVwBhAHMAdABlAFQAcgBlAGEAdABtAGUAbgB0AEYAYQBjAGkAbABpAHQAeQBfAFYAYQByAGkAYQBiAGwAZQAiACwAIgBTAGMAbwBwAGUAMwBfAEUAcQB1AGEAdABpAG8AbgBzAC4AVgBFAEUAUgBHAF8AMQA1AF8AMQAzAF8AMQBfADMAXwBfADEAXwBFAG0AaQBzAHMAaQBvAG4AcwBGAHIAbwBtAFMAbwBsAGkAZABXAGEAcwB0AGUAVAByAGUAYQB0AG0AZQBuAHQARgBhAGMAaQBsAGkAdAB5AF8AVQBuAGkAdAAiACwAIgBTAGMAbwBwAGUAMwBfAEUAcQB1AGEAdABpAG8AbgBzAC4AVgBFAEUAUgBHAF8AMQA1AF8AMQAzAF8AMQBfADMAXwBfADEAXwBFAG0AaQBzAHMAaQBvAG4AcwBGAHIAbwBtAFMAbwBsAGkAZABXAGEAcwB0AGUAVAByAGUAYQB0AG0AZQBuAHQARgBhAGMAaQBsAGkAdAB5AF8AUwBvAHUAcgBjAGUAIgAsACIAUwBjAG8AcABlADMAXwBFAHEAdQBhAHQAaQBvAG4AcwAuAFYARQBFAFIARwBfADEANQBfADEAMwBfADEAXwAzAF8AXwAxAF8ARQBtAGkAcwBzAGkAbwBuAHMARgByAG8AbQBTAG8AbABpAGQAVwBhAHMAdABlAFQAcgBlAGEAdABtAGUAbgB0AEYAYQBjAGkAbABpAHQAeQBfAE4ASQBSAFIAZQBmAGUAcgBlAG4AYwBlACIALAAiAFMAYwBvAHAAZQAzAF8ARQBxAHUAYQB0AGkAbwBuAHMALgBWAEUARQBSAEcAXwAxADUAXwAxADMAXwAxAF8AMwBfAF8AMQBfAEUAbQBpAHMAcwBpAG8AbgBzAEYAcgBvAG0AUwBvAGwAaQBkAFcAYQBzAHQAZQBUAHIAZQBhAHQAbQBlAG4AdABGAGEAYwBpAGwAaQB0AHkAXwBMAGEAdABlAHgARQBxAHUAYQB0AGkAbwBuACIALAAiAFMAYwBvAHAAZQAzAF8ARQBxAHUAYQB0AGkAbwBuAHMALgBWAEUARQBSAEcAXwAxADUAXwAxADMAXwAxAF8AMwBfAF8AMQBfAEUAbQBpAHMAcwBpAG8AbgBzAEYAcgBvAG0AUwBvAGwAaQBkAFcAYQBzAHQAZQBUAHIAZQBhAHQAbQBlAG4AdABGAGEAYwBpAGwAaQB0AHkAXwBBAHIAZwB1AG0AZQBuAHQAcwAiACwAIgBTAGMAbwBwAGUAMwBfAEUAcQB1AGEAdABpAG8AbgBzAC4AVgBFAEUAUgBHAF8AMQA1AF8AMQA0AF8AMQBfADEAXwBfADEAXwBFAG0AYgBlAGQAZABlAGQARQBtAGkAcwBzAGkAbwBuAHMARgByAG8AbQBVAHAAcwB0AHIAZQBhAG0ARgByAGUAaQBnAGgAdAAiACwAIgBTAGMAbwBwAGUAMwBfAEUAcQB1AGEAdABpAG8AbgBzAC4AVgBFAEUAUgBHAF8AMQA1AF8AMQA0AF8AMQBfADEAXwBfADEAXwBFAG0AYgBlAGQAZABlAGQARQBtAGkAcwBzAGkAbwBuAHMARgByAG8AbQBVAHAAcwB0AHIAZQBhAG0ARgByAGUAaQBnAGgAdABfAFQAaQB0AGwAZQAiACwAIgBTAGMAbwBwAGUAMwBfAEUAcQB1AGEAdABpAG8AbgBzAC4AVgBFAEUAUgBHAF8AMQA1AF8AMQA0AF8AMQBfADEAXwBfADEAXwBFAG0AYgBlAGQAZABlAGQARQBtAGkAcwBzAGkAbwBuAHMARgByAG8AbQBVAHAAcwB0AHIAZQBhAG0ARgByAGUAaQBnAGgAdABfAFYAYQByAGkAYQBiAGwAZQAiACwAIgBTAGMAbwBwAGUAMwBfAEUAcQB1AGEAdABpAG8AbgBzAC4AVgBFAEUAUgBHAF8AMQA1AF8AMQA0AF8AMQBfADEAXwBfADEAXwBFAG0AYgBlAGQAZABlAGQARQBtAGkAcwBzAGkAbwBuAHMARgByAG8AbQBVAHAAcwB0AHIAZQBhAG0ARgByAGUAaQBnAGgAdABfAFUAbgBpAHQAIgAsACIAUwBjAG8AcABlADMAXwBFAHEAdQBhAHQAaQBvAG4AcwAuAFYARQBFAFIARwBfADEANQBfADEANABfADEAXwAxAF8AXwAxAF8ARQBtAGIAZQBkAGQAZQBkAEUAbQBpAHMAcwBpAG8AbgBzAEYAcgBvAG0AVQBwAHMAdAByAGUAYQBtAEYAcgBlAGkAZwBoAHQAXwBTAG8AdQByAGMAZQAiACwAIgBTAGMAbwBwAGUAMwBfAEUAcQB1AGEAdABpAG8AbgBzAC4AVgBFAEUAUgBHAF8AMQA1AF8AMQA0AF8AMQBfADEAXwBfADEAXwBFAG0AYgBlAGQAZABlAGQARQBtAGkAcwBzAGkAbwBuAHMARgByAG8AbQBVAHAAcwB0AHIAZQBhAG0ARgByAGUAaQBnAGgAdABfAE4ASQBSAFIAZQBmAGUAcgBlAG4AYwBlACIALAAiAFMAYwBvAHAAZQAzAF8ARQBxAHUAYQB0AGkAbwBuAHMALgBWAEUARQBSAEcAXwAxADUAXwAxADQAXwAxAF8AMQBfAF8AMQBfAEUAbQBiAGUAZABkAGUAZABFAG0AaQBzAHMAaQBvAG4AcwBGAHIAbwBtAFUAcABzAHQAcgBlAGEAbQBGAHIAZQBpAGcAaAB0AF8ATABhAHQAZQB4AEUAcQB1AGEAdABpAG8AbgAiACwAIgBTAGMAbwBwAGUAMwBfAEUAcQB1AGEAdABpAG8AbgBzAC4AVgBFAEUAUgBHAF8AMQA1AF8AMQA0AF8AMQBfADEAXwBfADEAXwBFAG0AYgBlAGQAZABlAGQARQBtAGkAcwBzAGkAbwBuAHMARgByAG8AbQBVAHAAcwB0AHIAZQBhAG0ARgByAGUAaQBnAGgAdABfAEEAcgBnAHUAbQBlAG4AdABz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TABhAHQAZQB4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MAGEAdABlAHgARQBxAHUAYQB0AGkAbwBuACIALAAiAEYAdQBlAGwAXwBFAHEAdQBhAHQAaQBvAG4AcwAuAFYARQBFAFIARwBfADgAXwAyAF8AMQBfADEAXwBfADEAXwBGAHUAZQBsAEMAbwBtAGIAdQBzAHQAaQBvAG4AUwB0AGEAdABpAG8AbgBhAHIAeQ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LAAiAFcAYQBzAHQAZQBTAG8AbABpAGQAXwBJAG4AcAB1AHQARgB1AG4AYwB0AGkAbwBuAHMALgBXAGEAcwB0AGUAUwBvAGwAaQBkAF8ASQBuAHAAdQB0AEYAdQBuAGMAdABpAG8AbgBzAF8AUwB1AG0AVwBhAHMAdABlAFQAcgBlAGEAdABtAGUAbgB0ACIALAAiAFcAYQBzAHQAZQBTAG8AbABpAGQAXwBTAG8AdQByAGMAZQBEAGEAdABhAC4AVwBhAHMAdABlAF8ARQBtAGkAcwBzAGkAbwBuAEYAYQBjAHQAbwByAHMARgBvAHIAVwBhAHMAdABlAFQAcgBlAGEAdABtAGUAbgB0AF8AVABpAHQAbABlACIALAAiAFcAYQBzAHQAZQBTAG8AbABpAGQAXwBTAG8AdQByAGMAZQBEAGEAdABhAC4AVwBhAHMAdABlAF8ARQBtAGkAcwBzAGkAbwBuAEYAYQBjAHQAbwByAHMARgBvAHIAVwBhAHMAdABlAFQAcgBlAGEAdABtAGUAbgB0AF8AVgBhAHIAaQBhAGIAbABlACIALAAiAFcAYQBzAHQAZQBTAG8AbABpAGQAXwBTAG8AdQByAGMAZQBEAGEAdABhAC4AVwBhAHMAdABlAF8ARQBtAGkAcwBzAGkAbwBuAEYAYQBjAHQAbwByAHMARgBvAHIAVwBhAHMAdABlAFQAcgBlAGEAdABtAGUAbgB0AF8AVQBuAGkAdAAiACwAIgBXAGEAcwB0AGUAUwBvAGwAaQBkAF8AUwBvAHUAcgBjAGUARABhAHQAYQAuAFcAYQBzAHQAZQBfAEUAbQBpAHMAcwBpAG8AbgBGAGEAYwB0AG8AcgBzAEYAbwByAFcAYQBzAHQAZQBUAHIAZQBhAHQAbQBlAG4AdABfAFMAbwB1AHIAYwBlACIALAAiAFcAYQBzAHQAZQBTAG8AbABpAGQAXwBTAG8AdQByAGMAZQBEAGEAdABhAC4AVwBhAHMAdABlAF8ARQBtAGkAcwBzAGkAbwBuAEYAYQBjAHQAbwByAHMARgBvAHIAVwBhAHMAdABlAFQAcgBlAGEAdABtAGUAbgB0AF8ARABhAHQAYQAiACwAIgBXAGEAcwB0AGUAUwBvAGwAaQBkAF8AUwBvAHUAcgBjAGUARABhAHQAYQAuAFcAYQBzAHQAZQBfAEUAbQBpAHMAcwBpAG8AbgBGAGEAYwB0AG8AcgBzAEYAbwByAFcAYQBzAHQAZQBUAHIAZQBhAHQAbQBlAG4AdABfAFYAYQByAGkAYQB0AGkAbwBuACIALAAiAFcAYQBzAHQAZQBTAG8AbABpAGQAXwBTAG8AdQByAGMAZQBEAGEAdABhAC4AVwBhAHMAdABlAF8AVwBhAHMAdABlAFYAbwBsAHUAbQBlAFQAbwBNAGEAcwBzAEMAbwBuAHYAZQByAHMAaQBvAG4AXwBUAGkAdABsAGUAIgAsACIAVwBhAHMAdABlAFMAbwBsAGkAZABfAFMAbwB1AHIAYwBlAEQAYQB0AGEALgBXAGEAcwB0AGUAXwBXAGEAcwB0AGUAVgBvAGwAdQBtAGUAVABvAE0AYQBzAHMAQwBvAG4AdgBlAHIAcwBpAG8AbgBfAFYAYQByAGkAYQBiAGwAZQAiACwAIgBXAGEAcwB0AGUAUwBvAGwAaQBkAF8AUwBvAHUAcgBjAGUARABhAHQAYQAuAFcAYQBzAHQAZQBfAFcAYQBzAHQAZQBWAG8AbAB1AG0AZQBUAG8ATQBhAHMAcwBDAG8AbgB2AGUAcgBzAGkAbwBuAF8AVQBuAGkAdAAiACwAIgBXAGEAcwB0AGUAUwBvAGwAaQBkAF8AUwBvAHUAcgBjAGUARABhAHQAYQAuAFcAYQBzAHQAZQBfAFcAYQBzAHQAZQBWAG8AbAB1AG0AZQBUAG8ATQBhAHMAcwBDAG8AbgB2AGUAcgBzAGkAbwBuAF8AUwBvAHUAcgBjAGUAIgAsACIAVwBhAHMAdABlAFMAbwBsAGkAZABfAFMAbwB1AHIAYwBlAEQAYQB0AGEALgBXAGEAcwB0AGUAXwBXAGEAcwB0AGUAVgBvAGwAdQBtAGUAVABvAE0AYQBzAHMAQwBvAG4AdgBlAHIAcwBpAG8AbgBfAEQAYQB0AGEAIgAsACIAVwBhAHMAdABlAFMAbwBsAGkAZABfAFMAbwB1AHIAYwBlAEQAYQB0AGEALgBXAGEAcwB0AGUAXwBXAGEAcwB0AGUAVgBvAGwAdQBtAGUAVABvAE0AYQBzAHMAQwBvAG4AdgBlAHIAcwBpAG8AbgBfAFYAYQByAGkAYQB0AGkAbwBuACIALAAiAFcAYQBzAHQAZQBTAG8AbABpAGQAXwBFAHEAdQBhAHQAaQBvAG4AcwAuAFYARQBFAFIARwBfADEAMABfADEAXwAxAF8AMQBfAF8AMQBfAEUAbQBpAHMAcwBpAG8AbgBzAEYAcgBvAG0AVwBhAHMAdABlAE0AYQBuAGEAZwBlAG0AZQBuAHQAIgAsACIAVwBhAHMAdABlAFMAbwBsAGkAZABfAEUAcQB1AGEAdABpAG8AbgBzAC4AVgBFAEUAUgBHAF8AMQAwAF8AMQBfADEAXwAxAF8AXwAxAF8ARQBtAGkAcwBzAGkAbwBuAHMARgByAG8AbQBXAGEAcwB0AGUATQBhAG4AYQBnAGUAbQBlAG4AdABfAFQAaQB0AGwAZQAiACwAIgBXAGEAcwB0AGUAUwBvAGwAaQBkAF8ARQBxAHUAYQB0AGkAbwBuAHMALgBWAEUARQBSAEcAXwAxADAAXwAxAF8AMQBfADEAXwBfADEAXwBFAG0AaQBzAHMAaQBvAG4AcwBGAHIAbwBtAFcAYQBzAHQAZQBNAGEAbgBhAGcAZQBtAGUAbgB0AF8AVgBhAHIAaQBhAGIAbABlACIALAAiAFcAYQBzAHQAZQBTAG8AbABpAGQAXwBFAHEAdQBhAHQAaQBvAG4AcwAuAFYARQBFAFIARwBfADEAMABfADEAXwAxAF8AMQBfAF8AMQBfAEUAbQBpAHMAcwBpAG8AbgBzAEYAcgBvAG0AVwBhAHMAdABlAE0AYQBuAGEAZwBlAG0AZQBuAHQAXwBVAG4AaQB0ACIALAAiAFcAYQBzAHQAZQBTAG8AbABpAGQAXwBFAHEAdQBhAHQAaQBvAG4AcwAuAFYARQBFAFIARwBfADEAMABfADEAXwAxAF8AMQBfAF8AMQBfAEUAbQBpAHMAcwBpAG8AbgBzAEYAcgBvAG0AVwBhAHMAdABlAE0AYQBuAGEAZwBlAG0AZQBuAHQAXwBTAG8AdQByAGMAZQAiACwAIgBXAGEAcwB0AGUAUwBvAGwAaQBkAF8ARQBxAHUAYQB0AGkAbwBuAHMALgBWAEUARQBSAEcAXwAxADAAXwAxAF8AMQBfADEAXwBfADEAXwBFAG0AaQBzAHMAaQBvAG4AcwBGAHIAbwBtAFcAYQBzAHQAZQBNAGEAbgBhAGcAZQBtAGUAbgB0AF8ATgBJAFIAUgBlAGYAZQByAGUAbgBjAGUAIgAsACIAVwBhAHMAdABlAFMAbwBsAGkAZABfAEUAcQB1AGEAdABpAG8AbgBzAC4AVgBFAEUAUgBHAF8AMQAwAF8AMQBfADEAXwAxAF8AXwAxAF8ARQBtAGkAcwBzAGkAbwBuAHMARgByAG8AbQBXAGEAcwB0AGUATQBhAG4AYQBnAGUAbQBlAG4AdABfAEwAYQB0AGUAeABFAHEAdQBhAHQAaQBvAG4AIgAsACIAVwBhAHMAdABlAFMAbwBsAGkAZABfAEUAcQB1AGEAdABpAG8AbgBzAC4AVgBFAEUAUgBHAF8AMQAwAF8AMQBfADEAXwAxAF8AXwAxAF8ARQBtAGkAcwBzAGkAbwBuAHMARgByAG8AbQBXAGEAcwB0AGUATQBhAG4AYQBnAGUAbQBlAG4AdABfAEEAcgBnAHUAbQBlAG4AdABzACIALAAiAFcAYQBzAHQAZQBTAG8AbABpAGQAXwBFAHEAdQBhAHQAaQBvAG4AcwAuAFYARQBFAFIARwBfADEAMABfADEAXwAxAF8AMQBfAF8AMQBfAEUAbQBpAHMAcwBpAG8AbgBzAEYAcgBvAG0AVwBhAHMAdABlAE0AYQBuAGEAZwBlAG0AZQBuAHQAXwBWAGEAcgBpAGEAdABpAG8AbgAiACwAIgBXAGEAcwB0AGUAUwBvAGwAaQBkAF8ARQBxAHUAYQB0AGkAbwBuAHMALgBWAEUARQBSAEcAXwAxADAAXwAxAF8AMQBfADEAXwBfADIAXwBNAGEAcwBzAE8AZgBXAGEAcwB0AGUARgByAG8AbQBWAG8AbAB1AG0AZQAiACwAIgBXAGEAcwB0AGUAUwBvAGwAaQBkAF8ARQBxAHUAYQB0AGkAbwBuAHMALgBWAEUARQBSAEcAXwAxADAAXwAxAF8AMQBfADEAXwBfADIAXwBNAGEAcwBzAE8AZgBXAGEAcwB0AGUARgByAG8AbQBWAG8AbAB1AG0AZQBfAFQAaQB0AGwAZQAiACwAIgBXAGEAcwB0AGUAUwBvAGwAaQBkAF8ARQBxAHUAYQB0AGkAbwBuAHMALgBWAEUARQBSAEcAXwAxADAAXwAxAF8AMQBfADEAXwBfADIAXwBNAGEAcwBzAE8AZgBXAGEAcwB0AGUARgByAG8AbQBWAG8AbAB1AG0AZQBfAFYAYQByAGkAYQBiAGwAZQAiACwAIgBXAGEAcwB0AGUAUwBvAGwAaQBkAF8ARQBxAHUAYQB0AGkAbwBuAHMALgBWAEUARQBSAEcAXwAxADAAXwAxAF8AMQBfADEAXwBfADIAXwBNAGEAcwBzAE8AZgBXAGEAcwB0AGUARgByAG8AbQBWAG8AbAB1AG0AZQBfAFUAbgBpAHQAIgAsACIAVwBhAHMAdABlAFMAbwBsAGkAZABfAEUAcQB1AGEAdABpAG8AbgBzAC4AVgBFAEUAUgBHAF8AMQAwAF8AMQBfADEAXwAxAF8AXwAyAF8ATQBhAHMAcwBPAGYAVwBhAHMAdABlAEYAcgBvAG0AVgBvAGwAdQBtAGUAXwBTAG8AdQByAGMAZQAiACwAIgBXAGEAcwB0AGUAUwBvAGwAaQBkAF8ARQBxAHUAYQB0AGkAbwBuAHMALgBWAEUARQBSAEcAXwAxADAAXwAxAF8AMQBfADEAXwBfADIAXwBNAGEAcwBzAE8AZgBXAGEAcwB0AGUARgByAG8AbQBWAG8AbAB1AG0AZQBfAE4ASQBSAFIAZQBmAGUAcgBlAG4AYwBlACIALAAiAFcAYQBzAHQAZQBTAG8AbABpAGQAXwBFAHEAdQBhAHQAaQBvAG4AcwAuAFYARQBFAFIARwBfADEAMABfADEAXwAxAF8AMQBfAF8AMgBfAE0AYQBzAHMATwBmAFcAYQBzAHQAZQBGAHIAbwBtAFYAbwBsAHUAbQBlAF8ATABhAHQAZQB4AEUAcQB1AGEAdABpAG8AbgAiACwAIgBXAGEAcwB0AGUAUwBvAGwAaQBkAF8ARQBxAHUAYQB0AGkAbwBuAHMALgBWAEUARQBSAEcAXwAxADAAXwAxAF8AMQBfADEAXwBfADIAXwBNAGEAcwBzAE8AZgBXAGEAcwB0AGUARgByAG8AbQBWAG8AbAB1AG0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143</vt:i4>
      </vt:variant>
    </vt:vector>
  </HeadingPairs>
  <TitlesOfParts>
    <vt:vector size="179" baseType="lpstr">
      <vt:lpstr>Overview</vt:lpstr>
      <vt:lpstr>Results</vt:lpstr>
      <vt:lpstr>Input - Site</vt:lpstr>
      <vt:lpstr>Input - Fuel</vt:lpstr>
      <vt:lpstr>Input - Fert Prod System</vt:lpstr>
      <vt:lpstr>Input - Fertiliser</vt:lpstr>
      <vt:lpstr>Input - Common farm inputs</vt:lpstr>
      <vt:lpstr>Input - Processing inputs</vt:lpstr>
      <vt:lpstr>Input - Crop pasture farm input</vt:lpstr>
      <vt:lpstr>Input - Hort farm Inputs</vt:lpstr>
      <vt:lpstr>Input - Livestock farm Inputs</vt:lpstr>
      <vt:lpstr>Input - Aquaculture inputs</vt:lpstr>
      <vt:lpstr>Input - Beef cattle purchases</vt:lpstr>
      <vt:lpstr>Input - Dairy cattle purchases</vt:lpstr>
      <vt:lpstr>Input - Pig purchases</vt:lpstr>
      <vt:lpstr>Input - Poultry purchases</vt:lpstr>
      <vt:lpstr>Input - Freight</vt:lpstr>
      <vt:lpstr>Input - Solid waste</vt:lpstr>
      <vt:lpstr>Input - Manure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Fertiliser_EFLeach_Data</vt:lpstr>
      <vt:lpstr>Fertiliser_EFUreaCO2_Data</vt:lpstr>
      <vt:lpstr>Fertiliser_FracGASMSoil_Data</vt:lpstr>
      <vt:lpstr>Fertiliser_FracLEACH_Data</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SourceData_PastureBeef_AshContentOfFeedIntake_Data</vt:lpstr>
      <vt:lpstr>SourceData_PastureBeef_FracGASMSoil_Data</vt:lpstr>
      <vt:lpstr>SourceData_PastureBeef_FracLEACH_Data</vt:lpstr>
      <vt:lpstr>SourceData_PastureBeef_MethaneEmissionsPotential_Data</vt:lpstr>
      <vt:lpstr>SourceData_Poultry_FracGAMSSoil_Data</vt:lpstr>
      <vt:lpstr>SourceData_Poultry_FractionOfNitrogenLostThroughLeachingAndRunoff_Data</vt:lpstr>
      <vt:lpstr>SourceData_Swine_FracLEACH_DrylotMMS_Data</vt:lpstr>
      <vt:lpstr>SourceData_Swine_MegajoulesPerKilogramMethane_Data</vt:lpstr>
      <vt:lpstr>SourceData_Swine_MethaneVolatileSolidsEmissionsPotential_Data</vt:lpstr>
      <vt:lpstr>Table_E_g</vt:lpstr>
      <vt:lpstr>Table_E_g_Consumer_1</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VEERG_5_2_1_1__1_OrganicFertiliserApplicationN2OEmissions_Result_Method1</vt:lpstr>
      <vt:lpstr>VEERG_5_2_1_1__1_OrganicFertiliserApplicationN2OEmissions_Result_Method2</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VEERG_8_2_1_1__1_FuelCombustionStationary_Result</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X_Cell_Input_AquacultureInput_CustomBait</vt:lpstr>
      <vt:lpstr>X_Cell_Input_AquacultureInput_LowAnimalProteinFormulatedFeed</vt:lpstr>
      <vt:lpstr>X_Cell_Input_AquacultureInput_SardinesAustralia</vt:lpstr>
      <vt:lpstr>X_Cell_Input_AquacultureInput_SardinesSouthAustralia</vt:lpstr>
      <vt:lpstr>X_Cell_Input_AquacultureInput_Squid</vt:lpstr>
      <vt:lpstr>X_Cell_Input_AquacultureInput_WholeFish</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2026-09-03T04:38:19Z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styleFontsApplied">
    <vt:lpwstr>applied 2026-09-02T18:44:02; rename=True resize=True rowheights=True scope=all</vt:lpwstr>
  </property>
</Properties>
</file>