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C7C3AEE-7661-493E-9556-882A2D553AF4}" xr6:coauthVersionLast="47" xr6:coauthVersionMax="47" xr10:uidLastSave="{00000000-0000-0000-0000-000000000000}"/>
  <bookViews>
    <workbookView xWindow="1170" yWindow="1170" windowWidth="28800" windowHeight="15345" activeTab="1"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6"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VEERG_3_6_1_1__1_TotalAnnualMethaneFromEntericFermentationOtherLivestock_Result_Method1">'3.6.1.1-2 Enteric Methane'!$E$28</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3" l="1"/>
  <c r="A8" i="72"/>
  <c r="A7" i="72"/>
  <c r="A3" i="72"/>
  <c r="G31"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c r="D175" i="106" a="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c r="D139" i="106" a="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a="1"/>
  <c r="D5" i="106" s="1"/>
  <c r="A3" i="106"/>
  <c r="A8" i="71"/>
  <c r="A7" i="71"/>
  <c r="A3" i="71"/>
  <c r="E13" i="15"/>
  <c r="D8" i="70" s="1"/>
  <c r="A21" i="74"/>
  <c r="A20" i="74"/>
  <c r="A19" i="74"/>
  <c r="A18" i="74"/>
  <c r="A14" i="74"/>
  <c r="A10" i="74"/>
  <c r="A9" i="74"/>
  <c r="A5" i="74"/>
  <c r="A4" i="74"/>
  <c r="A3" i="7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E26" i="69"/>
  <c r="E25" i="69"/>
  <c r="E24" i="69"/>
  <c r="E23" i="69"/>
  <c r="E22" i="69"/>
  <c r="F33" i="69" a="1"/>
  <c r="F33" i="69" s="1"/>
  <c r="D30" i="69" a="1"/>
  <c r="D30" i="69" s="1"/>
  <c r="G13" i="69" a="1"/>
  <c r="G13" i="69" s="1"/>
  <c r="D13" i="69" a="1"/>
  <c r="D13" i="69" s="1"/>
  <c r="E11" i="69" a="1"/>
  <c r="E11" i="69" s="1"/>
  <c r="H30" i="69" s="1"/>
  <c r="E10" i="69" a="1"/>
  <c r="E10" i="69" s="1"/>
  <c r="D6" i="69" a="1"/>
  <c r="D6" i="69" s="1"/>
  <c r="D5" i="69" a="1"/>
  <c r="D5" i="69" s="1"/>
  <c r="E7" i="69" a="1"/>
  <c r="H53" i="106" l="1"/>
  <c r="H48" i="106"/>
  <c r="H50" i="106"/>
  <c r="H49" i="106"/>
  <c r="H52" i="106"/>
  <c r="H51" i="106"/>
  <c r="H54" i="106"/>
  <c r="D26" i="70"/>
  <c r="D14" i="70"/>
  <c r="E20" i="69" s="1"/>
  <c r="D20" i="70"/>
  <c r="E21" i="69" s="1"/>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F7" i="13" l="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<sst xmlns="http://schemas.openxmlformats.org/spreadsheetml/2006/main" count="240" uniqueCount="189">
  <si>
    <t>INPUTS</t>
  </si>
  <si>
    <t>APPENDICES</t>
  </si>
  <si>
    <t>Emissions breakdown</t>
  </si>
  <si>
    <t>Test Farms</t>
  </si>
  <si>
    <t>Farm name</t>
  </si>
  <si>
    <t>Climate zone</t>
  </si>
  <si>
    <t>Your business</t>
  </si>
  <si>
    <r>
      <rPr>
        <sz val="10"/>
        <color theme="1" tint="0.34998626667073579"/>
        <rFont val="Arial"/>
        <family val="1"/>
      </rPr>
      <t xml:space="preserve">← </t>
    </r>
    <r>
      <rPr>
        <i/>
        <sz val="10"/>
        <color theme="1" tint="0.34998626667073579"/>
        <rFont val="Arial"/>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</si>
  <si>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</si>
  <si>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</si>
  <si>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</si>
  <si>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</si>
  <si>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</si>
  <si>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</si>
  <si>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</si>
  <si>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</si>
  <si>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</si>
  <si>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</si>
  <si>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</si>
  <si>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</si>
  <si>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</si>
  <si>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</si>
  <si>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</si>
  <si>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</si>
  <si>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</si>
  <si>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</si>
  <si>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</si>
  <si>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</si>
  <si>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</si>
  <si>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</si>
  <si>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</si>
  <si>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</si>
  <si>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</si>
  <si>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</si>
  <si>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</si>
  <si>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</si>
  <si>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</si>
  <si>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</si>
  <si>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</si>
  <si>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</si>
  <si>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</si>
  <si>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</si>
  <si>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</si>
  <si>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</si>
  <si>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</si>
  <si>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</si>
  <si>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</si>
  <si>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</si>
  <si>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0"/>
        <color theme="1" tint="0.34998626667073579"/>
        <rFont val="Arial"/>
        <family val="1"/>
      </rPr>
      <t xml:space="preserve">← </t>
    </r>
    <r>
      <rPr>
        <i/>
        <sz val="10"/>
        <color theme="1" tint="0.34998626667073579"/>
        <rFont val="Arial"/>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</si>
  <si>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</si>
  <si>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</si>
  <si>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</si>
  <si>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</si>
  <si>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</si>
  <si>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</si>
  <si>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</si>
  <si>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</si>
  <si>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</si>
  <si>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</si>
  <si>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</si>
  <si>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</si>
  <si>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</si>
  <si>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</si>
  <si>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</si>
  <si>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</si>
  <si>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</si>
  <si>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</si>
  <si>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</si>
  <si>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</si>
  <si>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</si>
  <si>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</si>
  <si>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</si>
  <si>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</si>
  <si>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</si>
  <si>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</si>
  <si>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</si>
  <si>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</si>
  <si>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</si>
  <si>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</si>
  <si>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</si>
  <si>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</si>
  <si>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</si>
  <si>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</si>
  <si>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</si>
  <si>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</si>
  <si>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</si>
  <si>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</si>
  <si>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</si>
  <si>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</si>
  <si>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</si>
  <si>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</si>
  <si>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</si>
  <si>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</si>
  <si>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</si>
  <si>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</si>
  <si>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</si>
  <si>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</si>
  <si>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</si>
  <si>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</si>
  <si>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</si>
  <si>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</si>
  <si>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</si>
  <si>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</si>
  <si>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</si>
  <si>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</si>
  <si>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</si>
  <si>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</si>
  <si>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</si>
  <si>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</si>
  <si>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</si>
  <si>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</si>
  <si>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</si>
  <si>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</si>
  <si>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</si>
  <si>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</si>
  <si>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</si>
  <si>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</si>
  <si>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</si>
  <si>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</si>
  <si>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</si>
  <si>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</si>
  <si>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</si>
  <si>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</si>
  <si>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</si>
  <si>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</si>
  <si>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</si>
  <si>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</si>
  <si>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</si>
  <si>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</si>
  <si>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</si>
  <si>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</si>
  <si>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</si>
  <si>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</si>
  <si>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</si>
  <si>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</si>
  <si>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0"/>
        <color theme="1" tint="0.24994659260841701"/>
        <rFont val="Arial"/>
        <family val="1"/>
      </rPr>
      <t>CO2e</t>
    </r>
    <r>
      <rPr>
        <sz val="10"/>
        <color theme="1" tint="0.24994659260841701"/>
        <rFont val="Arial"/>
        <family val="1"/>
      </rPr>
      <t xml:space="preserve"> (Method 1)</t>
    </r>
  </si>
  <si>
    <t>t CH4</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</si>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</sst>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sz val="12"/>
      <color theme="1" tint="0.34998626667073579"/>
      <name val="Arial"/>
      <family val="1"/>
    </font>
    <font>
      <b/>
      <sz val="10"/>
      <color rgb="FFCC6600"/>
      <name val="Arial"/>
      <family val="1"/>
    </font>
    <font>
      <b/>
      <sz val="18"/>
      <color theme="4" tint="-0.249977111117893"/>
      <name val="Arial"/>
      <family val="1"/>
    </font>
    <font>
      <i/>
      <sz val="9"/>
      <color theme="5" tint="-0.499984740745262"/>
      <name val="Arial"/>
      <family val="1"/>
    </font>
    <font>
      <i/>
      <sz val="9"/>
      <color theme="6" tint="-0.499984740745262"/>
      <name val="Arial"/>
      <family val="1"/>
    </font>
    <font>
      <u/>
      <sz val="9"/>
      <color theme="1" tint="0.34998626667073579"/>
      <name val="Arial"/>
      <family val="1"/>
    </font>
    <font>
      <b/>
      <sz val="18"/>
      <color theme="3" tint="9.9978637043366805E-2"/>
      <name val="Arial"/>
      <family val="1"/>
    </font>
    <font>
      <vertAlign val="subscript"/>
      <sz val="10"/>
      <color theme="1" tint="0.24994659260841701"/>
      <name val="Arial"/>
      <family val="1"/>
    </font>
    <font>
      <sz val="9"/>
      <color rgb="FF404040"/>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6">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8">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900" b="0" i="0" u="none" strike="noStrike">
              <a:solidFill>
                <a:srgbClr val="0C769E"/>
              </a:solidFill>
              <a:latin typeface="Arial"/>
              <a:cs typeface="Arial"/>
            </a:rPr>
            <a:pPr algn="ctr"/>
            <a:t>Total annual methane production from enteric fermentation in other livestock</a:t>
          </a:fld>
          <a:endParaRPr lang="en-AU" sz="9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𝐸_𝑒𝑛𝑡𝑒𝑟𝑖𝑐=∑8_𝑗▒(𝑁_𝑗×𝑀_𝑗 ) ×10^(−3)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5"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4" dataCellStyle="Content normal">
  <autoFilter ref="D24:E32" xr:uid="{75649617-63F2-4A80-A5EB-06A3280A3C57}">
    <filterColumn colId="0" hiddenButton="1"/>
    <filterColumn colId="1" hiddenButton="1"/>
  </autoFilter>
  <tableColumns count="2">
    <tableColumn id="1" xr3:uid="{3E3B834E-0F7A-47D3-954A-A57B2234370A}" name="Other livestock type" dataDxfId="53"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1" dataCellStyle="Content normal">
  <autoFilter ref="D39:E47" xr:uid="{522C94C8-449D-4574-AF4D-39C274C53A6F}">
    <filterColumn colId="0" hiddenButton="1"/>
    <filterColumn colId="1" hiddenButton="1"/>
  </autoFilter>
  <tableColumns count="2">
    <tableColumn id="1" xr3:uid="{92CD5559-01AC-4144-B6DC-7F856864840C}" name="Other livestock type" dataDxfId="50"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8"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7"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4"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3"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40"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9"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56091EC-DF24-4938-A0ED-A9D9856DED5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A90C19B-8E8E-4CD9-B053-F43C2EC4407E}" name="State/Territory">
      <calculatedColumnFormula array="1">Common_InputFunctions.Utility_DisplayArrayInTable(Common_SourceData.Common_SourceData_AustralianStatesTerritories_Data(),Table_AustralianStates[[#Headers],[State/Territory]],0)</calculatedColumnFormula>
    </tableColumn>
    <tableColumn id="2" xr3:uid="{A2BAFA2C-23F9-4583-9496-BA1F63A38C66}" name="Common Name">
      <calculatedColumnFormula array="1">Common_InputFunctions.Utility_DisplayArrayInTable(Common_SourceData.Common_SourceData_AustralianStatesTerritories_Data(),Table_AustralianStates[[#Headers],[State/Territory]],0)</calculatedColumnFormula>
    </tableColumn>
    <tableColumn id="3" xr3:uid="{20A3575E-7E03-46A8-8F37-A8928A7890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180591-7AF5-4E24-A014-8B8425595E10}" name="Table_WASA4Areas" displayName="Table_WASA4Areas" ref="D20:D30" totalsRowShown="0">
  <autoFilter ref="D20:D30" xr:uid="{5FA81339-C6C8-4D36-BEEA-6C4AEDD9E676}">
    <filterColumn colId="0" hiddenButton="1"/>
  </autoFilter>
  <tableColumns count="1">
    <tableColumn id="1" xr3:uid="{AD685AFA-FF96-4267-9CE0-8012E9FE521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8F2EC31-3C3A-44D3-9F12-02F5BA85049A}" name="Table_GWPData" displayName="Table_GWPData" ref="D36:E43" totalsRowShown="0">
  <autoFilter ref="D36:E43" xr:uid="{B8E87A66-3E41-4AD3-925D-01EE21B43D7A}">
    <filterColumn colId="0" hiddenButton="1"/>
    <filterColumn colId="1" hiddenButton="1"/>
  </autoFilter>
  <tableColumns count="2">
    <tableColumn id="1" xr3:uid="{953DA4BE-E7EE-49B1-BB44-DE7CAE139A1C}" name="Gas">
      <calculatedColumnFormula array="1">Common_InputFunctions.Utility_DisplayArrayInTable(Common_SourceData.Common_SourceData_GWP_Data(), Table_GWPData[[#Headers],[Gas]], 0)</calculatedColumnFormula>
    </tableColumn>
    <tableColumn id="2" xr3:uid="{9C30D85F-753B-4A55-B36F-B27701C078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790A4F1-2BD6-43B0-AA8C-2F291FECB0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A78E08C-B179-4CD0-BBA3-5F07C0DD5EED}" name="Gas">
      <calculatedColumnFormula array="1">Common_InputFunctions.Utility_DisplayArrayInTable(Common_SourceData.Common_SourceData_ConvertGasElementalToMolecular_Data(),Table_GasToMolecularConversionFactor[[#Headers],[Gas]], 0)</calculatedColumnFormula>
    </tableColumn>
    <tableColumn id="5" xr3:uid="{D2B8534A-1659-48BD-B41C-10B21F23946D}" name="Conversion factor">
      <calculatedColumnFormula array="1">Common_InputFunctions.Utility_DisplayArrayInTable(Common_SourceData.Common_SourceData_ConvertGasElementalToMolecular_Data(),Table_GasToMolecularConversionFactor[[#Headers],[Gas]], 0)</calculatedColumnFormula>
    </tableColumn>
    <tableColumn id="2" xr3:uid="{8E3ADE7C-289A-4A8A-B3B8-5A050A223E0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CA4AE6E-6D5A-4CAE-8F9E-927571E981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63357BE-6B83-4870-8195-A4B2ACABE44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455C1FB-E0EC-420C-BC01-C681E8226E4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CD3D4D5-42BB-4E1C-8CE6-6F301EA89D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9C639A6-78BB-4857-8AFC-18317C27129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35E8617-3F4C-44F2-AE26-F6F52B9C3FDA}"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DFA67CB4-1E4A-40B2-82BF-D41AFB94466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34497DF-B010-4AB1-AAF8-2F8E84E9E77D}"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47BDA440-B013-4AB4-9B72-4E65051E64C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426E454-9049-497B-99DC-E7E205CEC2D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93819F9B-35CE-419C-9552-6F61B8D5DF9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A12AB52B-8158-4DD8-AF9F-588DEE43A168}"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6B5A7A5-D8F3-4D06-8B7D-4C509C1D3E0C}"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FD7A042-FDBC-4D81-88AA-F6C20F0BDC28}"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0353B4B-0F43-4BEA-9EDE-D807900D4DC5}"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AA8BBA9-F6AB-4DFE-8FAA-FC1C9D2E782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3E7711A-08D7-4F30-8EEA-B7FD061290B8}"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E79F652-DB30-4584-8987-D43C779A4CC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2CE03279-D571-437B-B5E3-433363E8280D}"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0C21ED-51F4-4079-B15A-919C7DCD3B6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988DAA-1D85-4AC0-BBEB-9D25F2947F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43F783-F0D8-4C8B-B8BC-E2B796A4C087}"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FAC7FC7-21B3-45D9-9D0F-87CDCEAEE87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F5F826D-4526-4C18-A39E-9D19E7EE681D}" name="Temperature Zone">
      <calculatedColumnFormula array="1">Common_InputFunctions.Utility_DisplayArrayInTable(Common_SourceData.Common_SourceData_TemperatureZones_Data(),Table_SourceData_TemperatureZones[[#Headers],[Temperature Zone]],0)</calculatedColumnFormula>
    </tableColumn>
    <tableColumn id="2" xr3:uid="{CE786740-6522-42B2-A23D-0392085ED731}" name="MAT">
      <calculatedColumnFormula array="1">Common_InputFunctions.Utility_DisplayArrayInTable(Common_SourceData.Common_SourceData_TemperatureZones_Data(),Table_SourceData_TemperatureZones[[#Headers],[Temperature Zone]],0)</calculatedColumnFormula>
    </tableColumn>
    <tableColumn id="3" xr3:uid="{4BF99F3D-EF32-4FE3-8511-96705703796B}" name="Min MAT">
      <calculatedColumnFormula array="1">Common_InputFunctions.Utility_DisplayArrayInTable(Common_SourceData.Common_SourceData_TemperatureZones_Data(),Table_SourceData_TemperatureZones[[#Headers],[Temperature Zone]],0)</calculatedColumnFormula>
    </tableColumn>
    <tableColumn id="4" xr3:uid="{5F90BFD6-BDC1-4FF6-A9C2-28770069E03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800D7F6-F7D6-4B6C-9043-5BA28385B96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20CCF91-9AEB-4CAA-AD76-40645D08B4EF}" name="Rainfall Zone">
      <calculatedColumnFormula array="1">Common_InputFunctions.Utility_DisplayArrayInTable(Common_SourceData.Common_SourceData_RainfallZones_Data(),Table_SourceData_RainfallZones[[#Headers],[Rainfall Zone]],0)</calculatedColumnFormula>
    </tableColumn>
    <tableColumn id="2" xr3:uid="{853B8440-4EA0-4C0C-9C87-B4C71503FF96}" name="Annual rainfall">
      <calculatedColumnFormula array="1">Common_InputFunctions.Utility_DisplayArrayInTable(Common_SourceData.Common_SourceData_RainfallZones_Data(),Table_SourceData_RainfallZones[[#Headers],[Rainfall Zone]],0)</calculatedColumnFormula>
    </tableColumn>
    <tableColumn id="3" xr3:uid="{70838382-A2E5-4129-9F96-E8111B8C4B67}" name="Min rainfall">
      <calculatedColumnFormula array="1">Common_InputFunctions.Utility_DisplayArrayInTable(Common_SourceData.Common_SourceData_RainfallZones_Data(),Table_SourceData_RainfallZones[[#Headers],[Rainfall Zone]],0)</calculatedColumnFormula>
    </tableColumn>
    <tableColumn id="4" xr3:uid="{9F45A88E-883C-48EE-B976-AE4AB909D8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BB74CDA-8626-4587-827F-6CB577A454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B7F17E3-B68E-46AC-BB03-FD32B874C0EB}" name="Leaching Zone">
      <calculatedColumnFormula array="1">Common_InputFunctions.Utility_DisplayArrayInTable(Common_SourceData.Common_SourceData_LeachingZones_Data(), Table_SourceData_LeachingZones[[#Headers],[Leaching Zone]], 0)</calculatedColumnFormula>
    </tableColumn>
    <tableColumn id="2" xr3:uid="{DDFB22C6-BFA6-48D0-8239-39B05AA9B8C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6E67FD-F1D1-4BED-BDB7-8975267C32E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BE45450-1C7E-4A83-8E3B-C4285FEF94A2}" name="Data source">
      <calculatedColumnFormula array="1">Common_InputFunctions.Utility_DisplayArrayInTable(Common_SourceData.Common_SourceData_DataScores_Scope3_Data(), Table_SourceData_DataScores_Scope3[[#Headers],[Data source]], 0)</calculatedColumnFormula>
    </tableColumn>
    <tableColumn id="2" xr3:uid="{38D65BE5-7545-4092-AE27-7CB66773EF7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67045BE-570F-4E1C-89C6-23959F87ADA6}" name="Table_SourceData_FracWET" displayName="Table_SourceData_FracWET" ref="D134:E136" totalsRowShown="0">
  <autoFilter ref="D134:E136" xr:uid="{308E99BE-FE1F-47A4-B2CA-97217277C4E9}">
    <filterColumn colId="0" hiddenButton="1"/>
    <filterColumn colId="1" hiddenButton="1"/>
  </autoFilter>
  <tableColumns count="2">
    <tableColumn id="1" xr3:uid="{549F3560-2822-43EF-BBC6-4D437CAFA351}" name="Is in leaching zone">
      <calculatedColumnFormula array="1">Common_InputFunctions.Utility_DisplayArrayInTable(Common_SourceData.Common_SourceData_FracWET_Data(),Table_SourceData_FracWET[[#Headers],[Is in leaching zone]],0)</calculatedColumnFormula>
    </tableColumn>
    <tableColumn id="2" xr3:uid="{C7951452-5EFF-4F3D-91FD-FFFB19AE417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F14749A-D39B-4A81-A3D7-934940B2ECD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7E9B4E1-E9F2-40E3-8A47-9E219DA4EF8F}" name="Production system j">
      <calculatedColumnFormula array="1">Common_InputFunctions.Utility_DisplayArrayInTable(Common_SourceData.Common_SourceData_EFN2O_Data(), Table_SourceData_Common_EFN2O[[#Headers],[Production system j]], 0)</calculatedColumnFormula>
    </tableColumn>
    <tableColumn id="2" xr3:uid="{863BCC7B-9379-4579-B4B8-E90A925BEE2C}" name="EFN2O">
      <calculatedColumnFormula array="1">Common_InputFunctions.Utility_DisplayArrayInTable(Common_SourceData.Common_SourceData_EFN2O_Data(), Table_SourceData_Common_EFN2O[[#Headers],[Production system j]], 0)</calculatedColumnFormula>
    </tableColumn>
    <tableColumn id="3" xr3:uid="{7E92D1B2-183C-41FF-A712-5FF021355E47}" name="Production system only">
      <calculatedColumnFormula array="1">Common_InputFunctions.Utility_DisplayArrayInTable(Common_SourceData.Common_SourceData_EFN2O_Data(), Table_SourceData_Common_EFN2O[[#Headers],[Production system j]], 0)</calculatedColumnFormula>
    </tableColumn>
    <tableColumn id="4" xr3:uid="{FAA1A964-D0D8-4E37-9F16-1DD18F571B5D}" name="Irrigation method">
      <calculatedColumnFormula array="1">Common_InputFunctions.Utility_DisplayArrayInTable(Common_SourceData.Common_SourceData_EFN2O_Data(), Table_SourceData_Common_EFN2O[[#Headers],[Production system j]], 0)</calculatedColumnFormula>
    </tableColumn>
    <tableColumn id="5" xr3:uid="{970BB338-5442-4A3F-B051-E8DD9890691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C5EDF43-7837-435E-A71F-566E465C8AD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5D7117F-EF5F-44B7-A497-DCF2CDF97AA6}" name="Irrigation type i">
      <calculatedColumnFormula array="1">Common_InputFunctions.Utility_DisplayArrayInTable(Common_SourceData.Common_SourceData_FracWETIrrigation_Data(), Table_SourceData_FracWETIrrigation[[#Headers],[Irrigation type i]], 0)</calculatedColumnFormula>
    </tableColumn>
    <tableColumn id="2" xr3:uid="{0175F786-6E03-4267-9719-1226C737AD4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65C1E56-91AE-4049-B8B2-A19B5AD8DC0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E38BE59-0C1B-4CC8-B71B-437EF9B0412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A60245-DAB4-4C67-B9DD-280CA895E66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090CEED-BCDC-4952-9C40-BD9236DC06F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357157D-6C85-4223-8088-7194BFC7700C}" name="Month">
      <calculatedColumnFormula array="1">Common_InputFunctions.Utility_DisplayArrayInTable(Common_SourceData.Common_SourceData_MonthsToSeasons_Data(), Table_SourceData_Common_MonthToSeason[[#Headers],[Month]], 0)</calculatedColumnFormula>
    </tableColumn>
    <tableColumn id="2" xr3:uid="{71466C20-4100-4CCD-BEE3-D7B07653D61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16B682B-E31C-4BB3-8065-B4AC30BC844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2A76BA0-FF4C-47F3-8B5A-87E1951EA40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21102C9-4FC4-4F3F-B20B-7DFB76317D9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24468FF-0D84-4152-AD68-D9188BA490C9}"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649CD1-A29B-4BFD-9347-E1C6304C5E1F}"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F2387FB-2089-443C-AA95-4E1FF7574E03}"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D42539B-5B0F-40FE-BC2F-DAEFA90CA6A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9AB2F3D-5BBF-403E-9E90-89327CB43D0A}"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72ABAC3-E6A5-48DC-9127-50F45FE5E6A0}"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3AEDE1C-2C1F-41DD-8F5B-B357264C42BA}"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D6BA6A-4109-41A0-875E-6F3435604D4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EE8EC8C-DEAD-444B-A70A-2E5B11E447C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0A9E69-134E-44C3-AA06-59DEEE76DC78}"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1D52C3E-5923-4A0C-8016-D394836BCE3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9041A43-53A6-4257-B054-2C0E4105ADB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E2A21E-5B21-4D8D-91F5-07FCFC2F5AC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94301CB-CB36-4C48-983B-5400FAEB0CD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82E5D50-1B83-41A7-83D0-69ADEB75A25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E9FAFA3-FB43-483E-8B26-B1275850A8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B10182-5A87-4F72-968D-76E763E14ECA}"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1029521-262F-49D6-8E70-6C399602C09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0A20EB8-C627-4BE3-888B-C74000649A27}" name="Description" dataDxfId="0" dataCellStyle="Content normal"/>
    <tableColumn id="1" xr3:uid="{BFBD222F-7027-4744-A05A-47147627CE5E}" name="ID"/>
    <tableColumn id="3" xr3:uid="{E43655CB-F3D9-4DCF-9C07-EFF01E43E36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80ADD40-E8E0-462B-B7DD-059CF698437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00974BC-196E-4AB5-87CC-E6111735BBA3}" name="Description"/>
    <tableColumn id="2" xr3:uid="{6102B93F-34F0-49E0-8EBA-79D6030BE9B6}" name="ID"/>
    <tableColumn id="3" xr3:uid="{BD49B02D-4C47-4646-98C0-AA3EA6872128}"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0AC65E1-EF73-45F2-BB55-5ED734B4D40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54E5B8-91F8-4AE4-A82B-BD00D6435B23}" name="Description"/>
    <tableColumn id="2" xr3:uid="{89C55590-81E8-4AEC-ACD8-2B43F27FEC6A}" name="ID"/>
    <tableColumn id="3" xr3:uid="{6489BE9F-AE47-4042-ADBF-C45F8B37288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DB12886-70B7-41D2-87AC-209B7F979E5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CAB701-99F7-4DE3-8A5A-4661DA8A382C}" name="Description"/>
    <tableColumn id="2" xr3:uid="{004E308C-0922-482B-BA69-B37D8A576751}" name="ID"/>
    <tableColumn id="3" xr3:uid="{9342D07A-74BC-4B33-A418-DCA827018568}"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21" Type="http://schemas.openxmlformats.org/officeDocument/2006/relationships/table" Target="../tables/table26.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20" Type="http://schemas.openxmlformats.org/officeDocument/2006/relationships/table" Target="../tables/table25.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19" Type="http://schemas.openxmlformats.org/officeDocument/2006/relationships/table" Target="../tables/table24.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 Id="rId22"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1" sqref="A21"/>
    </sheetView>
  </sheetViews>
  <sheetFormatPr defaultRowHeight="20" x14ac:dyDescent="0.25" customHeight="1"/>
  <sheetData>
    <row r="1" spans="1:1" x14ac:dyDescent="0.25" ht="30" customHeight="1">
      <c r="A1" t="s">
        <v>139</v>
      </c>
    </row>
    <row r="3" spans="1:1" x14ac:dyDescent="0.25" ht="20" customHeight="1">
      <c r="A3" s="105" t="str">
        <f>HYPERLINK("#'Home'!A1", "Home")</f>
        <v>Home</v>
      </c>
    </row>
    <row r="6" spans="1:1" x14ac:dyDescent="0.25" ht="20" customHeight="1">
      <c r="A6" s="104"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tabSelected="1" zoomScaleNormal="100" workbookViewId="0">
      <selection activeCell="A21" sqref="A21"/>
    </sheetView>
  </sheetViews>
  <sheetFormatPr defaultRowHeight="20" x14ac:dyDescent="0.25" customHeight="1"/>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ht="20" customHeight="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ht="20" customHeight="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ht="20" customHeight="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ht="20" customHeight="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ht="20" customHeight="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ht="20" customHeight="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ht="20" customHeight="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ht="20" customHeight="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ht="20" customHeight="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ht="20" customHeight="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ht="20" customHeight="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ht="20" customHeight="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ht="20" customHeight="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ht="20" customHeight="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ht="20" customHeight="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ht="20" customHeight="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ht="20" customHeight="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ht="20" customHeight="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ht="20" customHeight="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ht="20" customHeight="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ht="20" customHeight="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ht="20" customHeight="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ht="20" customHeight="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ht="20" customHeight="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1" sqref="A21"/>
    </sheetView>
  </sheetViews>
  <sheetFormatPr defaultRowHeight="20" x14ac:dyDescent="0.25" customHeight="1"/>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 customHeight="1" x14ac:dyDescent="0.25">
      <c r="C2" s="9"/>
    </row>
    <row r="3" spans="1:12" ht="20" customHeight="1" x14ac:dyDescent="0.25">
      <c r="A3" s="17" t="str">
        <f>HYPERLINK("#'Home'!A1", "Home")</f>
        <v>Home</v>
      </c>
      <c r="C3" s="21"/>
      <c r="D3" s="21"/>
      <c r="E3" s="21"/>
      <c r="F3" s="21"/>
      <c r="G3" s="21"/>
      <c r="H3" s="21"/>
      <c r="I3" s="21"/>
      <c r="J3" s="21"/>
      <c r="K3" s="21"/>
      <c r="L3" s="21"/>
    </row>
    <row r="4" spans="1:12" ht="20" customHeight="1" x14ac:dyDescent="0.25">
      <c r="A4" s="17" t="str">
        <f>HYPERLINK("#'Overview'!A1", "Overview")</f>
        <v>Overview</v>
      </c>
      <c r="C4" s="21"/>
      <c r="D4" s="6" t="s">
        <v>2</v>
      </c>
      <c r="E4" s="23"/>
      <c r="F4" s="23"/>
      <c r="G4" s="23"/>
      <c r="H4" s="6"/>
      <c r="I4" s="6"/>
      <c r="J4" s="6"/>
      <c r="K4" s="6"/>
      <c r="L4" s="24"/>
    </row>
    <row r="5" spans="1:12" ht="20" customHeight="1" x14ac:dyDescent="0.3">
      <c r="A5" s="100" t="str">
        <f>HYPERLINK("#'Results'!A1", "Results")</f>
        <v>Results</v>
      </c>
      <c r="C5" s="21"/>
      <c r="D5" s="25"/>
      <c r="E5" s="26"/>
      <c r="F5" s="26"/>
      <c r="G5" s="26"/>
      <c r="H5" s="23"/>
      <c r="I5" s="21"/>
      <c r="J5" s="21"/>
      <c r="K5" s="21"/>
      <c r="L5" s="21"/>
    </row>
    <row r="6" spans="1:12" ht="20" customHeight="1" x14ac:dyDescent="0.25">
      <c r="C6" s="21"/>
      <c r="D6" s="84" t="s">
        <v>62</v>
      </c>
      <c r="E6" s="84" t="s">
        <v>74</v>
      </c>
      <c r="F6" s="84" t="s">
        <v>75</v>
      </c>
      <c r="G6" s="84" t="s">
        <v>68</v>
      </c>
      <c r="H6" s="84" t="s">
        <v>76</v>
      </c>
      <c r="I6" s="84" t="s">
        <v>78</v>
      </c>
      <c r="J6" s="84" t="s">
        <v>69</v>
      </c>
      <c r="K6" s="21"/>
      <c r="L6" s="21"/>
    </row>
    <row r="7" spans="1:12" ht="20" customHeight="1" x14ac:dyDescent="0.25">
      <c r="C7" s="21"/>
      <c r="D7" s="1" t="s">
        <v>95</v>
      </c>
      <c r="E7" s="82">
        <f>VEERG_3_6_1_1__1_TotalAnnualMethaneFromEntericFermentationOtherLivestock_Result_Method1</f>
        <v>630.69999999999993</v>
      </c>
      <c r="F7" s="82">
        <f>E7</f>
        <v>630.69999999999993</v>
      </c>
      <c r="G7" s="48" t="s">
        <v>136</v>
      </c>
      <c r="H7" s="82">
        <f>'3.6.1.1-2 Enteric Methane'!E33</f>
        <v>17659.599999999999</v>
      </c>
      <c r="I7" s="82">
        <f>H7</f>
        <v>17659.599999999999</v>
      </c>
      <c r="J7" s="48" t="s">
        <v>77</v>
      </c>
      <c r="K7" s="21"/>
      <c r="L7" s="21"/>
    </row>
    <row r="8" spans="1:12" ht="20" customHeight="1" x14ac:dyDescent="0.3">
      <c r="A8" s="19" t="s">
        <v>0</v>
      </c>
      <c r="C8" s="21"/>
      <c r="D8" s="28" t="s">
        <v>67</v>
      </c>
      <c r="E8" s="22"/>
      <c r="F8" s="28"/>
      <c r="G8" s="28"/>
      <c r="H8" s="83">
        <f>SUM(H7:H7)</f>
        <v>17659.599999999999</v>
      </c>
      <c r="I8" s="83">
        <f>SUM(I7:I7)</f>
        <v>17659.599999999999</v>
      </c>
      <c r="J8" s="78" t="s">
        <v>77</v>
      </c>
      <c r="K8" s="21"/>
      <c r="L8" s="21"/>
    </row>
    <row r="9" spans="1:12" ht="20" customHeight="1" x14ac:dyDescent="0.25">
      <c r="A9" s="17" t="str">
        <f>HYPERLINK("#'Input - Site'!A1", "Site")</f>
        <v>Site</v>
      </c>
      <c r="C9" s="21"/>
      <c r="D9" s="1"/>
      <c r="E9" s="1"/>
      <c r="F9" s="1"/>
      <c r="G9" s="23"/>
      <c r="H9" s="21"/>
      <c r="I9" s="1"/>
      <c r="J9" s="1"/>
      <c r="K9" s="21"/>
      <c r="L9" s="21"/>
    </row>
    <row r="10" spans="1:12" ht="20" customHeight="1" x14ac:dyDescent="0.25">
      <c r="A10" s="17" t="str">
        <f>HYPERLINK("#'Input - Other Livestock'!A1", "Other Livestock")</f>
        <v>Other Livestock</v>
      </c>
      <c r="C10" s="21"/>
      <c r="D10" s="1"/>
      <c r="E10" s="1"/>
      <c r="F10" s="1"/>
      <c r="G10" s="1"/>
      <c r="H10" s="1"/>
      <c r="I10" s="1"/>
      <c r="J10" s="1"/>
      <c r="K10" s="21"/>
      <c r="L10" s="21"/>
    </row>
    <row r="11" spans="1:12" ht="20" customHeight="1" x14ac:dyDescent="0.25">
      <c r="C11" s="21"/>
      <c r="D11" s="1"/>
      <c r="E11" s="1"/>
      <c r="F11" s="1"/>
      <c r="G11" s="1"/>
      <c r="H11" s="1"/>
      <c r="I11" s="1"/>
      <c r="J11" s="1"/>
      <c r="K11" s="21"/>
      <c r="L11" s="21"/>
    </row>
    <row r="12" spans="1:12" ht="20" customHeight="1" x14ac:dyDescent="0.25">
      <c r="C12" s="21"/>
      <c r="D12" s="1"/>
      <c r="E12" s="1"/>
      <c r="F12" s="1"/>
      <c r="G12" s="1"/>
      <c r="H12" s="1"/>
      <c r="I12" s="1"/>
      <c r="J12" s="1"/>
      <c r="K12" s="21"/>
      <c r="L12" s="21"/>
    </row>
    <row r="13" spans="1:12" ht="20" customHeight="1" x14ac:dyDescent="0.25">
      <c r="A13" s="18" t="s">
        <v>51</v>
      </c>
      <c r="C13" s="21"/>
      <c r="D13" s="1"/>
      <c r="E13" s="1"/>
      <c r="F13" s="1"/>
      <c r="G13" s="1"/>
      <c r="H13" s="1"/>
      <c r="I13" s="1"/>
      <c r="J13" s="1"/>
      <c r="K13" s="21"/>
      <c r="L13" s="21"/>
    </row>
    <row r="14" spans="1:12" ht="20" customHeight="1" x14ac:dyDescent="0.25">
      <c r="A14" s="17" t="str">
        <f>HYPERLINK("#'3.6.1.1-2 Enteric Methane'!A1", "3.6.1.1-2 Enteric Methane")</f>
        <v>3.6.1.1-2 Enteric Methane</v>
      </c>
      <c r="C14" s="21"/>
      <c r="D14" s="1"/>
      <c r="E14" s="1"/>
      <c r="F14" s="1"/>
      <c r="G14" s="1"/>
      <c r="H14" s="1"/>
      <c r="I14" s="1"/>
      <c r="J14" s="1"/>
      <c r="K14" s="21"/>
      <c r="L14" s="21"/>
    </row>
    <row r="15" spans="1:12" ht="20" customHeight="1" x14ac:dyDescent="0.25">
      <c r="C15" s="21"/>
      <c r="D15" s="1"/>
      <c r="E15" s="1"/>
      <c r="F15" s="1"/>
      <c r="G15" s="1"/>
      <c r="H15" s="1"/>
      <c r="I15" s="1"/>
      <c r="J15" s="1"/>
      <c r="K15" s="21"/>
      <c r="L15" s="21"/>
    </row>
    <row r="16" spans="1:12" ht="20" customHeight="1" x14ac:dyDescent="0.25">
      <c r="C16" s="21"/>
      <c r="D16" s="1"/>
      <c r="E16" s="1"/>
      <c r="F16" s="1"/>
      <c r="G16" s="1"/>
      <c r="H16" s="1"/>
      <c r="I16" s="1"/>
      <c r="J16" s="1"/>
      <c r="K16" s="21"/>
      <c r="L16" s="21"/>
    </row>
    <row r="17" spans="1:12" ht="20" customHeight="1" x14ac:dyDescent="0.25">
      <c r="A17" s="104" t="s">
        <v>1</v>
      </c>
      <c r="C17" s="21"/>
      <c r="D17" s="1"/>
      <c r="E17" s="1"/>
      <c r="F17" s="1"/>
      <c r="G17" s="1"/>
      <c r="H17" s="1"/>
      <c r="I17" s="1"/>
      <c r="J17" s="1"/>
      <c r="K17" s="21"/>
      <c r="L17" s="21"/>
    </row>
    <row r="18" spans="1:12" ht="20" customHeight="1" x14ac:dyDescent="0.25">
      <c r="A18" s="17" t="str">
        <f>HYPERLINK("#'Constants - Other Livestock'!A1", "Constants - Other Livestock")</f>
        <v>Constants - Other Livestock</v>
      </c>
      <c r="C18" s="21"/>
      <c r="D18" s="1"/>
      <c r="E18" s="1"/>
      <c r="F18" s="1"/>
      <c r="G18" s="1"/>
      <c r="H18" s="1"/>
      <c r="I18" s="1"/>
      <c r="J18" s="1"/>
      <c r="K18" s="21"/>
      <c r="L18" s="21"/>
    </row>
    <row r="19" spans="1:12" ht="20" customHeight="1" x14ac:dyDescent="0.25">
      <c r="A19" s="17" t="str">
        <f>HYPERLINK("#'Constants - Common'!A1", "Constants - Common")</f>
        <v>Constants - Common</v>
      </c>
      <c r="C19" s="21"/>
      <c r="D19" s="1"/>
      <c r="E19" s="1"/>
      <c r="F19" s="1"/>
      <c r="G19" s="1"/>
      <c r="H19" s="1"/>
      <c r="I19" s="1"/>
      <c r="J19" s="1"/>
      <c r="K19" s="21"/>
      <c r="L19" s="21"/>
    </row>
    <row r="20" spans="1:12" ht="20" customHeight="1" x14ac:dyDescent="0.25">
      <c r="A20" s="17" t="str">
        <f>HYPERLINK("#'Acknowledgements'!A1", "Acknowledgements")</f>
        <v>Acknowledgements</v>
      </c>
      <c r="C20" s="21"/>
      <c r="D20" s="1"/>
      <c r="E20" s="1"/>
      <c r="F20" s="1"/>
      <c r="G20" s="1"/>
      <c r="H20" s="1"/>
      <c r="I20" s="1"/>
      <c r="J20" s="1"/>
      <c r="K20" s="21"/>
      <c r="L20" s="21"/>
    </row>
    <row r="21" spans="1:12" ht="20" customHeight="1" x14ac:dyDescent="0.25">
      <c r="A21" s="17" t="str">
        <f>HYPERLINK("#'Tab template'!A1", "Tab template")</f>
        <v>Tab template</v>
      </c>
      <c r="C21" s="21"/>
      <c r="D21" s="1"/>
      <c r="E21" s="1"/>
      <c r="F21" s="1"/>
      <c r="G21" s="1"/>
      <c r="H21" s="1"/>
      <c r="I21" s="1"/>
      <c r="J21" s="1"/>
      <c r="K21" s="21"/>
      <c r="L21" s="21"/>
    </row>
    <row r="22" spans="1:12" ht="20" customHeight="1" x14ac:dyDescent="0.25">
      <c r="C22" s="21"/>
      <c r="D22" s="1"/>
      <c r="E22" s="1"/>
      <c r="F22" s="1"/>
      <c r="G22" s="1"/>
      <c r="H22" s="1"/>
      <c r="I22" s="1"/>
      <c r="J22" s="1"/>
      <c r="K22" s="21"/>
      <c r="L22" s="21"/>
    </row>
    <row r="23" spans="1:12" ht="20" customHeight="1" x14ac:dyDescent="0.25">
      <c r="C23" s="21"/>
      <c r="D23" s="1"/>
      <c r="E23" s="1"/>
      <c r="F23" s="1"/>
      <c r="G23" s="1"/>
      <c r="H23" s="1"/>
      <c r="I23" s="1"/>
      <c r="J23" s="1"/>
      <c r="K23" s="21"/>
      <c r="L23" s="21"/>
    </row>
    <row r="24" spans="1:12" ht="20" customHeight="1" x14ac:dyDescent="0.25">
      <c r="C24" s="21"/>
      <c r="D24" s="1"/>
      <c r="E24" s="1"/>
      <c r="F24" s="1"/>
      <c r="G24" s="1"/>
      <c r="H24" s="1"/>
      <c r="I24" s="1"/>
      <c r="J24" s="1"/>
      <c r="K24" s="21"/>
      <c r="L24" s="21"/>
    </row>
    <row r="25" spans="1:12" ht="20" customHeight="1" x14ac:dyDescent="0.25">
      <c r="C25" s="21"/>
      <c r="D25" s="1"/>
      <c r="E25" s="1"/>
      <c r="F25" s="1"/>
      <c r="G25" s="1"/>
      <c r="H25" s="1"/>
      <c r="I25" s="1"/>
      <c r="J25" s="1"/>
      <c r="K25" s="21"/>
      <c r="L25" s="21"/>
    </row>
    <row r="26" spans="1:12" ht="20" customHeight="1" x14ac:dyDescent="0.25">
      <c r="C26" s="21"/>
      <c r="D26" s="1"/>
      <c r="E26" s="1"/>
      <c r="F26" s="1"/>
      <c r="G26" s="1"/>
      <c r="H26" s="1"/>
      <c r="I26" s="1"/>
      <c r="J26" s="1"/>
      <c r="K26" s="21"/>
      <c r="L26" s="21"/>
    </row>
    <row r="27" spans="1:12" ht="20" customHeight="1" x14ac:dyDescent="0.25">
      <c r="C27" s="21"/>
      <c r="D27" s="1"/>
      <c r="E27" s="1"/>
      <c r="F27" s="1"/>
      <c r="G27" s="1"/>
      <c r="H27" s="1"/>
      <c r="I27" s="1"/>
      <c r="J27" s="1"/>
      <c r="K27" s="21"/>
      <c r="L27" s="21"/>
    </row>
    <row r="28" spans="1:12" ht="20" customHeight="1" x14ac:dyDescent="0.25">
      <c r="C28" s="21"/>
      <c r="D28" s="1"/>
      <c r="E28" s="1"/>
      <c r="F28" s="1"/>
      <c r="G28" s="1"/>
      <c r="H28" s="1"/>
      <c r="I28" s="1"/>
      <c r="J28" s="1"/>
      <c r="K28" s="21"/>
      <c r="L28" s="21"/>
    </row>
    <row r="29" spans="1:12" ht="20" customHeight="1" x14ac:dyDescent="0.25">
      <c r="C29" s="21"/>
      <c r="D29" s="1"/>
      <c r="E29" s="1"/>
      <c r="F29" s="1"/>
      <c r="G29" s="1"/>
      <c r="H29" s="21"/>
      <c r="I29" s="21"/>
      <c r="J29" s="21"/>
      <c r="K29" s="21"/>
      <c r="L29" s="21"/>
    </row>
    <row r="30" spans="1:12" ht="20" customHeight="1" x14ac:dyDescent="0.25">
      <c r="C30" s="21"/>
      <c r="D30" s="1"/>
      <c r="E30" s="1"/>
      <c r="F30" s="1"/>
      <c r="G30" s="1"/>
      <c r="H30" s="21"/>
      <c r="I30" s="21"/>
      <c r="J30" s="21"/>
      <c r="K30" s="21"/>
      <c r="L30" s="21"/>
    </row>
    <row r="31" spans="1:12" ht="20" customHeight="1" x14ac:dyDescent="0.25">
      <c r="C31" s="21"/>
      <c r="D31" s="1"/>
      <c r="E31" s="1"/>
      <c r="F31" s="1"/>
      <c r="G31" s="1"/>
      <c r="H31" s="21"/>
      <c r="I31" s="21"/>
      <c r="J31" s="21"/>
      <c r="K31" s="21"/>
      <c r="L31" s="21"/>
    </row>
    <row r="32" spans="1:12" ht="20" customHeight="1" x14ac:dyDescent="0.25">
      <c r="C32" s="21"/>
      <c r="D32" s="1"/>
      <c r="E32" s="1"/>
      <c r="F32" s="1"/>
      <c r="G32" s="1"/>
      <c r="H32" s="23"/>
      <c r="I32" s="21"/>
      <c r="J32" s="21"/>
      <c r="K32" s="21"/>
      <c r="L32" s="21"/>
    </row>
    <row r="33" spans="3:12" ht="20" customHeight="1" x14ac:dyDescent="0.3">
      <c r="C33" s="21"/>
      <c r="D33" s="1"/>
      <c r="E33" s="1"/>
      <c r="F33" s="1"/>
      <c r="G33" s="1"/>
      <c r="H33" s="26"/>
      <c r="I33" s="21"/>
      <c r="J33" s="21"/>
      <c r="K33" s="21"/>
      <c r="L33" s="21"/>
    </row>
    <row r="34" spans="3:12" ht="20" customHeight="1" x14ac:dyDescent="0.25">
      <c r="C34" s="21"/>
      <c r="D34" s="1"/>
      <c r="E34" s="1"/>
      <c r="F34" s="1"/>
      <c r="G34" s="1"/>
      <c r="H34" s="1"/>
      <c r="I34" s="21"/>
      <c r="J34" s="21"/>
      <c r="K34" s="21"/>
      <c r="L34" s="21"/>
    </row>
    <row r="35" spans="3:12" ht="20" customHeight="1" x14ac:dyDescent="0.25">
      <c r="C35" s="21"/>
      <c r="D35" s="1"/>
      <c r="E35" s="1"/>
      <c r="F35" s="1"/>
      <c r="G35" s="1"/>
      <c r="H35" s="1"/>
      <c r="I35" s="21"/>
      <c r="J35" s="21"/>
      <c r="K35" s="21"/>
      <c r="L35" s="21"/>
    </row>
    <row r="36" spans="3:12" ht="20" customHeight="1" x14ac:dyDescent="0.25">
      <c r="C36" s="21"/>
      <c r="D36" s="1"/>
      <c r="E36" s="1"/>
      <c r="F36" s="1"/>
      <c r="G36" s="1"/>
      <c r="H36" s="1"/>
      <c r="I36" s="21"/>
      <c r="J36" s="21"/>
      <c r="K36" s="21"/>
      <c r="L36" s="21"/>
    </row>
    <row r="37" spans="3:12" ht="20" customHeight="1" x14ac:dyDescent="0.25">
      <c r="C37" s="21"/>
      <c r="D37" s="1"/>
      <c r="E37" s="1"/>
      <c r="F37" s="1"/>
      <c r="G37" s="1"/>
      <c r="H37" s="1"/>
      <c r="I37" s="21"/>
      <c r="J37" s="21"/>
      <c r="K37" s="21"/>
      <c r="L37" s="21"/>
    </row>
    <row r="38" spans="3:12" ht="20" customHeight="1" x14ac:dyDescent="0.25">
      <c r="C38" s="21"/>
      <c r="D38" s="1"/>
      <c r="E38" s="1"/>
      <c r="F38" s="1"/>
      <c r="G38" s="1"/>
      <c r="H38" s="1"/>
      <c r="I38" s="81"/>
      <c r="J38" s="81"/>
      <c r="K38" s="81"/>
      <c r="L38" s="21"/>
    </row>
    <row r="39" spans="3:12" ht="20" customHeight="1" x14ac:dyDescent="0.25">
      <c r="C39" s="21"/>
      <c r="D39" s="1"/>
      <c r="E39" s="1"/>
      <c r="F39" s="1"/>
      <c r="G39" s="1"/>
      <c r="H39" s="1"/>
      <c r="I39" s="81"/>
      <c r="J39" s="81"/>
      <c r="K39" s="81"/>
      <c r="L39" s="21"/>
    </row>
    <row r="40" spans="3:12" ht="20" customHeight="1" x14ac:dyDescent="0.25">
      <c r="C40" s="21"/>
      <c r="D40" s="1"/>
      <c r="E40" s="1"/>
      <c r="F40" s="1"/>
      <c r="G40" s="1"/>
      <c r="H40" s="1"/>
      <c r="I40" s="81"/>
      <c r="J40" s="81"/>
      <c r="K40" s="81"/>
      <c r="L40" s="21"/>
    </row>
    <row r="41" spans="3:12" ht="20" customHeight="1" x14ac:dyDescent="0.25">
      <c r="C41" s="21"/>
      <c r="D41" s="1"/>
      <c r="E41" s="1"/>
      <c r="F41" s="1"/>
      <c r="G41" s="1"/>
      <c r="H41" s="1"/>
      <c r="I41" s="81"/>
      <c r="J41" s="81"/>
      <c r="K41" s="81"/>
      <c r="L41" s="21"/>
    </row>
    <row r="42" spans="3:12" ht="20" customHeight="1" x14ac:dyDescent="0.25">
      <c r="C42" s="21"/>
      <c r="D42" s="1"/>
      <c r="E42" s="1"/>
      <c r="F42" s="1"/>
      <c r="G42" s="1"/>
      <c r="H42" s="1"/>
      <c r="I42" s="81"/>
      <c r="J42" s="81"/>
      <c r="K42" s="81"/>
      <c r="L42" s="21"/>
    </row>
    <row r="43" spans="3:12" ht="20" customHeight="1" x14ac:dyDescent="0.25">
      <c r="C43" s="21"/>
      <c r="D43" s="1"/>
      <c r="E43" s="1"/>
      <c r="F43" s="1"/>
      <c r="G43" s="1"/>
      <c r="H43" s="1"/>
      <c r="I43" s="81"/>
      <c r="J43" s="81"/>
      <c r="K43" s="81"/>
      <c r="L43" s="21"/>
    </row>
    <row r="44" spans="3:12" ht="20" customHeight="1" x14ac:dyDescent="0.25">
      <c r="C44" s="21"/>
      <c r="D44" s="1"/>
      <c r="E44" s="1"/>
      <c r="F44" s="1"/>
      <c r="G44" s="1"/>
      <c r="H44" s="1"/>
      <c r="I44" s="81"/>
      <c r="J44" s="81"/>
      <c r="K44" s="81"/>
      <c r="L44" s="21"/>
    </row>
    <row r="45" spans="3:12" ht="20" customHeight="1" x14ac:dyDescent="0.25">
      <c r="C45" s="21"/>
      <c r="D45" s="1"/>
      <c r="E45" s="1"/>
      <c r="F45" s="1"/>
      <c r="G45" s="1"/>
      <c r="H45" s="1"/>
      <c r="I45" s="81"/>
      <c r="J45" s="81"/>
      <c r="K45" s="81"/>
      <c r="L45" s="21"/>
    </row>
    <row r="46" spans="3:12" ht="20" customHeight="1" x14ac:dyDescent="0.25">
      <c r="C46" s="21"/>
      <c r="D46" s="1"/>
      <c r="E46" s="1"/>
      <c r="F46" s="1"/>
      <c r="G46" s="1"/>
      <c r="H46" s="1"/>
      <c r="I46" s="81"/>
      <c r="J46" s="81"/>
      <c r="K46" s="81"/>
      <c r="L46" s="21"/>
    </row>
    <row r="47" spans="3:12" ht="20" customHeight="1" x14ac:dyDescent="0.25">
      <c r="C47" s="21"/>
      <c r="D47" s="1"/>
      <c r="E47" s="1"/>
      <c r="F47" s="1"/>
      <c r="G47" s="1"/>
      <c r="H47" s="1"/>
      <c r="I47" s="81"/>
      <c r="J47" s="81"/>
      <c r="K47" s="81"/>
      <c r="L47" s="21"/>
    </row>
    <row r="48" spans="3:12" ht="20" customHeight="1" x14ac:dyDescent="0.25">
      <c r="C48" s="21"/>
      <c r="D48" s="1"/>
      <c r="E48" s="1"/>
      <c r="F48" s="1"/>
      <c r="G48" s="1"/>
      <c r="H48" s="1"/>
      <c r="I48" s="81"/>
      <c r="J48" s="81"/>
      <c r="K48" s="81"/>
      <c r="L48" s="21"/>
    </row>
    <row r="49" spans="3:12" ht="20" customHeight="1" x14ac:dyDescent="0.25">
      <c r="C49" s="21"/>
      <c r="D49" s="1"/>
      <c r="E49" s="1"/>
      <c r="F49" s="1"/>
      <c r="G49" s="1"/>
      <c r="H49" s="81"/>
      <c r="I49" s="81"/>
      <c r="J49" s="81"/>
      <c r="K49" s="81"/>
      <c r="L49" s="21"/>
    </row>
    <row r="50" spans="3:12" ht="20" customHeight="1" x14ac:dyDescent="0.25">
      <c r="C50" s="21"/>
      <c r="D50" s="1"/>
      <c r="E50" s="1"/>
      <c r="F50" s="1"/>
      <c r="G50" s="1"/>
      <c r="H50" s="81"/>
      <c r="I50" s="81"/>
      <c r="J50" s="81"/>
      <c r="K50" s="81"/>
      <c r="L50" s="21"/>
    </row>
    <row r="51" spans="3:12" ht="20" customHeight="1" x14ac:dyDescent="0.25">
      <c r="C51" s="21"/>
      <c r="D51" s="1"/>
      <c r="E51" s="1"/>
      <c r="F51" s="1"/>
      <c r="G51" s="1"/>
      <c r="H51" s="81"/>
      <c r="I51" s="81"/>
      <c r="J51" s="81"/>
      <c r="K51" s="81"/>
      <c r="L51" s="21"/>
    </row>
    <row r="52" spans="3:12" ht="20" customHeight="1" x14ac:dyDescent="0.25">
      <c r="C52" s="21"/>
      <c r="D52" s="1"/>
      <c r="E52" s="1"/>
      <c r="F52" s="1"/>
      <c r="G52" s="1"/>
      <c r="H52" s="81"/>
      <c r="I52" s="81"/>
      <c r="J52" s="81"/>
      <c r="K52" s="81"/>
      <c r="L52" s="21"/>
    </row>
    <row r="53" spans="3:12" ht="20" customHeight="1" x14ac:dyDescent="0.25">
      <c r="C53" s="21"/>
      <c r="D53" s="1"/>
      <c r="E53" s="1"/>
      <c r="F53" s="1"/>
      <c r="G53" s="1"/>
      <c r="H53" s="81"/>
      <c r="I53" s="81"/>
      <c r="J53" s="81"/>
      <c r="K53" s="81"/>
      <c r="L53" s="21"/>
    </row>
    <row r="54" spans="3:12" ht="20" customHeight="1" x14ac:dyDescent="0.25">
      <c r="C54" s="21"/>
      <c r="D54" s="1"/>
      <c r="E54" s="1"/>
      <c r="F54" s="1"/>
      <c r="G54" s="1"/>
      <c r="H54" s="21"/>
      <c r="I54" s="21"/>
      <c r="J54" s="21"/>
      <c r="K54" s="21"/>
      <c r="L54" s="21"/>
    </row>
    <row r="55" spans="3:12" ht="20" customHeight="1" x14ac:dyDescent="0.25">
      <c r="C55" s="21"/>
      <c r="D55" s="1"/>
      <c r="E55" s="1"/>
      <c r="F55" s="1"/>
      <c r="G55" s="1"/>
      <c r="H55" s="21"/>
      <c r="I55" s="21"/>
      <c r="J55" s="21"/>
      <c r="K55" s="21"/>
      <c r="L55" s="21"/>
    </row>
    <row r="56" spans="3:12" ht="20" customHeight="1" x14ac:dyDescent="0.25">
      <c r="C56" s="21"/>
      <c r="D56" s="1"/>
      <c r="E56" s="1"/>
      <c r="F56" s="1"/>
      <c r="G56" s="1"/>
      <c r="H56" s="21"/>
      <c r="I56" s="21"/>
      <c r="J56" s="21"/>
      <c r="K56" s="21"/>
      <c r="L56" s="21"/>
    </row>
    <row r="57" spans="3:12" ht="20" customHeight="1" x14ac:dyDescent="0.25">
      <c r="C57" s="21"/>
      <c r="D57" s="1"/>
      <c r="E57" s="1"/>
      <c r="F57" s="1"/>
      <c r="G57" s="1"/>
      <c r="H57" s="21"/>
      <c r="I57" s="21"/>
      <c r="J57" s="21"/>
      <c r="K57" s="21"/>
      <c r="L57" s="21"/>
    </row>
    <row r="58" spans="3:12" ht="20" customHeight="1" x14ac:dyDescent="0.25">
      <c r="C58" s="21"/>
      <c r="D58" s="1"/>
      <c r="E58" s="29"/>
      <c r="F58" s="27"/>
      <c r="G58" s="21"/>
      <c r="H58" s="21"/>
      <c r="I58" s="21"/>
      <c r="J58" s="21"/>
      <c r="K58" s="21"/>
      <c r="L58" s="21"/>
    </row>
    <row r="59" spans="3:12" ht="20" customHeight="1" x14ac:dyDescent="0.25">
      <c r="C59" s="21"/>
      <c r="D59" s="1"/>
      <c r="E59" s="1"/>
      <c r="F59" s="1"/>
      <c r="G59" s="1"/>
      <c r="H59" s="1"/>
      <c r="I59" s="1"/>
      <c r="J59" s="1"/>
      <c r="K59" s="1"/>
      <c r="L59" s="21"/>
    </row>
    <row r="60" spans="3:12" ht="20" customHeight="1" x14ac:dyDescent="0.25">
      <c r="C60" s="21"/>
      <c r="D60" s="1"/>
      <c r="E60" s="1"/>
      <c r="F60" s="1"/>
      <c r="G60" s="1"/>
      <c r="H60" s="1"/>
      <c r="I60" s="1"/>
      <c r="J60" s="1"/>
      <c r="K60" s="1"/>
      <c r="L60" s="21"/>
    </row>
    <row r="61" spans="3:12" ht="20" customHeight="1" x14ac:dyDescent="0.25">
      <c r="C61" s="21"/>
      <c r="D61" s="1"/>
      <c r="E61" s="1"/>
      <c r="F61" s="1"/>
      <c r="G61" s="1"/>
      <c r="H61" s="1"/>
      <c r="I61" s="1"/>
      <c r="J61" s="1"/>
      <c r="K61" s="1"/>
      <c r="L61" s="21"/>
    </row>
    <row r="62" spans="3:12" ht="20" customHeight="1" x14ac:dyDescent="0.25">
      <c r="C62" s="21"/>
      <c r="D62" s="1"/>
      <c r="E62" s="1"/>
      <c r="F62" s="1"/>
      <c r="G62" s="1"/>
      <c r="H62" s="1"/>
      <c r="I62" s="1"/>
      <c r="J62" s="1"/>
      <c r="K62" s="1"/>
      <c r="L62" s="21"/>
    </row>
    <row r="63" spans="3:12" ht="20" customHeight="1" x14ac:dyDescent="0.25">
      <c r="C63" s="21"/>
      <c r="D63" s="1"/>
      <c r="E63" s="1"/>
      <c r="F63" s="1"/>
      <c r="G63" s="1"/>
      <c r="H63" s="1"/>
      <c r="I63" s="1"/>
      <c r="J63" s="1"/>
      <c r="K63" s="1"/>
      <c r="L63" s="21"/>
    </row>
    <row r="64" spans="3:12" ht="20" customHeight="1" x14ac:dyDescent="0.25">
      <c r="C64" s="21"/>
      <c r="D64" s="1"/>
      <c r="E64" s="1"/>
      <c r="F64" s="1"/>
      <c r="G64" s="1"/>
      <c r="H64" s="1"/>
      <c r="I64" s="1"/>
      <c r="J64" s="1"/>
      <c r="K64" s="1"/>
      <c r="L64" s="21"/>
    </row>
    <row r="65" spans="3:12" ht="20" customHeight="1" x14ac:dyDescent="0.25">
      <c r="C65" s="21"/>
      <c r="D65" s="1"/>
      <c r="E65" s="1"/>
      <c r="F65" s="1"/>
      <c r="G65" s="1"/>
      <c r="H65" s="1"/>
      <c r="I65" s="1"/>
      <c r="J65" s="1"/>
      <c r="K65" s="1"/>
      <c r="L65" s="21"/>
    </row>
    <row r="66" spans="3:12" ht="20" customHeight="1" x14ac:dyDescent="0.25">
      <c r="C66" s="21"/>
      <c r="D66" s="1"/>
      <c r="E66" s="1"/>
      <c r="F66" s="1"/>
      <c r="G66" s="1"/>
      <c r="H66" s="1"/>
      <c r="I66" s="1"/>
      <c r="J66" s="1"/>
      <c r="K66" s="1"/>
      <c r="L66" s="21"/>
    </row>
    <row r="67" spans="3:12" ht="20" customHeight="1" x14ac:dyDescent="0.25">
      <c r="C67" s="21"/>
      <c r="D67" s="1"/>
      <c r="E67" s="1"/>
      <c r="F67" s="1"/>
      <c r="G67" s="1"/>
      <c r="H67" s="1"/>
      <c r="I67" s="1"/>
      <c r="J67" s="1"/>
      <c r="K67" s="1"/>
      <c r="L67" s="21"/>
    </row>
    <row r="68" spans="3:12" ht="20" customHeight="1" x14ac:dyDescent="0.25">
      <c r="C68" s="21"/>
      <c r="D68" s="1"/>
      <c r="E68" s="1"/>
      <c r="F68" s="1"/>
      <c r="G68" s="1"/>
      <c r="H68" s="1"/>
      <c r="I68" s="1"/>
      <c r="J68" s="1"/>
      <c r="K68" s="1"/>
      <c r="L68" s="21"/>
    </row>
    <row r="69" spans="3:12" ht="20" customHeight="1" x14ac:dyDescent="0.25">
      <c r="C69" s="21"/>
      <c r="D69" s="1"/>
      <c r="E69" s="1"/>
      <c r="F69" s="1"/>
      <c r="G69" s="1"/>
      <c r="H69" s="1"/>
      <c r="I69" s="1"/>
      <c r="J69" s="1"/>
      <c r="K69" s="1"/>
      <c r="L69" s="21"/>
    </row>
    <row r="70" spans="3:12" ht="20" customHeight="1" x14ac:dyDescent="0.25">
      <c r="C70" s="21"/>
      <c r="D70" s="1"/>
      <c r="E70" s="1"/>
      <c r="F70" s="1"/>
      <c r="G70" s="1"/>
      <c r="H70" s="1"/>
      <c r="I70" s="1"/>
      <c r="J70" s="1"/>
      <c r="K70" s="1"/>
      <c r="L70" s="21"/>
    </row>
    <row r="71" spans="3:12" ht="20" customHeight="1" x14ac:dyDescent="0.25">
      <c r="C71" s="21"/>
      <c r="D71" s="1"/>
      <c r="E71" s="1"/>
      <c r="F71" s="1"/>
      <c r="G71" s="1"/>
      <c r="H71" s="1"/>
      <c r="I71" s="1"/>
      <c r="J71" s="1"/>
      <c r="K71" s="1"/>
      <c r="L71" s="21"/>
    </row>
    <row r="72" spans="3:12" ht="20" customHeight="1" x14ac:dyDescent="0.25">
      <c r="C72" s="21"/>
      <c r="D72" s="1"/>
      <c r="E72" s="1"/>
      <c r="F72" s="1"/>
      <c r="G72" s="1"/>
      <c r="H72" s="1"/>
      <c r="I72" s="1"/>
      <c r="J72" s="1"/>
      <c r="K72" s="1"/>
      <c r="L72" s="21"/>
    </row>
    <row r="73" spans="3:12" ht="20" customHeight="1" x14ac:dyDescent="0.25">
      <c r="C73" s="21"/>
      <c r="D73" s="1"/>
      <c r="E73" s="1"/>
      <c r="F73" s="1"/>
      <c r="G73" s="1"/>
      <c r="H73" s="1"/>
      <c r="I73" s="1"/>
      <c r="J73" s="1"/>
      <c r="K73" s="1"/>
      <c r="L73" s="21"/>
    </row>
    <row r="74" spans="3:12" ht="20" customHeight="1" x14ac:dyDescent="0.25">
      <c r="C74" s="21"/>
      <c r="D74" s="1"/>
      <c r="E74" s="1"/>
      <c r="F74" s="1"/>
      <c r="G74" s="1"/>
      <c r="H74" s="1"/>
      <c r="I74" s="1"/>
      <c r="J74" s="1"/>
      <c r="K74" s="1"/>
      <c r="L74" s="21"/>
    </row>
    <row r="75" spans="3:12" ht="20" customHeight="1" x14ac:dyDescent="0.25">
      <c r="C75" s="21"/>
      <c r="D75" s="1"/>
      <c r="E75" s="1"/>
      <c r="F75" s="1"/>
      <c r="G75" s="1"/>
      <c r="H75" s="1"/>
      <c r="I75" s="1"/>
      <c r="J75" s="1"/>
      <c r="K75" s="1"/>
      <c r="L75" s="21"/>
    </row>
    <row r="76" spans="3:12" ht="20" x14ac:dyDescent="0.25" customHeight="1">
      <c r="C76" s="21"/>
      <c r="D76" s="1"/>
      <c r="E76" s="1"/>
      <c r="F76" s="1"/>
      <c r="G76" s="1"/>
      <c r="H76" s="1"/>
      <c r="I76" s="1"/>
      <c r="J76" s="1"/>
      <c r="K76" s="1"/>
      <c r="L76" s="21"/>
    </row>
    <row r="77" spans="3:12" ht="20" x14ac:dyDescent="0.25" customHeight="1">
      <c r="C77" s="21"/>
      <c r="D77" s="1"/>
      <c r="E77" s="1"/>
      <c r="F77" s="1"/>
      <c r="G77" s="1"/>
      <c r="H77" s="1"/>
      <c r="I77" s="1"/>
      <c r="J77" s="1"/>
      <c r="K77" s="1"/>
      <c r="L77" s="21"/>
    </row>
    <row r="78" spans="3:12" ht="20" x14ac:dyDescent="0.25" customHeight="1">
      <c r="C78" s="21"/>
      <c r="D78" s="1"/>
      <c r="E78" s="1"/>
      <c r="F78" s="1"/>
      <c r="G78" s="1"/>
      <c r="H78" s="1"/>
      <c r="I78" s="1"/>
      <c r="J78" s="1"/>
      <c r="K78" s="1"/>
      <c r="L78" s="21"/>
    </row>
    <row r="79" spans="3:12" ht="20" x14ac:dyDescent="0.25" customHeight="1">
      <c r="C79" s="21"/>
      <c r="D79" s="1"/>
      <c r="E79" s="1"/>
      <c r="F79" s="1"/>
      <c r="G79" s="1"/>
      <c r="H79" s="1"/>
      <c r="I79" s="1"/>
      <c r="J79" s="1"/>
      <c r="K79" s="1"/>
      <c r="L79" s="21"/>
    </row>
    <row r="80" spans="3:12" ht="20" x14ac:dyDescent="0.25" customHeight="1">
      <c r="C80" s="21"/>
      <c r="D80" s="1"/>
      <c r="E80" s="1"/>
      <c r="F80" s="1"/>
      <c r="G80" s="1"/>
      <c r="H80" s="1"/>
      <c r="I80" s="1"/>
      <c r="J80" s="1"/>
      <c r="K80" s="1"/>
      <c r="L80" s="21"/>
    </row>
    <row r="81" spans="3:12" ht="20" x14ac:dyDescent="0.25" customHeight="1">
      <c r="C81" s="21"/>
      <c r="D81" s="1"/>
      <c r="E81" s="1"/>
      <c r="F81" s="1"/>
      <c r="G81" s="1"/>
      <c r="H81" s="1"/>
      <c r="I81" s="1"/>
      <c r="J81" s="1"/>
      <c r="K81" s="1"/>
      <c r="L81" s="21"/>
    </row>
    <row r="82" spans="3:12" ht="20" x14ac:dyDescent="0.25" customHeight="1">
      <c r="C82" s="21"/>
      <c r="D82" s="1"/>
      <c r="E82" s="1"/>
      <c r="F82" s="1"/>
      <c r="G82" s="1"/>
      <c r="H82" s="1"/>
      <c r="I82" s="1"/>
      <c r="J82" s="1"/>
      <c r="K82" s="1"/>
      <c r="L82" s="21"/>
    </row>
    <row r="83" spans="3:12" ht="20" x14ac:dyDescent="0.25" customHeight="1">
      <c r="C83" s="21"/>
      <c r="D83" s="1"/>
      <c r="E83" s="1"/>
      <c r="F83" s="1"/>
      <c r="G83" s="1"/>
      <c r="H83" s="1"/>
      <c r="I83" s="1"/>
      <c r="J83" s="1"/>
      <c r="K83" s="1"/>
      <c r="L83" s="21"/>
    </row>
    <row r="84" spans="3:12" ht="20" x14ac:dyDescent="0.25" customHeight="1">
      <c r="C84" s="21"/>
      <c r="D84" s="1"/>
      <c r="E84" s="1"/>
      <c r="F84" s="1"/>
      <c r="G84" s="1"/>
      <c r="H84" s="1"/>
      <c r="I84" s="1"/>
      <c r="J84" s="1"/>
      <c r="K84" s="1"/>
      <c r="L84" s="21"/>
    </row>
    <row r="85" spans="3:12" ht="20" x14ac:dyDescent="0.25" customHeight="1">
      <c r="C85" s="21"/>
      <c r="D85" s="1"/>
      <c r="E85" s="1"/>
      <c r="F85" s="1"/>
      <c r="G85" s="1"/>
      <c r="H85" s="1"/>
      <c r="I85" s="1"/>
      <c r="J85" s="1"/>
      <c r="K85" s="1"/>
      <c r="L85" s="21"/>
    </row>
    <row r="86" spans="3:12" x14ac:dyDescent="0.25" ht="20" customHeight="1">
      <c r="C86" s="21"/>
      <c r="D86" s="21"/>
      <c r="E86" s="21"/>
      <c r="F86" s="21"/>
      <c r="G86" s="21"/>
      <c r="H86" s="21"/>
      <c r="I86" s="21"/>
      <c r="J86" s="21"/>
      <c r="K86" s="21"/>
      <c r="L86" s="21"/>
    </row>
    <row r="87" spans="3:12" x14ac:dyDescent="0.25" ht="20" customHeight="1">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56"/>
      <c r="D4" s="56"/>
      <c r="E4" s="56"/>
      <c r="F4" s="56"/>
      <c r="G4" s="56"/>
      <c r="H4" s="56"/>
      <c r="I4" s="56"/>
      <c r="J4" s="56"/>
      <c r="K4" s="56"/>
    </row>
    <row r="5" spans="1:24" ht="20" customHeight="1" x14ac:dyDescent="0.25">
      <c r="A5" s="17" t="str">
        <f>HYPERLINK("#'Results'!A1", "Results")</f>
        <v>Results</v>
      </c>
      <c r="D5" s="6" t="s">
        <v>6</v>
      </c>
      <c r="N5" s="37"/>
    </row>
    <row r="6" spans="1:24" ht="20" customHeight="1" x14ac:dyDescent="0.25">
      <c r="A6"/>
      <c r="D6" s="14"/>
      <c r="N6" s="38"/>
    </row>
    <row r="7" spans="1:24" ht="20" customHeight="1" x14ac:dyDescent="0.25">
      <c r="A7"/>
      <c r="D7" s="1" t="s">
        <v>4</v>
      </c>
      <c r="E7" s="30" t="s">
        <v>3</v>
      </c>
      <c r="F7" s="2"/>
    </row>
    <row r="8" spans="1:24" ht="20" customHeight="1" x14ac:dyDescent="0.25">
      <c r="A8" s="19" t="s">
        <v>0</v>
      </c>
      <c r="D8" s="10" t="s">
        <v>49</v>
      </c>
      <c r="E8" s="30" t="s">
        <v>50</v>
      </c>
    </row>
    <row r="9" spans="1:24" ht="20" customHeight="1" x14ac:dyDescent="0.25">
      <c r="A9" s="99" t="str">
        <f>HYPERLINK("#'Input - Site'!A1", "Site")</f>
        <v>Site</v>
      </c>
      <c r="N9" s="39"/>
    </row>
    <row r="10" spans="1:24" ht="20" customHeight="1" x14ac:dyDescent="0.25">
      <c r="A10" s="17" t="str">
        <f>HYPERLINK("#'Input - Other Livestock'!A1", "Other Livestock")</f>
        <v>Other Livestock</v>
      </c>
      <c r="D10" s="73" t="s">
        <v>53</v>
      </c>
      <c r="E10" s="71"/>
      <c r="F10" s="74"/>
      <c r="G10" s="68"/>
      <c r="N10" s="39"/>
    </row>
    <row r="11" spans="1:24" ht="20" customHeight="1" x14ac:dyDescent="0.25">
      <c r="A11"/>
      <c r="N11" s="40"/>
    </row>
    <row r="12" spans="1:24" ht="20" customHeight="1" x14ac:dyDescent="0.25">
      <c r="A12"/>
      <c r="D12" s="10" t="s">
        <v>57</v>
      </c>
      <c r="E12" s="53">
        <v>45292</v>
      </c>
      <c r="F12" s="2" t="s">
        <v>48</v>
      </c>
    </row>
    <row r="13" spans="1:24" ht="20" customHeight="1" x14ac:dyDescent="0.25">
      <c r="A13" s="18" t="s">
        <v>51</v>
      </c>
      <c r="D13" s="10" t="s">
        <v>58</v>
      </c>
      <c r="E13" s="57">
        <f>DATE(YEAR(X_Cell_Site_StartDate)+1,MONTH(X_Cell_Site_StartDate),DAY(X_Cell_Site_StartDate))-1</f>
        <v>45657</v>
      </c>
      <c r="F13" s="2" t="s">
        <v>7</v>
      </c>
      <c r="N13" s="35"/>
      <c r="O13" s="35"/>
    </row>
    <row r="14" spans="1:24" ht="20" customHeight="1" x14ac:dyDescent="0.25">
      <c r="A14" s="17" t="str">
        <f>HYPERLINK("#'3.6.1.1-2 Enteric Methane'!A1", "3.6.1.1-2 Enteric Methane")</f>
        <v>3.6.1.1-2 Enteric Methane</v>
      </c>
      <c r="N14" s="35"/>
      <c r="O14" s="35"/>
    </row>
    <row r="15" spans="1:24" ht="20" customHeight="1" x14ac:dyDescent="0.25">
      <c r="A15"/>
      <c r="D15" s="31"/>
      <c r="E15" s="31"/>
      <c r="F15" s="31"/>
      <c r="G15" s="31"/>
      <c r="H15" s="31"/>
      <c r="I15" s="31"/>
      <c r="J15" s="31"/>
      <c r="K15" s="31"/>
      <c r="N15" s="35"/>
      <c r="O15" s="35"/>
    </row>
    <row r="16" spans="1:24" ht="20" customHeight="1" x14ac:dyDescent="0.25">
      <c r="A16"/>
      <c r="D16" s="31"/>
      <c r="E16" s="31"/>
      <c r="F16" s="31"/>
      <c r="G16" s="31"/>
      <c r="H16" s="31"/>
      <c r="I16" s="31"/>
      <c r="J16" s="31"/>
      <c r="K16" s="31"/>
      <c r="N16" s="35"/>
      <c r="O16" s="35"/>
    </row>
    <row r="17" spans="1:25" ht="20" customHeight="1" x14ac:dyDescent="0.25">
      <c r="A17" s="104" t="s">
        <v>1</v>
      </c>
      <c r="D17" s="31"/>
      <c r="E17" s="31"/>
      <c r="F17" s="31"/>
      <c r="G17" s="31"/>
      <c r="H17" s="31"/>
      <c r="I17" s="31"/>
      <c r="J17" s="31"/>
      <c r="K17" s="31"/>
    </row>
    <row r="18" spans="1:25" ht="20" customHeight="1" x14ac:dyDescent="0.25">
      <c r="A18" s="17" t="str">
        <f>HYPERLINK("#'Constants - Other Livestock'!A1", "Constants - Other Livestock")</f>
        <v>Constants - Other Livestock</v>
      </c>
      <c r="D18" s="31"/>
      <c r="E18" s="31"/>
      <c r="F18" s="31"/>
      <c r="G18" s="31"/>
      <c r="H18" s="31"/>
      <c r="I18" s="31"/>
      <c r="J18" s="31"/>
      <c r="K18" s="31"/>
    </row>
    <row r="19" spans="1:25" ht="20" customHeight="1" x14ac:dyDescent="0.25">
      <c r="A19" s="17" t="str">
        <f>HYPERLINK("#'Constants - Common'!A1", "Constants - Common")</f>
        <v>Constants - Common</v>
      </c>
      <c r="D19" s="31"/>
      <c r="E19" s="31"/>
      <c r="F19" s="31"/>
      <c r="G19" s="31"/>
      <c r="H19" s="31"/>
      <c r="I19" s="31"/>
      <c r="J19" s="31"/>
      <c r="K19" s="31"/>
      <c r="N19" s="37"/>
    </row>
    <row r="20" spans="1:25" ht="20" customHeight="1" x14ac:dyDescent="0.25">
      <c r="A20" s="17" t="str">
        <f>HYPERLINK("#'Acknowledgements'!A1", "Acknowledgements")</f>
        <v>Acknowledgements</v>
      </c>
      <c r="D20" s="31"/>
      <c r="E20" s="31"/>
      <c r="F20" s="31"/>
      <c r="G20" s="31"/>
      <c r="H20" s="31"/>
      <c r="I20" s="31"/>
      <c r="J20" s="31"/>
      <c r="K20" s="31"/>
      <c r="N20" s="38"/>
    </row>
    <row r="21" spans="1:25" ht="20" customHeight="1" x14ac:dyDescent="0.25">
      <c r="A21" s="17" t="str">
        <f>HYPERLINK("#'Tab template'!A1", "Tab template")</f>
        <v>Tab template</v>
      </c>
      <c r="D21" s="31"/>
      <c r="E21" s="31"/>
      <c r="F21" s="31"/>
      <c r="G21" s="31"/>
      <c r="H21" s="31"/>
      <c r="I21" s="31"/>
      <c r="J21" s="31"/>
      <c r="K21" s="31"/>
    </row>
    <row r="22" spans="1:25" ht="20" customHeight="1" x14ac:dyDescent="0.25">
      <c r="A22"/>
      <c r="D22" s="31"/>
      <c r="E22" s="31"/>
      <c r="F22" s="31"/>
      <c r="G22" s="31"/>
      <c r="H22" s="31"/>
      <c r="I22" s="31"/>
      <c r="J22" s="31"/>
      <c r="K22" s="31"/>
    </row>
    <row r="23" spans="1:25" ht="20" customHeight="1" x14ac:dyDescent="0.25">
      <c r="A23"/>
      <c r="D23" s="31"/>
      <c r="E23" s="31"/>
      <c r="F23" s="31"/>
      <c r="G23" s="31"/>
      <c r="H23" s="31"/>
      <c r="I23" s="31"/>
      <c r="J23" s="31"/>
      <c r="K23" s="31"/>
    </row>
    <row r="24" spans="1:25" ht="20" customHeight="1" x14ac:dyDescent="0.25">
      <c r="A24"/>
      <c r="D24" s="31"/>
      <c r="E24" s="31"/>
      <c r="F24" s="31"/>
      <c r="G24" s="31"/>
      <c r="H24" s="31"/>
      <c r="I24" s="31"/>
      <c r="J24" s="31"/>
      <c r="K24" s="31"/>
    </row>
    <row r="25" spans="1:25" ht="20" customHeight="1" x14ac:dyDescent="0.25">
      <c r="A25"/>
      <c r="D25" s="31"/>
      <c r="E25" s="31"/>
      <c r="F25" s="31"/>
      <c r="G25" s="31"/>
      <c r="H25" s="31"/>
      <c r="I25" s="31"/>
      <c r="J25" s="31"/>
      <c r="K25" s="31"/>
      <c r="N25" s="38"/>
    </row>
    <row r="26" spans="1:25" ht="20" customHeight="1" x14ac:dyDescent="0.25">
      <c r="A26"/>
      <c r="D26" s="31"/>
      <c r="E26" s="31"/>
      <c r="F26" s="31"/>
      <c r="G26" s="31"/>
      <c r="H26" s="31"/>
      <c r="I26" s="31"/>
      <c r="J26" s="31"/>
      <c r="K26" s="31"/>
    </row>
    <row r="27" spans="1:25" ht="20" customHeight="1" x14ac:dyDescent="0.25">
      <c r="A27"/>
      <c r="D27" s="31"/>
      <c r="E27" s="31"/>
      <c r="F27" s="31"/>
      <c r="G27" s="31"/>
      <c r="H27" s="31"/>
      <c r="I27" s="31"/>
      <c r="J27" s="31"/>
      <c r="K27" s="31"/>
    </row>
    <row r="28" spans="1:25" ht="20" customHeight="1" x14ac:dyDescent="0.25">
      <c r="A28"/>
      <c r="D28" s="31"/>
      <c r="E28" s="31"/>
      <c r="F28" s="31"/>
      <c r="G28" s="31"/>
      <c r="H28" s="31"/>
      <c r="I28" s="31"/>
      <c r="J28" s="31"/>
      <c r="K28" s="31"/>
    </row>
    <row r="29" spans="1:25" ht="20" customHeight="1" x14ac:dyDescent="0.25">
      <c r="A29"/>
      <c r="D29" s="31"/>
      <c r="E29" s="31"/>
      <c r="F29" s="31"/>
      <c r="G29" s="31"/>
      <c r="H29" s="31"/>
      <c r="I29" s="31"/>
      <c r="J29" s="31"/>
      <c r="K29" s="31"/>
    </row>
    <row r="30" spans="1:25" ht="20"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 customHeight="1" x14ac:dyDescent="0.25">
      <c r="A41"/>
      <c r="D41" s="31"/>
      <c r="E41" s="31"/>
      <c r="F41" s="31"/>
      <c r="G41" s="31"/>
      <c r="H41" s="31"/>
      <c r="I41" s="31"/>
      <c r="J41" s="31"/>
      <c r="K41" s="31"/>
    </row>
    <row r="42" spans="1:25" ht="20" customHeight="1" x14ac:dyDescent="0.25">
      <c r="A42"/>
      <c r="D42" s="31"/>
      <c r="E42" s="31"/>
      <c r="F42" s="31"/>
      <c r="G42" s="31"/>
      <c r="H42" s="31"/>
      <c r="I42" s="31"/>
      <c r="J42" s="31"/>
      <c r="K42" s="31"/>
    </row>
    <row r="43" spans="1:25" ht="20" customHeight="1" x14ac:dyDescent="0.25">
      <c r="A43"/>
      <c r="D43" s="31"/>
      <c r="E43" s="31"/>
      <c r="F43" s="31"/>
      <c r="G43" s="31"/>
      <c r="H43" s="31"/>
      <c r="I43" s="31"/>
      <c r="J43" s="31"/>
      <c r="K43" s="31"/>
    </row>
    <row r="44" spans="1:25" ht="20" customHeight="1" x14ac:dyDescent="0.25">
      <c r="A44"/>
      <c r="D44" s="31"/>
      <c r="E44" s="31"/>
      <c r="F44" s="31"/>
      <c r="G44" s="31"/>
      <c r="H44" s="31"/>
      <c r="I44" s="31"/>
      <c r="J44" s="31"/>
      <c r="K44" s="31"/>
    </row>
    <row r="45" spans="1:25" ht="20" customHeight="1" x14ac:dyDescent="0.25">
      <c r="A45"/>
      <c r="D45" s="31"/>
      <c r="E45" s="31"/>
      <c r="F45" s="31"/>
      <c r="G45" s="31"/>
      <c r="H45" s="31"/>
      <c r="I45" s="31"/>
      <c r="J45" s="31"/>
      <c r="K45" s="31"/>
    </row>
    <row r="46" spans="1:25" ht="20" customHeight="1" x14ac:dyDescent="0.25">
      <c r="A46"/>
      <c r="D46" s="31"/>
      <c r="E46" s="31"/>
      <c r="F46" s="31"/>
      <c r="G46" s="31"/>
      <c r="H46" s="31"/>
      <c r="I46" s="31"/>
      <c r="J46" s="31"/>
      <c r="K46" s="31"/>
    </row>
    <row r="47" spans="1:25" ht="20" customHeight="1" x14ac:dyDescent="0.25">
      <c r="A47"/>
      <c r="D47" s="31"/>
      <c r="E47" s="31"/>
      <c r="F47" s="31"/>
      <c r="G47" s="31"/>
      <c r="H47" s="31"/>
      <c r="I47" s="31"/>
      <c r="J47" s="31"/>
      <c r="K47" s="31"/>
    </row>
    <row r="48" spans="1:25" ht="20" customHeight="1" x14ac:dyDescent="0.25">
      <c r="A48"/>
      <c r="D48" s="31"/>
      <c r="E48" s="31"/>
      <c r="F48" s="31"/>
      <c r="G48" s="31"/>
      <c r="H48" s="31"/>
      <c r="I48" s="31"/>
      <c r="J48" s="31"/>
      <c r="K48" s="31"/>
    </row>
    <row r="49" spans="1:8" ht="20" customHeight="1" x14ac:dyDescent="0.25">
      <c r="A49"/>
      <c r="D49" s="31"/>
      <c r="E49" s="31"/>
      <c r="F49" s="32"/>
      <c r="G49" s="32"/>
      <c r="H49" s="31"/>
    </row>
    <row r="50" spans="1:8" ht="20" customHeight="1" x14ac:dyDescent="0.25">
      <c r="A50"/>
      <c r="D50" s="31"/>
      <c r="E50" s="31"/>
      <c r="F50" s="32"/>
      <c r="G50" s="32"/>
      <c r="H50" s="31"/>
    </row>
    <row r="51" spans="1:8" ht="20" customHeight="1" x14ac:dyDescent="0.25">
      <c r="A51"/>
      <c r="D51" s="58"/>
      <c r="E51" s="59"/>
      <c r="F51" s="59"/>
      <c r="G51" s="59"/>
      <c r="H51" s="60"/>
    </row>
    <row r="52" spans="1:8" ht="20" customHeight="1" x14ac:dyDescent="0.25">
      <c r="A52"/>
    </row>
    <row r="53" spans="1:8" ht="20" customHeight="1" x14ac:dyDescent="0.25">
      <c r="A53"/>
    </row>
    <row r="54" spans="1:8" ht="20" customHeight="1" x14ac:dyDescent="0.25">
      <c r="A54"/>
      <c r="G54" s="61"/>
    </row>
    <row r="55" spans="1:8" ht="20" customHeight="1" x14ac:dyDescent="0.25">
      <c r="A55"/>
      <c r="D55" s="6"/>
    </row>
    <row r="56" spans="1:8" ht="20" customHeight="1" x14ac:dyDescent="0.25">
      <c r="A56"/>
    </row>
    <row r="57" spans="1:8" ht="20" customHeight="1" x14ac:dyDescent="0.25">
      <c r="A57"/>
      <c r="D57" s="20"/>
      <c r="F57" s="62"/>
    </row>
    <row r="58" spans="1:8" ht="20" customHeight="1" x14ac:dyDescent="0.25">
      <c r="A58"/>
      <c r="D58" s="1"/>
      <c r="E58" s="63"/>
    </row>
    <row r="59" spans="1:8" ht="20" customHeight="1" x14ac:dyDescent="0.25">
      <c r="A59"/>
      <c r="D59" s="1"/>
      <c r="E59" s="63"/>
    </row>
    <row r="60" spans="1:8" ht="20" customHeight="1" x14ac:dyDescent="0.25">
      <c r="A60"/>
      <c r="D60" s="1"/>
      <c r="E60" s="64"/>
    </row>
    <row r="61" spans="1:8" ht="20" customHeight="1" x14ac:dyDescent="0.25">
      <c r="A61"/>
      <c r="D61" s="1"/>
    </row>
    <row r="62" spans="1:8" ht="20" customHeight="1" x14ac:dyDescent="0.25">
      <c r="A62"/>
    </row>
    <row r="63" spans="1:8" ht="20" customHeight="1" x14ac:dyDescent="0.25">
      <c r="A63"/>
      <c r="D63" s="20"/>
    </row>
    <row r="64" spans="1:8" ht="20" customHeight="1" x14ac:dyDescent="0.25">
      <c r="A64"/>
      <c r="D64" s="1"/>
      <c r="E64" s="63"/>
    </row>
    <row r="65" spans="1:9" ht="20" customHeight="1" x14ac:dyDescent="0.25">
      <c r="A65"/>
      <c r="D65" s="1"/>
      <c r="E65" s="63"/>
    </row>
    <row r="66" spans="1:9" ht="20" customHeight="1" x14ac:dyDescent="0.25">
      <c r="A66"/>
      <c r="D66" s="1"/>
      <c r="E66" s="64"/>
    </row>
    <row r="67" spans="1:9" ht="20" customHeight="1" x14ac:dyDescent="0.25">
      <c r="A67"/>
    </row>
    <row r="68" spans="1:9" ht="20" customHeight="1" x14ac:dyDescent="0.25">
      <c r="A68"/>
    </row>
    <row r="69" spans="1:9" ht="20" customHeight="1" x14ac:dyDescent="0.25">
      <c r="A69"/>
      <c r="D69" s="51"/>
      <c r="E69" s="51"/>
      <c r="F69" s="51"/>
      <c r="G69" s="51"/>
      <c r="H69" s="51"/>
      <c r="I69" s="51"/>
    </row>
    <row r="70" spans="1:9" ht="20" customHeight="1" x14ac:dyDescent="0.25">
      <c r="A70"/>
      <c r="D70" s="51"/>
      <c r="E70" s="51"/>
      <c r="F70" s="51"/>
      <c r="G70" s="51"/>
      <c r="H70" s="51"/>
      <c r="I70" s="51"/>
    </row>
    <row r="71" spans="1:9" ht="20" customHeight="1" x14ac:dyDescent="0.25">
      <c r="A71"/>
      <c r="D71" s="51"/>
      <c r="E71" s="51"/>
      <c r="F71" s="51"/>
      <c r="G71" s="51"/>
      <c r="H71" s="51"/>
      <c r="I71" s="51"/>
    </row>
    <row r="72" spans="1:9" ht="20" customHeight="1" x14ac:dyDescent="0.25">
      <c r="A72"/>
      <c r="D72" s="51"/>
      <c r="E72" s="51"/>
      <c r="F72" s="51"/>
      <c r="G72" s="51"/>
      <c r="H72" s="51"/>
      <c r="I72" s="51"/>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65"/>
    </row>
    <row r="79" spans="1:9" ht="20" customHeight="1" x14ac:dyDescent="0.25">
      <c r="A79"/>
      <c r="D79" s="65"/>
    </row>
    <row r="80" spans="1:9" ht="20" customHeight="1" x14ac:dyDescent="0.25">
      <c r="A80"/>
      <c r="D80" s="65"/>
    </row>
    <row r="81" spans="1:4" ht="20" customHeight="1" x14ac:dyDescent="0.25">
      <c r="A81"/>
      <c r="D81" s="65"/>
    </row>
    <row r="82" spans="1:4" ht="20" customHeight="1" x14ac:dyDescent="0.25">
      <c r="A82"/>
      <c r="D82" s="65"/>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 customHeight="1" x14ac:dyDescent="0.25">
      <c r="A2"/>
      <c r="N2" s="50"/>
      <c r="O2" s="50"/>
      <c r="P2" s="50"/>
      <c r="Q2" s="50"/>
      <c r="R2" s="50"/>
      <c r="S2" s="50"/>
      <c r="T2" s="50"/>
      <c r="U2" s="50"/>
    </row>
    <row r="3" spans="1:21" ht="20" customHeight="1" x14ac:dyDescent="0.25">
      <c r="A3" s="17" t="str">
        <f>HYPERLINK("#'Home'!A1", "Home")</f>
        <v>Home</v>
      </c>
      <c r="C3" s="15"/>
      <c r="D3" s="15"/>
      <c r="E3" s="15"/>
      <c r="F3" s="15"/>
      <c r="G3" s="15"/>
      <c r="H3" s="15"/>
      <c r="I3" s="15"/>
      <c r="J3" s="15"/>
      <c r="K3" s="15"/>
      <c r="L3" s="15"/>
    </row>
    <row r="4" spans="1:21" ht="20" customHeight="1" x14ac:dyDescent="0.25">
      <c r="A4" s="17" t="str">
        <f>HYPERLINK("#'Overview'!A1", "Overview")</f>
        <v>Overview</v>
      </c>
    </row>
    <row r="5" spans="1:21" ht="20" customHeight="1" x14ac:dyDescent="0.25">
      <c r="A5" s="17" t="str">
        <f>HYPERLINK("#'Results'!A1", "Results")</f>
        <v>Results</v>
      </c>
      <c r="D5" s="6" t="s">
        <v>107</v>
      </c>
    </row>
    <row r="6" spans="1:21" ht="20" customHeight="1" x14ac:dyDescent="0.25"/>
    <row r="7" spans="1:21" ht="20" customHeight="1" x14ac:dyDescent="0.25">
      <c r="D7" s="52"/>
      <c r="E7" s="36" t="s">
        <v>108</v>
      </c>
      <c r="F7" s="36" t="s">
        <v>109</v>
      </c>
      <c r="G7" s="36" t="s">
        <v>110</v>
      </c>
      <c r="H7" s="36" t="s">
        <v>111</v>
      </c>
    </row>
    <row r="8" spans="1:21" ht="20"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 customHeight="1" x14ac:dyDescent="0.25">
      <c r="A9" s="17" t="str">
        <f>HYPERLINK("#'Input - Site'!A1", "Site")</f>
        <v>Site</v>
      </c>
      <c r="J9" s="2"/>
      <c r="K9" s="2"/>
    </row>
    <row r="10" spans="1:21" ht="20" customHeight="1" x14ac:dyDescent="0.25">
      <c r="A10" s="99" t="str">
        <f>HYPERLINK("#'Input - Other Livestock'!A1", "Other Livestock")</f>
        <v>Other Livestock</v>
      </c>
    </row>
    <row r="11" spans="1:21" ht="20" customHeight="1" x14ac:dyDescent="0.25">
      <c r="D11" s="6" t="s">
        <v>112</v>
      </c>
    </row>
    <row r="12" spans="1:21" ht="20" customHeight="1" x14ac:dyDescent="0.25"/>
    <row r="13" spans="1:21" ht="20" customHeight="1" x14ac:dyDescent="0.25">
      <c r="A13" s="18" t="s">
        <v>51</v>
      </c>
      <c r="D13" s="52"/>
      <c r="E13" s="36" t="s">
        <v>113</v>
      </c>
      <c r="F13" s="36" t="s">
        <v>114</v>
      </c>
      <c r="G13" s="36" t="s">
        <v>115</v>
      </c>
      <c r="H13" s="36" t="s">
        <v>116</v>
      </c>
      <c r="I13" s="36" t="s">
        <v>117</v>
      </c>
      <c r="J13" s="36" t="s">
        <v>118</v>
      </c>
    </row>
    <row r="14" spans="1:21" ht="20"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 customHeight="1" x14ac:dyDescent="0.25">
      <c r="J15" s="2"/>
      <c r="K15" s="2"/>
    </row>
    <row r="16" spans="1:21" ht="20" customHeight="1" x14ac:dyDescent="0.25">
      <c r="J16" s="2"/>
      <c r="K16" s="2"/>
    </row>
    <row r="17" spans="1:11" ht="20" customHeight="1" x14ac:dyDescent="0.25">
      <c r="A17" s="104" t="s">
        <v>1</v>
      </c>
      <c r="D17" s="6" t="s">
        <v>119</v>
      </c>
      <c r="J17" s="2"/>
      <c r="K17" s="2"/>
    </row>
    <row r="18" spans="1:11" ht="20" customHeight="1" x14ac:dyDescent="0.25">
      <c r="A18" s="17" t="str">
        <f>HYPERLINK("#'Constants - Other Livestock'!A1", "Constants - Other Livestock")</f>
        <v>Constants - Other Livestock</v>
      </c>
    </row>
    <row r="19" spans="1:11" ht="20" customHeight="1" x14ac:dyDescent="0.25">
      <c r="A19" s="17" t="str">
        <f>HYPERLINK("#'Constants - Common'!A1", "Constants - Common")</f>
        <v>Constants - Common</v>
      </c>
      <c r="D19" s="52"/>
      <c r="E19" s="36" t="s">
        <v>120</v>
      </c>
      <c r="F19" s="36" t="s">
        <v>121</v>
      </c>
      <c r="G19" s="36" t="s">
        <v>122</v>
      </c>
      <c r="H19" s="36" t="s">
        <v>123</v>
      </c>
    </row>
    <row r="20" spans="1:11" ht="20"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 customHeight="1" x14ac:dyDescent="0.25">
      <c r="A21" s="17" t="str">
        <f>HYPERLINK("#'Tab template'!A1", "Tab template")</f>
        <v>Tab template</v>
      </c>
      <c r="J21" s="2"/>
      <c r="K21" s="2"/>
    </row>
    <row r="22" spans="1:11" ht="20" customHeight="1" x14ac:dyDescent="0.25">
      <c r="J22" s="2"/>
      <c r="K22" s="2"/>
    </row>
    <row r="23" spans="1:11" ht="20" customHeight="1" x14ac:dyDescent="0.25">
      <c r="D23" s="6" t="s">
        <v>124</v>
      </c>
      <c r="J23" s="2"/>
      <c r="K23" s="2"/>
    </row>
    <row r="24" spans="1:11" ht="20" customHeight="1" x14ac:dyDescent="0.25"/>
    <row r="25" spans="1:11" ht="20" customHeight="1" x14ac:dyDescent="0.25">
      <c r="D25" s="52"/>
      <c r="E25" s="36" t="s">
        <v>125</v>
      </c>
      <c r="F25" s="36" t="s">
        <v>126</v>
      </c>
      <c r="G25" s="36" t="s">
        <v>127</v>
      </c>
      <c r="H25" s="36" t="s">
        <v>128</v>
      </c>
      <c r="I25" s="36" t="s">
        <v>129</v>
      </c>
    </row>
    <row r="26" spans="1:11" ht="20"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 customHeight="1" x14ac:dyDescent="0.25"/>
    <row r="28" spans="1:11" ht="20" customHeight="1" x14ac:dyDescent="0.25"/>
    <row r="29" spans="1:11" ht="20" customHeight="1" x14ac:dyDescent="0.25"/>
    <row r="30" spans="1:11" ht="20" customHeight="1" x14ac:dyDescent="0.25"/>
    <row r="31" spans="1:11" ht="20" customHeight="1" x14ac:dyDescent="0.25"/>
    <row r="32" spans="1:11" ht="20" customHeight="1" x14ac:dyDescent="0.25"/>
    <row r="33" spans="9:11" ht="20" customHeight="1" x14ac:dyDescent="0.25"/>
    <row r="34" spans="9:11" ht="20" customHeight="1" x14ac:dyDescent="0.25"/>
    <row r="35" spans="9:11" ht="20" customHeight="1" x14ac:dyDescent="0.25"/>
    <row r="36" spans="9:11" ht="20" customHeight="1" x14ac:dyDescent="0.25"/>
    <row r="37" spans="9:11" ht="20" customHeight="1" x14ac:dyDescent="0.25"/>
    <row r="38" spans="9:11" ht="20" customHeight="1" x14ac:dyDescent="0.25"/>
    <row r="39" spans="9:11" ht="20" customHeight="1" x14ac:dyDescent="0.25"/>
    <row r="40" spans="9:11" ht="20" customHeight="1" x14ac:dyDescent="0.25"/>
    <row r="41" spans="9:11" ht="20" customHeight="1" x14ac:dyDescent="0.25"/>
    <row r="42" spans="9:11" ht="20" customHeight="1" x14ac:dyDescent="0.25"/>
    <row r="43" spans="9:11" ht="20" customHeight="1" x14ac:dyDescent="0.25"/>
    <row r="44" spans="9:11" ht="20" customHeight="1" x14ac:dyDescent="0.25"/>
    <row r="45" spans="9:11" ht="20" customHeight="1" x14ac:dyDescent="0.25">
      <c r="I45" s="2"/>
      <c r="J45" s="2"/>
      <c r="K45" s="2"/>
    </row>
    <row r="46" spans="9:11" ht="20" customHeight="1" x14ac:dyDescent="0.25"/>
    <row r="47" spans="9:11" ht="20" customHeight="1" x14ac:dyDescent="0.25"/>
    <row r="48" spans="9:11" ht="20" customHeight="1" x14ac:dyDescent="0.25"/>
    <row r="49" spans="4:11" ht="20" customHeight="1" x14ac:dyDescent="0.25">
      <c r="I49" s="2"/>
      <c r="J49" s="2"/>
      <c r="K49" s="2"/>
    </row>
    <row r="50" spans="4:11" ht="20" customHeight="1" x14ac:dyDescent="0.25">
      <c r="I50" s="2"/>
      <c r="J50" s="2"/>
      <c r="K50" s="2"/>
    </row>
    <row r="51" spans="4:11" ht="20" customHeight="1" x14ac:dyDescent="0.25">
      <c r="I51" s="2"/>
      <c r="J51" s="2"/>
      <c r="K51" s="2"/>
    </row>
    <row r="52" spans="4:11" ht="20" customHeight="1" x14ac:dyDescent="0.25"/>
    <row r="53" spans="4:11" ht="20" customHeight="1" x14ac:dyDescent="0.25"/>
    <row r="54" spans="4:11" ht="20" customHeight="1" x14ac:dyDescent="0.25">
      <c r="I54" s="2"/>
      <c r="J54" s="2"/>
      <c r="K54" s="2"/>
    </row>
    <row r="55" spans="4:11" ht="20" customHeight="1" x14ac:dyDescent="0.25">
      <c r="I55" s="2"/>
      <c r="J55" s="2"/>
      <c r="K55" s="2"/>
    </row>
    <row r="56" spans="4:11" ht="20" customHeight="1" x14ac:dyDescent="0.25">
      <c r="I56" s="2"/>
      <c r="J56" s="2"/>
      <c r="K56" s="2"/>
    </row>
    <row r="57" spans="4:11" ht="20" customHeight="1" x14ac:dyDescent="0.25">
      <c r="D57" s="79"/>
    </row>
    <row r="58" spans="4:11" ht="20" customHeight="1" x14ac:dyDescent="0.25"/>
    <row r="59" spans="4:11" ht="20" customHeight="1" x14ac:dyDescent="0.25"/>
    <row r="60" spans="4:11" ht="20" customHeight="1" x14ac:dyDescent="0.25"/>
    <row r="61" spans="4:11" ht="20" customHeight="1" x14ac:dyDescent="0.25"/>
    <row r="62" spans="4:11" ht="20" customHeight="1" x14ac:dyDescent="0.25"/>
    <row r="63" spans="4:11" ht="20" customHeight="1" x14ac:dyDescent="0.25"/>
    <row r="64" spans="4: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5"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 customHeight="1" x14ac:dyDescent="0.25">
      <c r="A2"/>
      <c r="K2"/>
    </row>
    <row r="3" spans="1:19" ht="20" customHeight="1" x14ac:dyDescent="0.25">
      <c r="A3" s="17" t="str">
        <f>HYPERLINK("#'Home'!A1", "Home")</f>
        <v>Home</v>
      </c>
      <c r="C3" s="4"/>
      <c r="D3" s="4" t="s">
        <v>60</v>
      </c>
      <c r="E3" s="4"/>
      <c r="F3" s="4"/>
      <c r="G3" s="4"/>
      <c r="H3" s="4"/>
      <c r="I3" s="4"/>
      <c r="J3" s="4"/>
      <c r="L3" s="4"/>
      <c r="M3" s="4" t="s">
        <v>61</v>
      </c>
      <c r="N3" s="4"/>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 customHeight="1" x14ac:dyDescent="0.25">
      <c r="D6" s="5" t="str" cm="1">
        <f t="array" ref="D6">EntericMethane_OtherLivestock_Equations.VEERG_3_6_1_1__1_TotalAnnualMethaneFromEntericFermentationOtherLivestock_Source()</f>
        <v>VEERG 2026: 3.6.1.1, Equation (1)</v>
      </c>
    </row>
    <row r="7" spans="1:19" ht="20"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 customHeight="1" x14ac:dyDescent="0.25">
      <c r="A8" s="19" t="s">
        <v>0</v>
      </c>
    </row>
    <row r="9" spans="1:19" ht="20" customHeight="1" x14ac:dyDescent="0.25">
      <c r="A9" s="17" t="str">
        <f>HYPERLINK("#'Input - Site'!A1", "Site")</f>
        <v>Site</v>
      </c>
    </row>
    <row r="10" spans="1:19" ht="20"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 customHeight="1" x14ac:dyDescent="0.25">
      <c r="D11" s="47" t="s">
        <v>8</v>
      </c>
      <c r="E11" s="48" t="str" cm="1">
        <f t="array" ref="E11">EntericMethane_OtherLivestock_Equations.VEERG_3_6_1_1__1_TotalAnnualMethaneFromEntericFermentationOtherLivestock_Unit()</f>
        <v>t CH4</v>
      </c>
    </row>
    <row r="12" spans="1:19" ht="20" customHeight="1" x14ac:dyDescent="0.25"/>
    <row r="13" spans="1:19" ht="20"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 customHeight="1" x14ac:dyDescent="0.25">
      <c r="D15" s="88" t="str">
        <v>j</v>
      </c>
      <c r="E15" s="90" t="str">
        <v>livestock type</v>
      </c>
      <c r="F15" s="89"/>
      <c r="G15" s="88" t="str">
        <v/>
      </c>
      <c r="H15" s="86" t="str">
        <v>Input</v>
      </c>
    </row>
    <row r="16" spans="1:19" ht="20" customHeight="1" x14ac:dyDescent="0.25"/>
    <row r="17" spans="1:8" ht="20" customHeight="1" x14ac:dyDescent="0.25">
      <c r="A17" s="104" t="s">
        <v>1</v>
      </c>
    </row>
    <row r="18" spans="1:8" ht="20" customHeight="1" x14ac:dyDescent="0.25">
      <c r="A18" s="17" t="str">
        <f>HYPERLINK("#'Constants - Other Livestock'!A1", "Constants - Other Livestock")</f>
        <v>Constants - Other Livestock</v>
      </c>
      <c r="D18" s="36" t="s">
        <v>130</v>
      </c>
      <c r="E18" s="36" t="s">
        <v>131</v>
      </c>
      <c r="F18" s="45" t="s">
        <v>99</v>
      </c>
      <c r="G18" s="45" t="s">
        <v>132</v>
      </c>
    </row>
    <row r="19" spans="1:8" ht="20"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 customHeight="1" x14ac:dyDescent="0.25"/>
    <row r="28" spans="1:8" ht="20" customHeight="1" x14ac:dyDescent="0.25">
      <c r="D28" s="76" t="s">
        <v>132</v>
      </c>
      <c r="E28" s="77">
        <f>SUM(G19:G26)</f>
        <v>630.69999999999993</v>
      </c>
      <c r="F28" s="97" t="str">
        <f>$E$11</f>
        <v>t CH4</v>
      </c>
      <c r="G28" s="41"/>
    </row>
    <row r="29" spans="1:8" ht="20" customHeight="1" x14ac:dyDescent="0.25"/>
    <row r="30" spans="1:8" ht="20"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 customHeight="1" x14ac:dyDescent="0.25"/>
    <row r="33" spans="4:6" ht="20" customHeight="1" x14ac:dyDescent="0.25">
      <c r="D33" s="41" t="s">
        <v>135</v>
      </c>
      <c r="E33" s="41" cm="1">
        <f t="array" ref="E33">Common_Equations.Common_ConvertCH4ToCO2e(G30,G31)</f>
        <v>17659.599999999999</v>
      </c>
      <c r="F33" s="78" t="str" cm="1">
        <f t="array" ref="F33">Common_Equations.Common_ConvertN2OToCO2e_Unit()</f>
        <v>t CO2e</v>
      </c>
    </row>
    <row r="34" spans="4:6" ht="20" customHeight="1" x14ac:dyDescent="0.25"/>
    <row r="35" spans="4:6" ht="20" customHeight="1" x14ac:dyDescent="0.25"/>
    <row r="36" spans="4:6" ht="20" customHeight="1" x14ac:dyDescent="0.25"/>
    <row r="37" spans="4:6" ht="20" customHeight="1" x14ac:dyDescent="0.25"/>
    <row r="38" spans="4:6" ht="20" customHeight="1" x14ac:dyDescent="0.25"/>
    <row r="39" spans="4:6" ht="20" customHeight="1" x14ac:dyDescent="0.25"/>
    <row r="40" spans="4:6" ht="20" customHeight="1" x14ac:dyDescent="0.25"/>
    <row r="41" spans="4:6" ht="20" customHeight="1" x14ac:dyDescent="0.25"/>
    <row r="42" spans="4:6" ht="20" customHeight="1" x14ac:dyDescent="0.25"/>
    <row r="43" spans="4:6" ht="20" customHeight="1" x14ac:dyDescent="0.25"/>
    <row r="44" spans="4:6" ht="20" customHeight="1" x14ac:dyDescent="0.25"/>
    <row r="45" spans="4:6" ht="20" customHeight="1" x14ac:dyDescent="0.25"/>
    <row r="46" spans="4:6" ht="20" customHeight="1" x14ac:dyDescent="0.25"/>
    <row r="47" spans="4:6" ht="20" customHeight="1" x14ac:dyDescent="0.25"/>
    <row r="48" spans="4:6"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M3" s="4"/>
      <c r="N3" s="4"/>
      <c r="O3" s="4"/>
      <c r="P3" s="4"/>
      <c r="Q3" s="4"/>
      <c r="R3" s="4"/>
      <c r="S3" s="4"/>
      <c r="T3" s="4"/>
      <c r="U3" s="4"/>
    </row>
    <row r="4" spans="1:21" ht="20" customHeight="1" x14ac:dyDescent="0.25">
      <c r="A4" s="17" t="str">
        <f>HYPERLINK("#'Overview'!A1", "Overview")</f>
        <v>Overview</v>
      </c>
      <c r="M4" s="1"/>
    </row>
    <row r="5" spans="1:21" ht="20"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 customHeight="1" x14ac:dyDescent="0.25">
      <c r="D6" s="5" t="str" cm="1">
        <f t="array" ref="D6">SourceData_OtherLivestock.SourceData_OtherLivestock_EntericFermentationEmissionFactor_Source()</f>
        <v>VEERG 2026: Table A.1.5.1</v>
      </c>
      <c r="M6" s="1"/>
    </row>
    <row r="7" spans="1:21" ht="20" customHeight="1" x14ac:dyDescent="0.25">
      <c r="D7" s="1" t="str" cm="1">
        <f t="array" ref="D7">SourceData_OtherLivestock.SourceData_OtherLivestock_EntericFermentationEmissionFactor_Variable()</f>
        <v>Mj</v>
      </c>
      <c r="M7" s="1"/>
    </row>
    <row r="8" spans="1:21" ht="20" customHeight="1" x14ac:dyDescent="0.25">
      <c r="A8" s="19" t="s">
        <v>0</v>
      </c>
      <c r="D8" s="48" t="str" cm="1">
        <f t="array" ref="D8">SourceData_OtherLivestock.SourceData_OtherLivestock_EntericFermentationEmissionFactor_Unit()</f>
        <v>kg CH4 / head / year</v>
      </c>
      <c r="M8" s="1"/>
    </row>
    <row r="9" spans="1:21" ht="20" customHeight="1" x14ac:dyDescent="0.25">
      <c r="A9" s="17" t="str">
        <f>HYPERLINK("#'Input - Site'!A1", "Site")</f>
        <v>Site</v>
      </c>
      <c r="D9" s="34" t="s">
        <v>98</v>
      </c>
      <c r="E9" s="34" t="s">
        <v>99</v>
      </c>
      <c r="M9" s="1"/>
    </row>
    <row r="10" spans="1:21" ht="20"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 customHeight="1" x14ac:dyDescent="0.25">
      <c r="A18" s="55" t="str">
        <f>HYPERLINK("#'Constants - Other Livestock'!A1", "Constants - Other Livestock")</f>
        <v>Constants - Other Livestock</v>
      </c>
      <c r="M18" s="1"/>
    </row>
    <row r="19" spans="1:13" ht="20" customHeight="1" x14ac:dyDescent="0.25">
      <c r="A19" s="17" t="str">
        <f>HYPERLINK("#'Constants - Common'!A1", "Constants - Common")</f>
        <v>Constants - Common</v>
      </c>
      <c r="M19" s="1"/>
    </row>
    <row r="20" spans="1:13" ht="20"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 customHeight="1" x14ac:dyDescent="0.25">
      <c r="D22" s="1" t="str" cm="1">
        <f t="array" ref="D22">SourceData_OtherLivestock.SourceData_OtherLivestock_VolatileSolidsProduced_Variable()</f>
        <v>VSj</v>
      </c>
      <c r="M22" s="1"/>
    </row>
    <row r="23" spans="1:13" ht="20" customHeight="1" x14ac:dyDescent="0.25">
      <c r="D23" s="48" t="str" cm="1">
        <f t="array" ref="D23">SourceData_OtherLivestock.SourceData_OtherLivestock_VolatileSolidsProduced_Unit()</f>
        <v>kg VS / head / day</v>
      </c>
      <c r="M23" s="1"/>
    </row>
    <row r="24" spans="1:13" ht="20" customHeight="1" x14ac:dyDescent="0.25">
      <c r="D24" s="34" t="s">
        <v>98</v>
      </c>
      <c r="E24" s="34" t="s">
        <v>101</v>
      </c>
      <c r="M24" s="1"/>
    </row>
    <row r="25" spans="1:13" ht="20"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 customHeight="1" x14ac:dyDescent="0.25">
      <c r="M33" s="1"/>
    </row>
    <row r="34" spans="4:13" ht="20" customHeight="1" x14ac:dyDescent="0.25">
      <c r="M34" s="1"/>
    </row>
    <row r="35" spans="4:13" ht="20" customHeight="1" x14ac:dyDescent="0.25">
      <c r="D35" s="6" t="str" cm="1">
        <f t="array" ref="D35">SourceData_OtherLivestock.SourceData_OtherLivestock_NitrogenExcreted_Title()</f>
        <v>Other Livestock - Nitrogen excreted per livestock type</v>
      </c>
      <c r="M35" s="1"/>
    </row>
    <row r="36" spans="4:13" ht="20" customHeight="1" x14ac:dyDescent="0.25">
      <c r="D36" s="5" t="str" cm="1">
        <f t="array" ref="D36">SourceData_OtherLivestock.SourceData_OtherLivestock_NitrogenExcreted_Source()</f>
        <v>VEERG 2026: Table A.1.5.3</v>
      </c>
      <c r="M36" s="1"/>
    </row>
    <row r="37" spans="4:13" ht="20" customHeight="1" x14ac:dyDescent="0.25">
      <c r="D37" s="1" t="str" cm="1">
        <f t="array" ref="D37">SourceData_OtherLivestock.SourceData_OtherLivestock_NitrogenExcreted_Variable()</f>
        <v>NEj</v>
      </c>
      <c r="M37" s="1"/>
    </row>
    <row r="38" spans="4:13" ht="20" customHeight="1" x14ac:dyDescent="0.25">
      <c r="D38" s="48" t="str" cm="1">
        <f t="array" ref="D38">SourceData_OtherLivestock.SourceData_OtherLivestock_NitrogenExcreted_Unit()</f>
        <v>kg N2O / head / year</v>
      </c>
      <c r="M38" s="1"/>
    </row>
    <row r="39" spans="4:13" ht="20" customHeight="1" x14ac:dyDescent="0.25">
      <c r="D39" s="34" t="s">
        <v>98</v>
      </c>
      <c r="E39" s="34" t="s">
        <v>100</v>
      </c>
      <c r="M39" s="1"/>
    </row>
    <row r="40" spans="4:13" ht="20"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 customHeight="1" x14ac:dyDescent="0.25">
      <c r="M48" s="1"/>
    </row>
    <row r="49" spans="4:13" ht="20" customHeight="1" x14ac:dyDescent="0.25">
      <c r="M49" s="1"/>
    </row>
    <row r="50" spans="4:13" ht="20" customHeight="1" x14ac:dyDescent="0.25">
      <c r="D50" s="6" t="str" cm="1">
        <f t="array" ref="D50">SourceData_OtherLivestock.SourceData_OtherLivestock_AverageLiveweight_Title()</f>
        <v>Other Livestock - Average Liveweights</v>
      </c>
      <c r="M50" s="1"/>
    </row>
    <row r="51" spans="4:13" ht="20" customHeight="1" x14ac:dyDescent="0.25">
      <c r="D51" s="5" t="str" cm="1">
        <f t="array" ref="D51">SourceData_OtherLivestock.SourceData_OtherLivestock_AverageLiveweight_Source()</f>
        <v>VEERG 2026: Table A.1.5.4</v>
      </c>
      <c r="M51" s="1"/>
    </row>
    <row r="52" spans="4:13" ht="20" customHeight="1" x14ac:dyDescent="0.25">
      <c r="D52" s="1" t="str" cm="1">
        <f t="array" ref="D52">SourceData_OtherLivestock.SourceData_OtherLivestock_AverageLiveweight_Variable()</f>
        <v>Wco</v>
      </c>
      <c r="M52" s="1"/>
    </row>
    <row r="53" spans="4:13" ht="20" customHeight="1" x14ac:dyDescent="0.25">
      <c r="D53" s="48" t="str" cm="1">
        <f t="array" ref="D53">SourceData_OtherLivestock.SourceData_OtherLivestock_AverageLiveweight_Unit()</f>
        <v>kg</v>
      </c>
      <c r="M53" s="1"/>
    </row>
    <row r="54" spans="4:13" ht="20" customHeight="1" x14ac:dyDescent="0.25">
      <c r="D54" s="34" t="s">
        <v>98</v>
      </c>
      <c r="E54" s="34" t="s">
        <v>102</v>
      </c>
      <c r="F54" s="34" t="s">
        <v>103</v>
      </c>
      <c r="M54" s="1"/>
    </row>
    <row r="55" spans="4:13" ht="20"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 customHeight="1" x14ac:dyDescent="0.25">
      <c r="M65" s="1"/>
    </row>
    <row r="66" spans="4:13" ht="20" customHeight="1" x14ac:dyDescent="0.25">
      <c r="M66" s="1"/>
    </row>
    <row r="67" spans="4:13" ht="20" customHeight="1" x14ac:dyDescent="0.25">
      <c r="D67" s="6" t="str" cm="1">
        <f t="array" ref="D67">SourceData_OtherLivestock.SourceData_OtherLivestock_FractionWasteInMMS_Title()</f>
        <v>Other Livestock - Fraction of waste in each manure management system</v>
      </c>
      <c r="M67" s="1"/>
    </row>
    <row r="68" spans="4:13" ht="20" customHeight="1" x14ac:dyDescent="0.25">
      <c r="D68" s="5" t="str" cm="1">
        <f t="array" ref="D68">SourceData_OtherLivestock.SourceData_OtherLivestock_FractionWasteInMMS_Source()</f>
        <v>VEERG 2026: Table A.1.5.5</v>
      </c>
      <c r="M68" s="1"/>
    </row>
    <row r="69" spans="4:13" ht="20" customHeight="1" x14ac:dyDescent="0.25">
      <c r="D69" s="1" t="str" cm="1">
        <f t="array" ref="D69">SourceData_OtherLivestock.SourceData_OtherLivestock_FractionWasteInMMS_Variable()</f>
        <v>MMSm</v>
      </c>
      <c r="M69" s="1"/>
    </row>
    <row r="70" spans="4:13" ht="20" customHeight="1" x14ac:dyDescent="0.25">
      <c r="D70" s="48" t="str" cm="1">
        <f t="array" ref="D70">SourceData_OtherLivestock.SourceData_OtherLivestock_FractionWasteInMMS_Unit()</f>
        <v>fraction</v>
      </c>
      <c r="M70" s="1"/>
    </row>
    <row r="71" spans="4:13" ht="20" customHeight="1" x14ac:dyDescent="0.25">
      <c r="D71" s="34" t="s">
        <v>98</v>
      </c>
      <c r="E71" s="34" t="s">
        <v>92</v>
      </c>
      <c r="F71" s="45" t="s">
        <v>104</v>
      </c>
      <c r="M71" s="1"/>
    </row>
    <row r="72" spans="4:13" ht="20"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 customHeight="1" x14ac:dyDescent="0.25">
      <c r="M80" s="1"/>
    </row>
    <row r="81" spans="4:13" ht="20" customHeight="1" x14ac:dyDescent="0.25">
      <c r="M81" s="1"/>
    </row>
    <row r="82" spans="4:13" ht="20" customHeight="1" x14ac:dyDescent="0.25">
      <c r="D82" s="6" t="str" cm="1">
        <f t="array" ref="D82">SourceData_OtherLivestock.SourceData_OtherLivestock_MethaneConversionFactor_Title()</f>
        <v>Other Livestock - Methane conversion factor per region</v>
      </c>
      <c r="M82" s="1"/>
    </row>
    <row r="83" spans="4:13" ht="20" customHeight="1" x14ac:dyDescent="0.25">
      <c r="D83" s="5" t="str" cm="1">
        <f t="array" ref="D83">SourceData_OtherLivestock.SourceData_OtherLivestock_MethaneConversionFactor_Source()</f>
        <v>VEERG 2026: Table A.1.5.6</v>
      </c>
      <c r="M83" s="1"/>
    </row>
    <row r="84" spans="4:13" ht="20" customHeight="1" x14ac:dyDescent="0.25">
      <c r="D84" s="1" t="str" cm="1">
        <f t="array" ref="D84">SourceData_OtherLivestock.SourceData_OtherLivestock_MethaneConversionFactor_Variable()</f>
        <v>MCFim</v>
      </c>
      <c r="M84" s="1"/>
    </row>
    <row r="85" spans="4:13" ht="20" customHeight="1" x14ac:dyDescent="0.25">
      <c r="D85" s="48" t="str" cm="1">
        <f t="array" ref="D85">SourceData_OtherLivestock.SourceData_OtherLivestock_MethaneConversionFactor_Unit()</f>
        <v>fraction</v>
      </c>
      <c r="M85" s="1"/>
    </row>
    <row r="86" spans="4:13" ht="20" customHeight="1" x14ac:dyDescent="0.25">
      <c r="D86" s="34" t="s">
        <v>98</v>
      </c>
      <c r="E86" s="34" t="s">
        <v>92</v>
      </c>
      <c r="F86" s="45" t="s">
        <v>104</v>
      </c>
      <c r="M86" s="1"/>
    </row>
    <row r="87" spans="4:13" ht="20"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 customHeight="1" x14ac:dyDescent="0.25">
      <c r="M95" s="1"/>
    </row>
    <row r="96" spans="4:13" ht="20" customHeight="1" x14ac:dyDescent="0.25">
      <c r="M96" s="1"/>
    </row>
    <row r="97" spans="13:13" ht="20" customHeight="1" x14ac:dyDescent="0.25">
      <c r="M97" s="1"/>
    </row>
    <row r="98" spans="13:13" ht="20" customHeight="1" x14ac:dyDescent="0.25">
      <c r="M98" s="1"/>
    </row>
    <row r="99" spans="13:13" ht="20" customHeight="1" x14ac:dyDescent="0.25">
      <c r="M99" s="1"/>
    </row>
    <row r="100" spans="13:13" ht="20" customHeight="1" x14ac:dyDescent="0.25">
      <c r="M100" s="1"/>
    </row>
    <row r="101" spans="13:13" ht="20" customHeight="1" x14ac:dyDescent="0.25">
      <c r="M101" s="1"/>
    </row>
    <row r="102" spans="13:13" ht="20" customHeight="1" x14ac:dyDescent="0.25">
      <c r="M102" s="1"/>
    </row>
    <row r="103" spans="13:13" ht="20" customHeight="1" x14ac:dyDescent="0.25">
      <c r="M103" s="1"/>
    </row>
    <row r="104" spans="13:13" ht="20" customHeight="1" x14ac:dyDescent="0.25">
      <c r="M104" s="1"/>
    </row>
    <row r="105" spans="13:13" ht="20" customHeight="1" x14ac:dyDescent="0.25">
      <c r="M105" s="1"/>
    </row>
    <row r="106" spans="13:13" ht="20" customHeight="1" x14ac:dyDescent="0.25">
      <c r="M106" s="1"/>
    </row>
    <row r="107" spans="13:13" ht="20" customHeight="1" x14ac:dyDescent="0.25">
      <c r="M107" s="1"/>
    </row>
    <row r="108" spans="13:13" ht="20" customHeight="1" x14ac:dyDescent="0.25">
      <c r="M108" s="1"/>
    </row>
    <row r="109" spans="13:13" ht="20" customHeight="1" x14ac:dyDescent="0.25">
      <c r="M109" s="1"/>
    </row>
    <row r="110" spans="13:13" ht="20" customHeight="1" x14ac:dyDescent="0.25">
      <c r="M110" s="1"/>
    </row>
    <row r="111" spans="13:13" ht="20" customHeight="1" x14ac:dyDescent="0.25">
      <c r="M111" s="1"/>
    </row>
    <row r="112" spans="13:13" ht="20" customHeight="1" x14ac:dyDescent="0.25">
      <c r="M112" s="1"/>
    </row>
    <row r="113" spans="13:22" ht="20" customHeight="1" x14ac:dyDescent="0.25">
      <c r="M113" s="1"/>
    </row>
    <row r="114" spans="13:22" ht="20" customHeight="1" x14ac:dyDescent="0.25">
      <c r="M114" s="1"/>
    </row>
    <row r="115" spans="13:22" ht="20" customHeight="1" x14ac:dyDescent="0.25">
      <c r="M115" s="1"/>
      <c r="V115" s="1"/>
    </row>
    <row r="116" spans="13:22" ht="20" customHeight="1" x14ac:dyDescent="0.25">
      <c r="M116" s="1"/>
      <c r="V116" s="1"/>
    </row>
    <row r="117" spans="13:22" ht="20" customHeight="1" x14ac:dyDescent="0.25">
      <c r="M117" s="1"/>
      <c r="V117" s="1"/>
    </row>
    <row r="118" spans="13:22" ht="20" customHeight="1" x14ac:dyDescent="0.25">
      <c r="M118" s="1"/>
    </row>
    <row r="119" spans="13:22" ht="20" customHeight="1" x14ac:dyDescent="0.25">
      <c r="M119" s="1"/>
    </row>
    <row r="120" spans="13:22" ht="20" customHeight="1" x14ac:dyDescent="0.25">
      <c r="M120" s="1"/>
    </row>
    <row r="121" spans="13:22" ht="20" customHeight="1" x14ac:dyDescent="0.25">
      <c r="M121" s="1"/>
    </row>
    <row r="122" spans="13:22" ht="20" customHeight="1" x14ac:dyDescent="0.25">
      <c r="M122" s="1"/>
    </row>
    <row r="123" spans="13:22" ht="20" customHeight="1" x14ac:dyDescent="0.25">
      <c r="M123" s="1"/>
    </row>
    <row r="124" spans="13:22" ht="20" customHeight="1" x14ac:dyDescent="0.25">
      <c r="M124" s="21"/>
    </row>
    <row r="125" spans="13:22" ht="20" customHeight="1" x14ac:dyDescent="0.25">
      <c r="M125" s="21"/>
    </row>
    <row r="126" spans="13:22" ht="20" customHeight="1" x14ac:dyDescent="0.25">
      <c r="M126" s="21"/>
    </row>
    <row r="127" spans="13:22" ht="20" customHeight="1" x14ac:dyDescent="0.25">
      <c r="M127" s="21"/>
    </row>
    <row r="128" spans="13:22" ht="20" customHeight="1" x14ac:dyDescent="0.25">
      <c r="M128" s="21"/>
    </row>
    <row r="129" spans="13:13" ht="20" customHeight="1" x14ac:dyDescent="0.25">
      <c r="M129" s="21"/>
    </row>
    <row r="130" spans="13:13" ht="20" customHeight="1" x14ac:dyDescent="0.25">
      <c r="M130" s="21"/>
    </row>
    <row r="131" spans="13:13" ht="20" customHeight="1" x14ac:dyDescent="0.25">
      <c r="M131" s="21"/>
    </row>
    <row r="132" spans="13:13" ht="20" customHeight="1" x14ac:dyDescent="0.25">
      <c r="M132" s="21"/>
    </row>
    <row r="133" spans="13:13" ht="20" customHeight="1" x14ac:dyDescent="0.25">
      <c r="M133" s="21"/>
    </row>
    <row r="134" spans="13:13" ht="20" customHeight="1" x14ac:dyDescent="0.25">
      <c r="M134" s="21"/>
    </row>
    <row r="135" spans="13:13" ht="20" customHeight="1" x14ac:dyDescent="0.25">
      <c r="M135" s="21"/>
    </row>
    <row r="136" spans="13:13" ht="20" customHeight="1" x14ac:dyDescent="0.25">
      <c r="M136" s="21"/>
    </row>
    <row r="137" spans="13:13" ht="20" customHeight="1" x14ac:dyDescent="0.25">
      <c r="M137" s="21"/>
    </row>
    <row r="138" spans="13:13" ht="20" customHeight="1" x14ac:dyDescent="0.25">
      <c r="M138" s="21"/>
    </row>
    <row r="139" spans="13:13" ht="20" customHeight="1" x14ac:dyDescent="0.25">
      <c r="M139" s="21"/>
    </row>
    <row r="140" spans="13:13" ht="20" customHeight="1" x14ac:dyDescent="0.25">
      <c r="M140" s="21"/>
    </row>
    <row r="141" spans="13:13" ht="20" customHeight="1" x14ac:dyDescent="0.25">
      <c r="M141" s="21"/>
    </row>
    <row r="142" spans="13:13" ht="20" customHeight="1" x14ac:dyDescent="0.25">
      <c r="M142" s="21"/>
    </row>
    <row r="143" spans="13:13" ht="20" customHeight="1" x14ac:dyDescent="0.25">
      <c r="M143" s="21"/>
    </row>
    <row r="144" spans="13:13" ht="20" customHeight="1" x14ac:dyDescent="0.25">
      <c r="M144" s="21"/>
    </row>
    <row r="145" spans="13:13" ht="20" customHeight="1" x14ac:dyDescent="0.25">
      <c r="M145" s="21"/>
    </row>
    <row r="146" spans="13:13" ht="20" customHeight="1" x14ac:dyDescent="0.25">
      <c r="M146" s="21"/>
    </row>
    <row r="147" spans="13:13" ht="20" customHeight="1" x14ac:dyDescent="0.25">
      <c r="M147" s="21"/>
    </row>
    <row r="148" spans="13:13" ht="20" customHeight="1" x14ac:dyDescent="0.25">
      <c r="M148" s="21"/>
    </row>
    <row r="149" spans="13:13" ht="20" customHeight="1" x14ac:dyDescent="0.25">
      <c r="M149" s="21"/>
    </row>
    <row r="150" spans="13:13" ht="20" customHeight="1" x14ac:dyDescent="0.25">
      <c r="M150" s="21"/>
    </row>
    <row r="151" spans="13:13" ht="20" customHeight="1" x14ac:dyDescent="0.25">
      <c r="M151" s="21"/>
    </row>
    <row r="152" spans="13:13" ht="20" customHeight="1" x14ac:dyDescent="0.25">
      <c r="M152" s="21"/>
    </row>
    <row r="153" spans="13:13" ht="20" customHeight="1" x14ac:dyDescent="0.25">
      <c r="M153" s="21"/>
    </row>
    <row r="154" spans="13:13" ht="20" customHeight="1" x14ac:dyDescent="0.25">
      <c r="M154" s="21"/>
    </row>
    <row r="155" spans="13:13" ht="20" customHeight="1" x14ac:dyDescent="0.25">
      <c r="M155" s="21"/>
    </row>
    <row r="156" spans="13:13" ht="20" customHeight="1" x14ac:dyDescent="0.25">
      <c r="M156" s="21"/>
    </row>
    <row r="157" spans="13:13" ht="20" customHeight="1" x14ac:dyDescent="0.25">
      <c r="M157" s="21"/>
    </row>
    <row r="158" spans="13:13" ht="20" customHeight="1" x14ac:dyDescent="0.25">
      <c r="M158" s="21"/>
    </row>
    <row r="159" spans="13:13" ht="20" customHeight="1" x14ac:dyDescent="0.25">
      <c r="M159" s="21"/>
    </row>
    <row r="160" spans="13:13" ht="20" customHeight="1" x14ac:dyDescent="0.25">
      <c r="M160" s="21"/>
    </row>
    <row r="161" spans="13:13" ht="20" customHeight="1" x14ac:dyDescent="0.25">
      <c r="M161" s="21"/>
    </row>
    <row r="162" spans="13:13" ht="20" customHeight="1" x14ac:dyDescent="0.25">
      <c r="M162" s="21"/>
    </row>
    <row r="163" spans="13:13" ht="20" customHeight="1" x14ac:dyDescent="0.25">
      <c r="M163" s="21"/>
    </row>
    <row r="164" spans="13:13" ht="20" customHeight="1" x14ac:dyDescent="0.25">
      <c r="M164" s="21"/>
    </row>
    <row r="165" spans="13:13" ht="20" customHeight="1" x14ac:dyDescent="0.25">
      <c r="M165" s="21"/>
    </row>
    <row r="166" spans="13:13" x14ac:dyDescent="0.25" ht="20" customHeight="1">
      <c r="M166" s="21"/>
    </row>
    <row r="167" spans="13:13" x14ac:dyDescent="0.25" ht="20" customHeight="1">
      <c r="M167" s="21"/>
    </row>
    <row r="168" spans="13:13" x14ac:dyDescent="0.25" ht="20" customHeight="1">
      <c r="M168" s="21"/>
    </row>
    <row r="169" spans="13:13" x14ac:dyDescent="0.25" ht="20" customHeight="1">
      <c r="M169" s="21"/>
    </row>
    <row r="170" spans="13:13" x14ac:dyDescent="0.25" ht="20" customHeight="1">
      <c r="M170" s="21"/>
    </row>
    <row r="171" spans="13:13" x14ac:dyDescent="0.25" ht="20" customHeight="1">
      <c r="M171" s="21"/>
    </row>
    <row r="172" spans="13:13" x14ac:dyDescent="0.25" ht="20" customHeight="1">
      <c r="M172" s="21"/>
    </row>
    <row r="173" spans="13:13" x14ac:dyDescent="0.25" ht="20" customHeight="1">
      <c r="M173" s="21"/>
    </row>
    <row r="174" spans="13:13" x14ac:dyDescent="0.25" ht="20" customHeight="1">
      <c r="M174" s="21"/>
    </row>
    <row r="175" spans="13:13" x14ac:dyDescent="0.25" ht="20" customHeight="1">
      <c r="M175" s="21"/>
    </row>
    <row r="176" spans="13:13" x14ac:dyDescent="0.25" ht="20" customHeight="1">
      <c r="M176" s="21"/>
    </row>
    <row r="177" spans="13:13" x14ac:dyDescent="0.25" ht="20" customHeight="1">
      <c r="M177" s="21"/>
    </row>
    <row r="178" spans="13:13" x14ac:dyDescent="0.25" ht="20" customHeight="1">
      <c r="M178" s="21"/>
    </row>
    <row r="179" spans="13:13" x14ac:dyDescent="0.25" ht="20" customHeight="1">
      <c r="M179" s="21"/>
    </row>
    <row r="180" spans="13:13" x14ac:dyDescent="0.25" ht="20" customHeight="1">
      <c r="M180" s="21"/>
    </row>
    <row r="181" spans="13:13" x14ac:dyDescent="0.25" ht="20" customHeight="1">
      <c r="M181" s="21"/>
    </row>
    <row r="182" spans="13:13" x14ac:dyDescent="0.25" ht="20" customHeight="1">
      <c r="M182" s="21"/>
    </row>
    <row r="183" spans="13:13" x14ac:dyDescent="0.25" ht="20" customHeight="1">
      <c r="M183" s="21"/>
    </row>
    <row r="184" spans="13:13" x14ac:dyDescent="0.25" ht="20" customHeight="1">
      <c r="M184" s="21"/>
    </row>
    <row r="185" spans="13:13" x14ac:dyDescent="0.25" ht="20" customHeight="1">
      <c r="M185" s="21"/>
    </row>
    <row r="186" spans="13:13" x14ac:dyDescent="0.25" ht="20" customHeight="1">
      <c r="M186" s="21"/>
    </row>
    <row r="187" spans="13:13" x14ac:dyDescent="0.25" ht="20" customHeight="1">
      <c r="M187" s="21"/>
    </row>
    <row r="188" spans="13:13" x14ac:dyDescent="0.25" ht="20" customHeight="1">
      <c r="M188" s="21"/>
    </row>
    <row r="189" spans="13:13" x14ac:dyDescent="0.25" ht="20" customHeight="1">
      <c r="M189" s="21"/>
    </row>
    <row r="190" spans="13:13" x14ac:dyDescent="0.25" ht="20" customHeight="1">
      <c r="M190" s="21"/>
    </row>
    <row r="191" spans="13:13" x14ac:dyDescent="0.25" ht="20" customHeight="1">
      <c r="M191" s="21"/>
    </row>
    <row r="192" spans="13:13" x14ac:dyDescent="0.25" ht="20" customHeight="1">
      <c r="M192" s="21"/>
    </row>
    <row r="193" spans="13:13" x14ac:dyDescent="0.25" ht="20" customHeight="1">
      <c r="M193" s="21"/>
    </row>
    <row r="194" spans="13:13" x14ac:dyDescent="0.25" ht="20" customHeight="1">
      <c r="M194" s="21"/>
    </row>
    <row r="195" spans="13:13" x14ac:dyDescent="0.25" ht="20" customHeight="1">
      <c r="M195" s="21"/>
    </row>
    <row r="196" spans="13:13" x14ac:dyDescent="0.25" ht="20" customHeight="1">
      <c r="M196" s="21"/>
    </row>
    <row r="197" spans="13:13" x14ac:dyDescent="0.25" ht="20" customHeight="1">
      <c r="M197" s="21"/>
    </row>
    <row r="198" spans="13:13" x14ac:dyDescent="0.25" ht="20" customHeight="1">
      <c r="M198" s="21"/>
    </row>
    <row r="199" spans="13:13" x14ac:dyDescent="0.25" ht="20" customHeight="1">
      <c r="M199" s="21"/>
    </row>
    <row r="200" spans="13:13" x14ac:dyDescent="0.25" ht="20" customHeight="1">
      <c r="M200" s="21"/>
    </row>
    <row r="201" spans="13:13" x14ac:dyDescent="0.25" ht="20" customHeight="1">
      <c r="M201" s="21"/>
    </row>
    <row r="202" spans="13:13" x14ac:dyDescent="0.25" ht="20" customHeight="1">
      <c r="M202" s="21"/>
    </row>
    <row r="203" spans="13:13" x14ac:dyDescent="0.25" ht="20" customHeight="1">
      <c r="M203" s="21"/>
    </row>
    <row r="204" spans="13:13" x14ac:dyDescent="0.25" ht="20" customHeight="1">
      <c r="M204" s="21"/>
    </row>
    <row r="205" spans="13:13" x14ac:dyDescent="0.25" ht="20" customHeight="1">
      <c r="M205" s="21"/>
    </row>
    <row r="206" spans="13:13" x14ac:dyDescent="0.25" ht="20" customHeight="1">
      <c r="M206" s="21"/>
    </row>
    <row r="207" spans="13:13" x14ac:dyDescent="0.25" ht="20" customHeight="1">
      <c r="M207" s="21"/>
    </row>
    <row r="208" spans="13:13" x14ac:dyDescent="0.25" ht="20" customHeight="1">
      <c r="M208" s="21"/>
    </row>
    <row r="209" spans="13:13" x14ac:dyDescent="0.25" ht="20" customHeight="1">
      <c r="M209" s="21"/>
    </row>
    <row r="210" spans="13:13" x14ac:dyDescent="0.25" ht="20" customHeight="1">
      <c r="M210" s="21"/>
    </row>
    <row r="211" spans="13:13" x14ac:dyDescent="0.25" ht="20" customHeight="1">
      <c r="M211" s="21"/>
    </row>
    <row r="212" spans="13:13" x14ac:dyDescent="0.25" ht="20" customHeight="1">
      <c r="M212" s="21"/>
    </row>
    <row r="213" spans="13:13" x14ac:dyDescent="0.25" ht="20" customHeight="1">
      <c r="M213" s="21"/>
    </row>
    <row r="214" spans="13:13" x14ac:dyDescent="0.25" ht="20" customHeight="1">
      <c r="M214" s="21"/>
    </row>
    <row r="215" spans="13:13" x14ac:dyDescent="0.25" ht="20" customHeight="1">
      <c r="M215" s="21"/>
    </row>
    <row r="216" spans="13:13" x14ac:dyDescent="0.25" ht="20" customHeight="1">
      <c r="M216" s="21"/>
    </row>
    <row r="217" spans="13:13" x14ac:dyDescent="0.25" ht="20" customHeight="1">
      <c r="M217" s="21"/>
    </row>
    <row r="218" spans="13:13" x14ac:dyDescent="0.25" ht="20" customHeight="1">
      <c r="M218" s="21"/>
    </row>
    <row r="219" spans="13:13" x14ac:dyDescent="0.25" ht="20" customHeight="1">
      <c r="M219" s="21"/>
    </row>
    <row r="220" spans="13:13" x14ac:dyDescent="0.25" ht="20" customHeight="1">
      <c r="M220" s="21"/>
    </row>
    <row r="221" spans="13:13" x14ac:dyDescent="0.25" ht="20" customHeight="1">
      <c r="M221" s="21"/>
    </row>
    <row r="222" spans="13:13" x14ac:dyDescent="0.25" ht="20" customHeight="1">
      <c r="M222" s="21"/>
    </row>
    <row r="223" spans="13:13" x14ac:dyDescent="0.25" ht="20" customHeight="1">
      <c r="M223" s="21"/>
    </row>
    <row r="224" spans="13:13" x14ac:dyDescent="0.25" ht="20" customHeight="1">
      <c r="M224" s="21"/>
    </row>
    <row r="225" spans="13:13" x14ac:dyDescent="0.25" ht="20" customHeight="1">
      <c r="M225" s="21"/>
    </row>
    <row r="226" spans="13:13" x14ac:dyDescent="0.25" ht="20" customHeight="1">
      <c r="M226" s="21"/>
    </row>
    <row r="227" spans="13:13" x14ac:dyDescent="0.25" ht="20" customHeight="1">
      <c r="M227" s="21"/>
    </row>
    <row r="228" spans="13:13" x14ac:dyDescent="0.25" ht="20" customHeight="1">
      <c r="M228" s="21"/>
    </row>
    <row r="229" spans="13:13" x14ac:dyDescent="0.25" ht="20" customHeight="1">
      <c r="M229" s="21"/>
    </row>
    <row r="230" spans="13:13" x14ac:dyDescent="0.25" ht="20" customHeight="1">
      <c r="M230" s="21"/>
    </row>
    <row r="231" spans="13:13" x14ac:dyDescent="0.25" ht="20" customHeight="1">
      <c r="M231" s="21"/>
    </row>
    <row r="232" spans="13:13" x14ac:dyDescent="0.25" ht="20" customHeight="1">
      <c r="M232" s="21"/>
    </row>
    <row r="233" spans="13:13" x14ac:dyDescent="0.25" ht="20" customHeight="1">
      <c r="M233" s="21"/>
    </row>
    <row r="234" spans="13:13" x14ac:dyDescent="0.25" ht="20" customHeight="1">
      <c r="M234" s="21"/>
    </row>
    <row r="235" spans="13:13" x14ac:dyDescent="0.25" ht="20" customHeight="1">
      <c r="M235" s="21"/>
    </row>
    <row r="236" spans="13:13" x14ac:dyDescent="0.25" ht="20" customHeight="1">
      <c r="M236" s="21"/>
    </row>
    <row r="237" spans="13:13" x14ac:dyDescent="0.25" ht="20" customHeight="1">
      <c r="M237" s="21"/>
    </row>
    <row r="238" spans="13:13" x14ac:dyDescent="0.25" ht="20" customHeight="1">
      <c r="M238" s="21"/>
    </row>
    <row r="239" spans="13:13" x14ac:dyDescent="0.25" ht="20" customHeight="1">
      <c r="M239" s="21"/>
    </row>
    <row r="240" spans="13:13" x14ac:dyDescent="0.25" ht="20" customHeight="1">
      <c r="M240" s="21"/>
    </row>
    <row r="241" spans="13:13" x14ac:dyDescent="0.25" ht="20" customHeight="1">
      <c r="M241" s="21"/>
    </row>
    <row r="242" spans="13:13" x14ac:dyDescent="0.25" ht="20" customHeight="1">
      <c r="M242" s="21"/>
    </row>
    <row r="243" spans="13:13" x14ac:dyDescent="0.25" ht="20" customHeight="1">
      <c r="M243" s="21"/>
    </row>
    <row r="244" spans="13:13" x14ac:dyDescent="0.25" ht="20" customHeight="1">
      <c r="M244" s="21"/>
    </row>
    <row r="245" spans="13:13" x14ac:dyDescent="0.25" ht="20" customHeight="1">
      <c r="M245" s="21"/>
    </row>
    <row r="246" spans="13:13" x14ac:dyDescent="0.25" ht="20" customHeight="1">
      <c r="M246" s="21"/>
    </row>
    <row r="247" spans="13:13" x14ac:dyDescent="0.25" ht="20" customHeight="1">
      <c r="M247" s="21"/>
    </row>
    <row r="248" spans="13:13" x14ac:dyDescent="0.25" ht="20" customHeight="1">
      <c r="M248" s="21"/>
    </row>
    <row r="249" spans="13:13" x14ac:dyDescent="0.25" ht="20" customHeight="1">
      <c r="M249" s="21"/>
    </row>
    <row r="250" spans="13:13" x14ac:dyDescent="0.25" ht="20" customHeight="1">
      <c r="M250" s="21"/>
    </row>
    <row r="251" spans="13:13" x14ac:dyDescent="0.25" ht="20" customHeight="1">
      <c r="M251" s="21"/>
    </row>
    <row r="252" spans="13:13" x14ac:dyDescent="0.25" ht="20" customHeight="1">
      <c r="M252" s="21"/>
    </row>
    <row r="253" spans="13:13" x14ac:dyDescent="0.25" ht="20" customHeight="1">
      <c r="M253" s="21"/>
    </row>
    <row r="254" spans="13:13" x14ac:dyDescent="0.25" ht="20" customHeight="1">
      <c r="M254" s="21"/>
    </row>
    <row r="255" spans="13:13" x14ac:dyDescent="0.25" ht="20" customHeight="1">
      <c r="M255" s="21"/>
    </row>
    <row r="256" spans="13:13" x14ac:dyDescent="0.25" ht="20" customHeight="1">
      <c r="M256" s="21"/>
    </row>
    <row r="257" spans="13:13" x14ac:dyDescent="0.25" ht="20" customHeight="1">
      <c r="M257" s="21"/>
    </row>
    <row r="258" spans="13:13" x14ac:dyDescent="0.25" ht="20" customHeight="1">
      <c r="M258" s="21"/>
    </row>
    <row r="259" spans="13:13" x14ac:dyDescent="0.25" ht="20" customHeight="1">
      <c r="M259" s="21"/>
    </row>
    <row r="260" spans="13:13" x14ac:dyDescent="0.25" ht="20" customHeight="1">
      <c r="M260" s="21"/>
    </row>
    <row r="261" spans="13:13" x14ac:dyDescent="0.25" ht="20" customHeight="1">
      <c r="M261" s="21"/>
    </row>
    <row r="262" spans="13:13" x14ac:dyDescent="0.25" ht="20" customHeight="1">
      <c r="M262" s="21"/>
    </row>
    <row r="263" spans="13:13" x14ac:dyDescent="0.25" ht="20" customHeight="1">
      <c r="M263" s="21"/>
    </row>
    <row r="264" spans="13:13" x14ac:dyDescent="0.25" ht="20" customHeight="1">
      <c r="M264" s="21"/>
    </row>
    <row r="265" spans="13:13" x14ac:dyDescent="0.25" ht="20" customHeight="1">
      <c r="M265" s="21"/>
    </row>
    <row r="266" spans="13:13" x14ac:dyDescent="0.25" ht="20" customHeight="1">
      <c r="M266" s="21"/>
    </row>
    <row r="267" spans="13:13" x14ac:dyDescent="0.25" ht="20" customHeight="1">
      <c r="M267" s="21"/>
    </row>
    <row r="268" spans="13:13" x14ac:dyDescent="0.25" ht="20" customHeight="1">
      <c r="M268" s="21"/>
    </row>
    <row r="269" spans="13:13" x14ac:dyDescent="0.25" ht="20" customHeight="1">
      <c r="M269" s="21"/>
    </row>
    <row r="270" spans="13:13" x14ac:dyDescent="0.25" ht="20" customHeight="1">
      <c r="M270" s="21"/>
    </row>
    <row r="271" spans="13:13" x14ac:dyDescent="0.25" ht="20" customHeight="1">
      <c r="M271" s="21"/>
    </row>
    <row r="272" spans="13:13" x14ac:dyDescent="0.25" ht="20" customHeight="1">
      <c r="M272" s="21"/>
    </row>
    <row r="273" spans="13:13" x14ac:dyDescent="0.25" ht="20" customHeight="1">
      <c r="M273" s="21"/>
    </row>
    <row r="274" spans="13:13" x14ac:dyDescent="0.25" ht="20" customHeight="1">
      <c r="M274" s="21"/>
    </row>
    <row r="275" spans="13:13" x14ac:dyDescent="0.25" ht="20" customHeight="1">
      <c r="M275" s="21"/>
    </row>
    <row r="276" spans="13:13" x14ac:dyDescent="0.25" ht="20" customHeight="1">
      <c r="M276" s="21"/>
    </row>
    <row r="277" spans="13:13" x14ac:dyDescent="0.25" ht="20" customHeight="1">
      <c r="M277" s="21"/>
    </row>
    <row r="278" spans="13:13" x14ac:dyDescent="0.25" ht="20" customHeight="1">
      <c r="M278" s="21"/>
    </row>
    <row r="279" spans="13:13" x14ac:dyDescent="0.25" ht="20" customHeight="1">
      <c r="M279" s="21"/>
    </row>
    <row r="280" spans="13:13" x14ac:dyDescent="0.25" ht="20" customHeight="1">
      <c r="M280" s="21"/>
    </row>
    <row r="281" spans="13:13" x14ac:dyDescent="0.25" ht="20" customHeight="1">
      <c r="M281" s="21"/>
    </row>
    <row r="282" spans="13:13" x14ac:dyDescent="0.25" ht="20" customHeight="1">
      <c r="M282" s="21"/>
    </row>
    <row r="283" spans="13:13" x14ac:dyDescent="0.25" ht="20" customHeight="1">
      <c r="M283" s="21"/>
    </row>
    <row r="284" spans="13:13" x14ac:dyDescent="0.25" ht="20" customHeight="1">
      <c r="M284" s="21"/>
    </row>
    <row r="285" spans="13:13" x14ac:dyDescent="0.25" ht="20" customHeight="1">
      <c r="M285" s="21"/>
    </row>
    <row r="286" spans="13:13" x14ac:dyDescent="0.25" ht="20" customHeight="1">
      <c r="M286" s="21"/>
    </row>
    <row r="287" spans="13:13" x14ac:dyDescent="0.25" ht="20" customHeight="1">
      <c r="M287" s="21"/>
    </row>
    <row r="288" spans="13:13" x14ac:dyDescent="0.25" ht="20" customHeight="1">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2EF11-8D19-4DD3-83AF-06D2DF259991}">
  <sheetPr>
    <tabColor theme="2" tint="-0.499984740745262"/>
  </sheetPr>
  <dimension ref="A1:BY297"/>
  <sheetViews>
    <sheetView showGridLines="0" topLeftCell="A239" zoomScaleNormal="100" workbookViewId="0">
      <selection activeCell="I279" sqref="I279"/>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04" t="s">
        <v>1</v>
      </c>
      <c r="D6" s="34" t="s">
        <v>9</v>
      </c>
      <c r="E6" s="34" t="s">
        <v>10</v>
      </c>
      <c r="F6" s="34" t="s">
        <v>11</v>
      </c>
    </row>
    <row r="7" spans="1:65" ht="20" customHeight="1" x14ac:dyDescent="0.25">
      <c r="A7" s="55"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4" t="s">
        <v>12</v>
      </c>
    </row>
    <row r="21" spans="1:4" ht="20" customHeight="1" x14ac:dyDescent="0.25">
      <c r="A21"/>
      <c r="D21" s="34" t="str" cm="1">
        <f t="array" ref="D21">Common_InputFunctions.Utility_DisplayArrayInTable(Common_SourceData.Common_SourceData_WASA4Areas_Data(), Table_WASA4Areas[[#Headers],[SA 4 Name]], 0)</f>
        <v>Bunbury</v>
      </c>
    </row>
    <row r="22" spans="1:4" ht="20" customHeight="1" x14ac:dyDescent="0.25">
      <c r="A22"/>
      <c r="D22" s="34" t="str" cm="1">
        <f t="array" ref="D22">Common_InputFunctions.Utility_DisplayArrayInTable(Common_SourceData.Common_SourceData_WASA4Areas_Data(), Table_WASA4Areas[[#Headers],[SA 4 Name]], 0)</f>
        <v>Mandurah</v>
      </c>
    </row>
    <row r="23" spans="1:4" ht="20" customHeight="1" x14ac:dyDescent="0.25">
      <c r="A23"/>
      <c r="D23" s="34" t="str" cm="1">
        <f t="array" ref="D23">Common_InputFunctions.Utility_DisplayArrayInTable(Common_SourceData.Common_SourceData_WASA4Areas_Data(), Table_WASA4Areas[[#Headers],[SA 4 Name]], 0)</f>
        <v>Perth - Inner</v>
      </c>
    </row>
    <row r="24" spans="1:4" ht="20" customHeight="1" x14ac:dyDescent="0.25">
      <c r="A24"/>
      <c r="D24" s="34" t="str" cm="1">
        <f t="array" ref="D24">Common_InputFunctions.Utility_DisplayArrayInTable(Common_SourceData.Common_SourceData_WASA4Areas_Data(), Table_WASA4Areas[[#Headers],[SA 4 Name]], 0)</f>
        <v>Perth - North East</v>
      </c>
    </row>
    <row r="25" spans="1:4" ht="20" customHeight="1" x14ac:dyDescent="0.25">
      <c r="A25"/>
      <c r="D25" s="34" t="str" cm="1">
        <f t="array" ref="D25">Common_InputFunctions.Utility_DisplayArrayInTable(Common_SourceData.Common_SourceData_WASA4Areas_Data(), Table_WASA4Areas[[#Headers],[SA 4 Name]], 0)</f>
        <v>Perth - North West</v>
      </c>
    </row>
    <row r="26" spans="1:4" ht="20" customHeight="1" x14ac:dyDescent="0.25">
      <c r="A26"/>
      <c r="D26" s="34" t="str" cm="1">
        <f t="array" ref="D26">Common_InputFunctions.Utility_DisplayArrayInTable(Common_SourceData.Common_SourceData_WASA4Areas_Data(), Table_WASA4Areas[[#Headers],[SA 4 Name]], 0)</f>
        <v>Perth - South East</v>
      </c>
    </row>
    <row r="27" spans="1:4" ht="20" customHeight="1" x14ac:dyDescent="0.25">
      <c r="A27"/>
      <c r="D27" s="34" t="str" cm="1">
        <f t="array" ref="D27">Common_InputFunctions.Utility_DisplayArrayInTable(Common_SourceData.Common_SourceData_WASA4Areas_Data(), Table_WASA4Areas[[#Headers],[SA 4 Name]], 0)</f>
        <v>Perth - South West</v>
      </c>
    </row>
    <row r="28" spans="1:4" ht="20" customHeight="1" x14ac:dyDescent="0.25">
      <c r="A28"/>
      <c r="D28" s="34" t="str" cm="1">
        <f t="array" ref="D28">Common_InputFunctions.Utility_DisplayArrayInTable(Common_SourceData.Common_SourceData_WASA4Areas_Data(), Table_WASA4Areas[[#Headers],[SA 4 Name]], 0)</f>
        <v>Western Australia - Wheat Belt</v>
      </c>
    </row>
    <row r="29" spans="1:4" ht="20" customHeight="1" x14ac:dyDescent="0.25">
      <c r="A29"/>
      <c r="D29" s="34" t="str" cm="1">
        <f t="array" ref="D29">Common_InputFunctions.Utility_DisplayArrayInTable(Common_SourceData.Common_SourceData_WASA4Areas_Data(), Table_WASA4Areas[[#Headers],[SA 4 Name]], 0)</f>
        <v>Western Australia - Outback (North)</v>
      </c>
    </row>
    <row r="30" spans="1:4" ht="20" customHeight="1" x14ac:dyDescent="0.25">
      <c r="A30"/>
      <c r="D30" s="34"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4" t="s">
        <v>14</v>
      </c>
      <c r="E36" s="34" t="s">
        <v>15</v>
      </c>
    </row>
    <row r="37" spans="1:8" ht="20"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4" t="s">
        <v>14</v>
      </c>
      <c r="E47" s="34" t="s">
        <v>17</v>
      </c>
      <c r="F47" s="34" t="s">
        <v>18</v>
      </c>
      <c r="G47" s="34" t="s">
        <v>19</v>
      </c>
      <c r="H47" s="34" t="s">
        <v>20</v>
      </c>
    </row>
    <row r="48" spans="1:8" ht="20"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49" t="str" cm="1">
        <f t="array" ref="D59:D61">"⚠️" &amp; Common_SourceData.Common_SourceData_WetAndDryZones_Variation()</f>
        <v>⚠️VARIATION OF SOURCE DATA:</v>
      </c>
    </row>
    <row r="60" spans="1:8" ht="20" customHeight="1" x14ac:dyDescent="0.25">
      <c r="A60"/>
      <c r="D60" s="49" t="str">
        <v>⚠️Added warm / cool temperate moist / dry - low frost and high temp classes to accommodate climate scenarios excluded by VEERG criteria.</v>
      </c>
    </row>
    <row r="61" spans="1:8" ht="20" customHeight="1" x14ac:dyDescent="0.25">
      <c r="A61"/>
      <c r="D61" s="49" t="str">
        <v>⚠️Fixed typo - Changed 'Fry' to 'Dry'.</v>
      </c>
    </row>
    <row r="62" spans="1:8" ht="20" customHeight="1" x14ac:dyDescent="0.25">
      <c r="A62"/>
    </row>
    <row r="63" spans="1:8" ht="20" customHeight="1" x14ac:dyDescent="0.25">
      <c r="A63"/>
      <c r="D63" s="34" t="s">
        <v>5</v>
      </c>
      <c r="E63" s="34" t="s">
        <v>34</v>
      </c>
    </row>
    <row r="64" spans="1:8" ht="20"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49" t="str" cm="1">
        <f t="array" ref="D83:D87">"⚠️" &amp; Common_SourceData.Common_SourceData_ClimateZones_Variation()</f>
        <v>⚠️VARIATION OF SOURCE DATA:</v>
      </c>
    </row>
    <row r="84" spans="1:20" ht="20" customHeight="1" x14ac:dyDescent="0.25">
      <c r="A84"/>
      <c r="D84" s="49" t="str">
        <v>⚠️Added warm / cool temperate moist / dry - low frost and high temp classes to accommodate climate scenarios excluded by VEERG criteria.</v>
      </c>
    </row>
    <row r="85" spans="1:20" ht="20" customHeight="1" x14ac:dyDescent="0.25">
      <c r="A85"/>
      <c r="D85" s="49" t="str">
        <v>⚠️Fixed typo in MAT value for warm temperate dry - changed 10 to 11.</v>
      </c>
    </row>
    <row r="86" spans="1:20" ht="20" customHeight="1" x14ac:dyDescent="0.25">
      <c r="A86"/>
      <c r="D86" s="49" t="str">
        <v>⚠️Added min and max columns for MAT, MAP, frost days per year, elevation, MAP:PET to calculate zones from real climate data.</v>
      </c>
    </row>
    <row r="87" spans="1:20" ht="20" customHeight="1" x14ac:dyDescent="0.25">
      <c r="A87"/>
      <c r="D87" s="49" t="str">
        <v>⚠️GAF accepts rainfall as a proxy for precipitation.</v>
      </c>
    </row>
    <row r="88" spans="1:20" ht="20" customHeight="1" x14ac:dyDescent="0.25">
      <c r="A88"/>
    </row>
    <row r="89" spans="1:20" ht="20"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 customHeight="1" x14ac:dyDescent="0.25">
      <c r="A98"/>
    </row>
    <row r="99" spans="1:20" ht="20" customHeight="1" x14ac:dyDescent="0.25">
      <c r="A99"/>
      <c r="D99" s="48" t="str" cm="1">
        <f t="array" ref="D99:D102">Common_SourceData.Common_SourceData_ClimateZones_Appendices()</f>
        <v>Note:</v>
      </c>
    </row>
    <row r="100" spans="1:20" ht="20" customHeight="1" x14ac:dyDescent="0.25">
      <c r="A100"/>
      <c r="D100" s="48" t="str">
        <v>MAT = mean annual temperature</v>
      </c>
    </row>
    <row r="101" spans="1:20" ht="20" customHeight="1" x14ac:dyDescent="0.25">
      <c r="A101"/>
      <c r="D101" s="48" t="str">
        <v>MAP = mean annual precipitation</v>
      </c>
    </row>
    <row r="102" spans="1:20" ht="20" customHeight="1" x14ac:dyDescent="0.25">
      <c r="A102"/>
      <c r="D102" s="48" t="str">
        <v>PET = potential evapotranspiration</v>
      </c>
    </row>
    <row r="103" spans="1:20" ht="20" customHeight="1" x14ac:dyDescent="0.25">
      <c r="A103"/>
      <c r="D103" s="48"/>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4" t="s">
        <v>39</v>
      </c>
      <c r="E109" s="34" t="s">
        <v>22</v>
      </c>
      <c r="F109" s="34" t="s">
        <v>40</v>
      </c>
      <c r="G109" s="34" t="s">
        <v>41</v>
      </c>
    </row>
    <row r="110" spans="1:20" ht="20"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4" t="s">
        <v>42</v>
      </c>
      <c r="E119" s="34" t="s">
        <v>43</v>
      </c>
      <c r="F119" s="34" t="s">
        <v>29</v>
      </c>
      <c r="G119" s="34" t="s">
        <v>30</v>
      </c>
      <c r="BN119" s="7"/>
    </row>
    <row r="120" spans="1:66" ht="20"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4" t="s">
        <v>44</v>
      </c>
      <c r="E127" s="34" t="s">
        <v>45</v>
      </c>
    </row>
    <row r="128" spans="1:66" ht="20"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1"/>
    </row>
    <row r="133" spans="1:77" ht="20" customHeight="1" x14ac:dyDescent="0.25">
      <c r="A133"/>
      <c r="D133" s="5" t="str" cm="1">
        <f t="array" ref="D133">Common_SourceData.Common_SourceData_FracWET_Source()</f>
        <v>VEERG 2026:5.5.2.3 Constant Parameters</v>
      </c>
      <c r="E133" s="21"/>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4" t="s">
        <v>70</v>
      </c>
      <c r="E142" s="34" t="s">
        <v>56</v>
      </c>
      <c r="BN142" s="7"/>
    </row>
    <row r="143" spans="1:77" ht="20"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4" t="s">
        <v>46</v>
      </c>
      <c r="E153" s="34" t="s">
        <v>47</v>
      </c>
      <c r="BC153" s="3"/>
      <c r="BD153" s="3"/>
      <c r="BE153" s="3"/>
      <c r="BF153" s="3"/>
      <c r="BG153" s="3"/>
      <c r="BH153" s="3"/>
      <c r="BI153" s="3"/>
      <c r="BJ153" s="3"/>
      <c r="BK153" s="3"/>
      <c r="BL153" s="3"/>
      <c r="BM153" s="3"/>
    </row>
    <row r="154" spans="1:66" ht="20"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1"/>
    </row>
    <row r="162" spans="4:68" ht="20" customHeight="1" x14ac:dyDescent="0.25">
      <c r="D162" s="5" t="str" cm="1">
        <f t="array" ref="D162">Common_SourceData.Common_SourceData_FracLEACH_Source()</f>
        <v>VEERG 2026:5.5.2.3 Constant Parameters</v>
      </c>
      <c r="E162" s="21"/>
    </row>
    <row r="163" spans="4:68" ht="20" customHeight="1" x14ac:dyDescent="0.25">
      <c r="D163" s="5" t="str" cm="1">
        <f t="array" ref="D163">Common_SourceData.Common_SourceData_FracLEACH_NIRReference()</f>
        <v>National Inventory Report Volume 1: Leaching and runoff (3.D.b.2)</v>
      </c>
      <c r="E163" s="21"/>
    </row>
    <row r="164" spans="4:68" ht="20" customHeight="1" x14ac:dyDescent="0.25">
      <c r="D164" s="21" t="str" cm="1">
        <f t="array" ref="D164:E164">Common_SourceData.Common_SourceData_FracLEACH_Data()</f>
        <v>FracLEACH</v>
      </c>
      <c r="E164" s="21">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48" t="str" cm="1">
        <f t="array" ref="D180">Common_SourceData.Common_SourceData_EFN2O_Unit()</f>
        <v>(kg N2O-N / kg N</v>
      </c>
    </row>
    <row r="181" spans="4:68" ht="20" customHeight="1" x14ac:dyDescent="0.25">
      <c r="D181" s="49" t="str" cm="1">
        <f t="array" ref="D181:D185">Common_SourceData.Common_SourceData_EFN2O_Variation()</f>
        <v>VARIATION OF SOURCE DATA:</v>
      </c>
    </row>
    <row r="182" spans="4:68" ht="20" customHeight="1" x14ac:dyDescent="0.25">
      <c r="D182" s="49" t="str">
        <v>Removed duplicate 'Aquaculture' row.</v>
      </c>
    </row>
    <row r="183" spans="4:68" ht="20" customHeight="1" x14ac:dyDescent="0.25">
      <c r="D183" s="49" t="str">
        <v>Removed asterisks to aid lookup.</v>
      </c>
    </row>
    <row r="184" spans="4:68" ht="20" customHeight="1" x14ac:dyDescent="0.25">
      <c r="D184" s="49" t="str">
        <v>Added 'production system only', 'rainfall zone' and 'irrigation method' columns to aid lookup.</v>
      </c>
    </row>
    <row r="185" spans="4:68" ht="20" customHeight="1" x14ac:dyDescent="0.25">
      <c r="D185" s="49" t="str">
        <v>Duplicated 'non-irrigated pasture' row with same EF for low and high rainfall zones to aid lookup.</v>
      </c>
    </row>
    <row r="186" spans="4:68" ht="20" customHeight="1" x14ac:dyDescent="0.25">
      <c r="D186" s="34" t="s">
        <v>63</v>
      </c>
      <c r="E186" s="34" t="s">
        <v>64</v>
      </c>
      <c r="F186" s="34" t="s">
        <v>65</v>
      </c>
      <c r="G186" s="34" t="s">
        <v>66</v>
      </c>
      <c r="H186" s="34" t="s">
        <v>21</v>
      </c>
    </row>
    <row r="187" spans="4:68" ht="20"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ht="20" customHeight="1">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ht="20" customHeight="1">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ht="20" customHeight="1">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49" t="str" cm="1">
        <f t="array" ref="D204">Common_SourceData.Common_SourceData_EFPastureRangeAndPaddock_Variation()</f>
        <v>VARIATION FROM SOURCE DATA: Changed 'Dry climate zones' to singular 'Dry climate zone' to aid lookup.</v>
      </c>
    </row>
    <row r="205" spans="4:8" x14ac:dyDescent="0.25" ht="20" customHeight="1">
      <c r="D205" s="48" t="str" cm="1">
        <f t="array" ref="D205">Common_SourceData.Common_SourceData_EFPastureRangeAndPaddock_Unit()</f>
        <v>kg N2O - N / kg N</v>
      </c>
    </row>
    <row r="206" spans="4:8" x14ac:dyDescent="0.25" ht="20" customHeight="1">
      <c r="D206" s="34" t="s">
        <v>5</v>
      </c>
      <c r="E206" s="34" t="s">
        <v>71</v>
      </c>
    </row>
    <row r="207" spans="4:8" x14ac:dyDescent="0.25" ht="20" customHeight="1">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4" t="s">
        <v>72</v>
      </c>
      <c r="E212" s="34" t="s">
        <v>73</v>
      </c>
    </row>
    <row r="213" spans="4:5" x14ac:dyDescent="0.25" ht="20" customHeight="1">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ht="20" customHeight="1">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48" t="str" cm="1">
        <f t="array" ref="D256">Common_SourceData.Common_SourceData_EFOrganicFertiliserAndCropResidues_Unit()</f>
        <v>kg N2O - N / kg N</v>
      </c>
    </row>
    <row r="257" spans="4:6" x14ac:dyDescent="0.25" ht="20" customHeight="1">
      <c r="D257" s="34" t="s">
        <v>137</v>
      </c>
      <c r="E257" s="34" t="s">
        <v>138</v>
      </c>
    </row>
    <row r="258" spans="4:6" x14ac:dyDescent="0.25" ht="20" customHeight="1">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140</v>
      </c>
    </row>
    <row r="264" spans="4:6" x14ac:dyDescent="0.25" ht="20" customHeight="1">
      <c r="D264" s="1" t="s">
        <v>141</v>
      </c>
    </row>
    <row r="265" spans="4:6" x14ac:dyDescent="0.25" ht="20" customHeight="1">
      <c r="D265" s="34" t="s">
        <v>142</v>
      </c>
      <c r="E265" s="34" t="s">
        <v>143</v>
      </c>
      <c r="F265" s="34" t="s">
        <v>144</v>
      </c>
    </row>
    <row r="266" spans="4:6" x14ac:dyDescent="0.25" ht="20" customHeight="1">
      <c r="D266" s="34" t="s">
        <v>145</v>
      </c>
      <c r="E266" s="34" t="s">
        <v>146</v>
      </c>
      <c r="F266" s="34">
        <v>5</v>
      </c>
    </row>
    <row r="267" spans="4:6" x14ac:dyDescent="0.25" ht="20" customHeight="1">
      <c r="D267" s="34" t="s">
        <v>147</v>
      </c>
      <c r="E267" s="34" t="s">
        <v>148</v>
      </c>
      <c r="F267" s="34">
        <v>4</v>
      </c>
    </row>
    <row r="268" spans="4:6" x14ac:dyDescent="0.25" ht="20" customHeight="1">
      <c r="D268" s="34" t="s">
        <v>149</v>
      </c>
      <c r="E268" s="34" t="s">
        <v>150</v>
      </c>
      <c r="F268" s="34">
        <v>3</v>
      </c>
    </row>
    <row r="269" spans="4:6" x14ac:dyDescent="0.25" ht="20" customHeight="1">
      <c r="D269" s="34" t="s">
        <v>151</v>
      </c>
      <c r="E269" s="34" t="s">
        <v>152</v>
      </c>
      <c r="F269" s="34">
        <v>2</v>
      </c>
    </row>
    <row r="270" spans="4:6" x14ac:dyDescent="0.25" ht="20" customHeight="1">
      <c r="D270" s="34" t="s">
        <v>153</v>
      </c>
      <c r="E270" s="34" t="s">
        <v>154</v>
      </c>
      <c r="F270" s="34">
        <v>1</v>
      </c>
    </row>
    <row r="273" spans="4:6" x14ac:dyDescent="0.25" ht="20" customHeight="1">
      <c r="D273" s="1" t="s">
        <v>155</v>
      </c>
    </row>
    <row r="274" spans="4:6" x14ac:dyDescent="0.25" ht="20" customHeight="1">
      <c r="D274" s="34" t="s">
        <v>142</v>
      </c>
      <c r="E274" s="34" t="s">
        <v>143</v>
      </c>
      <c r="F274" s="34" t="s">
        <v>144</v>
      </c>
    </row>
    <row r="275" spans="4:6" x14ac:dyDescent="0.25" ht="20" customHeight="1">
      <c r="D275" s="34" t="s">
        <v>156</v>
      </c>
      <c r="E275" s="34" t="s">
        <v>157</v>
      </c>
      <c r="F275" s="34">
        <v>5</v>
      </c>
    </row>
    <row r="276" spans="4:6" x14ac:dyDescent="0.25" ht="20" customHeight="1">
      <c r="D276" s="34" t="s">
        <v>158</v>
      </c>
      <c r="E276" s="34" t="s">
        <v>159</v>
      </c>
      <c r="F276" s="34">
        <v>4</v>
      </c>
    </row>
    <row r="277" spans="4:6" x14ac:dyDescent="0.25" ht="20" customHeight="1">
      <c r="D277" s="34" t="s">
        <v>160</v>
      </c>
      <c r="E277" s="34" t="s">
        <v>161</v>
      </c>
      <c r="F277" s="34">
        <v>3</v>
      </c>
    </row>
    <row r="278" spans="4:6" x14ac:dyDescent="0.25" ht="20" customHeight="1">
      <c r="D278" s="34" t="s">
        <v>162</v>
      </c>
      <c r="E278" s="34" t="s">
        <v>163</v>
      </c>
      <c r="F278" s="34">
        <v>2</v>
      </c>
    </row>
    <row r="279" spans="4:6" x14ac:dyDescent="0.25" ht="20" customHeight="1">
      <c r="D279" s="34" t="s">
        <v>164</v>
      </c>
      <c r="E279" s="34" t="s">
        <v>165</v>
      </c>
      <c r="F279" s="34">
        <v>1</v>
      </c>
    </row>
    <row r="282" spans="4:6" x14ac:dyDescent="0.25" ht="20" customHeight="1">
      <c r="D282" s="1" t="s">
        <v>166</v>
      </c>
    </row>
    <row r="283" spans="4:6" x14ac:dyDescent="0.25" ht="20" customHeight="1">
      <c r="D283" s="34" t="s">
        <v>142</v>
      </c>
      <c r="E283" s="34" t="s">
        <v>143</v>
      </c>
      <c r="F283" s="34" t="s">
        <v>144</v>
      </c>
    </row>
    <row r="284" spans="4:6" x14ac:dyDescent="0.25" ht="20" customHeight="1">
      <c r="D284" s="34" t="s">
        <v>167</v>
      </c>
      <c r="E284" s="34" t="s">
        <v>168</v>
      </c>
      <c r="F284" s="34">
        <v>5</v>
      </c>
    </row>
    <row r="285" spans="4:6" x14ac:dyDescent="0.25" ht="20" customHeight="1">
      <c r="D285" s="34" t="s">
        <v>169</v>
      </c>
      <c r="E285" s="34" t="s">
        <v>170</v>
      </c>
      <c r="F285" s="34">
        <v>4</v>
      </c>
    </row>
    <row r="286" spans="4:6" x14ac:dyDescent="0.25" ht="20" customHeight="1">
      <c r="D286" s="34" t="s">
        <v>171</v>
      </c>
      <c r="E286" s="34" t="s">
        <v>172</v>
      </c>
      <c r="F286" s="34">
        <v>3</v>
      </c>
    </row>
    <row r="287" spans="4:6" x14ac:dyDescent="0.25" ht="20" customHeight="1">
      <c r="D287" s="34" t="s">
        <v>173</v>
      </c>
      <c r="E287" s="34" t="s">
        <v>174</v>
      </c>
      <c r="F287" s="34">
        <v>2</v>
      </c>
    </row>
    <row r="288" spans="4:6" x14ac:dyDescent="0.25" ht="20" customHeight="1">
      <c r="D288" s="34" t="s">
        <v>175</v>
      </c>
      <c r="E288" s="34" t="s">
        <v>176</v>
      </c>
      <c r="F288" s="34">
        <v>1</v>
      </c>
    </row>
    <row r="291" spans="4:6" x14ac:dyDescent="0.25" ht="20" customHeight="1">
      <c r="D291" s="1" t="s">
        <v>177</v>
      </c>
    </row>
    <row r="292" spans="4:6" x14ac:dyDescent="0.25" ht="20" customHeight="1">
      <c r="D292" s="34" t="s">
        <v>142</v>
      </c>
      <c r="E292" s="34" t="s">
        <v>143</v>
      </c>
      <c r="F292" s="34" t="s">
        <v>144</v>
      </c>
    </row>
    <row r="293" spans="4:6" x14ac:dyDescent="0.25" ht="20" customHeight="1">
      <c r="D293" s="34" t="s">
        <v>178</v>
      </c>
      <c r="E293" s="34" t="s">
        <v>179</v>
      </c>
      <c r="F293" s="34">
        <v>5</v>
      </c>
    </row>
    <row r="294" spans="4:6" x14ac:dyDescent="0.25" ht="20" customHeight="1">
      <c r="D294" s="34" t="s">
        <v>180</v>
      </c>
      <c r="E294" s="34" t="s">
        <v>181</v>
      </c>
      <c r="F294" s="34">
        <v>4</v>
      </c>
    </row>
    <row r="295" spans="4:6" x14ac:dyDescent="0.25" ht="20" customHeight="1">
      <c r="D295" s="34" t="s">
        <v>182</v>
      </c>
      <c r="E295" s="34" t="s">
        <v>183</v>
      </c>
      <c r="F295" s="34">
        <v>3</v>
      </c>
    </row>
    <row r="296" spans="4:6" x14ac:dyDescent="0.25" ht="20" customHeight="1">
      <c r="D296" s="34" t="s">
        <v>184</v>
      </c>
      <c r="E296" s="34" t="s">
        <v>185</v>
      </c>
      <c r="F296" s="34">
        <v>2</v>
      </c>
    </row>
    <row r="297" spans="4:6" x14ac:dyDescent="0.25" ht="20" customHeight="1">
      <c r="D297" s="34" t="s">
        <v>186</v>
      </c>
      <c r="E297" s="34" t="s">
        <v>187</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20" x14ac:dyDescent="0.25" customHeight="1"/>
  <sheetData>
    <row r="1" spans="1:1" x14ac:dyDescent="0.25" ht="30" customHeight="1">
      <c r="A1" t="s">
        <v>188</v>
      </c>
    </row>
    <row r="3" spans="1:1" ht="20" x14ac:dyDescent="0.25" customHeight="1">
      <c r="A3" s="17" t="str">
        <f>HYPERLINK("#'Home'!A1", "Home")</f>
        <v>Home</v>
      </c>
    </row>
    <row r="6" spans="1:1" x14ac:dyDescent="0.25" ht="20" customHeight="1">
      <c r="A6" s="104" t="s">
        <v>1</v>
      </c>
    </row>
    <row r="7" spans="1:1" ht="20" x14ac:dyDescent="0.25" customHeight="1">
      <c r="A7" s="17" t="str">
        <f>HYPERLINK("#'Constants - Common'!A1", "Constants - Common")</f>
        <v>Constants - Common</v>
      </c>
    </row>
    <row r="8" spans="1:1" ht="20" x14ac:dyDescent="0.25" customHeight="1">
      <c r="A8" s="55" t="str">
        <f>HYPERLINK("#'Acknowledgements'!A1", "Acknowledgements")</f>
        <v>Acknowledgements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N3" s="4"/>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row>
    <row r="6" spans="1:21" ht="20" customHeight="1" x14ac:dyDescent="0.25"/>
    <row r="7" spans="1:21" ht="20" customHeight="1" x14ac:dyDescent="0.25"/>
    <row r="8" spans="1:21" ht="20" customHeight="1" x14ac:dyDescent="0.25">
      <c r="A8" s="19" t="s">
        <v>0</v>
      </c>
    </row>
    <row r="9" spans="1:21" ht="20" customHeight="1" x14ac:dyDescent="0.25">
      <c r="A9" s="17" t="str">
        <f>HYPERLINK("#'Input - Site'!A1", "Site")</f>
        <v>Site</v>
      </c>
    </row>
    <row r="10" spans="1:21" ht="20" customHeight="1" x14ac:dyDescent="0.25">
      <c r="A10" s="17" t="str">
        <f>HYPERLINK("#'Input - Other Livestock'!A1", "Other Livestock")</f>
        <v>Other Livestock</v>
      </c>
    </row>
    <row r="11" spans="1:21" ht="20" customHeight="1" x14ac:dyDescent="0.25"/>
    <row r="12" spans="1:21" ht="20" customHeight="1" x14ac:dyDescent="0.25"/>
    <row r="13" spans="1:21" ht="20" customHeight="1" x14ac:dyDescent="0.25">
      <c r="A13" s="18" t="s">
        <v>51</v>
      </c>
    </row>
    <row r="14" spans="1:21" ht="20" customHeight="1" x14ac:dyDescent="0.25">
      <c r="A14" s="17" t="str">
        <f>HYPERLINK("#'3.6.1.1-2 Enteric Methane'!A1", "3.6.1.1-2 Enteric Methane")</f>
        <v>3.6.1.1-2 Enteric Methane</v>
      </c>
    </row>
    <row r="15" spans="1:21" ht="20" customHeight="1" x14ac:dyDescent="0.25"/>
    <row r="16" spans="1:21" ht="20" customHeight="1" x14ac:dyDescent="0.25"/>
    <row r="17" spans="1:1" ht="20" customHeight="1" x14ac:dyDescent="0.25">
      <c r="A17" s="104" t="s">
        <v>1</v>
      </c>
    </row>
    <row r="18" spans="1:1" ht="20" customHeight="1" x14ac:dyDescent="0.25">
      <c r="A18" s="17" t="str">
        <f>HYPERLINK("#'Constants - Other Livestock'!A1", "Constants - Other Livestock")</f>
        <v>Constants - Other Livestock</v>
      </c>
    </row>
    <row r="19" spans="1:1" ht="20" customHeight="1" x14ac:dyDescent="0.25">
      <c r="A19" s="17" t="str">
        <f>HYPERLINK("#'Constants - Common'!A1", "Constants - Common")</f>
        <v>Constants - Common</v>
      </c>
    </row>
    <row r="20" spans="1:1" ht="20" customHeight="1" x14ac:dyDescent="0.25">
      <c r="A20" s="17" t="str">
        <f>HYPERLINK("#'Acknowledgements'!A1", "Acknowledgements")</f>
        <v>Acknowledgements</v>
      </c>
    </row>
    <row r="21" spans="1:1" ht="20" customHeight="1" x14ac:dyDescent="0.25">
      <c r="A21" s="55" t="str">
        <f>HYPERLINK("#'Tab template'!A1", "Tab template")</f>
        <v>Tab template</v>
      </c>
    </row>
    <row r="22" spans="1:1" ht="20" customHeight="1" x14ac:dyDescent="0.25"/>
    <row r="23" spans="1:1" ht="20" customHeight="1" x14ac:dyDescent="0.25"/>
    <row r="24" spans="1:1" ht="20" customHeight="1" x14ac:dyDescent="0.25"/>
    <row r="25" spans="1:1" ht="20" customHeight="1" x14ac:dyDescent="0.25"/>
    <row r="26" spans="1:1" ht="20" customHeight="1" x14ac:dyDescent="0.25"/>
    <row r="27" spans="1:1" ht="20" customHeight="1" x14ac:dyDescent="0.25"/>
    <row r="28" spans="1:1" ht="20" customHeight="1" x14ac:dyDescent="0.25"/>
    <row r="29" spans="1:1" ht="20" customHeight="1" x14ac:dyDescent="0.25"/>
    <row r="30" spans="1:1" ht="20" customHeight="1" x14ac:dyDescent="0.25"/>
    <row r="31" spans="1:1" ht="20" customHeight="1" x14ac:dyDescent="0.25"/>
    <row r="32" spans="1:1"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VEERG_3_6_1_1__1_TotalAnnualMethaneFromEntericFermentationOtherLivestock_Result_Method1</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2026-08-27T02:15:51Z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2026-09-02T17:27:04; rename=True resize=True scope=all</vt:lpwstr>
  </property>
</Properties>
</file>