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8C7C3AEE-7661-493E-9556-882A2D553AF4}" xr6:coauthVersionLast="47" xr6:coauthVersionMax="47" xr10:uidLastSave="{00000000-0000-0000-0000-000000000000}"/>
  <bookViews>
    <workbookView xWindow="1170" yWindow="1170" windowWidth="28800" windowHeight="15345" activeTab="1" xr2:uid="{992023F3-CAB7-4E5B-A348-08D563A0EF40}"/>
  </bookViews>
  <sheets>
    <sheet name="Home" sheetId="71" r:id="rId1"/>
    <sheet name="Overview" sheetId="100" r:id="rId2"/>
    <sheet name="Results" sheetId="13" r:id="rId3"/>
    <sheet name="Input - Site" sheetId="15" r:id="rId4"/>
    <sheet name="Input - Other Livestock" sheetId="70" r:id="rId5"/>
    <sheet name="3.6.1.1-2 Enteric Methane" sheetId="69" r:id="rId6"/>
    <sheet name="Constants - Other Livestock" sheetId="79" r:id="rId7"/>
    <sheet name="Constants - Common" sheetId="106" r:id="rId8"/>
    <sheet name="Acknowledgements" sheetId="72" r:id="rId9"/>
    <sheet name="Tab template" sheetId="74" r:id="rId10"/>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-1), "VEERG 2026: ", "") &amp; " " &amp; _xlpm.TitleCell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
    _xlpm.sh, _xlfn.TEXTAFTER(CELL("filename", _xlpm.TargetCell), "]"),
    _xlpm.addr, CELL("address", _xlpm.TargetCell),
    "#" &amp; _xlpm.addr
  )
)</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
    _xlfn.MAKEARRAY(14,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
      )
    )
  )</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
    _xlfn.MAKEARRAY(3,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
      )
    )
  )</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
    _xlfn.MAKEARRAY(21,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
      )
    )
  )</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EntericMethane_OtherLivestock_Equations.VEERG_3_6_1_1__1_TotalAnnualMethaneFromEntericFermentationOtherLivestock">_xlfn.LAMBDA(_xlpm.N_j,_xlpm.M_j, SUM(_xlpm.N_j * _xlpm.M_j) * 10 ^ -3)</definedName>
    <definedName name="EntericMethane_OtherLivestock_Equations.VEERG_3_6_1_1__1_TotalAnnualMethaneFromEntericFermentationOtherLivestock_Arguments">_xlfn.LAMBDA(_xlfn.MAKEARRAY(3, 4, _xlfn.LAMBDA(_xlpm.r,_xlpm.c, INDEX({"N_j","number of livestock of each livestock type j","head","Input";"M_j","enteric fermentation emission factor","kg CH4/head/year","Constant";"j","livestock type","","Input"}, _xlpm.r, _xlpm.c))))</definedName>
    <definedName name="EntericMethane_OtherLivestock_Equations.VEERG_3_6_1_1__1_TotalAnnualMethaneFromEntericFermentationOtherLivestock_LatexEquation">_xlfn.LAMBDA("E_{enteric}=\sum_j(N_j\times M_j)\times 10^{-3}")</definedName>
    <definedName name="EntericMethane_OtherLivestock_Equations.VEERG_3_6_1_1__1_TotalAnnualMethaneFromEntericFermentationOtherLivestock_NIRReference">_xlfn.LAMBDA("")</definedName>
    <definedName name="EntericMethane_OtherLivestock_Equations.VEERG_3_6_1_1__1_TotalAnnualMethaneFromEntericFermentationOtherLivestock_Source">_xlfn.LAMBDA("VEERG 2026: 3.6.1.1, Equation (1)")</definedName>
    <definedName name="EntericMethane_OtherLivestock_Equations.VEERG_3_6_1_1__1_TotalAnnualMethaneFromEntericFermentationOtherLivestock_Title">_xlfn.LAMBDA("Total annual methane production from enteric fermentation in other livestock")</definedName>
    <definedName name="EntericMethane_OtherLivestock_Equations.VEERG_3_6_1_1__1_TotalAnnualMethaneFromEntericFermentationOtherLivestock_Unit">_xlfn.LAMBDA("t CH4")</definedName>
    <definedName name="EntericMethane_OtherLivestock_Equations.VEERG_3_6_1_1__1_TotalAnnualMethaneFromEntericFermentationOtherLivestock_Variable">_xlfn.LAMBDA("E_enteric")</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Fertiliser_Equations_InorganicCO2.VEERG_5_1_1_3__2_MassOfUreaInInorganicFertiliser_Arguments">_xlfn.LAMBDA(_xlfn.MAKEARRAY(2, 3, _xlfn.LAMBDA(_xlpm.r,_xlpm.c, INDEX({"TM_jf","total mass of inorganic fertiliser type f applied to production system j : kg","Input";"FU_f","fraction of urea in fertiliser type f : kg urea/kg","Lookup"}, _xlpm.r, _xlpm.c))))</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SourceData_OtherLivestock.SourceData_OtherLivestock_AverageLiveweight_Data">_xlfn.LAMBDA(_xlfn.MAKEARRAY(11, 3, _xlfn.LAMBDA(_xlpm.r,_xlpm.c, INDEX({"Other Livestock Type j","Average Liveweight","Average Liveweight";"Buffalo",336,"-";"Goats",33,"28kg - low productivity systems";"Goats",33,"50kg - high productivity systems";"Deer",120,120;"Camels",217,570;"Alpacas","-",65;"Horses",377,550;"Mules/asses",130,245;"Emus/ostriches",120,120;"Reference","IPCC 2019 Table 10A.5 [2]","IPCC 2019 Table 10.10 [2]"}, _xlpm.r, _xlpm.c))))</definedName>
    <definedName name="SourceData_OtherLivestock.SourceData_OtherLivestock_AverageLiveweight_Source">_xlfn.LAMBDA("VEERG 2026: Table A.1.5.4")</definedName>
    <definedName name="SourceData_OtherLivestock.SourceData_OtherLivestock_AverageLiveweight_Title">_xlfn.LAMBDA("Other Livestock - Average Liveweights")</definedName>
    <definedName name="SourceData_OtherLivestock.SourceData_OtherLivestock_AverageLiveweight_Unit">_xlfn.LAMBDA("kg")</definedName>
    <definedName name="SourceData_OtherLivestock.SourceData_OtherLivestock_AverageLiveweight_Variable">_xlfn.LAMBDA("Wco")</definedName>
    <definedName name="SourceData_OtherLivestock.SourceData_OtherLivestock_AverageLiveweight_Variation">_xlfn.LAMBDA("")</definedName>
    <definedName name="SourceData_OtherLivestock.SourceData_OtherLivestock_EntericFermentationEmissionFactor_Data">_xlfn.LAMBDA(_xlfn.MAKEARRAY(9, 2, _xlfn.LAMBDA(_xlpm.r,_xlpm.c, INDEX({"Other Livestock Type","Mj";"Buffalo",68;"Goats",5;"Deer",20;"Camels",46;"Alpacas",8;"Horses",18;"Mules/asses",10;"Emus/ostriches",5}, _xlpm.r, _xlpm.c))))</definedName>
    <definedName name="SourceData_OtherLivestock.SourceData_OtherLivestock_EntericFermentationEmissionFactor_Source">_xlfn.LAMBDA("VEERG 2026: Table A.1.5.1")</definedName>
    <definedName name="SourceData_OtherLivestock.SourceData_OtherLivestock_EntericFermentationEmissionFactor_Title">_xlfn.LAMBDA("Other Livestock - Enteric fermentation emission factor for each other livestock type")</definedName>
    <definedName name="SourceData_OtherLivestock.SourceData_OtherLivestock_EntericFermentationEmissionFactor_Unit">_xlfn.LAMBDA("kg CH4 / head / year")</definedName>
    <definedName name="SourceData_OtherLivestock.SourceData_OtherLivestock_EntericFermentationEmissionFactor_Variable">_xlfn.LAMBDA("Mj")</definedName>
    <definedName name="SourceData_OtherLivestock.SourceData_OtherLivestock_EntericFermentationEmissionFactor_Variation">_xlfn.LAMBDA("")</definedName>
    <definedName name="SourceData_OtherLivestock.SourceData_OtherLivestock_FracGASMSoil_Data">_xlfn.LAMBDA(0.21)</definedName>
    <definedName name="SourceData_OtherLivestock.SourceData_OtherLivestock_FracGASMSoil_Source">_xlfn.LAMBDA("VEERG 2026: 4.7.2.3 CONSTANTS")</definedName>
    <definedName name="SourceData_OtherLivestock.SourceData_OtherLivestock_FracGASMSoil_Title">_xlfn.LAMBDA("Fraction of nitrogen volatilised from urine and faeces deposited on pasture")</definedName>
    <definedName name="SourceData_OtherLivestock.SourceData_OtherLivestock_FracGASMSoil_Unit">_xlfn.LAMBDA("(kg NH3-N + NOx-N)/kg N")</definedName>
    <definedName name="SourceData_OtherLivestock.SourceData_OtherLivestock_FracGASMSoil_Variable">_xlfn.LAMBDA("FracGASMsoil")</definedName>
    <definedName name="SourceData_OtherLivestock.SourceData_OtherLivestock_FracGASMSoil_Variation">_xlfn.LAMBDA("")</definedName>
    <definedName name="SourceData_OtherLivestock.SourceData_OtherLivestock_FractionWasteInMMS_Data">_xlfn.LAMBDA(_xlfn.MAKEARRAY(9, 3, _xlfn.LAMBDA(_xlpm.r,_xlpm.c, INDEX({"State","Pasture range and paddock","Uncovered Anaerobic lagoon";"ACT",99.66,0.34;"NSW",99.66,0.34;"NT",99.66,0.34;"QLD",99.66,0.34;"SA",99.66,0.34;"TAS",99.66,0.34;"VIC",99.66,0.34;"WA",99.66,0.34}, _xlpm.r, _xlpm.c))))</definedName>
    <definedName name="SourceData_OtherLivestock.SourceData_OtherLivestock_FractionWasteInMMS_Source">_xlfn.LAMBDA("VEERG 2026: Table A.1.5.5")</definedName>
    <definedName name="SourceData_OtherLivestock.SourceData_OtherLivestock_FractionWasteInMMS_Title">_xlfn.LAMBDA("Other Livestock - Fraction of waste in each manure management system")</definedName>
    <definedName name="SourceData_OtherLivestock.SourceData_OtherLivestock_FractionWasteInMMS_Unit">_xlfn.LAMBDA("fraction")</definedName>
    <definedName name="SourceData_OtherLivestock.SourceData_OtherLivestock_FractionWasteInMMS_Variable">_xlfn.LAMBDA("MMSm")</definedName>
    <definedName name="SourceData_OtherLivestock.SourceData_OtherLivestock_FractionWasteInMMS_Variation">_xlfn.LAMBDA("")</definedName>
    <definedName name="SourceData_OtherLivestock.SourceData_OtherLivestock_MethaneConversionFactor_Data">_xlfn.LAMBDA(
    _xlfn.MAKEARRAY(9, 3,
      _xlfn.LAMBDA(_xlpm.r,_xlpm.c,
        INDEX({"State","Pasture range and paddock","Uncovered Anaerobic lagoon";"ACT",0.0047,0.71;"NSW",0.0047,0.75;"NT",0.0047,0.8;"QLD",0.0047,0.78;"SA",0.0047,0.74;"TAS",0.0047,0.7;"VIC",0.0047,0.74;"WA",0.0047,0.76}, _xlpm.r, _xlpm.c)
      )
    )
  )</definedName>
    <definedName name="SourceData_OtherLivestock.SourceData_OtherLivestock_MethaneConversionFactor_Source">_xlfn.LAMBDA("VEERG 2026: Table A.1.5.6")</definedName>
    <definedName name="SourceData_OtherLivestock.SourceData_OtherLivestock_MethaneConversionFactor_Title">_xlfn.LAMBDA("Other Livestock - Methane conversion factor per region")</definedName>
    <definedName name="SourceData_OtherLivestock.SourceData_OtherLivestock_MethaneConversionFactor_Unit">_xlfn.LAMBDA("fraction")</definedName>
    <definedName name="SourceData_OtherLivestock.SourceData_OtherLivestock_MethaneConversionFactor_Variable">_xlfn.LAMBDA("MCFim")</definedName>
    <definedName name="SourceData_OtherLivestock.SourceData_OtherLivestock_MethaneConversionFactor_Variation">_xlfn.LAMBDA("")</definedName>
    <definedName name="SourceData_OtherLivestock.SourceData_OtherLivestock_MethaneEmissionsPotential_Data">_xlfn.LAMBDA(
    _xlfn.MAKEARRAY(9, 3,
      _xlfn.LAMBDA(_xlpm.r,_xlpm.c,
        INDEX({"Other Livestock Type","BO","Taken from";"Buffalo",0.19,"Feedlot, Pasture beef";"Goats",0.24,"Sheep";"Deer",0.24,"Sheep";"Camels",0.24,"Sheep";"Alpacas",0.24,"Sheep";"Horses",0.19,"Feedlot, Pasture beef";"Mules/asses",0.24,"Sheep";"Emus/ostriches",0.36,"Poultry - meat chickens"}, _xlpm.r, _xlpm.c)
      )
    )
  )</definedName>
    <definedName name="SourceData_OtherLivestock.SourceData_OtherLivestock_MethaneEmissionsPotential_Source">_xlfn.LAMBDA("VEERG 2026: Table A.1.5.X")</definedName>
    <definedName name="SourceData_OtherLivestock.SourceData_OtherLivestock_MethaneEmissionsPotential_Title">_xlfn.LAMBDA("Other Livestock - Methane emissions potential")</definedName>
    <definedName name="SourceData_OtherLivestock.SourceData_OtherLivestock_MethaneEmissionsPotential_Unit">_xlfn.LAMBDA("m3 CH4 / kg VS")</definedName>
    <definedName name="SourceData_OtherLivestock.SourceData_OtherLivestock_MethaneEmissionsPotential_Variable">_xlfn.LAMBDA("BO")</definedName>
    <definedName name="SourceData_OtherLivestock.SourceData_OtherLivestock_MethaneEmissionsPotential_Variation">_xlfn.LAMBDA("VARIATION ON SOURCE: There were no values in VEERG so this data has been generated by using documented BO values from other livestock")</definedName>
    <definedName name="SourceData_OtherLivestock.SourceData_OtherLivestock_NitrogenExcreted_Data">_xlfn.LAMBDA(
    _xlfn.MAKEARRAY(9, 2,
      _xlfn.LAMBDA(_xlpm.r,_xlpm.c,
        INDEX({"Other Livestock Type","NEj";"Buffalo",39.5;"Goats",7;"Deer",13.2;"Camels",39.5;"Alpacas",7;"Horses",39.5;"Mules/asses",13.2;"Emus/ostriches",7}, _xlpm.r, _xlpm.c)
      )
    )
  )</definedName>
    <definedName name="SourceData_OtherLivestock.SourceData_OtherLivestock_NitrogenExcreted_Source">_xlfn.LAMBDA("VEERG 2026: Table A.1.5.3")</definedName>
    <definedName name="SourceData_OtherLivestock.SourceData_OtherLivestock_NitrogenExcreted_Title">_xlfn.LAMBDA("Other Livestock - Nitrogen excreted per livestock type")</definedName>
    <definedName name="SourceData_OtherLivestock.SourceData_OtherLivestock_NitrogenExcreted_Unit">_xlfn.LAMBDA("kg N2O / head / year")</definedName>
    <definedName name="SourceData_OtherLivestock.SourceData_OtherLivestock_NitrogenExcreted_Variable">_xlfn.LAMBDA("NEj")</definedName>
    <definedName name="SourceData_OtherLivestock.SourceData_OtherLivestock_NitrogenExcreted_Variation">_xlfn.LAMBDA("")</definedName>
    <definedName name="SourceData_OtherLivestock.SourceData_OtherLivestock_VolatileSolidsProduced_Data">_xlfn.LAMBDA(_xlfn.MAKEARRAY(9, 2, _xlfn.LAMBDA(_xlpm.r,_xlpm.c, INDEX({"Other Livestock Type","VSj";"Buffalo",2.73;"Goats",0.34;"Deer",0.91;"Camels",2.73;"Alpacas",0.34;"Horses",2.73;"Mules/asses",0.91;"Emus/ostriches",0.34}, _xlpm.r, _xlpm.c))))</definedName>
    <definedName name="SourceData_OtherLivestock.SourceData_OtherLivestock_VolatileSolidsProduced_Source">_xlfn.LAMBDA("VEERG 2026: Table A.1.5.2")</definedName>
    <definedName name="SourceData_OtherLivestock.SourceData_OtherLivestock_VolatileSolidsProduced_Title">_xlfn.LAMBDA("Other Livestock - Volatile solids produced by each other livestock type")</definedName>
    <definedName name="SourceData_OtherLivestock.SourceData_OtherLivestock_VolatileSolidsProduced_Unit">_xlfn.LAMBDA("kg VS / head / day")</definedName>
    <definedName name="SourceData_OtherLivestock.SourceData_OtherLivestock_VolatileSolidsProduced_Variable">_xlfn.LAMBDA("VSj")</definedName>
    <definedName name="SourceData_OtherLivestock.SourceData_OtherLivestock_VolatileSolidsProduced_Variation">_xlfn.LAMBDA("")</definedName>
    <definedName name="VEERG_3_6_1_1__1_TotalAnnualMethaneFromEntericFermentationOtherLivestock_Result_Method1">'3.6.1.1-2 Enteric Methane'!$E$28</definedName>
    <definedName name="X_Cell_OtherLivestock_Others_Alpacas_Head">'Input - Other Livestock'!$F$26</definedName>
    <definedName name="X_Cell_OtherLivestock_Others_Camels_Head">'Input - Other Livestock'!$E$26</definedName>
    <definedName name="X_Cell_OtherLivestock_Others_Emus_Head">'Input - Other Livestock'!$I$26</definedName>
    <definedName name="X_Cell_OtherLivestock_Others_Horses_Head">'Input - Other Livestock'!$G$26</definedName>
    <definedName name="X_Cell_OtherLivestock_Others_Mules_Head">'Input - Other Livestock'!$H$26</definedName>
    <definedName name="X_Cell_Site_EndDate">'Input - Site'!$E$13</definedName>
    <definedName name="X_Cell_Site_FarmName">'Input - Site'!$E$7</definedName>
    <definedName name="X_Cell_Site_ReportingEntityName">'Input - Site'!$E$8</definedName>
    <definedName name="X_Cell_Site_StartDate">'Input - Site'!$E$12</definedName>
    <definedName name="X_Table_OtherLivestock_Buffalo_Head">'Input - Other Livestock'!$D$7:$H$8</definedName>
    <definedName name="X_Table_OtherLivestock_Deer_Head">'Input - Other Livestock'!$D$19:$H$20</definedName>
    <definedName name="X_Table_OtherLivestock_Goats_Head">'Input - Other Livestock'!$D$13:$J$14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13" l="1"/>
  <c r="A8" i="72"/>
  <c r="A7" i="72"/>
  <c r="A3" i="72"/>
  <c r="G31" i="69"/>
  <c r="E259" i="106" a="1"/>
  <c r="E259" i="106" s="1"/>
  <c r="D259" i="106" a="1"/>
  <c r="D259" i="106" s="1"/>
  <c r="E258" i="106" a="1"/>
  <c r="E258" i="106" s="1"/>
  <c r="D258" i="106" a="1"/>
  <c r="D258" i="106" s="1"/>
  <c r="D256" i="106" a="1"/>
  <c r="D256" i="106" s="1"/>
  <c r="D255" i="106" a="1"/>
  <c r="D255" i="106" s="1"/>
  <c r="D254" i="106" a="1"/>
  <c r="D254" i="106" s="1"/>
  <c r="D253" i="106" a="1"/>
  <c r="D253" i="106" s="1"/>
  <c r="S250" i="106" a="1"/>
  <c r="S250" i="106" s="1"/>
  <c r="R250" i="106" a="1"/>
  <c r="R250" i="106" s="1"/>
  <c r="Q250" i="106" a="1"/>
  <c r="Q250" i="106" s="1"/>
  <c r="P250" i="106" a="1"/>
  <c r="P250" i="106" s="1"/>
  <c r="O250" i="106" a="1"/>
  <c r="O250" i="106" s="1"/>
  <c r="N250" i="106" a="1"/>
  <c r="N250" i="106" s="1"/>
  <c r="M250" i="106" a="1"/>
  <c r="M250" i="106" s="1"/>
  <c r="L250" i="106" a="1"/>
  <c r="L250" i="106" s="1"/>
  <c r="K250" i="106" a="1"/>
  <c r="K250" i="106" s="1"/>
  <c r="J250" i="106" a="1"/>
  <c r="J250" i="106" s="1"/>
  <c r="I250" i="106" a="1"/>
  <c r="I250" i="106" s="1"/>
  <c r="H250" i="106" a="1"/>
  <c r="H250" i="106" s="1"/>
  <c r="G250" i="106" a="1"/>
  <c r="G250" i="106" s="1"/>
  <c r="F250" i="106" a="1"/>
  <c r="F250" i="106" s="1"/>
  <c r="E250" i="106" a="1"/>
  <c r="E250" i="106" s="1"/>
  <c r="D250" i="106" a="1"/>
  <c r="D250" i="106" s="1"/>
  <c r="S249" i="106" a="1"/>
  <c r="S249" i="106" s="1"/>
  <c r="R249" i="106" a="1"/>
  <c r="R249" i="106" s="1"/>
  <c r="Q249" i="106" a="1"/>
  <c r="Q249" i="106" s="1"/>
  <c r="P249" i="106" a="1"/>
  <c r="P249" i="106" s="1"/>
  <c r="O249" i="106" a="1"/>
  <c r="O249" i="106" s="1"/>
  <c r="N249" i="106" a="1"/>
  <c r="N249" i="106" s="1"/>
  <c r="M249" i="106" a="1"/>
  <c r="M249" i="106" s="1"/>
  <c r="L249" i="106" a="1"/>
  <c r="L249" i="106" s="1"/>
  <c r="K249" i="106" a="1"/>
  <c r="K249" i="106" s="1"/>
  <c r="J249" i="106" a="1"/>
  <c r="J249" i="106" s="1"/>
  <c r="I249" i="106" a="1"/>
  <c r="I249" i="106" s="1"/>
  <c r="H249" i="106" a="1"/>
  <c r="H249" i="106" s="1"/>
  <c r="G249" i="106" a="1"/>
  <c r="G249" i="106" s="1"/>
  <c r="F249" i="106" a="1"/>
  <c r="F249" i="106" s="1"/>
  <c r="E249" i="106" a="1"/>
  <c r="E249" i="106" s="1"/>
  <c r="D249" i="106" a="1"/>
  <c r="D249" i="106" s="1"/>
  <c r="S248" i="106" a="1"/>
  <c r="S248" i="106" s="1"/>
  <c r="R248" i="106" a="1"/>
  <c r="R248" i="106" s="1"/>
  <c r="Q248" i="106" a="1"/>
  <c r="Q248" i="106" s="1"/>
  <c r="P248" i="106" a="1"/>
  <c r="P248" i="106" s="1"/>
  <c r="O248" i="106" a="1"/>
  <c r="O248" i="106" s="1"/>
  <c r="N248" i="106" a="1"/>
  <c r="N248" i="106" s="1"/>
  <c r="M248" i="106" a="1"/>
  <c r="M248" i="106" s="1"/>
  <c r="L248" i="106" a="1"/>
  <c r="L248" i="106" s="1"/>
  <c r="K248" i="106" a="1"/>
  <c r="K248" i="106" s="1"/>
  <c r="J248" i="106" a="1"/>
  <c r="J248" i="106" s="1"/>
  <c r="I248" i="106" a="1"/>
  <c r="I248" i="106" s="1"/>
  <c r="H248" i="106" a="1"/>
  <c r="H248" i="106" s="1"/>
  <c r="G248" i="106" a="1"/>
  <c r="G248" i="106" s="1"/>
  <c r="F248" i="106" a="1"/>
  <c r="F248" i="106" s="1"/>
  <c r="E248" i="106" a="1"/>
  <c r="E248" i="106" s="1"/>
  <c r="D248" i="106" a="1"/>
  <c r="D248" i="106" s="1"/>
  <c r="S247" i="106" a="1"/>
  <c r="S247" i="106" s="1"/>
  <c r="R247" i="106" a="1"/>
  <c r="R247" i="106" s="1"/>
  <c r="Q247" i="106" a="1"/>
  <c r="Q247" i="106" s="1"/>
  <c r="P247" i="106" a="1"/>
  <c r="P247" i="106" s="1"/>
  <c r="O247" i="106" a="1"/>
  <c r="O247" i="106" s="1"/>
  <c r="N247" i="106" a="1"/>
  <c r="N247" i="106" s="1"/>
  <c r="M247" i="106" a="1"/>
  <c r="M247" i="106" s="1"/>
  <c r="L247" i="106" a="1"/>
  <c r="L247" i="106" s="1"/>
  <c r="K247" i="106" a="1"/>
  <c r="K247" i="106" s="1"/>
  <c r="J247" i="106" a="1"/>
  <c r="J247" i="106" s="1"/>
  <c r="I247" i="106" a="1"/>
  <c r="I247" i="106" s="1"/>
  <c r="H247" i="106" a="1"/>
  <c r="H247" i="106" s="1"/>
  <c r="G247" i="106" a="1"/>
  <c r="G247" i="106" s="1"/>
  <c r="F247" i="106" a="1"/>
  <c r="F247" i="106" s="1"/>
  <c r="E247" i="106" a="1"/>
  <c r="E247" i="106" s="1"/>
  <c r="D247" i="106" a="1"/>
  <c r="D247" i="106" s="1"/>
  <c r="S246" i="106" a="1"/>
  <c r="S246" i="106" s="1"/>
  <c r="R246" i="106" a="1"/>
  <c r="R246" i="106" s="1"/>
  <c r="Q246" i="106" a="1"/>
  <c r="Q246" i="106" s="1"/>
  <c r="P246" i="106" a="1"/>
  <c r="P246" i="106" s="1"/>
  <c r="O246" i="106" a="1"/>
  <c r="O246" i="106" s="1"/>
  <c r="N246" i="106" a="1"/>
  <c r="N246" i="106" s="1"/>
  <c r="M246" i="106" a="1"/>
  <c r="M246" i="106" s="1"/>
  <c r="L246" i="106" a="1"/>
  <c r="L246" i="106" s="1"/>
  <c r="K246" i="106" a="1"/>
  <c r="K246" i="106" s="1"/>
  <c r="J246" i="106" a="1"/>
  <c r="J246" i="106" s="1"/>
  <c r="I246" i="106" a="1"/>
  <c r="I246" i="106" s="1"/>
  <c r="H246" i="106" a="1"/>
  <c r="H246" i="106" s="1"/>
  <c r="G246" i="106" a="1"/>
  <c r="G246" i="106" s="1"/>
  <c r="F246" i="106" a="1"/>
  <c r="F246" i="106" s="1"/>
  <c r="E246" i="106" a="1"/>
  <c r="E246" i="106" s="1"/>
  <c r="D246" i="106" a="1"/>
  <c r="D246" i="106" s="1"/>
  <c r="S245" i="106" a="1"/>
  <c r="S245" i="106" s="1"/>
  <c r="R245" i="106" a="1"/>
  <c r="R245" i="106" s="1"/>
  <c r="Q245" i="106" a="1"/>
  <c r="Q245" i="106" s="1"/>
  <c r="P245" i="106" a="1"/>
  <c r="P245" i="106" s="1"/>
  <c r="O245" i="106" a="1"/>
  <c r="O245" i="106" s="1"/>
  <c r="N245" i="106" a="1"/>
  <c r="N245" i="106" s="1"/>
  <c r="M245" i="106" a="1"/>
  <c r="M245" i="106" s="1"/>
  <c r="L245" i="106" a="1"/>
  <c r="L245" i="106" s="1"/>
  <c r="K245" i="106" a="1"/>
  <c r="K245" i="106" s="1"/>
  <c r="J245" i="106" a="1"/>
  <c r="J245" i="106" s="1"/>
  <c r="I245" i="106" a="1"/>
  <c r="I245" i="106" s="1"/>
  <c r="H245" i="106" a="1"/>
  <c r="H245" i="106" s="1"/>
  <c r="G245" i="106" a="1"/>
  <c r="G245" i="106" s="1"/>
  <c r="F245" i="106" a="1"/>
  <c r="F245" i="106" s="1"/>
  <c r="E245" i="106" a="1"/>
  <c r="E245" i="106" s="1"/>
  <c r="D245" i="106" a="1"/>
  <c r="D245" i="106" s="1"/>
  <c r="S244" i="106" a="1"/>
  <c r="S244" i="106" s="1"/>
  <c r="R244" i="106" a="1"/>
  <c r="R244" i="106" s="1"/>
  <c r="Q244" i="106" a="1"/>
  <c r="Q244" i="106" s="1"/>
  <c r="P244" i="106" a="1"/>
  <c r="P244" i="106" s="1"/>
  <c r="O244" i="106" a="1"/>
  <c r="O244" i="106" s="1"/>
  <c r="N244" i="106" a="1"/>
  <c r="N244" i="106" s="1"/>
  <c r="M244" i="106" a="1"/>
  <c r="M244" i="106" s="1"/>
  <c r="L244" i="106" a="1"/>
  <c r="L244" i="106" s="1"/>
  <c r="K244" i="106" a="1"/>
  <c r="K244" i="106" s="1"/>
  <c r="J244" i="106" a="1"/>
  <c r="J244" i="106" s="1"/>
  <c r="I244" i="106" a="1"/>
  <c r="I244" i="106" s="1"/>
  <c r="H244" i="106" a="1"/>
  <c r="H244" i="106" s="1"/>
  <c r="G244" i="106" a="1"/>
  <c r="G244" i="106" s="1"/>
  <c r="F244" i="106" a="1"/>
  <c r="F244" i="106" s="1"/>
  <c r="E244" i="106" a="1"/>
  <c r="E244" i="106" s="1"/>
  <c r="D244" i="106" a="1"/>
  <c r="D244" i="106" s="1"/>
  <c r="S243" i="106" a="1"/>
  <c r="S243" i="106" s="1"/>
  <c r="R243" i="106" a="1"/>
  <c r="R243" i="106" s="1"/>
  <c r="Q243" i="106" a="1"/>
  <c r="Q243" i="106" s="1"/>
  <c r="P243" i="106" a="1"/>
  <c r="P243" i="106" s="1"/>
  <c r="O243" i="106" a="1"/>
  <c r="O243" i="106" s="1"/>
  <c r="N243" i="106" a="1"/>
  <c r="N243" i="106" s="1"/>
  <c r="M243" i="106" a="1"/>
  <c r="M243" i="106" s="1"/>
  <c r="L243" i="106" a="1"/>
  <c r="L243" i="106" s="1"/>
  <c r="K243" i="106" a="1"/>
  <c r="K243" i="106" s="1"/>
  <c r="J243" i="106" a="1"/>
  <c r="J243" i="106" s="1"/>
  <c r="I243" i="106" a="1"/>
  <c r="I243" i="106" s="1"/>
  <c r="H243" i="106" a="1"/>
  <c r="H243" i="106" s="1"/>
  <c r="G243" i="106" a="1"/>
  <c r="G243" i="106" s="1"/>
  <c r="F243" i="106" a="1"/>
  <c r="F243" i="106" s="1"/>
  <c r="E243" i="106" a="1"/>
  <c r="E243" i="106" s="1"/>
  <c r="D243" i="106" a="1"/>
  <c r="D243" i="106" s="1"/>
  <c r="S242" i="106" a="1"/>
  <c r="S242" i="106" s="1"/>
  <c r="R242" i="106" a="1"/>
  <c r="R242" i="106" s="1"/>
  <c r="Q242" i="106" a="1"/>
  <c r="Q242" i="106" s="1"/>
  <c r="P242" i="106" a="1"/>
  <c r="P242" i="106" s="1"/>
  <c r="O242" i="106" a="1"/>
  <c r="O242" i="106" s="1"/>
  <c r="N242" i="106" a="1"/>
  <c r="N242" i="106" s="1"/>
  <c r="M242" i="106" a="1"/>
  <c r="M242" i="106" s="1"/>
  <c r="L242" i="106" a="1"/>
  <c r="L242" i="106" s="1"/>
  <c r="K242" i="106" a="1"/>
  <c r="K242" i="106" s="1"/>
  <c r="J242" i="106" a="1"/>
  <c r="J242" i="106" s="1"/>
  <c r="I242" i="106" a="1"/>
  <c r="I242" i="106" s="1"/>
  <c r="H242" i="106" a="1"/>
  <c r="H242" i="106" s="1"/>
  <c r="G242" i="106" a="1"/>
  <c r="G242" i="106" s="1"/>
  <c r="F242" i="106" a="1"/>
  <c r="F242" i="106" s="1"/>
  <c r="E242" i="106" a="1"/>
  <c r="E242" i="106" s="1"/>
  <c r="D242" i="106" a="1"/>
  <c r="D242" i="106" s="1"/>
  <c r="S241" i="106" a="1"/>
  <c r="S241" i="106" s="1"/>
  <c r="R241" i="106" a="1"/>
  <c r="R241" i="106" s="1"/>
  <c r="Q241" i="106" a="1"/>
  <c r="Q241" i="106" s="1"/>
  <c r="P241" i="106" a="1"/>
  <c r="P241" i="106" s="1"/>
  <c r="O241" i="106" a="1"/>
  <c r="O241" i="106" s="1"/>
  <c r="N241" i="106" a="1"/>
  <c r="N241" i="106" s="1"/>
  <c r="M241" i="106" a="1"/>
  <c r="M241" i="106" s="1"/>
  <c r="L241" i="106" a="1"/>
  <c r="L241" i="106" s="1"/>
  <c r="K241" i="106" a="1"/>
  <c r="K241" i="106" s="1"/>
  <c r="J241" i="106" a="1"/>
  <c r="J241" i="106" s="1"/>
  <c r="I241" i="106" a="1"/>
  <c r="I241" i="106" s="1"/>
  <c r="H241" i="106" a="1"/>
  <c r="H241" i="106" s="1"/>
  <c r="G241" i="106" a="1"/>
  <c r="G241" i="106" s="1"/>
  <c r="F241" i="106" a="1"/>
  <c r="F241" i="106" s="1"/>
  <c r="E241" i="106" a="1"/>
  <c r="E241" i="106" s="1"/>
  <c r="D241" i="106" a="1"/>
  <c r="D241" i="106" s="1"/>
  <c r="S240" i="106" a="1"/>
  <c r="S240" i="106" s="1"/>
  <c r="R240" i="106" a="1"/>
  <c r="R240" i="106" s="1"/>
  <c r="Q240" i="106" a="1"/>
  <c r="Q240" i="106" s="1"/>
  <c r="P240" i="106" a="1"/>
  <c r="P240" i="106" s="1"/>
  <c r="O240" i="106" a="1"/>
  <c r="O240" i="106" s="1"/>
  <c r="N240" i="106" a="1"/>
  <c r="N240" i="106" s="1"/>
  <c r="M240" i="106" a="1"/>
  <c r="M240" i="106" s="1"/>
  <c r="L240" i="106" a="1"/>
  <c r="L240" i="106" s="1"/>
  <c r="K240" i="106" a="1"/>
  <c r="K240" i="106" s="1"/>
  <c r="J240" i="106" a="1"/>
  <c r="J240" i="106" s="1"/>
  <c r="I240" i="106" a="1"/>
  <c r="I240" i="106" s="1"/>
  <c r="H240" i="106" a="1"/>
  <c r="H240" i="106" s="1"/>
  <c r="G240" i="106" a="1"/>
  <c r="G240" i="106" s="1"/>
  <c r="F240" i="106" a="1"/>
  <c r="F240" i="106" s="1"/>
  <c r="E240" i="106" a="1"/>
  <c r="E240" i="106" s="1"/>
  <c r="D240" i="106" a="1"/>
  <c r="D240" i="106" s="1"/>
  <c r="S239" i="106" a="1"/>
  <c r="S239" i="106" s="1"/>
  <c r="R239" i="106" a="1"/>
  <c r="R239" i="106" s="1"/>
  <c r="Q239" i="106" a="1"/>
  <c r="Q239" i="106" s="1"/>
  <c r="P239" i="106" a="1"/>
  <c r="P239" i="106" s="1"/>
  <c r="O239" i="106" a="1"/>
  <c r="O239" i="106" s="1"/>
  <c r="N239" i="106" a="1"/>
  <c r="N239" i="106" s="1"/>
  <c r="M239" i="106" a="1"/>
  <c r="M239" i="106" s="1"/>
  <c r="L239" i="106" a="1"/>
  <c r="L239" i="106" s="1"/>
  <c r="K239" i="106" a="1"/>
  <c r="K239" i="106" s="1"/>
  <c r="J239" i="106" a="1"/>
  <c r="J239" i="106" s="1"/>
  <c r="I239" i="106" a="1"/>
  <c r="I239" i="106" s="1"/>
  <c r="H239" i="106" a="1"/>
  <c r="H239" i="106" s="1"/>
  <c r="G239" i="106" a="1"/>
  <c r="G239" i="106" s="1"/>
  <c r="F239" i="106" a="1"/>
  <c r="F239" i="106" s="1"/>
  <c r="E239" i="106" a="1"/>
  <c r="E239" i="106" s="1"/>
  <c r="D239" i="106" a="1"/>
  <c r="D239" i="106" s="1"/>
  <c r="S238" i="106" a="1"/>
  <c r="S238" i="106" s="1"/>
  <c r="R238" i="106" a="1"/>
  <c r="R238" i="106" s="1"/>
  <c r="Q238" i="106" a="1"/>
  <c r="Q238" i="106" s="1"/>
  <c r="P238" i="106" a="1"/>
  <c r="P238" i="106" s="1"/>
  <c r="O238" i="106" a="1"/>
  <c r="O238" i="106" s="1"/>
  <c r="N238" i="106" a="1"/>
  <c r="N238" i="106" s="1"/>
  <c r="M238" i="106" a="1"/>
  <c r="M238" i="106" s="1"/>
  <c r="L238" i="106" a="1"/>
  <c r="L238" i="106" s="1"/>
  <c r="K238" i="106" a="1"/>
  <c r="K238" i="106" s="1"/>
  <c r="J238" i="106" a="1"/>
  <c r="J238" i="106" s="1"/>
  <c r="I238" i="106" a="1"/>
  <c r="I238" i="106" s="1"/>
  <c r="H238" i="106" a="1"/>
  <c r="H238" i="106" s="1"/>
  <c r="G238" i="106" a="1"/>
  <c r="G238" i="106" s="1"/>
  <c r="F238" i="106" a="1"/>
  <c r="F238" i="106" s="1"/>
  <c r="E238" i="106" a="1"/>
  <c r="E238" i="106" s="1"/>
  <c r="D238" i="106" a="1"/>
  <c r="D238" i="106" s="1"/>
  <c r="S237" i="106" a="1"/>
  <c r="S237" i="106" s="1"/>
  <c r="R237" i="106" a="1"/>
  <c r="R237" i="106" s="1"/>
  <c r="Q237" i="106" a="1"/>
  <c r="Q237" i="106" s="1"/>
  <c r="P237" i="106" a="1"/>
  <c r="P237" i="106" s="1"/>
  <c r="O237" i="106" a="1"/>
  <c r="O237" i="106" s="1"/>
  <c r="N237" i="106" a="1"/>
  <c r="N237" i="106" s="1"/>
  <c r="M237" i="106" a="1"/>
  <c r="M237" i="106" s="1"/>
  <c r="L237" i="106" a="1"/>
  <c r="L237" i="106" s="1"/>
  <c r="K237" i="106" a="1"/>
  <c r="K237" i="106" s="1"/>
  <c r="J237" i="106" a="1"/>
  <c r="J237" i="106" s="1"/>
  <c r="I237" i="106" a="1"/>
  <c r="I237" i="106" s="1"/>
  <c r="H237" i="106" a="1"/>
  <c r="H237" i="106" s="1"/>
  <c r="G237" i="106" a="1"/>
  <c r="G237" i="106" s="1"/>
  <c r="F237" i="106" a="1"/>
  <c r="F237" i="106" s="1"/>
  <c r="E237" i="106" a="1"/>
  <c r="E237" i="106" s="1"/>
  <c r="D237" i="106" a="1"/>
  <c r="D237" i="106" s="1"/>
  <c r="S236" i="106" a="1"/>
  <c r="S236" i="106" s="1"/>
  <c r="R236" i="106" a="1"/>
  <c r="R236" i="106" s="1"/>
  <c r="Q236" i="106" a="1"/>
  <c r="Q236" i="106" s="1"/>
  <c r="P236" i="106" a="1"/>
  <c r="P236" i="106" s="1"/>
  <c r="O236" i="106" a="1"/>
  <c r="O236" i="106" s="1"/>
  <c r="N236" i="106" a="1"/>
  <c r="N236" i="106" s="1"/>
  <c r="M236" i="106" a="1"/>
  <c r="M236" i="106" s="1"/>
  <c r="L236" i="106" a="1"/>
  <c r="L236" i="106" s="1"/>
  <c r="K236" i="106" a="1"/>
  <c r="K236" i="106" s="1"/>
  <c r="J236" i="106" a="1"/>
  <c r="J236" i="106" s="1"/>
  <c r="I236" i="106" a="1"/>
  <c r="I236" i="106" s="1"/>
  <c r="H236" i="106" a="1"/>
  <c r="H236" i="106" s="1"/>
  <c r="G236" i="106" a="1"/>
  <c r="G236" i="106" s="1"/>
  <c r="F236" i="106" a="1"/>
  <c r="F236" i="106" s="1"/>
  <c r="E236" i="106" a="1"/>
  <c r="E236" i="106" s="1"/>
  <c r="D236" i="106" a="1"/>
  <c r="D236" i="106" s="1"/>
  <c r="S235" i="106" a="1"/>
  <c r="S235" i="106" s="1"/>
  <c r="R235" i="106" a="1"/>
  <c r="R235" i="106" s="1"/>
  <c r="Q235" i="106" a="1"/>
  <c r="Q235" i="106" s="1"/>
  <c r="P235" i="106" a="1"/>
  <c r="P235" i="106" s="1"/>
  <c r="O235" i="106" a="1"/>
  <c r="O235" i="106" s="1"/>
  <c r="N235" i="106" a="1"/>
  <c r="N235" i="106" s="1"/>
  <c r="M235" i="106" a="1"/>
  <c r="M235" i="106" s="1"/>
  <c r="L235" i="106" a="1"/>
  <c r="L235" i="106" s="1"/>
  <c r="K235" i="106" a="1"/>
  <c r="K235" i="106" s="1"/>
  <c r="J235" i="106" a="1"/>
  <c r="J235" i="106" s="1"/>
  <c r="I235" i="106" a="1"/>
  <c r="I235" i="106" s="1"/>
  <c r="H235" i="106" a="1"/>
  <c r="H235" i="106" s="1"/>
  <c r="G235" i="106" a="1"/>
  <c r="G235" i="106" s="1"/>
  <c r="F235" i="106" a="1"/>
  <c r="F235" i="106" s="1"/>
  <c r="E235" i="106" a="1"/>
  <c r="E235" i="106" s="1"/>
  <c r="D235" i="106" a="1"/>
  <c r="D235" i="106" s="1"/>
  <c r="S234" i="106" a="1"/>
  <c r="S234" i="106" s="1"/>
  <c r="R234" i="106" a="1"/>
  <c r="R234" i="106" s="1"/>
  <c r="Q234" i="106" a="1"/>
  <c r="Q234" i="106" s="1"/>
  <c r="P234" i="106" a="1"/>
  <c r="P234" i="106" s="1"/>
  <c r="O234" i="106" a="1"/>
  <c r="O234" i="106" s="1"/>
  <c r="N234" i="106" a="1"/>
  <c r="N234" i="106" s="1"/>
  <c r="M234" i="106" a="1"/>
  <c r="M234" i="106" s="1"/>
  <c r="L234" i="106" a="1"/>
  <c r="L234" i="106" s="1"/>
  <c r="K234" i="106" a="1"/>
  <c r="K234" i="106" s="1"/>
  <c r="J234" i="106" a="1"/>
  <c r="J234" i="106" s="1"/>
  <c r="I234" i="106" a="1"/>
  <c r="I234" i="106" s="1"/>
  <c r="H234" i="106" a="1"/>
  <c r="H234" i="106" s="1"/>
  <c r="G234" i="106" a="1"/>
  <c r="G234" i="106" s="1"/>
  <c r="F234" i="106" a="1"/>
  <c r="F234" i="106" s="1"/>
  <c r="E234" i="106" a="1"/>
  <c r="E234" i="106" s="1"/>
  <c r="D234" i="106" a="1"/>
  <c r="D234" i="106" s="1"/>
  <c r="S233" i="106" a="1"/>
  <c r="S233" i="106" s="1"/>
  <c r="R233" i="106" a="1"/>
  <c r="R233" i="106" s="1"/>
  <c r="Q233" i="106" a="1"/>
  <c r="Q233" i="106" s="1"/>
  <c r="P233" i="106" a="1"/>
  <c r="P233" i="106" s="1"/>
  <c r="O233" i="106" a="1"/>
  <c r="O233" i="106" s="1"/>
  <c r="N233" i="106" a="1"/>
  <c r="N233" i="106" s="1"/>
  <c r="M233" i="106" a="1"/>
  <c r="M233" i="106" s="1"/>
  <c r="L233" i="106" a="1"/>
  <c r="L233" i="106" s="1"/>
  <c r="K233" i="106" a="1"/>
  <c r="K233" i="106" s="1"/>
  <c r="J233" i="106" a="1"/>
  <c r="J233" i="106" s="1"/>
  <c r="I233" i="106" a="1"/>
  <c r="I233" i="106" s="1"/>
  <c r="H233" i="106" a="1"/>
  <c r="H233" i="106" s="1"/>
  <c r="G233" i="106" a="1"/>
  <c r="G233" i="106" s="1"/>
  <c r="F233" i="106" a="1"/>
  <c r="F233" i="106" s="1"/>
  <c r="E233" i="106" a="1"/>
  <c r="E233" i="106" s="1"/>
  <c r="D233" i="106" a="1"/>
  <c r="D233" i="106" s="1"/>
  <c r="S232" i="106" a="1"/>
  <c r="S232" i="106" s="1"/>
  <c r="R232" i="106" a="1"/>
  <c r="R232" i="106" s="1"/>
  <c r="Q232" i="106" a="1"/>
  <c r="Q232" i="106" s="1"/>
  <c r="P232" i="106" a="1"/>
  <c r="P232" i="106" s="1"/>
  <c r="O232" i="106" a="1"/>
  <c r="O232" i="106" s="1"/>
  <c r="N232" i="106" a="1"/>
  <c r="N232" i="106" s="1"/>
  <c r="M232" i="106" a="1"/>
  <c r="M232" i="106" s="1"/>
  <c r="L232" i="106" a="1"/>
  <c r="L232" i="106" s="1"/>
  <c r="K232" i="106" a="1"/>
  <c r="K232" i="106" s="1"/>
  <c r="J232" i="106" a="1"/>
  <c r="J232" i="106" s="1"/>
  <c r="I232" i="106" a="1"/>
  <c r="I232" i="106" s="1"/>
  <c r="H232" i="106" a="1"/>
  <c r="H232" i="106" s="1"/>
  <c r="G232" i="106" a="1"/>
  <c r="G232" i="106" s="1"/>
  <c r="F232" i="106" a="1"/>
  <c r="F232" i="106" s="1"/>
  <c r="E232" i="106" a="1"/>
  <c r="E232" i="106" s="1"/>
  <c r="D232" i="106" a="1"/>
  <c r="D232" i="106" s="1"/>
  <c r="D229" i="106" a="1"/>
  <c r="D229" i="106" s="1"/>
  <c r="D228" i="106" a="1"/>
  <c r="D228" i="106" s="1"/>
  <c r="D227" i="106" a="1"/>
  <c r="D227" i="106" s="1"/>
  <c r="E224" i="106" a="1"/>
  <c r="E224" i="106" s="1"/>
  <c r="D224" i="106" a="1"/>
  <c r="D224" i="106" s="1"/>
  <c r="E223" i="106" a="1"/>
  <c r="E223" i="106" s="1"/>
  <c r="D223" i="106" a="1"/>
  <c r="D223" i="106" s="1"/>
  <c r="E222" i="106" a="1"/>
  <c r="E222" i="106" s="1"/>
  <c r="D222" i="106" a="1"/>
  <c r="D222" i="106" s="1"/>
  <c r="E221" i="106" a="1"/>
  <c r="E221" i="106" s="1"/>
  <c r="D221" i="106" a="1"/>
  <c r="D221" i="106" s="1"/>
  <c r="E220" i="106" a="1"/>
  <c r="E220" i="106" s="1"/>
  <c r="D220" i="106" a="1"/>
  <c r="D220" i="106" s="1"/>
  <c r="E219" i="106" a="1"/>
  <c r="E219" i="106" s="1"/>
  <c r="D219" i="106" a="1"/>
  <c r="D219" i="106" s="1"/>
  <c r="E218" i="106" a="1"/>
  <c r="E218" i="106" s="1"/>
  <c r="D218" i="106" a="1"/>
  <c r="D218" i="106" s="1"/>
  <c r="E217" i="106" a="1"/>
  <c r="E217" i="106" s="1"/>
  <c r="D217" i="106" a="1"/>
  <c r="D217" i="106" s="1"/>
  <c r="E216" i="106" a="1"/>
  <c r="E216" i="106" s="1"/>
  <c r="D216" i="106" a="1"/>
  <c r="D216" i="106" s="1"/>
  <c r="E215" i="106" a="1"/>
  <c r="E215" i="106" s="1"/>
  <c r="D215" i="106" a="1"/>
  <c r="D215" i="106" s="1"/>
  <c r="E214" i="106" a="1"/>
  <c r="E214" i="106" s="1"/>
  <c r="D214" i="106" a="1"/>
  <c r="D214" i="106" s="1"/>
  <c r="E213" i="106" a="1"/>
  <c r="E213" i="106" s="1"/>
  <c r="D213" i="106" a="1"/>
  <c r="D213" i="106" s="1"/>
  <c r="D211" i="106"/>
  <c r="D211" i="106" a="1"/>
  <c r="E208" i="106" a="1"/>
  <c r="E208" i="106" s="1"/>
  <c r="D208" i="106" a="1"/>
  <c r="D208" i="106" s="1"/>
  <c r="E207" i="106" a="1"/>
  <c r="E207" i="106" s="1"/>
  <c r="D207" i="106" a="1"/>
  <c r="D207" i="106" s="1"/>
  <c r="D205" i="106" a="1"/>
  <c r="D205" i="106" s="1"/>
  <c r="D204" i="106" a="1"/>
  <c r="D204" i="106" s="1"/>
  <c r="D203" i="106" a="1"/>
  <c r="D203" i="106" s="1"/>
  <c r="D202" i="106"/>
  <c r="D202" i="106" a="1"/>
  <c r="H199" i="106" a="1"/>
  <c r="H199" i="106" s="1"/>
  <c r="G199" i="106" a="1"/>
  <c r="G199" i="106" s="1"/>
  <c r="F199" i="106" a="1"/>
  <c r="F199" i="106" s="1"/>
  <c r="E199" i="106" a="1"/>
  <c r="E199" i="106" s="1"/>
  <c r="D199" i="106" a="1"/>
  <c r="D199" i="106" s="1"/>
  <c r="H198" i="106" a="1"/>
  <c r="H198" i="106" s="1"/>
  <c r="G198" i="106" a="1"/>
  <c r="G198" i="106" s="1"/>
  <c r="F198" i="106" a="1"/>
  <c r="F198" i="106" s="1"/>
  <c r="E198" i="106" a="1"/>
  <c r="E198" i="106" s="1"/>
  <c r="D198" i="106" a="1"/>
  <c r="D198" i="106" s="1"/>
  <c r="H197" i="106" a="1"/>
  <c r="H197" i="106" s="1"/>
  <c r="G197" i="106" a="1"/>
  <c r="G197" i="106" s="1"/>
  <c r="F197" i="106" a="1"/>
  <c r="F197" i="106" s="1"/>
  <c r="E197" i="106" a="1"/>
  <c r="E197" i="106" s="1"/>
  <c r="D197" i="106" a="1"/>
  <c r="D197" i="106" s="1"/>
  <c r="H196" i="106" a="1"/>
  <c r="H196" i="106" s="1"/>
  <c r="G196" i="106" a="1"/>
  <c r="G196" i="106" s="1"/>
  <c r="F196" i="106" a="1"/>
  <c r="F196" i="106" s="1"/>
  <c r="E196" i="106" a="1"/>
  <c r="E196" i="106" s="1"/>
  <c r="D196" i="106" a="1"/>
  <c r="D196" i="106" s="1"/>
  <c r="H195" i="106" a="1"/>
  <c r="H195" i="106" s="1"/>
  <c r="G195" i="106" a="1"/>
  <c r="G195" i="106" s="1"/>
  <c r="F195" i="106" a="1"/>
  <c r="F195" i="106" s="1"/>
  <c r="E195" i="106" a="1"/>
  <c r="E195" i="106" s="1"/>
  <c r="D195" i="106" a="1"/>
  <c r="D195" i="106" s="1"/>
  <c r="H194" i="106" a="1"/>
  <c r="H194" i="106" s="1"/>
  <c r="G194" i="106" a="1"/>
  <c r="G194" i="106" s="1"/>
  <c r="F194" i="106" a="1"/>
  <c r="F194" i="106" s="1"/>
  <c r="E194" i="106" a="1"/>
  <c r="E194" i="106" s="1"/>
  <c r="D194" i="106" a="1"/>
  <c r="D194" i="106" s="1"/>
  <c r="H193" i="106" a="1"/>
  <c r="H193" i="106" s="1"/>
  <c r="G193" i="106" a="1"/>
  <c r="G193" i="106" s="1"/>
  <c r="F193" i="106" a="1"/>
  <c r="F193" i="106" s="1"/>
  <c r="E193" i="106" a="1"/>
  <c r="E193" i="106" s="1"/>
  <c r="D193" i="106" a="1"/>
  <c r="D193" i="106" s="1"/>
  <c r="H192" i="106" a="1"/>
  <c r="H192" i="106" s="1"/>
  <c r="G192" i="106" a="1"/>
  <c r="G192" i="106" s="1"/>
  <c r="F192" i="106" a="1"/>
  <c r="F192" i="106" s="1"/>
  <c r="E192" i="106" a="1"/>
  <c r="E192" i="106" s="1"/>
  <c r="D192" i="106" a="1"/>
  <c r="D192" i="106" s="1"/>
  <c r="H191" i="106" a="1"/>
  <c r="H191" i="106" s="1"/>
  <c r="G191" i="106" a="1"/>
  <c r="G191" i="106" s="1"/>
  <c r="F191" i="106" a="1"/>
  <c r="F191" i="106" s="1"/>
  <c r="E191" i="106" a="1"/>
  <c r="E191" i="106" s="1"/>
  <c r="D191" i="106" a="1"/>
  <c r="D191" i="106" s="1"/>
  <c r="H190" i="106" a="1"/>
  <c r="H190" i="106" s="1"/>
  <c r="G190" i="106" a="1"/>
  <c r="G190" i="106" s="1"/>
  <c r="F190" i="106" a="1"/>
  <c r="F190" i="106" s="1"/>
  <c r="E190" i="106" a="1"/>
  <c r="E190" i="106" s="1"/>
  <c r="D190" i="106" a="1"/>
  <c r="D190" i="106" s="1"/>
  <c r="H189" i="106" a="1"/>
  <c r="H189" i="106" s="1"/>
  <c r="G189" i="106" a="1"/>
  <c r="G189" i="106" s="1"/>
  <c r="F189" i="106" a="1"/>
  <c r="F189" i="106" s="1"/>
  <c r="E189" i="106" a="1"/>
  <c r="E189" i="106" s="1"/>
  <c r="D189" i="106" a="1"/>
  <c r="D189" i="106" s="1"/>
  <c r="H188" i="106" a="1"/>
  <c r="H188" i="106" s="1"/>
  <c r="G188" i="106" a="1"/>
  <c r="G188" i="106" s="1"/>
  <c r="F188" i="106" a="1"/>
  <c r="F188" i="106" s="1"/>
  <c r="E188" i="106" a="1"/>
  <c r="E188" i="106" s="1"/>
  <c r="D188" i="106" a="1"/>
  <c r="D188" i="106" s="1"/>
  <c r="H187" i="106" a="1"/>
  <c r="H187" i="106" s="1"/>
  <c r="G187" i="106" a="1"/>
  <c r="G187" i="106" s="1"/>
  <c r="F187" i="106" a="1"/>
  <c r="F187" i="106" s="1"/>
  <c r="E187" i="106" a="1"/>
  <c r="E187" i="106" s="1"/>
  <c r="D187" i="106" a="1"/>
  <c r="D187" i="106" s="1"/>
  <c r="D181" i="106" a="1"/>
  <c r="D181" i="106" s="1"/>
  <c r="D180" i="106" a="1"/>
  <c r="D180" i="106" s="1"/>
  <c r="D179" i="106" a="1"/>
  <c r="D179" i="106" s="1"/>
  <c r="D178" i="106" a="1"/>
  <c r="D178" i="106" s="1"/>
  <c r="E175" i="106" a="1"/>
  <c r="E175" i="106" s="1"/>
  <c r="D175" i="106"/>
  <c r="D175" i="106" a="1"/>
  <c r="D174" i="106" a="1"/>
  <c r="D174" i="106" s="1"/>
  <c r="D173" i="106" a="1"/>
  <c r="D173" i="106" s="1"/>
  <c r="D170" i="106" a="1"/>
  <c r="D170" i="106" s="1"/>
  <c r="D169" i="106" a="1"/>
  <c r="D169" i="106" s="1"/>
  <c r="D168" i="106" a="1"/>
  <c r="D168" i="106" s="1"/>
  <c r="D167" i="106" a="1"/>
  <c r="D167" i="106" s="1"/>
  <c r="D164" i="106" a="1"/>
  <c r="D164" i="106" s="1"/>
  <c r="D163" i="106" a="1"/>
  <c r="D163" i="106" s="1"/>
  <c r="D162" i="106" a="1"/>
  <c r="D162" i="106" s="1"/>
  <c r="D161" i="106" a="1"/>
  <c r="D161" i="106" s="1"/>
  <c r="E158" i="106" a="1"/>
  <c r="E158" i="106" s="1"/>
  <c r="D158" i="106" a="1"/>
  <c r="D158" i="106" s="1"/>
  <c r="E157" i="106" a="1"/>
  <c r="E157" i="106" s="1"/>
  <c r="D157" i="106" a="1"/>
  <c r="D157" i="106" s="1"/>
  <c r="E156" i="106" a="1"/>
  <c r="E156" i="106" s="1"/>
  <c r="D156" i="106" a="1"/>
  <c r="D156" i="106" s="1"/>
  <c r="E155" i="106" a="1"/>
  <c r="E155" i="106" s="1"/>
  <c r="D155" i="106" a="1"/>
  <c r="D155" i="106" s="1"/>
  <c r="E154" i="106" a="1"/>
  <c r="E154" i="106" s="1"/>
  <c r="D154" i="106" a="1"/>
  <c r="D154" i="106" s="1"/>
  <c r="D151" i="106" a="1"/>
  <c r="D151" i="106" s="1"/>
  <c r="D150" i="106" a="1"/>
  <c r="D150" i="106" s="1"/>
  <c r="E147" i="106" a="1"/>
  <c r="E147" i="106" s="1"/>
  <c r="D147" i="106" a="1"/>
  <c r="D147" i="106" s="1"/>
  <c r="E146" i="106" a="1"/>
  <c r="E146" i="106" s="1"/>
  <c r="D146" i="106" a="1"/>
  <c r="D146" i="106" s="1"/>
  <c r="E145" i="106" a="1"/>
  <c r="E145" i="106" s="1"/>
  <c r="D145" i="106" a="1"/>
  <c r="D145" i="106" s="1"/>
  <c r="E144" i="106" a="1"/>
  <c r="E144" i="106" s="1"/>
  <c r="D144" i="106" a="1"/>
  <c r="D144" i="106" s="1"/>
  <c r="E143" i="106" a="1"/>
  <c r="E143" i="106" s="1"/>
  <c r="D143" i="106" a="1"/>
  <c r="D143" i="106" s="1"/>
  <c r="D141" i="106" a="1"/>
  <c r="D141" i="106" s="1"/>
  <c r="D140" i="106" a="1"/>
  <c r="D140" i="106" s="1"/>
  <c r="D139" i="106"/>
  <c r="D139" i="106" a="1"/>
  <c r="E136" i="106" a="1"/>
  <c r="E136" i="106" s="1"/>
  <c r="D136" i="106" a="1"/>
  <c r="D136" i="106" s="1"/>
  <c r="E135" i="106" a="1"/>
  <c r="E135" i="106" s="1"/>
  <c r="D135" i="106" a="1"/>
  <c r="D135" i="106" s="1"/>
  <c r="D133" i="106" a="1"/>
  <c r="D133" i="106" s="1"/>
  <c r="D132" i="106" a="1"/>
  <c r="D132" i="106" s="1"/>
  <c r="E129" i="106" a="1"/>
  <c r="E129" i="106" s="1"/>
  <c r="D129" i="106" a="1"/>
  <c r="D129" i="106" s="1"/>
  <c r="E128" i="106" a="1"/>
  <c r="E128" i="106" s="1"/>
  <c r="D128" i="106" a="1"/>
  <c r="D128" i="106" s="1"/>
  <c r="D125" i="106" a="1"/>
  <c r="D125" i="106" s="1"/>
  <c r="D124" i="106" a="1"/>
  <c r="D124" i="106" s="1"/>
  <c r="G121" i="106" a="1"/>
  <c r="G121" i="106" s="1"/>
  <c r="F121" i="106" a="1"/>
  <c r="F121" i="106" s="1"/>
  <c r="E121" i="106" a="1"/>
  <c r="E121" i="106" s="1"/>
  <c r="D121" i="106" a="1"/>
  <c r="D121" i="106" s="1"/>
  <c r="G120" i="106" a="1"/>
  <c r="G120" i="106" s="1"/>
  <c r="F120" i="106" a="1"/>
  <c r="F120" i="106" s="1"/>
  <c r="E120" i="106" a="1"/>
  <c r="E120" i="106" s="1"/>
  <c r="D120" i="106" a="1"/>
  <c r="D120" i="106" s="1"/>
  <c r="D117" i="106" a="1"/>
  <c r="D117" i="106" s="1"/>
  <c r="D116" i="106" a="1"/>
  <c r="D116" i="106" s="1"/>
  <c r="D115" i="106" a="1"/>
  <c r="D115" i="106" s="1"/>
  <c r="G112" i="106" a="1"/>
  <c r="G112" i="106" s="1"/>
  <c r="F112" i="106" a="1"/>
  <c r="F112" i="106" s="1"/>
  <c r="E112" i="106" a="1"/>
  <c r="E112" i="106" s="1"/>
  <c r="D112" i="106" a="1"/>
  <c r="D112" i="106" s="1"/>
  <c r="G111" i="106" a="1"/>
  <c r="G111" i="106" s="1"/>
  <c r="F111" i="106" a="1"/>
  <c r="F111" i="106" s="1"/>
  <c r="E111" i="106" a="1"/>
  <c r="E111" i="106" s="1"/>
  <c r="D111" i="106" a="1"/>
  <c r="D111" i="106" s="1"/>
  <c r="G110" i="106" a="1"/>
  <c r="G110" i="106" s="1"/>
  <c r="F110" i="106" a="1"/>
  <c r="F110" i="106" s="1"/>
  <c r="E110" i="106" a="1"/>
  <c r="E110" i="106" s="1"/>
  <c r="D110" i="106" a="1"/>
  <c r="D110" i="106" s="1"/>
  <c r="D107" i="106" a="1"/>
  <c r="D107" i="106" s="1"/>
  <c r="D106" i="106" a="1"/>
  <c r="D106" i="106" s="1"/>
  <c r="D105" i="106" a="1"/>
  <c r="D105" i="106" s="1"/>
  <c r="D99" i="106" a="1"/>
  <c r="D99" i="106" s="1"/>
  <c r="S97" i="106" a="1"/>
  <c r="S97" i="106" s="1"/>
  <c r="R97" i="106" a="1"/>
  <c r="R97" i="106" s="1"/>
  <c r="Q97" i="106" a="1"/>
  <c r="Q97" i="106" s="1"/>
  <c r="P97" i="106" a="1"/>
  <c r="P97" i="106" s="1"/>
  <c r="O97" i="106" a="1"/>
  <c r="O97" i="106" s="1"/>
  <c r="N97" i="106" a="1"/>
  <c r="N97" i="106" s="1"/>
  <c r="M97" i="106" a="1"/>
  <c r="M97" i="106" s="1"/>
  <c r="L97" i="106" a="1"/>
  <c r="L97" i="106" s="1"/>
  <c r="K97" i="106" a="1"/>
  <c r="K97" i="106" s="1"/>
  <c r="J97" i="106" a="1"/>
  <c r="J97" i="106" s="1"/>
  <c r="I97" i="106" a="1"/>
  <c r="I97" i="106" s="1"/>
  <c r="H97" i="106" a="1"/>
  <c r="H97" i="106" s="1"/>
  <c r="G97" i="106" a="1"/>
  <c r="G97" i="106" s="1"/>
  <c r="F97" i="106" a="1"/>
  <c r="F97" i="106" s="1"/>
  <c r="E97" i="106" a="1"/>
  <c r="E97" i="106" s="1"/>
  <c r="D97" i="106" a="1"/>
  <c r="D97" i="106" s="1"/>
  <c r="S96" i="106" a="1"/>
  <c r="S96" i="106" s="1"/>
  <c r="R96" i="106" a="1"/>
  <c r="R96" i="106" s="1"/>
  <c r="Q96" i="106" a="1"/>
  <c r="Q96" i="106" s="1"/>
  <c r="P96" i="106" a="1"/>
  <c r="P96" i="106" s="1"/>
  <c r="O96" i="106" a="1"/>
  <c r="O96" i="106" s="1"/>
  <c r="N96" i="106" a="1"/>
  <c r="N96" i="106" s="1"/>
  <c r="M96" i="106" a="1"/>
  <c r="M96" i="106" s="1"/>
  <c r="L96" i="106" a="1"/>
  <c r="L96" i="106" s="1"/>
  <c r="K96" i="106" a="1"/>
  <c r="K96" i="106" s="1"/>
  <c r="J96" i="106" a="1"/>
  <c r="J96" i="106" s="1"/>
  <c r="I96" i="106" a="1"/>
  <c r="I96" i="106" s="1"/>
  <c r="H96" i="106" a="1"/>
  <c r="H96" i="106" s="1"/>
  <c r="G96" i="106" a="1"/>
  <c r="G96" i="106" s="1"/>
  <c r="F96" i="106" a="1"/>
  <c r="F96" i="106" s="1"/>
  <c r="E96" i="106" a="1"/>
  <c r="E96" i="106" s="1"/>
  <c r="D96" i="106" a="1"/>
  <c r="D96" i="106" s="1"/>
  <c r="S95" i="106" a="1"/>
  <c r="S95" i="106" s="1"/>
  <c r="R95" i="106" a="1"/>
  <c r="R95" i="106" s="1"/>
  <c r="Q95" i="106" a="1"/>
  <c r="Q95" i="106" s="1"/>
  <c r="P95" i="106" a="1"/>
  <c r="P95" i="106" s="1"/>
  <c r="O95" i="106" a="1"/>
  <c r="O95" i="106" s="1"/>
  <c r="N95" i="106" a="1"/>
  <c r="N95" i="106" s="1"/>
  <c r="M95" i="106" a="1"/>
  <c r="M95" i="106" s="1"/>
  <c r="L95" i="106" a="1"/>
  <c r="L95" i="106" s="1"/>
  <c r="K95" i="106" a="1"/>
  <c r="K95" i="106" s="1"/>
  <c r="J95" i="106" a="1"/>
  <c r="J95" i="106" s="1"/>
  <c r="I95" i="106" a="1"/>
  <c r="I95" i="106" s="1"/>
  <c r="H95" i="106" a="1"/>
  <c r="H95" i="106" s="1"/>
  <c r="G95" i="106" a="1"/>
  <c r="G95" i="106" s="1"/>
  <c r="F95" i="106" a="1"/>
  <c r="F95" i="106" s="1"/>
  <c r="E95" i="106" a="1"/>
  <c r="E95" i="106" s="1"/>
  <c r="D95" i="106" a="1"/>
  <c r="D95" i="106" s="1"/>
  <c r="S94" i="106" a="1"/>
  <c r="S94" i="106" s="1"/>
  <c r="R94" i="106" a="1"/>
  <c r="R94" i="106" s="1"/>
  <c r="Q94" i="106" a="1"/>
  <c r="Q94" i="106" s="1"/>
  <c r="P94" i="106" a="1"/>
  <c r="P94" i="106" s="1"/>
  <c r="O94" i="106" a="1"/>
  <c r="O94" i="106" s="1"/>
  <c r="N94" i="106" a="1"/>
  <c r="N94" i="106" s="1"/>
  <c r="M94" i="106" a="1"/>
  <c r="M94" i="106" s="1"/>
  <c r="L94" i="106" a="1"/>
  <c r="L94" i="106" s="1"/>
  <c r="K94" i="106" a="1"/>
  <c r="K94" i="106" s="1"/>
  <c r="J94" i="106" a="1"/>
  <c r="J94" i="106" s="1"/>
  <c r="I94" i="106" a="1"/>
  <c r="I94" i="106" s="1"/>
  <c r="H94" i="106" a="1"/>
  <c r="H94" i="106" s="1"/>
  <c r="G94" i="106" a="1"/>
  <c r="G94" i="106" s="1"/>
  <c r="F94" i="106" a="1"/>
  <c r="F94" i="106" s="1"/>
  <c r="E94" i="106" a="1"/>
  <c r="E94" i="106" s="1"/>
  <c r="D94" i="106" a="1"/>
  <c r="D94" i="106" s="1"/>
  <c r="S93" i="106" a="1"/>
  <c r="S93" i="106" s="1"/>
  <c r="R93" i="106" a="1"/>
  <c r="R93" i="106" s="1"/>
  <c r="Q93" i="106" a="1"/>
  <c r="Q93" i="106" s="1"/>
  <c r="P93" i="106" a="1"/>
  <c r="P93" i="106" s="1"/>
  <c r="O93" i="106" a="1"/>
  <c r="O93" i="106" s="1"/>
  <c r="N93" i="106" a="1"/>
  <c r="N93" i="106" s="1"/>
  <c r="M93" i="106" a="1"/>
  <c r="M93" i="106" s="1"/>
  <c r="L93" i="106" a="1"/>
  <c r="L93" i="106" s="1"/>
  <c r="K93" i="106" a="1"/>
  <c r="K93" i="106" s="1"/>
  <c r="J93" i="106" a="1"/>
  <c r="J93" i="106" s="1"/>
  <c r="I93" i="106" a="1"/>
  <c r="I93" i="106" s="1"/>
  <c r="H93" i="106" a="1"/>
  <c r="H93" i="106" s="1"/>
  <c r="G93" i="106" a="1"/>
  <c r="G93" i="106" s="1"/>
  <c r="F93" i="106" a="1"/>
  <c r="F93" i="106" s="1"/>
  <c r="E93" i="106" a="1"/>
  <c r="E93" i="106" s="1"/>
  <c r="D93" i="106" a="1"/>
  <c r="D93" i="106" s="1"/>
  <c r="S92" i="106" a="1"/>
  <c r="S92" i="106" s="1"/>
  <c r="R92" i="106" a="1"/>
  <c r="R92" i="106" s="1"/>
  <c r="Q92" i="106" a="1"/>
  <c r="Q92" i="106" s="1"/>
  <c r="P92" i="106" a="1"/>
  <c r="P92" i="106" s="1"/>
  <c r="O92" i="106" a="1"/>
  <c r="O92" i="106" s="1"/>
  <c r="N92" i="106" a="1"/>
  <c r="N92" i="106" s="1"/>
  <c r="M92" i="106" a="1"/>
  <c r="M92" i="106" s="1"/>
  <c r="L92" i="106" a="1"/>
  <c r="L92" i="106" s="1"/>
  <c r="K92" i="106" a="1"/>
  <c r="K92" i="106" s="1"/>
  <c r="J92" i="106" a="1"/>
  <c r="J92" i="106" s="1"/>
  <c r="I92" i="106" a="1"/>
  <c r="I92" i="106" s="1"/>
  <c r="H92" i="106" a="1"/>
  <c r="H92" i="106" s="1"/>
  <c r="G92" i="106" a="1"/>
  <c r="G92" i="106" s="1"/>
  <c r="F92" i="106" a="1"/>
  <c r="F92" i="106" s="1"/>
  <c r="E92" i="106" a="1"/>
  <c r="E92" i="106" s="1"/>
  <c r="D92" i="106" a="1"/>
  <c r="D92" i="106" s="1"/>
  <c r="S91" i="106" a="1"/>
  <c r="S91" i="106" s="1"/>
  <c r="R91" i="106" a="1"/>
  <c r="R91" i="106" s="1"/>
  <c r="Q91" i="106" a="1"/>
  <c r="Q91" i="106" s="1"/>
  <c r="P91" i="106" a="1"/>
  <c r="P91" i="106" s="1"/>
  <c r="O91" i="106" a="1"/>
  <c r="O91" i="106" s="1"/>
  <c r="N91" i="106" a="1"/>
  <c r="N91" i="106" s="1"/>
  <c r="M91" i="106" a="1"/>
  <c r="M91" i="106" s="1"/>
  <c r="L91" i="106" a="1"/>
  <c r="L91" i="106" s="1"/>
  <c r="K91" i="106" a="1"/>
  <c r="K91" i="106" s="1"/>
  <c r="J91" i="106" a="1"/>
  <c r="J91" i="106" s="1"/>
  <c r="I91" i="106" a="1"/>
  <c r="I91" i="106" s="1"/>
  <c r="H91" i="106" a="1"/>
  <c r="H91" i="106" s="1"/>
  <c r="G91" i="106" a="1"/>
  <c r="G91" i="106" s="1"/>
  <c r="F91" i="106" a="1"/>
  <c r="F91" i="106" s="1"/>
  <c r="E91" i="106" a="1"/>
  <c r="E91" i="106" s="1"/>
  <c r="D91" i="106" a="1"/>
  <c r="D91" i="106" s="1"/>
  <c r="S90" i="106" a="1"/>
  <c r="S90" i="106" s="1"/>
  <c r="R90" i="106" a="1"/>
  <c r="R90" i="106" s="1"/>
  <c r="Q90" i="106" a="1"/>
  <c r="Q90" i="106" s="1"/>
  <c r="P90" i="106" a="1"/>
  <c r="P90" i="106" s="1"/>
  <c r="O90" i="106" a="1"/>
  <c r="O90" i="106" s="1"/>
  <c r="N90" i="106" a="1"/>
  <c r="N90" i="106" s="1"/>
  <c r="M90" i="106" a="1"/>
  <c r="M90" i="106" s="1"/>
  <c r="L90" i="106" a="1"/>
  <c r="L90" i="106" s="1"/>
  <c r="K90" i="106" a="1"/>
  <c r="K90" i="106" s="1"/>
  <c r="J90" i="106" a="1"/>
  <c r="J90" i="106" s="1"/>
  <c r="I90" i="106" a="1"/>
  <c r="I90" i="106" s="1"/>
  <c r="H90" i="106" a="1"/>
  <c r="H90" i="106" s="1"/>
  <c r="G90" i="106" a="1"/>
  <c r="G90" i="106" s="1"/>
  <c r="F90" i="106" a="1"/>
  <c r="F90" i="106" s="1"/>
  <c r="E90" i="106" a="1"/>
  <c r="E90" i="106" s="1"/>
  <c r="D90" i="106" a="1"/>
  <c r="D90" i="106" s="1"/>
  <c r="D83" i="106" a="1"/>
  <c r="D83" i="106" s="1"/>
  <c r="D82" i="106"/>
  <c r="D82" i="106" a="1"/>
  <c r="D81" i="106" a="1"/>
  <c r="D81" i="106" s="1"/>
  <c r="E77" i="106" a="1"/>
  <c r="E77" i="106" s="1"/>
  <c r="D77" i="106" a="1"/>
  <c r="D77" i="106" s="1"/>
  <c r="E76" i="106" a="1"/>
  <c r="E76" i="106" s="1"/>
  <c r="D76" i="106" a="1"/>
  <c r="D76" i="106" s="1"/>
  <c r="E75" i="106" a="1"/>
  <c r="E75" i="106" s="1"/>
  <c r="D75" i="106" a="1"/>
  <c r="D75" i="106" s="1"/>
  <c r="E74" i="106" a="1"/>
  <c r="E74" i="106" s="1"/>
  <c r="D74" i="106" a="1"/>
  <c r="D74" i="106" s="1"/>
  <c r="E73" i="106" a="1"/>
  <c r="E73" i="106" s="1"/>
  <c r="D73" i="106" a="1"/>
  <c r="D73" i="106" s="1"/>
  <c r="E72" i="106" a="1"/>
  <c r="E72" i="106" s="1"/>
  <c r="D72" i="106" a="1"/>
  <c r="D72" i="106" s="1"/>
  <c r="E71" i="106" a="1"/>
  <c r="E71" i="106" s="1"/>
  <c r="D71" i="106" a="1"/>
  <c r="D71" i="106" s="1"/>
  <c r="E70" i="106" a="1"/>
  <c r="E70" i="106" s="1"/>
  <c r="D70" i="106" a="1"/>
  <c r="D70" i="106" s="1"/>
  <c r="E69" i="106" a="1"/>
  <c r="E69" i="106" s="1"/>
  <c r="D69" i="106" a="1"/>
  <c r="D69" i="106" s="1"/>
  <c r="E68" i="106" a="1"/>
  <c r="E68" i="106" s="1"/>
  <c r="D68" i="106" a="1"/>
  <c r="D68" i="106" s="1"/>
  <c r="E67" i="106" a="1"/>
  <c r="E67" i="106" s="1"/>
  <c r="D67" i="106" a="1"/>
  <c r="D67" i="106" s="1"/>
  <c r="E66" i="106" a="1"/>
  <c r="E66" i="106" s="1"/>
  <c r="D66" i="106" a="1"/>
  <c r="D66" i="106" s="1"/>
  <c r="E65" i="106" a="1"/>
  <c r="E65" i="106" s="1"/>
  <c r="D65" i="106" a="1"/>
  <c r="D65" i="106" s="1"/>
  <c r="E64" i="106" a="1"/>
  <c r="E64" i="106" s="1"/>
  <c r="D64" i="106" a="1"/>
  <c r="D64" i="106" s="1"/>
  <c r="D59" i="106" a="1"/>
  <c r="D59" i="106" s="1"/>
  <c r="D58" i="106" a="1"/>
  <c r="D58" i="106" s="1"/>
  <c r="D57" i="106" a="1"/>
  <c r="D57" i="106" s="1"/>
  <c r="G54" i="106" a="1"/>
  <c r="G54" i="106" s="1"/>
  <c r="F54" i="106" a="1"/>
  <c r="F54" i="106" s="1"/>
  <c r="E54" i="106" a="1"/>
  <c r="E54" i="106" s="1"/>
  <c r="D54" i="106" a="1"/>
  <c r="D54" i="106" s="1"/>
  <c r="G53" i="106" a="1"/>
  <c r="G53" i="106" s="1"/>
  <c r="F53" i="106" a="1"/>
  <c r="F53" i="106" s="1"/>
  <c r="E53" i="106" a="1"/>
  <c r="E53" i="106" s="1"/>
  <c r="D53" i="106" a="1"/>
  <c r="D53" i="106" s="1"/>
  <c r="G52" i="106" a="1"/>
  <c r="G52" i="106" s="1"/>
  <c r="F52" i="106" a="1"/>
  <c r="F52" i="106" s="1"/>
  <c r="E52" i="106" a="1"/>
  <c r="E52" i="106" s="1"/>
  <c r="D52" i="106" a="1"/>
  <c r="D52" i="106" s="1"/>
  <c r="G51" i="106" a="1"/>
  <c r="G51" i="106" s="1"/>
  <c r="F51" i="106" a="1"/>
  <c r="F51" i="106" s="1"/>
  <c r="E51" i="106" a="1"/>
  <c r="E51" i="106" s="1"/>
  <c r="D51" i="106" a="1"/>
  <c r="D51" i="106" s="1"/>
  <c r="G50" i="106" a="1"/>
  <c r="G50" i="106" s="1"/>
  <c r="F50" i="106" a="1"/>
  <c r="F50" i="106" s="1"/>
  <c r="E50" i="106" a="1"/>
  <c r="E50" i="106" s="1"/>
  <c r="D50" i="106" a="1"/>
  <c r="D50" i="106" s="1"/>
  <c r="G49" i="106" a="1"/>
  <c r="G49" i="106" s="1"/>
  <c r="F49" i="106" a="1"/>
  <c r="F49" i="106" s="1"/>
  <c r="E49" i="106" a="1"/>
  <c r="E49" i="106" s="1"/>
  <c r="D49" i="106" a="1"/>
  <c r="D49" i="106" s="1"/>
  <c r="G48" i="106" a="1"/>
  <c r="G48" i="106" s="1"/>
  <c r="F48" i="106" a="1"/>
  <c r="F48" i="106" s="1"/>
  <c r="E48" i="106" a="1"/>
  <c r="E48" i="106" s="1"/>
  <c r="D48" i="106" a="1"/>
  <c r="D48" i="106" s="1"/>
  <c r="D46" i="106" a="1"/>
  <c r="D46" i="106" s="1"/>
  <c r="D45" i="106" a="1"/>
  <c r="D45" i="106" s="1"/>
  <c r="E43" i="106" a="1"/>
  <c r="E43" i="106" s="1"/>
  <c r="D43" i="106" a="1"/>
  <c r="D43" i="106" s="1"/>
  <c r="E42" i="106" a="1"/>
  <c r="E42" i="106" s="1"/>
  <c r="D42" i="106" a="1"/>
  <c r="D42" i="106" s="1"/>
  <c r="E41" i="106" a="1"/>
  <c r="E41" i="106" s="1"/>
  <c r="D41" i="106" a="1"/>
  <c r="D41" i="106" s="1"/>
  <c r="E40" i="106" a="1"/>
  <c r="E40" i="106" s="1"/>
  <c r="D40" i="106" a="1"/>
  <c r="D40" i="106" s="1"/>
  <c r="E39" i="106" a="1"/>
  <c r="E39" i="106" s="1"/>
  <c r="D39" i="106" a="1"/>
  <c r="D39" i="106" s="1"/>
  <c r="E38" i="106" a="1"/>
  <c r="E38" i="106" s="1"/>
  <c r="D38" i="106" a="1"/>
  <c r="D38" i="106" s="1"/>
  <c r="E37" i="106" a="1"/>
  <c r="E37" i="106" s="1"/>
  <c r="D37" i="106" a="1"/>
  <c r="D37" i="106" s="1"/>
  <c r="D35" i="106" a="1"/>
  <c r="D35" i="106" s="1"/>
  <c r="D34" i="106" a="1"/>
  <c r="D34" i="106" s="1"/>
  <c r="D30" i="106" a="1"/>
  <c r="D30" i="106" s="1"/>
  <c r="D29" i="106" a="1"/>
  <c r="D29" i="106" s="1"/>
  <c r="D28" i="106" a="1"/>
  <c r="D28" i="106" s="1"/>
  <c r="D27" i="106" a="1"/>
  <c r="D27" i="106" s="1"/>
  <c r="D26" i="106" a="1"/>
  <c r="D26" i="106" s="1"/>
  <c r="D25" i="106" a="1"/>
  <c r="D25" i="106" s="1"/>
  <c r="D24" i="106" a="1"/>
  <c r="D24" i="106" s="1"/>
  <c r="D23" i="106" a="1"/>
  <c r="D23" i="106" s="1"/>
  <c r="D22" i="106" a="1"/>
  <c r="D22" i="106" s="1"/>
  <c r="D21" i="106" a="1"/>
  <c r="D21" i="106" s="1"/>
  <c r="D19" i="106" a="1"/>
  <c r="D19" i="106" s="1"/>
  <c r="D18" i="106" a="1"/>
  <c r="D18" i="106" s="1"/>
  <c r="F14" i="106" a="1"/>
  <c r="F14" i="106" s="1"/>
  <c r="E14" i="106" a="1"/>
  <c r="E14" i="106" s="1"/>
  <c r="D14" i="106" a="1"/>
  <c r="D14" i="106" s="1"/>
  <c r="F13" i="106" a="1"/>
  <c r="F13" i="106" s="1"/>
  <c r="E13" i="106" a="1"/>
  <c r="E13" i="106" s="1"/>
  <c r="D13" i="106" a="1"/>
  <c r="D13" i="106" s="1"/>
  <c r="F12" i="106" a="1"/>
  <c r="F12" i="106" s="1"/>
  <c r="E12" i="106" a="1"/>
  <c r="E12" i="106" s="1"/>
  <c r="D12" i="106" a="1"/>
  <c r="D12" i="106" s="1"/>
  <c r="F11" i="106" a="1"/>
  <c r="F11" i="106" s="1"/>
  <c r="E11" i="106" a="1"/>
  <c r="E11" i="106" s="1"/>
  <c r="D11" i="106" a="1"/>
  <c r="D11" i="106" s="1"/>
  <c r="F10" i="106" a="1"/>
  <c r="F10" i="106" s="1"/>
  <c r="E10" i="106" a="1"/>
  <c r="E10" i="106" s="1"/>
  <c r="D10" i="106" a="1"/>
  <c r="D10" i="106" s="1"/>
  <c r="F9" i="106" a="1"/>
  <c r="F9" i="106" s="1"/>
  <c r="E9" i="106" a="1"/>
  <c r="E9" i="106" s="1"/>
  <c r="D9" i="106" a="1"/>
  <c r="D9" i="106" s="1"/>
  <c r="F8" i="106" a="1"/>
  <c r="F8" i="106" s="1"/>
  <c r="E8" i="106" a="1"/>
  <c r="E8" i="106" s="1"/>
  <c r="D8" i="106" a="1"/>
  <c r="D8" i="106" s="1"/>
  <c r="A8" i="106"/>
  <c r="F7" i="106" a="1"/>
  <c r="F7" i="106" s="1"/>
  <c r="E7" i="106" a="1"/>
  <c r="E7" i="106" s="1"/>
  <c r="D7" i="106" a="1"/>
  <c r="D7" i="106" s="1"/>
  <c r="A7" i="106"/>
  <c r="D5" i="106" a="1"/>
  <c r="D5" i="106" s="1"/>
  <c r="A3" i="106"/>
  <c r="A8" i="71"/>
  <c r="A7" i="71"/>
  <c r="A3" i="71"/>
  <c r="E13" i="15"/>
  <c r="D8" i="70" s="1"/>
  <c r="A21" i="74"/>
  <c r="A20" i="74"/>
  <c r="A19" i="74"/>
  <c r="A18" i="74"/>
  <c r="A14" i="74"/>
  <c r="A10" i="74"/>
  <c r="A9" i="74"/>
  <c r="A5" i="74"/>
  <c r="A4" i="74"/>
  <c r="A3" i="74"/>
  <c r="A21" i="79"/>
  <c r="A20" i="79"/>
  <c r="A19" i="79"/>
  <c r="A18" i="79"/>
  <c r="A14" i="79"/>
  <c r="A10" i="79"/>
  <c r="A9" i="79"/>
  <c r="A5" i="79"/>
  <c r="A4" i="79"/>
  <c r="A3" i="79"/>
  <c r="A21" i="69"/>
  <c r="A20" i="69"/>
  <c r="A19" i="69"/>
  <c r="A18" i="69"/>
  <c r="A14" i="69"/>
  <c r="A10" i="69"/>
  <c r="A9" i="69"/>
  <c r="A5" i="69"/>
  <c r="A4" i="69"/>
  <c r="A3" i="69"/>
  <c r="A21" i="70"/>
  <c r="A20" i="70"/>
  <c r="A19" i="70"/>
  <c r="A18" i="70"/>
  <c r="A14" i="70"/>
  <c r="A10" i="70"/>
  <c r="A9" i="70"/>
  <c r="A5" i="70"/>
  <c r="A4" i="70"/>
  <c r="A3" i="70"/>
  <c r="A21" i="15"/>
  <c r="A20" i="15"/>
  <c r="A19" i="15"/>
  <c r="A18" i="15"/>
  <c r="A14" i="15"/>
  <c r="A10" i="15"/>
  <c r="A9" i="15"/>
  <c r="A5" i="15"/>
  <c r="A4" i="15"/>
  <c r="A3" i="15"/>
  <c r="A21" i="13"/>
  <c r="A20" i="13"/>
  <c r="A19" i="13"/>
  <c r="A18" i="13"/>
  <c r="A14" i="13"/>
  <c r="A10" i="13"/>
  <c r="A9" i="13"/>
  <c r="A5" i="13"/>
  <c r="A4" i="13"/>
  <c r="A3" i="13"/>
  <c r="A21" i="100"/>
  <c r="A20" i="100"/>
  <c r="A19" i="100"/>
  <c r="A18" i="100"/>
  <c r="A14" i="100"/>
  <c r="A10" i="100"/>
  <c r="A9" i="100"/>
  <c r="A5" i="100"/>
  <c r="A4" i="100"/>
  <c r="A3" i="100"/>
  <c r="E26" i="69"/>
  <c r="E25" i="69"/>
  <c r="E24" i="69"/>
  <c r="E23" i="69"/>
  <c r="E22" i="69"/>
  <c r="F33" i="69" a="1"/>
  <c r="F33" i="69" s="1"/>
  <c r="D30" i="69" a="1"/>
  <c r="D30" i="69" s="1"/>
  <c r="G13" i="69" a="1"/>
  <c r="G13" i="69" s="1"/>
  <c r="D13" i="69" a="1"/>
  <c r="D13" i="69" s="1"/>
  <c r="E11" i="69" a="1"/>
  <c r="E11" i="69" s="1"/>
  <c r="H30" i="69" s="1"/>
  <c r="E10" i="69" a="1"/>
  <c r="E10" i="69" s="1"/>
  <c r="D6" i="69" a="1"/>
  <c r="D6" i="69" s="1"/>
  <c r="D5" i="69" a="1"/>
  <c r="D5" i="69" s="1"/>
  <c r="E7" i="69" a="1"/>
  <c r="H53" i="106" l="1"/>
  <c r="H48" i="106"/>
  <c r="H50" i="106"/>
  <c r="H49" i="106"/>
  <c r="H52" i="106"/>
  <c r="H51" i="106"/>
  <c r="H54" i="106"/>
  <c r="D26" i="70"/>
  <c r="D14" i="70"/>
  <c r="E20" i="69" s="1"/>
  <c r="D20" i="70"/>
  <c r="E21" i="69" s="1"/>
  <c r="H19" i="69"/>
  <c r="F28" i="69"/>
  <c r="E7" i="69"/>
  <c r="F94" i="79" a="1"/>
  <c r="F94" i="79" s="1"/>
  <c r="E94" i="79" a="1"/>
  <c r="E94" i="79" s="1"/>
  <c r="D94" i="79" a="1"/>
  <c r="D94" i="79" s="1"/>
  <c r="F93" i="79" a="1"/>
  <c r="F93" i="79" s="1"/>
  <c r="E93" i="79" a="1"/>
  <c r="E93" i="79" s="1"/>
  <c r="D93" i="79" a="1"/>
  <c r="D93" i="79" s="1"/>
  <c r="F92" i="79" a="1"/>
  <c r="F92" i="79" s="1"/>
  <c r="E92" i="79" a="1"/>
  <c r="E92" i="79" s="1"/>
  <c r="D92" i="79" a="1"/>
  <c r="D92" i="79" s="1"/>
  <c r="F91" i="79" a="1"/>
  <c r="F91" i="79" s="1"/>
  <c r="E91" i="79" a="1"/>
  <c r="E91" i="79" s="1"/>
  <c r="D91" i="79" a="1"/>
  <c r="D91" i="79" s="1"/>
  <c r="F90" i="79" a="1"/>
  <c r="F90" i="79" s="1"/>
  <c r="E90" i="79" a="1"/>
  <c r="E90" i="79" s="1"/>
  <c r="D90" i="79" a="1"/>
  <c r="D90" i="79" s="1"/>
  <c r="F89" i="79" a="1"/>
  <c r="F89" i="79" s="1"/>
  <c r="E89" i="79" a="1"/>
  <c r="E89" i="79" s="1"/>
  <c r="D89" i="79" a="1"/>
  <c r="D89" i="79" s="1"/>
  <c r="F88" i="79" a="1"/>
  <c r="F88" i="79" s="1"/>
  <c r="E88" i="79" a="1"/>
  <c r="E88" i="79" s="1"/>
  <c r="D88" i="79" a="1"/>
  <c r="D88" i="79" s="1"/>
  <c r="F87" i="79" a="1"/>
  <c r="F87" i="79" s="1"/>
  <c r="E87" i="79" a="1"/>
  <c r="E87" i="79" s="1"/>
  <c r="D87" i="79" a="1"/>
  <c r="D87" i="79" s="1"/>
  <c r="D85" i="79" a="1"/>
  <c r="D85" i="79" s="1"/>
  <c r="D84" i="79" a="1"/>
  <c r="D84" i="79" s="1"/>
  <c r="D83" i="79" a="1"/>
  <c r="D83" i="79" s="1"/>
  <c r="D82" i="79" a="1"/>
  <c r="D82" i="79" s="1"/>
  <c r="F79" i="79" a="1"/>
  <c r="F79" i="79" s="1"/>
  <c r="F78" i="79" a="1"/>
  <c r="F78" i="79" s="1"/>
  <c r="F77" i="79" a="1"/>
  <c r="F77" i="79" s="1"/>
  <c r="F76" i="79" a="1"/>
  <c r="F76" i="79" s="1"/>
  <c r="F75" i="79" a="1"/>
  <c r="F75" i="79" s="1"/>
  <c r="F74" i="79" a="1"/>
  <c r="F74" i="79" s="1"/>
  <c r="F73" i="79" a="1"/>
  <c r="F73" i="79" s="1"/>
  <c r="F72" i="79" a="1"/>
  <c r="F72" i="79" s="1"/>
  <c r="E79" i="79" a="1"/>
  <c r="E79" i="79" s="1"/>
  <c r="D79" i="79" a="1"/>
  <c r="D79" i="79" s="1"/>
  <c r="E78" i="79" a="1"/>
  <c r="E78" i="79" s="1"/>
  <c r="D78" i="79" a="1"/>
  <c r="D78" i="79" s="1"/>
  <c r="E77" i="79" a="1"/>
  <c r="E77" i="79" s="1"/>
  <c r="D77" i="79" a="1"/>
  <c r="D77" i="79" s="1"/>
  <c r="E76" i="79" a="1"/>
  <c r="E76" i="79" s="1"/>
  <c r="D76" i="79" a="1"/>
  <c r="D76" i="79" s="1"/>
  <c r="E75" i="79" a="1"/>
  <c r="E75" i="79" s="1"/>
  <c r="D75" i="79" a="1"/>
  <c r="D75" i="79" s="1"/>
  <c r="E74" i="79" a="1"/>
  <c r="E74" i="79" s="1"/>
  <c r="D74" i="79" a="1"/>
  <c r="D74" i="79" s="1"/>
  <c r="E73" i="79" a="1"/>
  <c r="E73" i="79" s="1"/>
  <c r="D73" i="79" a="1"/>
  <c r="D73" i="79" s="1"/>
  <c r="E72" i="79" a="1"/>
  <c r="E72" i="79" s="1"/>
  <c r="D72" i="79" a="1"/>
  <c r="D72" i="79" s="1"/>
  <c r="D70" i="79" a="1"/>
  <c r="D70" i="79" s="1"/>
  <c r="D69" i="79" a="1"/>
  <c r="D69" i="79" s="1"/>
  <c r="D68" i="79" a="1"/>
  <c r="D68" i="79" s="1"/>
  <c r="D67" i="79" a="1"/>
  <c r="D67" i="79" s="1"/>
  <c r="D64" i="79" a="1"/>
  <c r="D64" i="79" s="1"/>
  <c r="E64" i="79" a="1"/>
  <c r="E64" i="79" s="1"/>
  <c r="F64" i="79" a="1"/>
  <c r="F64" i="79" s="1"/>
  <c r="D63" i="79" a="1"/>
  <c r="D63" i="79" s="1"/>
  <c r="E63" i="79" a="1"/>
  <c r="E63" i="79" s="1"/>
  <c r="F63" i="79" a="1"/>
  <c r="F63" i="79" s="1"/>
  <c r="F62" i="79" a="1"/>
  <c r="F62" i="79" s="1"/>
  <c r="F61" i="79" a="1"/>
  <c r="F61" i="79" s="1"/>
  <c r="F60" i="79" a="1"/>
  <c r="F60" i="79" s="1"/>
  <c r="F59" i="79" a="1"/>
  <c r="F59" i="79" s="1"/>
  <c r="F58" i="79" a="1"/>
  <c r="F58" i="79" s="1"/>
  <c r="F57" i="79" a="1"/>
  <c r="F57" i="79" s="1"/>
  <c r="F56" i="79" a="1"/>
  <c r="F56" i="79" s="1"/>
  <c r="F55" i="79" a="1"/>
  <c r="F55" i="79" s="1"/>
  <c r="E62" i="79" a="1"/>
  <c r="E62" i="79" s="1"/>
  <c r="D62" i="79" a="1"/>
  <c r="D62" i="79" s="1"/>
  <c r="E61" i="79" a="1"/>
  <c r="E61" i="79" s="1"/>
  <c r="D61" i="79" a="1"/>
  <c r="D61" i="79" s="1"/>
  <c r="E60" i="79" a="1"/>
  <c r="E60" i="79" s="1"/>
  <c r="D60" i="79" a="1"/>
  <c r="D60" i="79" s="1"/>
  <c r="E59" i="79" a="1"/>
  <c r="E59" i="79" s="1"/>
  <c r="D59" i="79" a="1"/>
  <c r="D59" i="79" s="1"/>
  <c r="E58" i="79" a="1"/>
  <c r="E58" i="79" s="1"/>
  <c r="D58" i="79" a="1"/>
  <c r="D58" i="79" s="1"/>
  <c r="E57" i="79" a="1"/>
  <c r="E57" i="79" s="1"/>
  <c r="D57" i="79" a="1"/>
  <c r="D57" i="79" s="1"/>
  <c r="E56" i="79" a="1"/>
  <c r="E56" i="79" s="1"/>
  <c r="D56" i="79" a="1"/>
  <c r="D56" i="79" s="1"/>
  <c r="E55" i="79" a="1"/>
  <c r="E55" i="79" s="1"/>
  <c r="D55" i="79" a="1"/>
  <c r="D55" i="79" s="1"/>
  <c r="D53" i="79" a="1"/>
  <c r="D53" i="79" s="1"/>
  <c r="D52" i="79" a="1"/>
  <c r="D52" i="79" s="1"/>
  <c r="D51" i="79" a="1"/>
  <c r="D51" i="79" s="1"/>
  <c r="D50" i="79" a="1"/>
  <c r="D50" i="79" s="1"/>
  <c r="E47" i="79" a="1"/>
  <c r="E47" i="79" s="1"/>
  <c r="D47" i="79" a="1"/>
  <c r="D47" i="79" s="1"/>
  <c r="E46" i="79" a="1"/>
  <c r="E46" i="79" s="1"/>
  <c r="D46" i="79" a="1"/>
  <c r="D46" i="79" s="1"/>
  <c r="E45" i="79" a="1"/>
  <c r="E45" i="79" s="1"/>
  <c r="D45" i="79" a="1"/>
  <c r="D45" i="79" s="1"/>
  <c r="E44" i="79" a="1"/>
  <c r="E44" i="79" s="1"/>
  <c r="D44" i="79" a="1"/>
  <c r="D44" i="79" s="1"/>
  <c r="E43" i="79" a="1"/>
  <c r="E43" i="79" s="1"/>
  <c r="D43" i="79" a="1"/>
  <c r="D43" i="79" s="1"/>
  <c r="E42" i="79" a="1"/>
  <c r="E42" i="79" s="1"/>
  <c r="D42" i="79" a="1"/>
  <c r="D42" i="79" s="1"/>
  <c r="E41" i="79" a="1"/>
  <c r="E41" i="79" s="1"/>
  <c r="D41" i="79" a="1"/>
  <c r="D41" i="79" s="1"/>
  <c r="E40" i="79" a="1"/>
  <c r="E40" i="79" s="1"/>
  <c r="D40" i="79" a="1"/>
  <c r="D40" i="79" s="1"/>
  <c r="D38" i="79" a="1"/>
  <c r="D38" i="79" s="1"/>
  <c r="D37" i="79" a="1"/>
  <c r="D37" i="79" s="1"/>
  <c r="D36" i="79" a="1"/>
  <c r="D36" i="79" s="1"/>
  <c r="D35" i="79" a="1"/>
  <c r="D35" i="79" s="1"/>
  <c r="E32" i="79" a="1"/>
  <c r="E32" i="79" s="1"/>
  <c r="D32" i="79" a="1"/>
  <c r="D32" i="79" s="1"/>
  <c r="E31" i="79" a="1"/>
  <c r="E31" i="79" s="1"/>
  <c r="D31" i="79" a="1"/>
  <c r="D31" i="79" s="1"/>
  <c r="E30" i="79" a="1"/>
  <c r="E30" i="79" s="1"/>
  <c r="D30" i="79" a="1"/>
  <c r="D30" i="79" s="1"/>
  <c r="E29" i="79" a="1"/>
  <c r="E29" i="79" s="1"/>
  <c r="D29" i="79" a="1"/>
  <c r="D29" i="79" s="1"/>
  <c r="E28" i="79" a="1"/>
  <c r="E28" i="79" s="1"/>
  <c r="D28" i="79" a="1"/>
  <c r="D28" i="79" s="1"/>
  <c r="E27" i="79" a="1"/>
  <c r="E27" i="79" s="1"/>
  <c r="D27" i="79" a="1"/>
  <c r="D27" i="79" s="1"/>
  <c r="E26" i="79" a="1"/>
  <c r="E26" i="79" s="1"/>
  <c r="D26" i="79" a="1"/>
  <c r="D26" i="79" s="1"/>
  <c r="E25" i="79" a="1"/>
  <c r="E25" i="79" s="1"/>
  <c r="D25" i="79" a="1"/>
  <c r="D25" i="79" s="1"/>
  <c r="D23" i="79" a="1"/>
  <c r="D23" i="79" s="1"/>
  <c r="D22" i="79" a="1"/>
  <c r="D22" i="79" s="1"/>
  <c r="D21" i="79" a="1"/>
  <c r="D21" i="79" s="1"/>
  <c r="D20" i="79" a="1"/>
  <c r="D20" i="79" s="1"/>
  <c r="D17" i="79" a="1"/>
  <c r="D17" i="79" s="1"/>
  <c r="D26" i="69" s="1"/>
  <c r="E17" i="79" a="1"/>
  <c r="E17" i="79" s="1"/>
  <c r="D16" i="79" a="1"/>
  <c r="D16" i="79" s="1"/>
  <c r="D25" i="69" s="1"/>
  <c r="E16" i="79" a="1"/>
  <c r="E16" i="79" s="1"/>
  <c r="D15" i="79" a="1"/>
  <c r="D15" i="79" s="1"/>
  <c r="D24" i="69" s="1"/>
  <c r="E15" i="79" a="1"/>
  <c r="E15" i="79" s="1"/>
  <c r="D14" i="79" a="1"/>
  <c r="D14" i="79" s="1"/>
  <c r="D23" i="69" s="1"/>
  <c r="E14" i="79" a="1"/>
  <c r="E14" i="79" s="1"/>
  <c r="D13" i="79" a="1"/>
  <c r="D13" i="79" s="1"/>
  <c r="D22" i="69" s="1"/>
  <c r="E13" i="79" a="1"/>
  <c r="E13" i="79" s="1"/>
  <c r="D12" i="79" a="1"/>
  <c r="D12" i="79" s="1"/>
  <c r="D21" i="69" s="1"/>
  <c r="E12" i="79" a="1"/>
  <c r="E12" i="79" s="1"/>
  <c r="D11" i="79" a="1"/>
  <c r="D11" i="79" s="1"/>
  <c r="D20" i="69" s="1"/>
  <c r="E11" i="79" a="1"/>
  <c r="E11" i="79" s="1"/>
  <c r="E10" i="79" a="1"/>
  <c r="E10" i="79" s="1"/>
  <c r="D10" i="79" a="1"/>
  <c r="D10" i="79" s="1"/>
  <c r="D19" i="69" s="1"/>
  <c r="D8" i="79" a="1"/>
  <c r="D8" i="79" s="1"/>
  <c r="D7" i="79" a="1"/>
  <c r="D7" i="79" s="1"/>
  <c r="D6" i="79" a="1"/>
  <c r="D6" i="79" s="1"/>
  <c r="D5" i="79" a="1"/>
  <c r="D5" i="79" s="1"/>
  <c r="F26" i="69" l="1" a="1"/>
  <c r="F26" i="69" s="1"/>
  <c r="G26" i="69" s="1" a="1"/>
  <c r="G26" i="69" s="1"/>
  <c r="F25" i="69" a="1"/>
  <c r="F25" i="69" s="1"/>
  <c r="G25" i="69" s="1" a="1"/>
  <c r="G25" i="69" s="1"/>
  <c r="F20" i="69" a="1"/>
  <c r="F20" i="69" s="1"/>
  <c r="G20" i="69" s="1" a="1"/>
  <c r="G20" i="69" s="1"/>
  <c r="F23" i="69" a="1"/>
  <c r="F23" i="69" s="1"/>
  <c r="G23" i="69" s="1" a="1"/>
  <c r="G23" i="69" s="1"/>
  <c r="F19" i="69" a="1"/>
  <c r="F19" i="69" s="1"/>
  <c r="F21" i="69" a="1"/>
  <c r="F21" i="69" s="1"/>
  <c r="G21" i="69" s="1" a="1"/>
  <c r="G21" i="69" s="1"/>
  <c r="F22" i="69" a="1"/>
  <c r="F22" i="69" s="1"/>
  <c r="G22" i="69" s="1" a="1"/>
  <c r="G22" i="69" s="1"/>
  <c r="F24" i="69" a="1"/>
  <c r="F24" i="69" s="1"/>
  <c r="G24" i="69" s="1" a="1"/>
  <c r="G24" i="69" s="1"/>
  <c r="E19" i="69" l="1"/>
  <c r="G19" i="69" s="1" a="1"/>
  <c r="G19" i="69" s="1"/>
  <c r="E28" i="69" s="1"/>
  <c r="F7" i="13" l="1"/>
  <c r="G30" i="69"/>
  <c r="E33" i="69" s="1" a="1"/>
  <c r="E33" i="69" s="1"/>
  <c r="H7" i="13" s="1"/>
  <c r="I7" i="13" s="1"/>
  <c r="I8" i="13" s="1"/>
  <c r="H8"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<sst xmlns="http://schemas.openxmlformats.org/spreadsheetml/2006/main" count="240" uniqueCount="189">
  <si>
    <t>INPUTS</t>
  </si>
  <si>
    <t>APPENDICES</t>
  </si>
  <si>
    <t>Emissions breakdown</t>
  </si>
  <si>
    <t>Test Farms</t>
  </si>
  <si>
    <t>Farm name</t>
  </si>
  <si>
    <t>Climate zone</t>
  </si>
  <si>
    <t>Your business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</si>
  <si>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</si>
  <si>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</si>
  <si>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</si>
  <si>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</si>
  <si>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</si>
  <si>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</si>
  <si>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</si>
  <si>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</si>
  <si>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</si>
  <si>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</si>
  <si>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</si>
  <si>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</si>
  <si>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</si>
  <si>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</si>
  <si>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</si>
  <si>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</si>
  <si>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</si>
  <si>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</si>
  <si>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</si>
  <si>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</si>
  <si>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</si>
  <si>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</si>
  <si>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</si>
  <si>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</si>
  <si>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</si>
  <si>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</si>
  <si>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</si>
  <si>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</si>
  <si>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</si>
  <si>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</si>
  <si>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</si>
  <si>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</si>
  <si>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</si>
  <si>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</si>
  <si>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</si>
  <si>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</si>
  <si>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</si>
  <si>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</si>
  <si>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</si>
  <si>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</si>
  <si>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</si>
  <si>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</si>
  <si>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Reporting entity name</t>
  </si>
  <si>
    <t>Test Farms Pty Ltd</t>
  </si>
  <si>
    <t>CALCULATIONS</t>
  </si>
  <si>
    <t>Constants - Common</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</si>
  <si>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</si>
  <si>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</si>
  <si>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</si>
  <si>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</si>
  <si>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</si>
  <si>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</si>
  <si>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head</t>
  </si>
  <si>
    <t>Method 1</t>
  </si>
  <si>
    <t>Method 2</t>
  </si>
  <si>
    <t>Scope 1 source</t>
  </si>
  <si>
    <t>Production system j</t>
  </si>
  <si>
    <t>EFN2O</t>
  </si>
  <si>
    <t>Production system only</t>
  </si>
  <si>
    <t>Irrigation method</t>
  </si>
  <si>
    <t>Total</t>
  </si>
  <si>
    <t>GHG Unit</t>
  </si>
  <si>
    <t>CO2-e unit</t>
  </si>
  <si>
    <t>Irrigation type i</t>
  </si>
  <si>
    <t>EFPRP</t>
  </si>
  <si>
    <t>Month</t>
  </si>
  <si>
    <t>Season</t>
  </si>
  <si>
    <t>GHG emissions method 1</t>
  </si>
  <si>
    <t>GHG emissions method 2</t>
  </si>
  <si>
    <t>CO2-e emissions method 1</t>
  </si>
  <si>
    <t>t CO2e</t>
  </si>
  <si>
    <t>CO2-e emissions method 2</t>
  </si>
  <si>
    <t>Direct application</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</si>
  <si>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</si>
  <si>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</si>
  <si>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</si>
  <si>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</si>
  <si>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</si>
  <si>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</si>
  <si>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</si>
  <si>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</si>
  <si>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</si>
  <si>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</si>
  <si>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</si>
  <si>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</si>
  <si>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Pasture range and paddock</t>
  </si>
  <si>
    <t>MAT raw</t>
  </si>
  <si>
    <t xml:space="preserve">    Click on a box to go to the corresponding calculation.</t>
  </si>
  <si>
    <t>3.1.1.1-2 Enteric Methane</t>
  </si>
  <si>
    <t>💡 Below is a diagram that maps the equations used to calculate emissions and how they interact with each other.</t>
  </si>
  <si>
    <t>Source Data - Other Livestock</t>
  </si>
  <si>
    <t>Other livestock type</t>
  </si>
  <si>
    <t>Mj</t>
  </si>
  <si>
    <t>NEj</t>
  </si>
  <si>
    <t>VSj</t>
  </si>
  <si>
    <t>Wco</t>
  </si>
  <si>
    <t>Wco2</t>
  </si>
  <si>
    <t>Uncovered anaerobic lagoon</t>
  </si>
  <si>
    <t>3.6.1.1-2 Manure Methane</t>
  </si>
  <si>
    <t>Input - Other Livestock</t>
  </si>
  <si>
    <t>Buffalo</t>
  </si>
  <si>
    <t>Bulls</t>
  </si>
  <si>
    <t>Cows</t>
  </si>
  <si>
    <t>Steers</t>
  </si>
  <si>
    <t>Calves</t>
  </si>
  <si>
    <t>Goats</t>
  </si>
  <si>
    <t>Bucks / billy</t>
  </si>
  <si>
    <t>Wethers</t>
  </si>
  <si>
    <t>Maiden breeding does / nannies</t>
  </si>
  <si>
    <t>Breeding does / nannies</t>
  </si>
  <si>
    <t>Other</t>
  </si>
  <si>
    <t>Kids</t>
  </si>
  <si>
    <t>Deer</t>
  </si>
  <si>
    <t>Bucks</t>
  </si>
  <si>
    <t>Breeding does</t>
  </si>
  <si>
    <t>Other does</t>
  </si>
  <si>
    <t>Fawn</t>
  </si>
  <si>
    <t>Others</t>
  </si>
  <si>
    <t>Camels</t>
  </si>
  <si>
    <t>Alpacas</t>
  </si>
  <si>
    <t>Horses</t>
  </si>
  <si>
    <t>Mules / asses</t>
  </si>
  <si>
    <t>Emus / ostriches</t>
  </si>
  <si>
    <t>Livestock type</t>
  </si>
  <si>
    <t>Nj</t>
  </si>
  <si>
    <t>Eenteric</t>
  </si>
  <si>
    <t>3.6 Enteric Methane: Other Livestock: Results</t>
  </si>
  <si>
    <t>3.6: Enteric Methane: Other Livestock: Overview</t>
  </si>
  <si>
    <r>
      <t>E</t>
    </r>
    <r>
      <rPr>
        <vertAlign val="subscript"/>
        <sz val="12"/>
        <color theme="1" tint="0.24994659260841701"/>
        <rFont val="Times New Roman"/>
        <family val="1"/>
      </rPr>
      <t>CO2e</t>
    </r>
    <r>
      <rPr>
        <sz val="12"/>
        <color theme="1" tint="0.24994659260841701"/>
        <rFont val="Times New Roman"/>
        <family val="1"/>
      </rPr>
      <t xml:space="preserve"> (Method 1)</t>
    </r>
  </si>
  <si>
    <t>t CH4</t>
  </si>
  <si>
    <t>Climate Zone</t>
  </si>
  <si>
    <t>EFNi &amp; EFN2Oi</t>
  </si>
  <si>
    <t>Home</t>
  </si>
  <si>
    <t>Data quality scoring</t>
  </si>
  <si>
    <t>Table_SourceData_DataQuality_TemporalRepresentativeness</t>
  </si>
  <si>
    <t>Description</t>
  </si>
  <si>
    <t>ID</t>
  </si>
  <si>
    <t>Score</t>
  </si>
  <si>
    <t>Data collected covers the time-period for which emissions are being estimated  </t>
  </si>
  <si>
    <t>TR5</t>
  </si>
  <si>
    <t>Data collected represents activities that occurred within 2 years of the time-period being assessed  </t>
  </si>
  <si>
    <t>TR4</t>
  </si>
  <si>
    <t>Data collected represents activities that occurred within 3 years of to the time-period being assessed  </t>
  </si>
  <si>
    <t>TR3</t>
  </si>
  <si>
    <t>Data collected represents activities that occurred within 4 years of the time-period being assessed  </t>
  </si>
  <si>
    <t>TR2</t>
  </si>
  <si>
    <t>Age of data unknown or data more than 4 years older than the time-period being reported  </t>
  </si>
  <si>
    <t>TR1</t>
  </si>
  <si>
    <t>Table_SourceData_DataQuality_SpatialRepresentativeness</t>
  </si>
  <si>
    <t>Data covers specific entity location(s) with spatial partitioning or using stratified sampling within property </t>
  </si>
  <si>
    <t>SR5</t>
  </si>
  <si>
    <t>Data covers specific entity location(s) without spatial partitioning within property  </t>
  </si>
  <si>
    <t>SR4</t>
  </si>
  <si>
    <t>Data based on regional data from a government or industry database or survey </t>
  </si>
  <si>
    <t>SR3</t>
  </si>
  <si>
    <t>Data based on state data from a government or industry database or survey </t>
  </si>
  <si>
    <t>SR2</t>
  </si>
  <si>
    <t>Data based on national data from a government or industry database or survey </t>
  </si>
  <si>
    <t>SR1</t>
  </si>
  <si>
    <t>Table_SourceData_DataQuality_SampleSize</t>
  </si>
  <si>
    <t>Data based on sample size of &gt;90% (e.g. total annual fuel purchases) </t>
  </si>
  <si>
    <t>SS5</t>
  </si>
  <si>
    <t>Data based on sample size of 51-90%  </t>
  </si>
  <si>
    <t>SS4</t>
  </si>
  <si>
    <t>Data based on sample size of 21-50%  </t>
  </si>
  <si>
    <t>SS3</t>
  </si>
  <si>
    <t>Data based on sample size of &lt;20% (e.g. liveweight measured for 10% of herd) </t>
  </si>
  <si>
    <t>SS2</t>
  </si>
  <si>
    <t>Unknown (e.g. data based on national/state/regional data source) </t>
  </si>
  <si>
    <t>SS1</t>
  </si>
  <si>
    <t>Table_SourceData_DataQuality_Scope3</t>
  </si>
  <si>
    <t>Verified data provided by supplier consistent with ISO14067:2018 or GHG Protocol Product Lifecycle Accounting and Reporting Standard </t>
  </si>
  <si>
    <t>S35</t>
  </si>
  <si>
    <t>Unverified supplier data, consistent with ISO14067:2018 or GHG Protocol Product Lifecycle Accounting and Reporting Standard, or consistent with these Guidelines (where appropriate)</t>
  </si>
  <si>
    <t>S34</t>
  </si>
  <si>
    <t>Regionally relevant product specific value from database developed using international best practice </t>
  </si>
  <si>
    <t>S33</t>
  </si>
  <si>
    <t>Nationally relevant product specific value from database developed using international best practice   </t>
  </si>
  <si>
    <t>S32</t>
  </si>
  <si>
    <t>Geographically generic product specific value from database developed using international best practice </t>
  </si>
  <si>
    <t>S31</t>
  </si>
  <si>
    <t>Acknowledgements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</si>
</sst>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s>
  <fonts count="58"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sz val="14"/>
      <color theme="1" tint="0.34998626667073579"/>
      <name val="Times New Roman"/>
      <family val="1"/>
    </font>
    <font>
      <b/>
      <sz val="12"/>
      <color rgb="FFCC6600"/>
      <name val="Times New Roman"/>
      <family val="1"/>
    </font>
    <font>
      <b/>
      <sz val="20"/>
      <color theme="4" tint="-0.249977111117893"/>
      <name val="Times New Roman"/>
      <family val="1"/>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b/>
      <sz val="20"/>
      <color theme="3" tint="9.9978637043366805E-2"/>
      <name val="Times New Roman"/>
      <family val="1"/>
    </font>
    <font>
      <vertAlign val="subscript"/>
      <sz val="12"/>
      <color theme="1" tint="0.24994659260841701"/>
      <name val="Times New Roman"/>
      <family val="1"/>
    </font>
    <font>
      <sz val="9"/>
      <color rgb="FF404040"/>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
      <left/>
      <right/>
      <top style="thin">
        <color theme="0" tint="-0.34998626667073579"/>
      </top>
      <bottom style="thin">
        <color theme="0" tint="-0.34998626667073579"/>
      </bottom>
      <diagonal/>
    </border>
  </borders>
  <cellStyleXfs count="68">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5" fillId="4" borderId="0">
      <alignment horizontal="left" vertical="center"/>
    </xf>
    <xf numFmtId="0" fontId="40" fillId="4" borderId="0">
      <alignment vertical="center"/>
    </xf>
    <xf numFmtId="0" fontId="3" fillId="4" borderId="0">
      <alignment horizontal="left" vertical="center"/>
    </xf>
    <xf numFmtId="0" fontId="37"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1" fillId="13" borderId="8">
      <alignment horizontal="left" vertical="center"/>
    </xf>
    <xf numFmtId="43" fontId="10" fillId="0" borderId="0" applyFont="0" applyFill="0" applyBorder="0" applyAlignment="0" applyProtection="0"/>
    <xf numFmtId="3" fontId="33" fillId="4" borderId="2">
      <alignment horizontal="center" vertical="center"/>
    </xf>
    <xf numFmtId="168" fontId="2" fillId="0" borderId="2">
      <alignment horizontal="center" vertical="center"/>
    </xf>
    <xf numFmtId="0" fontId="34" fillId="0" borderId="0"/>
    <xf numFmtId="0" fontId="10" fillId="0" borderId="0"/>
    <xf numFmtId="0" fontId="34" fillId="0" borderId="0"/>
    <xf numFmtId="166" fontId="33" fillId="4" borderId="2">
      <alignment horizontal="center" vertical="center"/>
    </xf>
    <xf numFmtId="4" fontId="33" fillId="4" borderId="2">
      <alignment horizontal="center" vertical="center"/>
    </xf>
    <xf numFmtId="0" fontId="49" fillId="4" borderId="0">
      <alignment horizontal="left" vertical="center"/>
    </xf>
    <xf numFmtId="0" fontId="36" fillId="4" borderId="0" applyNumberFormat="0">
      <alignment horizontal="center" vertical="center"/>
    </xf>
    <xf numFmtId="165" fontId="33" fillId="4" borderId="2">
      <alignment horizontal="center" vertical="center"/>
    </xf>
    <xf numFmtId="0" fontId="32" fillId="4" borderId="0">
      <alignment horizontal="left" vertical="center"/>
    </xf>
    <xf numFmtId="169" fontId="33" fillId="4" borderId="2">
      <alignment horizontal="center" vertical="center"/>
    </xf>
    <xf numFmtId="0" fontId="33" fillId="4" borderId="2">
      <alignment horizontal="center" vertical="center"/>
    </xf>
    <xf numFmtId="0" fontId="6" fillId="4" borderId="0">
      <alignment horizontal="left" vertical="center"/>
    </xf>
    <xf numFmtId="0" fontId="39" fillId="4" borderId="0">
      <alignment horizontal="left" vertical="center"/>
    </xf>
    <xf numFmtId="0" fontId="10" fillId="0" borderId="0"/>
    <xf numFmtId="0" fontId="2" fillId="0" borderId="2">
      <alignment horizontal="center" vertical="center"/>
    </xf>
    <xf numFmtId="0" fontId="44" fillId="4" borderId="0">
      <alignment horizontal="left" vertical="center"/>
    </xf>
    <xf numFmtId="0" fontId="45" fillId="4" borderId="0">
      <alignment horizontal="left" vertical="center"/>
    </xf>
    <xf numFmtId="0" fontId="50" fillId="4" borderId="0">
      <alignment horizontal="left" vertical="center"/>
    </xf>
    <xf numFmtId="0" fontId="43" fillId="11" borderId="0">
      <alignment horizontal="center" vertical="center"/>
    </xf>
    <xf numFmtId="0" fontId="22" fillId="11" borderId="0">
      <alignment horizontal="left" vertical="center" indent="1"/>
    </xf>
    <xf numFmtId="0" fontId="52" fillId="14" borderId="2">
      <alignment horizontal="center" vertical="center"/>
    </xf>
    <xf numFmtId="0" fontId="53" fillId="15" borderId="2">
      <alignment horizontal="center" vertical="center"/>
    </xf>
    <xf numFmtId="0" fontId="33" fillId="4" borderId="2">
      <alignment horizontal="left" vertical="center"/>
    </xf>
    <xf numFmtId="0" fontId="54" fillId="4" borderId="2">
      <alignment horizontal="left" vertical="center"/>
    </xf>
  </cellStyleXfs>
  <cellXfs count="106">
    <xf numFmtId="0" fontId="0" fillId="0" borderId="0" xfId="0"/>
    <xf numFmtId="0" fontId="37"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0" fillId="4" borderId="0" xfId="6">
      <alignment vertical="center"/>
    </xf>
    <xf numFmtId="0" fontId="35"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4">
      <alignment horizontal="left" vertical="center"/>
    </xf>
    <xf numFmtId="0" fontId="12" fillId="4" borderId="0" xfId="30">
      <alignment vertical="center"/>
    </xf>
    <xf numFmtId="0" fontId="17" fillId="7" borderId="0" xfId="31">
      <alignment vertical="center"/>
    </xf>
    <xf numFmtId="0" fontId="2" fillId="9" borderId="0" xfId="7" applyFont="1" applyFill="1" applyAlignment="1">
      <alignment horizontal="left" vertical="center" indent="1"/>
    </xf>
    <xf numFmtId="0" fontId="2" fillId="0" borderId="0" xfId="34">
      <alignment horizontal="left" vertical="center" indent="1"/>
    </xf>
    <xf numFmtId="0" fontId="20" fillId="9" borderId="5" xfId="35" applyFont="1">
      <alignment horizontal="left" vertical="center" indent="1"/>
    </xf>
    <xf numFmtId="0" fontId="21" fillId="9" borderId="5" xfId="35" applyFont="1">
      <alignment horizontal="left" vertical="center" indent="1"/>
    </xf>
    <xf numFmtId="0" fontId="41" fillId="13" borderId="8" xfId="40">
      <alignment horizontal="left" vertical="center"/>
    </xf>
    <xf numFmtId="0" fontId="0" fillId="4" borderId="0" xfId="0" applyFill="1"/>
    <xf numFmtId="2" fontId="30"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29" fillId="4" borderId="0" xfId="0" applyFont="1" applyFill="1"/>
    <xf numFmtId="2" fontId="30" fillId="4" borderId="0" xfId="0" applyNumberFormat="1" applyFont="1" applyFill="1"/>
    <xf numFmtId="0" fontId="6" fillId="4" borderId="0" xfId="12" applyAlignment="1">
      <alignment horizontal="left" indent="1"/>
    </xf>
    <xf numFmtId="0" fontId="30" fillId="4" borderId="1" xfId="0" applyFont="1" applyFill="1" applyBorder="1"/>
    <xf numFmtId="0" fontId="37" fillId="4" borderId="0" xfId="8" applyAlignment="1">
      <alignment horizontal="right" vertical="center"/>
    </xf>
    <xf numFmtId="0" fontId="2" fillId="0" borderId="2" xfId="14">
      <alignment horizontal="center" vertical="center"/>
    </xf>
    <xf numFmtId="0" fontId="27" fillId="4" borderId="0" xfId="7" applyFont="1" applyAlignment="1">
      <alignment horizontal="center" vertical="center"/>
    </xf>
    <xf numFmtId="166" fontId="27"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29">
      <alignment horizontal="center" vertical="center"/>
      <protection locked="0"/>
    </xf>
    <xf numFmtId="0" fontId="35" fillId="0" borderId="0" xfId="5" applyFill="1">
      <alignment horizontal="left" vertical="center"/>
    </xf>
    <xf numFmtId="0" fontId="40" fillId="0" borderId="0" xfId="6" applyFill="1">
      <alignment vertical="center"/>
    </xf>
    <xf numFmtId="0" fontId="37" fillId="0" borderId="0" xfId="8" applyFill="1">
      <alignment horizontal="left" vertical="center"/>
    </xf>
    <xf numFmtId="0" fontId="9" fillId="0" borderId="0" xfId="12" applyFont="1" applyFill="1" applyAlignment="1">
      <alignment horizontal="left" vertical="center"/>
    </xf>
    <xf numFmtId="0" fontId="37" fillId="4" borderId="1" xfId="8" applyBorder="1">
      <alignment horizontal="left" vertical="center"/>
    </xf>
    <xf numFmtId="4" fontId="26" fillId="0" borderId="0" xfId="17" applyFont="1" applyBorder="1">
      <alignment horizontal="center"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3" fillId="4" borderId="2" xfId="54">
      <alignment horizontal="center" vertical="center"/>
    </xf>
    <xf numFmtId="0" fontId="38" fillId="4" borderId="0" xfId="8" applyFont="1">
      <alignment horizontal="left" vertical="center"/>
    </xf>
    <xf numFmtId="0" fontId="6" fillId="4" borderId="0" xfId="55">
      <alignment horizontal="left" vertical="center"/>
    </xf>
    <xf numFmtId="0" fontId="39" fillId="4" borderId="0" xfId="56">
      <alignment horizontal="left" vertical="center"/>
    </xf>
    <xf numFmtId="0" fontId="10" fillId="0" borderId="0" xfId="57"/>
    <xf numFmtId="0" fontId="0" fillId="4" borderId="0" xfId="7" applyFont="1">
      <alignment horizontal="left" vertical="center"/>
    </xf>
    <xf numFmtId="0" fontId="13" fillId="6" borderId="0" xfId="28">
      <alignment horizontal="left" vertical="center" indent="1"/>
    </xf>
    <xf numFmtId="168" fontId="2" fillId="0" borderId="2" xfId="43">
      <alignment horizontal="center" vertical="center"/>
    </xf>
    <xf numFmtId="0" fontId="11" fillId="0" borderId="0" xfId="32"/>
    <xf numFmtId="0" fontId="22" fillId="10" borderId="0" xfId="36">
      <alignment horizontal="left" vertical="center" indent="1"/>
    </xf>
    <xf numFmtId="0" fontId="3" fillId="4" borderId="3" xfId="7" applyBorder="1">
      <alignment horizontal="left" vertical="center"/>
    </xf>
    <xf numFmtId="166" fontId="33" fillId="4" borderId="2" xfId="42" applyNumberFormat="1">
      <alignment horizontal="center" vertical="center"/>
    </xf>
    <xf numFmtId="0" fontId="27" fillId="4" borderId="0" xfId="0" applyFont="1" applyFill="1" applyAlignment="1">
      <alignment horizontal="center" vertical="center"/>
    </xf>
    <xf numFmtId="0" fontId="28" fillId="4" borderId="0" xfId="0" applyFont="1" applyFill="1" applyAlignment="1">
      <alignment horizontal="center" vertical="center"/>
    </xf>
    <xf numFmtId="0" fontId="28" fillId="4" borderId="0" xfId="0" applyFont="1" applyFill="1" applyAlignment="1">
      <alignment horizontal="left" vertical="center"/>
    </xf>
    <xf numFmtId="14" fontId="3" fillId="4" borderId="0" xfId="7" applyNumberFormat="1">
      <alignment horizontal="left" vertical="center"/>
    </xf>
    <xf numFmtId="0" fontId="18" fillId="4" borderId="0" xfId="33" applyFill="1" applyBorder="1"/>
    <xf numFmtId="166" fontId="2" fillId="4" borderId="0" xfId="18" applyNumberFormat="1" applyFill="1" applyBorder="1">
      <alignment horizontal="center" vertical="center"/>
    </xf>
    <xf numFmtId="167" fontId="3" fillId="4" borderId="0" xfId="41" applyNumberFormat="1" applyFont="1" applyFill="1" applyBorder="1" applyAlignment="1">
      <alignment horizontal="center" vertical="center"/>
    </xf>
    <xf numFmtId="0" fontId="31" fillId="4" borderId="0" xfId="0" applyFont="1" applyFill="1"/>
    <xf numFmtId="0" fontId="41" fillId="13" borderId="10" xfId="40" applyBorder="1">
      <alignment horizontal="left" vertical="center"/>
    </xf>
    <xf numFmtId="0" fontId="41" fillId="13" borderId="12" xfId="40" applyBorder="1">
      <alignment horizontal="left" vertical="center"/>
    </xf>
    <xf numFmtId="0" fontId="41" fillId="13" borderId="14" xfId="40" applyBorder="1">
      <alignment horizontal="left" vertical="center"/>
    </xf>
    <xf numFmtId="0" fontId="41" fillId="13" borderId="13" xfId="40" applyBorder="1">
      <alignment horizontal="left" vertical="center"/>
    </xf>
    <xf numFmtId="0" fontId="41" fillId="13" borderId="15" xfId="40" applyBorder="1">
      <alignment horizontal="left" vertical="center"/>
    </xf>
    <xf numFmtId="0" fontId="41" fillId="13" borderId="17" xfId="40" applyBorder="1">
      <alignment horizontal="left" vertical="center"/>
    </xf>
    <xf numFmtId="0" fontId="41" fillId="13" borderId="11" xfId="40" applyBorder="1">
      <alignment horizontal="left" vertical="center"/>
    </xf>
    <xf numFmtId="0" fontId="41" fillId="13" borderId="16" xfId="40" applyBorder="1">
      <alignment horizontal="left" vertical="center"/>
    </xf>
    <xf numFmtId="0" fontId="41" fillId="13" borderId="18" xfId="40" applyBorder="1">
      <alignment horizontal="left" vertical="center"/>
    </xf>
    <xf numFmtId="3" fontId="2" fillId="0" borderId="2" xfId="18">
      <alignment horizontal="center" vertical="center"/>
    </xf>
    <xf numFmtId="0" fontId="46" fillId="4" borderId="1" xfId="8" applyFont="1" applyBorder="1">
      <alignment horizontal="left" vertical="center"/>
    </xf>
    <xf numFmtId="0" fontId="47" fillId="4" borderId="1" xfId="8" applyFont="1" applyBorder="1">
      <alignment horizontal="left" vertical="center"/>
    </xf>
    <xf numFmtId="0" fontId="6" fillId="4" borderId="1" xfId="55" applyBorder="1">
      <alignment horizontal="left" vertical="center"/>
    </xf>
    <xf numFmtId="0" fontId="50" fillId="4" borderId="0" xfId="61">
      <alignment horizontal="left" vertical="center"/>
    </xf>
    <xf numFmtId="0" fontId="41" fillId="13" borderId="9" xfId="40" applyBorder="1">
      <alignment horizontal="left" vertical="center"/>
    </xf>
    <xf numFmtId="9" fontId="8" fillId="4" borderId="0" xfId="11">
      <alignment horizontal="center" vertical="center"/>
    </xf>
    <xf numFmtId="164" fontId="8" fillId="4" borderId="0" xfId="10">
      <alignment horizontal="center" vertical="center"/>
    </xf>
    <xf numFmtId="2" fontId="30" fillId="4" borderId="1" xfId="0" applyNumberFormat="1" applyFont="1" applyFill="1" applyBorder="1" applyAlignment="1">
      <alignment horizontal="center"/>
    </xf>
    <xf numFmtId="0" fontId="43" fillId="11" borderId="0" xfId="62">
      <alignment horizontal="center" vertical="center"/>
    </xf>
    <xf numFmtId="0" fontId="51" fillId="0" borderId="0" xfId="2" applyFont="1"/>
    <xf numFmtId="0" fontId="52" fillId="14" borderId="2" xfId="64">
      <alignment horizontal="center" vertical="center"/>
    </xf>
    <xf numFmtId="0" fontId="53" fillId="15" borderId="2" xfId="65">
      <alignment horizontal="center" vertical="center"/>
    </xf>
    <xf numFmtId="0" fontId="33" fillId="4" borderId="2" xfId="66">
      <alignment horizontal="left" vertical="center"/>
    </xf>
    <xf numFmtId="0" fontId="33" fillId="4" borderId="6" xfId="66" applyBorder="1">
      <alignment horizontal="left" vertical="center"/>
    </xf>
    <xf numFmtId="0" fontId="33" fillId="4" borderId="7" xfId="66" applyBorder="1">
      <alignment horizontal="left" vertical="center"/>
    </xf>
    <xf numFmtId="0" fontId="55" fillId="9" borderId="0" xfId="32" applyFont="1" applyFill="1"/>
    <xf numFmtId="0" fontId="37" fillId="9" borderId="0" xfId="8" applyFill="1">
      <alignment horizontal="left" vertical="center"/>
    </xf>
    <xf numFmtId="0" fontId="17" fillId="11" borderId="0" xfId="31" applyFill="1">
      <alignment vertical="center"/>
    </xf>
    <xf numFmtId="0" fontId="41" fillId="13" borderId="19" xfId="40" applyBorder="1">
      <alignment horizontal="left" vertical="center"/>
    </xf>
    <xf numFmtId="0" fontId="42" fillId="13" borderId="20" xfId="40" applyFont="1" applyBorder="1">
      <alignment horizontal="left" vertical="center"/>
    </xf>
    <xf numFmtId="0" fontId="41" fillId="13" borderId="20" xfId="40" applyBorder="1">
      <alignment horizontal="left" vertical="center"/>
    </xf>
    <xf numFmtId="0" fontId="48" fillId="4" borderId="1" xfId="12" applyFont="1" applyBorder="1">
      <alignment horizontal="left" vertical="center" indent="1"/>
    </xf>
    <xf numFmtId="0" fontId="22" fillId="8" borderId="0" xfId="38">
      <alignment horizontal="left" vertical="center" indent="1"/>
    </xf>
    <xf numFmtId="0" fontId="22" fillId="5" borderId="0" xfId="37">
      <alignment horizontal="left" vertical="center" indent="1"/>
    </xf>
    <xf numFmtId="0" fontId="22" fillId="11" borderId="0" xfId="63">
      <alignment horizontal="left" vertical="center" indent="1"/>
    </xf>
    <xf numFmtId="0" fontId="33" fillId="4" borderId="2" xfId="54" applyAlignment="1">
      <alignment horizontal="left" vertical="center"/>
    </xf>
    <xf numFmtId="0" fontId="33" fillId="4" borderId="7" xfId="54" applyBorder="1" applyAlignment="1">
      <alignment horizontal="left" vertical="center"/>
    </xf>
    <xf numFmtId="0" fontId="33" fillId="4" borderId="21" xfId="54" applyBorder="1">
      <alignment horizontal="center" vertical="center"/>
    </xf>
    <xf numFmtId="0" fontId="57" fillId="9" borderId="5" xfId="35" applyFont="1">
      <alignment horizontal="left" vertical="center" indent="1"/>
    </xf>
    <xf numFmtId="0" fontId="18" fillId="0" borderId="0" xfId="33"/>
  </cellXfs>
  <cellStyles count="68">
    <cellStyle name="Alert" xfId="61" xr:uid="{34EFE908-8095-4010-8F93-8CFE88055637}"/>
    <cellStyle name="Arguments" xfId="66" xr:uid="{A98BE7F9-9AF1-41BC-93A1-04622A5983FD}"/>
    <cellStyle name="Arguments hyperlink" xfId="67" xr:uid="{5B3BC2F2-D301-4F3B-B97E-D17F59423576}"/>
    <cellStyle name="Block heading" xfId="5" xr:uid="{74527274-3B4A-494A-B37C-EA50686E114C}"/>
    <cellStyle name="Block subheading" xfId="49" xr:uid="{34E62905-A3E0-4883-B81A-BDB58FC88DA7}"/>
    <cellStyle name="Code" xfId="24" xr:uid="{99B3520F-01DD-4F8E-A8D0-24EAA04E90EB}"/>
    <cellStyle name="Comma" xfId="41" builtinId="3"/>
    <cellStyle name="Content bold" xfId="7" xr:uid="{468A1381-682E-4BF1-945B-DF2E2BCA4419}"/>
    <cellStyle name="Content bold total" xfId="27" xr:uid="{17159E75-EF9F-42B8-8195-E83583796F67}"/>
    <cellStyle name="Content hidden" xfId="52"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3" builtinId="8"/>
    <cellStyle name="Information tip" xfId="40" xr:uid="{7D200D09-32E3-4546-9822-1B93AD118A74}"/>
    <cellStyle name="Information variation" xfId="56" xr:uid="{205494A3-14DD-4E6A-BDD3-5C5A864D6FA7}"/>
    <cellStyle name="Input block subheading" xfId="30" xr:uid="{A9FEBDB0-0992-4E30-96E5-9F9CAE92E3FB}"/>
    <cellStyle name="Input date" xfId="43" xr:uid="{A1D72D5E-DCF3-445F-8FC0-A147E105D774}"/>
    <cellStyle name="Input date calculated" xfId="47" xr:uid="{5A42AD0E-F665-46A9-9757-6B6A4BE7013E}"/>
    <cellStyle name="Input number 2 decimal places" xfId="17" xr:uid="{F9671E40-5700-4055-A6D2-272CF9DB620E}"/>
    <cellStyle name="Input number 2 decimal places calculated" xfId="48" xr:uid="{C04BA53C-14E1-48A5-99A3-C9FD44741A2A}"/>
    <cellStyle name="Input number 3 decimal places calculated" xfId="51" xr:uid="{637E6039-0A01-48EF-8C15-C29A497EF449}"/>
    <cellStyle name="Input number 3 decimal places disabled" xfId="22" xr:uid="{6B1B6177-B1C0-4190-858F-6E4C823402C3}"/>
    <cellStyle name="Input number 6 decimal places calculated" xfId="53" xr:uid="{CE70A7A2-3CEE-4689-8FF6-8EB6FCE0A94C}"/>
    <cellStyle name="Input number general" xfId="58" xr:uid="{D8583F7D-F13A-4EA8-BAA6-B42739FDBDDB}"/>
    <cellStyle name="Input number general calculated" xfId="54" xr:uid="{34755FEB-6E4E-4BD7-A478-DF7299A7A914}"/>
    <cellStyle name="Input number no decimals" xfId="18" xr:uid="{B33B4FB5-F3F4-4036-B2DD-663B694E2A90}"/>
    <cellStyle name="Input number no decimals calculated" xfId="42"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50" xr:uid="{43DCF082-1F0D-4E07-9785-CAF41B37CFCC}"/>
    <cellStyle name="Input text disabled" xfId="19" xr:uid="{79E76B35-E5FF-43A1-B0D0-016F346F8B97}"/>
    <cellStyle name="Menu link child" xfId="39" xr:uid="{609090D3-DE1E-48FE-A8AA-233CE9B146E0}"/>
    <cellStyle name="Menu link default" xfId="34" xr:uid="{11B84453-1DD4-492A-B241-FE6AD4CB25FA}"/>
    <cellStyle name="Menu link selected" xfId="36" xr:uid="{B16EBA6F-62C4-483F-8E15-B20D06ABF61F}"/>
    <cellStyle name="Menu link selected equations" xfId="38" xr:uid="{7AFCC545-C221-4BAC-933E-19109D0FB654}"/>
    <cellStyle name="Menu link selected input" xfId="37" xr:uid="{17D327F4-9149-4DAC-85BB-811698090830}"/>
    <cellStyle name="Menu link selected results" xfId="63" xr:uid="{0DC56464-F1A3-42A3-BF89-514E2163E7F0}"/>
    <cellStyle name="Menu section title" xfId="35" xr:uid="{E2117B15-AE58-4F76-B13B-671D455A4107}"/>
    <cellStyle name="Normal" xfId="0" builtinId="0"/>
    <cellStyle name="Normal 2" xfId="57" xr:uid="{FE64FEFB-54C6-42B4-AA7F-D49670F5ED19}"/>
    <cellStyle name="Normal 2 2" xfId="46" xr:uid="{B8803ACE-513D-4EEF-BBE0-0BB76AE7D7F4}"/>
    <cellStyle name="Normal 4" xfId="44" xr:uid="{99CD1B63-5040-4067-BBD7-470030C57E5D}"/>
    <cellStyle name="Normal 5" xfId="45"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Results table column header" xfId="62" xr:uid="{A846043F-10AE-4BED-BAA6-90407C977915}"/>
    <cellStyle name="Table description" xfId="60" xr:uid="{8BD2F353-2E3C-42FF-89E9-616E85DC18C5}"/>
    <cellStyle name="Table name" xfId="59" xr:uid="{D56F17A4-9740-44B6-BDDB-150E2C950B8B}"/>
    <cellStyle name="Unit" xfId="12" xr:uid="{90B9E191-F5E0-43AB-A245-D6CA23D4ADFC}"/>
    <cellStyle name="Unit no indent" xfId="55" xr:uid="{2829D020-DAD8-4B7D-9262-450720E27D2B}"/>
    <cellStyle name="Unit total" xfId="25" xr:uid="{65428923-3DAD-47B6-8DDF-0EBD05E7C55B}"/>
    <cellStyle name="Variable type input" xfId="64" xr:uid="{515940C5-98BF-44F7-AAB8-0D7808DD5C6C}"/>
    <cellStyle name="Variable type other" xfId="65" xr:uid="{5D88A237-9D54-45E0-A48E-F67D0639FDE2}"/>
  </cellStyles>
  <dxfs count="68">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67"/>
      <tableStyleElement type="headerRow" dxfId="66"/>
      <tableStyleElement type="totalRow" dxfId="65"/>
      <tableStyleElement type="firstColumn" dxfId="64"/>
      <tableStyleElement type="firstRowStripe" dxfId="63"/>
      <tableStyleElement type="secondRowStripe" dxfId="62"/>
    </tableStyle>
    <tableStyle name="Equation table" pivot="0" count="6" xr9:uid="{B247698E-E41D-4CCD-AA0A-C14817E9DE65}">
      <tableStyleElement type="wholeTable" dxfId="61"/>
      <tableStyleElement type="headerRow" dxfId="60"/>
      <tableStyleElement type="totalRow" dxfId="59"/>
      <tableStyleElement type="firstColumn" dxfId="58"/>
      <tableStyleElement type="firstRowStripe" dxfId="57"/>
      <tableStyleElement type="secondRowStripe" dxfId="56"/>
    </tableStyle>
    <tableStyle name="Table Style 1" pivot="0" count="0" xr9:uid="{97B370DB-5463-4A31-9160-5A96BD6A559D}"/>
  </tableStyles>
  <colors>
    <mruColors>
      <color rgb="FF0C769E"/>
      <color rgb="FF008000"/>
      <color rgb="FFC4434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22/10/relationships/richValueRel" Target="richData/richValueRel.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3.6.1.1-2 Enteric Methane'!D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417799</xdr:colOff>
      <xdr:row>7</xdr:row>
      <xdr:rowOff>3136</xdr:rowOff>
    </xdr:from>
    <xdr:ext cx="1928078" cy="505267"/>
    <xdr:sp macro="" textlink="">
      <xdr:nvSpPr>
        <xdr:cNvPr id="2" name="TextBox 1">
          <a:extLst>
            <a:ext uri="{FF2B5EF4-FFF2-40B4-BE49-F238E27FC236}">
              <a16:creationId xmlns:a16="http://schemas.microsoft.com/office/drawing/2014/main" id="{3B503452-64E4-4041-812B-B7191D6DC263}"/>
            </a:ext>
          </a:extLst>
        </xdr:cNvPr>
        <xdr:cNvSpPr txBox="1"/>
      </xdr:nvSpPr>
      <xdr:spPr>
        <a:xfrm>
          <a:off x="3094324"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3.6.1.1-2 Enteric Methane</a:t>
          </a:r>
        </a:p>
      </xdr:txBody>
    </xdr:sp>
    <xdr:clientData/>
  </xdr:oneCellAnchor>
  <xdr:twoCellAnchor>
    <xdr:from>
      <xdr:col>3</xdr:col>
      <xdr:colOff>576200</xdr:colOff>
      <xdr:row>9</xdr:row>
      <xdr:rowOff>101310</xdr:rowOff>
    </xdr:from>
    <xdr:to>
      <xdr:col>6</xdr:col>
      <xdr:colOff>256679</xdr:colOff>
      <xdr:row>12</xdr:row>
      <xdr:rowOff>78361</xdr:rowOff>
    </xdr:to>
    <xdr:sp macro="" textlink="'3.6.1.1-2 Enteric Methane'!D5">
      <xdr:nvSpPr>
        <xdr:cNvPr id="16" name="TextBox 15">
          <a:hlinkClick xmlns:r="http://schemas.openxmlformats.org/officeDocument/2006/relationships" r:id="rId1"/>
          <a:extLst>
            <a:ext uri="{FF2B5EF4-FFF2-40B4-BE49-F238E27FC236}">
              <a16:creationId xmlns:a16="http://schemas.microsoft.com/office/drawing/2014/main" id="{A391DA18-C458-4E43-BCCB-7D7FA0C9843E}"/>
            </a:ext>
          </a:extLst>
        </xdr:cNvPr>
        <xdr:cNvSpPr txBox="1"/>
      </xdr:nvSpPr>
      <xdr:spPr>
        <a:xfrm>
          <a:off x="3252725" y="2463510"/>
          <a:ext cx="1509279" cy="72000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E89661-89DA-46FA-86B0-CDCD39DC2349}" type="TxLink">
            <a:rPr lang="en-US" sz="1000" b="0" i="0" u="none" strike="noStrike">
              <a:solidFill>
                <a:srgbClr val="0C769E"/>
              </a:solidFill>
              <a:latin typeface="Times New Roman"/>
              <a:cs typeface="Times New Roman"/>
            </a:rPr>
            <a:pPr algn="ctr"/>
            <a:t>Total annual methane production from enteric fermentation in other livestock</a:t>
          </a:fld>
          <a:endParaRPr lang="en-AU" sz="1000">
            <a:solidFill>
              <a:srgbClr val="0C769E"/>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10</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14287</xdr:colOff>
      <xdr:row>7</xdr:row>
      <xdr:rowOff>38100</xdr:rowOff>
    </xdr:from>
    <xdr:ext cx="1906163"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6AD7154-B3B2-1B2E-CD59-54B89FE69FDA}"/>
                </a:ext>
              </a:extLst>
            </xdr:cNvPr>
            <xdr:cNvSpPr txBox="1"/>
          </xdr:nvSpPr>
          <xdr:spPr>
            <a:xfrm>
              <a:off x="2690812" y="1905000"/>
              <a:ext cx="190616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56AD7154-B3B2-1B2E-CD59-54B89FE69FDA}"/>
                </a:ext>
              </a:extLst>
            </xdr:cNvPr>
            <xdr:cNvSpPr txBox="1"/>
          </xdr:nvSpPr>
          <xdr:spPr>
            <a:xfrm>
              <a:off x="2690812" y="1905000"/>
              <a:ext cx="190616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𝐸_𝑒𝑛𝑡𝑒𝑟𝑖𝑐=∑8_𝑗▒(𝑁_𝑗×𝑀_𝑗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C024E4-8969-4519-9E31-15AF99CB48B1}" name="Table_SourceData_OtherLivestock_EntericEF" displayName="Table_SourceData_OtherLivestock_EntericEF" ref="D9:E17" totalsRowShown="0">
  <autoFilter ref="D9:E17" xr:uid="{3DC024E4-8969-4519-9E31-15AF99CB48B1}">
    <filterColumn colId="0" hiddenButton="1"/>
    <filterColumn colId="1" hiddenButton="1"/>
  </autoFilter>
  <tableColumns count="2">
    <tableColumn id="1" xr3:uid="{D57CB9BE-4423-4B3C-8812-0053460E9FD4}" name="Other livestock type">
      <calculatedColumnFormula array="1">Common_InputFunctions.Utility_DisplayArrayInTable(SourceData_OtherLivestock.SourceData_OtherLivestock_EntericFermentationEmissionFactor_Data(),Table_SourceData_OtherLivestock_EntericEF[[#Headers],[Other livestock type]],0)</calculatedColumnFormula>
    </tableColumn>
    <tableColumn id="2" xr3:uid="{076CA99E-B6FF-4452-AA90-21B8618FF161}" name="Mj" dataDxfId="55" dataCellStyle="Content normal">
      <calculatedColumnFormula array="1">Common_InputFunctions.Utility_DisplayArrayInTable(SourceData_OtherLivestock.SourceData_OtherLivestock_EntericFermentationEmissionFactor_Data(),Table_SourceData_OtherLivestock_EntericEF[[#Headers],[Other livestock type]],0)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5649617-63F2-4A80-A5EB-06A3280A3C57}" name="Table_SourceData_OtherLivestock_VolatileSolids" displayName="Table_SourceData_OtherLivestock_VolatileSolids" ref="D24:E32" totalsRowShown="0" dataDxfId="54" dataCellStyle="Content normal">
  <autoFilter ref="D24:E32" xr:uid="{75649617-63F2-4A80-A5EB-06A3280A3C57}">
    <filterColumn colId="0" hiddenButton="1"/>
    <filterColumn colId="1" hiddenButton="1"/>
  </autoFilter>
  <tableColumns count="2">
    <tableColumn id="1" xr3:uid="{3E3B834E-0F7A-47D3-954A-A57B2234370A}" name="Other livestock type" dataDxfId="53" dataCellStyle="Content normal">
      <calculatedColumnFormula array="1">Common_InputFunctions.Utility_DisplayArrayInTable(SourceData_OtherLivestock.SourceData_OtherLivestock_VolatileSolidsProduced_Data(),Table_SourceData_OtherLivestock_VolatileSolids[[#Headers],[Other livestock type]],0)</calculatedColumnFormula>
    </tableColumn>
    <tableColumn id="2" xr3:uid="{0BCFF128-A246-43C6-BB57-DC9448A80579}" name="VSj" dataDxfId="52" dataCellStyle="Content normal">
      <calculatedColumnFormula array="1">Common_InputFunctions.Utility_DisplayArrayInTable(SourceData_OtherLivestock.SourceData_OtherLivestock_VolatileSolidsProduced_Data(),Table_SourceData_OtherLivestock_VolatileSolids[[#Headers],[Other livestock type]],0)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22C94C8-449D-4574-AF4D-39C274C53A6F}" name="Table_SourceData_OtherLivestock_NitrogenExcreted" displayName="Table_SourceData_OtherLivestock_NitrogenExcreted" ref="D39:E47" totalsRowShown="0" dataDxfId="51" dataCellStyle="Content normal">
  <autoFilter ref="D39:E47" xr:uid="{522C94C8-449D-4574-AF4D-39C274C53A6F}">
    <filterColumn colId="0" hiddenButton="1"/>
    <filterColumn colId="1" hiddenButton="1"/>
  </autoFilter>
  <tableColumns count="2">
    <tableColumn id="1" xr3:uid="{92CD5559-01AC-4144-B6DC-7F856864840C}" name="Other livestock type" dataDxfId="50" dataCellStyle="Content normal">
      <calculatedColumnFormula array="1">Common_InputFunctions.Utility_DisplayArrayInTable(SourceData_OtherLivestock.SourceData_OtherLivestock_NitrogenExcreted_Data(),Table_SourceData_OtherLivestock_NitrogenExcreted[[#Headers],[Other livestock type]],0)</calculatedColumnFormula>
    </tableColumn>
    <tableColumn id="2" xr3:uid="{A4955FC2-927B-4DF6-B94C-068E74A6FF39}" name="NEj" dataDxfId="49" dataCellStyle="Content normal">
      <calculatedColumnFormula array="1">Common_InputFunctions.Utility_DisplayArrayInTable(SourceData_OtherLivestock.SourceData_OtherLivestock_NitrogenExcreted_Data(),Table_SourceData_OtherLivestock_NitrogenExcreted[[#Headers],[Other livestock type]],0)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8C66B47-C28A-4E61-BD61-AB59792A938B}" name="Table_SourceData_OtherLivestock_AverageLiveweight" displayName="Table_SourceData_OtherLivestock_AverageLiveweight" ref="D54:F64" totalsRowShown="0" dataDxfId="48" dataCellStyle="Content normal">
  <autoFilter ref="D54:F64" xr:uid="{08C66B47-C28A-4E61-BD61-AB59792A938B}">
    <filterColumn colId="0" hiddenButton="1"/>
    <filterColumn colId="1" hiddenButton="1"/>
    <filterColumn colId="2" hiddenButton="1"/>
  </autoFilter>
  <tableColumns count="3">
    <tableColumn id="1" xr3:uid="{92B26601-57E2-4637-B097-133483C8744F}" name="Other livestock type" dataDxfId="47" dataCellStyle="Content normal">
      <calculatedColumnFormula array="1">Common_InputFunctions.Utility_DisplayArrayInTable(SourceData_OtherLivestock.SourceData_OtherLivestock_AverageLiveweight_Data(),Table_SourceData_OtherLivestock_AverageLiveweight[[#Headers],[Other livestock type]],0)</calculatedColumnFormula>
    </tableColumn>
    <tableColumn id="2" xr3:uid="{6D10B565-469B-4476-91DD-3E192D501AEC}" name="Wco" dataDxfId="46" dataCellStyle="Content normal">
      <calculatedColumnFormula array="1">Common_InputFunctions.Utility_DisplayArrayInTable(SourceData_OtherLivestock.SourceData_OtherLivestock_AverageLiveweight_Data(),Table_SourceData_OtherLivestock_AverageLiveweight[[#Headers],[Other livestock type]],0)</calculatedColumnFormula>
    </tableColumn>
    <tableColumn id="3" xr3:uid="{4285ACF1-A507-45A9-B06F-3C8A119CF7C4}" name="Wco2" dataDxfId="45" dataCellStyle="Content normal">
      <calculatedColumnFormula array="1">Common_InputFunctions.Utility_DisplayArrayInTable(SourceData_OtherLivestock.SourceData_OtherLivestock_AverageLiveweight_Data(),Table_SourceData_OtherLivestock_AverageLiveweight[[#Headers],[Other livestock type]],0)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17E53D2-4463-4A85-80B5-5691AD7D98C8}" name="Table_SourceData_OtherLivestock_FractionWasteInMMS" displayName="Table_SourceData_OtherLivestock_FractionWasteInMMS" ref="D71:F79" totalsRowShown="0" dataDxfId="44" dataCellStyle="Content normal">
  <autoFilter ref="D71:F79" xr:uid="{717E53D2-4463-4A85-80B5-5691AD7D98C8}">
    <filterColumn colId="0" hiddenButton="1"/>
    <filterColumn colId="1" hiddenButton="1"/>
    <filterColumn colId="2" hiddenButton="1"/>
  </autoFilter>
  <tableColumns count="3">
    <tableColumn id="1" xr3:uid="{3C1197CD-1D52-441D-BBC2-CD949C23252D}" name="Other livestock type" dataDxfId="43" dataCellStyle="Content normal">
      <calculatedColumnFormula array="1">Common_InputFunctions.Utility_DisplayArrayInTable(SourceData_OtherLivestock.SourceData_OtherLivestock_FractionWasteInMMS_Data(),Table_SourceData_OtherLivestock_FractionWasteInMMS[[#Headers],[Other livestock type]],0)</calculatedColumnFormula>
    </tableColumn>
    <tableColumn id="2" xr3:uid="{8073D8FF-B3DA-4F6A-932F-294E074768D7}" name="Pasture range and paddock" dataDxfId="42" dataCellStyle="Content normal">
      <calculatedColumnFormula array="1">Common_InputFunctions.Utility_DisplayArrayInTable(SourceData_OtherLivestock.SourceData_OtherLivestock_FractionWasteInMMS_Data(),Table_SourceData_OtherLivestock_FractionWasteInMMS[[#Headers],[Other livestock type]],0)</calculatedColumnFormula>
    </tableColumn>
    <tableColumn id="3" xr3:uid="{BE446918-69F7-4B13-8457-24AF8D4D48BC}" name="Uncovered anaerobic lagoon" dataDxfId="41" dataCellStyle="Content normal">
      <calculatedColumnFormula array="1">Common_InputFunctions.Utility_DisplayArrayInTable(SourceData_OtherLivestock.SourceData_OtherLivestock_FractionWasteInMMS_Data(),Table_SourceData_OtherLivestock_FractionWasteInMMS[[#Headers],[Other livestock type]],0)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FA04BB4-DA20-428E-BF28-5455856D0A35}" name="Table_SourceData_OtherLivestock_MCF" displayName="Table_SourceData_OtherLivestock_MCF" ref="D86:F94" totalsRowShown="0" dataDxfId="40" dataCellStyle="Content normal">
  <autoFilter ref="D86:F94" xr:uid="{AFA04BB4-DA20-428E-BF28-5455856D0A35}">
    <filterColumn colId="0" hiddenButton="1"/>
    <filterColumn colId="1" hiddenButton="1"/>
    <filterColumn colId="2" hiddenButton="1"/>
  </autoFilter>
  <tableColumns count="3">
    <tableColumn id="1" xr3:uid="{378D0529-B2BA-4B26-B22D-9D5AE994C705}" name="Other livestock type" dataDxfId="39" dataCellStyle="Content normal">
      <calculatedColumnFormula array="1">Common_InputFunctions.Utility_DisplayArrayInTable(SourceData_OtherLivestock.SourceData_OtherLivestock_MethaneConversionFactor_Data(),Table_SourceData_OtherLivestock_MCF[[#Headers],[Other livestock type]],0)</calculatedColumnFormula>
    </tableColumn>
    <tableColumn id="2" xr3:uid="{614FC5E3-9067-4D7A-9048-5C785284F6FC}" name="Pasture range and paddock" dataDxfId="38" dataCellStyle="Content normal">
      <calculatedColumnFormula array="1">Common_InputFunctions.Utility_DisplayArrayInTable(SourceData_OtherLivestock.SourceData_OtherLivestock_MethaneConversionFactor_Data(),Table_SourceData_OtherLivestock_MCF[[#Headers],[Other livestock type]],0)</calculatedColumnFormula>
    </tableColumn>
    <tableColumn id="3" xr3:uid="{9125F130-A695-42FD-984B-66D9A47F338B}" name="Uncovered anaerobic lagoon" dataDxfId="37" dataCellStyle="Content normal">
      <calculatedColumnFormula array="1">Common_InputFunctions.Utility_DisplayArrayInTable(SourceData_OtherLivestock.SourceData_OtherLivestock_MethaneConversionFactor_Data(),Table_SourceData_OtherLivestock_MCF[[#Headers],[Other livestock type]],0)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56091EC-DF24-4938-A0ED-A9D9856DED5D}"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2A90C19B-8E8E-4CD9-B053-F43C2EC4407E}" name="State/Territory">
      <calculatedColumnFormula array="1">Common_InputFunctions.Utility_DisplayArrayInTable(Common_SourceData.Common_SourceData_AustralianStatesTerritories_Data(),Table_AustralianStates[[#Headers],[State/Territory]],0)</calculatedColumnFormula>
    </tableColumn>
    <tableColumn id="2" xr3:uid="{A2BAFA2C-23F9-4583-9496-BA1F63A38C66}" name="Common Name">
      <calculatedColumnFormula array="1">Common_InputFunctions.Utility_DisplayArrayInTable(Common_SourceData.Common_SourceData_AustralianStatesTerritories_Data(),Table_AustralianStates[[#Headers],[State/Territory]],0)</calculatedColumnFormula>
    </tableColumn>
    <tableColumn id="3" xr3:uid="{20A3575E-7E03-46A8-8F37-A8928A789024}"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7180591-7AF5-4E24-A014-8B8425595E10}" name="Table_WASA4Areas" displayName="Table_WASA4Areas" ref="D20:D30" totalsRowShown="0">
  <autoFilter ref="D20:D30" xr:uid="{5FA81339-C6C8-4D36-BEEA-6C4AEDD9E676}">
    <filterColumn colId="0" hiddenButton="1"/>
  </autoFilter>
  <tableColumns count="1">
    <tableColumn id="1" xr3:uid="{AD685AFA-FF96-4267-9CE0-8012E9FE521E}"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8F2EC31-3C3A-44D3-9F12-02F5BA85049A}" name="Table_GWPData" displayName="Table_GWPData" ref="D36:E43" totalsRowShown="0">
  <autoFilter ref="D36:E43" xr:uid="{B8E87A66-3E41-4AD3-925D-01EE21B43D7A}">
    <filterColumn colId="0" hiddenButton="1"/>
    <filterColumn colId="1" hiddenButton="1"/>
  </autoFilter>
  <tableColumns count="2">
    <tableColumn id="1" xr3:uid="{953DA4BE-E7EE-49B1-BB44-DE7CAE139A1C}" name="Gas">
      <calculatedColumnFormula array="1">Common_InputFunctions.Utility_DisplayArrayInTable(Common_SourceData.Common_SourceData_GWP_Data(), Table_GWPData[[#Headers],[Gas]], 0)</calculatedColumnFormula>
    </tableColumn>
    <tableColumn id="2" xr3:uid="{9C30D85F-753B-4A55-B36F-B27701C078AF}"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7790A4F1-2BD6-43B0-AA8C-2F291FECB028}"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1A78E08C-B179-4CD0-BBA3-5F07C0DD5EED}" name="Gas">
      <calculatedColumnFormula array="1">Common_InputFunctions.Utility_DisplayArrayInTable(Common_SourceData.Common_SourceData_ConvertGasElementalToMolecular_Data(),Table_GasToMolecularConversionFactor[[#Headers],[Gas]], 0)</calculatedColumnFormula>
    </tableColumn>
    <tableColumn id="5" xr3:uid="{D2B8534A-1659-48BD-B41C-10B21F23946D}" name="Conversion factor">
      <calculatedColumnFormula array="1">Common_InputFunctions.Utility_DisplayArrayInTable(Common_SourceData.Common_SourceData_ConvertGasElementalToMolecular_Data(),Table_GasToMolecularConversionFactor[[#Headers],[Gas]], 0)</calculatedColumnFormula>
    </tableColumn>
    <tableColumn id="2" xr3:uid="{8E3ADE7C-289A-4A8A-B3B8-5A050A223E0E}" name="Conversion factor 1">
      <calculatedColumnFormula array="1">Common_InputFunctions.Utility_DisplayArrayInTable(Common_SourceData.Common_SourceData_ConvertGasElementalToMolecular_Data(),Table_GasToMolecularConversionFactor[[#Headers],[Gas]], 0)</calculatedColumnFormula>
    </tableColumn>
    <tableColumn id="3" xr3:uid="{5CA4AE6E-6D5A-4CAE-8F9E-927571E9817D}" name="Conversion factor 2">
      <calculatedColumnFormula array="1">Common_InputFunctions.Utility_DisplayArrayInTable(Common_SourceData.Common_SourceData_ConvertGasElementalToMolecular_Data(),Table_GasToMolecularConversionFactor[[#Headers],[Gas]], 0)</calculatedColumnFormula>
    </tableColumn>
    <tableColumn id="4" xr3:uid="{963357BE-6B83-4870-8195-A4B2ACABE44A}"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455C1FB-E0EC-420C-BC01-C681E8226E4E}"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3CD3D4D5-42BB-4E1C-8CE6-6F301EA89D3A}"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89C639A6-78BB-4857-8AFC-18317C27129F}" name="MAT"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3" xr3:uid="{B35E8617-3F4C-44F2-AE26-F6F52B9C3FDA}" name="MAP"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4" xr3:uid="{DFA67CB4-1E4A-40B2-82BF-D41AFB94466B}" name="Frost days per year"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5" xr3:uid="{334497DF-B010-4AB1-AAF8-2F8E84E9E77D}" name="Elevation"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6" xr3:uid="{47BDA440-B013-4AB4-9B72-4E65051E64CE}" name="MAP:PET"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7" xr3:uid="{7426E454-9049-497B-99DC-E7E205CEC2D8}" name="Min temp"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8" xr3:uid="{93819F9B-35CE-419C-9552-6F61B8D5DF99}" name="Max temp"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9" xr3:uid="{A12AB52B-8158-4DD8-AF9F-588DEE43A168}" name="Min rainfall"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10" xr3:uid="{36B5A7A5-D8F3-4D06-8B7D-4C509C1D3E0C}" name="Max rainfall"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1" xr3:uid="{DFD7A042-FDBC-4D81-88AA-F6C20F0BDC28}" name="Min frost days"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5" xr3:uid="{E0353B4B-0F43-4BEA-9EDE-D807900D4DC5}" name="Max frost days"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2" xr3:uid="{5AA8BBA9-F6AB-4DFE-8FAA-FC1C9D2E7822}" name="Min elevation"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6" xr3:uid="{63E7711A-08D7-4F30-8EEA-B7FD061290B8}" name="Max elevation"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3" xr3:uid="{CE79F652-DB30-4584-8987-D43C779A4CCE}" name="Min MAP:PET"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7" xr3:uid="{2CE03279-D571-437B-B5E3-433363E8280D}" name="Max MAP:PET" totalsRowDxfId="22"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290C21ED-51F4-4079-B15A-919C7DCD3B6D}"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EA988DAA-1D85-4AC0-BBEB-9D25F2947F14}"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C243F783-F0D8-4C8B-B8BC-E2B796A4C087}" name="Wet or Dry Zone" totalsRowDxfId="21"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5FAC7FC7-21B3-45D9-9D0F-87CDCEAEE875}"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FF5F826D-4526-4C18-A39E-9D19E7EE681D}" name="Temperature Zone">
      <calculatedColumnFormula array="1">Common_InputFunctions.Utility_DisplayArrayInTable(Common_SourceData.Common_SourceData_TemperatureZones_Data(),Table_SourceData_TemperatureZones[[#Headers],[Temperature Zone]],0)</calculatedColumnFormula>
    </tableColumn>
    <tableColumn id="2" xr3:uid="{CE786740-6522-42B2-A23D-0392085ED731}" name="MAT">
      <calculatedColumnFormula array="1">Common_InputFunctions.Utility_DisplayArrayInTable(Common_SourceData.Common_SourceData_TemperatureZones_Data(),Table_SourceData_TemperatureZones[[#Headers],[Temperature Zone]],0)</calculatedColumnFormula>
    </tableColumn>
    <tableColumn id="3" xr3:uid="{4BF99F3D-EF32-4FE3-8511-96705703796B}" name="Min MAT">
      <calculatedColumnFormula array="1">Common_InputFunctions.Utility_DisplayArrayInTable(Common_SourceData.Common_SourceData_TemperatureZones_Data(),Table_SourceData_TemperatureZones[[#Headers],[Temperature Zone]],0)</calculatedColumnFormula>
    </tableColumn>
    <tableColumn id="4" xr3:uid="{5F90BFD6-BDC1-4FF6-A9C2-28770069E037}"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1800D7F6-F7D6-4B6C-9043-5BA28385B962}"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C20CCF91-9AEB-4CAA-AD76-40645D08B4EF}" name="Rainfall Zone">
      <calculatedColumnFormula array="1">Common_InputFunctions.Utility_DisplayArrayInTable(Common_SourceData.Common_SourceData_RainfallZones_Data(),Table_SourceData_RainfallZones[[#Headers],[Rainfall Zone]],0)</calculatedColumnFormula>
    </tableColumn>
    <tableColumn id="2" xr3:uid="{853B8440-4EA0-4C0C-9C87-B4C71503FF96}" name="Annual rainfall">
      <calculatedColumnFormula array="1">Common_InputFunctions.Utility_DisplayArrayInTable(Common_SourceData.Common_SourceData_RainfallZones_Data(),Table_SourceData_RainfallZones[[#Headers],[Rainfall Zone]],0)</calculatedColumnFormula>
    </tableColumn>
    <tableColumn id="3" xr3:uid="{70838382-A2E5-4129-9F96-E8111B8C4B67}" name="Min rainfall">
      <calculatedColumnFormula array="1">Common_InputFunctions.Utility_DisplayArrayInTable(Common_SourceData.Common_SourceData_RainfallZones_Data(),Table_SourceData_RainfallZones[[#Headers],[Rainfall Zone]],0)</calculatedColumnFormula>
    </tableColumn>
    <tableColumn id="4" xr3:uid="{9F45A88E-883C-48EE-B976-AE4AB909D829}"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DBB74CDA-8626-4587-827F-6CB577A45413}"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0B7F17E3-B68E-46AC-BB03-FD32B874C0EB}" name="Leaching Zone">
      <calculatedColumnFormula array="1">Common_InputFunctions.Utility_DisplayArrayInTable(Common_SourceData.Common_SourceData_LeachingZones_Data(), Table_SourceData_LeachingZones[[#Headers],[Leaching Zone]], 0)</calculatedColumnFormula>
    </tableColumn>
    <tableColumn id="2" xr3:uid="{DDFB22C6-BFA6-48D0-8239-39B05AA9B8C0}"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406E67FD-F1D1-4BED-BDB7-8975267C32EC}"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5BE45450-1C7E-4A83-8E3B-C4285FEF94A2}" name="Data source">
      <calculatedColumnFormula array="1">Common_InputFunctions.Utility_DisplayArrayInTable(Common_SourceData.Common_SourceData_DataScores_Scope3_Data(), Table_SourceData_DataScores_Scope3[[#Headers],[Data source]], 0)</calculatedColumnFormula>
    </tableColumn>
    <tableColumn id="2" xr3:uid="{38D65BE5-7545-4092-AE27-7CB66773EF7D}"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F67045BE-570F-4E1C-89C6-23959F87ADA6}" name="Table_SourceData_FracWET" displayName="Table_SourceData_FracWET" ref="D134:E136" totalsRowShown="0">
  <autoFilter ref="D134:E136" xr:uid="{308E99BE-FE1F-47A4-B2CA-97217277C4E9}">
    <filterColumn colId="0" hiddenButton="1"/>
    <filterColumn colId="1" hiddenButton="1"/>
  </autoFilter>
  <tableColumns count="2">
    <tableColumn id="1" xr3:uid="{549F3560-2822-43EF-BBC6-4D437CAFA351}" name="Is in leaching zone">
      <calculatedColumnFormula array="1">Common_InputFunctions.Utility_DisplayArrayInTable(Common_SourceData.Common_SourceData_FracWET_Data(),Table_SourceData_FracWET[[#Headers],[Is in leaching zone]],0)</calculatedColumnFormula>
    </tableColumn>
    <tableColumn id="2" xr3:uid="{C7951452-5EFF-4F3D-91FD-FFFB19AE4172}" name="FracWET" dataDxfId="20">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8F14749A-D39B-4A81-A3D7-934940B2ECD2}"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17E9B4E1-E9F2-40E3-8A47-9E219DA4EF8F}" name="Production system j">
      <calculatedColumnFormula array="1">Common_InputFunctions.Utility_DisplayArrayInTable(Common_SourceData.Common_SourceData_EFN2O_Data(), Table_SourceData_Common_EFN2O[[#Headers],[Production system j]], 0)</calculatedColumnFormula>
    </tableColumn>
    <tableColumn id="2" xr3:uid="{863BCC7B-9379-4579-B4B8-E90A925BEE2C}" name="EFN2O">
      <calculatedColumnFormula array="1">Common_InputFunctions.Utility_DisplayArrayInTable(Common_SourceData.Common_SourceData_EFN2O_Data(), Table_SourceData_Common_EFN2O[[#Headers],[Production system j]], 0)</calculatedColumnFormula>
    </tableColumn>
    <tableColumn id="3" xr3:uid="{7E92D1B2-183C-41FF-A712-5FF021355E47}" name="Production system only">
      <calculatedColumnFormula array="1">Common_InputFunctions.Utility_DisplayArrayInTable(Common_SourceData.Common_SourceData_EFN2O_Data(), Table_SourceData_Common_EFN2O[[#Headers],[Production system j]], 0)</calculatedColumnFormula>
    </tableColumn>
    <tableColumn id="4" xr3:uid="{FAA1A964-D0D8-4E37-9F16-1DD18F571B5D}" name="Irrigation method">
      <calculatedColumnFormula array="1">Common_InputFunctions.Utility_DisplayArrayInTable(Common_SourceData.Common_SourceData_EFN2O_Data(), Table_SourceData_Common_EFN2O[[#Headers],[Production system j]], 0)</calculatedColumnFormula>
    </tableColumn>
    <tableColumn id="5" xr3:uid="{970BB338-5442-4A3F-B051-E8DD98906912}"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6C5EDF43-7837-435E-A71F-566E465C8ADD}"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F5D7117F-EF5F-44B7-A497-DCF2CDF97AA6}" name="Irrigation type i">
      <calculatedColumnFormula array="1">Common_InputFunctions.Utility_DisplayArrayInTable(Common_SourceData.Common_SourceData_FracWETIrrigation_Data(), Table_SourceData_FracWETIrrigation[[#Headers],[Irrigation type i]], 0)</calculatedColumnFormula>
    </tableColumn>
    <tableColumn id="2" xr3:uid="{0175F786-6E03-4267-9719-1226C737AD44}" name="FracWET" dataDxfId="19"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965C1E56-91AE-4049-B8B2-A19B5AD8DC0F}"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7E38BE59-0C1B-4CC8-B71B-437EF9B0412A}"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1AA60245-DAB4-4C67-B9DD-280CA895E668}" name="EFPRP" dataDxfId="18"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E090CEED-BCDC-4952-9C40-BD9236DC06F8}"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3357157D-6C85-4223-8088-7194BFC7700C}" name="Month">
      <calculatedColumnFormula array="1">Common_InputFunctions.Utility_DisplayArrayInTable(Common_SourceData.Common_SourceData_MonthsToSeasons_Data(), Table_SourceData_Common_MonthToSeason[[#Headers],[Month]], 0)</calculatedColumnFormula>
    </tableColumn>
    <tableColumn id="2" xr3:uid="{71466C20-4100-4CCD-BEE3-D7B07653D619}" name="Season" dataDxfId="17"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716B682B-E31C-4BB3-8065-B4AC30BC844E}"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72A76BA0-FF4C-47F3-8B5A-87E1951EA403}"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221102C9-4FC4-4F3F-B20B-7DFB76317D9D}" name="MAT (ºC)"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F24468FF-0D84-4152-AD68-D9188BA490C9}" name="Anaerobic lagoon"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E8649CD1-A29B-4BFD-9347-E1C6304C5E1F}" name="Digester / covered lagoons"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3F2387FB-2089-443C-AA95-4E1FF7574E03}" name="Liquid systems"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9D42539B-5B0F-40FE-BC2F-DAEFA90CA6A5}" name="Daily spread"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89AB2F3D-5BBF-403E-9E90-89327CB43D0A}" name="Composting (passive windrow)"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972ABAC3-E6A5-48DC-9127-50F45FE5E6A0}" name="Solid storage"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53AEDE1C-2C1F-41DD-8F5B-B357264C42BA}" name="Pit storage"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6ED6BA6A-4109-41A0-875E-6F3435604D43}" name="Deep litter"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8EE8EC8C-DEAD-444B-A70A-2E5B11E447C6}" name="Poultry manure with bedding"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0B0A9E69-134E-44C3-AA06-59DEEE76DC78}" name="Poultry manure without bedding"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21D52C3E-5923-4A0C-8016-D394836BCE3D}" name="Direct process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E9041A43-53A6-4257-B054-2C0E4105ADBF}" name="Direct application"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5BE2A21E-5B21-4D8D-91F5-07FCFC2F5ACC}" name="Pasture range and paddock"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D94301CB-CB36-4C48-983B-5400FAEB0CD0}" name="MAT raw"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882E5D50-1B83-41A7-83D0-69ADEB75A252}"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2E9FAFA3-FB43-483E-8B26-B1275850A8BA}"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CFB10182-5A87-4F72-968D-76E763E14ECA}" name="EFNi &amp; EFN2Oi" dataDxfId="1"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A1029521-262F-49D6-8E70-6C399602C09D}" name="Table_SourceData_DataQuality_TemporalRepresentativeness" displayName="Table_SourceData_DataQuality_TemporalRepresentativeness" ref="D265:F270" totalsRowShown="0">
  <autoFilter ref="D265:F270" xr:uid="{9AD44602-D2F2-4D97-923C-A32E98F8C17A}">
    <filterColumn colId="0" hiddenButton="1"/>
    <filterColumn colId="1" hiddenButton="1"/>
    <filterColumn colId="2" hiddenButton="1"/>
  </autoFilter>
  <tableColumns count="3">
    <tableColumn id="2" xr3:uid="{20A20EB8-C627-4BE3-888B-C74000649A27}" name="Description" dataDxfId="0" dataCellStyle="Content normal"/>
    <tableColumn id="1" xr3:uid="{BFBD222F-7027-4744-A05A-47147627CE5E}" name="ID"/>
    <tableColumn id="3" xr3:uid="{E43655CB-F3D9-4DCF-9C07-EFF01E43E36A}" name="Score"/>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280ADD40-E8E0-462B-B7DD-059CF698437B}" name="Table_SourceData_DataQuality_SpatialRepresentativeness" displayName="Table_SourceData_DataQuality_SpatialRepresentativeness" ref="D274:F279" totalsRowShown="0">
  <autoFilter ref="D274:F279" xr:uid="{95094D65-3E0E-45CE-A3F4-F41E74C11901}">
    <filterColumn colId="0" hiddenButton="1"/>
    <filterColumn colId="1" hiddenButton="1"/>
    <filterColumn colId="2" hiddenButton="1"/>
  </autoFilter>
  <tableColumns count="3">
    <tableColumn id="1" xr3:uid="{A00974BC-196E-4AB5-87CC-E6111735BBA3}" name="Description"/>
    <tableColumn id="2" xr3:uid="{6102B93F-34F0-49E0-8EBA-79D6030BE9B6}" name="ID"/>
    <tableColumn id="3" xr3:uid="{BD49B02D-4C47-4646-98C0-AA3EA6872128}" name="Score"/>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60AC65E1-EF73-45F2-BB55-5ED734B4D40D}" name="Table_SourceData_DataQuality_SampleSize" displayName="Table_SourceData_DataQuality_SampleSize" ref="D283:F288" totalsRowShown="0">
  <autoFilter ref="D283:F288" xr:uid="{DE8F748C-E65A-4AA2-81BB-D28A432CF334}">
    <filterColumn colId="0" hiddenButton="1"/>
    <filterColumn colId="1" hiddenButton="1"/>
    <filterColumn colId="2" hiddenButton="1"/>
  </autoFilter>
  <tableColumns count="3">
    <tableColumn id="1" xr3:uid="{6354E5B8-91F8-4AE4-A82B-BD00D6435B23}" name="Description"/>
    <tableColumn id="2" xr3:uid="{89C55590-81E8-4AEC-ACD8-2B43F27FEC6A}" name="ID"/>
    <tableColumn id="3" xr3:uid="{6489BE9F-AE47-4042-ADBF-C45F8B372882}" name="Score"/>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9DB12886-70B7-41D2-87AC-209B7F979E5E}" name="Table_SourceData_DataQuality_Scope3" displayName="Table_SourceData_DataQuality_Scope3" ref="D292:F297" totalsRowShown="0">
  <autoFilter ref="D292:F297" xr:uid="{43A1C4DA-75D1-45DF-BA9A-1798C2CC5A4B}">
    <filterColumn colId="0" hiddenButton="1"/>
    <filterColumn colId="1" hiddenButton="1"/>
    <filterColumn colId="2" hiddenButton="1"/>
  </autoFilter>
  <tableColumns count="3">
    <tableColumn id="1" xr3:uid="{36CAB701-99F7-4DE3-8A5A-4661DA8A382C}" name="Description"/>
    <tableColumn id="2" xr3:uid="{004E308C-0922-482B-BA69-B37D8A576751}" name="ID"/>
    <tableColumn id="3" xr3:uid="{9342D07A-74BC-4B33-A418-DCA827018568}" name="Score"/>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91"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3.xml"/><Relationship Id="rId13" Type="http://schemas.openxmlformats.org/officeDocument/2006/relationships/table" Target="../tables/table18.xml"/><Relationship Id="rId18" Type="http://schemas.openxmlformats.org/officeDocument/2006/relationships/table" Target="../tables/table23.xml"/><Relationship Id="rId3" Type="http://schemas.openxmlformats.org/officeDocument/2006/relationships/table" Target="../tables/table8.xml"/><Relationship Id="rId21" Type="http://schemas.openxmlformats.org/officeDocument/2006/relationships/table" Target="../tables/table26.xml"/><Relationship Id="rId7" Type="http://schemas.openxmlformats.org/officeDocument/2006/relationships/table" Target="../tables/table12.xml"/><Relationship Id="rId12" Type="http://schemas.openxmlformats.org/officeDocument/2006/relationships/table" Target="../tables/table17.xml"/><Relationship Id="rId17" Type="http://schemas.openxmlformats.org/officeDocument/2006/relationships/table" Target="../tables/table22.xml"/><Relationship Id="rId2" Type="http://schemas.openxmlformats.org/officeDocument/2006/relationships/table" Target="../tables/table7.xml"/><Relationship Id="rId16" Type="http://schemas.openxmlformats.org/officeDocument/2006/relationships/table" Target="../tables/table21.xml"/><Relationship Id="rId20" Type="http://schemas.openxmlformats.org/officeDocument/2006/relationships/table" Target="../tables/table25.xml"/><Relationship Id="rId1" Type="http://schemas.openxmlformats.org/officeDocument/2006/relationships/printerSettings" Target="../printerSettings/printerSettings3.bin"/><Relationship Id="rId6" Type="http://schemas.openxmlformats.org/officeDocument/2006/relationships/table" Target="../tables/table11.xml"/><Relationship Id="rId11" Type="http://schemas.openxmlformats.org/officeDocument/2006/relationships/table" Target="../tables/table16.xml"/><Relationship Id="rId5" Type="http://schemas.openxmlformats.org/officeDocument/2006/relationships/table" Target="../tables/table10.xml"/><Relationship Id="rId15" Type="http://schemas.openxmlformats.org/officeDocument/2006/relationships/table" Target="../tables/table20.xml"/><Relationship Id="rId10" Type="http://schemas.openxmlformats.org/officeDocument/2006/relationships/table" Target="../tables/table15.xml"/><Relationship Id="rId19" Type="http://schemas.openxmlformats.org/officeDocument/2006/relationships/table" Target="../tables/table24.xml"/><Relationship Id="rId4" Type="http://schemas.openxmlformats.org/officeDocument/2006/relationships/table" Target="../tables/table9.xml"/><Relationship Id="rId9" Type="http://schemas.openxmlformats.org/officeDocument/2006/relationships/table" Target="../tables/table14.xml"/><Relationship Id="rId14" Type="http://schemas.openxmlformats.org/officeDocument/2006/relationships/table" Target="../tables/table19.xml"/><Relationship Id="rId22" Type="http://schemas.openxmlformats.org/officeDocument/2006/relationships/table" Target="../tables/table2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sheetPr>
    <tabColor rgb="FF0C769E"/>
  </sheetPr>
  <dimension ref="A1:A8"/>
  <sheetViews>
    <sheetView zoomScaleNormal="100" workbookViewId="0">
      <selection activeCell="A21" sqref="A21"/>
    </sheetView>
  </sheetViews>
  <sheetFormatPr defaultRowHeight="15" x14ac:dyDescent="0.25"/>
  <sheetData>
    <row r="1" spans="1:1" x14ac:dyDescent="0.25">
      <c r="A1" t="s">
        <v>139</v>
      </c>
    </row>
    <row r="3" spans="1:1" x14ac:dyDescent="0.25">
      <c r="A3" s="105" t="str">
        <f>HYPERLINK("#'Home'!A1", "Home")</f>
        <v>Home</v>
      </c>
    </row>
    <row r="6" spans="1:1" x14ac:dyDescent="0.25">
      <c r="A6" s="104" t="s">
        <v>1</v>
      </c>
    </row>
    <row r="7" spans="1:1" ht="15.75" x14ac:dyDescent="0.25">
      <c r="A7" s="17" t="str">
        <f>HYPERLINK("#'Constants - Common'!A1", "Constants - Common")</f>
        <v>Constants - Common</v>
      </c>
    </row>
    <row r="8" spans="1:1" ht="15.75" x14ac:dyDescent="0.25">
      <c r="A8" s="17" t="str">
        <f>HYPERLINK("#'Acknowledgements'!A1", "Acknowledgements")</f>
        <v>Acknowledgements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8DA9-14A0-4A7B-BE9B-F61C0C2C127D}">
  <sheetPr>
    <tabColor rgb="FF0C769E"/>
  </sheetPr>
  <dimension ref="A1:BL82"/>
  <sheetViews>
    <sheetView showGridLines="0" tabSelected="1" zoomScaleNormal="100" workbookViewId="0">
      <selection activeCell="A21" sqref="A21"/>
    </sheetView>
  </sheetViews>
  <sheetFormatPr defaultRowHeight="15" x14ac:dyDescent="0.25"/>
  <cols>
    <col min="1" max="1" width="30.7109375" customWidth="1"/>
    <col min="2" max="3" width="4.7109375" customWidth="1"/>
  </cols>
  <sheetData>
    <row r="1" spans="1:64" ht="30" customHeight="1" x14ac:dyDescent="0.35">
      <c r="A1" s="54" t="e" vm="1">
        <v>#VALUE!</v>
      </c>
      <c r="C1" s="91" t="s">
        <v>134</v>
      </c>
      <c r="D1" s="92"/>
      <c r="E1" s="92"/>
      <c r="F1" s="92"/>
      <c r="G1" s="92"/>
      <c r="H1" s="92"/>
      <c r="I1" s="92"/>
      <c r="J1" s="92"/>
      <c r="K1" s="92"/>
      <c r="L1" s="92"/>
      <c r="M1" s="92"/>
      <c r="N1" s="92"/>
      <c r="O1" s="92"/>
      <c r="P1" s="92"/>
      <c r="Q1" s="92"/>
      <c r="R1" s="92"/>
      <c r="S1" s="92"/>
      <c r="T1" s="92"/>
      <c r="U1" s="92"/>
      <c r="V1" s="92"/>
      <c r="W1" s="92"/>
      <c r="X1" s="92"/>
      <c r="Y1" s="92"/>
      <c r="Z1" s="92"/>
      <c r="AA1" s="92"/>
      <c r="AB1" s="92"/>
      <c r="AC1" s="92"/>
      <c r="AD1" s="92"/>
      <c r="AE1" s="92"/>
      <c r="AF1" s="92"/>
      <c r="AG1" s="92"/>
    </row>
    <row r="2" spans="1:64" ht="20.100000000000001" customHeight="1" x14ac:dyDescent="0.25">
      <c r="C2" s="92"/>
      <c r="D2" s="92"/>
      <c r="E2" s="92"/>
      <c r="F2" s="92"/>
      <c r="G2" s="92"/>
      <c r="H2" s="92"/>
      <c r="I2" s="92"/>
      <c r="J2" s="92"/>
      <c r="K2" s="92"/>
      <c r="L2" s="92"/>
      <c r="M2" s="92"/>
      <c r="N2" s="92"/>
      <c r="O2" s="92"/>
      <c r="P2" s="92"/>
      <c r="Q2" s="92"/>
      <c r="R2" s="92"/>
      <c r="S2" s="92"/>
      <c r="T2" s="92"/>
      <c r="U2" s="92"/>
      <c r="V2" s="92"/>
      <c r="W2" s="92"/>
      <c r="X2" s="92"/>
      <c r="Y2" s="92"/>
      <c r="Z2" s="92"/>
      <c r="AA2" s="92"/>
      <c r="AB2" s="92"/>
      <c r="AC2" s="92"/>
      <c r="AD2" s="92"/>
      <c r="AE2" s="92"/>
      <c r="AF2" s="92"/>
      <c r="AG2" s="92"/>
    </row>
    <row r="3" spans="1:64" ht="20.100000000000001" customHeight="1" x14ac:dyDescent="0.25">
      <c r="A3" s="17" t="str">
        <f>HYPERLINK("#'Home'!A1", "Home")</f>
        <v>Home</v>
      </c>
      <c r="C3" s="93"/>
      <c r="D3" s="93"/>
      <c r="E3" s="93"/>
      <c r="F3" s="93"/>
      <c r="G3" s="93"/>
      <c r="H3" s="93"/>
      <c r="I3" s="93"/>
      <c r="J3" s="93"/>
      <c r="K3" s="93"/>
      <c r="L3" s="93"/>
      <c r="M3" s="93"/>
      <c r="N3" s="93"/>
      <c r="O3" s="93"/>
      <c r="P3" s="93"/>
      <c r="Q3" s="93"/>
      <c r="R3" s="93"/>
      <c r="S3" s="93"/>
      <c r="T3" s="93"/>
      <c r="U3" s="93"/>
      <c r="V3" s="93"/>
      <c r="W3" s="93"/>
      <c r="X3" s="93"/>
      <c r="Y3" s="93"/>
      <c r="Z3" s="93"/>
      <c r="AA3" s="93"/>
      <c r="AB3" s="93"/>
      <c r="AC3" s="93"/>
      <c r="AD3" s="93"/>
      <c r="AE3" s="93"/>
      <c r="AF3" s="93"/>
      <c r="AG3" s="93"/>
      <c r="AH3" s="93"/>
      <c r="AI3" s="93"/>
      <c r="AJ3" s="93"/>
      <c r="AK3" s="93"/>
      <c r="AL3" s="93"/>
      <c r="AM3" s="93"/>
      <c r="AN3" s="93"/>
      <c r="AO3" s="93"/>
      <c r="AP3" s="93"/>
      <c r="AQ3" s="93"/>
      <c r="AR3" s="93"/>
      <c r="AS3" s="93"/>
      <c r="AT3" s="93"/>
      <c r="AU3" s="93"/>
      <c r="AV3" s="93"/>
      <c r="AW3" s="93"/>
      <c r="AX3" s="93"/>
      <c r="AY3" s="93"/>
      <c r="AZ3" s="93"/>
      <c r="BA3" s="93"/>
      <c r="BB3" s="93"/>
      <c r="BC3" s="93"/>
      <c r="BD3" s="93"/>
      <c r="BE3" s="93"/>
      <c r="BF3" s="93"/>
      <c r="BG3" s="93"/>
      <c r="BH3" s="93"/>
      <c r="BI3" s="93"/>
      <c r="BJ3" s="93"/>
      <c r="BK3" s="93"/>
      <c r="BL3" s="93"/>
    </row>
    <row r="4" spans="1:64" ht="20.100000000000001" customHeight="1" x14ac:dyDescent="0.25">
      <c r="A4" s="100"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1"/>
      <c r="AI4" s="21"/>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row>
    <row r="5" spans="1:64" ht="20.100000000000001" customHeight="1" x14ac:dyDescent="0.25">
      <c r="A5" s="17" t="str">
        <f>HYPERLINK("#'Results'!A1", "Results")</f>
        <v>Results</v>
      </c>
      <c r="C5" s="1"/>
      <c r="D5" s="94" t="s">
        <v>96</v>
      </c>
      <c r="E5" s="94"/>
      <c r="F5" s="94"/>
      <c r="G5" s="94"/>
      <c r="H5" s="94"/>
      <c r="I5" s="80"/>
      <c r="J5" s="70"/>
      <c r="K5" s="70"/>
      <c r="L5" s="70"/>
      <c r="M5" s="70"/>
      <c r="N5" s="70"/>
      <c r="O5" s="66"/>
      <c r="P5" s="1"/>
      <c r="Q5" s="1"/>
      <c r="R5" s="1"/>
      <c r="S5" s="1"/>
      <c r="T5" s="1"/>
      <c r="U5" s="1"/>
      <c r="V5" s="1"/>
      <c r="W5" s="1"/>
      <c r="X5" s="1"/>
      <c r="Y5" s="1"/>
      <c r="Z5" s="1"/>
      <c r="AA5" s="1"/>
      <c r="AB5" s="1"/>
      <c r="AC5" s="1"/>
      <c r="AD5" s="1"/>
      <c r="AE5" s="1"/>
      <c r="AF5" s="1"/>
      <c r="AG5" s="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1"/>
      <c r="BL5" s="21"/>
    </row>
    <row r="6" spans="1:64" ht="20.100000000000001" customHeight="1" x14ac:dyDescent="0.25">
      <c r="C6" s="1"/>
      <c r="D6" s="95" t="s">
        <v>94</v>
      </c>
      <c r="E6" s="96"/>
      <c r="F6" s="96"/>
      <c r="G6" s="96"/>
      <c r="H6" s="96"/>
      <c r="I6" s="72"/>
      <c r="J6" s="69"/>
      <c r="K6" s="69"/>
      <c r="L6" s="69"/>
      <c r="M6" s="69"/>
      <c r="N6" s="69"/>
      <c r="O6" s="67"/>
      <c r="P6" s="1"/>
      <c r="Q6" s="1"/>
      <c r="R6" s="1"/>
      <c r="S6" s="1"/>
      <c r="T6" s="1"/>
      <c r="U6" s="1"/>
      <c r="V6" s="1"/>
      <c r="W6" s="1"/>
      <c r="X6" s="1"/>
      <c r="Y6" s="1"/>
      <c r="Z6" s="1"/>
      <c r="AA6" s="1"/>
      <c r="AB6" s="1"/>
      <c r="AC6" s="1"/>
      <c r="AD6" s="1"/>
      <c r="AE6" s="1"/>
      <c r="AF6" s="1"/>
      <c r="AG6" s="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row>
    <row r="7" spans="1:64" ht="20.100000000000001" customHeight="1" x14ac:dyDescent="0.25">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1"/>
      <c r="AI7" s="21"/>
      <c r="AJ7" s="21"/>
      <c r="AK7" s="21"/>
      <c r="AL7" s="21"/>
      <c r="AM7" s="21"/>
      <c r="AN7" s="21"/>
      <c r="AO7" s="21"/>
      <c r="AP7" s="21"/>
      <c r="AQ7" s="21"/>
      <c r="AR7" s="21"/>
      <c r="AS7" s="21"/>
      <c r="AT7" s="21"/>
      <c r="AU7" s="21"/>
      <c r="AV7" s="21"/>
      <c r="AW7" s="21"/>
      <c r="AX7" s="21"/>
      <c r="AY7" s="21"/>
      <c r="AZ7" s="21"/>
      <c r="BA7" s="21"/>
      <c r="BB7" s="21"/>
      <c r="BC7" s="21"/>
      <c r="BD7" s="21"/>
      <c r="BE7" s="21"/>
      <c r="BF7" s="21"/>
      <c r="BG7" s="21"/>
      <c r="BH7" s="21"/>
      <c r="BI7" s="21"/>
      <c r="BJ7" s="21"/>
      <c r="BK7" s="21"/>
      <c r="BL7" s="21"/>
    </row>
    <row r="8" spans="1:64" ht="20.100000000000001" customHeight="1" x14ac:dyDescent="0.25">
      <c r="A8" s="19" t="s">
        <v>0</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21"/>
    </row>
    <row r="9" spans="1:64" ht="20.100000000000001" customHeight="1" x14ac:dyDescent="0.25">
      <c r="A9" s="17" t="str">
        <f>HYPERLINK("#'Input - Site'!A1", "Site")</f>
        <v>Site</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1"/>
      <c r="BK9" s="21"/>
      <c r="BL9" s="21"/>
    </row>
    <row r="10" spans="1:64" ht="20.100000000000001" customHeight="1" x14ac:dyDescent="0.25">
      <c r="A10" s="17" t="str">
        <f>HYPERLINK("#'Input - Other Livestock'!A1", "Other Livestock")</f>
        <v>Other Livestock</v>
      </c>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1"/>
      <c r="AI10" s="21"/>
      <c r="AJ10" s="21"/>
      <c r="AK10" s="21"/>
      <c r="AL10" s="21"/>
      <c r="AM10" s="21"/>
      <c r="AN10" s="21"/>
      <c r="AO10" s="21"/>
      <c r="AP10" s="21"/>
      <c r="AQ10" s="21"/>
      <c r="AR10" s="21"/>
      <c r="AS10" s="21"/>
      <c r="AT10" s="21"/>
      <c r="AU10" s="21"/>
      <c r="AV10" s="21"/>
      <c r="AW10" s="21"/>
      <c r="AX10" s="21"/>
      <c r="AY10" s="21"/>
      <c r="AZ10" s="21"/>
      <c r="BA10" s="21"/>
      <c r="BB10" s="21"/>
      <c r="BC10" s="21"/>
      <c r="BD10" s="21"/>
      <c r="BE10" s="21"/>
      <c r="BF10" s="21"/>
      <c r="BG10" s="21"/>
      <c r="BH10" s="21"/>
      <c r="BI10" s="21"/>
      <c r="BJ10" s="21"/>
      <c r="BK10" s="21"/>
      <c r="BL10" s="21"/>
    </row>
    <row r="11" spans="1:64" ht="20.100000000000001" customHeight="1" x14ac:dyDescent="0.25">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c r="BI11" s="21"/>
      <c r="BJ11" s="21"/>
      <c r="BK11" s="21"/>
      <c r="BL11" s="21"/>
    </row>
    <row r="12" spans="1:64" ht="20.100000000000001" customHeight="1" x14ac:dyDescent="0.25">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1"/>
      <c r="AI12" s="21"/>
      <c r="AJ12" s="21"/>
      <c r="AK12" s="21"/>
      <c r="AL12" s="21"/>
      <c r="AM12" s="21"/>
      <c r="AN12" s="21"/>
      <c r="AO12" s="21"/>
      <c r="AP12" s="21"/>
      <c r="AQ12" s="21"/>
      <c r="AR12" s="21"/>
      <c r="AS12" s="21"/>
      <c r="AT12" s="21"/>
      <c r="AU12" s="21"/>
      <c r="AV12" s="21"/>
      <c r="AW12" s="21"/>
      <c r="AX12" s="21"/>
      <c r="AY12" s="21"/>
      <c r="AZ12" s="21"/>
      <c r="BA12" s="21"/>
      <c r="BB12" s="21"/>
      <c r="BC12" s="21"/>
      <c r="BD12" s="21"/>
      <c r="BE12" s="21"/>
      <c r="BF12" s="21"/>
      <c r="BG12" s="21"/>
      <c r="BH12" s="21"/>
      <c r="BI12" s="21"/>
      <c r="BJ12" s="21"/>
      <c r="BK12" s="21"/>
      <c r="BL12" s="21"/>
    </row>
    <row r="13" spans="1:64" ht="20.100000000000001" customHeight="1" x14ac:dyDescent="0.25">
      <c r="A13" s="18" t="s">
        <v>51</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c r="BI13" s="21"/>
      <c r="BJ13" s="21"/>
      <c r="BK13" s="21"/>
      <c r="BL13" s="21"/>
    </row>
    <row r="14" spans="1:64" ht="20.100000000000001" customHeight="1" x14ac:dyDescent="0.25">
      <c r="A14" s="17" t="str">
        <f>HYPERLINK("#'3.6.1.1-2 Enteric Methane'!A1", "3.6.1.1-2 Enteric Methane")</f>
        <v>3.6.1.1-2 Enteric Methane</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1"/>
      <c r="AI14" s="21"/>
      <c r="AJ14" s="21"/>
      <c r="AK14" s="21"/>
      <c r="AL14" s="21"/>
      <c r="AM14" s="21"/>
      <c r="AN14" s="21"/>
      <c r="AO14" s="21"/>
      <c r="AP14" s="21"/>
      <c r="AQ14" s="21"/>
      <c r="AR14" s="21"/>
      <c r="AS14" s="21"/>
      <c r="AT14" s="21"/>
      <c r="AU14" s="21"/>
      <c r="AV14" s="21"/>
      <c r="AW14" s="21"/>
      <c r="AX14" s="21"/>
      <c r="AY14" s="21"/>
      <c r="AZ14" s="21"/>
      <c r="BA14" s="21"/>
      <c r="BB14" s="21"/>
      <c r="BC14" s="21"/>
      <c r="BD14" s="21"/>
      <c r="BE14" s="21"/>
      <c r="BF14" s="21"/>
      <c r="BG14" s="21"/>
      <c r="BH14" s="21"/>
      <c r="BI14" s="21"/>
      <c r="BJ14" s="21"/>
      <c r="BK14" s="21"/>
      <c r="BL14" s="21"/>
    </row>
    <row r="15" spans="1:64" ht="20.100000000000001" customHeight="1" x14ac:dyDescent="0.25">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1"/>
      <c r="AI15" s="21"/>
      <c r="AJ15" s="21"/>
      <c r="AK15" s="21"/>
      <c r="AL15" s="21"/>
      <c r="AM15" s="21"/>
      <c r="AN15" s="21"/>
      <c r="AO15" s="21"/>
      <c r="AP15" s="21"/>
      <c r="AQ15" s="21"/>
      <c r="AR15" s="21"/>
      <c r="AS15" s="21"/>
      <c r="AT15" s="21"/>
      <c r="AU15" s="21"/>
      <c r="AV15" s="21"/>
      <c r="AW15" s="21"/>
      <c r="AX15" s="21"/>
      <c r="AY15" s="21"/>
      <c r="AZ15" s="21"/>
      <c r="BA15" s="21"/>
      <c r="BB15" s="21"/>
      <c r="BC15" s="21"/>
      <c r="BD15" s="21"/>
      <c r="BE15" s="21"/>
      <c r="BF15" s="21"/>
      <c r="BG15" s="21"/>
      <c r="BH15" s="21"/>
      <c r="BI15" s="21"/>
      <c r="BJ15" s="21"/>
      <c r="BK15" s="21"/>
      <c r="BL15" s="21"/>
    </row>
    <row r="16" spans="1:64" ht="20.100000000000001" customHeight="1" x14ac:dyDescent="0.25">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1"/>
      <c r="AI16" s="21"/>
      <c r="AJ16" s="21"/>
      <c r="AK16" s="21"/>
      <c r="AL16" s="21"/>
      <c r="AM16" s="21"/>
      <c r="AN16" s="21"/>
      <c r="AO16" s="21"/>
      <c r="AP16" s="21"/>
      <c r="AQ16" s="21"/>
      <c r="AR16" s="21"/>
      <c r="AS16" s="21"/>
      <c r="AT16" s="21"/>
      <c r="AU16" s="21"/>
      <c r="AV16" s="21"/>
      <c r="AW16" s="21"/>
      <c r="AX16" s="21"/>
      <c r="AY16" s="21"/>
      <c r="AZ16" s="21"/>
      <c r="BA16" s="21"/>
      <c r="BB16" s="21"/>
      <c r="BC16" s="21"/>
      <c r="BD16" s="21"/>
      <c r="BE16" s="21"/>
      <c r="BF16" s="21"/>
      <c r="BG16" s="21"/>
      <c r="BH16" s="21"/>
      <c r="BI16" s="21"/>
      <c r="BJ16" s="21"/>
      <c r="BK16" s="21"/>
      <c r="BL16" s="21"/>
    </row>
    <row r="17" spans="1:64" ht="20.100000000000001" customHeight="1" x14ac:dyDescent="0.25">
      <c r="A17" s="104" t="s">
        <v>1</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1"/>
      <c r="AI17" s="21"/>
      <c r="AJ17" s="21"/>
      <c r="AK17" s="21"/>
      <c r="AL17" s="21"/>
      <c r="AM17" s="21"/>
      <c r="AN17" s="21"/>
      <c r="AO17" s="21"/>
      <c r="AP17" s="21"/>
      <c r="AQ17" s="21"/>
      <c r="AR17" s="21"/>
      <c r="AS17" s="21"/>
      <c r="AT17" s="21"/>
      <c r="AU17" s="21"/>
      <c r="AV17" s="21"/>
      <c r="AW17" s="21"/>
      <c r="AX17" s="21"/>
      <c r="AY17" s="21"/>
      <c r="AZ17" s="21"/>
      <c r="BA17" s="21"/>
      <c r="BB17" s="21"/>
      <c r="BC17" s="21"/>
      <c r="BD17" s="21"/>
      <c r="BE17" s="21"/>
      <c r="BF17" s="21"/>
      <c r="BG17" s="21"/>
      <c r="BH17" s="21"/>
      <c r="BI17" s="21"/>
      <c r="BJ17" s="21"/>
      <c r="BK17" s="21"/>
      <c r="BL17" s="21"/>
    </row>
    <row r="18" spans="1:64" ht="20.100000000000001" customHeight="1" x14ac:dyDescent="0.25">
      <c r="A18" s="17" t="str">
        <f>HYPERLINK("#'Constants - Other Livestock'!A1", "Constants - Other Livestock")</f>
        <v>Constants - Other Livestock</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1"/>
      <c r="AI18" s="21"/>
      <c r="AJ18" s="21"/>
      <c r="AK18" s="21"/>
      <c r="AL18" s="21"/>
      <c r="AM18" s="21"/>
      <c r="AN18" s="21"/>
      <c r="AO18" s="21"/>
      <c r="AP18" s="21"/>
      <c r="AQ18" s="21"/>
      <c r="AR18" s="21"/>
      <c r="AS18" s="21"/>
      <c r="AT18" s="21"/>
      <c r="AU18" s="21"/>
      <c r="AV18" s="21"/>
      <c r="AW18" s="21"/>
      <c r="AX18" s="21"/>
      <c r="AY18" s="21"/>
      <c r="AZ18" s="21"/>
      <c r="BA18" s="21"/>
      <c r="BB18" s="21"/>
      <c r="BC18" s="21"/>
      <c r="BD18" s="21"/>
      <c r="BE18" s="21"/>
      <c r="BF18" s="21"/>
      <c r="BG18" s="21"/>
      <c r="BH18" s="21"/>
      <c r="BI18" s="21"/>
      <c r="BJ18" s="21"/>
      <c r="BK18" s="21"/>
      <c r="BL18" s="21"/>
    </row>
    <row r="19" spans="1:64" ht="20.100000000000001" customHeight="1" x14ac:dyDescent="0.25">
      <c r="A19" s="17" t="str">
        <f>HYPERLINK("#'Constants - Common'!A1", "Constants - Common")</f>
        <v>Constants - Common</v>
      </c>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1"/>
      <c r="AI19" s="21"/>
      <c r="AJ19" s="21"/>
      <c r="AK19" s="21"/>
      <c r="AL19" s="21"/>
      <c r="AM19" s="21"/>
      <c r="AN19" s="21"/>
      <c r="AO19" s="21"/>
      <c r="AP19" s="21"/>
      <c r="AQ19" s="21"/>
      <c r="AR19" s="21"/>
      <c r="AS19" s="21"/>
      <c r="AT19" s="21"/>
      <c r="AU19" s="21"/>
      <c r="AV19" s="21"/>
      <c r="AW19" s="21"/>
      <c r="AX19" s="21"/>
      <c r="AY19" s="21"/>
      <c r="AZ19" s="21"/>
      <c r="BA19" s="21"/>
      <c r="BB19" s="21"/>
      <c r="BC19" s="21"/>
      <c r="BD19" s="21"/>
      <c r="BE19" s="21"/>
      <c r="BF19" s="21"/>
      <c r="BG19" s="21"/>
      <c r="BH19" s="21"/>
      <c r="BI19" s="21"/>
      <c r="BJ19" s="21"/>
      <c r="BK19" s="21"/>
      <c r="BL19" s="21"/>
    </row>
    <row r="20" spans="1:64" ht="20.100000000000001" customHeight="1" x14ac:dyDescent="0.25">
      <c r="A20" s="17" t="str">
        <f>HYPERLINK("#'Acknowledgements'!A1", "Acknowledgements")</f>
        <v>Acknowledgements</v>
      </c>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1"/>
      <c r="AI20" s="21"/>
      <c r="AJ20" s="21"/>
      <c r="AK20" s="21"/>
      <c r="AL20" s="21"/>
      <c r="AM20" s="21"/>
      <c r="AN20" s="21"/>
      <c r="AO20" s="21"/>
      <c r="AP20" s="21"/>
      <c r="AQ20" s="21"/>
      <c r="AR20" s="21"/>
      <c r="AS20" s="21"/>
      <c r="AT20" s="21"/>
      <c r="AU20" s="21"/>
      <c r="AV20" s="21"/>
      <c r="AW20" s="21"/>
      <c r="AX20" s="21"/>
      <c r="AY20" s="21"/>
      <c r="AZ20" s="21"/>
      <c r="BA20" s="21"/>
      <c r="BB20" s="21"/>
      <c r="BC20" s="21"/>
      <c r="BD20" s="21"/>
      <c r="BE20" s="21"/>
      <c r="BF20" s="21"/>
      <c r="BG20" s="21"/>
      <c r="BH20" s="21"/>
      <c r="BI20" s="21"/>
      <c r="BJ20" s="21"/>
      <c r="BK20" s="21"/>
      <c r="BL20" s="21"/>
    </row>
    <row r="21" spans="1:64" ht="20.100000000000001" customHeight="1" x14ac:dyDescent="0.25">
      <c r="A21" s="17" t="str">
        <f>HYPERLINK("#'Tab template'!A1", "Tab template")</f>
        <v>Tab template</v>
      </c>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1"/>
      <c r="AI21" s="21"/>
      <c r="AJ21" s="21"/>
      <c r="AK21" s="21"/>
      <c r="AL21" s="21"/>
      <c r="AM21" s="21"/>
      <c r="AN21" s="21"/>
      <c r="AO21" s="21"/>
      <c r="AP21" s="21"/>
      <c r="AQ21" s="21"/>
      <c r="AR21" s="21"/>
      <c r="AS21" s="21"/>
      <c r="AT21" s="21"/>
      <c r="AU21" s="21"/>
      <c r="AV21" s="21"/>
      <c r="AW21" s="21"/>
      <c r="AX21" s="21"/>
      <c r="AY21" s="21"/>
      <c r="AZ21" s="21"/>
      <c r="BA21" s="21"/>
      <c r="BB21" s="21"/>
      <c r="BC21" s="21"/>
      <c r="BD21" s="21"/>
      <c r="BE21" s="21"/>
      <c r="BF21" s="21"/>
      <c r="BG21" s="21"/>
      <c r="BH21" s="21"/>
      <c r="BI21" s="21"/>
      <c r="BJ21" s="21"/>
      <c r="BK21" s="21"/>
      <c r="BL21" s="21"/>
    </row>
    <row r="22" spans="1:64" ht="20.100000000000001" customHeight="1" x14ac:dyDescent="0.25">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1"/>
      <c r="AI22" s="21"/>
      <c r="AJ22" s="21"/>
      <c r="AK22" s="21"/>
      <c r="AL22" s="21"/>
      <c r="AM22" s="21"/>
      <c r="AN22" s="21"/>
      <c r="AO22" s="21"/>
      <c r="AP22" s="21"/>
      <c r="AQ22" s="21"/>
      <c r="AR22" s="21"/>
      <c r="AS22" s="21"/>
      <c r="AT22" s="21"/>
      <c r="AU22" s="21"/>
      <c r="AV22" s="21"/>
      <c r="AW22" s="21"/>
      <c r="AX22" s="21"/>
      <c r="AY22" s="21"/>
      <c r="AZ22" s="21"/>
      <c r="BA22" s="21"/>
      <c r="BB22" s="21"/>
      <c r="BC22" s="21"/>
      <c r="BD22" s="21"/>
      <c r="BE22" s="21"/>
      <c r="BF22" s="21"/>
      <c r="BG22" s="21"/>
      <c r="BH22" s="21"/>
      <c r="BI22" s="21"/>
      <c r="BJ22" s="21"/>
      <c r="BK22" s="21"/>
      <c r="BL22" s="21"/>
    </row>
    <row r="23" spans="1:64" ht="20.100000000000001" customHeight="1" x14ac:dyDescent="0.25">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1"/>
      <c r="AI23" s="21"/>
      <c r="AJ23" s="21"/>
      <c r="AK23" s="21"/>
      <c r="AL23" s="21"/>
      <c r="AM23" s="21"/>
      <c r="AN23" s="21"/>
      <c r="AO23" s="21"/>
      <c r="AP23" s="21"/>
      <c r="AQ23" s="21"/>
      <c r="AR23" s="21"/>
      <c r="AS23" s="21"/>
      <c r="AT23" s="21"/>
      <c r="AU23" s="21"/>
      <c r="AV23" s="21"/>
      <c r="AW23" s="21"/>
      <c r="AX23" s="21"/>
      <c r="AY23" s="21"/>
      <c r="AZ23" s="21"/>
      <c r="BA23" s="21"/>
      <c r="BB23" s="21"/>
      <c r="BC23" s="21"/>
      <c r="BD23" s="21"/>
      <c r="BE23" s="21"/>
      <c r="BF23" s="21"/>
      <c r="BG23" s="21"/>
      <c r="BH23" s="21"/>
      <c r="BI23" s="21"/>
      <c r="BJ23" s="21"/>
      <c r="BK23" s="21"/>
      <c r="BL23" s="21"/>
    </row>
    <row r="24" spans="1:64" ht="20.100000000000001" customHeight="1" x14ac:dyDescent="0.25">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1"/>
      <c r="AI24" s="21"/>
      <c r="AJ24" s="21"/>
      <c r="AK24" s="21"/>
      <c r="AL24" s="21"/>
      <c r="AM24" s="21"/>
      <c r="AN24" s="21"/>
      <c r="AO24" s="21"/>
      <c r="AP24" s="21"/>
      <c r="AQ24" s="21"/>
      <c r="AR24" s="21"/>
      <c r="AS24" s="21"/>
      <c r="AT24" s="21"/>
      <c r="AU24" s="21"/>
      <c r="AV24" s="21"/>
      <c r="AW24" s="21"/>
      <c r="AX24" s="21"/>
      <c r="AY24" s="21"/>
      <c r="AZ24" s="21"/>
      <c r="BA24" s="21"/>
      <c r="BB24" s="21"/>
      <c r="BC24" s="21"/>
      <c r="BD24" s="21"/>
      <c r="BE24" s="21"/>
      <c r="BF24" s="21"/>
      <c r="BG24" s="21"/>
      <c r="BH24" s="21"/>
      <c r="BI24" s="21"/>
      <c r="BJ24" s="21"/>
      <c r="BK24" s="21"/>
      <c r="BL24" s="21"/>
    </row>
    <row r="25" spans="1:64" ht="20.100000000000001" customHeight="1" x14ac:dyDescent="0.25">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1"/>
      <c r="AI25" s="21"/>
      <c r="AJ25" s="21"/>
      <c r="AK25" s="21"/>
      <c r="AL25" s="21"/>
      <c r="AM25" s="21"/>
      <c r="AN25" s="21"/>
      <c r="AO25" s="21"/>
      <c r="AP25" s="21"/>
      <c r="AQ25" s="21"/>
      <c r="AR25" s="21"/>
      <c r="AS25" s="21"/>
      <c r="AT25" s="21"/>
      <c r="AU25" s="21"/>
      <c r="AV25" s="21"/>
      <c r="AW25" s="21"/>
      <c r="AX25" s="21"/>
      <c r="AY25" s="21"/>
      <c r="AZ25" s="21"/>
      <c r="BA25" s="21"/>
      <c r="BB25" s="21"/>
      <c r="BC25" s="21"/>
      <c r="BD25" s="21"/>
      <c r="BE25" s="21"/>
      <c r="BF25" s="21"/>
      <c r="BG25" s="21"/>
      <c r="BH25" s="21"/>
      <c r="BI25" s="21"/>
      <c r="BJ25" s="21"/>
      <c r="BK25" s="21"/>
      <c r="BL25" s="21"/>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1"/>
      <c r="AI26" s="21"/>
      <c r="AJ26" s="21"/>
      <c r="AK26" s="21"/>
      <c r="AL26" s="21"/>
      <c r="AM26" s="21"/>
      <c r="AN26" s="21"/>
      <c r="AO26" s="21"/>
      <c r="AP26" s="21"/>
      <c r="AQ26" s="21"/>
      <c r="AR26" s="21"/>
      <c r="AS26" s="21"/>
      <c r="AT26" s="21"/>
      <c r="AU26" s="21"/>
      <c r="AV26" s="21"/>
      <c r="AW26" s="21"/>
      <c r="AX26" s="21"/>
      <c r="AY26" s="21"/>
      <c r="AZ26" s="21"/>
      <c r="BA26" s="21"/>
      <c r="BB26" s="21"/>
      <c r="BC26" s="21"/>
      <c r="BD26" s="21"/>
      <c r="BE26" s="21"/>
      <c r="BF26" s="21"/>
      <c r="BG26" s="21"/>
      <c r="BH26" s="21"/>
      <c r="BI26" s="21"/>
      <c r="BJ26" s="21"/>
      <c r="BK26" s="21"/>
      <c r="BL26" s="21"/>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1"/>
      <c r="AI27" s="21"/>
      <c r="AJ27" s="21"/>
      <c r="AK27" s="21"/>
      <c r="AL27" s="21"/>
      <c r="AM27" s="21"/>
      <c r="AN27" s="21"/>
      <c r="AO27" s="21"/>
      <c r="AP27" s="21"/>
      <c r="AQ27" s="21"/>
      <c r="AR27" s="21"/>
      <c r="AS27" s="21"/>
      <c r="AT27" s="21"/>
      <c r="AU27" s="21"/>
      <c r="AV27" s="21"/>
      <c r="AW27" s="21"/>
      <c r="AX27" s="21"/>
      <c r="AY27" s="21"/>
      <c r="AZ27" s="21"/>
      <c r="BA27" s="21"/>
      <c r="BB27" s="21"/>
      <c r="BC27" s="21"/>
      <c r="BD27" s="21"/>
      <c r="BE27" s="21"/>
      <c r="BF27" s="21"/>
      <c r="BG27" s="21"/>
      <c r="BH27" s="21"/>
      <c r="BI27" s="21"/>
      <c r="BJ27" s="21"/>
      <c r="BK27" s="21"/>
      <c r="BL27" s="21"/>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1"/>
      <c r="AI28" s="21"/>
      <c r="AJ28" s="21"/>
      <c r="AK28" s="21"/>
      <c r="AL28" s="21"/>
      <c r="AM28" s="21"/>
      <c r="AN28" s="21"/>
      <c r="AO28" s="21"/>
      <c r="AP28" s="21"/>
      <c r="AQ28" s="21"/>
      <c r="AR28" s="21"/>
      <c r="AS28" s="21"/>
      <c r="AT28" s="21"/>
      <c r="AU28" s="21"/>
      <c r="AV28" s="21"/>
      <c r="AW28" s="21"/>
      <c r="AX28" s="21"/>
      <c r="AY28" s="21"/>
      <c r="AZ28" s="21"/>
      <c r="BA28" s="21"/>
      <c r="BB28" s="21"/>
      <c r="BC28" s="21"/>
      <c r="BD28" s="21"/>
      <c r="BE28" s="21"/>
      <c r="BF28" s="21"/>
      <c r="BG28" s="21"/>
      <c r="BH28" s="21"/>
      <c r="BI28" s="21"/>
      <c r="BJ28" s="21"/>
      <c r="BK28" s="21"/>
      <c r="BL28" s="21"/>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1"/>
      <c r="AI29" s="21"/>
      <c r="AJ29" s="21"/>
      <c r="AK29" s="21"/>
      <c r="AL29" s="21"/>
      <c r="AM29" s="21"/>
      <c r="AN29" s="21"/>
      <c r="AO29" s="21"/>
      <c r="AP29" s="21"/>
      <c r="AQ29" s="21"/>
      <c r="AR29" s="21"/>
      <c r="AS29" s="21"/>
      <c r="AT29" s="21"/>
      <c r="AU29" s="21"/>
      <c r="AV29" s="21"/>
      <c r="AW29" s="21"/>
      <c r="AX29" s="21"/>
      <c r="AY29" s="21"/>
      <c r="AZ29" s="21"/>
      <c r="BA29" s="21"/>
      <c r="BB29" s="21"/>
      <c r="BC29" s="21"/>
      <c r="BD29" s="21"/>
      <c r="BE29" s="21"/>
      <c r="BF29" s="21"/>
      <c r="BG29" s="21"/>
      <c r="BH29" s="21"/>
      <c r="BI29" s="21"/>
      <c r="BJ29" s="21"/>
      <c r="BK29" s="21"/>
      <c r="BL29" s="21"/>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1"/>
      <c r="AI30" s="21"/>
      <c r="AJ30" s="21"/>
      <c r="AK30" s="21"/>
      <c r="AL30" s="21"/>
      <c r="AM30" s="21"/>
      <c r="AN30" s="21"/>
      <c r="AO30" s="21"/>
      <c r="AP30" s="21"/>
      <c r="AQ30" s="21"/>
      <c r="AR30" s="21"/>
      <c r="AS30" s="21"/>
      <c r="AT30" s="21"/>
      <c r="AU30" s="21"/>
      <c r="AV30" s="21"/>
      <c r="AW30" s="21"/>
      <c r="AX30" s="21"/>
      <c r="AY30" s="21"/>
      <c r="AZ30" s="21"/>
      <c r="BA30" s="21"/>
      <c r="BB30" s="21"/>
      <c r="BC30" s="21"/>
      <c r="BD30" s="21"/>
      <c r="BE30" s="21"/>
      <c r="BF30" s="21"/>
      <c r="BG30" s="21"/>
      <c r="BH30" s="21"/>
      <c r="BI30" s="21"/>
      <c r="BJ30" s="21"/>
      <c r="BK30" s="21"/>
      <c r="BL30" s="21"/>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1"/>
      <c r="AI31" s="21"/>
      <c r="AJ31" s="21"/>
      <c r="AK31" s="21"/>
      <c r="AL31" s="21"/>
      <c r="AM31" s="21"/>
      <c r="AN31" s="21"/>
      <c r="AO31" s="21"/>
      <c r="AP31" s="21"/>
      <c r="AQ31" s="21"/>
      <c r="AR31" s="21"/>
      <c r="AS31" s="21"/>
      <c r="AT31" s="21"/>
      <c r="AU31" s="21"/>
      <c r="AV31" s="21"/>
      <c r="AW31" s="21"/>
      <c r="AX31" s="21"/>
      <c r="AY31" s="21"/>
      <c r="AZ31" s="21"/>
      <c r="BA31" s="21"/>
      <c r="BB31" s="21"/>
      <c r="BC31" s="21"/>
      <c r="BD31" s="21"/>
      <c r="BE31" s="21"/>
      <c r="BF31" s="21"/>
      <c r="BG31" s="21"/>
      <c r="BH31" s="21"/>
      <c r="BI31" s="21"/>
      <c r="BJ31" s="21"/>
      <c r="BK31" s="21"/>
      <c r="BL31" s="21"/>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1"/>
      <c r="BJ32" s="21"/>
      <c r="BK32" s="21"/>
      <c r="BL32" s="21"/>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1"/>
      <c r="AI33" s="21"/>
      <c r="AJ33" s="21"/>
      <c r="AK33" s="21"/>
      <c r="AL33" s="21"/>
      <c r="AM33" s="21"/>
      <c r="AN33" s="21"/>
      <c r="AO33" s="21"/>
      <c r="AP33" s="21"/>
      <c r="AQ33" s="21"/>
      <c r="AR33" s="21"/>
      <c r="AS33" s="21"/>
      <c r="AT33" s="21"/>
      <c r="AU33" s="21"/>
      <c r="AV33" s="21"/>
      <c r="AW33" s="21"/>
      <c r="AX33" s="21"/>
      <c r="AY33" s="21"/>
      <c r="AZ33" s="21"/>
      <c r="BA33" s="21"/>
      <c r="BB33" s="21"/>
      <c r="BC33" s="21"/>
      <c r="BD33" s="21"/>
      <c r="BE33" s="21"/>
      <c r="BF33" s="21"/>
      <c r="BG33" s="21"/>
      <c r="BH33" s="21"/>
      <c r="BI33" s="21"/>
      <c r="BJ33" s="21"/>
      <c r="BK33" s="21"/>
      <c r="BL33" s="21"/>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1"/>
      <c r="AI34" s="21"/>
      <c r="AJ34" s="21"/>
      <c r="AK34" s="21"/>
      <c r="AL34" s="21"/>
      <c r="AM34" s="21"/>
      <c r="AN34" s="21"/>
      <c r="AO34" s="21"/>
      <c r="AP34" s="21"/>
      <c r="AQ34" s="21"/>
      <c r="AR34" s="21"/>
      <c r="AS34" s="21"/>
      <c r="AT34" s="21"/>
      <c r="AU34" s="21"/>
      <c r="AV34" s="21"/>
      <c r="AW34" s="21"/>
      <c r="AX34" s="21"/>
      <c r="AY34" s="21"/>
      <c r="AZ34" s="21"/>
      <c r="BA34" s="21"/>
      <c r="BB34" s="21"/>
      <c r="BC34" s="21"/>
      <c r="BD34" s="21"/>
      <c r="BE34" s="21"/>
      <c r="BF34" s="21"/>
      <c r="BG34" s="21"/>
      <c r="BH34" s="21"/>
      <c r="BI34" s="21"/>
      <c r="BJ34" s="21"/>
      <c r="BK34" s="21"/>
      <c r="BL34" s="21"/>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1"/>
      <c r="AI35" s="21"/>
      <c r="AJ35" s="21"/>
      <c r="AK35" s="21"/>
      <c r="AL35" s="21"/>
      <c r="AM35" s="21"/>
      <c r="AN35" s="21"/>
      <c r="AO35" s="21"/>
      <c r="AP35" s="21"/>
      <c r="AQ35" s="21"/>
      <c r="AR35" s="21"/>
      <c r="AS35" s="21"/>
      <c r="AT35" s="21"/>
      <c r="AU35" s="21"/>
      <c r="AV35" s="21"/>
      <c r="AW35" s="21"/>
      <c r="AX35" s="21"/>
      <c r="AY35" s="21"/>
      <c r="AZ35" s="21"/>
      <c r="BA35" s="21"/>
      <c r="BB35" s="21"/>
      <c r="BC35" s="21"/>
      <c r="BD35" s="21"/>
      <c r="BE35" s="21"/>
      <c r="BF35" s="21"/>
      <c r="BG35" s="21"/>
      <c r="BH35" s="21"/>
      <c r="BI35" s="21"/>
      <c r="BJ35" s="21"/>
      <c r="BK35" s="21"/>
      <c r="BL35" s="21"/>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1"/>
      <c r="AI36" s="21"/>
      <c r="AJ36" s="21"/>
      <c r="AK36" s="21"/>
      <c r="AL36" s="21"/>
      <c r="AM36" s="21"/>
      <c r="AN36" s="21"/>
      <c r="AO36" s="21"/>
      <c r="AP36" s="21"/>
      <c r="AQ36" s="21"/>
      <c r="AR36" s="21"/>
      <c r="AS36" s="21"/>
      <c r="AT36" s="21"/>
      <c r="AU36" s="21"/>
      <c r="AV36" s="21"/>
      <c r="AW36" s="21"/>
      <c r="AX36" s="21"/>
      <c r="AY36" s="21"/>
      <c r="AZ36" s="21"/>
      <c r="BA36" s="21"/>
      <c r="BB36" s="21"/>
      <c r="BC36" s="21"/>
      <c r="BD36" s="21"/>
      <c r="BE36" s="21"/>
      <c r="BF36" s="21"/>
      <c r="BG36" s="21"/>
      <c r="BH36" s="21"/>
      <c r="BI36" s="21"/>
      <c r="BJ36" s="21"/>
      <c r="BK36" s="21"/>
      <c r="BL36" s="21"/>
    </row>
    <row r="37" spans="3:64" ht="20.100000000000001" customHeight="1" x14ac:dyDescent="0.25">
      <c r="C37" s="21"/>
      <c r="D37" s="21"/>
      <c r="E37" s="21"/>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21"/>
      <c r="AY37" s="21"/>
      <c r="AZ37" s="21"/>
      <c r="BA37" s="21"/>
      <c r="BB37" s="21"/>
      <c r="BC37" s="21"/>
      <c r="BD37" s="21"/>
      <c r="BE37" s="21"/>
      <c r="BF37" s="21"/>
      <c r="BG37" s="21"/>
      <c r="BH37" s="21"/>
      <c r="BI37" s="21"/>
      <c r="BJ37" s="21"/>
      <c r="BK37" s="21"/>
      <c r="BL37" s="21"/>
    </row>
    <row r="38" spans="3:64" ht="20.100000000000001" customHeight="1" x14ac:dyDescent="0.25">
      <c r="C38" s="21"/>
      <c r="D38" s="21"/>
      <c r="E38" s="21"/>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1"/>
      <c r="AZ38" s="21"/>
      <c r="BA38" s="21"/>
      <c r="BB38" s="21"/>
      <c r="BC38" s="21"/>
      <c r="BD38" s="21"/>
      <c r="BE38" s="21"/>
      <c r="BF38" s="21"/>
      <c r="BG38" s="21"/>
      <c r="BH38" s="21"/>
      <c r="BI38" s="21"/>
      <c r="BJ38" s="21"/>
      <c r="BK38" s="21"/>
      <c r="BL38" s="21"/>
    </row>
    <row r="39" spans="3:64" ht="20.100000000000001" customHeight="1" x14ac:dyDescent="0.25">
      <c r="C39" s="21"/>
      <c r="D39" s="21"/>
      <c r="E39" s="21"/>
      <c r="F39" s="21"/>
      <c r="G39" s="21"/>
      <c r="H39" s="21"/>
      <c r="I39" s="21"/>
      <c r="J39" s="21"/>
      <c r="K39" s="21"/>
      <c r="L39" s="21"/>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1"/>
      <c r="BJ39" s="21"/>
      <c r="BK39" s="21"/>
      <c r="BL39" s="21"/>
    </row>
    <row r="40" spans="3:64" ht="20.100000000000001" customHeight="1" x14ac:dyDescent="0.25">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F40" s="21"/>
      <c r="BG40" s="21"/>
      <c r="BH40" s="21"/>
      <c r="BI40" s="21"/>
      <c r="BJ40" s="21"/>
      <c r="BK40" s="21"/>
      <c r="BL40" s="21"/>
    </row>
    <row r="41" spans="3:64" ht="20.100000000000001" customHeight="1" x14ac:dyDescent="0.25">
      <c r="C41" s="21"/>
      <c r="D41" s="21"/>
      <c r="E41" s="21"/>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c r="BC41" s="21"/>
      <c r="BD41" s="21"/>
      <c r="BE41" s="21"/>
      <c r="BF41" s="21"/>
      <c r="BG41" s="21"/>
      <c r="BH41" s="21"/>
      <c r="BI41" s="21"/>
      <c r="BJ41" s="21"/>
      <c r="BK41" s="21"/>
      <c r="BL41" s="21"/>
    </row>
    <row r="42" spans="3:64" ht="20.100000000000001" customHeight="1" x14ac:dyDescent="0.25">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c r="BC42" s="21"/>
      <c r="BD42" s="21"/>
      <c r="BE42" s="21"/>
      <c r="BF42" s="21"/>
      <c r="BG42" s="21"/>
      <c r="BH42" s="21"/>
      <c r="BI42" s="21"/>
      <c r="BJ42" s="21"/>
      <c r="BK42" s="21"/>
      <c r="BL42" s="21"/>
    </row>
    <row r="43" spans="3:64" ht="20.100000000000001" customHeight="1" x14ac:dyDescent="0.25">
      <c r="C43" s="21"/>
      <c r="D43" s="21"/>
      <c r="E43" s="21"/>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c r="BC43" s="21"/>
      <c r="BD43" s="21"/>
      <c r="BE43" s="21"/>
      <c r="BF43" s="21"/>
      <c r="BG43" s="21"/>
      <c r="BH43" s="21"/>
      <c r="BI43" s="21"/>
      <c r="BJ43" s="21"/>
      <c r="BK43" s="21"/>
      <c r="BL43" s="21"/>
    </row>
    <row r="44" spans="3:64" ht="20.100000000000001" customHeight="1" x14ac:dyDescent="0.25">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1"/>
      <c r="BD44" s="21"/>
      <c r="BE44" s="21"/>
      <c r="BF44" s="21"/>
      <c r="BG44" s="21"/>
      <c r="BH44" s="21"/>
      <c r="BI44" s="21"/>
      <c r="BJ44" s="21"/>
      <c r="BK44" s="21"/>
      <c r="BL44" s="21"/>
    </row>
    <row r="45" spans="3:64" ht="20.100000000000001" customHeight="1" x14ac:dyDescent="0.25">
      <c r="C45" s="21"/>
      <c r="D45" s="21"/>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1"/>
      <c r="AY45" s="21"/>
      <c r="AZ45" s="21"/>
      <c r="BA45" s="21"/>
      <c r="BB45" s="21"/>
      <c r="BC45" s="21"/>
      <c r="BD45" s="21"/>
      <c r="BE45" s="21"/>
      <c r="BF45" s="21"/>
      <c r="BG45" s="21"/>
      <c r="BH45" s="21"/>
      <c r="BI45" s="21"/>
      <c r="BJ45" s="21"/>
      <c r="BK45" s="21"/>
      <c r="BL45" s="21"/>
    </row>
    <row r="46" spans="3:64" ht="20.100000000000001" customHeight="1" x14ac:dyDescent="0.25">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21"/>
      <c r="AZ46" s="21"/>
      <c r="BA46" s="21"/>
      <c r="BB46" s="21"/>
      <c r="BC46" s="21"/>
      <c r="BD46" s="21"/>
      <c r="BE46" s="21"/>
      <c r="BF46" s="21"/>
      <c r="BG46" s="21"/>
      <c r="BH46" s="21"/>
      <c r="BI46" s="21"/>
      <c r="BJ46" s="21"/>
      <c r="BK46" s="21"/>
      <c r="BL46" s="21"/>
    </row>
    <row r="47" spans="3:64" ht="20.100000000000001" customHeight="1" x14ac:dyDescent="0.25">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c r="BD47" s="21"/>
      <c r="BE47" s="21"/>
      <c r="BF47" s="21"/>
      <c r="BG47" s="21"/>
      <c r="BH47" s="21"/>
      <c r="BI47" s="21"/>
      <c r="BJ47" s="21"/>
      <c r="BK47" s="21"/>
      <c r="BL47" s="21"/>
    </row>
    <row r="48" spans="3:64" ht="20.100000000000001" customHeight="1" x14ac:dyDescent="0.25">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c r="BL48" s="21"/>
    </row>
    <row r="49" spans="3:64" ht="20.100000000000001" customHeight="1" x14ac:dyDescent="0.25">
      <c r="C49" s="21"/>
      <c r="D49" s="21"/>
      <c r="E49" s="21"/>
      <c r="F49" s="21"/>
      <c r="G49" s="21"/>
      <c r="H49" s="21"/>
      <c r="I49" s="21"/>
      <c r="J49" s="21"/>
      <c r="K49" s="21"/>
      <c r="L49" s="21"/>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1"/>
      <c r="BA49" s="21"/>
      <c r="BB49" s="21"/>
      <c r="BC49" s="21"/>
      <c r="BD49" s="21"/>
      <c r="BE49" s="21"/>
      <c r="BF49" s="21"/>
      <c r="BG49" s="21"/>
      <c r="BH49" s="21"/>
      <c r="BI49" s="21"/>
      <c r="BJ49" s="21"/>
      <c r="BK49" s="21"/>
      <c r="BL49" s="21"/>
    </row>
    <row r="50" spans="3:64" ht="20.100000000000001" customHeight="1" x14ac:dyDescent="0.25">
      <c r="C50" s="21"/>
      <c r="D50" s="21"/>
      <c r="E50" s="21"/>
      <c r="F50" s="21"/>
      <c r="G50" s="21"/>
      <c r="H50" s="21"/>
      <c r="I50" s="21"/>
      <c r="J50" s="21"/>
      <c r="K50" s="21"/>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21"/>
      <c r="BD50" s="21"/>
      <c r="BE50" s="21"/>
      <c r="BF50" s="21"/>
      <c r="BG50" s="21"/>
      <c r="BH50" s="21"/>
      <c r="BI50" s="21"/>
      <c r="BJ50" s="21"/>
      <c r="BK50" s="21"/>
      <c r="BL50" s="21"/>
    </row>
    <row r="51" spans="3:64" ht="20.100000000000001" customHeight="1" x14ac:dyDescent="0.25">
      <c r="C51" s="21"/>
      <c r="D51" s="21"/>
      <c r="E51" s="21"/>
      <c r="F51" s="21"/>
      <c r="G51" s="21"/>
      <c r="H51" s="21"/>
      <c r="I51" s="21"/>
      <c r="J51" s="21"/>
      <c r="K51" s="21"/>
      <c r="L51" s="21"/>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c r="BC51" s="21"/>
      <c r="BD51" s="21"/>
      <c r="BE51" s="21"/>
      <c r="BF51" s="21"/>
      <c r="BG51" s="21"/>
      <c r="BH51" s="21"/>
      <c r="BI51" s="21"/>
      <c r="BJ51" s="21"/>
      <c r="BK51" s="21"/>
      <c r="BL51" s="21"/>
    </row>
    <row r="52" spans="3:64" ht="20.100000000000001" customHeight="1" x14ac:dyDescent="0.25">
      <c r="C52" s="21"/>
      <c r="D52" s="21"/>
      <c r="E52" s="21"/>
      <c r="F52" s="21"/>
      <c r="G52" s="21"/>
      <c r="H52" s="21"/>
      <c r="I52" s="21"/>
      <c r="J52" s="21"/>
      <c r="K52" s="21"/>
      <c r="L52" s="21"/>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21"/>
      <c r="BD52" s="21"/>
      <c r="BE52" s="21"/>
      <c r="BF52" s="21"/>
      <c r="BG52" s="21"/>
      <c r="BH52" s="21"/>
      <c r="BI52" s="21"/>
      <c r="BJ52" s="21"/>
      <c r="BK52" s="21"/>
      <c r="BL52" s="21"/>
    </row>
    <row r="53" spans="3:64" ht="20.100000000000001" customHeight="1" x14ac:dyDescent="0.25">
      <c r="C53" s="21"/>
      <c r="D53" s="21"/>
      <c r="E53" s="21"/>
      <c r="F53" s="21"/>
      <c r="G53" s="21"/>
      <c r="H53" s="21"/>
      <c r="I53" s="21"/>
      <c r="J53" s="21"/>
      <c r="K53" s="21"/>
      <c r="L53" s="21"/>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21"/>
      <c r="AY53" s="21"/>
      <c r="AZ53" s="21"/>
      <c r="BA53" s="21"/>
      <c r="BB53" s="21"/>
      <c r="BC53" s="21"/>
      <c r="BD53" s="21"/>
      <c r="BE53" s="21"/>
      <c r="BF53" s="21"/>
      <c r="BG53" s="21"/>
      <c r="BH53" s="21"/>
      <c r="BI53" s="21"/>
      <c r="BJ53" s="21"/>
      <c r="BK53" s="21"/>
      <c r="BL53" s="21"/>
    </row>
    <row r="54" spans="3:64" ht="20.100000000000001" customHeight="1" x14ac:dyDescent="0.25">
      <c r="C54" s="21"/>
      <c r="D54" s="21"/>
      <c r="E54" s="21"/>
      <c r="F54" s="21"/>
      <c r="G54" s="21"/>
      <c r="H54" s="21"/>
      <c r="I54" s="21"/>
      <c r="J54" s="21"/>
      <c r="K54" s="21"/>
      <c r="L54" s="21"/>
      <c r="M54" s="21"/>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21"/>
      <c r="AZ54" s="21"/>
      <c r="BA54" s="21"/>
      <c r="BB54" s="21"/>
      <c r="BC54" s="21"/>
      <c r="BD54" s="21"/>
      <c r="BE54" s="21"/>
      <c r="BF54" s="21"/>
      <c r="BG54" s="21"/>
      <c r="BH54" s="21"/>
      <c r="BI54" s="21"/>
      <c r="BJ54" s="21"/>
      <c r="BK54" s="21"/>
      <c r="BL54" s="21"/>
    </row>
    <row r="55" spans="3:64" ht="20.100000000000001" customHeight="1" x14ac:dyDescent="0.25">
      <c r="C55" s="21"/>
      <c r="D55" s="21"/>
      <c r="E55" s="21"/>
      <c r="F55" s="21"/>
      <c r="G55" s="21"/>
      <c r="H55" s="21"/>
      <c r="I55" s="21"/>
      <c r="J55" s="21"/>
      <c r="K55" s="21"/>
      <c r="L55" s="21"/>
      <c r="M55" s="21"/>
      <c r="N55" s="21"/>
      <c r="O55" s="21"/>
      <c r="P55" s="21"/>
      <c r="Q55" s="21"/>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1"/>
      <c r="BA55" s="21"/>
      <c r="BB55" s="21"/>
      <c r="BC55" s="21"/>
      <c r="BD55" s="21"/>
      <c r="BE55" s="21"/>
      <c r="BF55" s="21"/>
      <c r="BG55" s="21"/>
      <c r="BH55" s="21"/>
      <c r="BI55" s="21"/>
      <c r="BJ55" s="21"/>
      <c r="BK55" s="21"/>
      <c r="BL55" s="21"/>
    </row>
    <row r="56" spans="3:64" ht="20.100000000000001" customHeight="1" x14ac:dyDescent="0.25">
      <c r="C56" s="21"/>
      <c r="D56" s="21"/>
      <c r="E56" s="21"/>
      <c r="F56" s="21"/>
      <c r="G56" s="21"/>
      <c r="H56" s="21"/>
      <c r="I56" s="21"/>
      <c r="J56" s="21"/>
      <c r="K56" s="21"/>
      <c r="L56" s="21"/>
      <c r="M56" s="21"/>
      <c r="N56" s="21"/>
      <c r="O56" s="21"/>
      <c r="P56" s="21"/>
      <c r="Q56" s="21"/>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1"/>
      <c r="AZ56" s="21"/>
      <c r="BA56" s="21"/>
      <c r="BB56" s="21"/>
      <c r="BC56" s="21"/>
      <c r="BD56" s="21"/>
      <c r="BE56" s="21"/>
      <c r="BF56" s="21"/>
      <c r="BG56" s="21"/>
      <c r="BH56" s="21"/>
      <c r="BI56" s="21"/>
      <c r="BJ56" s="21"/>
      <c r="BK56" s="21"/>
      <c r="BL56" s="21"/>
    </row>
    <row r="57" spans="3:64" ht="20.100000000000001" customHeight="1" x14ac:dyDescent="0.25">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1"/>
      <c r="BD57" s="21"/>
      <c r="BE57" s="21"/>
      <c r="BF57" s="21"/>
      <c r="BG57" s="21"/>
      <c r="BH57" s="21"/>
      <c r="BI57" s="21"/>
      <c r="BJ57" s="21"/>
      <c r="BK57" s="21"/>
      <c r="BL57" s="21"/>
    </row>
    <row r="58" spans="3:64" ht="20.100000000000001" customHeight="1" x14ac:dyDescent="0.25">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1"/>
      <c r="BA58" s="21"/>
      <c r="BB58" s="21"/>
      <c r="BC58" s="21"/>
      <c r="BD58" s="21"/>
      <c r="BE58" s="21"/>
      <c r="BF58" s="21"/>
      <c r="BG58" s="21"/>
      <c r="BH58" s="21"/>
      <c r="BI58" s="21"/>
      <c r="BJ58" s="21"/>
      <c r="BK58" s="21"/>
      <c r="BL58" s="21"/>
    </row>
    <row r="59" spans="3:64" x14ac:dyDescent="0.25">
      <c r="C59" s="21"/>
      <c r="D59" s="21"/>
      <c r="E59" s="21"/>
      <c r="F59" s="21"/>
      <c r="G59" s="21"/>
      <c r="H59" s="21"/>
      <c r="I59" s="21"/>
      <c r="J59" s="21"/>
      <c r="K59" s="21"/>
      <c r="L59" s="21"/>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1"/>
      <c r="AZ59" s="21"/>
      <c r="BA59" s="21"/>
      <c r="BB59" s="21"/>
      <c r="BC59" s="21"/>
      <c r="BD59" s="21"/>
      <c r="BE59" s="21"/>
      <c r="BF59" s="21"/>
      <c r="BG59" s="21"/>
      <c r="BH59" s="21"/>
      <c r="BI59" s="21"/>
      <c r="BJ59" s="21"/>
      <c r="BK59" s="21"/>
      <c r="BL59" s="21"/>
    </row>
    <row r="60" spans="3:64" x14ac:dyDescent="0.25">
      <c r="C60" s="21"/>
      <c r="D60" s="21"/>
      <c r="E60" s="21"/>
      <c r="F60" s="21"/>
      <c r="G60" s="21"/>
      <c r="H60" s="21"/>
      <c r="I60" s="21"/>
      <c r="J60" s="21"/>
      <c r="K60" s="21"/>
      <c r="L60" s="21"/>
      <c r="M60" s="21"/>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1"/>
      <c r="AY60" s="21"/>
      <c r="AZ60" s="21"/>
      <c r="BA60" s="21"/>
      <c r="BB60" s="21"/>
      <c r="BC60" s="21"/>
      <c r="BD60" s="21"/>
      <c r="BE60" s="21"/>
      <c r="BF60" s="21"/>
      <c r="BG60" s="21"/>
      <c r="BH60" s="21"/>
      <c r="BI60" s="21"/>
      <c r="BJ60" s="21"/>
      <c r="BK60" s="21"/>
      <c r="BL60" s="21"/>
    </row>
    <row r="61" spans="3:64" x14ac:dyDescent="0.25">
      <c r="C61" s="21"/>
      <c r="D61" s="21"/>
      <c r="E61" s="21"/>
      <c r="F61" s="21"/>
      <c r="G61" s="21"/>
      <c r="H61" s="21"/>
      <c r="I61" s="21"/>
      <c r="J61" s="21"/>
      <c r="K61" s="21"/>
      <c r="L61" s="21"/>
      <c r="M61" s="21"/>
      <c r="N61" s="21"/>
      <c r="O61" s="21"/>
      <c r="P61" s="21"/>
      <c r="Q61" s="21"/>
      <c r="R61" s="21"/>
      <c r="S61" s="21"/>
      <c r="T61" s="21"/>
      <c r="U61" s="21"/>
      <c r="V61" s="21"/>
      <c r="W61" s="21"/>
      <c r="X61" s="21"/>
      <c r="Y61" s="21"/>
      <c r="Z61" s="21"/>
      <c r="AA61" s="21"/>
      <c r="AB61" s="21"/>
      <c r="AC61" s="21"/>
      <c r="AD61" s="21"/>
      <c r="AE61" s="21"/>
      <c r="AF61" s="21"/>
      <c r="AG61" s="21"/>
      <c r="AH61" s="21"/>
      <c r="AI61" s="21"/>
      <c r="AJ61" s="21"/>
      <c r="AK61" s="21"/>
      <c r="AL61" s="21"/>
      <c r="AM61" s="21"/>
      <c r="AN61" s="21"/>
      <c r="AO61" s="21"/>
      <c r="AP61" s="21"/>
      <c r="AQ61" s="21"/>
      <c r="AR61" s="21"/>
      <c r="AS61" s="21"/>
      <c r="AT61" s="21"/>
      <c r="AU61" s="21"/>
      <c r="AV61" s="21"/>
      <c r="AW61" s="21"/>
      <c r="AX61" s="21"/>
      <c r="AY61" s="21"/>
      <c r="AZ61" s="21"/>
      <c r="BA61" s="21"/>
      <c r="BB61" s="21"/>
      <c r="BC61" s="21"/>
      <c r="BD61" s="21"/>
      <c r="BE61" s="21"/>
      <c r="BF61" s="21"/>
      <c r="BG61" s="21"/>
      <c r="BH61" s="21"/>
      <c r="BI61" s="21"/>
      <c r="BJ61" s="21"/>
      <c r="BK61" s="21"/>
      <c r="BL61" s="21"/>
    </row>
    <row r="62" spans="3:64" x14ac:dyDescent="0.25">
      <c r="C62" s="21"/>
      <c r="D62" s="21"/>
      <c r="E62" s="21"/>
      <c r="F62" s="21"/>
      <c r="G62" s="21"/>
      <c r="H62" s="21"/>
      <c r="I62" s="21"/>
      <c r="J62" s="21"/>
      <c r="K62" s="21"/>
      <c r="L62" s="21"/>
      <c r="M62" s="21"/>
      <c r="N62" s="21"/>
      <c r="O62" s="21"/>
      <c r="P62" s="21"/>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21"/>
      <c r="AY62" s="21"/>
      <c r="AZ62" s="21"/>
      <c r="BA62" s="21"/>
      <c r="BB62" s="21"/>
      <c r="BC62" s="21"/>
      <c r="BD62" s="21"/>
      <c r="BE62" s="21"/>
      <c r="BF62" s="21"/>
      <c r="BG62" s="21"/>
      <c r="BH62" s="21"/>
      <c r="BI62" s="21"/>
      <c r="BJ62" s="21"/>
      <c r="BK62" s="21"/>
      <c r="BL62" s="21"/>
    </row>
    <row r="63" spans="3:64" x14ac:dyDescent="0.25">
      <c r="C63" s="21"/>
      <c r="D63" s="21"/>
      <c r="E63" s="21"/>
      <c r="F63" s="21"/>
      <c r="G63" s="21"/>
      <c r="H63" s="21"/>
      <c r="I63" s="21"/>
      <c r="J63" s="21"/>
      <c r="K63" s="21"/>
      <c r="L63" s="21"/>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c r="AV63" s="21"/>
      <c r="AW63" s="21"/>
      <c r="AX63" s="21"/>
      <c r="AY63" s="21"/>
      <c r="AZ63" s="21"/>
      <c r="BA63" s="21"/>
      <c r="BB63" s="21"/>
      <c r="BC63" s="21"/>
      <c r="BD63" s="21"/>
      <c r="BE63" s="21"/>
      <c r="BF63" s="21"/>
      <c r="BG63" s="21"/>
      <c r="BH63" s="21"/>
      <c r="BI63" s="21"/>
      <c r="BJ63" s="21"/>
      <c r="BK63" s="21"/>
      <c r="BL63" s="21"/>
    </row>
    <row r="64" spans="3:64" x14ac:dyDescent="0.25">
      <c r="C64" s="21"/>
      <c r="D64" s="21"/>
      <c r="E64" s="21"/>
      <c r="F64" s="21"/>
      <c r="G64" s="21"/>
      <c r="H64" s="21"/>
      <c r="I64" s="21"/>
      <c r="J64" s="21"/>
      <c r="K64" s="21"/>
      <c r="L64" s="21"/>
      <c r="M64" s="21"/>
      <c r="N64" s="21"/>
      <c r="O64" s="21"/>
      <c r="P64" s="21"/>
      <c r="Q64" s="21"/>
      <c r="R64" s="21"/>
      <c r="S64" s="21"/>
      <c r="T64" s="21"/>
      <c r="U64" s="21"/>
      <c r="V64" s="21"/>
      <c r="W64" s="21"/>
      <c r="X64" s="21"/>
      <c r="Y64" s="21"/>
      <c r="Z64" s="21"/>
      <c r="AA64" s="21"/>
      <c r="AB64" s="21"/>
      <c r="AC64" s="21"/>
      <c r="AD64" s="21"/>
      <c r="AE64" s="21"/>
      <c r="AF64" s="21"/>
      <c r="AG64" s="21"/>
      <c r="AH64" s="21"/>
      <c r="AI64" s="21"/>
      <c r="AJ64" s="21"/>
      <c r="AK64" s="21"/>
      <c r="AL64" s="21"/>
      <c r="AM64" s="21"/>
      <c r="AN64" s="21"/>
      <c r="AO64" s="21"/>
      <c r="AP64" s="21"/>
      <c r="AQ64" s="21"/>
      <c r="AR64" s="21"/>
      <c r="AS64" s="21"/>
      <c r="AT64" s="21"/>
      <c r="AU64" s="21"/>
      <c r="AV64" s="21"/>
      <c r="AW64" s="21"/>
      <c r="AX64" s="21"/>
      <c r="AY64" s="21"/>
      <c r="AZ64" s="21"/>
      <c r="BA64" s="21"/>
      <c r="BB64" s="21"/>
      <c r="BC64" s="21"/>
      <c r="BD64" s="21"/>
      <c r="BE64" s="21"/>
      <c r="BF64" s="21"/>
      <c r="BG64" s="21"/>
      <c r="BH64" s="21"/>
      <c r="BI64" s="21"/>
      <c r="BJ64" s="21"/>
      <c r="BK64" s="21"/>
      <c r="BL64" s="21"/>
    </row>
    <row r="65" spans="3:64" x14ac:dyDescent="0.25">
      <c r="C65" s="21"/>
      <c r="D65" s="21"/>
      <c r="E65" s="21"/>
      <c r="F65" s="21"/>
      <c r="G65" s="21"/>
      <c r="H65" s="21"/>
      <c r="I65" s="21"/>
      <c r="J65" s="21"/>
      <c r="K65" s="21"/>
      <c r="L65" s="21"/>
      <c r="M65" s="21"/>
      <c r="N65" s="21"/>
      <c r="O65" s="21"/>
      <c r="P65" s="21"/>
      <c r="Q65" s="21"/>
      <c r="R65" s="21"/>
      <c r="S65" s="21"/>
      <c r="T65" s="21"/>
      <c r="U65" s="21"/>
      <c r="V65" s="21"/>
      <c r="W65" s="21"/>
      <c r="X65" s="21"/>
      <c r="Y65" s="21"/>
      <c r="Z65" s="21"/>
      <c r="AA65" s="21"/>
      <c r="AB65" s="21"/>
      <c r="AC65" s="21"/>
      <c r="AD65" s="21"/>
      <c r="AE65" s="21"/>
      <c r="AF65" s="21"/>
      <c r="AG65" s="21"/>
      <c r="AH65" s="21"/>
      <c r="AI65" s="21"/>
      <c r="AJ65" s="21"/>
      <c r="AK65" s="21"/>
      <c r="AL65" s="21"/>
      <c r="AM65" s="21"/>
      <c r="AN65" s="21"/>
      <c r="AO65" s="21"/>
      <c r="AP65" s="21"/>
      <c r="AQ65" s="21"/>
      <c r="AR65" s="21"/>
      <c r="AS65" s="21"/>
      <c r="AT65" s="21"/>
      <c r="AU65" s="21"/>
      <c r="AV65" s="21"/>
      <c r="AW65" s="21"/>
      <c r="AX65" s="21"/>
      <c r="AY65" s="21"/>
      <c r="AZ65" s="21"/>
      <c r="BA65" s="21"/>
      <c r="BB65" s="21"/>
      <c r="BC65" s="21"/>
      <c r="BD65" s="21"/>
      <c r="BE65" s="21"/>
      <c r="BF65" s="21"/>
      <c r="BG65" s="21"/>
      <c r="BH65" s="21"/>
      <c r="BI65" s="21"/>
      <c r="BJ65" s="21"/>
      <c r="BK65" s="21"/>
      <c r="BL65" s="21"/>
    </row>
    <row r="66" spans="3:64" x14ac:dyDescent="0.25">
      <c r="C66" s="21"/>
      <c r="D66" s="21"/>
      <c r="E66" s="21"/>
      <c r="F66" s="21"/>
      <c r="G66" s="21"/>
      <c r="H66" s="21"/>
      <c r="I66" s="21"/>
      <c r="J66" s="21"/>
      <c r="K66" s="21"/>
      <c r="L66" s="21"/>
      <c r="M66" s="21"/>
      <c r="N66" s="21"/>
      <c r="O66" s="21"/>
      <c r="P66" s="21"/>
      <c r="Q66" s="21"/>
      <c r="R66" s="21"/>
      <c r="S66" s="21"/>
      <c r="T66" s="21"/>
      <c r="U66" s="21"/>
      <c r="V66" s="21"/>
      <c r="W66" s="21"/>
      <c r="X66" s="21"/>
      <c r="Y66" s="21"/>
      <c r="Z66" s="21"/>
      <c r="AA66" s="21"/>
      <c r="AB66" s="21"/>
      <c r="AC66" s="21"/>
      <c r="AD66" s="21"/>
      <c r="AE66" s="21"/>
      <c r="AF66" s="21"/>
      <c r="AG66" s="21"/>
      <c r="AH66" s="21"/>
      <c r="AI66" s="21"/>
      <c r="AJ66" s="21"/>
      <c r="AK66" s="21"/>
      <c r="AL66" s="21"/>
      <c r="AM66" s="21"/>
      <c r="AN66" s="21"/>
      <c r="AO66" s="21"/>
      <c r="AP66" s="21"/>
      <c r="AQ66" s="21"/>
      <c r="AR66" s="21"/>
      <c r="AS66" s="21"/>
      <c r="AT66" s="21"/>
      <c r="AU66" s="21"/>
      <c r="AV66" s="21"/>
      <c r="AW66" s="21"/>
      <c r="AX66" s="21"/>
      <c r="AY66" s="21"/>
      <c r="AZ66" s="21"/>
      <c r="BA66" s="21"/>
      <c r="BB66" s="21"/>
      <c r="BC66" s="21"/>
      <c r="BD66" s="21"/>
      <c r="BE66" s="21"/>
      <c r="BF66" s="21"/>
      <c r="BG66" s="21"/>
      <c r="BH66" s="21"/>
      <c r="BI66" s="21"/>
      <c r="BJ66" s="21"/>
      <c r="BK66" s="21"/>
      <c r="BL66" s="21"/>
    </row>
    <row r="67" spans="3:64" x14ac:dyDescent="0.25">
      <c r="C67" s="21"/>
      <c r="D67" s="21"/>
      <c r="E67" s="21"/>
      <c r="F67" s="21"/>
      <c r="G67" s="21"/>
      <c r="H67" s="21"/>
      <c r="I67" s="21"/>
      <c r="J67" s="21"/>
      <c r="K67" s="21"/>
      <c r="L67" s="21"/>
      <c r="M67" s="21"/>
      <c r="N67" s="21"/>
      <c r="O67" s="21"/>
      <c r="P67" s="21"/>
      <c r="Q67" s="21"/>
      <c r="R67" s="21"/>
      <c r="S67" s="21"/>
      <c r="T67" s="21"/>
      <c r="U67" s="21"/>
      <c r="V67" s="21"/>
      <c r="W67" s="21"/>
      <c r="X67" s="21"/>
      <c r="Y67" s="21"/>
      <c r="Z67" s="21"/>
      <c r="AA67" s="21"/>
      <c r="AB67" s="21"/>
      <c r="AC67" s="21"/>
      <c r="AD67" s="21"/>
      <c r="AE67" s="21"/>
      <c r="AF67" s="21"/>
      <c r="AG67" s="21"/>
      <c r="AH67" s="21"/>
      <c r="AI67" s="21"/>
      <c r="AJ67" s="21"/>
      <c r="AK67" s="21"/>
      <c r="AL67" s="21"/>
      <c r="AM67" s="21"/>
      <c r="AN67" s="21"/>
      <c r="AO67" s="21"/>
      <c r="AP67" s="21"/>
      <c r="AQ67" s="21"/>
      <c r="AR67" s="21"/>
      <c r="AS67" s="21"/>
      <c r="AT67" s="21"/>
      <c r="AU67" s="21"/>
      <c r="AV67" s="21"/>
      <c r="AW67" s="21"/>
      <c r="AX67" s="21"/>
      <c r="AY67" s="21"/>
      <c r="AZ67" s="21"/>
      <c r="BA67" s="21"/>
      <c r="BB67" s="21"/>
      <c r="BC67" s="21"/>
      <c r="BD67" s="21"/>
      <c r="BE67" s="21"/>
      <c r="BF67" s="21"/>
      <c r="BG67" s="21"/>
      <c r="BH67" s="21"/>
      <c r="BI67" s="21"/>
      <c r="BJ67" s="21"/>
      <c r="BK67" s="21"/>
      <c r="BL67" s="21"/>
    </row>
    <row r="68" spans="3:64" x14ac:dyDescent="0.25">
      <c r="C68" s="21"/>
      <c r="D68" s="21"/>
      <c r="E68" s="21"/>
      <c r="F68" s="21"/>
      <c r="G68" s="21"/>
      <c r="H68" s="21"/>
      <c r="I68" s="21"/>
      <c r="J68" s="21"/>
      <c r="K68" s="21"/>
      <c r="L68" s="21"/>
      <c r="M68" s="21"/>
      <c r="N68" s="21"/>
      <c r="O68" s="21"/>
      <c r="P68" s="21"/>
      <c r="Q68" s="21"/>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c r="AQ68" s="21"/>
      <c r="AR68" s="21"/>
      <c r="AS68" s="21"/>
      <c r="AT68" s="21"/>
      <c r="AU68" s="21"/>
      <c r="AV68" s="21"/>
      <c r="AW68" s="21"/>
      <c r="AX68" s="21"/>
      <c r="AY68" s="21"/>
      <c r="AZ68" s="21"/>
      <c r="BA68" s="21"/>
      <c r="BB68" s="21"/>
      <c r="BC68" s="21"/>
      <c r="BD68" s="21"/>
      <c r="BE68" s="21"/>
      <c r="BF68" s="21"/>
      <c r="BG68" s="21"/>
      <c r="BH68" s="21"/>
      <c r="BI68" s="21"/>
      <c r="BJ68" s="21"/>
      <c r="BK68" s="21"/>
      <c r="BL68" s="21"/>
    </row>
    <row r="69" spans="3:64" x14ac:dyDescent="0.25">
      <c r="C69" s="21"/>
      <c r="D69" s="21"/>
      <c r="E69" s="21"/>
      <c r="F69" s="21"/>
      <c r="G69" s="21"/>
      <c r="H69" s="21"/>
      <c r="I69" s="21"/>
      <c r="J69" s="21"/>
      <c r="K69" s="21"/>
      <c r="L69" s="21"/>
      <c r="M69" s="21"/>
      <c r="N69" s="21"/>
      <c r="O69" s="21"/>
      <c r="P69" s="21"/>
      <c r="Q69" s="21"/>
      <c r="R69" s="21"/>
      <c r="S69" s="21"/>
      <c r="T69" s="21"/>
      <c r="U69" s="21"/>
      <c r="V69" s="21"/>
      <c r="W69" s="21"/>
      <c r="X69" s="21"/>
      <c r="Y69" s="21"/>
      <c r="Z69" s="21"/>
      <c r="AA69" s="21"/>
      <c r="AB69" s="21"/>
      <c r="AC69" s="21"/>
      <c r="AD69" s="21"/>
      <c r="AE69" s="21"/>
      <c r="AF69" s="21"/>
      <c r="AG69" s="21"/>
      <c r="AH69" s="21"/>
      <c r="AI69" s="21"/>
      <c r="AJ69" s="21"/>
      <c r="AK69" s="21"/>
      <c r="AL69" s="21"/>
      <c r="AM69" s="21"/>
      <c r="AN69" s="21"/>
      <c r="AO69" s="21"/>
      <c r="AP69" s="21"/>
      <c r="AQ69" s="21"/>
      <c r="AR69" s="21"/>
      <c r="AS69" s="21"/>
      <c r="AT69" s="21"/>
      <c r="AU69" s="21"/>
      <c r="AV69" s="21"/>
      <c r="AW69" s="21"/>
      <c r="AX69" s="21"/>
      <c r="AY69" s="21"/>
      <c r="AZ69" s="21"/>
      <c r="BA69" s="21"/>
      <c r="BB69" s="21"/>
      <c r="BC69" s="21"/>
      <c r="BD69" s="21"/>
      <c r="BE69" s="21"/>
      <c r="BF69" s="21"/>
      <c r="BG69" s="21"/>
      <c r="BH69" s="21"/>
      <c r="BI69" s="21"/>
      <c r="BJ69" s="21"/>
      <c r="BK69" s="21"/>
      <c r="BL69" s="21"/>
    </row>
    <row r="70" spans="3:64" x14ac:dyDescent="0.25">
      <c r="C70" s="21"/>
      <c r="D70" s="21"/>
      <c r="E70" s="21"/>
      <c r="F70" s="21"/>
      <c r="G70" s="21"/>
      <c r="H70" s="21"/>
      <c r="I70" s="21"/>
      <c r="J70" s="21"/>
      <c r="K70" s="21"/>
      <c r="L70" s="21"/>
      <c r="M70" s="21"/>
      <c r="N70" s="21"/>
      <c r="O70" s="21"/>
      <c r="P70" s="21"/>
      <c r="Q70" s="21"/>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c r="AR70" s="21"/>
      <c r="AS70" s="21"/>
      <c r="AT70" s="21"/>
      <c r="AU70" s="21"/>
      <c r="AV70" s="21"/>
      <c r="AW70" s="21"/>
      <c r="AX70" s="21"/>
      <c r="AY70" s="21"/>
      <c r="AZ70" s="21"/>
      <c r="BA70" s="21"/>
      <c r="BB70" s="21"/>
      <c r="BC70" s="21"/>
      <c r="BD70" s="21"/>
      <c r="BE70" s="21"/>
      <c r="BF70" s="21"/>
      <c r="BG70" s="21"/>
      <c r="BH70" s="21"/>
      <c r="BI70" s="21"/>
      <c r="BJ70" s="21"/>
      <c r="BK70" s="21"/>
      <c r="BL70" s="21"/>
    </row>
    <row r="71" spans="3:64" x14ac:dyDescent="0.25">
      <c r="C71" s="21"/>
      <c r="D71" s="21"/>
      <c r="E71" s="21"/>
      <c r="F71" s="21"/>
      <c r="G71" s="21"/>
      <c r="H71" s="21"/>
      <c r="I71" s="21"/>
      <c r="J71" s="21"/>
      <c r="K71" s="21"/>
      <c r="L71" s="21"/>
      <c r="M71" s="21"/>
      <c r="N71" s="21"/>
      <c r="O71" s="21"/>
      <c r="P71" s="21"/>
      <c r="Q71" s="21"/>
      <c r="R71" s="21"/>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c r="AQ71" s="21"/>
      <c r="AR71" s="21"/>
      <c r="AS71" s="21"/>
      <c r="AT71" s="21"/>
      <c r="AU71" s="21"/>
      <c r="AV71" s="21"/>
      <c r="AW71" s="21"/>
      <c r="AX71" s="21"/>
      <c r="AY71" s="21"/>
      <c r="AZ71" s="21"/>
      <c r="BA71" s="21"/>
      <c r="BB71" s="21"/>
      <c r="BC71" s="21"/>
      <c r="BD71" s="21"/>
      <c r="BE71" s="21"/>
      <c r="BF71" s="21"/>
      <c r="BG71" s="21"/>
      <c r="BH71" s="21"/>
      <c r="BI71" s="21"/>
      <c r="BJ71" s="21"/>
      <c r="BK71" s="21"/>
      <c r="BL71" s="21"/>
    </row>
    <row r="72" spans="3:64" x14ac:dyDescent="0.25">
      <c r="C72" s="21"/>
      <c r="D72" s="21"/>
      <c r="E72" s="21"/>
      <c r="F72" s="21"/>
      <c r="G72" s="21"/>
      <c r="H72" s="21"/>
      <c r="I72" s="21"/>
      <c r="J72" s="21"/>
      <c r="K72" s="21"/>
      <c r="L72" s="21"/>
      <c r="M72" s="21"/>
      <c r="N72" s="21"/>
      <c r="O72" s="21"/>
      <c r="P72" s="21"/>
      <c r="Q72" s="21"/>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1"/>
      <c r="AR72" s="21"/>
      <c r="AS72" s="21"/>
      <c r="AT72" s="21"/>
      <c r="AU72" s="21"/>
      <c r="AV72" s="21"/>
      <c r="AW72" s="21"/>
      <c r="AX72" s="21"/>
      <c r="AY72" s="21"/>
      <c r="AZ72" s="21"/>
      <c r="BA72" s="21"/>
      <c r="BB72" s="21"/>
      <c r="BC72" s="21"/>
      <c r="BD72" s="21"/>
      <c r="BE72" s="21"/>
      <c r="BF72" s="21"/>
      <c r="BG72" s="21"/>
      <c r="BH72" s="21"/>
      <c r="BI72" s="21"/>
      <c r="BJ72" s="21"/>
      <c r="BK72" s="21"/>
      <c r="BL72" s="21"/>
    </row>
    <row r="73" spans="3:64" x14ac:dyDescent="0.25">
      <c r="C73" s="21"/>
      <c r="D73" s="21"/>
      <c r="E73" s="21"/>
      <c r="F73" s="21"/>
      <c r="G73" s="21"/>
      <c r="H73" s="21"/>
      <c r="I73" s="21"/>
      <c r="J73" s="21"/>
      <c r="K73" s="21"/>
      <c r="L73" s="21"/>
      <c r="M73" s="21"/>
      <c r="N73" s="21"/>
      <c r="O73" s="21"/>
      <c r="P73" s="21"/>
      <c r="Q73" s="21"/>
      <c r="R73" s="21"/>
      <c r="S73" s="21"/>
      <c r="T73" s="21"/>
      <c r="U73" s="21"/>
      <c r="V73" s="21"/>
      <c r="W73" s="21"/>
      <c r="X73" s="21"/>
      <c r="Y73" s="21"/>
      <c r="Z73" s="21"/>
      <c r="AA73" s="21"/>
      <c r="AB73" s="21"/>
      <c r="AC73" s="21"/>
      <c r="AD73" s="21"/>
      <c r="AE73" s="21"/>
      <c r="AF73" s="21"/>
      <c r="AG73" s="21"/>
      <c r="AH73" s="21"/>
      <c r="AI73" s="21"/>
      <c r="AJ73" s="21"/>
      <c r="AK73" s="21"/>
      <c r="AL73" s="21"/>
      <c r="AM73" s="21"/>
      <c r="AN73" s="21"/>
      <c r="AO73" s="21"/>
      <c r="AP73" s="21"/>
      <c r="AQ73" s="21"/>
      <c r="AR73" s="21"/>
      <c r="AS73" s="21"/>
      <c r="AT73" s="21"/>
      <c r="AU73" s="21"/>
      <c r="AV73" s="21"/>
      <c r="AW73" s="21"/>
      <c r="AX73" s="21"/>
      <c r="AY73" s="21"/>
      <c r="AZ73" s="21"/>
      <c r="BA73" s="21"/>
      <c r="BB73" s="21"/>
      <c r="BC73" s="21"/>
      <c r="BD73" s="21"/>
      <c r="BE73" s="21"/>
      <c r="BF73" s="21"/>
      <c r="BG73" s="21"/>
      <c r="BH73" s="21"/>
      <c r="BI73" s="21"/>
      <c r="BJ73" s="21"/>
      <c r="BK73" s="21"/>
      <c r="BL73" s="21"/>
    </row>
    <row r="74" spans="3:64" x14ac:dyDescent="0.25">
      <c r="C74" s="21"/>
      <c r="D74" s="21"/>
      <c r="E74" s="21"/>
      <c r="F74" s="21"/>
      <c r="G74" s="21"/>
      <c r="H74" s="21"/>
      <c r="I74" s="21"/>
      <c r="J74" s="21"/>
      <c r="K74" s="21"/>
      <c r="L74" s="21"/>
      <c r="M74" s="21"/>
      <c r="N74" s="21"/>
      <c r="O74" s="21"/>
      <c r="P74" s="21"/>
      <c r="Q74" s="21"/>
      <c r="R74" s="21"/>
      <c r="S74" s="21"/>
      <c r="T74" s="21"/>
      <c r="U74" s="21"/>
      <c r="V74" s="21"/>
      <c r="W74" s="21"/>
      <c r="X74" s="21"/>
      <c r="Y74" s="21"/>
      <c r="Z74" s="21"/>
      <c r="AA74" s="21"/>
      <c r="AB74" s="21"/>
      <c r="AC74" s="21"/>
      <c r="AD74" s="21"/>
      <c r="AE74" s="21"/>
      <c r="AF74" s="21"/>
      <c r="AG74" s="21"/>
      <c r="AH74" s="21"/>
      <c r="AI74" s="21"/>
      <c r="AJ74" s="21"/>
      <c r="AK74" s="21"/>
      <c r="AL74" s="21"/>
      <c r="AM74" s="21"/>
      <c r="AN74" s="21"/>
      <c r="AO74" s="21"/>
      <c r="AP74" s="21"/>
      <c r="AQ74" s="21"/>
      <c r="AR74" s="21"/>
      <c r="AS74" s="21"/>
      <c r="AT74" s="21"/>
      <c r="AU74" s="21"/>
      <c r="AV74" s="21"/>
      <c r="AW74" s="21"/>
      <c r="AX74" s="21"/>
      <c r="AY74" s="21"/>
      <c r="AZ74" s="21"/>
      <c r="BA74" s="21"/>
      <c r="BB74" s="21"/>
      <c r="BC74" s="21"/>
      <c r="BD74" s="21"/>
      <c r="BE74" s="21"/>
      <c r="BF74" s="21"/>
      <c r="BG74" s="21"/>
      <c r="BH74" s="21"/>
      <c r="BI74" s="21"/>
      <c r="BJ74" s="21"/>
      <c r="BK74" s="21"/>
      <c r="BL74" s="21"/>
    </row>
    <row r="75" spans="3:64" x14ac:dyDescent="0.25">
      <c r="C75" s="21"/>
      <c r="D75" s="21"/>
      <c r="E75" s="21"/>
      <c r="F75" s="21"/>
      <c r="G75" s="21"/>
      <c r="H75" s="21"/>
      <c r="I75" s="21"/>
      <c r="J75" s="21"/>
      <c r="K75" s="21"/>
      <c r="L75" s="21"/>
      <c r="M75" s="21"/>
      <c r="N75" s="21"/>
      <c r="O75" s="21"/>
      <c r="P75" s="21"/>
      <c r="Q75" s="21"/>
      <c r="R75" s="21"/>
      <c r="S75" s="21"/>
      <c r="T75" s="21"/>
      <c r="U75" s="21"/>
      <c r="V75" s="21"/>
      <c r="W75" s="21"/>
      <c r="X75" s="21"/>
      <c r="Y75" s="21"/>
      <c r="Z75" s="21"/>
      <c r="AA75" s="21"/>
      <c r="AB75" s="21"/>
      <c r="AC75" s="21"/>
      <c r="AD75" s="21"/>
      <c r="AE75" s="21"/>
      <c r="AF75" s="21"/>
      <c r="AG75" s="21"/>
      <c r="AH75" s="21"/>
      <c r="AI75" s="21"/>
      <c r="AJ75" s="21"/>
      <c r="AK75" s="21"/>
      <c r="AL75" s="21"/>
      <c r="AM75" s="21"/>
      <c r="AN75" s="21"/>
      <c r="AO75" s="21"/>
      <c r="AP75" s="21"/>
      <c r="AQ75" s="21"/>
      <c r="AR75" s="21"/>
      <c r="AS75" s="21"/>
      <c r="AT75" s="21"/>
      <c r="AU75" s="21"/>
      <c r="AV75" s="21"/>
      <c r="AW75" s="21"/>
      <c r="AX75" s="21"/>
      <c r="AY75" s="21"/>
      <c r="AZ75" s="21"/>
      <c r="BA75" s="21"/>
      <c r="BB75" s="21"/>
      <c r="BC75" s="21"/>
      <c r="BD75" s="21"/>
      <c r="BE75" s="21"/>
      <c r="BF75" s="21"/>
      <c r="BG75" s="21"/>
      <c r="BH75" s="21"/>
      <c r="BI75" s="21"/>
      <c r="BJ75" s="21"/>
      <c r="BK75" s="21"/>
      <c r="BL75" s="21"/>
    </row>
    <row r="76" spans="3:64" x14ac:dyDescent="0.25">
      <c r="C76" s="21"/>
      <c r="D76" s="21"/>
      <c r="E76" s="21"/>
      <c r="F76" s="21"/>
      <c r="G76" s="21"/>
      <c r="H76" s="21"/>
      <c r="I76" s="21"/>
      <c r="J76" s="21"/>
      <c r="K76" s="21"/>
      <c r="L76" s="21"/>
      <c r="M76" s="21"/>
      <c r="N76" s="21"/>
      <c r="O76" s="21"/>
      <c r="P76" s="21"/>
      <c r="Q76" s="21"/>
      <c r="R76" s="21"/>
      <c r="S76" s="21"/>
      <c r="T76" s="21"/>
      <c r="U76" s="21"/>
      <c r="V76" s="21"/>
      <c r="W76" s="21"/>
      <c r="X76" s="21"/>
      <c r="Y76" s="21"/>
      <c r="Z76" s="21"/>
      <c r="AA76" s="21"/>
      <c r="AB76" s="21"/>
      <c r="AC76" s="21"/>
      <c r="AD76" s="21"/>
      <c r="AE76" s="21"/>
      <c r="AF76" s="21"/>
      <c r="AG76" s="21"/>
      <c r="AH76" s="21"/>
      <c r="AI76" s="21"/>
      <c r="AJ76" s="21"/>
      <c r="AK76" s="21"/>
      <c r="AL76" s="21"/>
      <c r="AM76" s="21"/>
      <c r="AN76" s="21"/>
      <c r="AO76" s="21"/>
      <c r="AP76" s="21"/>
      <c r="AQ76" s="21"/>
      <c r="AR76" s="21"/>
      <c r="AS76" s="21"/>
      <c r="AT76" s="21"/>
      <c r="AU76" s="21"/>
      <c r="AV76" s="21"/>
      <c r="AW76" s="21"/>
      <c r="AX76" s="21"/>
      <c r="AY76" s="21"/>
      <c r="AZ76" s="21"/>
      <c r="BA76" s="21"/>
      <c r="BB76" s="21"/>
      <c r="BC76" s="21"/>
      <c r="BD76" s="21"/>
      <c r="BE76" s="21"/>
      <c r="BF76" s="21"/>
      <c r="BG76" s="21"/>
      <c r="BH76" s="21"/>
      <c r="BI76" s="21"/>
      <c r="BJ76" s="21"/>
      <c r="BK76" s="21"/>
      <c r="BL76" s="21"/>
    </row>
    <row r="77" spans="3:64" x14ac:dyDescent="0.25">
      <c r="C77" s="21"/>
      <c r="D77" s="21"/>
      <c r="E77" s="21"/>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1"/>
      <c r="AR77" s="21"/>
      <c r="AS77" s="21"/>
      <c r="AT77" s="21"/>
      <c r="AU77" s="21"/>
      <c r="AV77" s="21"/>
      <c r="AW77" s="21"/>
      <c r="AX77" s="21"/>
      <c r="AY77" s="21"/>
      <c r="AZ77" s="21"/>
      <c r="BA77" s="21"/>
      <c r="BB77" s="21"/>
      <c r="BC77" s="21"/>
      <c r="BD77" s="21"/>
      <c r="BE77" s="21"/>
      <c r="BF77" s="21"/>
      <c r="BG77" s="21"/>
      <c r="BH77" s="21"/>
      <c r="BI77" s="21"/>
      <c r="BJ77" s="21"/>
      <c r="BK77" s="21"/>
      <c r="BL77" s="21"/>
    </row>
    <row r="78" spans="3:64" x14ac:dyDescent="0.25">
      <c r="C78" s="21"/>
      <c r="D78" s="21"/>
      <c r="E78" s="21"/>
      <c r="F78" s="21"/>
      <c r="G78" s="21"/>
      <c r="H78" s="21"/>
      <c r="I78" s="21"/>
      <c r="J78" s="21"/>
      <c r="K78" s="21"/>
      <c r="L78" s="21"/>
      <c r="M78" s="21"/>
      <c r="N78" s="21"/>
      <c r="O78" s="21"/>
      <c r="P78" s="21"/>
      <c r="Q78" s="21"/>
      <c r="R78" s="21"/>
      <c r="S78" s="21"/>
      <c r="T78" s="21"/>
      <c r="U78" s="21"/>
      <c r="V78" s="21"/>
      <c r="W78" s="21"/>
      <c r="X78" s="21"/>
      <c r="Y78" s="21"/>
      <c r="Z78" s="21"/>
      <c r="AA78" s="21"/>
      <c r="AB78" s="21"/>
      <c r="AC78" s="21"/>
      <c r="AD78" s="21"/>
      <c r="AE78" s="21"/>
      <c r="AF78" s="21"/>
      <c r="AG78" s="21"/>
      <c r="AH78" s="21"/>
      <c r="AI78" s="21"/>
      <c r="AJ78" s="21"/>
      <c r="AK78" s="21"/>
      <c r="AL78" s="21"/>
      <c r="AM78" s="21"/>
      <c r="AN78" s="21"/>
      <c r="AO78" s="21"/>
      <c r="AP78" s="21"/>
      <c r="AQ78" s="21"/>
      <c r="AR78" s="21"/>
      <c r="AS78" s="21"/>
      <c r="AT78" s="21"/>
      <c r="AU78" s="21"/>
      <c r="AV78" s="21"/>
      <c r="AW78" s="21"/>
      <c r="AX78" s="21"/>
      <c r="AY78" s="21"/>
      <c r="AZ78" s="21"/>
      <c r="BA78" s="21"/>
      <c r="BB78" s="21"/>
      <c r="BC78" s="21"/>
      <c r="BD78" s="21"/>
      <c r="BE78" s="21"/>
      <c r="BF78" s="21"/>
      <c r="BG78" s="21"/>
      <c r="BH78" s="21"/>
      <c r="BI78" s="21"/>
      <c r="BJ78" s="21"/>
      <c r="BK78" s="21"/>
      <c r="BL78" s="21"/>
    </row>
    <row r="79" spans="3:64" x14ac:dyDescent="0.25">
      <c r="C79" s="21"/>
      <c r="D79" s="21"/>
      <c r="E79" s="21"/>
      <c r="F79" s="21"/>
      <c r="G79" s="21"/>
      <c r="H79" s="21"/>
      <c r="I79" s="21"/>
      <c r="J79" s="21"/>
      <c r="K79" s="21"/>
      <c r="L79" s="21"/>
      <c r="M79" s="21"/>
      <c r="N79" s="21"/>
      <c r="O79" s="21"/>
      <c r="P79" s="21"/>
      <c r="Q79" s="21"/>
      <c r="R79" s="21"/>
      <c r="S79" s="21"/>
      <c r="T79" s="21"/>
      <c r="U79" s="21"/>
      <c r="V79" s="21"/>
      <c r="W79" s="21"/>
      <c r="X79" s="21"/>
      <c r="Y79" s="21"/>
      <c r="Z79" s="21"/>
      <c r="AA79" s="21"/>
      <c r="AB79" s="21"/>
      <c r="AC79" s="21"/>
      <c r="AD79" s="21"/>
      <c r="AE79" s="21"/>
      <c r="AF79" s="21"/>
      <c r="AG79" s="21"/>
      <c r="AH79" s="21"/>
      <c r="AI79" s="21"/>
      <c r="AJ79" s="21"/>
      <c r="AK79" s="21"/>
      <c r="AL79" s="21"/>
      <c r="AM79" s="21"/>
      <c r="AN79" s="21"/>
      <c r="AO79" s="21"/>
      <c r="AP79" s="21"/>
      <c r="AQ79" s="21"/>
      <c r="AR79" s="21"/>
      <c r="AS79" s="21"/>
      <c r="AT79" s="21"/>
      <c r="AU79" s="21"/>
      <c r="AV79" s="21"/>
      <c r="AW79" s="21"/>
      <c r="AX79" s="21"/>
      <c r="AY79" s="21"/>
      <c r="AZ79" s="21"/>
      <c r="BA79" s="21"/>
      <c r="BB79" s="21"/>
      <c r="BC79" s="21"/>
      <c r="BD79" s="21"/>
      <c r="BE79" s="21"/>
      <c r="BF79" s="21"/>
      <c r="BG79" s="21"/>
      <c r="BH79" s="21"/>
      <c r="BI79" s="21"/>
      <c r="BJ79" s="21"/>
      <c r="BK79" s="21"/>
      <c r="BL79" s="21"/>
    </row>
    <row r="80" spans="3:64" x14ac:dyDescent="0.25">
      <c r="C80" s="21"/>
      <c r="D80" s="21"/>
      <c r="E80" s="21"/>
      <c r="F80" s="21"/>
      <c r="G80" s="21"/>
      <c r="H80" s="21"/>
      <c r="I80" s="21"/>
      <c r="J80" s="21"/>
      <c r="K80" s="21"/>
      <c r="L80" s="21"/>
      <c r="M80" s="21"/>
      <c r="N80" s="21"/>
      <c r="O80" s="21"/>
      <c r="P80" s="21"/>
      <c r="Q80" s="21"/>
      <c r="R80" s="21"/>
      <c r="S80" s="21"/>
      <c r="T80" s="21"/>
      <c r="U80" s="21"/>
      <c r="V80" s="21"/>
      <c r="W80" s="21"/>
      <c r="X80" s="21"/>
      <c r="Y80" s="21"/>
      <c r="Z80" s="21"/>
      <c r="AA80" s="21"/>
      <c r="AB80" s="21"/>
      <c r="AC80" s="21"/>
      <c r="AD80" s="21"/>
      <c r="AE80" s="21"/>
      <c r="AF80" s="21"/>
      <c r="AG80" s="21"/>
      <c r="AH80" s="21"/>
      <c r="AI80" s="21"/>
      <c r="AJ80" s="21"/>
      <c r="AK80" s="21"/>
      <c r="AL80" s="21"/>
      <c r="AM80" s="21"/>
      <c r="AN80" s="21"/>
      <c r="AO80" s="21"/>
      <c r="AP80" s="21"/>
      <c r="AQ80" s="21"/>
      <c r="AR80" s="21"/>
      <c r="AS80" s="21"/>
      <c r="AT80" s="21"/>
      <c r="AU80" s="21"/>
      <c r="AV80" s="21"/>
      <c r="AW80" s="21"/>
      <c r="AX80" s="21"/>
      <c r="AY80" s="21"/>
      <c r="AZ80" s="21"/>
      <c r="BA80" s="21"/>
      <c r="BB80" s="21"/>
      <c r="BC80" s="21"/>
      <c r="BD80" s="21"/>
      <c r="BE80" s="21"/>
      <c r="BF80" s="21"/>
      <c r="BG80" s="21"/>
      <c r="BH80" s="21"/>
      <c r="BI80" s="21"/>
      <c r="BJ80" s="21"/>
      <c r="BK80" s="21"/>
      <c r="BL80" s="21"/>
    </row>
    <row r="81" spans="3:64" x14ac:dyDescent="0.25">
      <c r="C81" s="21"/>
      <c r="D81" s="21"/>
      <c r="E81" s="21"/>
      <c r="F81" s="21"/>
      <c r="G81" s="21"/>
      <c r="H81" s="21"/>
      <c r="I81" s="21"/>
      <c r="J81" s="21"/>
      <c r="K81" s="21"/>
      <c r="L81" s="21"/>
      <c r="M81" s="21"/>
      <c r="N81" s="21"/>
      <c r="O81" s="21"/>
      <c r="P81" s="21"/>
      <c r="Q81" s="21"/>
      <c r="R81" s="21"/>
      <c r="S81" s="21"/>
      <c r="T81" s="21"/>
      <c r="U81" s="21"/>
      <c r="V81" s="21"/>
      <c r="W81" s="21"/>
      <c r="X81" s="21"/>
      <c r="Y81" s="21"/>
      <c r="Z81" s="21"/>
      <c r="AA81" s="21"/>
      <c r="AB81" s="21"/>
      <c r="AC81" s="21"/>
      <c r="AD81" s="21"/>
      <c r="AE81" s="21"/>
      <c r="AF81" s="21"/>
      <c r="AG81" s="21"/>
      <c r="AH81" s="21"/>
      <c r="AI81" s="21"/>
      <c r="AJ81" s="21"/>
      <c r="AK81" s="21"/>
      <c r="AL81" s="21"/>
      <c r="AM81" s="21"/>
      <c r="AN81" s="21"/>
      <c r="AO81" s="21"/>
      <c r="AP81" s="21"/>
      <c r="AQ81" s="21"/>
      <c r="AR81" s="21"/>
      <c r="AS81" s="21"/>
      <c r="AT81" s="21"/>
      <c r="AU81" s="21"/>
      <c r="AV81" s="21"/>
      <c r="AW81" s="21"/>
      <c r="AX81" s="21"/>
      <c r="AY81" s="21"/>
      <c r="AZ81" s="21"/>
      <c r="BA81" s="21"/>
      <c r="BB81" s="21"/>
      <c r="BC81" s="21"/>
      <c r="BD81" s="21"/>
      <c r="BE81" s="21"/>
      <c r="BF81" s="21"/>
      <c r="BG81" s="21"/>
      <c r="BH81" s="21"/>
      <c r="BI81" s="21"/>
      <c r="BJ81" s="21"/>
      <c r="BK81" s="21"/>
      <c r="BL81" s="21"/>
    </row>
    <row r="82" spans="3:64" x14ac:dyDescent="0.25">
      <c r="C82" s="21"/>
      <c r="D82" s="21"/>
      <c r="E82" s="21"/>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c r="AV82" s="21"/>
      <c r="AW82" s="21"/>
      <c r="AX82" s="21"/>
      <c r="AY82" s="21"/>
      <c r="AZ82" s="21"/>
      <c r="BA82" s="21"/>
      <c r="BB82" s="21"/>
      <c r="BC82" s="21"/>
      <c r="BD82" s="21"/>
      <c r="BE82" s="21"/>
      <c r="BF82" s="21"/>
      <c r="BG82" s="21"/>
      <c r="BH82" s="21"/>
      <c r="BI82" s="21"/>
      <c r="BJ82" s="21"/>
      <c r="BK82" s="21"/>
      <c r="BL82" s="21"/>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tabColor rgb="FF0C769E"/>
    <pageSetUpPr autoPageBreaks="0"/>
  </sheetPr>
  <dimension ref="A1:L87"/>
  <sheetViews>
    <sheetView showGridLines="0" zoomScaleNormal="100" workbookViewId="0">
      <selection activeCell="A21" sqref="A21"/>
    </sheetView>
  </sheetViews>
  <sheetFormatPr defaultRowHeight="15" x14ac:dyDescent="0.25"/>
  <cols>
    <col min="1" max="1" width="30.7109375" customWidth="1"/>
    <col min="2" max="3" width="2.7109375" customWidth="1"/>
    <col min="4" max="4" width="54.28515625" customWidth="1"/>
    <col min="5" max="6" width="28.7109375" customWidth="1"/>
    <col min="7" max="7" width="32.85546875" customWidth="1"/>
    <col min="8" max="8" width="36.85546875" customWidth="1"/>
    <col min="9" max="10" width="31.5703125" customWidth="1"/>
    <col min="11" max="11" width="25.28515625" customWidth="1"/>
    <col min="12" max="12" width="7.42578125" customWidth="1"/>
    <col min="13" max="27" width="28.7109375" customWidth="1"/>
  </cols>
  <sheetData>
    <row r="1" spans="1:12" ht="30" customHeight="1" x14ac:dyDescent="0.35">
      <c r="A1" s="54" t="e" vm="1">
        <v>#VALUE!</v>
      </c>
      <c r="C1" s="85" t="s">
        <v>133</v>
      </c>
    </row>
    <row r="2" spans="1:12" ht="20.100000000000001" customHeight="1" x14ac:dyDescent="0.25">
      <c r="C2" s="9"/>
    </row>
    <row r="3" spans="1:12" ht="20.100000000000001" customHeight="1" x14ac:dyDescent="0.25">
      <c r="A3" s="17" t="str">
        <f>HYPERLINK("#'Home'!A1", "Home")</f>
        <v>Home</v>
      </c>
      <c r="C3" s="21"/>
      <c r="D3" s="21"/>
      <c r="E3" s="21"/>
      <c r="F3" s="21"/>
      <c r="G3" s="21"/>
      <c r="H3" s="21"/>
      <c r="I3" s="21"/>
      <c r="J3" s="21"/>
      <c r="K3" s="21"/>
      <c r="L3" s="21"/>
    </row>
    <row r="4" spans="1:12" ht="20.100000000000001" customHeight="1" x14ac:dyDescent="0.25">
      <c r="A4" s="17" t="str">
        <f>HYPERLINK("#'Overview'!A1", "Overview")</f>
        <v>Overview</v>
      </c>
      <c r="C4" s="21"/>
      <c r="D4" s="6" t="s">
        <v>2</v>
      </c>
      <c r="E4" s="23"/>
      <c r="F4" s="23"/>
      <c r="G4" s="23"/>
      <c r="H4" s="6"/>
      <c r="I4" s="6"/>
      <c r="J4" s="6"/>
      <c r="K4" s="6"/>
      <c r="L4" s="24"/>
    </row>
    <row r="5" spans="1:12" ht="20.100000000000001" customHeight="1" x14ac:dyDescent="0.3">
      <c r="A5" s="100" t="str">
        <f>HYPERLINK("#'Results'!A1", "Results")</f>
        <v>Results</v>
      </c>
      <c r="C5" s="21"/>
      <c r="D5" s="25"/>
      <c r="E5" s="26"/>
      <c r="F5" s="26"/>
      <c r="G5" s="26"/>
      <c r="H5" s="23"/>
      <c r="I5" s="21"/>
      <c r="J5" s="21"/>
      <c r="K5" s="21"/>
      <c r="L5" s="21"/>
    </row>
    <row r="6" spans="1:12" ht="20.100000000000001" customHeight="1" x14ac:dyDescent="0.25">
      <c r="C6" s="21"/>
      <c r="D6" s="84" t="s">
        <v>62</v>
      </c>
      <c r="E6" s="84" t="s">
        <v>74</v>
      </c>
      <c r="F6" s="84" t="s">
        <v>75</v>
      </c>
      <c r="G6" s="84" t="s">
        <v>68</v>
      </c>
      <c r="H6" s="84" t="s">
        <v>76</v>
      </c>
      <c r="I6" s="84" t="s">
        <v>78</v>
      </c>
      <c r="J6" s="84" t="s">
        <v>69</v>
      </c>
      <c r="K6" s="21"/>
      <c r="L6" s="21"/>
    </row>
    <row r="7" spans="1:12" ht="20.100000000000001" customHeight="1" x14ac:dyDescent="0.25">
      <c r="C7" s="21"/>
      <c r="D7" s="1" t="s">
        <v>95</v>
      </c>
      <c r="E7" s="82">
        <f>VEERG_3_6_1_1__1_TotalAnnualMethaneFromEntericFermentationOtherLivestock_Result_Method1</f>
        <v>630.69999999999993</v>
      </c>
      <c r="F7" s="82">
        <f>E7</f>
        <v>630.69999999999993</v>
      </c>
      <c r="G7" s="48" t="s">
        <v>136</v>
      </c>
      <c r="H7" s="82">
        <f>'3.6.1.1-2 Enteric Methane'!E33</f>
        <v>17659.599999999999</v>
      </c>
      <c r="I7" s="82">
        <f>H7</f>
        <v>17659.599999999999</v>
      </c>
      <c r="J7" s="48" t="s">
        <v>77</v>
      </c>
      <c r="K7" s="21"/>
      <c r="L7" s="21"/>
    </row>
    <row r="8" spans="1:12" ht="20.100000000000001" customHeight="1" x14ac:dyDescent="0.3">
      <c r="A8" s="19" t="s">
        <v>0</v>
      </c>
      <c r="C8" s="21"/>
      <c r="D8" s="28" t="s">
        <v>67</v>
      </c>
      <c r="E8" s="22"/>
      <c r="F8" s="28"/>
      <c r="G8" s="28"/>
      <c r="H8" s="83">
        <f>SUM(H7:H7)</f>
        <v>17659.599999999999</v>
      </c>
      <c r="I8" s="83">
        <f>SUM(I7:I7)</f>
        <v>17659.599999999999</v>
      </c>
      <c r="J8" s="78" t="s">
        <v>77</v>
      </c>
      <c r="K8" s="21"/>
      <c r="L8" s="21"/>
    </row>
    <row r="9" spans="1:12" ht="20.100000000000001" customHeight="1" x14ac:dyDescent="0.25">
      <c r="A9" s="17" t="str">
        <f>HYPERLINK("#'Input - Site'!A1", "Site")</f>
        <v>Site</v>
      </c>
      <c r="C9" s="21"/>
      <c r="D9" s="1"/>
      <c r="E9" s="1"/>
      <c r="F9" s="1"/>
      <c r="G9" s="23"/>
      <c r="H9" s="21"/>
      <c r="I9" s="1"/>
      <c r="J9" s="1"/>
      <c r="K9" s="21"/>
      <c r="L9" s="21"/>
    </row>
    <row r="10" spans="1:12" ht="20.100000000000001" customHeight="1" x14ac:dyDescent="0.25">
      <c r="A10" s="17" t="str">
        <f>HYPERLINK("#'Input - Other Livestock'!A1", "Other Livestock")</f>
        <v>Other Livestock</v>
      </c>
      <c r="C10" s="21"/>
      <c r="D10" s="1"/>
      <c r="E10" s="1"/>
      <c r="F10" s="1"/>
      <c r="G10" s="1"/>
      <c r="H10" s="1"/>
      <c r="I10" s="1"/>
      <c r="J10" s="1"/>
      <c r="K10" s="21"/>
      <c r="L10" s="21"/>
    </row>
    <row r="11" spans="1:12" ht="20.100000000000001" customHeight="1" x14ac:dyDescent="0.25">
      <c r="C11" s="21"/>
      <c r="D11" s="1"/>
      <c r="E11" s="1"/>
      <c r="F11" s="1"/>
      <c r="G11" s="1"/>
      <c r="H11" s="1"/>
      <c r="I11" s="1"/>
      <c r="J11" s="1"/>
      <c r="K11" s="21"/>
      <c r="L11" s="21"/>
    </row>
    <row r="12" spans="1:12" ht="20.100000000000001" customHeight="1" x14ac:dyDescent="0.25">
      <c r="C12" s="21"/>
      <c r="D12" s="1"/>
      <c r="E12" s="1"/>
      <c r="F12" s="1"/>
      <c r="G12" s="1"/>
      <c r="H12" s="1"/>
      <c r="I12" s="1"/>
      <c r="J12" s="1"/>
      <c r="K12" s="21"/>
      <c r="L12" s="21"/>
    </row>
    <row r="13" spans="1:12" ht="20.100000000000001" customHeight="1" x14ac:dyDescent="0.25">
      <c r="A13" s="18" t="s">
        <v>51</v>
      </c>
      <c r="C13" s="21"/>
      <c r="D13" s="1"/>
      <c r="E13" s="1"/>
      <c r="F13" s="1"/>
      <c r="G13" s="1"/>
      <c r="H13" s="1"/>
      <c r="I13" s="1"/>
      <c r="J13" s="1"/>
      <c r="K13" s="21"/>
      <c r="L13" s="21"/>
    </row>
    <row r="14" spans="1:12" ht="20.100000000000001" customHeight="1" x14ac:dyDescent="0.25">
      <c r="A14" s="17" t="str">
        <f>HYPERLINK("#'3.6.1.1-2 Enteric Methane'!A1", "3.6.1.1-2 Enteric Methane")</f>
        <v>3.6.1.1-2 Enteric Methane</v>
      </c>
      <c r="C14" s="21"/>
      <c r="D14" s="1"/>
      <c r="E14" s="1"/>
      <c r="F14" s="1"/>
      <c r="G14" s="1"/>
      <c r="H14" s="1"/>
      <c r="I14" s="1"/>
      <c r="J14" s="1"/>
      <c r="K14" s="21"/>
      <c r="L14" s="21"/>
    </row>
    <row r="15" spans="1:12" ht="20.100000000000001" customHeight="1" x14ac:dyDescent="0.25">
      <c r="C15" s="21"/>
      <c r="D15" s="1"/>
      <c r="E15" s="1"/>
      <c r="F15" s="1"/>
      <c r="G15" s="1"/>
      <c r="H15" s="1"/>
      <c r="I15" s="1"/>
      <c r="J15" s="1"/>
      <c r="K15" s="21"/>
      <c r="L15" s="21"/>
    </row>
    <row r="16" spans="1:12" ht="20.100000000000001" customHeight="1" x14ac:dyDescent="0.25">
      <c r="C16" s="21"/>
      <c r="D16" s="1"/>
      <c r="E16" s="1"/>
      <c r="F16" s="1"/>
      <c r="G16" s="1"/>
      <c r="H16" s="1"/>
      <c r="I16" s="1"/>
      <c r="J16" s="1"/>
      <c r="K16" s="21"/>
      <c r="L16" s="21"/>
    </row>
    <row r="17" spans="1:12" ht="20.100000000000001" customHeight="1" x14ac:dyDescent="0.25">
      <c r="A17" s="104" t="s">
        <v>1</v>
      </c>
      <c r="C17" s="21"/>
      <c r="D17" s="1"/>
      <c r="E17" s="1"/>
      <c r="F17" s="1"/>
      <c r="G17" s="1"/>
      <c r="H17" s="1"/>
      <c r="I17" s="1"/>
      <c r="J17" s="1"/>
      <c r="K17" s="21"/>
      <c r="L17" s="21"/>
    </row>
    <row r="18" spans="1:12" ht="20.100000000000001" customHeight="1" x14ac:dyDescent="0.25">
      <c r="A18" s="17" t="str">
        <f>HYPERLINK("#'Constants - Other Livestock'!A1", "Constants - Other Livestock")</f>
        <v>Constants - Other Livestock</v>
      </c>
      <c r="C18" s="21"/>
      <c r="D18" s="1"/>
      <c r="E18" s="1"/>
      <c r="F18" s="1"/>
      <c r="G18" s="1"/>
      <c r="H18" s="1"/>
      <c r="I18" s="1"/>
      <c r="J18" s="1"/>
      <c r="K18" s="21"/>
      <c r="L18" s="21"/>
    </row>
    <row r="19" spans="1:12" ht="20.100000000000001" customHeight="1" x14ac:dyDescent="0.25">
      <c r="A19" s="17" t="str">
        <f>HYPERLINK("#'Constants - Common'!A1", "Constants - Common")</f>
        <v>Constants - Common</v>
      </c>
      <c r="C19" s="21"/>
      <c r="D19" s="1"/>
      <c r="E19" s="1"/>
      <c r="F19" s="1"/>
      <c r="G19" s="1"/>
      <c r="H19" s="1"/>
      <c r="I19" s="1"/>
      <c r="J19" s="1"/>
      <c r="K19" s="21"/>
      <c r="L19" s="21"/>
    </row>
    <row r="20" spans="1:12" ht="20.100000000000001" customHeight="1" x14ac:dyDescent="0.25">
      <c r="A20" s="17" t="str">
        <f>HYPERLINK("#'Acknowledgements'!A1", "Acknowledgements")</f>
        <v>Acknowledgements</v>
      </c>
      <c r="C20" s="21"/>
      <c r="D20" s="1"/>
      <c r="E20" s="1"/>
      <c r="F20" s="1"/>
      <c r="G20" s="1"/>
      <c r="H20" s="1"/>
      <c r="I20" s="1"/>
      <c r="J20" s="1"/>
      <c r="K20" s="21"/>
      <c r="L20" s="21"/>
    </row>
    <row r="21" spans="1:12" ht="20.100000000000001" customHeight="1" x14ac:dyDescent="0.25">
      <c r="A21" s="17" t="str">
        <f>HYPERLINK("#'Tab template'!A1", "Tab template")</f>
        <v>Tab template</v>
      </c>
      <c r="C21" s="21"/>
      <c r="D21" s="1"/>
      <c r="E21" s="1"/>
      <c r="F21" s="1"/>
      <c r="G21" s="1"/>
      <c r="H21" s="1"/>
      <c r="I21" s="1"/>
      <c r="J21" s="1"/>
      <c r="K21" s="21"/>
      <c r="L21" s="21"/>
    </row>
    <row r="22" spans="1:12" ht="20.100000000000001" customHeight="1" x14ac:dyDescent="0.25">
      <c r="C22" s="21"/>
      <c r="D22" s="1"/>
      <c r="E22" s="1"/>
      <c r="F22" s="1"/>
      <c r="G22" s="1"/>
      <c r="H22" s="1"/>
      <c r="I22" s="1"/>
      <c r="J22" s="1"/>
      <c r="K22" s="21"/>
      <c r="L22" s="21"/>
    </row>
    <row r="23" spans="1:12" ht="20.100000000000001" customHeight="1" x14ac:dyDescent="0.25">
      <c r="C23" s="21"/>
      <c r="D23" s="1"/>
      <c r="E23" s="1"/>
      <c r="F23" s="1"/>
      <c r="G23" s="1"/>
      <c r="H23" s="1"/>
      <c r="I23" s="1"/>
      <c r="J23" s="1"/>
      <c r="K23" s="21"/>
      <c r="L23" s="21"/>
    </row>
    <row r="24" spans="1:12" ht="20.100000000000001" customHeight="1" x14ac:dyDescent="0.25">
      <c r="C24" s="21"/>
      <c r="D24" s="1"/>
      <c r="E24" s="1"/>
      <c r="F24" s="1"/>
      <c r="G24" s="1"/>
      <c r="H24" s="1"/>
      <c r="I24" s="1"/>
      <c r="J24" s="1"/>
      <c r="K24" s="21"/>
      <c r="L24" s="21"/>
    </row>
    <row r="25" spans="1:12" ht="20.100000000000001" customHeight="1" x14ac:dyDescent="0.25">
      <c r="C25" s="21"/>
      <c r="D25" s="1"/>
      <c r="E25" s="1"/>
      <c r="F25" s="1"/>
      <c r="G25" s="1"/>
      <c r="H25" s="1"/>
      <c r="I25" s="1"/>
      <c r="J25" s="1"/>
      <c r="K25" s="21"/>
      <c r="L25" s="21"/>
    </row>
    <row r="26" spans="1:12" ht="20.100000000000001" customHeight="1" x14ac:dyDescent="0.25">
      <c r="C26" s="21"/>
      <c r="D26" s="1"/>
      <c r="E26" s="1"/>
      <c r="F26" s="1"/>
      <c r="G26" s="1"/>
      <c r="H26" s="1"/>
      <c r="I26" s="1"/>
      <c r="J26" s="1"/>
      <c r="K26" s="21"/>
      <c r="L26" s="21"/>
    </row>
    <row r="27" spans="1:12" ht="20.100000000000001" customHeight="1" x14ac:dyDescent="0.25">
      <c r="C27" s="21"/>
      <c r="D27" s="1"/>
      <c r="E27" s="1"/>
      <c r="F27" s="1"/>
      <c r="G27" s="1"/>
      <c r="H27" s="1"/>
      <c r="I27" s="1"/>
      <c r="J27" s="1"/>
      <c r="K27" s="21"/>
      <c r="L27" s="21"/>
    </row>
    <row r="28" spans="1:12" ht="20.100000000000001" customHeight="1" x14ac:dyDescent="0.25">
      <c r="C28" s="21"/>
      <c r="D28" s="1"/>
      <c r="E28" s="1"/>
      <c r="F28" s="1"/>
      <c r="G28" s="1"/>
      <c r="H28" s="1"/>
      <c r="I28" s="1"/>
      <c r="J28" s="1"/>
      <c r="K28" s="21"/>
      <c r="L28" s="21"/>
    </row>
    <row r="29" spans="1:12" ht="20.100000000000001" customHeight="1" x14ac:dyDescent="0.25">
      <c r="C29" s="21"/>
      <c r="D29" s="1"/>
      <c r="E29" s="1"/>
      <c r="F29" s="1"/>
      <c r="G29" s="1"/>
      <c r="H29" s="21"/>
      <c r="I29" s="21"/>
      <c r="J29" s="21"/>
      <c r="K29" s="21"/>
      <c r="L29" s="21"/>
    </row>
    <row r="30" spans="1:12" ht="20.100000000000001" customHeight="1" x14ac:dyDescent="0.25">
      <c r="C30" s="21"/>
      <c r="D30" s="1"/>
      <c r="E30" s="1"/>
      <c r="F30" s="1"/>
      <c r="G30" s="1"/>
      <c r="H30" s="21"/>
      <c r="I30" s="21"/>
      <c r="J30" s="21"/>
      <c r="K30" s="21"/>
      <c r="L30" s="21"/>
    </row>
    <row r="31" spans="1:12" ht="20.100000000000001" customHeight="1" x14ac:dyDescent="0.25">
      <c r="C31" s="21"/>
      <c r="D31" s="1"/>
      <c r="E31" s="1"/>
      <c r="F31" s="1"/>
      <c r="G31" s="1"/>
      <c r="H31" s="21"/>
      <c r="I31" s="21"/>
      <c r="J31" s="21"/>
      <c r="K31" s="21"/>
      <c r="L31" s="21"/>
    </row>
    <row r="32" spans="1:12" ht="20.100000000000001" customHeight="1" x14ac:dyDescent="0.25">
      <c r="C32" s="21"/>
      <c r="D32" s="1"/>
      <c r="E32" s="1"/>
      <c r="F32" s="1"/>
      <c r="G32" s="1"/>
      <c r="H32" s="23"/>
      <c r="I32" s="21"/>
      <c r="J32" s="21"/>
      <c r="K32" s="21"/>
      <c r="L32" s="21"/>
    </row>
    <row r="33" spans="3:12" ht="20.100000000000001" customHeight="1" x14ac:dyDescent="0.3">
      <c r="C33" s="21"/>
      <c r="D33" s="1"/>
      <c r="E33" s="1"/>
      <c r="F33" s="1"/>
      <c r="G33" s="1"/>
      <c r="H33" s="26"/>
      <c r="I33" s="21"/>
      <c r="J33" s="21"/>
      <c r="K33" s="21"/>
      <c r="L33" s="21"/>
    </row>
    <row r="34" spans="3:12" ht="20.100000000000001" customHeight="1" x14ac:dyDescent="0.25">
      <c r="C34" s="21"/>
      <c r="D34" s="1"/>
      <c r="E34" s="1"/>
      <c r="F34" s="1"/>
      <c r="G34" s="1"/>
      <c r="H34" s="1"/>
      <c r="I34" s="21"/>
      <c r="J34" s="21"/>
      <c r="K34" s="21"/>
      <c r="L34" s="21"/>
    </row>
    <row r="35" spans="3:12" ht="20.100000000000001" customHeight="1" x14ac:dyDescent="0.25">
      <c r="C35" s="21"/>
      <c r="D35" s="1"/>
      <c r="E35" s="1"/>
      <c r="F35" s="1"/>
      <c r="G35" s="1"/>
      <c r="H35" s="1"/>
      <c r="I35" s="21"/>
      <c r="J35" s="21"/>
      <c r="K35" s="21"/>
      <c r="L35" s="21"/>
    </row>
    <row r="36" spans="3:12" ht="20.100000000000001" customHeight="1" x14ac:dyDescent="0.25">
      <c r="C36" s="21"/>
      <c r="D36" s="1"/>
      <c r="E36" s="1"/>
      <c r="F36" s="1"/>
      <c r="G36" s="1"/>
      <c r="H36" s="1"/>
      <c r="I36" s="21"/>
      <c r="J36" s="21"/>
      <c r="K36" s="21"/>
      <c r="L36" s="21"/>
    </row>
    <row r="37" spans="3:12" ht="20.100000000000001" customHeight="1" x14ac:dyDescent="0.25">
      <c r="C37" s="21"/>
      <c r="D37" s="1"/>
      <c r="E37" s="1"/>
      <c r="F37" s="1"/>
      <c r="G37" s="1"/>
      <c r="H37" s="1"/>
      <c r="I37" s="21"/>
      <c r="J37" s="21"/>
      <c r="K37" s="21"/>
      <c r="L37" s="21"/>
    </row>
    <row r="38" spans="3:12" ht="20.100000000000001" customHeight="1" x14ac:dyDescent="0.25">
      <c r="C38" s="21"/>
      <c r="D38" s="1"/>
      <c r="E38" s="1"/>
      <c r="F38" s="1"/>
      <c r="G38" s="1"/>
      <c r="H38" s="1"/>
      <c r="I38" s="81"/>
      <c r="J38" s="81"/>
      <c r="K38" s="81"/>
      <c r="L38" s="21"/>
    </row>
    <row r="39" spans="3:12" ht="20.100000000000001" customHeight="1" x14ac:dyDescent="0.25">
      <c r="C39" s="21"/>
      <c r="D39" s="1"/>
      <c r="E39" s="1"/>
      <c r="F39" s="1"/>
      <c r="G39" s="1"/>
      <c r="H39" s="1"/>
      <c r="I39" s="81"/>
      <c r="J39" s="81"/>
      <c r="K39" s="81"/>
      <c r="L39" s="21"/>
    </row>
    <row r="40" spans="3:12" ht="20.100000000000001" customHeight="1" x14ac:dyDescent="0.25">
      <c r="C40" s="21"/>
      <c r="D40" s="1"/>
      <c r="E40" s="1"/>
      <c r="F40" s="1"/>
      <c r="G40" s="1"/>
      <c r="H40" s="1"/>
      <c r="I40" s="81"/>
      <c r="J40" s="81"/>
      <c r="K40" s="81"/>
      <c r="L40" s="21"/>
    </row>
    <row r="41" spans="3:12" ht="20.100000000000001" customHeight="1" x14ac:dyDescent="0.25">
      <c r="C41" s="21"/>
      <c r="D41" s="1"/>
      <c r="E41" s="1"/>
      <c r="F41" s="1"/>
      <c r="G41" s="1"/>
      <c r="H41" s="1"/>
      <c r="I41" s="81"/>
      <c r="J41" s="81"/>
      <c r="K41" s="81"/>
      <c r="L41" s="21"/>
    </row>
    <row r="42" spans="3:12" ht="20.100000000000001" customHeight="1" x14ac:dyDescent="0.25">
      <c r="C42" s="21"/>
      <c r="D42" s="1"/>
      <c r="E42" s="1"/>
      <c r="F42" s="1"/>
      <c r="G42" s="1"/>
      <c r="H42" s="1"/>
      <c r="I42" s="81"/>
      <c r="J42" s="81"/>
      <c r="K42" s="81"/>
      <c r="L42" s="21"/>
    </row>
    <row r="43" spans="3:12" ht="20.100000000000001" customHeight="1" x14ac:dyDescent="0.25">
      <c r="C43" s="21"/>
      <c r="D43" s="1"/>
      <c r="E43" s="1"/>
      <c r="F43" s="1"/>
      <c r="G43" s="1"/>
      <c r="H43" s="1"/>
      <c r="I43" s="81"/>
      <c r="J43" s="81"/>
      <c r="K43" s="81"/>
      <c r="L43" s="21"/>
    </row>
    <row r="44" spans="3:12" ht="20.100000000000001" customHeight="1" x14ac:dyDescent="0.25">
      <c r="C44" s="21"/>
      <c r="D44" s="1"/>
      <c r="E44" s="1"/>
      <c r="F44" s="1"/>
      <c r="G44" s="1"/>
      <c r="H44" s="1"/>
      <c r="I44" s="81"/>
      <c r="J44" s="81"/>
      <c r="K44" s="81"/>
      <c r="L44" s="21"/>
    </row>
    <row r="45" spans="3:12" ht="20.100000000000001" customHeight="1" x14ac:dyDescent="0.25">
      <c r="C45" s="21"/>
      <c r="D45" s="1"/>
      <c r="E45" s="1"/>
      <c r="F45" s="1"/>
      <c r="G45" s="1"/>
      <c r="H45" s="1"/>
      <c r="I45" s="81"/>
      <c r="J45" s="81"/>
      <c r="K45" s="81"/>
      <c r="L45" s="21"/>
    </row>
    <row r="46" spans="3:12" ht="20.100000000000001" customHeight="1" x14ac:dyDescent="0.25">
      <c r="C46" s="21"/>
      <c r="D46" s="1"/>
      <c r="E46" s="1"/>
      <c r="F46" s="1"/>
      <c r="G46" s="1"/>
      <c r="H46" s="1"/>
      <c r="I46" s="81"/>
      <c r="J46" s="81"/>
      <c r="K46" s="81"/>
      <c r="L46" s="21"/>
    </row>
    <row r="47" spans="3:12" ht="20.100000000000001" customHeight="1" x14ac:dyDescent="0.25">
      <c r="C47" s="21"/>
      <c r="D47" s="1"/>
      <c r="E47" s="1"/>
      <c r="F47" s="1"/>
      <c r="G47" s="1"/>
      <c r="H47" s="1"/>
      <c r="I47" s="81"/>
      <c r="J47" s="81"/>
      <c r="K47" s="81"/>
      <c r="L47" s="21"/>
    </row>
    <row r="48" spans="3:12" ht="20.100000000000001" customHeight="1" x14ac:dyDescent="0.25">
      <c r="C48" s="21"/>
      <c r="D48" s="1"/>
      <c r="E48" s="1"/>
      <c r="F48" s="1"/>
      <c r="G48" s="1"/>
      <c r="H48" s="1"/>
      <c r="I48" s="81"/>
      <c r="J48" s="81"/>
      <c r="K48" s="81"/>
      <c r="L48" s="21"/>
    </row>
    <row r="49" spans="3:12" ht="20.100000000000001" customHeight="1" x14ac:dyDescent="0.25">
      <c r="C49" s="21"/>
      <c r="D49" s="1"/>
      <c r="E49" s="1"/>
      <c r="F49" s="1"/>
      <c r="G49" s="1"/>
      <c r="H49" s="81"/>
      <c r="I49" s="81"/>
      <c r="J49" s="81"/>
      <c r="K49" s="81"/>
      <c r="L49" s="21"/>
    </row>
    <row r="50" spans="3:12" ht="20.100000000000001" customHeight="1" x14ac:dyDescent="0.25">
      <c r="C50" s="21"/>
      <c r="D50" s="1"/>
      <c r="E50" s="1"/>
      <c r="F50" s="1"/>
      <c r="G50" s="1"/>
      <c r="H50" s="81"/>
      <c r="I50" s="81"/>
      <c r="J50" s="81"/>
      <c r="K50" s="81"/>
      <c r="L50" s="21"/>
    </row>
    <row r="51" spans="3:12" ht="20.100000000000001" customHeight="1" x14ac:dyDescent="0.25">
      <c r="C51" s="21"/>
      <c r="D51" s="1"/>
      <c r="E51" s="1"/>
      <c r="F51" s="1"/>
      <c r="G51" s="1"/>
      <c r="H51" s="81"/>
      <c r="I51" s="81"/>
      <c r="J51" s="81"/>
      <c r="K51" s="81"/>
      <c r="L51" s="21"/>
    </row>
    <row r="52" spans="3:12" ht="20.100000000000001" customHeight="1" x14ac:dyDescent="0.25">
      <c r="C52" s="21"/>
      <c r="D52" s="1"/>
      <c r="E52" s="1"/>
      <c r="F52" s="1"/>
      <c r="G52" s="1"/>
      <c r="H52" s="81"/>
      <c r="I52" s="81"/>
      <c r="J52" s="81"/>
      <c r="K52" s="81"/>
      <c r="L52" s="21"/>
    </row>
    <row r="53" spans="3:12" ht="20.100000000000001" customHeight="1" x14ac:dyDescent="0.25">
      <c r="C53" s="21"/>
      <c r="D53" s="1"/>
      <c r="E53" s="1"/>
      <c r="F53" s="1"/>
      <c r="G53" s="1"/>
      <c r="H53" s="81"/>
      <c r="I53" s="81"/>
      <c r="J53" s="81"/>
      <c r="K53" s="81"/>
      <c r="L53" s="21"/>
    </row>
    <row r="54" spans="3:12" ht="20.100000000000001" customHeight="1" x14ac:dyDescent="0.25">
      <c r="C54" s="21"/>
      <c r="D54" s="1"/>
      <c r="E54" s="1"/>
      <c r="F54" s="1"/>
      <c r="G54" s="1"/>
      <c r="H54" s="21"/>
      <c r="I54" s="21"/>
      <c r="J54" s="21"/>
      <c r="K54" s="21"/>
      <c r="L54" s="21"/>
    </row>
    <row r="55" spans="3:12" ht="20.100000000000001" customHeight="1" x14ac:dyDescent="0.25">
      <c r="C55" s="21"/>
      <c r="D55" s="1"/>
      <c r="E55" s="1"/>
      <c r="F55" s="1"/>
      <c r="G55" s="1"/>
      <c r="H55" s="21"/>
      <c r="I55" s="21"/>
      <c r="J55" s="21"/>
      <c r="K55" s="21"/>
      <c r="L55" s="21"/>
    </row>
    <row r="56" spans="3:12" ht="20.100000000000001" customHeight="1" x14ac:dyDescent="0.25">
      <c r="C56" s="21"/>
      <c r="D56" s="1"/>
      <c r="E56" s="1"/>
      <c r="F56" s="1"/>
      <c r="G56" s="1"/>
      <c r="H56" s="21"/>
      <c r="I56" s="21"/>
      <c r="J56" s="21"/>
      <c r="K56" s="21"/>
      <c r="L56" s="21"/>
    </row>
    <row r="57" spans="3:12" ht="20.100000000000001" customHeight="1" x14ac:dyDescent="0.25">
      <c r="C57" s="21"/>
      <c r="D57" s="1"/>
      <c r="E57" s="1"/>
      <c r="F57" s="1"/>
      <c r="G57" s="1"/>
      <c r="H57" s="21"/>
      <c r="I57" s="21"/>
      <c r="J57" s="21"/>
      <c r="K57" s="21"/>
      <c r="L57" s="21"/>
    </row>
    <row r="58" spans="3:12" ht="20.100000000000001" customHeight="1" x14ac:dyDescent="0.25">
      <c r="C58" s="21"/>
      <c r="D58" s="1"/>
      <c r="E58" s="29"/>
      <c r="F58" s="27"/>
      <c r="G58" s="21"/>
      <c r="H58" s="21"/>
      <c r="I58" s="21"/>
      <c r="J58" s="21"/>
      <c r="K58" s="21"/>
      <c r="L58" s="21"/>
    </row>
    <row r="59" spans="3:12" ht="20.100000000000001" customHeight="1" x14ac:dyDescent="0.25">
      <c r="C59" s="21"/>
      <c r="D59" s="1"/>
      <c r="E59" s="1"/>
      <c r="F59" s="1"/>
      <c r="G59" s="1"/>
      <c r="H59" s="1"/>
      <c r="I59" s="1"/>
      <c r="J59" s="1"/>
      <c r="K59" s="1"/>
      <c r="L59" s="21"/>
    </row>
    <row r="60" spans="3:12" ht="20.100000000000001" customHeight="1" x14ac:dyDescent="0.25">
      <c r="C60" s="21"/>
      <c r="D60" s="1"/>
      <c r="E60" s="1"/>
      <c r="F60" s="1"/>
      <c r="G60" s="1"/>
      <c r="H60" s="1"/>
      <c r="I60" s="1"/>
      <c r="J60" s="1"/>
      <c r="K60" s="1"/>
      <c r="L60" s="21"/>
    </row>
    <row r="61" spans="3:12" ht="20.100000000000001" customHeight="1" x14ac:dyDescent="0.25">
      <c r="C61" s="21"/>
      <c r="D61" s="1"/>
      <c r="E61" s="1"/>
      <c r="F61" s="1"/>
      <c r="G61" s="1"/>
      <c r="H61" s="1"/>
      <c r="I61" s="1"/>
      <c r="J61" s="1"/>
      <c r="K61" s="1"/>
      <c r="L61" s="21"/>
    </row>
    <row r="62" spans="3:12" ht="20.100000000000001" customHeight="1" x14ac:dyDescent="0.25">
      <c r="C62" s="21"/>
      <c r="D62" s="1"/>
      <c r="E62" s="1"/>
      <c r="F62" s="1"/>
      <c r="G62" s="1"/>
      <c r="H62" s="1"/>
      <c r="I62" s="1"/>
      <c r="J62" s="1"/>
      <c r="K62" s="1"/>
      <c r="L62" s="21"/>
    </row>
    <row r="63" spans="3:12" ht="20.100000000000001" customHeight="1" x14ac:dyDescent="0.25">
      <c r="C63" s="21"/>
      <c r="D63" s="1"/>
      <c r="E63" s="1"/>
      <c r="F63" s="1"/>
      <c r="G63" s="1"/>
      <c r="H63" s="1"/>
      <c r="I63" s="1"/>
      <c r="J63" s="1"/>
      <c r="K63" s="1"/>
      <c r="L63" s="21"/>
    </row>
    <row r="64" spans="3:12" ht="20.100000000000001" customHeight="1" x14ac:dyDescent="0.25">
      <c r="C64" s="21"/>
      <c r="D64" s="1"/>
      <c r="E64" s="1"/>
      <c r="F64" s="1"/>
      <c r="G64" s="1"/>
      <c r="H64" s="1"/>
      <c r="I64" s="1"/>
      <c r="J64" s="1"/>
      <c r="K64" s="1"/>
      <c r="L64" s="21"/>
    </row>
    <row r="65" spans="3:12" ht="20.100000000000001" customHeight="1" x14ac:dyDescent="0.25">
      <c r="C65" s="21"/>
      <c r="D65" s="1"/>
      <c r="E65" s="1"/>
      <c r="F65" s="1"/>
      <c r="G65" s="1"/>
      <c r="H65" s="1"/>
      <c r="I65" s="1"/>
      <c r="J65" s="1"/>
      <c r="K65" s="1"/>
      <c r="L65" s="21"/>
    </row>
    <row r="66" spans="3:12" ht="20.100000000000001" customHeight="1" x14ac:dyDescent="0.25">
      <c r="C66" s="21"/>
      <c r="D66" s="1"/>
      <c r="E66" s="1"/>
      <c r="F66" s="1"/>
      <c r="G66" s="1"/>
      <c r="H66" s="1"/>
      <c r="I66" s="1"/>
      <c r="J66" s="1"/>
      <c r="K66" s="1"/>
      <c r="L66" s="21"/>
    </row>
    <row r="67" spans="3:12" ht="20.100000000000001" customHeight="1" x14ac:dyDescent="0.25">
      <c r="C67" s="21"/>
      <c r="D67" s="1"/>
      <c r="E67" s="1"/>
      <c r="F67" s="1"/>
      <c r="G67" s="1"/>
      <c r="H67" s="1"/>
      <c r="I67" s="1"/>
      <c r="J67" s="1"/>
      <c r="K67" s="1"/>
      <c r="L67" s="21"/>
    </row>
    <row r="68" spans="3:12" ht="20.100000000000001" customHeight="1" x14ac:dyDescent="0.25">
      <c r="C68" s="21"/>
      <c r="D68" s="1"/>
      <c r="E68" s="1"/>
      <c r="F68" s="1"/>
      <c r="G68" s="1"/>
      <c r="H68" s="1"/>
      <c r="I68" s="1"/>
      <c r="J68" s="1"/>
      <c r="K68" s="1"/>
      <c r="L68" s="21"/>
    </row>
    <row r="69" spans="3:12" ht="20.100000000000001" customHeight="1" x14ac:dyDescent="0.25">
      <c r="C69" s="21"/>
      <c r="D69" s="1"/>
      <c r="E69" s="1"/>
      <c r="F69" s="1"/>
      <c r="G69" s="1"/>
      <c r="H69" s="1"/>
      <c r="I69" s="1"/>
      <c r="J69" s="1"/>
      <c r="K69" s="1"/>
      <c r="L69" s="21"/>
    </row>
    <row r="70" spans="3:12" ht="20.100000000000001" customHeight="1" x14ac:dyDescent="0.25">
      <c r="C70" s="21"/>
      <c r="D70" s="1"/>
      <c r="E70" s="1"/>
      <c r="F70" s="1"/>
      <c r="G70" s="1"/>
      <c r="H70" s="1"/>
      <c r="I70" s="1"/>
      <c r="J70" s="1"/>
      <c r="K70" s="1"/>
      <c r="L70" s="21"/>
    </row>
    <row r="71" spans="3:12" ht="20.100000000000001" customHeight="1" x14ac:dyDescent="0.25">
      <c r="C71" s="21"/>
      <c r="D71" s="1"/>
      <c r="E71" s="1"/>
      <c r="F71" s="1"/>
      <c r="G71" s="1"/>
      <c r="H71" s="1"/>
      <c r="I71" s="1"/>
      <c r="J71" s="1"/>
      <c r="K71" s="1"/>
      <c r="L71" s="21"/>
    </row>
    <row r="72" spans="3:12" ht="20.100000000000001" customHeight="1" x14ac:dyDescent="0.25">
      <c r="C72" s="21"/>
      <c r="D72" s="1"/>
      <c r="E72" s="1"/>
      <c r="F72" s="1"/>
      <c r="G72" s="1"/>
      <c r="H72" s="1"/>
      <c r="I72" s="1"/>
      <c r="J72" s="1"/>
      <c r="K72" s="1"/>
      <c r="L72" s="21"/>
    </row>
    <row r="73" spans="3:12" ht="20.100000000000001" customHeight="1" x14ac:dyDescent="0.25">
      <c r="C73" s="21"/>
      <c r="D73" s="1"/>
      <c r="E73" s="1"/>
      <c r="F73" s="1"/>
      <c r="G73" s="1"/>
      <c r="H73" s="1"/>
      <c r="I73" s="1"/>
      <c r="J73" s="1"/>
      <c r="K73" s="1"/>
      <c r="L73" s="21"/>
    </row>
    <row r="74" spans="3:12" ht="20.100000000000001" customHeight="1" x14ac:dyDescent="0.25">
      <c r="C74" s="21"/>
      <c r="D74" s="1"/>
      <c r="E74" s="1"/>
      <c r="F74" s="1"/>
      <c r="G74" s="1"/>
      <c r="H74" s="1"/>
      <c r="I74" s="1"/>
      <c r="J74" s="1"/>
      <c r="K74" s="1"/>
      <c r="L74" s="21"/>
    </row>
    <row r="75" spans="3:12" ht="20.100000000000001" customHeight="1" x14ac:dyDescent="0.25">
      <c r="C75" s="21"/>
      <c r="D75" s="1"/>
      <c r="E75" s="1"/>
      <c r="F75" s="1"/>
      <c r="G75" s="1"/>
      <c r="H75" s="1"/>
      <c r="I75" s="1"/>
      <c r="J75" s="1"/>
      <c r="K75" s="1"/>
      <c r="L75" s="21"/>
    </row>
    <row r="76" spans="3:12" ht="15.75" x14ac:dyDescent="0.25">
      <c r="C76" s="21"/>
      <c r="D76" s="1"/>
      <c r="E76" s="1"/>
      <c r="F76" s="1"/>
      <c r="G76" s="1"/>
      <c r="H76" s="1"/>
      <c r="I76" s="1"/>
      <c r="J76" s="1"/>
      <c r="K76" s="1"/>
      <c r="L76" s="21"/>
    </row>
    <row r="77" spans="3:12" ht="15.75" x14ac:dyDescent="0.25">
      <c r="C77" s="21"/>
      <c r="D77" s="1"/>
      <c r="E77" s="1"/>
      <c r="F77" s="1"/>
      <c r="G77" s="1"/>
      <c r="H77" s="1"/>
      <c r="I77" s="1"/>
      <c r="J77" s="1"/>
      <c r="K77" s="1"/>
      <c r="L77" s="21"/>
    </row>
    <row r="78" spans="3:12" ht="15.75" x14ac:dyDescent="0.25">
      <c r="C78" s="21"/>
      <c r="D78" s="1"/>
      <c r="E78" s="1"/>
      <c r="F78" s="1"/>
      <c r="G78" s="1"/>
      <c r="H78" s="1"/>
      <c r="I78" s="1"/>
      <c r="J78" s="1"/>
      <c r="K78" s="1"/>
      <c r="L78" s="21"/>
    </row>
    <row r="79" spans="3:12" ht="15.75" x14ac:dyDescent="0.25">
      <c r="C79" s="21"/>
      <c r="D79" s="1"/>
      <c r="E79" s="1"/>
      <c r="F79" s="1"/>
      <c r="G79" s="1"/>
      <c r="H79" s="1"/>
      <c r="I79" s="1"/>
      <c r="J79" s="1"/>
      <c r="K79" s="1"/>
      <c r="L79" s="21"/>
    </row>
    <row r="80" spans="3:12" ht="15.75" x14ac:dyDescent="0.25">
      <c r="C80" s="21"/>
      <c r="D80" s="1"/>
      <c r="E80" s="1"/>
      <c r="F80" s="1"/>
      <c r="G80" s="1"/>
      <c r="H80" s="1"/>
      <c r="I80" s="1"/>
      <c r="J80" s="1"/>
      <c r="K80" s="1"/>
      <c r="L80" s="21"/>
    </row>
    <row r="81" spans="3:12" ht="15.75" x14ac:dyDescent="0.25">
      <c r="C81" s="21"/>
      <c r="D81" s="1"/>
      <c r="E81" s="1"/>
      <c r="F81" s="1"/>
      <c r="G81" s="1"/>
      <c r="H81" s="1"/>
      <c r="I81" s="1"/>
      <c r="J81" s="1"/>
      <c r="K81" s="1"/>
      <c r="L81" s="21"/>
    </row>
    <row r="82" spans="3:12" ht="15.75" x14ac:dyDescent="0.25">
      <c r="C82" s="21"/>
      <c r="D82" s="1"/>
      <c r="E82" s="1"/>
      <c r="F82" s="1"/>
      <c r="G82" s="1"/>
      <c r="H82" s="1"/>
      <c r="I82" s="1"/>
      <c r="J82" s="1"/>
      <c r="K82" s="1"/>
      <c r="L82" s="21"/>
    </row>
    <row r="83" spans="3:12" ht="15.75" x14ac:dyDescent="0.25">
      <c r="C83" s="21"/>
      <c r="D83" s="1"/>
      <c r="E83" s="1"/>
      <c r="F83" s="1"/>
      <c r="G83" s="1"/>
      <c r="H83" s="1"/>
      <c r="I83" s="1"/>
      <c r="J83" s="1"/>
      <c r="K83" s="1"/>
      <c r="L83" s="21"/>
    </row>
    <row r="84" spans="3:12" ht="15.75" x14ac:dyDescent="0.25">
      <c r="C84" s="21"/>
      <c r="D84" s="1"/>
      <c r="E84" s="1"/>
      <c r="F84" s="1"/>
      <c r="G84" s="1"/>
      <c r="H84" s="1"/>
      <c r="I84" s="1"/>
      <c r="J84" s="1"/>
      <c r="K84" s="1"/>
      <c r="L84" s="21"/>
    </row>
    <row r="85" spans="3:12" ht="15.75" x14ac:dyDescent="0.25">
      <c r="C85" s="21"/>
      <c r="D85" s="1"/>
      <c r="E85" s="1"/>
      <c r="F85" s="1"/>
      <c r="G85" s="1"/>
      <c r="H85" s="1"/>
      <c r="I85" s="1"/>
      <c r="J85" s="1"/>
      <c r="K85" s="1"/>
      <c r="L85" s="21"/>
    </row>
    <row r="86" spans="3:12" x14ac:dyDescent="0.25">
      <c r="C86" s="21"/>
      <c r="D86" s="21"/>
      <c r="E86" s="21"/>
      <c r="F86" s="21"/>
      <c r="G86" s="21"/>
      <c r="H86" s="21"/>
      <c r="I86" s="21"/>
      <c r="J86" s="21"/>
      <c r="K86" s="21"/>
      <c r="L86" s="21"/>
    </row>
    <row r="87" spans="3:12" x14ac:dyDescent="0.25">
      <c r="C87" s="21"/>
      <c r="D87" s="21"/>
      <c r="E87" s="21"/>
      <c r="F87" s="21"/>
      <c r="G87" s="21"/>
      <c r="H87" s="21"/>
      <c r="I87" s="21"/>
      <c r="J87" s="21"/>
      <c r="K87" s="21"/>
      <c r="L87" s="21"/>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tabColor theme="5" tint="-0.249977111117893"/>
    <pageSetUpPr autoPageBreaks="0"/>
  </sheetPr>
  <dimension ref="A1:AA160"/>
  <sheetViews>
    <sheetView showGridLines="0" zoomScaleNormal="100" workbookViewId="0">
      <selection activeCell="E13" sqref="E13"/>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54" t="e" vm="1">
        <v>#VALUE!</v>
      </c>
      <c r="C1" s="12" t="s">
        <v>54</v>
      </c>
    </row>
    <row r="2" spans="1:24" s="7" customFormat="1" ht="20.100000000000001" customHeight="1" x14ac:dyDescent="0.25">
      <c r="A2"/>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56"/>
      <c r="D4" s="56"/>
      <c r="E4" s="56"/>
      <c r="F4" s="56"/>
      <c r="G4" s="56"/>
      <c r="H4" s="56"/>
      <c r="I4" s="56"/>
      <c r="J4" s="56"/>
      <c r="K4" s="56"/>
    </row>
    <row r="5" spans="1:24" ht="20.100000000000001" customHeight="1" x14ac:dyDescent="0.25">
      <c r="A5" s="17" t="str">
        <f>HYPERLINK("#'Results'!A1", "Results")</f>
        <v>Results</v>
      </c>
      <c r="D5" s="6" t="s">
        <v>6</v>
      </c>
      <c r="N5" s="37"/>
    </row>
    <row r="6" spans="1:24" ht="20.100000000000001" customHeight="1" x14ac:dyDescent="0.25">
      <c r="A6"/>
      <c r="D6" s="14"/>
      <c r="N6" s="38"/>
    </row>
    <row r="7" spans="1:24" ht="20.100000000000001" customHeight="1" x14ac:dyDescent="0.25">
      <c r="A7"/>
      <c r="D7" s="1" t="s">
        <v>4</v>
      </c>
      <c r="E7" s="30" t="s">
        <v>3</v>
      </c>
      <c r="F7" s="2"/>
    </row>
    <row r="8" spans="1:24" ht="20.100000000000001" customHeight="1" x14ac:dyDescent="0.25">
      <c r="A8" s="19" t="s">
        <v>0</v>
      </c>
      <c r="D8" s="10" t="s">
        <v>49</v>
      </c>
      <c r="E8" s="30" t="s">
        <v>50</v>
      </c>
    </row>
    <row r="9" spans="1:24" ht="20.100000000000001" customHeight="1" x14ac:dyDescent="0.25">
      <c r="A9" s="99" t="str">
        <f>HYPERLINK("#'Input - Site'!A1", "Site")</f>
        <v>Site</v>
      </c>
      <c r="N9" s="39"/>
    </row>
    <row r="10" spans="1:24" ht="20.100000000000001" customHeight="1" x14ac:dyDescent="0.25">
      <c r="A10" s="17" t="str">
        <f>HYPERLINK("#'Input - Other Livestock'!A1", "Other Livestock")</f>
        <v>Other Livestock</v>
      </c>
      <c r="D10" s="73" t="s">
        <v>53</v>
      </c>
      <c r="E10" s="71"/>
      <c r="F10" s="74"/>
      <c r="G10" s="68"/>
      <c r="N10" s="39"/>
    </row>
    <row r="11" spans="1:24" ht="20.100000000000001" customHeight="1" x14ac:dyDescent="0.25">
      <c r="A11"/>
      <c r="N11" s="40"/>
    </row>
    <row r="12" spans="1:24" ht="20.100000000000001" customHeight="1" x14ac:dyDescent="0.25">
      <c r="A12"/>
      <c r="D12" s="10" t="s">
        <v>57</v>
      </c>
      <c r="E12" s="53">
        <v>45292</v>
      </c>
      <c r="F12" s="2" t="s">
        <v>48</v>
      </c>
    </row>
    <row r="13" spans="1:24" ht="20.100000000000001" customHeight="1" x14ac:dyDescent="0.25">
      <c r="A13" s="18" t="s">
        <v>51</v>
      </c>
      <c r="D13" s="10" t="s">
        <v>58</v>
      </c>
      <c r="E13" s="57">
        <f>DATE(YEAR(X_Cell_Site_StartDate)+1,MONTH(X_Cell_Site_StartDate),DAY(X_Cell_Site_StartDate))-1</f>
        <v>45657</v>
      </c>
      <c r="F13" s="2" t="s">
        <v>7</v>
      </c>
      <c r="N13" s="35"/>
      <c r="O13" s="35"/>
    </row>
    <row r="14" spans="1:24" ht="20.100000000000001" customHeight="1" x14ac:dyDescent="0.25">
      <c r="A14" s="17" t="str">
        <f>HYPERLINK("#'3.6.1.1-2 Enteric Methane'!A1", "3.6.1.1-2 Enteric Methane")</f>
        <v>3.6.1.1-2 Enteric Methane</v>
      </c>
      <c r="N14" s="35"/>
      <c r="O14" s="35"/>
    </row>
    <row r="15" spans="1:24" ht="20.100000000000001" customHeight="1" x14ac:dyDescent="0.25">
      <c r="A15"/>
      <c r="D15" s="31"/>
      <c r="E15" s="31"/>
      <c r="F15" s="31"/>
      <c r="G15" s="31"/>
      <c r="H15" s="31"/>
      <c r="I15" s="31"/>
      <c r="J15" s="31"/>
      <c r="K15" s="31"/>
      <c r="N15" s="35"/>
      <c r="O15" s="35"/>
    </row>
    <row r="16" spans="1:24" ht="20.100000000000001" customHeight="1" x14ac:dyDescent="0.25">
      <c r="A16"/>
      <c r="D16" s="31"/>
      <c r="E16" s="31"/>
      <c r="F16" s="31"/>
      <c r="G16" s="31"/>
      <c r="H16" s="31"/>
      <c r="I16" s="31"/>
      <c r="J16" s="31"/>
      <c r="K16" s="31"/>
      <c r="N16" s="35"/>
      <c r="O16" s="35"/>
    </row>
    <row r="17" spans="1:25" ht="20.100000000000001" customHeight="1" x14ac:dyDescent="0.25">
      <c r="A17" s="104" t="s">
        <v>1</v>
      </c>
      <c r="D17" s="31"/>
      <c r="E17" s="31"/>
      <c r="F17" s="31"/>
      <c r="G17" s="31"/>
      <c r="H17" s="31"/>
      <c r="I17" s="31"/>
      <c r="J17" s="31"/>
      <c r="K17" s="31"/>
    </row>
    <row r="18" spans="1:25" ht="20.100000000000001" customHeight="1" x14ac:dyDescent="0.25">
      <c r="A18" s="17" t="str">
        <f>HYPERLINK("#'Constants - Other Livestock'!A1", "Constants - Other Livestock")</f>
        <v>Constants - Other Livestock</v>
      </c>
      <c r="D18" s="31"/>
      <c r="E18" s="31"/>
      <c r="F18" s="31"/>
      <c r="G18" s="31"/>
      <c r="H18" s="31"/>
      <c r="I18" s="31"/>
      <c r="J18" s="31"/>
      <c r="K18" s="31"/>
    </row>
    <row r="19" spans="1:25" ht="20.100000000000001" customHeight="1" x14ac:dyDescent="0.25">
      <c r="A19" s="17" t="str">
        <f>HYPERLINK("#'Constants - Common'!A1", "Constants - Common")</f>
        <v>Constants - Common</v>
      </c>
      <c r="D19" s="31"/>
      <c r="E19" s="31"/>
      <c r="F19" s="31"/>
      <c r="G19" s="31"/>
      <c r="H19" s="31"/>
      <c r="I19" s="31"/>
      <c r="J19" s="31"/>
      <c r="K19" s="31"/>
      <c r="N19" s="37"/>
    </row>
    <row r="20" spans="1:25" ht="20.100000000000001" customHeight="1" x14ac:dyDescent="0.25">
      <c r="A20" s="17" t="str">
        <f>HYPERLINK("#'Acknowledgements'!A1", "Acknowledgements")</f>
        <v>Acknowledgements</v>
      </c>
      <c r="D20" s="31"/>
      <c r="E20" s="31"/>
      <c r="F20" s="31"/>
      <c r="G20" s="31"/>
      <c r="H20" s="31"/>
      <c r="I20" s="31"/>
      <c r="J20" s="31"/>
      <c r="K20" s="31"/>
      <c r="N20" s="38"/>
    </row>
    <row r="21" spans="1:25" ht="20.100000000000001" customHeight="1" x14ac:dyDescent="0.25">
      <c r="A21" s="17" t="str">
        <f>HYPERLINK("#'Tab template'!A1", "Tab template")</f>
        <v>Tab template</v>
      </c>
      <c r="D21" s="31"/>
      <c r="E21" s="31"/>
      <c r="F21" s="31"/>
      <c r="G21" s="31"/>
      <c r="H21" s="31"/>
      <c r="I21" s="31"/>
      <c r="J21" s="31"/>
      <c r="K21" s="31"/>
    </row>
    <row r="22" spans="1:25" ht="20.100000000000001" customHeight="1" x14ac:dyDescent="0.25">
      <c r="A22"/>
      <c r="D22" s="31"/>
      <c r="E22" s="31"/>
      <c r="F22" s="31"/>
      <c r="G22" s="31"/>
      <c r="H22" s="31"/>
      <c r="I22" s="31"/>
      <c r="J22" s="31"/>
      <c r="K22" s="31"/>
    </row>
    <row r="23" spans="1:25" ht="20.100000000000001" customHeight="1" x14ac:dyDescent="0.25">
      <c r="A23"/>
      <c r="D23" s="31"/>
      <c r="E23" s="31"/>
      <c r="F23" s="31"/>
      <c r="G23" s="31"/>
      <c r="H23" s="31"/>
      <c r="I23" s="31"/>
      <c r="J23" s="31"/>
      <c r="K23" s="31"/>
    </row>
    <row r="24" spans="1:25" ht="20.100000000000001" customHeight="1" x14ac:dyDescent="0.25">
      <c r="A24"/>
      <c r="D24" s="31"/>
      <c r="E24" s="31"/>
      <c r="F24" s="31"/>
      <c r="G24" s="31"/>
      <c r="H24" s="31"/>
      <c r="I24" s="31"/>
      <c r="J24" s="31"/>
      <c r="K24" s="31"/>
    </row>
    <row r="25" spans="1:25" ht="20.100000000000001" customHeight="1" x14ac:dyDescent="0.25">
      <c r="A25"/>
      <c r="D25" s="31"/>
      <c r="E25" s="31"/>
      <c r="F25" s="31"/>
      <c r="G25" s="31"/>
      <c r="H25" s="31"/>
      <c r="I25" s="31"/>
      <c r="J25" s="31"/>
      <c r="K25" s="31"/>
      <c r="N25" s="38"/>
    </row>
    <row r="26" spans="1:25" ht="20.100000000000001" customHeight="1" x14ac:dyDescent="0.25">
      <c r="A26"/>
      <c r="D26" s="31"/>
      <c r="E26" s="31"/>
      <c r="F26" s="31"/>
      <c r="G26" s="31"/>
      <c r="H26" s="31"/>
      <c r="I26" s="31"/>
      <c r="J26" s="31"/>
      <c r="K26" s="31"/>
    </row>
    <row r="27" spans="1:25" ht="20.100000000000001" customHeight="1" x14ac:dyDescent="0.25">
      <c r="A27"/>
      <c r="D27" s="31"/>
      <c r="E27" s="31"/>
      <c r="F27" s="31"/>
      <c r="G27" s="31"/>
      <c r="H27" s="31"/>
      <c r="I27" s="31"/>
      <c r="J27" s="31"/>
      <c r="K27" s="31"/>
    </row>
    <row r="28" spans="1:25" ht="20.100000000000001" customHeight="1" x14ac:dyDescent="0.25">
      <c r="A28"/>
      <c r="D28" s="31"/>
      <c r="E28" s="31"/>
      <c r="F28" s="31"/>
      <c r="G28" s="31"/>
      <c r="H28" s="31"/>
      <c r="I28" s="31"/>
      <c r="J28" s="31"/>
      <c r="K28" s="31"/>
    </row>
    <row r="29" spans="1:25" ht="20.100000000000001" customHeight="1" x14ac:dyDescent="0.25">
      <c r="A29"/>
      <c r="D29" s="31"/>
      <c r="E29" s="31"/>
      <c r="F29" s="31"/>
      <c r="G29" s="31"/>
      <c r="H29" s="31"/>
      <c r="I29" s="31"/>
      <c r="J29" s="31"/>
      <c r="K29" s="31"/>
    </row>
    <row r="30" spans="1:25" ht="20.100000000000001" customHeight="1" x14ac:dyDescent="0.25">
      <c r="A30"/>
      <c r="D30" s="31"/>
      <c r="E30" s="31"/>
      <c r="F30" s="31"/>
      <c r="G30" s="31"/>
      <c r="H30" s="31"/>
      <c r="I30" s="31"/>
      <c r="J30" s="31"/>
      <c r="K30" s="31"/>
      <c r="L30" s="43"/>
      <c r="M30" s="43"/>
      <c r="N30" s="43"/>
      <c r="O30" s="43"/>
      <c r="P30" s="43"/>
      <c r="Q30" s="43"/>
      <c r="R30" s="43"/>
      <c r="S30" s="43"/>
      <c r="T30" s="43"/>
      <c r="U30" s="43"/>
      <c r="V30" s="43"/>
      <c r="W30" s="43"/>
      <c r="X30" s="43"/>
      <c r="Y30" s="43"/>
    </row>
    <row r="31" spans="1:25" ht="20.100000000000001" customHeight="1" x14ac:dyDescent="0.25">
      <c r="A31"/>
      <c r="D31" s="31"/>
      <c r="E31" s="31"/>
      <c r="F31" s="31"/>
      <c r="G31" s="31"/>
      <c r="H31" s="31"/>
      <c r="I31" s="31"/>
      <c r="J31" s="31"/>
      <c r="K31" s="31"/>
      <c r="L31" s="42"/>
      <c r="M31" s="42"/>
      <c r="N31" s="42"/>
      <c r="O31" s="42"/>
      <c r="P31" s="42"/>
      <c r="Q31" s="42"/>
      <c r="R31" s="42"/>
      <c r="S31" s="42"/>
      <c r="T31" s="42"/>
      <c r="U31" s="42"/>
      <c r="V31" s="42"/>
      <c r="W31" s="42"/>
      <c r="X31" s="42"/>
      <c r="Y31" s="42"/>
    </row>
    <row r="32" spans="1:25" ht="20.100000000000001" customHeight="1" x14ac:dyDescent="0.25">
      <c r="A32"/>
      <c r="D32" s="31"/>
      <c r="E32" s="31"/>
      <c r="F32" s="31"/>
      <c r="G32" s="31"/>
      <c r="H32" s="31"/>
      <c r="I32" s="31"/>
      <c r="J32" s="31"/>
      <c r="K32" s="31"/>
      <c r="L32" s="42"/>
      <c r="M32" s="42"/>
      <c r="N32" s="42"/>
      <c r="O32" s="42"/>
      <c r="P32" s="42"/>
      <c r="Q32" s="42"/>
      <c r="R32" s="42"/>
      <c r="S32" s="42"/>
      <c r="T32" s="42"/>
      <c r="U32" s="42"/>
      <c r="V32" s="42"/>
      <c r="W32" s="42"/>
      <c r="X32" s="42"/>
      <c r="Y32" s="42"/>
    </row>
    <row r="33" spans="1:25" ht="20.100000000000001" customHeight="1" x14ac:dyDescent="0.25">
      <c r="A33"/>
      <c r="D33" s="31"/>
      <c r="E33" s="31"/>
      <c r="F33" s="31"/>
      <c r="G33" s="31"/>
      <c r="H33" s="31"/>
      <c r="I33" s="31"/>
      <c r="J33" s="31"/>
      <c r="K33" s="31"/>
      <c r="L33" s="42"/>
      <c r="M33" s="42"/>
      <c r="N33" s="42"/>
      <c r="O33" s="42"/>
      <c r="P33" s="42"/>
      <c r="Q33" s="42"/>
      <c r="R33" s="42"/>
      <c r="S33" s="42"/>
      <c r="T33" s="42"/>
      <c r="U33" s="42"/>
      <c r="V33" s="42"/>
      <c r="W33" s="42"/>
      <c r="X33" s="42"/>
      <c r="Y33" s="42"/>
    </row>
    <row r="34" spans="1:25" ht="20.100000000000001" customHeight="1" x14ac:dyDescent="0.25">
      <c r="A34"/>
      <c r="D34" s="31"/>
      <c r="E34" s="31"/>
      <c r="F34" s="31"/>
      <c r="G34" s="31"/>
      <c r="H34" s="31"/>
      <c r="I34" s="31"/>
      <c r="J34" s="31"/>
      <c r="K34" s="31"/>
      <c r="L34" s="42"/>
      <c r="M34" s="42"/>
      <c r="N34" s="42"/>
      <c r="O34" s="42"/>
      <c r="P34" s="42"/>
      <c r="Q34" s="42"/>
      <c r="R34" s="42"/>
      <c r="S34" s="42"/>
      <c r="T34" s="42"/>
      <c r="U34" s="42"/>
      <c r="V34" s="42"/>
      <c r="W34" s="42"/>
      <c r="X34" s="42"/>
      <c r="Y34" s="42"/>
    </row>
    <row r="35" spans="1:25" ht="20.100000000000001" customHeight="1" x14ac:dyDescent="0.25">
      <c r="A35"/>
      <c r="D35" s="31"/>
      <c r="E35" s="31"/>
      <c r="F35" s="31"/>
      <c r="G35" s="31"/>
      <c r="H35" s="31"/>
      <c r="I35" s="31"/>
      <c r="J35" s="31"/>
      <c r="K35" s="31"/>
      <c r="L35" s="42"/>
      <c r="M35" s="42"/>
      <c r="N35" s="42"/>
      <c r="O35" s="42"/>
      <c r="P35" s="42"/>
      <c r="Q35" s="42"/>
      <c r="R35" s="42"/>
      <c r="S35" s="42"/>
      <c r="T35" s="42"/>
      <c r="U35" s="42"/>
      <c r="V35" s="42"/>
      <c r="W35" s="42"/>
      <c r="X35" s="42"/>
      <c r="Y35" s="42"/>
    </row>
    <row r="36" spans="1:25" ht="20.100000000000001" customHeight="1" x14ac:dyDescent="0.25">
      <c r="A36"/>
      <c r="D36" s="31"/>
      <c r="E36" s="31"/>
      <c r="F36" s="31"/>
      <c r="G36" s="31"/>
      <c r="H36" s="31"/>
      <c r="I36" s="31"/>
      <c r="J36" s="31"/>
      <c r="K36" s="31"/>
      <c r="L36" s="42"/>
      <c r="M36" s="42"/>
      <c r="N36" s="42"/>
      <c r="O36" s="42"/>
      <c r="P36" s="42"/>
      <c r="Q36" s="42"/>
      <c r="R36" s="42"/>
      <c r="S36" s="42"/>
      <c r="T36" s="42"/>
      <c r="U36" s="42"/>
      <c r="V36" s="42"/>
      <c r="W36" s="42"/>
      <c r="X36" s="42"/>
      <c r="Y36" s="42"/>
    </row>
    <row r="37" spans="1:25" ht="20.100000000000001" customHeight="1" x14ac:dyDescent="0.25">
      <c r="A37"/>
      <c r="D37" s="31"/>
      <c r="E37" s="31"/>
      <c r="F37" s="31"/>
      <c r="G37" s="31"/>
      <c r="H37" s="31"/>
      <c r="I37" s="31"/>
      <c r="J37" s="31"/>
      <c r="K37" s="31"/>
      <c r="L37" s="42"/>
      <c r="M37" s="42"/>
      <c r="N37" s="42"/>
      <c r="O37" s="42"/>
      <c r="P37" s="42"/>
      <c r="Q37" s="42"/>
      <c r="R37" s="42"/>
      <c r="S37" s="42"/>
      <c r="T37" s="42"/>
      <c r="U37" s="42"/>
      <c r="V37" s="42"/>
      <c r="W37" s="42"/>
      <c r="X37" s="42"/>
      <c r="Y37" s="42"/>
    </row>
    <row r="38" spans="1:25" ht="20.100000000000001" customHeight="1" x14ac:dyDescent="0.25">
      <c r="A38"/>
      <c r="D38" s="31"/>
      <c r="E38" s="31"/>
      <c r="F38" s="31"/>
      <c r="G38" s="31"/>
      <c r="H38" s="31"/>
      <c r="I38" s="31"/>
      <c r="J38" s="31"/>
      <c r="K38" s="31"/>
      <c r="L38" s="42"/>
      <c r="M38" s="42"/>
      <c r="N38" s="42"/>
      <c r="O38" s="42"/>
      <c r="P38" s="42"/>
      <c r="Q38" s="42"/>
      <c r="R38" s="42"/>
      <c r="S38" s="42"/>
      <c r="T38" s="42"/>
      <c r="U38" s="42"/>
      <c r="V38" s="42"/>
      <c r="W38" s="42"/>
      <c r="X38" s="42"/>
      <c r="Y38" s="42"/>
    </row>
    <row r="39" spans="1:25" ht="20.100000000000001" customHeight="1" x14ac:dyDescent="0.25">
      <c r="A39"/>
      <c r="D39" s="31"/>
      <c r="E39" s="31"/>
      <c r="F39" s="31"/>
      <c r="G39" s="31"/>
      <c r="H39" s="31"/>
      <c r="I39" s="31"/>
      <c r="J39" s="31"/>
      <c r="K39" s="31"/>
      <c r="L39" s="42"/>
      <c r="M39" s="42"/>
      <c r="N39" s="42"/>
      <c r="O39" s="42"/>
      <c r="P39" s="42"/>
      <c r="Q39" s="42"/>
      <c r="R39" s="42"/>
      <c r="S39" s="42"/>
      <c r="T39" s="42"/>
      <c r="U39" s="42"/>
      <c r="V39" s="42"/>
      <c r="W39" s="42"/>
      <c r="X39" s="42"/>
      <c r="Y39" s="42"/>
    </row>
    <row r="40" spans="1:25" ht="20.100000000000001" customHeight="1" x14ac:dyDescent="0.25">
      <c r="A40"/>
      <c r="D40" s="31"/>
      <c r="E40" s="31"/>
      <c r="F40" s="31"/>
      <c r="G40" s="31"/>
      <c r="H40" s="31"/>
      <c r="I40" s="31"/>
      <c r="J40" s="31"/>
      <c r="K40" s="31"/>
      <c r="L40" s="44"/>
      <c r="M40" s="44"/>
      <c r="N40" s="44"/>
      <c r="O40" s="44"/>
      <c r="P40" s="44"/>
      <c r="Q40" s="44"/>
      <c r="R40" s="44"/>
      <c r="S40" s="44"/>
      <c r="T40" s="44"/>
      <c r="U40" s="44"/>
      <c r="V40" s="44"/>
      <c r="W40" s="44"/>
      <c r="X40" s="44"/>
      <c r="Y40" s="44"/>
    </row>
    <row r="41" spans="1:25" ht="20.100000000000001" customHeight="1" x14ac:dyDescent="0.25">
      <c r="A41"/>
      <c r="D41" s="31"/>
      <c r="E41" s="31"/>
      <c r="F41" s="31"/>
      <c r="G41" s="31"/>
      <c r="H41" s="31"/>
      <c r="I41" s="31"/>
      <c r="J41" s="31"/>
      <c r="K41" s="31"/>
    </row>
    <row r="42" spans="1:25" ht="20.100000000000001" customHeight="1" x14ac:dyDescent="0.25">
      <c r="A42"/>
      <c r="D42" s="31"/>
      <c r="E42" s="31"/>
      <c r="F42" s="31"/>
      <c r="G42" s="31"/>
      <c r="H42" s="31"/>
      <c r="I42" s="31"/>
      <c r="J42" s="31"/>
      <c r="K42" s="31"/>
    </row>
    <row r="43" spans="1:25" ht="20.100000000000001" customHeight="1" x14ac:dyDescent="0.25">
      <c r="A43"/>
      <c r="D43" s="31"/>
      <c r="E43" s="31"/>
      <c r="F43" s="31"/>
      <c r="G43" s="31"/>
      <c r="H43" s="31"/>
      <c r="I43" s="31"/>
      <c r="J43" s="31"/>
      <c r="K43" s="31"/>
    </row>
    <row r="44" spans="1:25" ht="20.100000000000001" customHeight="1" x14ac:dyDescent="0.25">
      <c r="A44"/>
      <c r="D44" s="31"/>
      <c r="E44" s="31"/>
      <c r="F44" s="31"/>
      <c r="G44" s="31"/>
      <c r="H44" s="31"/>
      <c r="I44" s="31"/>
      <c r="J44" s="31"/>
      <c r="K44" s="31"/>
    </row>
    <row r="45" spans="1:25" ht="20.100000000000001" customHeight="1" x14ac:dyDescent="0.25">
      <c r="A45"/>
      <c r="D45" s="31"/>
      <c r="E45" s="31"/>
      <c r="F45" s="31"/>
      <c r="G45" s="31"/>
      <c r="H45" s="31"/>
      <c r="I45" s="31"/>
      <c r="J45" s="31"/>
      <c r="K45" s="31"/>
    </row>
    <row r="46" spans="1:25" ht="20.100000000000001" customHeight="1" x14ac:dyDescent="0.25">
      <c r="A46"/>
      <c r="D46" s="31"/>
      <c r="E46" s="31"/>
      <c r="F46" s="31"/>
      <c r="G46" s="31"/>
      <c r="H46" s="31"/>
      <c r="I46" s="31"/>
      <c r="J46" s="31"/>
      <c r="K46" s="31"/>
    </row>
    <row r="47" spans="1:25" ht="20.100000000000001" customHeight="1" x14ac:dyDescent="0.25">
      <c r="A47"/>
      <c r="D47" s="31"/>
      <c r="E47" s="31"/>
      <c r="F47" s="31"/>
      <c r="G47" s="31"/>
      <c r="H47" s="31"/>
      <c r="I47" s="31"/>
      <c r="J47" s="31"/>
      <c r="K47" s="31"/>
    </row>
    <row r="48" spans="1:25" ht="20.100000000000001" customHeight="1" x14ac:dyDescent="0.25">
      <c r="A48"/>
      <c r="D48" s="31"/>
      <c r="E48" s="31"/>
      <c r="F48" s="31"/>
      <c r="G48" s="31"/>
      <c r="H48" s="31"/>
      <c r="I48" s="31"/>
      <c r="J48" s="31"/>
      <c r="K48" s="31"/>
    </row>
    <row r="49" spans="1:8" ht="20.100000000000001" customHeight="1" x14ac:dyDescent="0.25">
      <c r="A49"/>
      <c r="D49" s="31"/>
      <c r="E49" s="31"/>
      <c r="F49" s="32"/>
      <c r="G49" s="32"/>
      <c r="H49" s="31"/>
    </row>
    <row r="50" spans="1:8" ht="20.100000000000001" customHeight="1" x14ac:dyDescent="0.25">
      <c r="A50"/>
      <c r="D50" s="31"/>
      <c r="E50" s="31"/>
      <c r="F50" s="32"/>
      <c r="G50" s="32"/>
      <c r="H50" s="31"/>
    </row>
    <row r="51" spans="1:8" ht="20.100000000000001" customHeight="1" x14ac:dyDescent="0.25">
      <c r="A51"/>
      <c r="D51" s="58"/>
      <c r="E51" s="59"/>
      <c r="F51" s="59"/>
      <c r="G51" s="59"/>
      <c r="H51" s="60"/>
    </row>
    <row r="52" spans="1:8" ht="20.100000000000001" customHeight="1" x14ac:dyDescent="0.25">
      <c r="A52"/>
    </row>
    <row r="53" spans="1:8" ht="20.100000000000001" customHeight="1" x14ac:dyDescent="0.25">
      <c r="A53"/>
    </row>
    <row r="54" spans="1:8" ht="20.100000000000001" customHeight="1" x14ac:dyDescent="0.25">
      <c r="A54"/>
      <c r="G54" s="61"/>
    </row>
    <row r="55" spans="1:8" ht="20.100000000000001" customHeight="1" x14ac:dyDescent="0.25">
      <c r="A55"/>
      <c r="D55" s="6"/>
    </row>
    <row r="56" spans="1:8" ht="20.100000000000001" customHeight="1" x14ac:dyDescent="0.25">
      <c r="A56"/>
    </row>
    <row r="57" spans="1:8" ht="20.100000000000001" customHeight="1" x14ac:dyDescent="0.25">
      <c r="A57"/>
      <c r="D57" s="20"/>
      <c r="F57" s="62"/>
    </row>
    <row r="58" spans="1:8" ht="20.100000000000001" customHeight="1" x14ac:dyDescent="0.25">
      <c r="A58"/>
      <c r="D58" s="1"/>
      <c r="E58" s="63"/>
    </row>
    <row r="59" spans="1:8" ht="20.100000000000001" customHeight="1" x14ac:dyDescent="0.25">
      <c r="A59"/>
      <c r="D59" s="1"/>
      <c r="E59" s="63"/>
    </row>
    <row r="60" spans="1:8" ht="20.100000000000001" customHeight="1" x14ac:dyDescent="0.25">
      <c r="A60"/>
      <c r="D60" s="1"/>
      <c r="E60" s="64"/>
    </row>
    <row r="61" spans="1:8" ht="20.100000000000001" customHeight="1" x14ac:dyDescent="0.25">
      <c r="A61"/>
      <c r="D61" s="1"/>
    </row>
    <row r="62" spans="1:8" ht="20.100000000000001" customHeight="1" x14ac:dyDescent="0.25">
      <c r="A62"/>
    </row>
    <row r="63" spans="1:8" ht="20.100000000000001" customHeight="1" x14ac:dyDescent="0.25">
      <c r="A63"/>
      <c r="D63" s="20"/>
    </row>
    <row r="64" spans="1:8" ht="20.100000000000001" customHeight="1" x14ac:dyDescent="0.25">
      <c r="A64"/>
      <c r="D64" s="1"/>
      <c r="E64" s="63"/>
    </row>
    <row r="65" spans="1:9" ht="20.100000000000001" customHeight="1" x14ac:dyDescent="0.25">
      <c r="A65"/>
      <c r="D65" s="1"/>
      <c r="E65" s="63"/>
    </row>
    <row r="66" spans="1:9" ht="20.100000000000001" customHeight="1" x14ac:dyDescent="0.25">
      <c r="A66"/>
      <c r="D66" s="1"/>
      <c r="E66" s="64"/>
    </row>
    <row r="67" spans="1:9" ht="20.100000000000001" customHeight="1" x14ac:dyDescent="0.25">
      <c r="A67"/>
    </row>
    <row r="68" spans="1:9" ht="20.100000000000001" customHeight="1" x14ac:dyDescent="0.25">
      <c r="A68"/>
    </row>
    <row r="69" spans="1:9" ht="20.100000000000001" customHeight="1" x14ac:dyDescent="0.25">
      <c r="A69"/>
      <c r="D69" s="51"/>
      <c r="E69" s="51"/>
      <c r="F69" s="51"/>
      <c r="G69" s="51"/>
      <c r="H69" s="51"/>
      <c r="I69" s="51"/>
    </row>
    <row r="70" spans="1:9" ht="20.100000000000001" customHeight="1" x14ac:dyDescent="0.25">
      <c r="A70"/>
      <c r="D70" s="51"/>
      <c r="E70" s="51"/>
      <c r="F70" s="51"/>
      <c r="G70" s="51"/>
      <c r="H70" s="51"/>
      <c r="I70" s="51"/>
    </row>
    <row r="71" spans="1:9" ht="20.100000000000001" customHeight="1" x14ac:dyDescent="0.25">
      <c r="A71"/>
      <c r="D71" s="51"/>
      <c r="E71" s="51"/>
      <c r="F71" s="51"/>
      <c r="G71" s="51"/>
      <c r="H71" s="51"/>
      <c r="I71" s="51"/>
    </row>
    <row r="72" spans="1:9" ht="20.100000000000001" customHeight="1" x14ac:dyDescent="0.25">
      <c r="A72"/>
      <c r="D72" s="51"/>
      <c r="E72" s="51"/>
      <c r="F72" s="51"/>
      <c r="G72" s="51"/>
      <c r="H72" s="51"/>
      <c r="I72" s="51"/>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65"/>
    </row>
    <row r="79" spans="1:9" ht="20.100000000000001" customHeight="1" x14ac:dyDescent="0.25">
      <c r="A79"/>
      <c r="D79" s="65"/>
    </row>
    <row r="80" spans="1:9" ht="20.100000000000001" customHeight="1" x14ac:dyDescent="0.25">
      <c r="A80"/>
      <c r="D80" s="65"/>
    </row>
    <row r="81" spans="1:4" ht="20.100000000000001" customHeight="1" x14ac:dyDescent="0.25">
      <c r="A81"/>
      <c r="D81" s="65"/>
    </row>
    <row r="82" spans="1:4" ht="20.100000000000001" customHeight="1" x14ac:dyDescent="0.25">
      <c r="A82"/>
      <c r="D82" s="65"/>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phoneticPr fontId="2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sheetPr>
    <tabColor theme="5" tint="-0.249977111117893"/>
  </sheetPr>
  <dimension ref="A1:U165"/>
  <sheetViews>
    <sheetView showGridLines="0" zoomScaleNormal="100" workbookViewId="0">
      <selection activeCell="A21" sqref="A21"/>
    </sheetView>
  </sheetViews>
  <sheetFormatPr defaultRowHeight="15.75" x14ac:dyDescent="0.25"/>
  <cols>
    <col min="1" max="1" width="30.7109375" customWidth="1"/>
    <col min="2" max="2" width="4.7109375" customWidth="1"/>
    <col min="3" max="3" width="4.7109375" style="1" customWidth="1"/>
    <col min="4" max="4" width="62.5703125" style="1" customWidth="1"/>
    <col min="5" max="11" width="30.7109375" style="1" customWidth="1"/>
    <col min="12" max="12" width="4.7109375" style="1" customWidth="1"/>
    <col min="13" max="13" width="4.7109375" customWidth="1"/>
    <col min="14" max="14" width="4.7109375" style="50" customWidth="1"/>
    <col min="15" max="20" width="30.7109375" style="50" customWidth="1"/>
    <col min="21" max="21" width="4.7109375" style="50" customWidth="1"/>
  </cols>
  <sheetData>
    <row r="1" spans="1:21" s="54" customFormat="1" ht="30" customHeight="1" x14ac:dyDescent="0.35">
      <c r="A1" s="54" t="e" vm="1">
        <v>#VALUE!</v>
      </c>
      <c r="C1" s="54" t="s">
        <v>106</v>
      </c>
      <c r="N1" s="50"/>
      <c r="O1" s="50"/>
      <c r="P1" s="50"/>
      <c r="Q1" s="50"/>
      <c r="R1" s="50"/>
      <c r="S1" s="50"/>
      <c r="T1" s="50"/>
      <c r="U1" s="50"/>
    </row>
    <row r="2" spans="1:21" s="9" customFormat="1" ht="20.100000000000001" customHeight="1" x14ac:dyDescent="0.25">
      <c r="A2"/>
      <c r="N2" s="50"/>
      <c r="O2" s="50"/>
      <c r="P2" s="50"/>
      <c r="Q2" s="50"/>
      <c r="R2" s="50"/>
      <c r="S2" s="50"/>
      <c r="T2" s="50"/>
      <c r="U2" s="50"/>
    </row>
    <row r="3" spans="1:21" ht="20.100000000000001" customHeight="1" x14ac:dyDescent="0.25">
      <c r="A3" s="17" t="str">
        <f>HYPERLINK("#'Home'!A1", "Home")</f>
        <v>Home</v>
      </c>
      <c r="C3" s="15"/>
      <c r="D3" s="15"/>
      <c r="E3" s="15"/>
      <c r="F3" s="15"/>
      <c r="G3" s="15"/>
      <c r="H3" s="15"/>
      <c r="I3" s="15"/>
      <c r="J3" s="15"/>
      <c r="K3" s="15"/>
      <c r="L3" s="15"/>
    </row>
    <row r="4" spans="1:21" ht="20.100000000000001" customHeight="1" x14ac:dyDescent="0.25">
      <c r="A4" s="17" t="str">
        <f>HYPERLINK("#'Overview'!A1", "Overview")</f>
        <v>Overview</v>
      </c>
    </row>
    <row r="5" spans="1:21" ht="20.100000000000001" customHeight="1" x14ac:dyDescent="0.25">
      <c r="A5" s="17" t="str">
        <f>HYPERLINK("#'Results'!A1", "Results")</f>
        <v>Results</v>
      </c>
      <c r="D5" s="6" t="s">
        <v>107</v>
      </c>
    </row>
    <row r="6" spans="1:21" ht="20.100000000000001" customHeight="1" x14ac:dyDescent="0.25"/>
    <row r="7" spans="1:21" ht="20.100000000000001" customHeight="1" x14ac:dyDescent="0.25">
      <c r="D7" s="52"/>
      <c r="E7" s="36" t="s">
        <v>108</v>
      </c>
      <c r="F7" s="36" t="s">
        <v>109</v>
      </c>
      <c r="G7" s="36" t="s">
        <v>110</v>
      </c>
      <c r="H7" s="36" t="s">
        <v>111</v>
      </c>
    </row>
    <row r="8" spans="1:21" ht="20.100000000000001" customHeight="1" x14ac:dyDescent="0.25">
      <c r="A8" s="19" t="s">
        <v>0</v>
      </c>
      <c r="D8" s="1" t="str">
        <f>"Average number of head between " &amp; TEXT(X_Cell_Site_StartDate, "dd mmm yy") &amp; " and " &amp; TEXT(X_Cell_Site_EndDate, "dd mmm yy")</f>
        <v>Average number of head between 01 Jan 24 and 31 Dec 24</v>
      </c>
      <c r="E8" s="75">
        <v>4300</v>
      </c>
      <c r="F8" s="75">
        <v>100</v>
      </c>
      <c r="G8" s="75">
        <v>100</v>
      </c>
      <c r="H8" s="75">
        <v>100</v>
      </c>
      <c r="I8" s="2" t="s">
        <v>59</v>
      </c>
      <c r="J8" s="2"/>
      <c r="K8" s="2"/>
    </row>
    <row r="9" spans="1:21" ht="20.100000000000001" customHeight="1" x14ac:dyDescent="0.25">
      <c r="A9" s="17" t="str">
        <f>HYPERLINK("#'Input - Site'!A1", "Site")</f>
        <v>Site</v>
      </c>
      <c r="J9" s="2"/>
      <c r="K9" s="2"/>
    </row>
    <row r="10" spans="1:21" ht="20.100000000000001" customHeight="1" x14ac:dyDescent="0.25">
      <c r="A10" s="99" t="str">
        <f>HYPERLINK("#'Input - Other Livestock'!A1", "Other Livestock")</f>
        <v>Other Livestock</v>
      </c>
    </row>
    <row r="11" spans="1:21" ht="20.100000000000001" customHeight="1" x14ac:dyDescent="0.25">
      <c r="D11" s="6" t="s">
        <v>112</v>
      </c>
    </row>
    <row r="12" spans="1:21" ht="20.100000000000001" customHeight="1" x14ac:dyDescent="0.25"/>
    <row r="13" spans="1:21" ht="20.100000000000001" customHeight="1" x14ac:dyDescent="0.25">
      <c r="A13" s="18" t="s">
        <v>51</v>
      </c>
      <c r="D13" s="52"/>
      <c r="E13" s="36" t="s">
        <v>113</v>
      </c>
      <c r="F13" s="36" t="s">
        <v>114</v>
      </c>
      <c r="G13" s="36" t="s">
        <v>115</v>
      </c>
      <c r="H13" s="36" t="s">
        <v>116</v>
      </c>
      <c r="I13" s="36" t="s">
        <v>117</v>
      </c>
      <c r="J13" s="36" t="s">
        <v>118</v>
      </c>
    </row>
    <row r="14" spans="1:21" ht="20.100000000000001" customHeight="1" x14ac:dyDescent="0.25">
      <c r="A14" s="17" t="str">
        <f>HYPERLINK("#'3.6.1.1-2 Enteric Methane'!A1", "3.6.1.1-2 Enteric Methane")</f>
        <v>3.6.1.1-2 Enteric Methane</v>
      </c>
      <c r="D14" s="1" t="str">
        <f>"Average number of head between " &amp; TEXT(X_Cell_Site_StartDate, "dd mmm yy") &amp; " and " &amp; TEXT(X_Cell_Site_EndDate, "dd mmm yy")</f>
        <v>Average number of head between 01 Jan 24 and 31 Dec 24</v>
      </c>
      <c r="E14" s="75">
        <v>4300</v>
      </c>
      <c r="F14" s="75">
        <v>100</v>
      </c>
      <c r="G14" s="75">
        <v>100</v>
      </c>
      <c r="H14" s="75">
        <v>100</v>
      </c>
      <c r="I14" s="75">
        <v>100</v>
      </c>
      <c r="J14" s="75">
        <v>100</v>
      </c>
      <c r="K14" s="2" t="s">
        <v>59</v>
      </c>
    </row>
    <row r="15" spans="1:21" ht="20.100000000000001" customHeight="1" x14ac:dyDescent="0.25">
      <c r="J15" s="2"/>
      <c r="K15" s="2"/>
    </row>
    <row r="16" spans="1:21" ht="20.100000000000001" customHeight="1" x14ac:dyDescent="0.25">
      <c r="J16" s="2"/>
      <c r="K16" s="2"/>
    </row>
    <row r="17" spans="1:11" ht="20.100000000000001" customHeight="1" x14ac:dyDescent="0.25">
      <c r="A17" s="104" t="s">
        <v>1</v>
      </c>
      <c r="D17" s="6" t="s">
        <v>119</v>
      </c>
      <c r="J17" s="2"/>
      <c r="K17" s="2"/>
    </row>
    <row r="18" spans="1:11" ht="20.100000000000001" customHeight="1" x14ac:dyDescent="0.25">
      <c r="A18" s="17" t="str">
        <f>HYPERLINK("#'Constants - Other Livestock'!A1", "Constants - Other Livestock")</f>
        <v>Constants - Other Livestock</v>
      </c>
    </row>
    <row r="19" spans="1:11" ht="20.100000000000001" customHeight="1" x14ac:dyDescent="0.25">
      <c r="A19" s="17" t="str">
        <f>HYPERLINK("#'Constants - Common'!A1", "Constants - Common")</f>
        <v>Constants - Common</v>
      </c>
      <c r="D19" s="52"/>
      <c r="E19" s="36" t="s">
        <v>120</v>
      </c>
      <c r="F19" s="36" t="s">
        <v>121</v>
      </c>
      <c r="G19" s="36" t="s">
        <v>122</v>
      </c>
      <c r="H19" s="36" t="s">
        <v>123</v>
      </c>
    </row>
    <row r="20" spans="1:11" ht="20.100000000000001" customHeight="1" x14ac:dyDescent="0.25">
      <c r="A20" s="17" t="str">
        <f>HYPERLINK("#'Acknowledgements'!A1", "Acknowledgements")</f>
        <v>Acknowledgements</v>
      </c>
      <c r="D20" s="1" t="str">
        <f>"Average number of head between " &amp; TEXT(X_Cell_Site_StartDate, "dd mmm yy") &amp; " and " &amp; TEXT(X_Cell_Site_EndDate, "dd mmm yy")</f>
        <v>Average number of head between 01 Jan 24 and 31 Dec 24</v>
      </c>
      <c r="E20" s="75">
        <v>4300</v>
      </c>
      <c r="F20" s="75">
        <v>100</v>
      </c>
      <c r="G20" s="75">
        <v>100</v>
      </c>
      <c r="H20" s="75">
        <v>100</v>
      </c>
      <c r="I20" s="2" t="s">
        <v>59</v>
      </c>
      <c r="J20" s="2"/>
      <c r="K20" s="2"/>
    </row>
    <row r="21" spans="1:11" ht="20.100000000000001" customHeight="1" x14ac:dyDescent="0.25">
      <c r="A21" s="17" t="str">
        <f>HYPERLINK("#'Tab template'!A1", "Tab template")</f>
        <v>Tab template</v>
      </c>
      <c r="J21" s="2"/>
      <c r="K21" s="2"/>
    </row>
    <row r="22" spans="1:11" ht="20.100000000000001" customHeight="1" x14ac:dyDescent="0.25">
      <c r="J22" s="2"/>
      <c r="K22" s="2"/>
    </row>
    <row r="23" spans="1:11" ht="20.100000000000001" customHeight="1" x14ac:dyDescent="0.25">
      <c r="D23" s="6" t="s">
        <v>124</v>
      </c>
      <c r="J23" s="2"/>
      <c r="K23" s="2"/>
    </row>
    <row r="24" spans="1:11" ht="20.100000000000001" customHeight="1" x14ac:dyDescent="0.25"/>
    <row r="25" spans="1:11" ht="20.100000000000001" customHeight="1" x14ac:dyDescent="0.25">
      <c r="D25" s="52"/>
      <c r="E25" s="36" t="s">
        <v>125</v>
      </c>
      <c r="F25" s="36" t="s">
        <v>126</v>
      </c>
      <c r="G25" s="36" t="s">
        <v>127</v>
      </c>
      <c r="H25" s="36" t="s">
        <v>128</v>
      </c>
      <c r="I25" s="36" t="s">
        <v>129</v>
      </c>
    </row>
    <row r="26" spans="1:11" ht="20.100000000000001" customHeight="1" x14ac:dyDescent="0.25">
      <c r="D26" s="1" t="str">
        <f>"Average number of head between " &amp; TEXT(X_Cell_Site_StartDate, "dd mmm yy") &amp; " and " &amp; TEXT(X_Cell_Site_EndDate, "dd mmm yy")</f>
        <v>Average number of head between 01 Jan 24 and 31 Dec 24</v>
      </c>
      <c r="E26" s="75">
        <v>4300</v>
      </c>
      <c r="F26" s="75">
        <v>100</v>
      </c>
      <c r="G26" s="75">
        <v>100</v>
      </c>
      <c r="H26" s="75">
        <v>100</v>
      </c>
      <c r="I26" s="75">
        <v>100</v>
      </c>
      <c r="J26" s="2" t="s">
        <v>59</v>
      </c>
    </row>
    <row r="27" spans="1:11" ht="20.100000000000001" customHeight="1" x14ac:dyDescent="0.25"/>
    <row r="28" spans="1:11" ht="20.100000000000001" customHeight="1" x14ac:dyDescent="0.25"/>
    <row r="29" spans="1:11" ht="20.100000000000001" customHeight="1" x14ac:dyDescent="0.25"/>
    <row r="30" spans="1:11" ht="20.100000000000001" customHeight="1" x14ac:dyDescent="0.25"/>
    <row r="31" spans="1:11" ht="20.100000000000001" customHeight="1" x14ac:dyDescent="0.25"/>
    <row r="32" spans="1:11" ht="20.100000000000001" customHeight="1" x14ac:dyDescent="0.25"/>
    <row r="33" spans="9:11" ht="20.100000000000001" customHeight="1" x14ac:dyDescent="0.25"/>
    <row r="34" spans="9:11" ht="20.100000000000001" customHeight="1" x14ac:dyDescent="0.25"/>
    <row r="35" spans="9:11" ht="20.100000000000001" customHeight="1" x14ac:dyDescent="0.25"/>
    <row r="36" spans="9:11" ht="20.100000000000001" customHeight="1" x14ac:dyDescent="0.25"/>
    <row r="37" spans="9:11" ht="20.100000000000001" customHeight="1" x14ac:dyDescent="0.25"/>
    <row r="38" spans="9:11" ht="20.100000000000001" customHeight="1" x14ac:dyDescent="0.25"/>
    <row r="39" spans="9:11" ht="20.100000000000001" customHeight="1" x14ac:dyDescent="0.25"/>
    <row r="40" spans="9:11" ht="20.100000000000001" customHeight="1" x14ac:dyDescent="0.25"/>
    <row r="41" spans="9:11" ht="20.100000000000001" customHeight="1" x14ac:dyDescent="0.25"/>
    <row r="42" spans="9:11" ht="20.100000000000001" customHeight="1" x14ac:dyDescent="0.25"/>
    <row r="43" spans="9:11" ht="20.100000000000001" customHeight="1" x14ac:dyDescent="0.25"/>
    <row r="44" spans="9:11" ht="20.100000000000001" customHeight="1" x14ac:dyDescent="0.25"/>
    <row r="45" spans="9:11" ht="20.100000000000001" customHeight="1" x14ac:dyDescent="0.25">
      <c r="I45" s="2"/>
      <c r="J45" s="2"/>
      <c r="K45" s="2"/>
    </row>
    <row r="46" spans="9:11" ht="20.100000000000001" customHeight="1" x14ac:dyDescent="0.25"/>
    <row r="47" spans="9:11" ht="20.100000000000001" customHeight="1" x14ac:dyDescent="0.25"/>
    <row r="48" spans="9:11" ht="20.100000000000001" customHeight="1" x14ac:dyDescent="0.25"/>
    <row r="49" spans="4:11" ht="20.100000000000001" customHeight="1" x14ac:dyDescent="0.25">
      <c r="I49" s="2"/>
      <c r="J49" s="2"/>
      <c r="K49" s="2"/>
    </row>
    <row r="50" spans="4:11" ht="20.100000000000001" customHeight="1" x14ac:dyDescent="0.25">
      <c r="I50" s="2"/>
      <c r="J50" s="2"/>
      <c r="K50" s="2"/>
    </row>
    <row r="51" spans="4:11" ht="20.100000000000001" customHeight="1" x14ac:dyDescent="0.25">
      <c r="I51" s="2"/>
      <c r="J51" s="2"/>
      <c r="K51" s="2"/>
    </row>
    <row r="52" spans="4:11" ht="20.100000000000001" customHeight="1" x14ac:dyDescent="0.25"/>
    <row r="53" spans="4:11" ht="20.100000000000001" customHeight="1" x14ac:dyDescent="0.25"/>
    <row r="54" spans="4:11" ht="20.100000000000001" customHeight="1" x14ac:dyDescent="0.25">
      <c r="I54" s="2"/>
      <c r="J54" s="2"/>
      <c r="K54" s="2"/>
    </row>
    <row r="55" spans="4:11" ht="20.100000000000001" customHeight="1" x14ac:dyDescent="0.25">
      <c r="I55" s="2"/>
      <c r="J55" s="2"/>
      <c r="K55" s="2"/>
    </row>
    <row r="56" spans="4:11" ht="20.100000000000001" customHeight="1" x14ac:dyDescent="0.25">
      <c r="I56" s="2"/>
      <c r="J56" s="2"/>
      <c r="K56" s="2"/>
    </row>
    <row r="57" spans="4:11" ht="20.100000000000001" customHeight="1" x14ac:dyDescent="0.25">
      <c r="D57" s="79"/>
    </row>
    <row r="58" spans="4:11" ht="20.100000000000001" customHeight="1" x14ac:dyDescent="0.25"/>
    <row r="59" spans="4:11" ht="20.100000000000001" customHeight="1" x14ac:dyDescent="0.25"/>
    <row r="60" spans="4:11" ht="20.100000000000001" customHeight="1" x14ac:dyDescent="0.25"/>
    <row r="61" spans="4:11" ht="20.100000000000001" customHeight="1" x14ac:dyDescent="0.25"/>
    <row r="62" spans="4:11" ht="20.100000000000001" customHeight="1" x14ac:dyDescent="0.25"/>
    <row r="63" spans="4:11" ht="20.100000000000001" customHeight="1" x14ac:dyDescent="0.25"/>
    <row r="64" spans="4: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sheetPr>
    <tabColor rgb="FF008000"/>
  </sheetPr>
  <dimension ref="A1:S183"/>
  <sheetViews>
    <sheetView showGridLines="0" topLeftCell="A5" zoomScaleNormal="100" workbookViewId="0">
      <selection activeCell="A21" sqref="A21"/>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54" t="e" vm="1">
        <v>#VALUE!</v>
      </c>
      <c r="C1" s="8" t="s">
        <v>105</v>
      </c>
      <c r="K1"/>
    </row>
    <row r="2" spans="1:19" s="9" customFormat="1" ht="20.100000000000001" customHeight="1" x14ac:dyDescent="0.25">
      <c r="A2"/>
      <c r="K2"/>
    </row>
    <row r="3" spans="1:19" ht="20.100000000000001" customHeight="1" x14ac:dyDescent="0.25">
      <c r="A3" s="17" t="str">
        <f>HYPERLINK("#'Home'!A1", "Home")</f>
        <v>Home</v>
      </c>
      <c r="C3" s="4"/>
      <c r="D3" s="4" t="s">
        <v>60</v>
      </c>
      <c r="E3" s="4"/>
      <c r="F3" s="4"/>
      <c r="G3" s="4"/>
      <c r="H3" s="4"/>
      <c r="I3" s="4"/>
      <c r="J3" s="4"/>
      <c r="L3" s="4"/>
      <c r="M3" s="4" t="s">
        <v>61</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EntericMethane_OtherLivestock_Equations.VEERG_3_6_1_1__1_TotalAnnualMethaneFromEntericFermentationOtherLivestock_Title()</f>
        <v>Total annual methane production from enteric fermentation in other livestock</v>
      </c>
    </row>
    <row r="6" spans="1:19" ht="20.100000000000001" customHeight="1" x14ac:dyDescent="0.25">
      <c r="D6" s="5" t="str" cm="1">
        <f t="array" ref="D6">EntericMethane_OtherLivestock_Equations.VEERG_3_6_1_1__1_TotalAnnualMethaneFromEntericFermentationOtherLivestock_Source()</f>
        <v>VEERG 2026: 3.6.1.1, Equation (1)</v>
      </c>
    </row>
    <row r="7" spans="1:19" ht="20.100000000000001" customHeight="1" x14ac:dyDescent="0.25">
      <c r="D7" s="13" t="s">
        <v>13</v>
      </c>
      <c r="E7" s="13" t="str" cm="1">
        <f t="array" aca="1" ref="E7" ca="1">Common_InputFunctions.Utility_DisplayFunctionName(G19)</f>
        <v>=EntericMethane_OtherLivestock_Equations.VEERG_3_6_1_1__1_TotalAnnualMethaneFromEntericFermentationOtherLivestock</v>
      </c>
    </row>
    <row r="8" spans="1:19" ht="20.100000000000001" customHeight="1" x14ac:dyDescent="0.25">
      <c r="A8" s="19" t="s">
        <v>0</v>
      </c>
    </row>
    <row r="9" spans="1:19" ht="20.100000000000001" customHeight="1" x14ac:dyDescent="0.25">
      <c r="A9" s="17" t="str">
        <f>HYPERLINK("#'Input - Site'!A1", "Site")</f>
        <v>Site</v>
      </c>
    </row>
    <row r="10" spans="1:19" ht="20.100000000000001" customHeight="1" x14ac:dyDescent="0.25">
      <c r="A10" s="17" t="str">
        <f>HYPERLINK("#'Input - Other Livestock'!A1", "Other Livestock")</f>
        <v>Other Livestock</v>
      </c>
      <c r="D10" s="47" t="s">
        <v>16</v>
      </c>
      <c r="E10" s="1" t="str" cm="1">
        <f t="array" ref="E10">EntericMethane_OtherLivestock_Equations.VEERG_3_6_1_1__1_TotalAnnualMethaneFromEntericFermentationOtherLivestock_Variable()</f>
        <v>E_enteric</v>
      </c>
    </row>
    <row r="11" spans="1:19" ht="20.100000000000001" customHeight="1" x14ac:dyDescent="0.25">
      <c r="D11" s="47" t="s">
        <v>8</v>
      </c>
      <c r="E11" s="48" t="str" cm="1">
        <f t="array" ref="E11">EntericMethane_OtherLivestock_Equations.VEERG_3_6_1_1__1_TotalAnnualMethaneFromEntericFermentationOtherLivestock_Unit()</f>
        <v>t CH4</v>
      </c>
    </row>
    <row r="12" spans="1:19" ht="20.100000000000001" customHeight="1" x14ac:dyDescent="0.25"/>
    <row r="13" spans="1:19" ht="20.100000000000001" customHeight="1" x14ac:dyDescent="0.25">
      <c r="A13" s="18" t="s">
        <v>51</v>
      </c>
      <c r="D13" s="88" t="str" cm="1">
        <f t="array" ref="D13:E15">_xlfn.CHOOSECOLS(EntericMethane_OtherLivestock_Equations.VEERG_3_6_1_1__1_TotalAnnualMethaneFromEntericFermentationOtherLivestock_Arguments(),1,2)</f>
        <v>N_j</v>
      </c>
      <c r="E13" s="90" t="str">
        <v>number of livestock of each livestock type j</v>
      </c>
      <c r="F13" s="89"/>
      <c r="G13" s="88" t="str" cm="1">
        <f t="array" ref="G13:H15">_xlfn.CHOOSECOLS(EntericMethane_OtherLivestock_Equations.VEERG_3_6_1_1__1_TotalAnnualMethaneFromEntericFermentationOtherLivestock_Arguments(),3,4)</f>
        <v>head</v>
      </c>
      <c r="H13" s="86" t="str">
        <v>Input</v>
      </c>
    </row>
    <row r="14" spans="1:19" ht="20.100000000000001" customHeight="1" x14ac:dyDescent="0.25">
      <c r="A14" s="98" t="str">
        <f>HYPERLINK("#'3.6.1.1-2 Enteric Methane'!A1", "3.6.1.1-2 Enteric Methane")</f>
        <v>3.6.1.1-2 Enteric Methane</v>
      </c>
      <c r="D14" s="88" t="str">
        <v>M_j</v>
      </c>
      <c r="E14" s="90" t="str">
        <v>enteric fermentation emission factor</v>
      </c>
      <c r="F14" s="89"/>
      <c r="G14" s="88" t="str">
        <v>kg CH4/head/year</v>
      </c>
      <c r="H14" s="87" t="str">
        <v>Constant</v>
      </c>
    </row>
    <row r="15" spans="1:19" ht="20.100000000000001" customHeight="1" x14ac:dyDescent="0.25">
      <c r="D15" s="88" t="str">
        <v>j</v>
      </c>
      <c r="E15" s="90" t="str">
        <v>livestock type</v>
      </c>
      <c r="F15" s="89"/>
      <c r="G15" s="88" t="str">
        <v/>
      </c>
      <c r="H15" s="86" t="str">
        <v>Input</v>
      </c>
    </row>
    <row r="16" spans="1:19" ht="20.100000000000001" customHeight="1" x14ac:dyDescent="0.25"/>
    <row r="17" spans="1:8" ht="20.100000000000001" customHeight="1" x14ac:dyDescent="0.25">
      <c r="A17" s="104" t="s">
        <v>1</v>
      </c>
    </row>
    <row r="18" spans="1:8" ht="20.100000000000001" customHeight="1" x14ac:dyDescent="0.25">
      <c r="A18" s="17" t="str">
        <f>HYPERLINK("#'Constants - Other Livestock'!A1", "Constants - Other Livestock")</f>
        <v>Constants - Other Livestock</v>
      </c>
      <c r="D18" s="36" t="s">
        <v>130</v>
      </c>
      <c r="E18" s="36" t="s">
        <v>131</v>
      </c>
      <c r="F18" s="45" t="s">
        <v>99</v>
      </c>
      <c r="G18" s="45" t="s">
        <v>132</v>
      </c>
    </row>
    <row r="19" spans="1:8" ht="20.100000000000001" customHeight="1" x14ac:dyDescent="0.25">
      <c r="A19" s="17" t="str">
        <f>HYPERLINK("#'Constants - Common'!A1", "Constants - Common")</f>
        <v>Constants - Common</v>
      </c>
      <c r="D19" s="46" t="str">
        <f>'Constants - Other Livestock'!D10</f>
        <v>Buffalo</v>
      </c>
      <c r="E19" s="46">
        <f>SUM(X_Table_OtherLivestock_Buffalo_Head)</f>
        <v>4600</v>
      </c>
      <c r="F19" s="46" cm="1">
        <f t="array" ref="F19">Common_InputFunctions.Utility_LookupValueInTableNumber(D19, Table_SourceData_OtherLivestock_EntericEF[Other livestock type],Table_SourceData_OtherLivestock_EntericEF[Mj])</f>
        <v>68</v>
      </c>
      <c r="G19" s="46" cm="1">
        <f t="array" ref="G19">EntericMethane_OtherLivestock_Equations.VEERG_3_6_1_1__1_TotalAnnualMethaneFromEntericFermentationOtherLivestock(E19,F19)</f>
        <v>312.8</v>
      </c>
      <c r="H19" s="2" t="str">
        <f>$E$11</f>
        <v>t CH4</v>
      </c>
    </row>
    <row r="20" spans="1:8" ht="20.100000000000001" customHeight="1" x14ac:dyDescent="0.25">
      <c r="A20" s="17" t="str">
        <f>HYPERLINK("#'Acknowledgements'!A1", "Acknowledgements")</f>
        <v>Acknowledgements</v>
      </c>
      <c r="D20" s="46" t="str">
        <f>'Constants - Other Livestock'!D11</f>
        <v>Goats</v>
      </c>
      <c r="E20" s="46">
        <f>SUM(X_Table_OtherLivestock_Goats_Head)</f>
        <v>4800</v>
      </c>
      <c r="F20" s="46" cm="1">
        <f t="array" ref="F20">Common_InputFunctions.Utility_LookupValueInTableNumber(D20, Table_SourceData_OtherLivestock_EntericEF[Other livestock type],Table_SourceData_OtherLivestock_EntericEF[Mj])</f>
        <v>5</v>
      </c>
      <c r="G20" s="46" cm="1">
        <f t="array" ref="G20">EntericMethane_OtherLivestock_Equations.VEERG_3_6_1_1__1_TotalAnnualMethaneFromEntericFermentationOtherLivestock(E20,F20)</f>
        <v>24</v>
      </c>
    </row>
    <row r="21" spans="1:8" ht="20.100000000000001" customHeight="1" x14ac:dyDescent="0.25">
      <c r="A21" s="17" t="str">
        <f>HYPERLINK("#'Tab template'!A1", "Tab template")</f>
        <v>Tab template</v>
      </c>
      <c r="D21" s="46" t="str">
        <f>'Constants - Other Livestock'!D12</f>
        <v>Deer</v>
      </c>
      <c r="E21" s="46">
        <f>SUM(X_Table_OtherLivestock_Deer_Head)</f>
        <v>4600</v>
      </c>
      <c r="F21" s="46" cm="1">
        <f t="array" ref="F21">Common_InputFunctions.Utility_LookupValueInTableNumber(D21, Table_SourceData_OtherLivestock_EntericEF[Other livestock type],Table_SourceData_OtherLivestock_EntericEF[Mj])</f>
        <v>20</v>
      </c>
      <c r="G21" s="46" cm="1">
        <f t="array" ref="G21">EntericMethane_OtherLivestock_Equations.VEERG_3_6_1_1__1_TotalAnnualMethaneFromEntericFermentationOtherLivestock(E21,F21)</f>
        <v>92</v>
      </c>
    </row>
    <row r="22" spans="1:8" ht="20.100000000000001" customHeight="1" x14ac:dyDescent="0.25">
      <c r="D22" s="46" t="str">
        <f>'Constants - Other Livestock'!D13</f>
        <v>Camels</v>
      </c>
      <c r="E22" s="46">
        <f>X_Cell_OtherLivestock_Others_Camels_Head</f>
        <v>4300</v>
      </c>
      <c r="F22" s="46" cm="1">
        <f t="array" ref="F22">Common_InputFunctions.Utility_LookupValueInTableNumber(D22, Table_SourceData_OtherLivestock_EntericEF[Other livestock type],Table_SourceData_OtherLivestock_EntericEF[Mj])</f>
        <v>46</v>
      </c>
      <c r="G22" s="46" cm="1">
        <f t="array" ref="G22">EntericMethane_OtherLivestock_Equations.VEERG_3_6_1_1__1_TotalAnnualMethaneFromEntericFermentationOtherLivestock(E22,F22)</f>
        <v>197.8</v>
      </c>
    </row>
    <row r="23" spans="1:8" ht="20.100000000000001" customHeight="1" x14ac:dyDescent="0.25">
      <c r="D23" s="46" t="str">
        <f>'Constants - Other Livestock'!D14</f>
        <v>Alpacas</v>
      </c>
      <c r="E23" s="46">
        <f>X_Cell_OtherLivestock_Others_Alpacas_Head</f>
        <v>100</v>
      </c>
      <c r="F23" s="46" cm="1">
        <f t="array" ref="F23">Common_InputFunctions.Utility_LookupValueInTableNumber(D23, Table_SourceData_OtherLivestock_EntericEF[Other livestock type],Table_SourceData_OtherLivestock_EntericEF[Mj])</f>
        <v>8</v>
      </c>
      <c r="G23" s="46" cm="1">
        <f t="array" ref="G23">EntericMethane_OtherLivestock_Equations.VEERG_3_6_1_1__1_TotalAnnualMethaneFromEntericFermentationOtherLivestock(E23,F23)</f>
        <v>0.8</v>
      </c>
    </row>
    <row r="24" spans="1:8" ht="20.100000000000001" customHeight="1" x14ac:dyDescent="0.25">
      <c r="D24" s="46" t="str">
        <f>'Constants - Other Livestock'!D15</f>
        <v>Horses</v>
      </c>
      <c r="E24" s="46">
        <f>X_Cell_OtherLivestock_Others_Horses_Head</f>
        <v>100</v>
      </c>
      <c r="F24" s="46" cm="1">
        <f t="array" ref="F24">Common_InputFunctions.Utility_LookupValueInTableNumber(D24, Table_SourceData_OtherLivestock_EntericEF[Other livestock type],Table_SourceData_OtherLivestock_EntericEF[Mj])</f>
        <v>18</v>
      </c>
      <c r="G24" s="46" cm="1">
        <f t="array" ref="G24">EntericMethane_OtherLivestock_Equations.VEERG_3_6_1_1__1_TotalAnnualMethaneFromEntericFermentationOtherLivestock(E24,F24)</f>
        <v>1.8</v>
      </c>
    </row>
    <row r="25" spans="1:8" ht="20.100000000000001" customHeight="1" x14ac:dyDescent="0.25">
      <c r="D25" s="46" t="str">
        <f>'Constants - Other Livestock'!D16</f>
        <v>Mules/asses</v>
      </c>
      <c r="E25" s="46">
        <f>X_Cell_OtherLivestock_Others_Mules_Head</f>
        <v>100</v>
      </c>
      <c r="F25" s="46" cm="1">
        <f t="array" ref="F25">Common_InputFunctions.Utility_LookupValueInTableNumber(D25, Table_SourceData_OtherLivestock_EntericEF[Other livestock type],Table_SourceData_OtherLivestock_EntericEF[Mj])</f>
        <v>10</v>
      </c>
      <c r="G25" s="46" cm="1">
        <f t="array" ref="G25">EntericMethane_OtherLivestock_Equations.VEERG_3_6_1_1__1_TotalAnnualMethaneFromEntericFermentationOtherLivestock(E25,F25)</f>
        <v>1</v>
      </c>
    </row>
    <row r="26" spans="1:8" ht="20.100000000000001" customHeight="1" x14ac:dyDescent="0.25">
      <c r="D26" s="46" t="str">
        <f>'Constants - Other Livestock'!D17</f>
        <v>Emus/ostriches</v>
      </c>
      <c r="E26" s="46">
        <f>X_Cell_OtherLivestock_Others_Emus_Head</f>
        <v>100</v>
      </c>
      <c r="F26" s="46" cm="1">
        <f t="array" ref="F26">Common_InputFunctions.Utility_LookupValueInTableNumber(D26, Table_SourceData_OtherLivestock_EntericEF[Other livestock type],Table_SourceData_OtherLivestock_EntericEF[Mj])</f>
        <v>5</v>
      </c>
      <c r="G26" s="46" cm="1">
        <f t="array" ref="G26">EntericMethane_OtherLivestock_Equations.VEERG_3_6_1_1__1_TotalAnnualMethaneFromEntericFermentationOtherLivestock(E26,F26)</f>
        <v>0.5</v>
      </c>
    </row>
    <row r="27" spans="1:8" ht="20.100000000000001" customHeight="1" x14ac:dyDescent="0.25"/>
    <row r="28" spans="1:8" ht="20.100000000000001" customHeight="1" x14ac:dyDescent="0.25">
      <c r="D28" s="76" t="s">
        <v>132</v>
      </c>
      <c r="E28" s="77">
        <f>SUM(G19:G26)</f>
        <v>630.69999999999993</v>
      </c>
      <c r="F28" s="97" t="str">
        <f>$E$11</f>
        <v>t CH4</v>
      </c>
      <c r="G28" s="41"/>
    </row>
    <row r="29" spans="1:8" ht="20.100000000000001" customHeight="1" x14ac:dyDescent="0.25"/>
    <row r="30" spans="1:8" ht="20.100000000000001" customHeight="1" x14ac:dyDescent="0.25">
      <c r="D30" s="101" t="str" cm="1">
        <f t="array" ref="D30:E31">Common_Equations.Common_ConvertCH4ToCO2e_Arguments()</f>
        <v>ECH4</v>
      </c>
      <c r="E30" s="102" t="str">
        <v>Methane emissions (t CH4)</v>
      </c>
      <c r="F30" s="103"/>
      <c r="G30" s="46">
        <f>E28</f>
        <v>630.69999999999993</v>
      </c>
      <c r="H30" s="2" t="str">
        <f>E11</f>
        <v>t CH4</v>
      </c>
    </row>
    <row r="31" spans="1:8" ht="20.100000000000001" customHeight="1" x14ac:dyDescent="0.25">
      <c r="D31" s="101" t="str">
        <v>GWPCH4</v>
      </c>
      <c r="E31" s="102" t="str">
        <v>Global warming potential for methane (t CO2-e / t CH4)</v>
      </c>
      <c r="F31" s="103"/>
      <c r="G31" s="46">
        <f>Common_InputFunctions.Utility_LookupValueInTableNumber("CH4",Table_GWPData[Gas],Table_GWPData[CO2-e factor])</f>
        <v>28</v>
      </c>
    </row>
    <row r="32" spans="1:8" ht="20.100000000000001" customHeight="1" x14ac:dyDescent="0.25"/>
    <row r="33" spans="4:6" ht="20.100000000000001" customHeight="1" x14ac:dyDescent="0.25">
      <c r="D33" s="41" t="s">
        <v>135</v>
      </c>
      <c r="E33" s="41" cm="1">
        <f t="array" ref="E33">Common_Equations.Common_ConvertCH4ToCO2e(G30,G31)</f>
        <v>17659.599999999999</v>
      </c>
      <c r="F33" s="78" t="str" cm="1">
        <f t="array" ref="F33">Common_Equations.Common_ConvertN2OToCO2e_Unit()</f>
        <v>t CO2e</v>
      </c>
    </row>
    <row r="34" spans="4:6" ht="20.100000000000001" customHeight="1" x14ac:dyDescent="0.25"/>
    <row r="35" spans="4:6" ht="20.100000000000001" customHeight="1" x14ac:dyDescent="0.25"/>
    <row r="36" spans="4:6" ht="20.100000000000001" customHeight="1" x14ac:dyDescent="0.25"/>
    <row r="37" spans="4:6" ht="20.100000000000001" customHeight="1" x14ac:dyDescent="0.25"/>
    <row r="38" spans="4:6" ht="20.100000000000001" customHeight="1" x14ac:dyDescent="0.25"/>
    <row r="39" spans="4:6" ht="20.100000000000001" customHeight="1" x14ac:dyDescent="0.25"/>
    <row r="40" spans="4:6" ht="20.100000000000001" customHeight="1" x14ac:dyDescent="0.25"/>
    <row r="41" spans="4:6" ht="20.100000000000001" customHeight="1" x14ac:dyDescent="0.25"/>
    <row r="42" spans="4:6" ht="20.100000000000001" customHeight="1" x14ac:dyDescent="0.25"/>
    <row r="43" spans="4:6" ht="20.100000000000001" customHeight="1" x14ac:dyDescent="0.25"/>
    <row r="44" spans="4:6" ht="20.100000000000001" customHeight="1" x14ac:dyDescent="0.25"/>
    <row r="45" spans="4:6" ht="20.100000000000001" customHeight="1" x14ac:dyDescent="0.25"/>
    <row r="46" spans="4:6" ht="20.100000000000001" customHeight="1" x14ac:dyDescent="0.25"/>
    <row r="47" spans="4:6" ht="20.100000000000001" customHeight="1" x14ac:dyDescent="0.25"/>
    <row r="48" spans="4:6"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dataValidations disablePrompts="1" count="1">
    <dataValidation operator="equal" allowBlank="1" showInputMessage="1" showErrorMessage="1" sqref="E133:G133 E138:G138 D55:F55 D60:F60 N138:P138"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sheetPr>
    <tabColor theme="2" tint="-0.499984740745262"/>
  </sheetPr>
  <dimension ref="A1:V288"/>
  <sheetViews>
    <sheetView showGridLines="0" zoomScaleNormal="100" workbookViewId="0">
      <selection activeCell="A21" sqref="A21"/>
    </sheetView>
  </sheetViews>
  <sheetFormatPr defaultRowHeight="15.75" x14ac:dyDescent="0.25"/>
  <cols>
    <col min="1" max="1" width="30.7109375" customWidth="1"/>
    <col min="2" max="2" width="4.7109375" customWidth="1"/>
    <col min="3" max="3" width="4.7109375" style="1" customWidth="1"/>
    <col min="4" max="12" width="30.7109375" style="1" customWidth="1"/>
    <col min="13" max="13" width="30.7109375" customWidth="1"/>
    <col min="14" max="20" width="30.7109375" style="1" customWidth="1"/>
    <col min="21" max="21" width="4.7109375" style="1" customWidth="1"/>
  </cols>
  <sheetData>
    <row r="1" spans="1:21" s="8" customFormat="1" ht="30" customHeight="1" x14ac:dyDescent="0.35">
      <c r="A1" s="54" t="e" vm="1">
        <v>#VALUE!</v>
      </c>
      <c r="C1" s="8" t="s">
        <v>97</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1"/>
    </row>
    <row r="5" spans="1:21" ht="20.100000000000001" customHeight="1" x14ac:dyDescent="0.25">
      <c r="A5" s="17" t="str">
        <f>HYPERLINK("#'Results'!A1", "Results")</f>
        <v>Results</v>
      </c>
      <c r="D5" s="6" t="str" cm="1">
        <f t="array" ref="D5">SourceData_OtherLivestock.SourceData_OtherLivestock_EntericFermentationEmissionFactor_Title()</f>
        <v>Other Livestock - Enteric fermentation emission factor for each other livestock type</v>
      </c>
      <c r="M5" s="1"/>
    </row>
    <row r="6" spans="1:21" ht="20.100000000000001" customHeight="1" x14ac:dyDescent="0.25">
      <c r="D6" s="5" t="str" cm="1">
        <f t="array" ref="D6">SourceData_OtherLivestock.SourceData_OtherLivestock_EntericFermentationEmissionFactor_Source()</f>
        <v>VEERG 2026: Table A.1.5.1</v>
      </c>
      <c r="M6" s="1"/>
    </row>
    <row r="7" spans="1:21" ht="20.100000000000001" customHeight="1" x14ac:dyDescent="0.25">
      <c r="D7" s="1" t="str" cm="1">
        <f t="array" ref="D7">SourceData_OtherLivestock.SourceData_OtherLivestock_EntericFermentationEmissionFactor_Variable()</f>
        <v>Mj</v>
      </c>
      <c r="M7" s="1"/>
    </row>
    <row r="8" spans="1:21" ht="20.100000000000001" customHeight="1" x14ac:dyDescent="0.25">
      <c r="A8" s="19" t="s">
        <v>0</v>
      </c>
      <c r="D8" s="48" t="str" cm="1">
        <f t="array" ref="D8">SourceData_OtherLivestock.SourceData_OtherLivestock_EntericFermentationEmissionFactor_Unit()</f>
        <v>kg CH4 / head / year</v>
      </c>
      <c r="M8" s="1"/>
    </row>
    <row r="9" spans="1:21" ht="20.100000000000001" customHeight="1" x14ac:dyDescent="0.25">
      <c r="A9" s="17" t="str">
        <f>HYPERLINK("#'Input - Site'!A1", "Site")</f>
        <v>Site</v>
      </c>
      <c r="D9" s="34" t="s">
        <v>98</v>
      </c>
      <c r="E9" s="34" t="s">
        <v>99</v>
      </c>
      <c r="M9" s="1"/>
    </row>
    <row r="10" spans="1:21" ht="20.100000000000001" customHeight="1" x14ac:dyDescent="0.25">
      <c r="A10" s="17" t="str">
        <f>HYPERLINK("#'Input - Other Livestock'!A1", "Other Livestock")</f>
        <v>Other Livestock</v>
      </c>
      <c r="D10" s="34" t="str" cm="1">
        <f t="array" ref="D10">Common_InputFunctions.Utility_DisplayArrayInTable(SourceData_OtherLivestock.SourceData_OtherLivestock_EntericFermentationEmissionFactor_Data(),Table_SourceData_OtherLivestock_EntericEF[[#Headers],[Other livestock type]],0)</f>
        <v>Buffalo</v>
      </c>
      <c r="E10" s="34" cm="1">
        <f t="array" ref="E10">Common_InputFunctions.Utility_DisplayArrayInTable(SourceData_OtherLivestock.SourceData_OtherLivestock_EntericFermentationEmissionFactor_Data(),Table_SourceData_OtherLivestock_EntericEF[[#Headers],[Other livestock type]],0)</f>
        <v>68</v>
      </c>
      <c r="M10" s="1"/>
    </row>
    <row r="11" spans="1:21" ht="20.100000000000001" customHeight="1" x14ac:dyDescent="0.25">
      <c r="D11" s="1" t="str" cm="1">
        <f t="array" ref="D11">Common_InputFunctions.Utility_DisplayArrayInTable(SourceData_OtherLivestock.SourceData_OtherLivestock_EntericFermentationEmissionFactor_Data(),Table_SourceData_OtherLivestock_EntericEF[[#Headers],[Other livestock type]],0)</f>
        <v>Goats</v>
      </c>
      <c r="E11" s="34" cm="1">
        <f t="array" ref="E11">Common_InputFunctions.Utility_DisplayArrayInTable(SourceData_OtherLivestock.SourceData_OtherLivestock_EntericFermentationEmissionFactor_Data(),Table_SourceData_OtherLivestock_EntericEF[[#Headers],[Other livestock type]],0)</f>
        <v>5</v>
      </c>
      <c r="M11" s="1"/>
    </row>
    <row r="12" spans="1:21" ht="20.100000000000001" customHeight="1" x14ac:dyDescent="0.25">
      <c r="D12" s="1" t="str" cm="1">
        <f t="array" ref="D12">Common_InputFunctions.Utility_DisplayArrayInTable(SourceData_OtherLivestock.SourceData_OtherLivestock_EntericFermentationEmissionFactor_Data(),Table_SourceData_OtherLivestock_EntericEF[[#Headers],[Other livestock type]],0)</f>
        <v>Deer</v>
      </c>
      <c r="E12" s="34" cm="1">
        <f t="array" ref="E12">Common_InputFunctions.Utility_DisplayArrayInTable(SourceData_OtherLivestock.SourceData_OtherLivestock_EntericFermentationEmissionFactor_Data(),Table_SourceData_OtherLivestock_EntericEF[[#Headers],[Other livestock type]],0)</f>
        <v>20</v>
      </c>
      <c r="M12" s="1"/>
    </row>
    <row r="13" spans="1:21" ht="20.100000000000001" customHeight="1" x14ac:dyDescent="0.25">
      <c r="A13" s="18" t="s">
        <v>51</v>
      </c>
      <c r="D13" s="1" t="str" cm="1">
        <f t="array" ref="D13">Common_InputFunctions.Utility_DisplayArrayInTable(SourceData_OtherLivestock.SourceData_OtherLivestock_EntericFermentationEmissionFactor_Data(),Table_SourceData_OtherLivestock_EntericEF[[#Headers],[Other livestock type]],0)</f>
        <v>Camels</v>
      </c>
      <c r="E13" s="34" cm="1">
        <f t="array" ref="E13">Common_InputFunctions.Utility_DisplayArrayInTable(SourceData_OtherLivestock.SourceData_OtherLivestock_EntericFermentationEmissionFactor_Data(),Table_SourceData_OtherLivestock_EntericEF[[#Headers],[Other livestock type]],0)</f>
        <v>46</v>
      </c>
      <c r="M13" s="1"/>
    </row>
    <row r="14" spans="1:21" ht="20.100000000000001" customHeight="1" x14ac:dyDescent="0.25">
      <c r="A14" s="17" t="str">
        <f>HYPERLINK("#'3.6.1.1-2 Enteric Methane'!A1", "3.6.1.1-2 Enteric Methane")</f>
        <v>3.6.1.1-2 Enteric Methane</v>
      </c>
      <c r="D14" s="1" t="str" cm="1">
        <f t="array" ref="D14">Common_InputFunctions.Utility_DisplayArrayInTable(SourceData_OtherLivestock.SourceData_OtherLivestock_EntericFermentationEmissionFactor_Data(),Table_SourceData_OtherLivestock_EntericEF[[#Headers],[Other livestock type]],0)</f>
        <v>Alpacas</v>
      </c>
      <c r="E14" s="34" cm="1">
        <f t="array" ref="E14">Common_InputFunctions.Utility_DisplayArrayInTable(SourceData_OtherLivestock.SourceData_OtherLivestock_EntericFermentationEmissionFactor_Data(),Table_SourceData_OtherLivestock_EntericEF[[#Headers],[Other livestock type]],0)</f>
        <v>8</v>
      </c>
      <c r="M14" s="1"/>
    </row>
    <row r="15" spans="1:21" ht="20.100000000000001" customHeight="1" x14ac:dyDescent="0.25">
      <c r="D15" s="1" t="str" cm="1">
        <f t="array" ref="D15">Common_InputFunctions.Utility_DisplayArrayInTable(SourceData_OtherLivestock.SourceData_OtherLivestock_EntericFermentationEmissionFactor_Data(),Table_SourceData_OtherLivestock_EntericEF[[#Headers],[Other livestock type]],0)</f>
        <v>Horses</v>
      </c>
      <c r="E15" s="34" cm="1">
        <f t="array" ref="E15">Common_InputFunctions.Utility_DisplayArrayInTable(SourceData_OtherLivestock.SourceData_OtherLivestock_EntericFermentationEmissionFactor_Data(),Table_SourceData_OtherLivestock_EntericEF[[#Headers],[Other livestock type]],0)</f>
        <v>18</v>
      </c>
      <c r="M15" s="1"/>
    </row>
    <row r="16" spans="1:21" ht="20.100000000000001" customHeight="1" x14ac:dyDescent="0.25">
      <c r="D16" s="1" t="str" cm="1">
        <f t="array" ref="D16">Common_InputFunctions.Utility_DisplayArrayInTable(SourceData_OtherLivestock.SourceData_OtherLivestock_EntericFermentationEmissionFactor_Data(),Table_SourceData_OtherLivestock_EntericEF[[#Headers],[Other livestock type]],0)</f>
        <v>Mules/asses</v>
      </c>
      <c r="E16" s="34" cm="1">
        <f t="array" ref="E16">Common_InputFunctions.Utility_DisplayArrayInTable(SourceData_OtherLivestock.SourceData_OtherLivestock_EntericFermentationEmissionFactor_Data(),Table_SourceData_OtherLivestock_EntericEF[[#Headers],[Other livestock type]],0)</f>
        <v>10</v>
      </c>
      <c r="M16" s="1"/>
    </row>
    <row r="17" spans="1:13" ht="20.100000000000001" customHeight="1" x14ac:dyDescent="0.25">
      <c r="A17" s="104" t="s">
        <v>1</v>
      </c>
      <c r="D17" s="1" t="str" cm="1">
        <f t="array" ref="D17">Common_InputFunctions.Utility_DisplayArrayInTable(SourceData_OtherLivestock.SourceData_OtherLivestock_EntericFermentationEmissionFactor_Data(),Table_SourceData_OtherLivestock_EntericEF[[#Headers],[Other livestock type]],0)</f>
        <v>Emus/ostriches</v>
      </c>
      <c r="E17" s="34" cm="1">
        <f t="array" ref="E17">Common_InputFunctions.Utility_DisplayArrayInTable(SourceData_OtherLivestock.SourceData_OtherLivestock_EntericFermentationEmissionFactor_Data(),Table_SourceData_OtherLivestock_EntericEF[[#Headers],[Other livestock type]],0)</f>
        <v>5</v>
      </c>
      <c r="M17" s="1"/>
    </row>
    <row r="18" spans="1:13" ht="20.100000000000001" customHeight="1" x14ac:dyDescent="0.25">
      <c r="A18" s="55" t="str">
        <f>HYPERLINK("#'Constants - Other Livestock'!A1", "Constants - Other Livestock")</f>
        <v>Constants - Other Livestock</v>
      </c>
      <c r="M18" s="1"/>
    </row>
    <row r="19" spans="1:13" ht="20.100000000000001" customHeight="1" x14ac:dyDescent="0.25">
      <c r="A19" s="17" t="str">
        <f>HYPERLINK("#'Constants - Common'!A1", "Constants - Common")</f>
        <v>Constants - Common</v>
      </c>
      <c r="M19" s="1"/>
    </row>
    <row r="20" spans="1:13" ht="20.100000000000001" customHeight="1" x14ac:dyDescent="0.25">
      <c r="A20" s="17" t="str">
        <f>HYPERLINK("#'Acknowledgements'!A1", "Acknowledgements")</f>
        <v>Acknowledgements</v>
      </c>
      <c r="D20" s="6" t="str" cm="1">
        <f t="array" ref="D20">SourceData_OtherLivestock.SourceData_OtherLivestock_VolatileSolidsProduced_Title()</f>
        <v>Other Livestock - Volatile solids produced by each other livestock type</v>
      </c>
      <c r="M20" s="1"/>
    </row>
    <row r="21" spans="1:13" ht="20.100000000000001" customHeight="1" x14ac:dyDescent="0.25">
      <c r="A21" s="17" t="str">
        <f>HYPERLINK("#'Tab template'!A1", "Tab template")</f>
        <v>Tab template</v>
      </c>
      <c r="D21" s="5" t="str" cm="1">
        <f t="array" ref="D21">SourceData_OtherLivestock.SourceData_OtherLivestock_VolatileSolidsProduced_Source()</f>
        <v>VEERG 2026: Table A.1.5.2</v>
      </c>
      <c r="M21" s="1"/>
    </row>
    <row r="22" spans="1:13" ht="20.100000000000001" customHeight="1" x14ac:dyDescent="0.25">
      <c r="D22" s="1" t="str" cm="1">
        <f t="array" ref="D22">SourceData_OtherLivestock.SourceData_OtherLivestock_VolatileSolidsProduced_Variable()</f>
        <v>VSj</v>
      </c>
      <c r="M22" s="1"/>
    </row>
    <row r="23" spans="1:13" ht="20.100000000000001" customHeight="1" x14ac:dyDescent="0.25">
      <c r="D23" s="48" t="str" cm="1">
        <f t="array" ref="D23">SourceData_OtherLivestock.SourceData_OtherLivestock_VolatileSolidsProduced_Unit()</f>
        <v>kg VS / head / day</v>
      </c>
      <c r="M23" s="1"/>
    </row>
    <row r="24" spans="1:13" ht="20.100000000000001" customHeight="1" x14ac:dyDescent="0.25">
      <c r="D24" s="34" t="s">
        <v>98</v>
      </c>
      <c r="E24" s="34" t="s">
        <v>101</v>
      </c>
      <c r="M24" s="1"/>
    </row>
    <row r="25" spans="1:13" ht="20.100000000000001" customHeight="1" x14ac:dyDescent="0.25">
      <c r="D25" s="34" t="str" cm="1">
        <f t="array" ref="D25">Common_InputFunctions.Utility_DisplayArrayInTable(SourceData_OtherLivestock.SourceData_OtherLivestock_VolatileSolidsProduced_Data(),Table_SourceData_OtherLivestock_VolatileSolids[[#Headers],[Other livestock type]],0)</f>
        <v>Buffalo</v>
      </c>
      <c r="E25" s="34" cm="1">
        <f t="array" ref="E25">Common_InputFunctions.Utility_DisplayArrayInTable(SourceData_OtherLivestock.SourceData_OtherLivestock_VolatileSolidsProduced_Data(),Table_SourceData_OtherLivestock_VolatileSolids[[#Headers],[Other livestock type]],0)</f>
        <v>2.73</v>
      </c>
      <c r="M25" s="1"/>
    </row>
    <row r="26" spans="1:13" ht="20.100000000000001" customHeight="1" x14ac:dyDescent="0.25">
      <c r="D26" s="34" t="str" cm="1">
        <f t="array" ref="D26">Common_InputFunctions.Utility_DisplayArrayInTable(SourceData_OtherLivestock.SourceData_OtherLivestock_VolatileSolidsProduced_Data(),Table_SourceData_OtherLivestock_VolatileSolids[[#Headers],[Other livestock type]],0)</f>
        <v>Goats</v>
      </c>
      <c r="E26" s="34" cm="1">
        <f t="array" ref="E26">Common_InputFunctions.Utility_DisplayArrayInTable(SourceData_OtherLivestock.SourceData_OtherLivestock_VolatileSolidsProduced_Data(),Table_SourceData_OtherLivestock_VolatileSolids[[#Headers],[Other livestock type]],0)</f>
        <v>0.34</v>
      </c>
      <c r="M26" s="1"/>
    </row>
    <row r="27" spans="1:13" ht="20.100000000000001" customHeight="1" x14ac:dyDescent="0.25">
      <c r="D27" s="34" t="str" cm="1">
        <f t="array" ref="D27">Common_InputFunctions.Utility_DisplayArrayInTable(SourceData_OtherLivestock.SourceData_OtherLivestock_VolatileSolidsProduced_Data(),Table_SourceData_OtherLivestock_VolatileSolids[[#Headers],[Other livestock type]],0)</f>
        <v>Deer</v>
      </c>
      <c r="E27" s="34" cm="1">
        <f t="array" ref="E27">Common_InputFunctions.Utility_DisplayArrayInTable(SourceData_OtherLivestock.SourceData_OtherLivestock_VolatileSolidsProduced_Data(),Table_SourceData_OtherLivestock_VolatileSolids[[#Headers],[Other livestock type]],0)</f>
        <v>0.91</v>
      </c>
      <c r="M27" s="1"/>
    </row>
    <row r="28" spans="1:13" ht="20.100000000000001" customHeight="1" x14ac:dyDescent="0.25">
      <c r="D28" s="34" t="str" cm="1">
        <f t="array" ref="D28">Common_InputFunctions.Utility_DisplayArrayInTable(SourceData_OtherLivestock.SourceData_OtherLivestock_VolatileSolidsProduced_Data(),Table_SourceData_OtherLivestock_VolatileSolids[[#Headers],[Other livestock type]],0)</f>
        <v>Camels</v>
      </c>
      <c r="E28" s="34" cm="1">
        <f t="array" ref="E28">Common_InputFunctions.Utility_DisplayArrayInTable(SourceData_OtherLivestock.SourceData_OtherLivestock_VolatileSolidsProduced_Data(),Table_SourceData_OtherLivestock_VolatileSolids[[#Headers],[Other livestock type]],0)</f>
        <v>2.73</v>
      </c>
      <c r="M28" s="1"/>
    </row>
    <row r="29" spans="1:13" ht="20.100000000000001" customHeight="1" x14ac:dyDescent="0.25">
      <c r="D29" s="34" t="str" cm="1">
        <f t="array" ref="D29">Common_InputFunctions.Utility_DisplayArrayInTable(SourceData_OtherLivestock.SourceData_OtherLivestock_VolatileSolidsProduced_Data(),Table_SourceData_OtherLivestock_VolatileSolids[[#Headers],[Other livestock type]],0)</f>
        <v>Alpacas</v>
      </c>
      <c r="E29" s="34" cm="1">
        <f t="array" ref="E29">Common_InputFunctions.Utility_DisplayArrayInTable(SourceData_OtherLivestock.SourceData_OtherLivestock_VolatileSolidsProduced_Data(),Table_SourceData_OtherLivestock_VolatileSolids[[#Headers],[Other livestock type]],0)</f>
        <v>0.34</v>
      </c>
      <c r="M29" s="1"/>
    </row>
    <row r="30" spans="1:13" ht="20.100000000000001" customHeight="1" x14ac:dyDescent="0.25">
      <c r="D30" s="34" t="str" cm="1">
        <f t="array" ref="D30">Common_InputFunctions.Utility_DisplayArrayInTable(SourceData_OtherLivestock.SourceData_OtherLivestock_VolatileSolidsProduced_Data(),Table_SourceData_OtherLivestock_VolatileSolids[[#Headers],[Other livestock type]],0)</f>
        <v>Horses</v>
      </c>
      <c r="E30" s="34" cm="1">
        <f t="array" ref="E30">Common_InputFunctions.Utility_DisplayArrayInTable(SourceData_OtherLivestock.SourceData_OtherLivestock_VolatileSolidsProduced_Data(),Table_SourceData_OtherLivestock_VolatileSolids[[#Headers],[Other livestock type]],0)</f>
        <v>2.73</v>
      </c>
      <c r="M30" s="1"/>
    </row>
    <row r="31" spans="1:13" ht="20.100000000000001" customHeight="1" x14ac:dyDescent="0.25">
      <c r="D31" s="34" t="str" cm="1">
        <f t="array" ref="D31">Common_InputFunctions.Utility_DisplayArrayInTable(SourceData_OtherLivestock.SourceData_OtherLivestock_VolatileSolidsProduced_Data(),Table_SourceData_OtherLivestock_VolatileSolids[[#Headers],[Other livestock type]],0)</f>
        <v>Mules/asses</v>
      </c>
      <c r="E31" s="34" cm="1">
        <f t="array" ref="E31">Common_InputFunctions.Utility_DisplayArrayInTable(SourceData_OtherLivestock.SourceData_OtherLivestock_VolatileSolidsProduced_Data(),Table_SourceData_OtherLivestock_VolatileSolids[[#Headers],[Other livestock type]],0)</f>
        <v>0.91</v>
      </c>
      <c r="M31" s="1"/>
    </row>
    <row r="32" spans="1:13" ht="20.100000000000001" customHeight="1" x14ac:dyDescent="0.25">
      <c r="D32" s="34" t="str" cm="1">
        <f t="array" ref="D32">Common_InputFunctions.Utility_DisplayArrayInTable(SourceData_OtherLivestock.SourceData_OtherLivestock_VolatileSolidsProduced_Data(),Table_SourceData_OtherLivestock_VolatileSolids[[#Headers],[Other livestock type]],0)</f>
        <v>Emus/ostriches</v>
      </c>
      <c r="E32" s="34" cm="1">
        <f t="array" ref="E32">Common_InputFunctions.Utility_DisplayArrayInTable(SourceData_OtherLivestock.SourceData_OtherLivestock_VolatileSolidsProduced_Data(),Table_SourceData_OtherLivestock_VolatileSolids[[#Headers],[Other livestock type]],0)</f>
        <v>0.34</v>
      </c>
      <c r="M32" s="1"/>
    </row>
    <row r="33" spans="4:13" ht="20.100000000000001" customHeight="1" x14ac:dyDescent="0.25">
      <c r="M33" s="1"/>
    </row>
    <row r="34" spans="4:13" ht="20.100000000000001" customHeight="1" x14ac:dyDescent="0.25">
      <c r="M34" s="1"/>
    </row>
    <row r="35" spans="4:13" ht="20.100000000000001" customHeight="1" x14ac:dyDescent="0.25">
      <c r="D35" s="6" t="str" cm="1">
        <f t="array" ref="D35">SourceData_OtherLivestock.SourceData_OtherLivestock_NitrogenExcreted_Title()</f>
        <v>Other Livestock - Nitrogen excreted per livestock type</v>
      </c>
      <c r="M35" s="1"/>
    </row>
    <row r="36" spans="4:13" ht="20.100000000000001" customHeight="1" x14ac:dyDescent="0.25">
      <c r="D36" s="5" t="str" cm="1">
        <f t="array" ref="D36">SourceData_OtherLivestock.SourceData_OtherLivestock_NitrogenExcreted_Source()</f>
        <v>VEERG 2026: Table A.1.5.3</v>
      </c>
      <c r="M36" s="1"/>
    </row>
    <row r="37" spans="4:13" ht="20.100000000000001" customHeight="1" x14ac:dyDescent="0.25">
      <c r="D37" s="1" t="str" cm="1">
        <f t="array" ref="D37">SourceData_OtherLivestock.SourceData_OtherLivestock_NitrogenExcreted_Variable()</f>
        <v>NEj</v>
      </c>
      <c r="M37" s="1"/>
    </row>
    <row r="38" spans="4:13" ht="20.100000000000001" customHeight="1" x14ac:dyDescent="0.25">
      <c r="D38" s="48" t="str" cm="1">
        <f t="array" ref="D38">SourceData_OtherLivestock.SourceData_OtherLivestock_NitrogenExcreted_Unit()</f>
        <v>kg N2O / head / year</v>
      </c>
      <c r="M38" s="1"/>
    </row>
    <row r="39" spans="4:13" ht="20.100000000000001" customHeight="1" x14ac:dyDescent="0.25">
      <c r="D39" s="34" t="s">
        <v>98</v>
      </c>
      <c r="E39" s="34" t="s">
        <v>100</v>
      </c>
      <c r="M39" s="1"/>
    </row>
    <row r="40" spans="4:13" ht="20.100000000000001" customHeight="1" x14ac:dyDescent="0.25">
      <c r="D40" s="34" t="str" cm="1">
        <f t="array" ref="D40">Common_InputFunctions.Utility_DisplayArrayInTable(SourceData_OtherLivestock.SourceData_OtherLivestock_NitrogenExcreted_Data(),Table_SourceData_OtherLivestock_NitrogenExcreted[[#Headers],[Other livestock type]],0)</f>
        <v>Buffalo</v>
      </c>
      <c r="E40" s="34" cm="1">
        <f t="array" ref="E40">Common_InputFunctions.Utility_DisplayArrayInTable(SourceData_OtherLivestock.SourceData_OtherLivestock_NitrogenExcreted_Data(),Table_SourceData_OtherLivestock_NitrogenExcreted[[#Headers],[Other livestock type]],0)</f>
        <v>39.5</v>
      </c>
      <c r="M40" s="1"/>
    </row>
    <row r="41" spans="4:13" ht="20.100000000000001" customHeight="1" x14ac:dyDescent="0.25">
      <c r="D41" s="34" t="str" cm="1">
        <f t="array" ref="D41">Common_InputFunctions.Utility_DisplayArrayInTable(SourceData_OtherLivestock.SourceData_OtherLivestock_NitrogenExcreted_Data(),Table_SourceData_OtherLivestock_NitrogenExcreted[[#Headers],[Other livestock type]],0)</f>
        <v>Goats</v>
      </c>
      <c r="E41" s="34" cm="1">
        <f t="array" ref="E41">Common_InputFunctions.Utility_DisplayArrayInTable(SourceData_OtherLivestock.SourceData_OtherLivestock_NitrogenExcreted_Data(),Table_SourceData_OtherLivestock_NitrogenExcreted[[#Headers],[Other livestock type]],0)</f>
        <v>7</v>
      </c>
      <c r="M41" s="1"/>
    </row>
    <row r="42" spans="4:13" ht="20.100000000000001" customHeight="1" x14ac:dyDescent="0.25">
      <c r="D42" s="34" t="str" cm="1">
        <f t="array" ref="D42">Common_InputFunctions.Utility_DisplayArrayInTable(SourceData_OtherLivestock.SourceData_OtherLivestock_NitrogenExcreted_Data(),Table_SourceData_OtherLivestock_NitrogenExcreted[[#Headers],[Other livestock type]],0)</f>
        <v>Deer</v>
      </c>
      <c r="E42" s="34" cm="1">
        <f t="array" ref="E42">Common_InputFunctions.Utility_DisplayArrayInTable(SourceData_OtherLivestock.SourceData_OtherLivestock_NitrogenExcreted_Data(),Table_SourceData_OtherLivestock_NitrogenExcreted[[#Headers],[Other livestock type]],0)</f>
        <v>13.2</v>
      </c>
      <c r="M42" s="1"/>
    </row>
    <row r="43" spans="4:13" ht="20.100000000000001" customHeight="1" x14ac:dyDescent="0.25">
      <c r="D43" s="34" t="str" cm="1">
        <f t="array" ref="D43">Common_InputFunctions.Utility_DisplayArrayInTable(SourceData_OtherLivestock.SourceData_OtherLivestock_NitrogenExcreted_Data(),Table_SourceData_OtherLivestock_NitrogenExcreted[[#Headers],[Other livestock type]],0)</f>
        <v>Camels</v>
      </c>
      <c r="E43" s="34" cm="1">
        <f t="array" ref="E43">Common_InputFunctions.Utility_DisplayArrayInTable(SourceData_OtherLivestock.SourceData_OtherLivestock_NitrogenExcreted_Data(),Table_SourceData_OtherLivestock_NitrogenExcreted[[#Headers],[Other livestock type]],0)</f>
        <v>39.5</v>
      </c>
      <c r="M43" s="1"/>
    </row>
    <row r="44" spans="4:13" ht="20.100000000000001" customHeight="1" x14ac:dyDescent="0.25">
      <c r="D44" s="34" t="str" cm="1">
        <f t="array" ref="D44">Common_InputFunctions.Utility_DisplayArrayInTable(SourceData_OtherLivestock.SourceData_OtherLivestock_NitrogenExcreted_Data(),Table_SourceData_OtherLivestock_NitrogenExcreted[[#Headers],[Other livestock type]],0)</f>
        <v>Alpacas</v>
      </c>
      <c r="E44" s="34" cm="1">
        <f t="array" ref="E44">Common_InputFunctions.Utility_DisplayArrayInTable(SourceData_OtherLivestock.SourceData_OtherLivestock_NitrogenExcreted_Data(),Table_SourceData_OtherLivestock_NitrogenExcreted[[#Headers],[Other livestock type]],0)</f>
        <v>7</v>
      </c>
      <c r="M44" s="1"/>
    </row>
    <row r="45" spans="4:13" ht="20.100000000000001" customHeight="1" x14ac:dyDescent="0.25">
      <c r="D45" s="34" t="str" cm="1">
        <f t="array" ref="D45">Common_InputFunctions.Utility_DisplayArrayInTable(SourceData_OtherLivestock.SourceData_OtherLivestock_NitrogenExcreted_Data(),Table_SourceData_OtherLivestock_NitrogenExcreted[[#Headers],[Other livestock type]],0)</f>
        <v>Horses</v>
      </c>
      <c r="E45" s="34" cm="1">
        <f t="array" ref="E45">Common_InputFunctions.Utility_DisplayArrayInTable(SourceData_OtherLivestock.SourceData_OtherLivestock_NitrogenExcreted_Data(),Table_SourceData_OtherLivestock_NitrogenExcreted[[#Headers],[Other livestock type]],0)</f>
        <v>39.5</v>
      </c>
      <c r="M45" s="1"/>
    </row>
    <row r="46" spans="4:13" ht="20.100000000000001" customHeight="1" x14ac:dyDescent="0.25">
      <c r="D46" s="34" t="str" cm="1">
        <f t="array" ref="D46">Common_InputFunctions.Utility_DisplayArrayInTable(SourceData_OtherLivestock.SourceData_OtherLivestock_NitrogenExcreted_Data(),Table_SourceData_OtherLivestock_NitrogenExcreted[[#Headers],[Other livestock type]],0)</f>
        <v>Mules/asses</v>
      </c>
      <c r="E46" s="34" cm="1">
        <f t="array" ref="E46">Common_InputFunctions.Utility_DisplayArrayInTable(SourceData_OtherLivestock.SourceData_OtherLivestock_NitrogenExcreted_Data(),Table_SourceData_OtherLivestock_NitrogenExcreted[[#Headers],[Other livestock type]],0)</f>
        <v>13.2</v>
      </c>
      <c r="M46" s="1"/>
    </row>
    <row r="47" spans="4:13" ht="20.100000000000001" customHeight="1" x14ac:dyDescent="0.25">
      <c r="D47" s="34" t="str" cm="1">
        <f t="array" ref="D47">Common_InputFunctions.Utility_DisplayArrayInTable(SourceData_OtherLivestock.SourceData_OtherLivestock_NitrogenExcreted_Data(),Table_SourceData_OtherLivestock_NitrogenExcreted[[#Headers],[Other livestock type]],0)</f>
        <v>Emus/ostriches</v>
      </c>
      <c r="E47" s="34" cm="1">
        <f t="array" ref="E47">Common_InputFunctions.Utility_DisplayArrayInTable(SourceData_OtherLivestock.SourceData_OtherLivestock_NitrogenExcreted_Data(),Table_SourceData_OtherLivestock_NitrogenExcreted[[#Headers],[Other livestock type]],0)</f>
        <v>7</v>
      </c>
      <c r="M47" s="1"/>
    </row>
    <row r="48" spans="4:13" ht="20.100000000000001" customHeight="1" x14ac:dyDescent="0.25">
      <c r="M48" s="1"/>
    </row>
    <row r="49" spans="4:13" ht="20.100000000000001" customHeight="1" x14ac:dyDescent="0.25">
      <c r="M49" s="1"/>
    </row>
    <row r="50" spans="4:13" ht="20.100000000000001" customHeight="1" x14ac:dyDescent="0.25">
      <c r="D50" s="6" t="str" cm="1">
        <f t="array" ref="D50">SourceData_OtherLivestock.SourceData_OtherLivestock_AverageLiveweight_Title()</f>
        <v>Other Livestock - Average Liveweights</v>
      </c>
      <c r="M50" s="1"/>
    </row>
    <row r="51" spans="4:13" ht="20.100000000000001" customHeight="1" x14ac:dyDescent="0.25">
      <c r="D51" s="5" t="str" cm="1">
        <f t="array" ref="D51">SourceData_OtherLivestock.SourceData_OtherLivestock_AverageLiveweight_Source()</f>
        <v>VEERG 2026: Table A.1.5.4</v>
      </c>
      <c r="M51" s="1"/>
    </row>
    <row r="52" spans="4:13" ht="20.100000000000001" customHeight="1" x14ac:dyDescent="0.25">
      <c r="D52" s="1" t="str" cm="1">
        <f t="array" ref="D52">SourceData_OtherLivestock.SourceData_OtherLivestock_AverageLiveweight_Variable()</f>
        <v>Wco</v>
      </c>
      <c r="M52" s="1"/>
    </row>
    <row r="53" spans="4:13" ht="20.100000000000001" customHeight="1" x14ac:dyDescent="0.25">
      <c r="D53" s="48" t="str" cm="1">
        <f t="array" ref="D53">SourceData_OtherLivestock.SourceData_OtherLivestock_AverageLiveweight_Unit()</f>
        <v>kg</v>
      </c>
      <c r="M53" s="1"/>
    </row>
    <row r="54" spans="4:13" ht="20.100000000000001" customHeight="1" x14ac:dyDescent="0.25">
      <c r="D54" s="34" t="s">
        <v>98</v>
      </c>
      <c r="E54" s="34" t="s">
        <v>102</v>
      </c>
      <c r="F54" s="34" t="s">
        <v>103</v>
      </c>
      <c r="M54" s="1"/>
    </row>
    <row r="55" spans="4:13" ht="20.100000000000001" customHeight="1" x14ac:dyDescent="0.25">
      <c r="D55" s="34" t="str" cm="1">
        <f t="array" ref="D55">Common_InputFunctions.Utility_DisplayArrayInTable(SourceData_OtherLivestock.SourceData_OtherLivestock_AverageLiveweight_Data(),Table_SourceData_OtherLivestock_AverageLiveweight[[#Headers],[Other livestock type]],0)</f>
        <v>Buffalo</v>
      </c>
      <c r="E55" s="34" cm="1">
        <f t="array" ref="E55">Common_InputFunctions.Utility_DisplayArrayInTable(SourceData_OtherLivestock.SourceData_OtherLivestock_AverageLiveweight_Data(),Table_SourceData_OtherLivestock_AverageLiveweight[[#Headers],[Other livestock type]],0)</f>
        <v>336</v>
      </c>
      <c r="F55" s="34" t="str" cm="1">
        <f t="array" ref="F55">Common_InputFunctions.Utility_DisplayArrayInTable(SourceData_OtherLivestock.SourceData_OtherLivestock_AverageLiveweight_Data(),Table_SourceData_OtherLivestock_AverageLiveweight[[#Headers],[Other livestock type]],0)</f>
        <v>-</v>
      </c>
      <c r="M55" s="1"/>
    </row>
    <row r="56" spans="4:13" ht="20.100000000000001" customHeight="1" x14ac:dyDescent="0.25">
      <c r="D56" s="34" t="str" cm="1">
        <f t="array" ref="D56">Common_InputFunctions.Utility_DisplayArrayInTable(SourceData_OtherLivestock.SourceData_OtherLivestock_AverageLiveweight_Data(),Table_SourceData_OtherLivestock_AverageLiveweight[[#Headers],[Other livestock type]],0)</f>
        <v>Goats</v>
      </c>
      <c r="E56" s="34" cm="1">
        <f t="array" ref="E56">Common_InputFunctions.Utility_DisplayArrayInTable(SourceData_OtherLivestock.SourceData_OtherLivestock_AverageLiveweight_Data(),Table_SourceData_OtherLivestock_AverageLiveweight[[#Headers],[Other livestock type]],0)</f>
        <v>33</v>
      </c>
      <c r="F56" s="34" t="str" cm="1">
        <f t="array" ref="F56">Common_InputFunctions.Utility_DisplayArrayInTable(SourceData_OtherLivestock.SourceData_OtherLivestock_AverageLiveweight_Data(),Table_SourceData_OtherLivestock_AverageLiveweight[[#Headers],[Other livestock type]],0)</f>
        <v>28kg - low productivity systems</v>
      </c>
      <c r="M56" s="1"/>
    </row>
    <row r="57" spans="4:13" ht="20.100000000000001" customHeight="1" x14ac:dyDescent="0.25">
      <c r="D57" s="34" t="str" cm="1">
        <f t="array" ref="D57">Common_InputFunctions.Utility_DisplayArrayInTable(SourceData_OtherLivestock.SourceData_OtherLivestock_AverageLiveweight_Data(),Table_SourceData_OtherLivestock_AverageLiveweight[[#Headers],[Other livestock type]],0)</f>
        <v>Goats</v>
      </c>
      <c r="E57" s="34" cm="1">
        <f t="array" ref="E57">Common_InputFunctions.Utility_DisplayArrayInTable(SourceData_OtherLivestock.SourceData_OtherLivestock_AverageLiveweight_Data(),Table_SourceData_OtherLivestock_AverageLiveweight[[#Headers],[Other livestock type]],0)</f>
        <v>33</v>
      </c>
      <c r="F57" s="34" t="str" cm="1">
        <f t="array" ref="F57">Common_InputFunctions.Utility_DisplayArrayInTable(SourceData_OtherLivestock.SourceData_OtherLivestock_AverageLiveweight_Data(),Table_SourceData_OtherLivestock_AverageLiveweight[[#Headers],[Other livestock type]],0)</f>
        <v>50kg - high productivity systems</v>
      </c>
      <c r="M57" s="1"/>
    </row>
    <row r="58" spans="4:13" ht="20.100000000000001" customHeight="1" x14ac:dyDescent="0.25">
      <c r="D58" s="34" t="str" cm="1">
        <f t="array" ref="D58">Common_InputFunctions.Utility_DisplayArrayInTable(SourceData_OtherLivestock.SourceData_OtherLivestock_AverageLiveweight_Data(),Table_SourceData_OtherLivestock_AverageLiveweight[[#Headers],[Other livestock type]],0)</f>
        <v>Deer</v>
      </c>
      <c r="E58" s="34" cm="1">
        <f t="array" ref="E58">Common_InputFunctions.Utility_DisplayArrayInTable(SourceData_OtherLivestock.SourceData_OtherLivestock_AverageLiveweight_Data(),Table_SourceData_OtherLivestock_AverageLiveweight[[#Headers],[Other livestock type]],0)</f>
        <v>120</v>
      </c>
      <c r="F58" s="34" cm="1">
        <f t="array" ref="F58">Common_InputFunctions.Utility_DisplayArrayInTable(SourceData_OtherLivestock.SourceData_OtherLivestock_AverageLiveweight_Data(),Table_SourceData_OtherLivestock_AverageLiveweight[[#Headers],[Other livestock type]],0)</f>
        <v>120</v>
      </c>
      <c r="M58" s="1"/>
    </row>
    <row r="59" spans="4:13" ht="20.100000000000001" customHeight="1" x14ac:dyDescent="0.25">
      <c r="D59" s="34" t="str" cm="1">
        <f t="array" ref="D59">Common_InputFunctions.Utility_DisplayArrayInTable(SourceData_OtherLivestock.SourceData_OtherLivestock_AverageLiveweight_Data(),Table_SourceData_OtherLivestock_AverageLiveweight[[#Headers],[Other livestock type]],0)</f>
        <v>Camels</v>
      </c>
      <c r="E59" s="34" cm="1">
        <f t="array" ref="E59">Common_InputFunctions.Utility_DisplayArrayInTable(SourceData_OtherLivestock.SourceData_OtherLivestock_AverageLiveweight_Data(),Table_SourceData_OtherLivestock_AverageLiveweight[[#Headers],[Other livestock type]],0)</f>
        <v>217</v>
      </c>
      <c r="F59" s="34" cm="1">
        <f t="array" ref="F59">Common_InputFunctions.Utility_DisplayArrayInTable(SourceData_OtherLivestock.SourceData_OtherLivestock_AverageLiveweight_Data(),Table_SourceData_OtherLivestock_AverageLiveweight[[#Headers],[Other livestock type]],0)</f>
        <v>570</v>
      </c>
      <c r="M59" s="1"/>
    </row>
    <row r="60" spans="4:13" ht="20.100000000000001" customHeight="1" x14ac:dyDescent="0.25">
      <c r="D60" s="34" t="str" cm="1">
        <f t="array" ref="D60">Common_InputFunctions.Utility_DisplayArrayInTable(SourceData_OtherLivestock.SourceData_OtherLivestock_AverageLiveweight_Data(),Table_SourceData_OtherLivestock_AverageLiveweight[[#Headers],[Other livestock type]],0)</f>
        <v>Alpacas</v>
      </c>
      <c r="E60" s="34" t="str" cm="1">
        <f t="array" ref="E60">Common_InputFunctions.Utility_DisplayArrayInTable(SourceData_OtherLivestock.SourceData_OtherLivestock_AverageLiveweight_Data(),Table_SourceData_OtherLivestock_AverageLiveweight[[#Headers],[Other livestock type]],0)</f>
        <v>-</v>
      </c>
      <c r="F60" s="34" cm="1">
        <f t="array" ref="F60">Common_InputFunctions.Utility_DisplayArrayInTable(SourceData_OtherLivestock.SourceData_OtherLivestock_AverageLiveweight_Data(),Table_SourceData_OtherLivestock_AverageLiveweight[[#Headers],[Other livestock type]],0)</f>
        <v>65</v>
      </c>
      <c r="M60" s="1"/>
    </row>
    <row r="61" spans="4:13" ht="20.100000000000001" customHeight="1" x14ac:dyDescent="0.25">
      <c r="D61" s="34" t="str" cm="1">
        <f t="array" ref="D61">Common_InputFunctions.Utility_DisplayArrayInTable(SourceData_OtherLivestock.SourceData_OtherLivestock_AverageLiveweight_Data(),Table_SourceData_OtherLivestock_AverageLiveweight[[#Headers],[Other livestock type]],0)</f>
        <v>Horses</v>
      </c>
      <c r="E61" s="34" cm="1">
        <f t="array" ref="E61">Common_InputFunctions.Utility_DisplayArrayInTable(SourceData_OtherLivestock.SourceData_OtherLivestock_AverageLiveweight_Data(),Table_SourceData_OtherLivestock_AverageLiveweight[[#Headers],[Other livestock type]],0)</f>
        <v>377</v>
      </c>
      <c r="F61" s="34" cm="1">
        <f t="array" ref="F61">Common_InputFunctions.Utility_DisplayArrayInTable(SourceData_OtherLivestock.SourceData_OtherLivestock_AverageLiveweight_Data(),Table_SourceData_OtherLivestock_AverageLiveweight[[#Headers],[Other livestock type]],0)</f>
        <v>550</v>
      </c>
      <c r="M61" s="1"/>
    </row>
    <row r="62" spans="4:13" ht="20.100000000000001" customHeight="1" x14ac:dyDescent="0.25">
      <c r="D62" s="34" t="str" cm="1">
        <f t="array" ref="D62">Common_InputFunctions.Utility_DisplayArrayInTable(SourceData_OtherLivestock.SourceData_OtherLivestock_AverageLiveweight_Data(),Table_SourceData_OtherLivestock_AverageLiveweight[[#Headers],[Other livestock type]],0)</f>
        <v>Mules/asses</v>
      </c>
      <c r="E62" s="34" cm="1">
        <f t="array" ref="E62">Common_InputFunctions.Utility_DisplayArrayInTable(SourceData_OtherLivestock.SourceData_OtherLivestock_AverageLiveweight_Data(),Table_SourceData_OtherLivestock_AverageLiveweight[[#Headers],[Other livestock type]],0)</f>
        <v>130</v>
      </c>
      <c r="F62" s="34" cm="1">
        <f t="array" ref="F62">Common_InputFunctions.Utility_DisplayArrayInTable(SourceData_OtherLivestock.SourceData_OtherLivestock_AverageLiveweight_Data(),Table_SourceData_OtherLivestock_AverageLiveweight[[#Headers],[Other livestock type]],0)</f>
        <v>245</v>
      </c>
      <c r="M62" s="1"/>
    </row>
    <row r="63" spans="4:13" ht="20.100000000000001" customHeight="1" x14ac:dyDescent="0.25">
      <c r="D63" s="34" t="str" cm="1">
        <f t="array" ref="D63">Common_InputFunctions.Utility_DisplayArrayInTable(SourceData_OtherLivestock.SourceData_OtherLivestock_AverageLiveweight_Data(),Table_SourceData_OtherLivestock_AverageLiveweight[[#Headers],[Other livestock type]],0)</f>
        <v>Emus/ostriches</v>
      </c>
      <c r="E63" s="34" cm="1">
        <f t="array" ref="E63">Common_InputFunctions.Utility_DisplayArrayInTable(SourceData_OtherLivestock.SourceData_OtherLivestock_AverageLiveweight_Data(),Table_SourceData_OtherLivestock_AverageLiveweight[[#Headers],[Other livestock type]],0)</f>
        <v>120</v>
      </c>
      <c r="F63" s="34" cm="1">
        <f t="array" ref="F63">Common_InputFunctions.Utility_DisplayArrayInTable(SourceData_OtherLivestock.SourceData_OtherLivestock_AverageLiveweight_Data(),Table_SourceData_OtherLivestock_AverageLiveweight[[#Headers],[Other livestock type]],0)</f>
        <v>120</v>
      </c>
      <c r="M63" s="1"/>
    </row>
    <row r="64" spans="4:13" ht="20.100000000000001" customHeight="1" x14ac:dyDescent="0.25">
      <c r="D64" s="34" t="str" cm="1">
        <f t="array" ref="D64">Common_InputFunctions.Utility_DisplayArrayInTable(SourceData_OtherLivestock.SourceData_OtherLivestock_AverageLiveweight_Data(),Table_SourceData_OtherLivestock_AverageLiveweight[[#Headers],[Other livestock type]],0)</f>
        <v>Reference</v>
      </c>
      <c r="E64" s="34" t="str" cm="1">
        <f t="array" ref="E64">Common_InputFunctions.Utility_DisplayArrayInTable(SourceData_OtherLivestock.SourceData_OtherLivestock_AverageLiveweight_Data(),Table_SourceData_OtherLivestock_AverageLiveweight[[#Headers],[Other livestock type]],0)</f>
        <v>IPCC 2019 Table 10A.5 [2]</v>
      </c>
      <c r="F64" s="34" t="str" cm="1">
        <f t="array" ref="F64">Common_InputFunctions.Utility_DisplayArrayInTable(SourceData_OtherLivestock.SourceData_OtherLivestock_AverageLiveweight_Data(),Table_SourceData_OtherLivestock_AverageLiveweight[[#Headers],[Other livestock type]],0)</f>
        <v>IPCC 2019 Table 10.10 [2]</v>
      </c>
      <c r="M64" s="1"/>
    </row>
    <row r="65" spans="4:13" ht="20.100000000000001" customHeight="1" x14ac:dyDescent="0.25">
      <c r="M65" s="1"/>
    </row>
    <row r="66" spans="4:13" ht="20.100000000000001" customHeight="1" x14ac:dyDescent="0.25">
      <c r="M66" s="1"/>
    </row>
    <row r="67" spans="4:13" ht="20.100000000000001" customHeight="1" x14ac:dyDescent="0.25">
      <c r="D67" s="6" t="str" cm="1">
        <f t="array" ref="D67">SourceData_OtherLivestock.SourceData_OtherLivestock_FractionWasteInMMS_Title()</f>
        <v>Other Livestock - Fraction of waste in each manure management system</v>
      </c>
      <c r="M67" s="1"/>
    </row>
    <row r="68" spans="4:13" ht="20.100000000000001" customHeight="1" x14ac:dyDescent="0.25">
      <c r="D68" s="5" t="str" cm="1">
        <f t="array" ref="D68">SourceData_OtherLivestock.SourceData_OtherLivestock_FractionWasteInMMS_Source()</f>
        <v>VEERG 2026: Table A.1.5.5</v>
      </c>
      <c r="M68" s="1"/>
    </row>
    <row r="69" spans="4:13" ht="20.100000000000001" customHeight="1" x14ac:dyDescent="0.25">
      <c r="D69" s="1" t="str" cm="1">
        <f t="array" ref="D69">SourceData_OtherLivestock.SourceData_OtherLivestock_FractionWasteInMMS_Variable()</f>
        <v>MMSm</v>
      </c>
      <c r="M69" s="1"/>
    </row>
    <row r="70" spans="4:13" ht="20.100000000000001" customHeight="1" x14ac:dyDescent="0.25">
      <c r="D70" s="48" t="str" cm="1">
        <f t="array" ref="D70">SourceData_OtherLivestock.SourceData_OtherLivestock_FractionWasteInMMS_Unit()</f>
        <v>fraction</v>
      </c>
      <c r="M70" s="1"/>
    </row>
    <row r="71" spans="4:13" ht="20.100000000000001" customHeight="1" x14ac:dyDescent="0.25">
      <c r="D71" s="34" t="s">
        <v>98</v>
      </c>
      <c r="E71" s="34" t="s">
        <v>92</v>
      </c>
      <c r="F71" s="45" t="s">
        <v>104</v>
      </c>
      <c r="M71" s="1"/>
    </row>
    <row r="72" spans="4:13" ht="20.100000000000001" customHeight="1" x14ac:dyDescent="0.25">
      <c r="D72" s="34" t="str" cm="1">
        <f t="array" ref="D72">Common_InputFunctions.Utility_DisplayArrayInTable(SourceData_OtherLivestock.SourceData_OtherLivestock_FractionWasteInMMS_Data(),Table_SourceData_OtherLivestock_FractionWasteInMMS[[#Headers],[Other livestock type]],0)</f>
        <v>ACT</v>
      </c>
      <c r="E72" s="34" cm="1">
        <f t="array" ref="E72">Common_InputFunctions.Utility_DisplayArrayInTable(SourceData_OtherLivestock.SourceData_OtherLivestock_FractionWasteInMMS_Data(),Table_SourceData_OtherLivestock_FractionWasteInMMS[[#Headers],[Other livestock type]],0)</f>
        <v>99.66</v>
      </c>
      <c r="F72" s="34" cm="1">
        <f t="array" ref="F72">Common_InputFunctions.Utility_DisplayArrayInTable(SourceData_OtherLivestock.SourceData_OtherLivestock_FractionWasteInMMS_Data(),Table_SourceData_OtherLivestock_FractionWasteInMMS[[#Headers],[Other livestock type]],0)</f>
        <v>0.34</v>
      </c>
      <c r="M72" s="1"/>
    </row>
    <row r="73" spans="4:13" ht="20.100000000000001" customHeight="1" x14ac:dyDescent="0.25">
      <c r="D73" s="34" t="str" cm="1">
        <f t="array" ref="D73">Common_InputFunctions.Utility_DisplayArrayInTable(SourceData_OtherLivestock.SourceData_OtherLivestock_FractionWasteInMMS_Data(),Table_SourceData_OtherLivestock_FractionWasteInMMS[[#Headers],[Other livestock type]],0)</f>
        <v>NSW</v>
      </c>
      <c r="E73" s="34" cm="1">
        <f t="array" ref="E73">Common_InputFunctions.Utility_DisplayArrayInTable(SourceData_OtherLivestock.SourceData_OtherLivestock_FractionWasteInMMS_Data(),Table_SourceData_OtherLivestock_FractionWasteInMMS[[#Headers],[Other livestock type]],0)</f>
        <v>99.66</v>
      </c>
      <c r="F73" s="34" cm="1">
        <f t="array" ref="F73">Common_InputFunctions.Utility_DisplayArrayInTable(SourceData_OtherLivestock.SourceData_OtherLivestock_FractionWasteInMMS_Data(),Table_SourceData_OtherLivestock_FractionWasteInMMS[[#Headers],[Other livestock type]],0)</f>
        <v>0.34</v>
      </c>
      <c r="M73" s="1"/>
    </row>
    <row r="74" spans="4:13" ht="20.100000000000001" customHeight="1" x14ac:dyDescent="0.25">
      <c r="D74" s="34" t="str" cm="1">
        <f t="array" ref="D74">Common_InputFunctions.Utility_DisplayArrayInTable(SourceData_OtherLivestock.SourceData_OtherLivestock_FractionWasteInMMS_Data(),Table_SourceData_OtherLivestock_FractionWasteInMMS[[#Headers],[Other livestock type]],0)</f>
        <v>NT</v>
      </c>
      <c r="E74" s="34" cm="1">
        <f t="array" ref="E74">Common_InputFunctions.Utility_DisplayArrayInTable(SourceData_OtherLivestock.SourceData_OtherLivestock_FractionWasteInMMS_Data(),Table_SourceData_OtherLivestock_FractionWasteInMMS[[#Headers],[Other livestock type]],0)</f>
        <v>99.66</v>
      </c>
      <c r="F74" s="34" cm="1">
        <f t="array" ref="F74">Common_InputFunctions.Utility_DisplayArrayInTable(SourceData_OtherLivestock.SourceData_OtherLivestock_FractionWasteInMMS_Data(),Table_SourceData_OtherLivestock_FractionWasteInMMS[[#Headers],[Other livestock type]],0)</f>
        <v>0.34</v>
      </c>
      <c r="M74" s="1"/>
    </row>
    <row r="75" spans="4:13" ht="20.100000000000001" customHeight="1" x14ac:dyDescent="0.25">
      <c r="D75" s="34" t="str" cm="1">
        <f t="array" ref="D75">Common_InputFunctions.Utility_DisplayArrayInTable(SourceData_OtherLivestock.SourceData_OtherLivestock_FractionWasteInMMS_Data(),Table_SourceData_OtherLivestock_FractionWasteInMMS[[#Headers],[Other livestock type]],0)</f>
        <v>QLD</v>
      </c>
      <c r="E75" s="34" cm="1">
        <f t="array" ref="E75">Common_InputFunctions.Utility_DisplayArrayInTable(SourceData_OtherLivestock.SourceData_OtherLivestock_FractionWasteInMMS_Data(),Table_SourceData_OtherLivestock_FractionWasteInMMS[[#Headers],[Other livestock type]],0)</f>
        <v>99.66</v>
      </c>
      <c r="F75" s="34" cm="1">
        <f t="array" ref="F75">Common_InputFunctions.Utility_DisplayArrayInTable(SourceData_OtherLivestock.SourceData_OtherLivestock_FractionWasteInMMS_Data(),Table_SourceData_OtherLivestock_FractionWasteInMMS[[#Headers],[Other livestock type]],0)</f>
        <v>0.34</v>
      </c>
      <c r="M75" s="1"/>
    </row>
    <row r="76" spans="4:13" ht="20.100000000000001" customHeight="1" x14ac:dyDescent="0.25">
      <c r="D76" s="34" t="str" cm="1">
        <f t="array" ref="D76">Common_InputFunctions.Utility_DisplayArrayInTable(SourceData_OtherLivestock.SourceData_OtherLivestock_FractionWasteInMMS_Data(),Table_SourceData_OtherLivestock_FractionWasteInMMS[[#Headers],[Other livestock type]],0)</f>
        <v>SA</v>
      </c>
      <c r="E76" s="34" cm="1">
        <f t="array" ref="E76">Common_InputFunctions.Utility_DisplayArrayInTable(SourceData_OtherLivestock.SourceData_OtherLivestock_FractionWasteInMMS_Data(),Table_SourceData_OtherLivestock_FractionWasteInMMS[[#Headers],[Other livestock type]],0)</f>
        <v>99.66</v>
      </c>
      <c r="F76" s="34" cm="1">
        <f t="array" ref="F76">Common_InputFunctions.Utility_DisplayArrayInTable(SourceData_OtherLivestock.SourceData_OtherLivestock_FractionWasteInMMS_Data(),Table_SourceData_OtherLivestock_FractionWasteInMMS[[#Headers],[Other livestock type]],0)</f>
        <v>0.34</v>
      </c>
      <c r="M76" s="1"/>
    </row>
    <row r="77" spans="4:13" ht="20.100000000000001" customHeight="1" x14ac:dyDescent="0.25">
      <c r="D77" s="34" t="str" cm="1">
        <f t="array" ref="D77">Common_InputFunctions.Utility_DisplayArrayInTable(SourceData_OtherLivestock.SourceData_OtherLivestock_FractionWasteInMMS_Data(),Table_SourceData_OtherLivestock_FractionWasteInMMS[[#Headers],[Other livestock type]],0)</f>
        <v>TAS</v>
      </c>
      <c r="E77" s="34" cm="1">
        <f t="array" ref="E77">Common_InputFunctions.Utility_DisplayArrayInTable(SourceData_OtherLivestock.SourceData_OtherLivestock_FractionWasteInMMS_Data(),Table_SourceData_OtherLivestock_FractionWasteInMMS[[#Headers],[Other livestock type]],0)</f>
        <v>99.66</v>
      </c>
      <c r="F77" s="34" cm="1">
        <f t="array" ref="F77">Common_InputFunctions.Utility_DisplayArrayInTable(SourceData_OtherLivestock.SourceData_OtherLivestock_FractionWasteInMMS_Data(),Table_SourceData_OtherLivestock_FractionWasteInMMS[[#Headers],[Other livestock type]],0)</f>
        <v>0.34</v>
      </c>
      <c r="M77" s="1"/>
    </row>
    <row r="78" spans="4:13" ht="20.100000000000001" customHeight="1" x14ac:dyDescent="0.25">
      <c r="D78" s="34" t="str" cm="1">
        <f t="array" ref="D78">Common_InputFunctions.Utility_DisplayArrayInTable(SourceData_OtherLivestock.SourceData_OtherLivestock_FractionWasteInMMS_Data(),Table_SourceData_OtherLivestock_FractionWasteInMMS[[#Headers],[Other livestock type]],0)</f>
        <v>VIC</v>
      </c>
      <c r="E78" s="34" cm="1">
        <f t="array" ref="E78">Common_InputFunctions.Utility_DisplayArrayInTable(SourceData_OtherLivestock.SourceData_OtherLivestock_FractionWasteInMMS_Data(),Table_SourceData_OtherLivestock_FractionWasteInMMS[[#Headers],[Other livestock type]],0)</f>
        <v>99.66</v>
      </c>
      <c r="F78" s="34" cm="1">
        <f t="array" ref="F78">Common_InputFunctions.Utility_DisplayArrayInTable(SourceData_OtherLivestock.SourceData_OtherLivestock_FractionWasteInMMS_Data(),Table_SourceData_OtherLivestock_FractionWasteInMMS[[#Headers],[Other livestock type]],0)</f>
        <v>0.34</v>
      </c>
      <c r="M78" s="1"/>
    </row>
    <row r="79" spans="4:13" ht="20.100000000000001" customHeight="1" x14ac:dyDescent="0.25">
      <c r="D79" s="34" t="str" cm="1">
        <f t="array" ref="D79">Common_InputFunctions.Utility_DisplayArrayInTable(SourceData_OtherLivestock.SourceData_OtherLivestock_FractionWasteInMMS_Data(),Table_SourceData_OtherLivestock_FractionWasteInMMS[[#Headers],[Other livestock type]],0)</f>
        <v>WA</v>
      </c>
      <c r="E79" s="34" cm="1">
        <f t="array" ref="E79">Common_InputFunctions.Utility_DisplayArrayInTable(SourceData_OtherLivestock.SourceData_OtherLivestock_FractionWasteInMMS_Data(),Table_SourceData_OtherLivestock_FractionWasteInMMS[[#Headers],[Other livestock type]],0)</f>
        <v>99.66</v>
      </c>
      <c r="F79" s="34" cm="1">
        <f t="array" ref="F79">Common_InputFunctions.Utility_DisplayArrayInTable(SourceData_OtherLivestock.SourceData_OtherLivestock_FractionWasteInMMS_Data(),Table_SourceData_OtherLivestock_FractionWasteInMMS[[#Headers],[Other livestock type]],0)</f>
        <v>0.34</v>
      </c>
      <c r="M79" s="1"/>
    </row>
    <row r="80" spans="4:13" ht="20.100000000000001" customHeight="1" x14ac:dyDescent="0.25">
      <c r="M80" s="1"/>
    </row>
    <row r="81" spans="4:13" ht="20.100000000000001" customHeight="1" x14ac:dyDescent="0.25">
      <c r="M81" s="1"/>
    </row>
    <row r="82" spans="4:13" ht="20.100000000000001" customHeight="1" x14ac:dyDescent="0.25">
      <c r="D82" s="6" t="str" cm="1">
        <f t="array" ref="D82">SourceData_OtherLivestock.SourceData_OtherLivestock_MethaneConversionFactor_Title()</f>
        <v>Other Livestock - Methane conversion factor per region</v>
      </c>
      <c r="M82" s="1"/>
    </row>
    <row r="83" spans="4:13" ht="20.100000000000001" customHeight="1" x14ac:dyDescent="0.25">
      <c r="D83" s="5" t="str" cm="1">
        <f t="array" ref="D83">SourceData_OtherLivestock.SourceData_OtherLivestock_MethaneConversionFactor_Source()</f>
        <v>VEERG 2026: Table A.1.5.6</v>
      </c>
      <c r="M83" s="1"/>
    </row>
    <row r="84" spans="4:13" ht="20.100000000000001" customHeight="1" x14ac:dyDescent="0.25">
      <c r="D84" s="1" t="str" cm="1">
        <f t="array" ref="D84">SourceData_OtherLivestock.SourceData_OtherLivestock_MethaneConversionFactor_Variable()</f>
        <v>MCFim</v>
      </c>
      <c r="M84" s="1"/>
    </row>
    <row r="85" spans="4:13" ht="20.100000000000001" customHeight="1" x14ac:dyDescent="0.25">
      <c r="D85" s="48" t="str" cm="1">
        <f t="array" ref="D85">SourceData_OtherLivestock.SourceData_OtherLivestock_MethaneConversionFactor_Unit()</f>
        <v>fraction</v>
      </c>
      <c r="M85" s="1"/>
    </row>
    <row r="86" spans="4:13" ht="20.100000000000001" customHeight="1" x14ac:dyDescent="0.25">
      <c r="D86" s="34" t="s">
        <v>98</v>
      </c>
      <c r="E86" s="34" t="s">
        <v>92</v>
      </c>
      <c r="F86" s="45" t="s">
        <v>104</v>
      </c>
      <c r="M86" s="1"/>
    </row>
    <row r="87" spans="4:13" ht="20.100000000000001" customHeight="1" x14ac:dyDescent="0.25">
      <c r="D87" s="34" t="str" cm="1">
        <f t="array" ref="D87">Common_InputFunctions.Utility_DisplayArrayInTable(SourceData_OtherLivestock.SourceData_OtherLivestock_MethaneConversionFactor_Data(),Table_SourceData_OtherLivestock_MCF[[#Headers],[Other livestock type]],0)</f>
        <v>ACT</v>
      </c>
      <c r="E87" s="34" cm="1">
        <f t="array" ref="E87">Common_InputFunctions.Utility_DisplayArrayInTable(SourceData_OtherLivestock.SourceData_OtherLivestock_MethaneConversionFactor_Data(),Table_SourceData_OtherLivestock_MCF[[#Headers],[Other livestock type]],0)</f>
        <v>4.7000000000000002E-3</v>
      </c>
      <c r="F87" s="34" cm="1">
        <f t="array" ref="F87">Common_InputFunctions.Utility_DisplayArrayInTable(SourceData_OtherLivestock.SourceData_OtherLivestock_MethaneConversionFactor_Data(),Table_SourceData_OtherLivestock_MCF[[#Headers],[Other livestock type]],0)</f>
        <v>0.71</v>
      </c>
      <c r="M87" s="1"/>
    </row>
    <row r="88" spans="4:13" ht="20.100000000000001" customHeight="1" x14ac:dyDescent="0.25">
      <c r="D88" s="34" t="str" cm="1">
        <f t="array" ref="D88">Common_InputFunctions.Utility_DisplayArrayInTable(SourceData_OtherLivestock.SourceData_OtherLivestock_MethaneConversionFactor_Data(),Table_SourceData_OtherLivestock_MCF[[#Headers],[Other livestock type]],0)</f>
        <v>NSW</v>
      </c>
      <c r="E88" s="34" cm="1">
        <f t="array" ref="E88">Common_InputFunctions.Utility_DisplayArrayInTable(SourceData_OtherLivestock.SourceData_OtherLivestock_MethaneConversionFactor_Data(),Table_SourceData_OtherLivestock_MCF[[#Headers],[Other livestock type]],0)</f>
        <v>4.7000000000000002E-3</v>
      </c>
      <c r="F88" s="34" cm="1">
        <f t="array" ref="F88">Common_InputFunctions.Utility_DisplayArrayInTable(SourceData_OtherLivestock.SourceData_OtherLivestock_MethaneConversionFactor_Data(),Table_SourceData_OtherLivestock_MCF[[#Headers],[Other livestock type]],0)</f>
        <v>0.75</v>
      </c>
      <c r="M88" s="1"/>
    </row>
    <row r="89" spans="4:13" ht="20.100000000000001" customHeight="1" x14ac:dyDescent="0.25">
      <c r="D89" s="34" t="str" cm="1">
        <f t="array" ref="D89">Common_InputFunctions.Utility_DisplayArrayInTable(SourceData_OtherLivestock.SourceData_OtherLivestock_MethaneConversionFactor_Data(),Table_SourceData_OtherLivestock_MCF[[#Headers],[Other livestock type]],0)</f>
        <v>NT</v>
      </c>
      <c r="E89" s="34" cm="1">
        <f t="array" ref="E89">Common_InputFunctions.Utility_DisplayArrayInTable(SourceData_OtherLivestock.SourceData_OtherLivestock_MethaneConversionFactor_Data(),Table_SourceData_OtherLivestock_MCF[[#Headers],[Other livestock type]],0)</f>
        <v>4.7000000000000002E-3</v>
      </c>
      <c r="F89" s="34" cm="1">
        <f t="array" ref="F89">Common_InputFunctions.Utility_DisplayArrayInTable(SourceData_OtherLivestock.SourceData_OtherLivestock_MethaneConversionFactor_Data(),Table_SourceData_OtherLivestock_MCF[[#Headers],[Other livestock type]],0)</f>
        <v>0.8</v>
      </c>
      <c r="M89" s="1"/>
    </row>
    <row r="90" spans="4:13" ht="20.100000000000001" customHeight="1" x14ac:dyDescent="0.25">
      <c r="D90" s="34" t="str" cm="1">
        <f t="array" ref="D90">Common_InputFunctions.Utility_DisplayArrayInTable(SourceData_OtherLivestock.SourceData_OtherLivestock_MethaneConversionFactor_Data(),Table_SourceData_OtherLivestock_MCF[[#Headers],[Other livestock type]],0)</f>
        <v>QLD</v>
      </c>
      <c r="E90" s="34" cm="1">
        <f t="array" ref="E90">Common_InputFunctions.Utility_DisplayArrayInTable(SourceData_OtherLivestock.SourceData_OtherLivestock_MethaneConversionFactor_Data(),Table_SourceData_OtherLivestock_MCF[[#Headers],[Other livestock type]],0)</f>
        <v>4.7000000000000002E-3</v>
      </c>
      <c r="F90" s="34" cm="1">
        <f t="array" ref="F90">Common_InputFunctions.Utility_DisplayArrayInTable(SourceData_OtherLivestock.SourceData_OtherLivestock_MethaneConversionFactor_Data(),Table_SourceData_OtherLivestock_MCF[[#Headers],[Other livestock type]],0)</f>
        <v>0.78</v>
      </c>
      <c r="M90" s="1"/>
    </row>
    <row r="91" spans="4:13" ht="20.100000000000001" customHeight="1" x14ac:dyDescent="0.25">
      <c r="D91" s="34" t="str" cm="1">
        <f t="array" ref="D91">Common_InputFunctions.Utility_DisplayArrayInTable(SourceData_OtherLivestock.SourceData_OtherLivestock_MethaneConversionFactor_Data(),Table_SourceData_OtherLivestock_MCF[[#Headers],[Other livestock type]],0)</f>
        <v>SA</v>
      </c>
      <c r="E91" s="34" cm="1">
        <f t="array" ref="E91">Common_InputFunctions.Utility_DisplayArrayInTable(SourceData_OtherLivestock.SourceData_OtherLivestock_MethaneConversionFactor_Data(),Table_SourceData_OtherLivestock_MCF[[#Headers],[Other livestock type]],0)</f>
        <v>4.7000000000000002E-3</v>
      </c>
      <c r="F91" s="34" cm="1">
        <f t="array" ref="F91">Common_InputFunctions.Utility_DisplayArrayInTable(SourceData_OtherLivestock.SourceData_OtherLivestock_MethaneConversionFactor_Data(),Table_SourceData_OtherLivestock_MCF[[#Headers],[Other livestock type]],0)</f>
        <v>0.74</v>
      </c>
      <c r="M91" s="1"/>
    </row>
    <row r="92" spans="4:13" ht="20.100000000000001" customHeight="1" x14ac:dyDescent="0.25">
      <c r="D92" s="34" t="str" cm="1">
        <f t="array" ref="D92">Common_InputFunctions.Utility_DisplayArrayInTable(SourceData_OtherLivestock.SourceData_OtherLivestock_MethaneConversionFactor_Data(),Table_SourceData_OtherLivestock_MCF[[#Headers],[Other livestock type]],0)</f>
        <v>TAS</v>
      </c>
      <c r="E92" s="34" cm="1">
        <f t="array" ref="E92">Common_InputFunctions.Utility_DisplayArrayInTable(SourceData_OtherLivestock.SourceData_OtherLivestock_MethaneConversionFactor_Data(),Table_SourceData_OtherLivestock_MCF[[#Headers],[Other livestock type]],0)</f>
        <v>4.7000000000000002E-3</v>
      </c>
      <c r="F92" s="34" cm="1">
        <f t="array" ref="F92">Common_InputFunctions.Utility_DisplayArrayInTable(SourceData_OtherLivestock.SourceData_OtherLivestock_MethaneConversionFactor_Data(),Table_SourceData_OtherLivestock_MCF[[#Headers],[Other livestock type]],0)</f>
        <v>0.7</v>
      </c>
      <c r="M92" s="1"/>
    </row>
    <row r="93" spans="4:13" ht="20.100000000000001" customHeight="1" x14ac:dyDescent="0.25">
      <c r="D93" s="34" t="str" cm="1">
        <f t="array" ref="D93">Common_InputFunctions.Utility_DisplayArrayInTable(SourceData_OtherLivestock.SourceData_OtherLivestock_MethaneConversionFactor_Data(),Table_SourceData_OtherLivestock_MCF[[#Headers],[Other livestock type]],0)</f>
        <v>VIC</v>
      </c>
      <c r="E93" s="34" cm="1">
        <f t="array" ref="E93">Common_InputFunctions.Utility_DisplayArrayInTable(SourceData_OtherLivestock.SourceData_OtherLivestock_MethaneConversionFactor_Data(),Table_SourceData_OtherLivestock_MCF[[#Headers],[Other livestock type]],0)</f>
        <v>4.7000000000000002E-3</v>
      </c>
      <c r="F93" s="34" cm="1">
        <f t="array" ref="F93">Common_InputFunctions.Utility_DisplayArrayInTable(SourceData_OtherLivestock.SourceData_OtherLivestock_MethaneConversionFactor_Data(),Table_SourceData_OtherLivestock_MCF[[#Headers],[Other livestock type]],0)</f>
        <v>0.74</v>
      </c>
      <c r="M93" s="1"/>
    </row>
    <row r="94" spans="4:13" ht="20.100000000000001" customHeight="1" x14ac:dyDescent="0.25">
      <c r="D94" s="34" t="str" cm="1">
        <f t="array" ref="D94">Common_InputFunctions.Utility_DisplayArrayInTable(SourceData_OtherLivestock.SourceData_OtherLivestock_MethaneConversionFactor_Data(),Table_SourceData_OtherLivestock_MCF[[#Headers],[Other livestock type]],0)</f>
        <v>WA</v>
      </c>
      <c r="E94" s="34" cm="1">
        <f t="array" ref="E94">Common_InputFunctions.Utility_DisplayArrayInTable(SourceData_OtherLivestock.SourceData_OtherLivestock_MethaneConversionFactor_Data(),Table_SourceData_OtherLivestock_MCF[[#Headers],[Other livestock type]],0)</f>
        <v>4.7000000000000002E-3</v>
      </c>
      <c r="F94" s="34" cm="1">
        <f t="array" ref="F94">Common_InputFunctions.Utility_DisplayArrayInTable(SourceData_OtherLivestock.SourceData_OtherLivestock_MethaneConversionFactor_Data(),Table_SourceData_OtherLivestock_MCF[[#Headers],[Other livestock type]],0)</f>
        <v>0.76</v>
      </c>
      <c r="M94" s="1"/>
    </row>
    <row r="95" spans="4:13" ht="20.100000000000001" customHeight="1" x14ac:dyDescent="0.25">
      <c r="M95" s="1"/>
    </row>
    <row r="96" spans="4:13" ht="20.100000000000001" customHeight="1" x14ac:dyDescent="0.25">
      <c r="M96" s="1"/>
    </row>
    <row r="97" spans="13:13" ht="20.100000000000001" customHeight="1" x14ac:dyDescent="0.25">
      <c r="M97" s="1"/>
    </row>
    <row r="98" spans="13:13" ht="20.100000000000001" customHeight="1" x14ac:dyDescent="0.25">
      <c r="M98" s="1"/>
    </row>
    <row r="99" spans="13:13" ht="20.100000000000001" customHeight="1" x14ac:dyDescent="0.25">
      <c r="M99" s="1"/>
    </row>
    <row r="100" spans="13:13" ht="20.100000000000001" customHeight="1" x14ac:dyDescent="0.25">
      <c r="M100" s="1"/>
    </row>
    <row r="101" spans="13:13" ht="20.100000000000001" customHeight="1" x14ac:dyDescent="0.25">
      <c r="M101" s="1"/>
    </row>
    <row r="102" spans="13:13" ht="20.100000000000001" customHeight="1" x14ac:dyDescent="0.25">
      <c r="M102" s="1"/>
    </row>
    <row r="103" spans="13:13" ht="20.100000000000001" customHeight="1" x14ac:dyDescent="0.25">
      <c r="M103" s="1"/>
    </row>
    <row r="104" spans="13:13" ht="20.100000000000001" customHeight="1" x14ac:dyDescent="0.25">
      <c r="M104" s="1"/>
    </row>
    <row r="105" spans="13:13" ht="20.100000000000001" customHeight="1" x14ac:dyDescent="0.25">
      <c r="M105" s="1"/>
    </row>
    <row r="106" spans="13:13" ht="20.100000000000001" customHeight="1" x14ac:dyDescent="0.25">
      <c r="M106" s="1"/>
    </row>
    <row r="107" spans="13:13" ht="20.100000000000001" customHeight="1" x14ac:dyDescent="0.25">
      <c r="M107" s="1"/>
    </row>
    <row r="108" spans="13:13" ht="20.100000000000001" customHeight="1" x14ac:dyDescent="0.25">
      <c r="M108" s="1"/>
    </row>
    <row r="109" spans="13:13" ht="20.100000000000001" customHeight="1" x14ac:dyDescent="0.25">
      <c r="M109" s="1"/>
    </row>
    <row r="110" spans="13:13" ht="20.100000000000001" customHeight="1" x14ac:dyDescent="0.25">
      <c r="M110" s="1"/>
    </row>
    <row r="111" spans="13:13" ht="20.100000000000001" customHeight="1" x14ac:dyDescent="0.25">
      <c r="M111" s="1"/>
    </row>
    <row r="112" spans="13:13" ht="20.100000000000001" customHeight="1" x14ac:dyDescent="0.25">
      <c r="M112" s="1"/>
    </row>
    <row r="113" spans="13:22" ht="20.100000000000001" customHeight="1" x14ac:dyDescent="0.25">
      <c r="M113" s="1"/>
    </row>
    <row r="114" spans="13:22" ht="20.100000000000001" customHeight="1" x14ac:dyDescent="0.25">
      <c r="M114" s="1"/>
    </row>
    <row r="115" spans="13:22" ht="20.100000000000001" customHeight="1" x14ac:dyDescent="0.25">
      <c r="M115" s="1"/>
      <c r="V115" s="1"/>
    </row>
    <row r="116" spans="13:22" ht="20.100000000000001" customHeight="1" x14ac:dyDescent="0.25">
      <c r="M116" s="1"/>
      <c r="V116" s="1"/>
    </row>
    <row r="117" spans="13:22" ht="20.100000000000001" customHeight="1" x14ac:dyDescent="0.25">
      <c r="M117" s="1"/>
      <c r="V117" s="1"/>
    </row>
    <row r="118" spans="13:22" ht="20.100000000000001" customHeight="1" x14ac:dyDescent="0.25">
      <c r="M118" s="1"/>
    </row>
    <row r="119" spans="13:22" ht="20.100000000000001" customHeight="1" x14ac:dyDescent="0.25">
      <c r="M119" s="1"/>
    </row>
    <row r="120" spans="13:22" ht="20.100000000000001" customHeight="1" x14ac:dyDescent="0.25">
      <c r="M120" s="1"/>
    </row>
    <row r="121" spans="13:22" ht="20.100000000000001" customHeight="1" x14ac:dyDescent="0.25">
      <c r="M121" s="1"/>
    </row>
    <row r="122" spans="13:22" ht="20.100000000000001" customHeight="1" x14ac:dyDescent="0.25">
      <c r="M122" s="1"/>
    </row>
    <row r="123" spans="13:22" ht="20.100000000000001" customHeight="1" x14ac:dyDescent="0.25">
      <c r="M123" s="1"/>
    </row>
    <row r="124" spans="13:22" ht="20.100000000000001" customHeight="1" x14ac:dyDescent="0.25">
      <c r="M124" s="21"/>
    </row>
    <row r="125" spans="13:22" ht="20.100000000000001" customHeight="1" x14ac:dyDescent="0.25">
      <c r="M125" s="21"/>
    </row>
    <row r="126" spans="13:22" ht="20.100000000000001" customHeight="1" x14ac:dyDescent="0.25">
      <c r="M126" s="21"/>
    </row>
    <row r="127" spans="13:22" ht="20.100000000000001" customHeight="1" x14ac:dyDescent="0.25">
      <c r="M127" s="21"/>
    </row>
    <row r="128" spans="13:22" ht="20.100000000000001" customHeight="1" x14ac:dyDescent="0.25">
      <c r="M128" s="21"/>
    </row>
    <row r="129" spans="13:13" ht="20.100000000000001" customHeight="1" x14ac:dyDescent="0.25">
      <c r="M129" s="21"/>
    </row>
    <row r="130" spans="13:13" ht="20.100000000000001" customHeight="1" x14ac:dyDescent="0.25">
      <c r="M130" s="21"/>
    </row>
    <row r="131" spans="13:13" ht="20.100000000000001" customHeight="1" x14ac:dyDescent="0.25">
      <c r="M131" s="21"/>
    </row>
    <row r="132" spans="13:13" ht="20.100000000000001" customHeight="1" x14ac:dyDescent="0.25">
      <c r="M132" s="21"/>
    </row>
    <row r="133" spans="13:13" ht="20.100000000000001" customHeight="1" x14ac:dyDescent="0.25">
      <c r="M133" s="21"/>
    </row>
    <row r="134" spans="13:13" ht="20.100000000000001" customHeight="1" x14ac:dyDescent="0.25">
      <c r="M134" s="21"/>
    </row>
    <row r="135" spans="13:13" ht="20.100000000000001" customHeight="1" x14ac:dyDescent="0.25">
      <c r="M135" s="21"/>
    </row>
    <row r="136" spans="13:13" ht="20.100000000000001" customHeight="1" x14ac:dyDescent="0.25">
      <c r="M136" s="21"/>
    </row>
    <row r="137" spans="13:13" ht="20.100000000000001" customHeight="1" x14ac:dyDescent="0.25">
      <c r="M137" s="21"/>
    </row>
    <row r="138" spans="13:13" ht="20.100000000000001" customHeight="1" x14ac:dyDescent="0.25">
      <c r="M138" s="21"/>
    </row>
    <row r="139" spans="13:13" ht="20.100000000000001" customHeight="1" x14ac:dyDescent="0.25">
      <c r="M139" s="21"/>
    </row>
    <row r="140" spans="13:13" ht="20.100000000000001" customHeight="1" x14ac:dyDescent="0.25">
      <c r="M140" s="21"/>
    </row>
    <row r="141" spans="13:13" ht="20.100000000000001" customHeight="1" x14ac:dyDescent="0.25">
      <c r="M141" s="21"/>
    </row>
    <row r="142" spans="13:13" ht="20.100000000000001" customHeight="1" x14ac:dyDescent="0.25">
      <c r="M142" s="21"/>
    </row>
    <row r="143" spans="13:13" ht="20.100000000000001" customHeight="1" x14ac:dyDescent="0.25">
      <c r="M143" s="21"/>
    </row>
    <row r="144" spans="13:13" ht="20.100000000000001" customHeight="1" x14ac:dyDescent="0.25">
      <c r="M144" s="21"/>
    </row>
    <row r="145" spans="13:13" ht="20.100000000000001" customHeight="1" x14ac:dyDescent="0.25">
      <c r="M145" s="21"/>
    </row>
    <row r="146" spans="13:13" ht="20.100000000000001" customHeight="1" x14ac:dyDescent="0.25">
      <c r="M146" s="21"/>
    </row>
    <row r="147" spans="13:13" ht="20.100000000000001" customHeight="1" x14ac:dyDescent="0.25">
      <c r="M147" s="21"/>
    </row>
    <row r="148" spans="13:13" ht="20.100000000000001" customHeight="1" x14ac:dyDescent="0.25">
      <c r="M148" s="21"/>
    </row>
    <row r="149" spans="13:13" ht="20.100000000000001" customHeight="1" x14ac:dyDescent="0.25">
      <c r="M149" s="21"/>
    </row>
    <row r="150" spans="13:13" ht="20.100000000000001" customHeight="1" x14ac:dyDescent="0.25">
      <c r="M150" s="21"/>
    </row>
    <row r="151" spans="13:13" ht="20.100000000000001" customHeight="1" x14ac:dyDescent="0.25">
      <c r="M151" s="21"/>
    </row>
    <row r="152" spans="13:13" ht="20.100000000000001" customHeight="1" x14ac:dyDescent="0.25">
      <c r="M152" s="21"/>
    </row>
    <row r="153" spans="13:13" ht="20.100000000000001" customHeight="1" x14ac:dyDescent="0.25">
      <c r="M153" s="21"/>
    </row>
    <row r="154" spans="13:13" ht="20.100000000000001" customHeight="1" x14ac:dyDescent="0.25">
      <c r="M154" s="21"/>
    </row>
    <row r="155" spans="13:13" ht="20.100000000000001" customHeight="1" x14ac:dyDescent="0.25">
      <c r="M155" s="21"/>
    </row>
    <row r="156" spans="13:13" ht="20.100000000000001" customHeight="1" x14ac:dyDescent="0.25">
      <c r="M156" s="21"/>
    </row>
    <row r="157" spans="13:13" ht="20.100000000000001" customHeight="1" x14ac:dyDescent="0.25">
      <c r="M157" s="21"/>
    </row>
    <row r="158" spans="13:13" ht="20.100000000000001" customHeight="1" x14ac:dyDescent="0.25">
      <c r="M158" s="21"/>
    </row>
    <row r="159" spans="13:13" ht="20.100000000000001" customHeight="1" x14ac:dyDescent="0.25">
      <c r="M159" s="21"/>
    </row>
    <row r="160" spans="13:13" ht="20.100000000000001" customHeight="1" x14ac:dyDescent="0.25">
      <c r="M160" s="21"/>
    </row>
    <row r="161" spans="13:13" ht="20.100000000000001" customHeight="1" x14ac:dyDescent="0.25">
      <c r="M161" s="21"/>
    </row>
    <row r="162" spans="13:13" ht="20.100000000000001" customHeight="1" x14ac:dyDescent="0.25">
      <c r="M162" s="21"/>
    </row>
    <row r="163" spans="13:13" ht="20.100000000000001" customHeight="1" x14ac:dyDescent="0.25">
      <c r="M163" s="21"/>
    </row>
    <row r="164" spans="13:13" ht="20.100000000000001" customHeight="1" x14ac:dyDescent="0.25">
      <c r="M164" s="21"/>
    </row>
    <row r="165" spans="13:13" ht="20.100000000000001" customHeight="1" x14ac:dyDescent="0.25">
      <c r="M165" s="21"/>
    </row>
    <row r="166" spans="13:13" x14ac:dyDescent="0.25">
      <c r="M166" s="21"/>
    </row>
    <row r="167" spans="13:13" x14ac:dyDescent="0.25">
      <c r="M167" s="21"/>
    </row>
    <row r="168" spans="13:13" x14ac:dyDescent="0.25">
      <c r="M168" s="21"/>
    </row>
    <row r="169" spans="13:13" x14ac:dyDescent="0.25">
      <c r="M169" s="21"/>
    </row>
    <row r="170" spans="13:13" x14ac:dyDescent="0.25">
      <c r="M170" s="21"/>
    </row>
    <row r="171" spans="13:13" x14ac:dyDescent="0.25">
      <c r="M171" s="21"/>
    </row>
    <row r="172" spans="13:13" x14ac:dyDescent="0.25">
      <c r="M172" s="21"/>
    </row>
    <row r="173" spans="13:13" x14ac:dyDescent="0.25">
      <c r="M173" s="21"/>
    </row>
    <row r="174" spans="13:13" x14ac:dyDescent="0.25">
      <c r="M174" s="21"/>
    </row>
    <row r="175" spans="13:13" x14ac:dyDescent="0.25">
      <c r="M175" s="21"/>
    </row>
    <row r="176" spans="13:13" x14ac:dyDescent="0.25">
      <c r="M176" s="21"/>
    </row>
    <row r="177" spans="13:13" x14ac:dyDescent="0.25">
      <c r="M177" s="21"/>
    </row>
    <row r="178" spans="13:13" x14ac:dyDescent="0.25">
      <c r="M178" s="21"/>
    </row>
    <row r="179" spans="13:13" x14ac:dyDescent="0.25">
      <c r="M179" s="21"/>
    </row>
    <row r="180" spans="13:13" x14ac:dyDescent="0.25">
      <c r="M180" s="21"/>
    </row>
    <row r="181" spans="13:13" x14ac:dyDescent="0.25">
      <c r="M181" s="21"/>
    </row>
    <row r="182" spans="13:13" x14ac:dyDescent="0.25">
      <c r="M182" s="21"/>
    </row>
    <row r="183" spans="13:13" x14ac:dyDescent="0.25">
      <c r="M183" s="21"/>
    </row>
    <row r="184" spans="13:13" x14ac:dyDescent="0.25">
      <c r="M184" s="21"/>
    </row>
    <row r="185" spans="13:13" x14ac:dyDescent="0.25">
      <c r="M185" s="21"/>
    </row>
    <row r="186" spans="13:13" x14ac:dyDescent="0.25">
      <c r="M186" s="21"/>
    </row>
    <row r="187" spans="13:13" x14ac:dyDescent="0.25">
      <c r="M187" s="21"/>
    </row>
    <row r="188" spans="13:13" x14ac:dyDescent="0.25">
      <c r="M188" s="21"/>
    </row>
    <row r="189" spans="13:13" x14ac:dyDescent="0.25">
      <c r="M189" s="21"/>
    </row>
    <row r="190" spans="13:13" x14ac:dyDescent="0.25">
      <c r="M190" s="21"/>
    </row>
    <row r="191" spans="13:13" x14ac:dyDescent="0.25">
      <c r="M191" s="21"/>
    </row>
    <row r="192" spans="13:13" x14ac:dyDescent="0.25">
      <c r="M192" s="21"/>
    </row>
    <row r="193" spans="13:13" x14ac:dyDescent="0.25">
      <c r="M193" s="21"/>
    </row>
    <row r="194" spans="13:13" x14ac:dyDescent="0.25">
      <c r="M194" s="21"/>
    </row>
    <row r="195" spans="13:13" x14ac:dyDescent="0.25">
      <c r="M195" s="21"/>
    </row>
    <row r="196" spans="13:13" x14ac:dyDescent="0.25">
      <c r="M196" s="21"/>
    </row>
    <row r="197" spans="13:13" x14ac:dyDescent="0.25">
      <c r="M197" s="21"/>
    </row>
    <row r="198" spans="13:13" x14ac:dyDescent="0.25">
      <c r="M198" s="21"/>
    </row>
    <row r="199" spans="13:13" x14ac:dyDescent="0.25">
      <c r="M199" s="21"/>
    </row>
    <row r="200" spans="13:13" x14ac:dyDescent="0.25">
      <c r="M200" s="21"/>
    </row>
    <row r="201" spans="13:13" x14ac:dyDescent="0.25">
      <c r="M201" s="21"/>
    </row>
    <row r="202" spans="13:13" x14ac:dyDescent="0.25">
      <c r="M202" s="21"/>
    </row>
    <row r="203" spans="13:13" x14ac:dyDescent="0.25">
      <c r="M203" s="21"/>
    </row>
    <row r="204" spans="13:13" x14ac:dyDescent="0.25">
      <c r="M204" s="21"/>
    </row>
    <row r="205" spans="13:13" x14ac:dyDescent="0.25">
      <c r="M205" s="21"/>
    </row>
    <row r="206" spans="13:13" x14ac:dyDescent="0.25">
      <c r="M206" s="21"/>
    </row>
    <row r="207" spans="13:13" x14ac:dyDescent="0.25">
      <c r="M207" s="21"/>
    </row>
    <row r="208" spans="13:13" x14ac:dyDescent="0.25">
      <c r="M208" s="21"/>
    </row>
    <row r="209" spans="13:13" x14ac:dyDescent="0.25">
      <c r="M209" s="21"/>
    </row>
    <row r="210" spans="13:13" x14ac:dyDescent="0.25">
      <c r="M210" s="21"/>
    </row>
    <row r="211" spans="13:13" x14ac:dyDescent="0.25">
      <c r="M211" s="21"/>
    </row>
    <row r="212" spans="13:13" x14ac:dyDescent="0.25">
      <c r="M212" s="21"/>
    </row>
    <row r="213" spans="13:13" x14ac:dyDescent="0.25">
      <c r="M213" s="21"/>
    </row>
    <row r="214" spans="13:13" x14ac:dyDescent="0.25">
      <c r="M214" s="21"/>
    </row>
    <row r="215" spans="13:13" x14ac:dyDescent="0.25">
      <c r="M215" s="21"/>
    </row>
    <row r="216" spans="13:13" x14ac:dyDescent="0.25">
      <c r="M216" s="21"/>
    </row>
    <row r="217" spans="13:13" x14ac:dyDescent="0.25">
      <c r="M217" s="21"/>
    </row>
    <row r="218" spans="13:13" x14ac:dyDescent="0.25">
      <c r="M218" s="21"/>
    </row>
    <row r="219" spans="13:13" x14ac:dyDescent="0.25">
      <c r="M219" s="21"/>
    </row>
    <row r="220" spans="13:13" x14ac:dyDescent="0.25">
      <c r="M220" s="21"/>
    </row>
    <row r="221" spans="13:13" x14ac:dyDescent="0.25">
      <c r="M221" s="21"/>
    </row>
    <row r="222" spans="13:13" x14ac:dyDescent="0.25">
      <c r="M222" s="21"/>
    </row>
    <row r="223" spans="13:13" x14ac:dyDescent="0.25">
      <c r="M223" s="21"/>
    </row>
    <row r="224" spans="13:13" x14ac:dyDescent="0.25">
      <c r="M224" s="21"/>
    </row>
    <row r="225" spans="13:13" x14ac:dyDescent="0.25">
      <c r="M225" s="21"/>
    </row>
    <row r="226" spans="13:13" x14ac:dyDescent="0.25">
      <c r="M226" s="21"/>
    </row>
    <row r="227" spans="13:13" x14ac:dyDescent="0.25">
      <c r="M227" s="21"/>
    </row>
    <row r="228" spans="13:13" x14ac:dyDescent="0.25">
      <c r="M228" s="21"/>
    </row>
    <row r="229" spans="13:13" x14ac:dyDescent="0.25">
      <c r="M229" s="21"/>
    </row>
    <row r="230" spans="13:13" x14ac:dyDescent="0.25">
      <c r="M230" s="21"/>
    </row>
    <row r="231" spans="13:13" x14ac:dyDescent="0.25">
      <c r="M231" s="21"/>
    </row>
    <row r="232" spans="13:13" x14ac:dyDescent="0.25">
      <c r="M232" s="21"/>
    </row>
    <row r="233" spans="13:13" x14ac:dyDescent="0.25">
      <c r="M233" s="21"/>
    </row>
    <row r="234" spans="13:13" x14ac:dyDescent="0.25">
      <c r="M234" s="21"/>
    </row>
    <row r="235" spans="13:13" x14ac:dyDescent="0.25">
      <c r="M235" s="21"/>
    </row>
    <row r="236" spans="13:13" x14ac:dyDescent="0.25">
      <c r="M236" s="21"/>
    </row>
    <row r="237" spans="13:13" x14ac:dyDescent="0.25">
      <c r="M237" s="21"/>
    </row>
    <row r="238" spans="13:13" x14ac:dyDescent="0.25">
      <c r="M238" s="21"/>
    </row>
    <row r="239" spans="13:13" x14ac:dyDescent="0.25">
      <c r="M239" s="21"/>
    </row>
    <row r="240" spans="13:13" x14ac:dyDescent="0.25">
      <c r="M240" s="21"/>
    </row>
    <row r="241" spans="13:13" x14ac:dyDescent="0.25">
      <c r="M241" s="21"/>
    </row>
    <row r="242" spans="13:13" x14ac:dyDescent="0.25">
      <c r="M242" s="21"/>
    </row>
    <row r="243" spans="13:13" x14ac:dyDescent="0.25">
      <c r="M243" s="21"/>
    </row>
    <row r="244" spans="13:13" x14ac:dyDescent="0.25">
      <c r="M244" s="21"/>
    </row>
    <row r="245" spans="13:13" x14ac:dyDescent="0.25">
      <c r="M245" s="21"/>
    </row>
    <row r="246" spans="13:13" x14ac:dyDescent="0.25">
      <c r="M246" s="21"/>
    </row>
    <row r="247" spans="13:13" x14ac:dyDescent="0.25">
      <c r="M247" s="21"/>
    </row>
    <row r="248" spans="13:13" x14ac:dyDescent="0.25">
      <c r="M248" s="21"/>
    </row>
    <row r="249" spans="13:13" x14ac:dyDescent="0.25">
      <c r="M249" s="21"/>
    </row>
    <row r="250" spans="13:13" x14ac:dyDescent="0.25">
      <c r="M250" s="21"/>
    </row>
    <row r="251" spans="13:13" x14ac:dyDescent="0.25">
      <c r="M251" s="21"/>
    </row>
    <row r="252" spans="13:13" x14ac:dyDescent="0.25">
      <c r="M252" s="21"/>
    </row>
    <row r="253" spans="13:13" x14ac:dyDescent="0.25">
      <c r="M253" s="21"/>
    </row>
    <row r="254" spans="13:13" x14ac:dyDescent="0.25">
      <c r="M254" s="21"/>
    </row>
    <row r="255" spans="13:13" x14ac:dyDescent="0.25">
      <c r="M255" s="21"/>
    </row>
    <row r="256" spans="13:13" x14ac:dyDescent="0.25">
      <c r="M256" s="21"/>
    </row>
    <row r="257" spans="13:13" x14ac:dyDescent="0.25">
      <c r="M257" s="21"/>
    </row>
    <row r="258" spans="13:13" x14ac:dyDescent="0.25">
      <c r="M258" s="21"/>
    </row>
    <row r="259" spans="13:13" x14ac:dyDescent="0.25">
      <c r="M259" s="21"/>
    </row>
    <row r="260" spans="13:13" x14ac:dyDescent="0.25">
      <c r="M260" s="21"/>
    </row>
    <row r="261" spans="13:13" x14ac:dyDescent="0.25">
      <c r="M261" s="21"/>
    </row>
    <row r="262" spans="13:13" x14ac:dyDescent="0.25">
      <c r="M262" s="21"/>
    </row>
    <row r="263" spans="13:13" x14ac:dyDescent="0.25">
      <c r="M263" s="21"/>
    </row>
    <row r="264" spans="13:13" x14ac:dyDescent="0.25">
      <c r="M264" s="21"/>
    </row>
    <row r="265" spans="13:13" x14ac:dyDescent="0.25">
      <c r="M265" s="21"/>
    </row>
    <row r="266" spans="13:13" x14ac:dyDescent="0.25">
      <c r="M266" s="21"/>
    </row>
    <row r="267" spans="13:13" x14ac:dyDescent="0.25">
      <c r="M267" s="21"/>
    </row>
    <row r="268" spans="13:13" x14ac:dyDescent="0.25">
      <c r="M268" s="21"/>
    </row>
    <row r="269" spans="13:13" x14ac:dyDescent="0.25">
      <c r="M269" s="21"/>
    </row>
    <row r="270" spans="13:13" x14ac:dyDescent="0.25">
      <c r="M270" s="21"/>
    </row>
    <row r="271" spans="13:13" x14ac:dyDescent="0.25">
      <c r="M271" s="21"/>
    </row>
    <row r="272" spans="13:13" x14ac:dyDescent="0.25">
      <c r="M272" s="21"/>
    </row>
    <row r="273" spans="13:13" x14ac:dyDescent="0.25">
      <c r="M273" s="21"/>
    </row>
    <row r="274" spans="13:13" x14ac:dyDescent="0.25">
      <c r="M274" s="21"/>
    </row>
    <row r="275" spans="13:13" x14ac:dyDescent="0.25">
      <c r="M275" s="21"/>
    </row>
    <row r="276" spans="13:13" x14ac:dyDescent="0.25">
      <c r="M276" s="21"/>
    </row>
    <row r="277" spans="13:13" x14ac:dyDescent="0.25">
      <c r="M277" s="21"/>
    </row>
    <row r="278" spans="13:13" x14ac:dyDescent="0.25">
      <c r="M278" s="21"/>
    </row>
    <row r="279" spans="13:13" x14ac:dyDescent="0.25">
      <c r="M279" s="21"/>
    </row>
    <row r="280" spans="13:13" x14ac:dyDescent="0.25">
      <c r="M280" s="21"/>
    </row>
    <row r="281" spans="13:13" x14ac:dyDescent="0.25">
      <c r="M281" s="21"/>
    </row>
    <row r="282" spans="13:13" x14ac:dyDescent="0.25">
      <c r="M282" s="21"/>
    </row>
    <row r="283" spans="13:13" x14ac:dyDescent="0.25">
      <c r="M283" s="21"/>
    </row>
    <row r="284" spans="13:13" x14ac:dyDescent="0.25">
      <c r="M284" s="21"/>
    </row>
    <row r="285" spans="13:13" x14ac:dyDescent="0.25">
      <c r="M285" s="21"/>
    </row>
    <row r="286" spans="13:13" x14ac:dyDescent="0.25">
      <c r="M286" s="21"/>
    </row>
    <row r="287" spans="13:13" x14ac:dyDescent="0.25">
      <c r="M287" s="21"/>
    </row>
    <row r="288" spans="13:13" x14ac:dyDescent="0.25">
      <c r="M288" s="21"/>
    </row>
  </sheetData>
  <pageMargins left="0.7" right="0.7" top="0.75" bottom="0.75" header="0.3" footer="0.3"/>
  <tableParts count="6">
    <tablePart r:id="rId1"/>
    <tablePart r:id="rId2"/>
    <tablePart r:id="rId3"/>
    <tablePart r:id="rId4"/>
    <tablePart r:id="rId5"/>
    <tablePart r:id="rId6"/>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2EF11-8D19-4DD3-83AF-06D2DF259991}">
  <sheetPr>
    <tabColor theme="2" tint="-0.499984740745262"/>
  </sheetPr>
  <dimension ref="A1:BY297"/>
  <sheetViews>
    <sheetView showGridLines="0" topLeftCell="A239" zoomScaleNormal="100" workbookViewId="0">
      <selection activeCell="I279" sqref="I279"/>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52</v>
      </c>
    </row>
    <row r="2" spans="1:65" s="9" customFormat="1" ht="20.100000000000001" customHeight="1" x14ac:dyDescent="0.25">
      <c r="A2"/>
    </row>
    <row r="3" spans="1:65" ht="20.100000000000001" customHeight="1" x14ac:dyDescent="0.25">
      <c r="A3" s="17" t="str">
        <f>HYPERLINK("#'Home'!A1", "Home")</f>
        <v>Home</v>
      </c>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s="104" t="s">
        <v>1</v>
      </c>
      <c r="D6" s="34" t="s">
        <v>9</v>
      </c>
      <c r="E6" s="34" t="s">
        <v>10</v>
      </c>
      <c r="F6" s="34" t="s">
        <v>11</v>
      </c>
    </row>
    <row r="7" spans="1:65" ht="20.100000000000001" customHeight="1" x14ac:dyDescent="0.25">
      <c r="A7" s="55" t="str">
        <f>HYPERLINK("#'Constants - Common'!A1", "Constants - Common")</f>
        <v>Constants - Common</v>
      </c>
      <c r="D7" s="34" t="str" cm="1">
        <f t="array" ref="D7">Common_InputFunctions.Utility_DisplayArrayInTable(Common_SourceData.Common_SourceData_AustralianStatesTerritories_Data(),Table_AustralianStates[[#Headers],[State/Territory]],0)</f>
        <v>New South Wales</v>
      </c>
      <c r="E7" s="34" t="str" cm="1">
        <f t="array" ref="E7">Common_InputFunctions.Utility_DisplayArrayInTable(Common_SourceData.Common_SourceData_AustralianStatesTerritories_Data(),Table_AustralianStates[[#Headers],[State/Territory]],0)</f>
        <v>New South Wales</v>
      </c>
      <c r="F7" s="34" t="str" cm="1">
        <f t="array" ref="F7">Common_InputFunctions.Utility_DisplayArrayInTable(Common_SourceData.Common_SourceData_AustralianStatesTerritories_Data(),Table_AustralianStates[[#Headers],[State/Territory]],0)</f>
        <v>NSW</v>
      </c>
    </row>
    <row r="8" spans="1:65" ht="20.100000000000001" customHeight="1" x14ac:dyDescent="0.25">
      <c r="A8" s="17" t="str">
        <f>HYPERLINK("#'Acknowledgements'!A1", "Acknowledgements")</f>
        <v>Acknowledgements</v>
      </c>
      <c r="D8" s="34" t="str" cm="1">
        <f t="array" ref="D8">Common_InputFunctions.Utility_DisplayArrayInTable(Common_SourceData.Common_SourceData_AustralianStatesTerritories_Data(),Table_AustralianStates[[#Headers],[State/Territory]],0)</f>
        <v>Australian Capital Territory</v>
      </c>
      <c r="E8" s="34" t="str" cm="1">
        <f t="array" ref="E8">Common_InputFunctions.Utility_DisplayArrayInTable(Common_SourceData.Common_SourceData_AustralianStatesTerritories_Data(),Table_AustralianStates[[#Headers],[State/Territory]],0)</f>
        <v>ACT</v>
      </c>
      <c r="F8" s="34" t="str" cm="1">
        <f t="array" ref="F8">Common_InputFunctions.Utility_DisplayArrayInTable(Common_SourceData.Common_SourceData_AustralianStatesTerritories_Data(),Table_AustralianStates[[#Headers],[State/Territory]],0)</f>
        <v>ACT</v>
      </c>
    </row>
    <row r="9" spans="1:65" ht="20.100000000000001" customHeight="1" x14ac:dyDescent="0.25">
      <c r="A9"/>
      <c r="D9" s="34" t="str" cm="1">
        <f t="array" ref="D9">Common_InputFunctions.Utility_DisplayArrayInTable(Common_SourceData.Common_SourceData_AustralianStatesTerritories_Data(),Table_AustralianStates[[#Headers],[State/Territory]],0)</f>
        <v>Victoria</v>
      </c>
      <c r="E9" s="34" t="str" cm="1">
        <f t="array" ref="E9">Common_InputFunctions.Utility_DisplayArrayInTable(Common_SourceData.Common_SourceData_AustralianStatesTerritories_Data(),Table_AustralianStates[[#Headers],[State/Territory]],0)</f>
        <v>Victoria</v>
      </c>
      <c r="F9" s="34"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4" t="str" cm="1">
        <f t="array" ref="D10">Common_InputFunctions.Utility_DisplayArrayInTable(Common_SourceData.Common_SourceData_AustralianStatesTerritories_Data(),Table_AustralianStates[[#Headers],[State/Territory]],0)</f>
        <v>Queensland</v>
      </c>
      <c r="E10" s="34" t="str" cm="1">
        <f t="array" ref="E10">Common_InputFunctions.Utility_DisplayArrayInTable(Common_SourceData.Common_SourceData_AustralianStatesTerritories_Data(),Table_AustralianStates[[#Headers],[State/Territory]],0)</f>
        <v>Queensland</v>
      </c>
      <c r="F10" s="34"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4" t="str" cm="1">
        <f t="array" ref="D11">Common_InputFunctions.Utility_DisplayArrayInTable(Common_SourceData.Common_SourceData_AustralianStatesTerritories_Data(),Table_AustralianStates[[#Headers],[State/Territory]],0)</f>
        <v>South Australia</v>
      </c>
      <c r="E11" s="34" t="str" cm="1">
        <f t="array" ref="E11">Common_InputFunctions.Utility_DisplayArrayInTable(Common_SourceData.Common_SourceData_AustralianStatesTerritories_Data(),Table_AustralianStates[[#Headers],[State/Territory]],0)</f>
        <v>South Australia</v>
      </c>
      <c r="F11" s="34"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4" t="str" cm="1">
        <f t="array" ref="D12">Common_InputFunctions.Utility_DisplayArrayInTable(Common_SourceData.Common_SourceData_AustralianStatesTerritories_Data(),Table_AustralianStates[[#Headers],[State/Territory]],0)</f>
        <v>Western Australia</v>
      </c>
      <c r="E12" s="34" t="str" cm="1">
        <f t="array" ref="E12">Common_InputFunctions.Utility_DisplayArrayInTable(Common_SourceData.Common_SourceData_AustralianStatesTerritories_Data(),Table_AustralianStates[[#Headers],[State/Territory]],0)</f>
        <v>Western Australia</v>
      </c>
      <c r="F12" s="34"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4" t="str" cm="1">
        <f t="array" ref="D13">Common_InputFunctions.Utility_DisplayArrayInTable(Common_SourceData.Common_SourceData_AustralianStatesTerritories_Data(),Table_AustralianStates[[#Headers],[State/Territory]],0)</f>
        <v>Tasmania</v>
      </c>
      <c r="E13" s="34" t="str" cm="1">
        <f t="array" ref="E13">Common_InputFunctions.Utility_DisplayArrayInTable(Common_SourceData.Common_SourceData_AustralianStatesTerritories_Data(),Table_AustralianStates[[#Headers],[State/Territory]],0)</f>
        <v>Tasmania</v>
      </c>
      <c r="F13" s="34"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4" t="str" cm="1">
        <f t="array" ref="D14">Common_InputFunctions.Utility_DisplayArrayInTable(Common_SourceData.Common_SourceData_AustralianStatesTerritories_Data(),Table_AustralianStates[[#Headers],[State/Territory]],0)</f>
        <v>Northern Territory</v>
      </c>
      <c r="E14" s="34" t="str" cm="1">
        <f t="array" ref="E14">Common_InputFunctions.Utility_DisplayArrayInTable(Common_SourceData.Common_SourceData_AustralianStatesTerritories_Data(),Table_AustralianStates[[#Headers],[State/Territory]],0)</f>
        <v>Northern Territory</v>
      </c>
      <c r="F14" s="34"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4" t="s">
        <v>12</v>
      </c>
    </row>
    <row r="21" spans="1:4" ht="20.100000000000001" customHeight="1" x14ac:dyDescent="0.25">
      <c r="A21"/>
      <c r="D21" s="34" t="str" cm="1">
        <f t="array" ref="D21">Common_InputFunctions.Utility_DisplayArrayInTable(Common_SourceData.Common_SourceData_WASA4Areas_Data(), Table_WASA4Areas[[#Headers],[SA 4 Name]], 0)</f>
        <v>Bunbury</v>
      </c>
    </row>
    <row r="22" spans="1:4" ht="20.100000000000001" customHeight="1" x14ac:dyDescent="0.25">
      <c r="A22"/>
      <c r="D22" s="34" t="str" cm="1">
        <f t="array" ref="D22">Common_InputFunctions.Utility_DisplayArrayInTable(Common_SourceData.Common_SourceData_WASA4Areas_Data(), Table_WASA4Areas[[#Headers],[SA 4 Name]], 0)</f>
        <v>Mandurah</v>
      </c>
    </row>
    <row r="23" spans="1:4" ht="20.100000000000001" customHeight="1" x14ac:dyDescent="0.25">
      <c r="A23"/>
      <c r="D23" s="34" t="str" cm="1">
        <f t="array" ref="D23">Common_InputFunctions.Utility_DisplayArrayInTable(Common_SourceData.Common_SourceData_WASA4Areas_Data(), Table_WASA4Areas[[#Headers],[SA 4 Name]], 0)</f>
        <v>Perth - Inner</v>
      </c>
    </row>
    <row r="24" spans="1:4" ht="20.100000000000001" customHeight="1" x14ac:dyDescent="0.25">
      <c r="A24"/>
      <c r="D24" s="34" t="str" cm="1">
        <f t="array" ref="D24">Common_InputFunctions.Utility_DisplayArrayInTable(Common_SourceData.Common_SourceData_WASA4Areas_Data(), Table_WASA4Areas[[#Headers],[SA 4 Name]], 0)</f>
        <v>Perth - North East</v>
      </c>
    </row>
    <row r="25" spans="1:4" ht="20.100000000000001" customHeight="1" x14ac:dyDescent="0.25">
      <c r="A25"/>
      <c r="D25" s="34" t="str" cm="1">
        <f t="array" ref="D25">Common_InputFunctions.Utility_DisplayArrayInTable(Common_SourceData.Common_SourceData_WASA4Areas_Data(), Table_WASA4Areas[[#Headers],[SA 4 Name]], 0)</f>
        <v>Perth - North West</v>
      </c>
    </row>
    <row r="26" spans="1:4" ht="20.100000000000001" customHeight="1" x14ac:dyDescent="0.25">
      <c r="A26"/>
      <c r="D26" s="34" t="str" cm="1">
        <f t="array" ref="D26">Common_InputFunctions.Utility_DisplayArrayInTable(Common_SourceData.Common_SourceData_WASA4Areas_Data(), Table_WASA4Areas[[#Headers],[SA 4 Name]], 0)</f>
        <v>Perth - South East</v>
      </c>
    </row>
    <row r="27" spans="1:4" ht="20.100000000000001" customHeight="1" x14ac:dyDescent="0.25">
      <c r="A27"/>
      <c r="D27" s="34" t="str" cm="1">
        <f t="array" ref="D27">Common_InputFunctions.Utility_DisplayArrayInTable(Common_SourceData.Common_SourceData_WASA4Areas_Data(), Table_WASA4Areas[[#Headers],[SA 4 Name]], 0)</f>
        <v>Perth - South West</v>
      </c>
    </row>
    <row r="28" spans="1:4" ht="20.100000000000001" customHeight="1" x14ac:dyDescent="0.25">
      <c r="A28"/>
      <c r="D28" s="34"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4"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4"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4" t="s">
        <v>14</v>
      </c>
      <c r="E36" s="34" t="s">
        <v>15</v>
      </c>
    </row>
    <row r="37" spans="1:8" ht="20.100000000000001" customHeight="1" x14ac:dyDescent="0.25">
      <c r="A37"/>
      <c r="D37" s="34" t="str" cm="1">
        <f t="array" ref="D37">Common_InputFunctions.Utility_DisplayArrayInTable(Common_SourceData.Common_SourceData_GWP_Data(), Table_GWPData[[#Headers],[Gas]], 0)</f>
        <v>CO2</v>
      </c>
      <c r="E37" s="34" cm="1">
        <f t="array" ref="E37">Common_InputFunctions.Utility_DisplayArrayInTable(Common_SourceData.Common_SourceData_GWP_Data(), Table_GWPData[[#Headers],[Gas]], 0)</f>
        <v>1</v>
      </c>
    </row>
    <row r="38" spans="1:8" ht="20.100000000000001" customHeight="1" x14ac:dyDescent="0.25">
      <c r="A38"/>
      <c r="D38" s="34" t="str" cm="1">
        <f t="array" ref="D38">Common_InputFunctions.Utility_DisplayArrayInTable(Common_SourceData.Common_SourceData_GWP_Data(), Table_GWPData[[#Headers],[Gas]], 0)</f>
        <v>CH4</v>
      </c>
      <c r="E38" s="34" cm="1">
        <f t="array" ref="E38">Common_InputFunctions.Utility_DisplayArrayInTable(Common_SourceData.Common_SourceData_GWP_Data(), Table_GWPData[[#Headers],[Gas]], 0)</f>
        <v>28</v>
      </c>
    </row>
    <row r="39" spans="1:8" ht="20.100000000000001" customHeight="1" x14ac:dyDescent="0.25">
      <c r="A39"/>
      <c r="D39" s="34" t="str" cm="1">
        <f t="array" ref="D39">Common_InputFunctions.Utility_DisplayArrayInTable(Common_SourceData.Common_SourceData_GWP_Data(), Table_GWPData[[#Headers],[Gas]], 0)</f>
        <v>N2O</v>
      </c>
      <c r="E39" s="34" cm="1">
        <f t="array" ref="E39">Common_InputFunctions.Utility_DisplayArrayInTable(Common_SourceData.Common_SourceData_GWP_Data(), Table_GWPData[[#Headers],[Gas]], 0)</f>
        <v>265</v>
      </c>
    </row>
    <row r="40" spans="1:8" ht="20.100000000000001" customHeight="1" x14ac:dyDescent="0.25">
      <c r="A40"/>
      <c r="D40" s="34" t="str" cm="1">
        <f t="array" ref="D40">Common_InputFunctions.Utility_DisplayArrayInTable(Common_SourceData.Common_SourceData_GWP_Data(), Table_GWPData[[#Headers],[Gas]], 0)</f>
        <v>CF4</v>
      </c>
      <c r="E40" s="34" cm="1">
        <f t="array" ref="E40">Common_InputFunctions.Utility_DisplayArrayInTable(Common_SourceData.Common_SourceData_GWP_Data(), Table_GWPData[[#Headers],[Gas]], 0)</f>
        <v>6630</v>
      </c>
    </row>
    <row r="41" spans="1:8" ht="20.100000000000001" customHeight="1" x14ac:dyDescent="0.25">
      <c r="A41"/>
      <c r="D41" s="34" t="str" cm="1">
        <f t="array" ref="D41">Common_InputFunctions.Utility_DisplayArrayInTable(Common_SourceData.Common_SourceData_GWP_Data(), Table_GWPData[[#Headers],[Gas]], 0)</f>
        <v>C2F6</v>
      </c>
      <c r="E41" s="34" cm="1">
        <f t="array" ref="E41">Common_InputFunctions.Utility_DisplayArrayInTable(Common_SourceData.Common_SourceData_GWP_Data(), Table_GWPData[[#Headers],[Gas]], 0)</f>
        <v>12200</v>
      </c>
    </row>
    <row r="42" spans="1:8" ht="20.100000000000001" customHeight="1" x14ac:dyDescent="0.25">
      <c r="A42"/>
      <c r="D42" s="34" t="str" cm="1">
        <f t="array" ref="D42">Common_InputFunctions.Utility_DisplayArrayInTable(Common_SourceData.Common_SourceData_GWP_Data(), Table_GWPData[[#Headers],[Gas]], 0)</f>
        <v>SF6</v>
      </c>
      <c r="E42" s="34" cm="1">
        <f t="array" ref="E42">Common_InputFunctions.Utility_DisplayArrayInTable(Common_SourceData.Common_SourceData_GWP_Data(), Table_GWPData[[#Headers],[Gas]], 0)</f>
        <v>22800</v>
      </c>
    </row>
    <row r="43" spans="1:8" ht="20.100000000000001" customHeight="1" x14ac:dyDescent="0.25">
      <c r="A43"/>
      <c r="D43" s="34" t="str" cm="1">
        <f t="array" ref="D43">Common_InputFunctions.Utility_DisplayArrayInTable(Common_SourceData.Common_SourceData_GWP_Data(), Table_GWPData[[#Headers],[Gas]], 0)</f>
        <v>NF3</v>
      </c>
      <c r="E43" s="34"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6" t="str" cm="1">
        <f t="array" ref="D45">Common_SourceData.Common_SourceData_ConvertGasElementalToMolecular_Title()</f>
        <v>Factor to convert elemental mass of gas to molecular mass</v>
      </c>
    </row>
    <row r="46" spans="1:8" ht="20.100000000000001" customHeight="1" x14ac:dyDescent="0.25">
      <c r="A46"/>
      <c r="D46" s="5" t="str" cm="1">
        <f t="array" ref="D46">Common_SourceData.Common_SourceData_ConvertGasElementalToMolecular_Source()</f>
        <v>XXXXXXX</v>
      </c>
    </row>
    <row r="47" spans="1:8" ht="20.100000000000001" customHeight="1" x14ac:dyDescent="0.25">
      <c r="A47"/>
      <c r="D47" s="34" t="s">
        <v>14</v>
      </c>
      <c r="E47" s="34" t="s">
        <v>17</v>
      </c>
      <c r="F47" s="34" t="s">
        <v>18</v>
      </c>
      <c r="G47" s="34" t="s">
        <v>19</v>
      </c>
      <c r="H47" s="34" t="s">
        <v>20</v>
      </c>
    </row>
    <row r="48" spans="1:8" ht="20.100000000000001" customHeight="1" x14ac:dyDescent="0.25">
      <c r="A48"/>
      <c r="D48" s="34" t="str" cm="1">
        <f t="array" ref="D48">Common_InputFunctions.Utility_DisplayArrayInTable(Common_SourceData.Common_SourceData_ConvertGasElementalToMolecular_Data(),Table_GasToMolecularConversionFactor[[#Headers],[Gas]], 0)</f>
        <v>CO2</v>
      </c>
      <c r="E48" s="34" t="str" cm="1">
        <f t="array" ref="E48">Common_InputFunctions.Utility_DisplayArrayInTable(Common_SourceData.Common_SourceData_ConvertGasElementalToMolecular_Data(),Table_GasToMolecularConversionFactor[[#Headers],[Gas]], 0)</f>
        <v>44/12</v>
      </c>
      <c r="F48" s="34" cm="1">
        <f t="array" ref="F48">Common_InputFunctions.Utility_DisplayArrayInTable(Common_SourceData.Common_SourceData_ConvertGasElementalToMolecular_Data(),Table_GasToMolecularConversionFactor[[#Headers],[Gas]], 0)</f>
        <v>44</v>
      </c>
      <c r="G48" s="34" cm="1">
        <f t="array" ref="G48">Common_InputFunctions.Utility_DisplayArrayInTable(Common_SourceData.Common_SourceData_ConvertGasElementalToMolecular_Data(),Table_GasToMolecularConversionFactor[[#Headers],[Gas]], 0)</f>
        <v>12</v>
      </c>
      <c r="H48" s="34">
        <f>Table_GasToMolecularConversionFactor[[#This Row],[Conversion factor 1]]/Table_GasToMolecularConversionFactor[[#This Row],[Conversion factor 2]]</f>
        <v>3.6666666666666665</v>
      </c>
    </row>
    <row r="49" spans="1:8" ht="20.100000000000001" customHeight="1" x14ac:dyDescent="0.25">
      <c r="A49"/>
      <c r="D49" s="34" t="str" cm="1">
        <f t="array" ref="D49">Common_InputFunctions.Utility_DisplayArrayInTable(Common_SourceData.Common_SourceData_ConvertGasElementalToMolecular_Data(),Table_GasToMolecularConversionFactor[[#Headers],[Gas]], 0)</f>
        <v>CH4</v>
      </c>
      <c r="E49" s="34" t="str" cm="1">
        <f t="array" ref="E49">Common_InputFunctions.Utility_DisplayArrayInTable(Common_SourceData.Common_SourceData_ConvertGasElementalToMolecular_Data(),Table_GasToMolecularConversionFactor[[#Headers],[Gas]], 0)</f>
        <v>16/12</v>
      </c>
      <c r="F49" s="34" cm="1">
        <f t="array" ref="F49">Common_InputFunctions.Utility_DisplayArrayInTable(Common_SourceData.Common_SourceData_ConvertGasElementalToMolecular_Data(),Table_GasToMolecularConversionFactor[[#Headers],[Gas]], 0)</f>
        <v>16</v>
      </c>
      <c r="G49" s="34" cm="1">
        <f t="array" ref="G49">Common_InputFunctions.Utility_DisplayArrayInTable(Common_SourceData.Common_SourceData_ConvertGasElementalToMolecular_Data(),Table_GasToMolecularConversionFactor[[#Headers],[Gas]], 0)</f>
        <v>12</v>
      </c>
      <c r="H49" s="34">
        <f>Table_GasToMolecularConversionFactor[[#This Row],[Conversion factor 1]]/Table_GasToMolecularConversionFactor[[#This Row],[Conversion factor 2]]</f>
        <v>1.3333333333333333</v>
      </c>
    </row>
    <row r="50" spans="1:8" ht="20.100000000000001" customHeight="1" x14ac:dyDescent="0.25">
      <c r="A50"/>
      <c r="D50" s="34" t="str" cm="1">
        <f t="array" ref="D50">Common_InputFunctions.Utility_DisplayArrayInTable(Common_SourceData.Common_SourceData_ConvertGasElementalToMolecular_Data(),Table_GasToMolecularConversionFactor[[#Headers],[Gas]], 0)</f>
        <v>N2O</v>
      </c>
      <c r="E50" s="34" t="str" cm="1">
        <f t="array" ref="E50">Common_InputFunctions.Utility_DisplayArrayInTable(Common_SourceData.Common_SourceData_ConvertGasElementalToMolecular_Data(),Table_GasToMolecularConversionFactor[[#Headers],[Gas]], 0)</f>
        <v>44/28</v>
      </c>
      <c r="F50" s="34" cm="1">
        <f t="array" ref="F50">Common_InputFunctions.Utility_DisplayArrayInTable(Common_SourceData.Common_SourceData_ConvertGasElementalToMolecular_Data(),Table_GasToMolecularConversionFactor[[#Headers],[Gas]], 0)</f>
        <v>44</v>
      </c>
      <c r="G50" s="34" cm="1">
        <f t="array" ref="G50">Common_InputFunctions.Utility_DisplayArrayInTable(Common_SourceData.Common_SourceData_ConvertGasElementalToMolecular_Data(),Table_GasToMolecularConversionFactor[[#Headers],[Gas]], 0)</f>
        <v>28</v>
      </c>
      <c r="H50" s="34">
        <f>Table_GasToMolecularConversionFactor[[#This Row],[Conversion factor 1]]/Table_GasToMolecularConversionFactor[[#This Row],[Conversion factor 2]]</f>
        <v>1.5714285714285714</v>
      </c>
    </row>
    <row r="51" spans="1:8" ht="20.100000000000001" customHeight="1" x14ac:dyDescent="0.25">
      <c r="A51"/>
      <c r="D51" s="34" t="str" cm="1">
        <f t="array" ref="D51">Common_InputFunctions.Utility_DisplayArrayInTable(Common_SourceData.Common_SourceData_ConvertGasElementalToMolecular_Data(),Table_GasToMolecularConversionFactor[[#Headers],[Gas]], 0)</f>
        <v>Nox</v>
      </c>
      <c r="E51" s="34" t="str" cm="1">
        <f t="array" ref="E51">Common_InputFunctions.Utility_DisplayArrayInTable(Common_SourceData.Common_SourceData_ConvertGasElementalToMolecular_Data(),Table_GasToMolecularConversionFactor[[#Headers],[Gas]], 0)</f>
        <v>46/14</v>
      </c>
      <c r="F51" s="34" cm="1">
        <f t="array" ref="F51">Common_InputFunctions.Utility_DisplayArrayInTable(Common_SourceData.Common_SourceData_ConvertGasElementalToMolecular_Data(),Table_GasToMolecularConversionFactor[[#Headers],[Gas]], 0)</f>
        <v>46</v>
      </c>
      <c r="G51" s="34" cm="1">
        <f t="array" ref="G51">Common_InputFunctions.Utility_DisplayArrayInTable(Common_SourceData.Common_SourceData_ConvertGasElementalToMolecular_Data(),Table_GasToMolecularConversionFactor[[#Headers],[Gas]], 0)</f>
        <v>14</v>
      </c>
      <c r="H51" s="34">
        <f>Table_GasToMolecularConversionFactor[[#This Row],[Conversion factor 1]]/Table_GasToMolecularConversionFactor[[#This Row],[Conversion factor 2]]</f>
        <v>3.2857142857142856</v>
      </c>
    </row>
    <row r="52" spans="1:8" ht="20.100000000000001" customHeight="1" x14ac:dyDescent="0.25">
      <c r="A52"/>
      <c r="D52" s="34" t="str" cm="1">
        <f t="array" ref="D52">Common_InputFunctions.Utility_DisplayArrayInTable(Common_SourceData.Common_SourceData_ConvertGasElementalToMolecular_Data(),Table_GasToMolecularConversionFactor[[#Headers],[Gas]], 0)</f>
        <v>CO</v>
      </c>
      <c r="E52" s="34" t="str" cm="1">
        <f t="array" ref="E52">Common_InputFunctions.Utility_DisplayArrayInTable(Common_SourceData.Common_SourceData_ConvertGasElementalToMolecular_Data(),Table_GasToMolecularConversionFactor[[#Headers],[Gas]], 0)</f>
        <v>28/12</v>
      </c>
      <c r="F52" s="34" cm="1">
        <f t="array" ref="F52">Common_InputFunctions.Utility_DisplayArrayInTable(Common_SourceData.Common_SourceData_ConvertGasElementalToMolecular_Data(),Table_GasToMolecularConversionFactor[[#Headers],[Gas]], 0)</f>
        <v>28</v>
      </c>
      <c r="G52" s="34" cm="1">
        <f t="array" ref="G52">Common_InputFunctions.Utility_DisplayArrayInTable(Common_SourceData.Common_SourceData_ConvertGasElementalToMolecular_Data(),Table_GasToMolecularConversionFactor[[#Headers],[Gas]], 0)</f>
        <v>12</v>
      </c>
      <c r="H52" s="34">
        <f>Table_GasToMolecularConversionFactor[[#This Row],[Conversion factor 1]]/Table_GasToMolecularConversionFactor[[#This Row],[Conversion factor 2]]</f>
        <v>2.3333333333333335</v>
      </c>
    </row>
    <row r="53" spans="1:8" ht="20.100000000000001" customHeight="1" x14ac:dyDescent="0.25">
      <c r="A53"/>
      <c r="D53" s="34" t="str" cm="1">
        <f t="array" ref="D53">Common_InputFunctions.Utility_DisplayArrayInTable(Common_SourceData.Common_SourceData_ConvertGasElementalToMolecular_Data(),Table_GasToMolecularConversionFactor[[#Headers],[Gas]], 0)</f>
        <v>CO2 Lime</v>
      </c>
      <c r="E53" s="34" t="str" cm="1">
        <f t="array" ref="E53">Common_InputFunctions.Utility_DisplayArrayInTable(Common_SourceData.Common_SourceData_ConvertGasElementalToMolecular_Data(),Table_GasToMolecularConversionFactor[[#Headers],[Gas]], 0)</f>
        <v>44/12</v>
      </c>
      <c r="F53" s="34" cm="1">
        <f t="array" ref="F53">Common_InputFunctions.Utility_DisplayArrayInTable(Common_SourceData.Common_SourceData_ConvertGasElementalToMolecular_Data(),Table_GasToMolecularConversionFactor[[#Headers],[Gas]], 0)</f>
        <v>44</v>
      </c>
      <c r="G53" s="34" cm="1">
        <f t="array" ref="G53">Common_InputFunctions.Utility_DisplayArrayInTable(Common_SourceData.Common_SourceData_ConvertGasElementalToMolecular_Data(),Table_GasToMolecularConversionFactor[[#Headers],[Gas]], 0)</f>
        <v>12</v>
      </c>
      <c r="H53" s="34">
        <f>Table_GasToMolecularConversionFactor[[#This Row],[Conversion factor 1]]/Table_GasToMolecularConversionFactor[[#This Row],[Conversion factor 2]]</f>
        <v>3.6666666666666665</v>
      </c>
    </row>
    <row r="54" spans="1:8" ht="20.100000000000001" customHeight="1" x14ac:dyDescent="0.25">
      <c r="A54"/>
      <c r="D54" s="34" t="str" cm="1">
        <f t="array" ref="D54">Common_InputFunctions.Utility_DisplayArrayInTable(Common_SourceData.Common_SourceData_ConvertGasElementalToMolecular_Data(),Table_GasToMolecularConversionFactor[[#Headers],[Gas]], 0)</f>
        <v>NMVOC</v>
      </c>
      <c r="E54" s="34" t="str" cm="1">
        <f t="array" ref="E54">Common_InputFunctions.Utility_DisplayArrayInTable(Common_SourceData.Common_SourceData_ConvertGasElementalToMolecular_Data(),Table_GasToMolecularConversionFactor[[#Headers],[Gas]], 0)</f>
        <v>14/12</v>
      </c>
      <c r="F54" s="34" cm="1">
        <f t="array" ref="F54">Common_InputFunctions.Utility_DisplayArrayInTable(Common_SourceData.Common_SourceData_ConvertGasElementalToMolecular_Data(),Table_GasToMolecularConversionFactor[[#Headers],[Gas]], 0)</f>
        <v>14</v>
      </c>
      <c r="G54" s="34" cm="1">
        <f t="array" ref="G54">Common_InputFunctions.Utility_DisplayArrayInTable(Common_SourceData.Common_SourceData_ConvertGasElementalToMolecular_Data(),Table_GasToMolecularConversionFactor[[#Headers],[Gas]], 0)</f>
        <v>12</v>
      </c>
      <c r="H54" s="34">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6" t="str" cm="1">
        <f t="array" ref="D57">Common_SourceData.Common_SourceData_WetAndDryZones_Title()</f>
        <v>VEERG Australian wet and dry zones</v>
      </c>
    </row>
    <row r="58" spans="1:8" ht="20.100000000000001" customHeight="1" x14ac:dyDescent="0.25">
      <c r="A58"/>
      <c r="D58" s="5" t="str" cm="1">
        <f t="array" ref="D58">Common_SourceData.Common_SourceData_WetAndDryZones_Source()</f>
        <v>VEERG 2026: Table 1.2: Translating climate zones to wet and dry zones</v>
      </c>
    </row>
    <row r="59" spans="1:8" ht="20.100000000000001" customHeight="1" x14ac:dyDescent="0.25">
      <c r="A59"/>
      <c r="D59" s="49" t="str" cm="1">
        <f t="array" ref="D59:D61">"⚠️" &amp; Common_SourceData.Common_SourceData_WetAndDryZones_Variation()</f>
        <v>⚠️VARIATION OF SOURCE DATA:</v>
      </c>
    </row>
    <row r="60" spans="1:8" ht="20.100000000000001" customHeight="1" x14ac:dyDescent="0.25">
      <c r="A60"/>
      <c r="D60" s="49" t="str">
        <v>⚠️Added warm / cool temperate moist / dry - low frost and high temp classes to accommodate climate scenarios excluded by VEERG criteria.</v>
      </c>
    </row>
    <row r="61" spans="1:8" ht="20.100000000000001" customHeight="1" x14ac:dyDescent="0.25">
      <c r="A61"/>
      <c r="D61" s="49" t="str">
        <v>⚠️Fixed typo - Changed 'Fry' to 'Dry'.</v>
      </c>
    </row>
    <row r="62" spans="1:8" ht="20.100000000000001" customHeight="1" x14ac:dyDescent="0.25">
      <c r="A62"/>
    </row>
    <row r="63" spans="1:8" ht="20.100000000000001" customHeight="1" x14ac:dyDescent="0.25">
      <c r="A63"/>
      <c r="D63" s="34" t="s">
        <v>5</v>
      </c>
      <c r="E63" s="34" t="s">
        <v>34</v>
      </c>
    </row>
    <row r="64" spans="1:8" ht="20.100000000000001" customHeight="1" x14ac:dyDescent="0.25">
      <c r="A64"/>
      <c r="D64" s="34" t="str" cm="1">
        <f t="array" ref="D64">Common_InputFunctions.Utility_DisplayArrayInTable(Common_SourceData.Common_SourceData_WetAndDryZones_Data(), Table_SourceData_WetDryZones[[#Headers],[Climate zone]], 0)</f>
        <v>Tropical montane</v>
      </c>
      <c r="E64" s="34"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34" t="str" cm="1">
        <f t="array" ref="D65">Common_InputFunctions.Utility_DisplayArrayInTable(Common_SourceData.Common_SourceData_WetAndDryZones_Data(), Table_SourceData_WetDryZones[[#Headers],[Climate zone]], 0)</f>
        <v>Tropical wet</v>
      </c>
      <c r="E65" s="34"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34" t="str" cm="1">
        <f t="array" ref="D66">Common_InputFunctions.Utility_DisplayArrayInTable(Common_SourceData.Common_SourceData_WetAndDryZones_Data(), Table_SourceData_WetDryZones[[#Headers],[Climate zone]], 0)</f>
        <v>Tropical moist</v>
      </c>
      <c r="E66" s="34"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34" t="str" cm="1">
        <f t="array" ref="D67">Common_InputFunctions.Utility_DisplayArrayInTable(Common_SourceData.Common_SourceData_WetAndDryZones_Data(), Table_SourceData_WetDryZones[[#Headers],[Climate zone]], 0)</f>
        <v>Tropical dry</v>
      </c>
      <c r="E67" s="34"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34" t="str" cm="1">
        <f t="array" ref="D68">Common_InputFunctions.Utility_DisplayArrayInTable(Common_SourceData.Common_SourceData_WetAndDryZones_Data(), Table_SourceData_WetDryZones[[#Headers],[Climate zone]], 0)</f>
        <v>Warm temperate moist</v>
      </c>
      <c r="E68" s="34"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34" t="str" cm="1">
        <f t="array" ref="D69">Common_InputFunctions.Utility_DisplayArrayInTable(Common_SourceData.Common_SourceData_WetAndDryZones_Data(), Table_SourceData_WetDryZones[[#Headers],[Climate zone]], 0)</f>
        <v>Warm temperate dry</v>
      </c>
      <c r="E69" s="34"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34" t="str" cm="1">
        <f t="array" ref="D70">Common_InputFunctions.Utility_DisplayArrayInTable(Common_SourceData.Common_SourceData_WetAndDryZones_Data(), Table_SourceData_WetDryZones[[#Headers],[Climate zone]], 0)</f>
        <v>Cool temperate moist</v>
      </c>
      <c r="E70" s="34"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34" t="str" cm="1">
        <f t="array" ref="D71">Common_InputFunctions.Utility_DisplayArrayInTable(Common_SourceData.Common_SourceData_WetAndDryZones_Data(), Table_SourceData_WetDryZones[[#Headers],[Climate zone]], 0)</f>
        <v>Cool temperate dry</v>
      </c>
      <c r="E71" s="34"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34" t="str" cm="1">
        <f t="array" ref="D72">Common_InputFunctions.Utility_DisplayArrayInTable(Common_SourceData.Common_SourceData_WetAndDryZones_Data(), Table_SourceData_WetDryZones[[#Headers],[Climate zone]], 0)</f>
        <v>Warm temperate moist - low frost</v>
      </c>
      <c r="E72" s="34"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34" t="str" cm="1">
        <f t="array" ref="D73">Common_InputFunctions.Utility_DisplayArrayInTable(Common_SourceData.Common_SourceData_WetAndDryZones_Data(), Table_SourceData_WetDryZones[[#Headers],[Climate zone]], 0)</f>
        <v>Warm temperate dry - low frost</v>
      </c>
      <c r="E73" s="34"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34" t="str" cm="1">
        <f t="array" ref="D74">Common_InputFunctions.Utility_DisplayArrayInTable(Common_SourceData.Common_SourceData_WetAndDryZones_Data(), Table_SourceData_WetDryZones[[#Headers],[Climate zone]], 0)</f>
        <v>Warm temperate moist - high temp</v>
      </c>
      <c r="E74" s="34"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34" t="str" cm="1">
        <f t="array" ref="D75">Common_InputFunctions.Utility_DisplayArrayInTable(Common_SourceData.Common_SourceData_WetAndDryZones_Data(), Table_SourceData_WetDryZones[[#Headers],[Climate zone]], 0)</f>
        <v>Warm temperate dry - high temp</v>
      </c>
      <c r="E75" s="34"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34" t="str" cm="1">
        <f t="array" ref="D76">Common_InputFunctions.Utility_DisplayArrayInTable(Common_SourceData.Common_SourceData_WetAndDryZones_Data(), Table_SourceData_WetDryZones[[#Headers],[Climate zone]], 0)</f>
        <v>Cool temperate moist - low frost</v>
      </c>
      <c r="E76" s="34"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34" t="str" cm="1">
        <f t="array" ref="D77">Common_InputFunctions.Utility_DisplayArrayInTable(Common_SourceData.Common_SourceData_WetAndDryZones_Data(), Table_SourceData_WetDryZones[[#Headers],[Climate zone]], 0)</f>
        <v>Cool temperate dry - low frost</v>
      </c>
      <c r="E77" s="34"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6" t="str" cm="1">
        <f t="array" ref="D81">Common_SourceData.Common_SourceData_ClimateZones_Title()</f>
        <v>VEERG Australian climate zones</v>
      </c>
    </row>
    <row r="82" spans="1:20" ht="20.100000000000001" customHeight="1" x14ac:dyDescent="0.25">
      <c r="A82"/>
      <c r="D82" s="5" t="str" cm="1">
        <f t="array" ref="D82">Common_SourceData.Common_SourceData_ClimateZones_Source()</f>
        <v>VEERG 2026: Table 1.3: Climate and Rainfall zone classifications and definitions</v>
      </c>
    </row>
    <row r="83" spans="1:20" ht="20.100000000000001" customHeight="1" x14ac:dyDescent="0.25">
      <c r="A83"/>
      <c r="D83" s="49" t="str" cm="1">
        <f t="array" ref="D83:D87">"⚠️" &amp; Common_SourceData.Common_SourceData_ClimateZones_Variation()</f>
        <v>⚠️VARIATION OF SOURCE DATA:</v>
      </c>
    </row>
    <row r="84" spans="1:20" ht="20.100000000000001" customHeight="1" x14ac:dyDescent="0.25">
      <c r="A84"/>
      <c r="D84" s="49" t="str">
        <v>⚠️Added warm / cool temperate moist / dry - low frost and high temp classes to accommodate climate scenarios excluded by VEERG criteria.</v>
      </c>
    </row>
    <row r="85" spans="1:20" ht="20.100000000000001" customHeight="1" x14ac:dyDescent="0.25">
      <c r="A85"/>
      <c r="D85" s="49" t="str">
        <v>⚠️Fixed typo in MAT value for warm temperate dry - changed 10 to 11.</v>
      </c>
    </row>
    <row r="86" spans="1:20" ht="20.100000000000001" customHeight="1" x14ac:dyDescent="0.25">
      <c r="A86"/>
      <c r="D86" s="49" t="str">
        <v>⚠️Added min and max columns for MAT, MAP, frost days per year, elevation, MAP:PET to calculate zones from real climate data.</v>
      </c>
    </row>
    <row r="87" spans="1:20" ht="20.100000000000001" customHeight="1" x14ac:dyDescent="0.25">
      <c r="A87"/>
      <c r="D87" s="49" t="str">
        <v>⚠️GAF accepts rainfall as a proxy for precipitation.</v>
      </c>
    </row>
    <row r="88" spans="1:20" ht="20.100000000000001" customHeight="1" x14ac:dyDescent="0.25">
      <c r="A88"/>
    </row>
    <row r="89" spans="1:20" ht="20.100000000000001" customHeight="1" x14ac:dyDescent="0.25">
      <c r="A89"/>
      <c r="D89" s="34" t="s">
        <v>5</v>
      </c>
      <c r="E89" s="34" t="s">
        <v>22</v>
      </c>
      <c r="F89" s="34" t="s">
        <v>23</v>
      </c>
      <c r="G89" s="34" t="s">
        <v>24</v>
      </c>
      <c r="H89" s="34" t="s">
        <v>25</v>
      </c>
      <c r="I89" s="34" t="s">
        <v>26</v>
      </c>
      <c r="J89" s="34" t="s">
        <v>27</v>
      </c>
      <c r="K89" s="34" t="s">
        <v>28</v>
      </c>
      <c r="L89" s="34" t="s">
        <v>29</v>
      </c>
      <c r="M89" s="34" t="s">
        <v>30</v>
      </c>
      <c r="N89" s="34" t="s">
        <v>31</v>
      </c>
      <c r="O89" s="34" t="s">
        <v>35</v>
      </c>
      <c r="P89" s="34" t="s">
        <v>32</v>
      </c>
      <c r="Q89" s="34" t="s">
        <v>36</v>
      </c>
      <c r="R89" s="34" t="s">
        <v>33</v>
      </c>
      <c r="S89" s="34" t="s">
        <v>37</v>
      </c>
      <c r="T89" s="34"/>
    </row>
    <row r="90" spans="1:20" ht="20.100000000000001" customHeight="1" x14ac:dyDescent="0.25">
      <c r="A90"/>
      <c r="D90" s="34" t="str" cm="1">
        <f t="array" ref="D90">Common_InputFunctions.Utility_DisplayArrayInTable(Common_SourceData.Common_SourceData_ClimateZones_Data(), Table_SourceData_ClimateZones[[#Headers],[Climate zone]], 0)</f>
        <v>Tropical montane</v>
      </c>
      <c r="E90" s="34" t="str" cm="1">
        <f t="array" ref="E90">Common_InputFunctions.Utility_DisplayArrayInTable(Common_SourceData.Common_SourceData_ClimateZones_Data(), Table_SourceData_ClimateZones[[#Headers],[Climate zone]], 0)</f>
        <v>&gt; 18 C</v>
      </c>
      <c r="F90" s="34" t="str" cm="1">
        <f t="array" ref="F90">Common_InputFunctions.Utility_DisplayArrayInTable(Common_SourceData.Common_SourceData_ClimateZones_Data(), Table_SourceData_ClimateZones[[#Headers],[Climate zone]], 0)</f>
        <v>Any</v>
      </c>
      <c r="G90" s="34" t="str" cm="1">
        <f t="array" ref="G90">Common_InputFunctions.Utility_DisplayArrayInTable(Common_SourceData.Common_SourceData_ClimateZones_Data(), Table_SourceData_ClimateZones[[#Headers],[Climate zone]], 0)</f>
        <v>≤ 7</v>
      </c>
      <c r="H90" s="34" t="str" cm="1">
        <f t="array" ref="H90">Common_InputFunctions.Utility_DisplayArrayInTable(Common_SourceData.Common_SourceData_ClimateZones_Data(), Table_SourceData_ClimateZones[[#Headers],[Climate zone]], 0)</f>
        <v>&gt; 1000 m</v>
      </c>
      <c r="I90" s="34" t="str" cm="1">
        <f t="array" ref="I90">Common_InputFunctions.Utility_DisplayArrayInTable(Common_SourceData.Common_SourceData_ClimateZones_Data(), Table_SourceData_ClimateZones[[#Headers],[Climate zone]], 0)</f>
        <v>Any</v>
      </c>
      <c r="J90" s="34" cm="1">
        <f t="array" ref="J90">Common_InputFunctions.Utility_DisplayArrayInTable(Common_SourceData.Common_SourceData_ClimateZones_Data(), Table_SourceData_ClimateZones[[#Headers],[Climate zone]], 0)</f>
        <v>18.001000000000001</v>
      </c>
      <c r="K90" s="34" cm="1">
        <f t="array" ref="K90">Common_InputFunctions.Utility_DisplayArrayInTable(Common_SourceData.Common_SourceData_ClimateZones_Data(), Table_SourceData_ClimateZones[[#Headers],[Climate zone]], 0)</f>
        <v>999999</v>
      </c>
      <c r="L90" s="34" cm="1">
        <f t="array" ref="L90">Common_InputFunctions.Utility_DisplayArrayInTable(Common_SourceData.Common_SourceData_ClimateZones_Data(), Table_SourceData_ClimateZones[[#Headers],[Climate zone]], 0)</f>
        <v>-999999</v>
      </c>
      <c r="M90" s="34" cm="1">
        <f t="array" ref="M90">Common_InputFunctions.Utility_DisplayArrayInTable(Common_SourceData.Common_SourceData_ClimateZones_Data(), Table_SourceData_ClimateZones[[#Headers],[Climate zone]], 0)</f>
        <v>999999</v>
      </c>
      <c r="N90" s="34" cm="1">
        <f t="array" ref="N90">Common_InputFunctions.Utility_DisplayArrayInTable(Common_SourceData.Common_SourceData_ClimateZones_Data(), Table_SourceData_ClimateZones[[#Headers],[Climate zone]], 0)</f>
        <v>-999999</v>
      </c>
      <c r="O90" s="34" cm="1">
        <f t="array" ref="O90">Common_InputFunctions.Utility_DisplayArrayInTable(Common_SourceData.Common_SourceData_ClimateZones_Data(), Table_SourceData_ClimateZones[[#Headers],[Climate zone]], 0)</f>
        <v>7</v>
      </c>
      <c r="P90" s="34" cm="1">
        <f t="array" ref="P90">Common_InputFunctions.Utility_DisplayArrayInTable(Common_SourceData.Common_SourceData_ClimateZones_Data(), Table_SourceData_ClimateZones[[#Headers],[Climate zone]], 0)</f>
        <v>1000</v>
      </c>
      <c r="Q90" s="34" cm="1">
        <f t="array" ref="Q90">Common_InputFunctions.Utility_DisplayArrayInTable(Common_SourceData.Common_SourceData_ClimateZones_Data(), Table_SourceData_ClimateZones[[#Headers],[Climate zone]], 0)</f>
        <v>999999</v>
      </c>
      <c r="R90" s="34" cm="1">
        <f t="array" ref="R90">Common_InputFunctions.Utility_DisplayArrayInTable(Common_SourceData.Common_SourceData_ClimateZones_Data(), Table_SourceData_ClimateZones[[#Headers],[Climate zone]], 0)</f>
        <v>-999999</v>
      </c>
      <c r="S90" s="34" cm="1">
        <f t="array" ref="S90">Common_InputFunctions.Utility_DisplayArrayInTable(Common_SourceData.Common_SourceData_ClimateZones_Data(), Table_SourceData_ClimateZones[[#Headers],[Climate zone]], 0)</f>
        <v>999999</v>
      </c>
      <c r="T90" s="34"/>
    </row>
    <row r="91" spans="1:20" ht="20.100000000000001" customHeight="1" x14ac:dyDescent="0.25">
      <c r="A91"/>
      <c r="D91" s="34" t="str" cm="1">
        <f t="array" ref="D91">Common_InputFunctions.Utility_DisplayArrayInTable(Common_SourceData.Common_SourceData_ClimateZones_Data(), Table_SourceData_ClimateZones[[#Headers],[Climate zone]], 0)</f>
        <v>Tropical wet</v>
      </c>
      <c r="E91" s="34" t="str" cm="1">
        <f t="array" ref="E91">Common_InputFunctions.Utility_DisplayArrayInTable(Common_SourceData.Common_SourceData_ClimateZones_Data(), Table_SourceData_ClimateZones[[#Headers],[Climate zone]], 0)</f>
        <v>&gt; 18 C</v>
      </c>
      <c r="F91" s="34" t="str" cm="1">
        <f t="array" ref="F91">Common_InputFunctions.Utility_DisplayArrayInTable(Common_SourceData.Common_SourceData_ClimateZones_Data(), Table_SourceData_ClimateZones[[#Headers],[Climate zone]], 0)</f>
        <v>&gt; 2000 mm</v>
      </c>
      <c r="G91" s="34" t="str" cm="1">
        <f t="array" ref="G91">Common_InputFunctions.Utility_DisplayArrayInTable(Common_SourceData.Common_SourceData_ClimateZones_Data(), Table_SourceData_ClimateZones[[#Headers],[Climate zone]], 0)</f>
        <v>≤ 7</v>
      </c>
      <c r="H91" s="34" t="str" cm="1">
        <f t="array" ref="H91">Common_InputFunctions.Utility_DisplayArrayInTable(Common_SourceData.Common_SourceData_ClimateZones_Data(), Table_SourceData_ClimateZones[[#Headers],[Climate zone]], 0)</f>
        <v>≤ 1000 m</v>
      </c>
      <c r="I91" s="34" t="str" cm="1">
        <f t="array" ref="I91">Common_InputFunctions.Utility_DisplayArrayInTable(Common_SourceData.Common_SourceData_ClimateZones_Data(), Table_SourceData_ClimateZones[[#Headers],[Climate zone]], 0)</f>
        <v>Any</v>
      </c>
      <c r="J91" s="34" cm="1">
        <f t="array" ref="J91">Common_InputFunctions.Utility_DisplayArrayInTable(Common_SourceData.Common_SourceData_ClimateZones_Data(), Table_SourceData_ClimateZones[[#Headers],[Climate zone]], 0)</f>
        <v>18.001000000000001</v>
      </c>
      <c r="K91" s="34" cm="1">
        <f t="array" ref="K91">Common_InputFunctions.Utility_DisplayArrayInTable(Common_SourceData.Common_SourceData_ClimateZones_Data(), Table_SourceData_ClimateZones[[#Headers],[Climate zone]], 0)</f>
        <v>999999</v>
      </c>
      <c r="L91" s="34" cm="1">
        <f t="array" ref="L91">Common_InputFunctions.Utility_DisplayArrayInTable(Common_SourceData.Common_SourceData_ClimateZones_Data(), Table_SourceData_ClimateZones[[#Headers],[Climate zone]], 0)</f>
        <v>2000.001</v>
      </c>
      <c r="M91" s="34" cm="1">
        <f t="array" ref="M91">Common_InputFunctions.Utility_DisplayArrayInTable(Common_SourceData.Common_SourceData_ClimateZones_Data(), Table_SourceData_ClimateZones[[#Headers],[Climate zone]], 0)</f>
        <v>999999</v>
      </c>
      <c r="N91" s="34" cm="1">
        <f t="array" ref="N91">Common_InputFunctions.Utility_DisplayArrayInTable(Common_SourceData.Common_SourceData_ClimateZones_Data(), Table_SourceData_ClimateZones[[#Headers],[Climate zone]], 0)</f>
        <v>-999999</v>
      </c>
      <c r="O91" s="34" cm="1">
        <f t="array" ref="O91">Common_InputFunctions.Utility_DisplayArrayInTable(Common_SourceData.Common_SourceData_ClimateZones_Data(), Table_SourceData_ClimateZones[[#Headers],[Climate zone]], 0)</f>
        <v>7</v>
      </c>
      <c r="P91" s="34" cm="1">
        <f t="array" ref="P91">Common_InputFunctions.Utility_DisplayArrayInTable(Common_SourceData.Common_SourceData_ClimateZones_Data(), Table_SourceData_ClimateZones[[#Headers],[Climate zone]], 0)</f>
        <v>-999999</v>
      </c>
      <c r="Q91" s="34" cm="1">
        <f t="array" ref="Q91">Common_InputFunctions.Utility_DisplayArrayInTable(Common_SourceData.Common_SourceData_ClimateZones_Data(), Table_SourceData_ClimateZones[[#Headers],[Climate zone]], 0)</f>
        <v>999.99900000000002</v>
      </c>
      <c r="R91" s="34" cm="1">
        <f t="array" ref="R91">Common_InputFunctions.Utility_DisplayArrayInTable(Common_SourceData.Common_SourceData_ClimateZones_Data(), Table_SourceData_ClimateZones[[#Headers],[Climate zone]], 0)</f>
        <v>-999999</v>
      </c>
      <c r="S91" s="34" cm="1">
        <f t="array" ref="S91">Common_InputFunctions.Utility_DisplayArrayInTable(Common_SourceData.Common_SourceData_ClimateZones_Data(), Table_SourceData_ClimateZones[[#Headers],[Climate zone]], 0)</f>
        <v>999999</v>
      </c>
      <c r="T91" s="34"/>
    </row>
    <row r="92" spans="1:20" ht="20.100000000000001" customHeight="1" x14ac:dyDescent="0.25">
      <c r="A92"/>
      <c r="D92" s="34" t="str" cm="1">
        <f t="array" ref="D92">Common_InputFunctions.Utility_DisplayArrayInTable(Common_SourceData.Common_SourceData_ClimateZones_Data(), Table_SourceData_ClimateZones[[#Headers],[Climate zone]], 0)</f>
        <v>Tropical moist</v>
      </c>
      <c r="E92" s="34" t="str" cm="1">
        <f t="array" ref="E92">Common_InputFunctions.Utility_DisplayArrayInTable(Common_SourceData.Common_SourceData_ClimateZones_Data(), Table_SourceData_ClimateZones[[#Headers],[Climate zone]], 0)</f>
        <v>&gt; 18 C</v>
      </c>
      <c r="F92" s="34" t="str" cm="1">
        <f t="array" ref="F92">Common_InputFunctions.Utility_DisplayArrayInTable(Common_SourceData.Common_SourceData_ClimateZones_Data(), Table_SourceData_ClimateZones[[#Headers],[Climate zone]], 0)</f>
        <v>&gt; 1000 mm - ≤ 2000 mm</v>
      </c>
      <c r="G92" s="34" t="str" cm="1">
        <f t="array" ref="G92">Common_InputFunctions.Utility_DisplayArrayInTable(Common_SourceData.Common_SourceData_ClimateZones_Data(), Table_SourceData_ClimateZones[[#Headers],[Climate zone]], 0)</f>
        <v>≤ 7</v>
      </c>
      <c r="H92" s="34" t="str" cm="1">
        <f t="array" ref="H92">Common_InputFunctions.Utility_DisplayArrayInTable(Common_SourceData.Common_SourceData_ClimateZones_Data(), Table_SourceData_ClimateZones[[#Headers],[Climate zone]], 0)</f>
        <v>≤ 1000 m</v>
      </c>
      <c r="I92" s="34" t="str" cm="1">
        <f t="array" ref="I92">Common_InputFunctions.Utility_DisplayArrayInTable(Common_SourceData.Common_SourceData_ClimateZones_Data(), Table_SourceData_ClimateZones[[#Headers],[Climate zone]], 0)</f>
        <v>Any</v>
      </c>
      <c r="J92" s="34" cm="1">
        <f t="array" ref="J92">Common_InputFunctions.Utility_DisplayArrayInTable(Common_SourceData.Common_SourceData_ClimateZones_Data(), Table_SourceData_ClimateZones[[#Headers],[Climate zone]], 0)</f>
        <v>18.001000000000001</v>
      </c>
      <c r="K92" s="34" cm="1">
        <f t="array" ref="K92">Common_InputFunctions.Utility_DisplayArrayInTable(Common_SourceData.Common_SourceData_ClimateZones_Data(), Table_SourceData_ClimateZones[[#Headers],[Climate zone]], 0)</f>
        <v>999999</v>
      </c>
      <c r="L92" s="34" cm="1">
        <f t="array" ref="L92">Common_InputFunctions.Utility_DisplayArrayInTable(Common_SourceData.Common_SourceData_ClimateZones_Data(), Table_SourceData_ClimateZones[[#Headers],[Climate zone]], 0)</f>
        <v>1000.001</v>
      </c>
      <c r="M92" s="34" cm="1">
        <f t="array" ref="M92">Common_InputFunctions.Utility_DisplayArrayInTable(Common_SourceData.Common_SourceData_ClimateZones_Data(), Table_SourceData_ClimateZones[[#Headers],[Climate zone]], 0)</f>
        <v>2000</v>
      </c>
      <c r="N92" s="34" cm="1">
        <f t="array" ref="N92">Common_InputFunctions.Utility_DisplayArrayInTable(Common_SourceData.Common_SourceData_ClimateZones_Data(), Table_SourceData_ClimateZones[[#Headers],[Climate zone]], 0)</f>
        <v>-999999</v>
      </c>
      <c r="O92" s="34" cm="1">
        <f t="array" ref="O92">Common_InputFunctions.Utility_DisplayArrayInTable(Common_SourceData.Common_SourceData_ClimateZones_Data(), Table_SourceData_ClimateZones[[#Headers],[Climate zone]], 0)</f>
        <v>7</v>
      </c>
      <c r="P92" s="34" cm="1">
        <f t="array" ref="P92">Common_InputFunctions.Utility_DisplayArrayInTable(Common_SourceData.Common_SourceData_ClimateZones_Data(), Table_SourceData_ClimateZones[[#Headers],[Climate zone]], 0)</f>
        <v>-999999</v>
      </c>
      <c r="Q92" s="34" cm="1">
        <f t="array" ref="Q92">Common_InputFunctions.Utility_DisplayArrayInTable(Common_SourceData.Common_SourceData_ClimateZones_Data(), Table_SourceData_ClimateZones[[#Headers],[Climate zone]], 0)</f>
        <v>999.99900000000002</v>
      </c>
      <c r="R92" s="34" cm="1">
        <f t="array" ref="R92">Common_InputFunctions.Utility_DisplayArrayInTable(Common_SourceData.Common_SourceData_ClimateZones_Data(), Table_SourceData_ClimateZones[[#Headers],[Climate zone]], 0)</f>
        <v>-999999</v>
      </c>
      <c r="S92" s="34" cm="1">
        <f t="array" ref="S92">Common_InputFunctions.Utility_DisplayArrayInTable(Common_SourceData.Common_SourceData_ClimateZones_Data(), Table_SourceData_ClimateZones[[#Headers],[Climate zone]], 0)</f>
        <v>999999</v>
      </c>
      <c r="T92" s="34"/>
    </row>
    <row r="93" spans="1:20" ht="20.100000000000001" customHeight="1" x14ac:dyDescent="0.25">
      <c r="A93"/>
      <c r="D93" s="34" t="str" cm="1">
        <f t="array" ref="D93">Common_InputFunctions.Utility_DisplayArrayInTable(Common_SourceData.Common_SourceData_ClimateZones_Data(), Table_SourceData_ClimateZones[[#Headers],[Climate zone]], 0)</f>
        <v>Tropical dry</v>
      </c>
      <c r="E93" s="34" t="str" cm="1">
        <f t="array" ref="E93">Common_InputFunctions.Utility_DisplayArrayInTable(Common_SourceData.Common_SourceData_ClimateZones_Data(), Table_SourceData_ClimateZones[[#Headers],[Climate zone]], 0)</f>
        <v>&gt; 18 C</v>
      </c>
      <c r="F93" s="34" t="str" cm="1">
        <f t="array" ref="F93">Common_InputFunctions.Utility_DisplayArrayInTable(Common_SourceData.Common_SourceData_ClimateZones_Data(), Table_SourceData_ClimateZones[[#Headers],[Climate zone]], 0)</f>
        <v>≤ 1000 mm</v>
      </c>
      <c r="G93" s="34" t="str" cm="1">
        <f t="array" ref="G93">Common_InputFunctions.Utility_DisplayArrayInTable(Common_SourceData.Common_SourceData_ClimateZones_Data(), Table_SourceData_ClimateZones[[#Headers],[Climate zone]], 0)</f>
        <v>≤ 7</v>
      </c>
      <c r="H93" s="34" t="str" cm="1">
        <f t="array" ref="H93">Common_InputFunctions.Utility_DisplayArrayInTable(Common_SourceData.Common_SourceData_ClimateZones_Data(), Table_SourceData_ClimateZones[[#Headers],[Climate zone]], 0)</f>
        <v>≤ 1000 m</v>
      </c>
      <c r="I93" s="34" t="str" cm="1">
        <f t="array" ref="I93">Common_InputFunctions.Utility_DisplayArrayInTable(Common_SourceData.Common_SourceData_ClimateZones_Data(), Table_SourceData_ClimateZones[[#Headers],[Climate zone]], 0)</f>
        <v>Any</v>
      </c>
      <c r="J93" s="34" cm="1">
        <f t="array" ref="J93">Common_InputFunctions.Utility_DisplayArrayInTable(Common_SourceData.Common_SourceData_ClimateZones_Data(), Table_SourceData_ClimateZones[[#Headers],[Climate zone]], 0)</f>
        <v>18.001000000000001</v>
      </c>
      <c r="K93" s="34" cm="1">
        <f t="array" ref="K93">Common_InputFunctions.Utility_DisplayArrayInTable(Common_SourceData.Common_SourceData_ClimateZones_Data(), Table_SourceData_ClimateZones[[#Headers],[Climate zone]], 0)</f>
        <v>999999</v>
      </c>
      <c r="L93" s="34" cm="1">
        <f t="array" ref="L93">Common_InputFunctions.Utility_DisplayArrayInTable(Common_SourceData.Common_SourceData_ClimateZones_Data(), Table_SourceData_ClimateZones[[#Headers],[Climate zone]], 0)</f>
        <v>-999999</v>
      </c>
      <c r="M93" s="34" cm="1">
        <f t="array" ref="M93">Common_InputFunctions.Utility_DisplayArrayInTable(Common_SourceData.Common_SourceData_ClimateZones_Data(), Table_SourceData_ClimateZones[[#Headers],[Climate zone]], 0)</f>
        <v>1000</v>
      </c>
      <c r="N93" s="34" cm="1">
        <f t="array" ref="N93">Common_InputFunctions.Utility_DisplayArrayInTable(Common_SourceData.Common_SourceData_ClimateZones_Data(), Table_SourceData_ClimateZones[[#Headers],[Climate zone]], 0)</f>
        <v>-999999</v>
      </c>
      <c r="O93" s="34" cm="1">
        <f t="array" ref="O93">Common_InputFunctions.Utility_DisplayArrayInTable(Common_SourceData.Common_SourceData_ClimateZones_Data(), Table_SourceData_ClimateZones[[#Headers],[Climate zone]], 0)</f>
        <v>7</v>
      </c>
      <c r="P93" s="34" cm="1">
        <f t="array" ref="P93">Common_InputFunctions.Utility_DisplayArrayInTable(Common_SourceData.Common_SourceData_ClimateZones_Data(), Table_SourceData_ClimateZones[[#Headers],[Climate zone]], 0)</f>
        <v>-999999</v>
      </c>
      <c r="Q93" s="34" cm="1">
        <f t="array" ref="Q93">Common_InputFunctions.Utility_DisplayArrayInTable(Common_SourceData.Common_SourceData_ClimateZones_Data(), Table_SourceData_ClimateZones[[#Headers],[Climate zone]], 0)</f>
        <v>999.99900000000002</v>
      </c>
      <c r="R93" s="34" cm="1">
        <f t="array" ref="R93">Common_InputFunctions.Utility_DisplayArrayInTable(Common_SourceData.Common_SourceData_ClimateZones_Data(), Table_SourceData_ClimateZones[[#Headers],[Climate zone]], 0)</f>
        <v>-999999</v>
      </c>
      <c r="S93" s="34" cm="1">
        <f t="array" ref="S93">Common_InputFunctions.Utility_DisplayArrayInTable(Common_SourceData.Common_SourceData_ClimateZones_Data(), Table_SourceData_ClimateZones[[#Headers],[Climate zone]], 0)</f>
        <v>999999</v>
      </c>
      <c r="T93" s="34"/>
    </row>
    <row r="94" spans="1:20" ht="20.100000000000001" customHeight="1" x14ac:dyDescent="0.25">
      <c r="A94"/>
      <c r="D94" s="34" t="str" cm="1">
        <f t="array" ref="D94">Common_InputFunctions.Utility_DisplayArrayInTable(Common_SourceData.Common_SourceData_ClimateZones_Data(), Table_SourceData_ClimateZones[[#Headers],[Climate zone]], 0)</f>
        <v>Warm temperate moist</v>
      </c>
      <c r="E94" s="34" t="str" cm="1">
        <f t="array" ref="E94">Common_InputFunctions.Utility_DisplayArrayInTable(Common_SourceData.Common_SourceData_ClimateZones_Data(), Table_SourceData_ClimateZones[[#Headers],[Climate zone]], 0)</f>
        <v>&gt; 10 C</v>
      </c>
      <c r="F94" s="34" t="str" cm="1">
        <f t="array" ref="F94">Common_InputFunctions.Utility_DisplayArrayInTable(Common_SourceData.Common_SourceData_ClimateZones_Data(), Table_SourceData_ClimateZones[[#Headers],[Climate zone]], 0)</f>
        <v>Any</v>
      </c>
      <c r="G94" s="34" t="str" cm="1">
        <f t="array" ref="G94">Common_InputFunctions.Utility_DisplayArrayInTable(Common_SourceData.Common_SourceData_ClimateZones_Data(), Table_SourceData_ClimateZones[[#Headers],[Climate zone]], 0)</f>
        <v>Any</v>
      </c>
      <c r="H94" s="34" t="str" cm="1">
        <f t="array" ref="H94">Common_InputFunctions.Utility_DisplayArrayInTable(Common_SourceData.Common_SourceData_ClimateZones_Data(), Table_SourceData_ClimateZones[[#Headers],[Climate zone]], 0)</f>
        <v>Any</v>
      </c>
      <c r="I94" s="34" t="str" cm="1">
        <f t="array" ref="I94">Common_InputFunctions.Utility_DisplayArrayInTable(Common_SourceData.Common_SourceData_ClimateZones_Data(), Table_SourceData_ClimateZones[[#Headers],[Climate zone]], 0)</f>
        <v>&gt; 1</v>
      </c>
      <c r="J94" s="34" cm="1">
        <f t="array" ref="J94">Common_InputFunctions.Utility_DisplayArrayInTable(Common_SourceData.Common_SourceData_ClimateZones_Data(), Table_SourceData_ClimateZones[[#Headers],[Climate zone]], 0)</f>
        <v>10.000999999999999</v>
      </c>
      <c r="K94" s="34" cm="1">
        <f t="array" ref="K94">Common_InputFunctions.Utility_DisplayArrayInTable(Common_SourceData.Common_SourceData_ClimateZones_Data(), Table_SourceData_ClimateZones[[#Headers],[Climate zone]], 0)</f>
        <v>999999</v>
      </c>
      <c r="L94" s="34" cm="1">
        <f t="array" ref="L94">Common_InputFunctions.Utility_DisplayArrayInTable(Common_SourceData.Common_SourceData_ClimateZones_Data(), Table_SourceData_ClimateZones[[#Headers],[Climate zone]], 0)</f>
        <v>-999999</v>
      </c>
      <c r="M94" s="34" cm="1">
        <f t="array" ref="M94">Common_InputFunctions.Utility_DisplayArrayInTable(Common_SourceData.Common_SourceData_ClimateZones_Data(), Table_SourceData_ClimateZones[[#Headers],[Climate zone]], 0)</f>
        <v>999999</v>
      </c>
      <c r="N94" s="34" cm="1">
        <f t="array" ref="N94">Common_InputFunctions.Utility_DisplayArrayInTable(Common_SourceData.Common_SourceData_ClimateZones_Data(), Table_SourceData_ClimateZones[[#Headers],[Climate zone]], 0)</f>
        <v>-999999</v>
      </c>
      <c r="O94" s="34" cm="1">
        <f t="array" ref="O94">Common_InputFunctions.Utility_DisplayArrayInTable(Common_SourceData.Common_SourceData_ClimateZones_Data(), Table_SourceData_ClimateZones[[#Headers],[Climate zone]], 0)</f>
        <v>999999</v>
      </c>
      <c r="P94" s="34" cm="1">
        <f t="array" ref="P94">Common_InputFunctions.Utility_DisplayArrayInTable(Common_SourceData.Common_SourceData_ClimateZones_Data(), Table_SourceData_ClimateZones[[#Headers],[Climate zone]], 0)</f>
        <v>-999999</v>
      </c>
      <c r="Q94" s="34" cm="1">
        <f t="array" ref="Q94">Common_InputFunctions.Utility_DisplayArrayInTable(Common_SourceData.Common_SourceData_ClimateZones_Data(), Table_SourceData_ClimateZones[[#Headers],[Climate zone]], 0)</f>
        <v>999999</v>
      </c>
      <c r="R94" s="34" cm="1">
        <f t="array" ref="R94">Common_InputFunctions.Utility_DisplayArrayInTable(Common_SourceData.Common_SourceData_ClimateZones_Data(), Table_SourceData_ClimateZones[[#Headers],[Climate zone]], 0)</f>
        <v>1.0009999999999999</v>
      </c>
      <c r="S94" s="34" cm="1">
        <f t="array" ref="S94">Common_InputFunctions.Utility_DisplayArrayInTable(Common_SourceData.Common_SourceData_ClimateZones_Data(), Table_SourceData_ClimateZones[[#Headers],[Climate zone]], 0)</f>
        <v>999999</v>
      </c>
      <c r="T94" s="34"/>
    </row>
    <row r="95" spans="1:20" ht="20.100000000000001" customHeight="1" x14ac:dyDescent="0.25">
      <c r="A95"/>
      <c r="D95" s="34" t="str" cm="1">
        <f t="array" ref="D95">Common_InputFunctions.Utility_DisplayArrayInTable(Common_SourceData.Common_SourceData_ClimateZones_Data(), Table_SourceData_ClimateZones[[#Headers],[Climate zone]], 0)</f>
        <v>Warm temperate dry</v>
      </c>
      <c r="E95" s="34" t="str" cm="1">
        <f t="array" ref="E95">Common_InputFunctions.Utility_DisplayArrayInTable(Common_SourceData.Common_SourceData_ClimateZones_Data(), Table_SourceData_ClimateZones[[#Headers],[Climate zone]], 0)</f>
        <v>&gt; 10 C</v>
      </c>
      <c r="F95" s="34" t="str" cm="1">
        <f t="array" ref="F95">Common_InputFunctions.Utility_DisplayArrayInTable(Common_SourceData.Common_SourceData_ClimateZones_Data(), Table_SourceData_ClimateZones[[#Headers],[Climate zone]], 0)</f>
        <v>Any</v>
      </c>
      <c r="G95" s="34" t="str" cm="1">
        <f t="array" ref="G95">Common_InputFunctions.Utility_DisplayArrayInTable(Common_SourceData.Common_SourceData_ClimateZones_Data(), Table_SourceData_ClimateZones[[#Headers],[Climate zone]], 0)</f>
        <v>Any</v>
      </c>
      <c r="H95" s="34" t="str" cm="1">
        <f t="array" ref="H95">Common_InputFunctions.Utility_DisplayArrayInTable(Common_SourceData.Common_SourceData_ClimateZones_Data(), Table_SourceData_ClimateZones[[#Headers],[Climate zone]], 0)</f>
        <v>Any</v>
      </c>
      <c r="I95" s="34" t="str" cm="1">
        <f t="array" ref="I95">Common_InputFunctions.Utility_DisplayArrayInTable(Common_SourceData.Common_SourceData_ClimateZones_Data(), Table_SourceData_ClimateZones[[#Headers],[Climate zone]], 0)</f>
        <v>≤ 1</v>
      </c>
      <c r="J95" s="34" cm="1">
        <f t="array" ref="J95">Common_InputFunctions.Utility_DisplayArrayInTable(Common_SourceData.Common_SourceData_ClimateZones_Data(), Table_SourceData_ClimateZones[[#Headers],[Climate zone]], 0)</f>
        <v>10.000999999999999</v>
      </c>
      <c r="K95" s="34" cm="1">
        <f t="array" ref="K95">Common_InputFunctions.Utility_DisplayArrayInTable(Common_SourceData.Common_SourceData_ClimateZones_Data(), Table_SourceData_ClimateZones[[#Headers],[Climate zone]], 0)</f>
        <v>999999</v>
      </c>
      <c r="L95" s="34" cm="1">
        <f t="array" ref="L95">Common_InputFunctions.Utility_DisplayArrayInTable(Common_SourceData.Common_SourceData_ClimateZones_Data(), Table_SourceData_ClimateZones[[#Headers],[Climate zone]], 0)</f>
        <v>-999999</v>
      </c>
      <c r="M95" s="34" cm="1">
        <f t="array" ref="M95">Common_InputFunctions.Utility_DisplayArrayInTable(Common_SourceData.Common_SourceData_ClimateZones_Data(), Table_SourceData_ClimateZones[[#Headers],[Climate zone]], 0)</f>
        <v>999999</v>
      </c>
      <c r="N95" s="34" cm="1">
        <f t="array" ref="N95">Common_InputFunctions.Utility_DisplayArrayInTable(Common_SourceData.Common_SourceData_ClimateZones_Data(), Table_SourceData_ClimateZones[[#Headers],[Climate zone]], 0)</f>
        <v>-999999</v>
      </c>
      <c r="O95" s="34" cm="1">
        <f t="array" ref="O95">Common_InputFunctions.Utility_DisplayArrayInTable(Common_SourceData.Common_SourceData_ClimateZones_Data(), Table_SourceData_ClimateZones[[#Headers],[Climate zone]], 0)</f>
        <v>999999</v>
      </c>
      <c r="P95" s="34" cm="1">
        <f t="array" ref="P95">Common_InputFunctions.Utility_DisplayArrayInTable(Common_SourceData.Common_SourceData_ClimateZones_Data(), Table_SourceData_ClimateZones[[#Headers],[Climate zone]], 0)</f>
        <v>-999999</v>
      </c>
      <c r="Q95" s="34" cm="1">
        <f t="array" ref="Q95">Common_InputFunctions.Utility_DisplayArrayInTable(Common_SourceData.Common_SourceData_ClimateZones_Data(), Table_SourceData_ClimateZones[[#Headers],[Climate zone]], 0)</f>
        <v>999999</v>
      </c>
      <c r="R95" s="34" cm="1">
        <f t="array" ref="R95">Common_InputFunctions.Utility_DisplayArrayInTable(Common_SourceData.Common_SourceData_ClimateZones_Data(), Table_SourceData_ClimateZones[[#Headers],[Climate zone]], 0)</f>
        <v>-999999</v>
      </c>
      <c r="S95" s="34" cm="1">
        <f t="array" ref="S95">Common_InputFunctions.Utility_DisplayArrayInTable(Common_SourceData.Common_SourceData_ClimateZones_Data(), Table_SourceData_ClimateZones[[#Headers],[Climate zone]], 0)</f>
        <v>1</v>
      </c>
      <c r="T95" s="34"/>
    </row>
    <row r="96" spans="1:20" ht="20.100000000000001" customHeight="1" x14ac:dyDescent="0.25">
      <c r="A96"/>
      <c r="D96" s="34" t="str" cm="1">
        <f t="array" ref="D96">Common_InputFunctions.Utility_DisplayArrayInTable(Common_SourceData.Common_SourceData_ClimateZones_Data(), Table_SourceData_ClimateZones[[#Headers],[Climate zone]], 0)</f>
        <v>Cool temperate moist</v>
      </c>
      <c r="E96" s="34" t="str" cm="1">
        <f t="array" ref="E96">Common_InputFunctions.Utility_DisplayArrayInTable(Common_SourceData.Common_SourceData_ClimateZones_Data(), Table_SourceData_ClimateZones[[#Headers],[Climate zone]], 0)</f>
        <v>&gt; 0 C - ≤ 10 C</v>
      </c>
      <c r="F96" s="34" t="str" cm="1">
        <f t="array" ref="F96">Common_InputFunctions.Utility_DisplayArrayInTable(Common_SourceData.Common_SourceData_ClimateZones_Data(), Table_SourceData_ClimateZones[[#Headers],[Climate zone]], 0)</f>
        <v>Any</v>
      </c>
      <c r="G96" s="34" t="str" cm="1">
        <f t="array" ref="G96">Common_InputFunctions.Utility_DisplayArrayInTable(Common_SourceData.Common_SourceData_ClimateZones_Data(), Table_SourceData_ClimateZones[[#Headers],[Climate zone]], 0)</f>
        <v>Any</v>
      </c>
      <c r="H96" s="34" t="str" cm="1">
        <f t="array" ref="H96">Common_InputFunctions.Utility_DisplayArrayInTable(Common_SourceData.Common_SourceData_ClimateZones_Data(), Table_SourceData_ClimateZones[[#Headers],[Climate zone]], 0)</f>
        <v>Any</v>
      </c>
      <c r="I96" s="34" t="str" cm="1">
        <f t="array" ref="I96">Common_InputFunctions.Utility_DisplayArrayInTable(Common_SourceData.Common_SourceData_ClimateZones_Data(), Table_SourceData_ClimateZones[[#Headers],[Climate zone]], 0)</f>
        <v>&gt; 1</v>
      </c>
      <c r="J96" s="34" cm="1">
        <f t="array" ref="J96">Common_InputFunctions.Utility_DisplayArrayInTable(Common_SourceData.Common_SourceData_ClimateZones_Data(), Table_SourceData_ClimateZones[[#Headers],[Climate zone]], 0)</f>
        <v>-999999</v>
      </c>
      <c r="K96" s="34" cm="1">
        <f t="array" ref="K96">Common_InputFunctions.Utility_DisplayArrayInTable(Common_SourceData.Common_SourceData_ClimateZones_Data(), Table_SourceData_ClimateZones[[#Headers],[Climate zone]], 0)</f>
        <v>10</v>
      </c>
      <c r="L96" s="34" cm="1">
        <f t="array" ref="L96">Common_InputFunctions.Utility_DisplayArrayInTable(Common_SourceData.Common_SourceData_ClimateZones_Data(), Table_SourceData_ClimateZones[[#Headers],[Climate zone]], 0)</f>
        <v>-999999</v>
      </c>
      <c r="M96" s="34" cm="1">
        <f t="array" ref="M96">Common_InputFunctions.Utility_DisplayArrayInTable(Common_SourceData.Common_SourceData_ClimateZones_Data(), Table_SourceData_ClimateZones[[#Headers],[Climate zone]], 0)</f>
        <v>999999</v>
      </c>
      <c r="N96" s="34" cm="1">
        <f t="array" ref="N96">Common_InputFunctions.Utility_DisplayArrayInTable(Common_SourceData.Common_SourceData_ClimateZones_Data(), Table_SourceData_ClimateZones[[#Headers],[Climate zone]], 0)</f>
        <v>-999999</v>
      </c>
      <c r="O96" s="34" cm="1">
        <f t="array" ref="O96">Common_InputFunctions.Utility_DisplayArrayInTable(Common_SourceData.Common_SourceData_ClimateZones_Data(), Table_SourceData_ClimateZones[[#Headers],[Climate zone]], 0)</f>
        <v>999999</v>
      </c>
      <c r="P96" s="34" cm="1">
        <f t="array" ref="P96">Common_InputFunctions.Utility_DisplayArrayInTable(Common_SourceData.Common_SourceData_ClimateZones_Data(), Table_SourceData_ClimateZones[[#Headers],[Climate zone]], 0)</f>
        <v>-999999</v>
      </c>
      <c r="Q96" s="34" cm="1">
        <f t="array" ref="Q96">Common_InputFunctions.Utility_DisplayArrayInTable(Common_SourceData.Common_SourceData_ClimateZones_Data(), Table_SourceData_ClimateZones[[#Headers],[Climate zone]], 0)</f>
        <v>999999</v>
      </c>
      <c r="R96" s="34" cm="1">
        <f t="array" ref="R96">Common_InputFunctions.Utility_DisplayArrayInTable(Common_SourceData.Common_SourceData_ClimateZones_Data(), Table_SourceData_ClimateZones[[#Headers],[Climate zone]], 0)</f>
        <v>1.0009999999999999</v>
      </c>
      <c r="S96" s="34" cm="1">
        <f t="array" ref="S96">Common_InputFunctions.Utility_DisplayArrayInTable(Common_SourceData.Common_SourceData_ClimateZones_Data(), Table_SourceData_ClimateZones[[#Headers],[Climate zone]], 0)</f>
        <v>999999</v>
      </c>
      <c r="T96" s="34"/>
    </row>
    <row r="97" spans="1:20" ht="20.100000000000001" customHeight="1" x14ac:dyDescent="0.25">
      <c r="A97"/>
      <c r="D97" s="34" t="str" cm="1">
        <f t="array" ref="D97">Common_InputFunctions.Utility_DisplayArrayInTable(Common_SourceData.Common_SourceData_ClimateZones_Data(), Table_SourceData_ClimateZones[[#Headers],[Climate zone]], 0)</f>
        <v>Cool temperate dry</v>
      </c>
      <c r="E97" s="34" t="str" cm="1">
        <f t="array" ref="E97">Common_InputFunctions.Utility_DisplayArrayInTable(Common_SourceData.Common_SourceData_ClimateZones_Data(), Table_SourceData_ClimateZones[[#Headers],[Climate zone]], 0)</f>
        <v>&gt; 0 C - ≤ 10 C</v>
      </c>
      <c r="F97" s="34" t="str" cm="1">
        <f t="array" ref="F97">Common_InputFunctions.Utility_DisplayArrayInTable(Common_SourceData.Common_SourceData_ClimateZones_Data(), Table_SourceData_ClimateZones[[#Headers],[Climate zone]], 0)</f>
        <v>Any</v>
      </c>
      <c r="G97" s="34" t="str" cm="1">
        <f t="array" ref="G97">Common_InputFunctions.Utility_DisplayArrayInTable(Common_SourceData.Common_SourceData_ClimateZones_Data(), Table_SourceData_ClimateZones[[#Headers],[Climate zone]], 0)</f>
        <v>Any</v>
      </c>
      <c r="H97" s="34" t="str" cm="1">
        <f t="array" ref="H97">Common_InputFunctions.Utility_DisplayArrayInTable(Common_SourceData.Common_SourceData_ClimateZones_Data(), Table_SourceData_ClimateZones[[#Headers],[Climate zone]], 0)</f>
        <v>Any</v>
      </c>
      <c r="I97" s="34" t="str" cm="1">
        <f t="array" ref="I97">Common_InputFunctions.Utility_DisplayArrayInTable(Common_SourceData.Common_SourceData_ClimateZones_Data(), Table_SourceData_ClimateZones[[#Headers],[Climate zone]], 0)</f>
        <v>≤ 1</v>
      </c>
      <c r="J97" s="34" cm="1">
        <f t="array" ref="J97">Common_InputFunctions.Utility_DisplayArrayInTable(Common_SourceData.Common_SourceData_ClimateZones_Data(), Table_SourceData_ClimateZones[[#Headers],[Climate zone]], 0)</f>
        <v>-999999</v>
      </c>
      <c r="K97" s="34" cm="1">
        <f t="array" ref="K97">Common_InputFunctions.Utility_DisplayArrayInTable(Common_SourceData.Common_SourceData_ClimateZones_Data(), Table_SourceData_ClimateZones[[#Headers],[Climate zone]], 0)</f>
        <v>10</v>
      </c>
      <c r="L97" s="34" cm="1">
        <f t="array" ref="L97">Common_InputFunctions.Utility_DisplayArrayInTable(Common_SourceData.Common_SourceData_ClimateZones_Data(), Table_SourceData_ClimateZones[[#Headers],[Climate zone]], 0)</f>
        <v>-999999</v>
      </c>
      <c r="M97" s="34" cm="1">
        <f t="array" ref="M97">Common_InputFunctions.Utility_DisplayArrayInTable(Common_SourceData.Common_SourceData_ClimateZones_Data(), Table_SourceData_ClimateZones[[#Headers],[Climate zone]], 0)</f>
        <v>999999</v>
      </c>
      <c r="N97" s="34" cm="1">
        <f t="array" ref="N97">Common_InputFunctions.Utility_DisplayArrayInTable(Common_SourceData.Common_SourceData_ClimateZones_Data(), Table_SourceData_ClimateZones[[#Headers],[Climate zone]], 0)</f>
        <v>-999999</v>
      </c>
      <c r="O97" s="34" cm="1">
        <f t="array" ref="O97">Common_InputFunctions.Utility_DisplayArrayInTable(Common_SourceData.Common_SourceData_ClimateZones_Data(), Table_SourceData_ClimateZones[[#Headers],[Climate zone]], 0)</f>
        <v>999999</v>
      </c>
      <c r="P97" s="34" cm="1">
        <f t="array" ref="P97">Common_InputFunctions.Utility_DisplayArrayInTable(Common_SourceData.Common_SourceData_ClimateZones_Data(), Table_SourceData_ClimateZones[[#Headers],[Climate zone]], 0)</f>
        <v>-999999</v>
      </c>
      <c r="Q97" s="34" cm="1">
        <f t="array" ref="Q97">Common_InputFunctions.Utility_DisplayArrayInTable(Common_SourceData.Common_SourceData_ClimateZones_Data(), Table_SourceData_ClimateZones[[#Headers],[Climate zone]], 0)</f>
        <v>999999</v>
      </c>
      <c r="R97" s="34" cm="1">
        <f t="array" ref="R97">Common_InputFunctions.Utility_DisplayArrayInTable(Common_SourceData.Common_SourceData_ClimateZones_Data(), Table_SourceData_ClimateZones[[#Headers],[Climate zone]], 0)</f>
        <v>-999999</v>
      </c>
      <c r="S97" s="34" cm="1">
        <f t="array" ref="S97">Common_InputFunctions.Utility_DisplayArrayInTable(Common_SourceData.Common_SourceData_ClimateZones_Data(), Table_SourceData_ClimateZones[[#Headers],[Climate zone]], 0)</f>
        <v>1</v>
      </c>
      <c r="T97" s="34"/>
    </row>
    <row r="98" spans="1:20" ht="20.100000000000001" customHeight="1" x14ac:dyDescent="0.25">
      <c r="A98"/>
    </row>
    <row r="99" spans="1:20" ht="20.100000000000001" customHeight="1" x14ac:dyDescent="0.25">
      <c r="A99"/>
      <c r="D99" s="48" t="str" cm="1">
        <f t="array" ref="D99:D102">Common_SourceData.Common_SourceData_ClimateZones_Appendices()</f>
        <v>Note:</v>
      </c>
    </row>
    <row r="100" spans="1:20" ht="20.100000000000001" customHeight="1" x14ac:dyDescent="0.25">
      <c r="A100"/>
      <c r="D100" s="48" t="str">
        <v>MAT = mean annual temperature</v>
      </c>
    </row>
    <row r="101" spans="1:20" ht="20.100000000000001" customHeight="1" x14ac:dyDescent="0.25">
      <c r="A101"/>
      <c r="D101" s="48" t="str">
        <v>MAP = mean annual precipitation</v>
      </c>
    </row>
    <row r="102" spans="1:20" ht="20.100000000000001" customHeight="1" x14ac:dyDescent="0.25">
      <c r="A102"/>
      <c r="D102" s="48" t="str">
        <v>PET = potential evapotranspiration</v>
      </c>
    </row>
    <row r="103" spans="1:20" ht="20.100000000000001" customHeight="1" x14ac:dyDescent="0.25">
      <c r="A103"/>
      <c r="D103" s="48"/>
    </row>
    <row r="104" spans="1:20" ht="20.100000000000001" customHeight="1" x14ac:dyDescent="0.25">
      <c r="A104"/>
    </row>
    <row r="105" spans="1:20" ht="20.100000000000001" customHeight="1" x14ac:dyDescent="0.25">
      <c r="A105"/>
      <c r="D105" s="6" t="str" cm="1">
        <f t="array" ref="D105">Common_SourceData.Common_SourceData_TemperatureZones_Title()</f>
        <v>VEERG Australian temperature zones</v>
      </c>
    </row>
    <row r="106" spans="1:20" ht="20.100000000000001" customHeight="1" x14ac:dyDescent="0.25">
      <c r="A106"/>
      <c r="D106" s="5" t="str" cm="1">
        <f t="array" ref="D106">Common_SourceData.Common_SourceData_TemperatureZones_Source()</f>
        <v>VEERG 2026: Table 1.3: Climate and Rainfall zone classifications and definitions</v>
      </c>
    </row>
    <row r="107" spans="1:20" ht="20.100000000000001" customHeight="1" x14ac:dyDescent="0.25">
      <c r="A107"/>
      <c r="D107" s="49"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34" t="s">
        <v>39</v>
      </c>
      <c r="E109" s="34" t="s">
        <v>22</v>
      </c>
      <c r="F109" s="34" t="s">
        <v>40</v>
      </c>
      <c r="G109" s="34" t="s">
        <v>41</v>
      </c>
    </row>
    <row r="110" spans="1:20" ht="20.100000000000001" customHeight="1" x14ac:dyDescent="0.25">
      <c r="A110"/>
      <c r="D110" s="34" t="str" cm="1">
        <f t="array" ref="D110">Common_InputFunctions.Utility_DisplayArrayInTable(Common_SourceData.Common_SourceData_TemperatureZones_Data(),Table_SourceData_TemperatureZones[[#Headers],[Temperature Zone]],0)</f>
        <v>Warm</v>
      </c>
      <c r="E110" s="34" t="str" cm="1">
        <f t="array" ref="E110">Common_InputFunctions.Utility_DisplayArrayInTable(Common_SourceData.Common_SourceData_TemperatureZones_Data(),Table_SourceData_TemperatureZones[[#Headers],[Temperature Zone]],0)</f>
        <v>≥ 26 C</v>
      </c>
      <c r="F110" s="34" cm="1">
        <f t="array" ref="F110">Common_InputFunctions.Utility_DisplayArrayInTable(Common_SourceData.Common_SourceData_TemperatureZones_Data(),Table_SourceData_TemperatureZones[[#Headers],[Temperature Zone]],0)</f>
        <v>26</v>
      </c>
      <c r="G110" s="34"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34" t="str" cm="1">
        <f t="array" ref="D111">Common_InputFunctions.Utility_DisplayArrayInTable(Common_SourceData.Common_SourceData_TemperatureZones_Data(),Table_SourceData_TemperatureZones[[#Headers],[Temperature Zone]],0)</f>
        <v>Temperate</v>
      </c>
      <c r="E111" s="34" t="str" cm="1">
        <f t="array" ref="E111">Common_InputFunctions.Utility_DisplayArrayInTable(Common_SourceData.Common_SourceData_TemperatureZones_Data(),Table_SourceData_TemperatureZones[[#Headers],[Temperature Zone]],0)</f>
        <v>15 - 25 C</v>
      </c>
      <c r="F111" s="34" cm="1">
        <f t="array" ref="F111">Common_InputFunctions.Utility_DisplayArrayInTable(Common_SourceData.Common_SourceData_TemperatureZones_Data(),Table_SourceData_TemperatureZones[[#Headers],[Temperature Zone]],0)</f>
        <v>15</v>
      </c>
      <c r="G111" s="34"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34" t="str" cm="1">
        <f t="array" ref="D112">Common_InputFunctions.Utility_DisplayArrayInTable(Common_SourceData.Common_SourceData_TemperatureZones_Data(),Table_SourceData_TemperatureZones[[#Headers],[Temperature Zone]],0)</f>
        <v>Cool</v>
      </c>
      <c r="E112" s="34" t="str" cm="1">
        <f t="array" ref="E112">Common_InputFunctions.Utility_DisplayArrayInTable(Common_SourceData.Common_SourceData_TemperatureZones_Data(),Table_SourceData_TemperatureZones[[#Headers],[Temperature Zone]],0)</f>
        <v>≤ 14 C</v>
      </c>
      <c r="F112" s="34" cm="1">
        <f t="array" ref="F112">Common_InputFunctions.Utility_DisplayArrayInTable(Common_SourceData.Common_SourceData_TemperatureZones_Data(),Table_SourceData_TemperatureZones[[#Headers],[Temperature Zone]],0)</f>
        <v>-999999</v>
      </c>
      <c r="G112" s="34"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6" t="str" cm="1">
        <f t="array" ref="D115">Common_SourceData.Common_SourceData_RainfallZones_Title()</f>
        <v>VEERG Australian rainfall zones</v>
      </c>
      <c r="BN115" s="7"/>
    </row>
    <row r="116" spans="1:66" ht="20.100000000000001" customHeight="1" x14ac:dyDescent="0.25">
      <c r="A116"/>
      <c r="D116" s="5" t="str" cm="1">
        <f t="array" ref="D116">Common_SourceData.Common_SourceData_RainfallZones_Source()</f>
        <v>VEERG 2026: Table 1.3: Climate and Rainfall zone classifications and definitions</v>
      </c>
      <c r="BN116" s="7"/>
    </row>
    <row r="117" spans="1:66" ht="20.100000000000001" customHeight="1" x14ac:dyDescent="0.25">
      <c r="A117"/>
      <c r="D117" s="49" t="str" cm="1">
        <f t="array" ref="D117">"⚠️" &amp; Common_SourceData.Common_SourceData_RainfallZones_Variation()</f>
        <v>⚠️VARIATION OF SOURCE DATA: Added extra Rainfall min and Rainfall max columns to calculate zone from real rainfall data.</v>
      </c>
      <c r="BN117" s="7"/>
    </row>
    <row r="118" spans="1:66" ht="20.100000000000001" customHeight="1" x14ac:dyDescent="0.25">
      <c r="A118"/>
      <c r="BN118" s="7"/>
    </row>
    <row r="119" spans="1:66" ht="20.100000000000001" customHeight="1" x14ac:dyDescent="0.25">
      <c r="A119"/>
      <c r="D119" s="34" t="s">
        <v>42</v>
      </c>
      <c r="E119" s="34" t="s">
        <v>43</v>
      </c>
      <c r="F119" s="34" t="s">
        <v>29</v>
      </c>
      <c r="G119" s="34" t="s">
        <v>30</v>
      </c>
      <c r="BN119" s="7"/>
    </row>
    <row r="120" spans="1:66" ht="20.100000000000001" customHeight="1" x14ac:dyDescent="0.25">
      <c r="A120"/>
      <c r="D120" s="34" t="str" cm="1">
        <f t="array" ref="D120">Common_InputFunctions.Utility_DisplayArrayInTable(Common_SourceData.Common_SourceData_RainfallZones_Data(),Table_SourceData_RainfallZones[[#Headers],[Rainfall Zone]],0)</f>
        <v>High rainfall</v>
      </c>
      <c r="E120" s="34" t="str" cm="1">
        <f t="array" ref="E120">Common_InputFunctions.Utility_DisplayArrayInTable(Common_SourceData.Common_SourceData_RainfallZones_Data(),Table_SourceData_RainfallZones[[#Headers],[Rainfall Zone]],0)</f>
        <v>Annual rainfall &gt; 600mm</v>
      </c>
      <c r="F120" s="34" cm="1">
        <f t="array" ref="F120">Common_InputFunctions.Utility_DisplayArrayInTable(Common_SourceData.Common_SourceData_RainfallZones_Data(),Table_SourceData_RainfallZones[[#Headers],[Rainfall Zone]],0)</f>
        <v>600.00099999999998</v>
      </c>
      <c r="G120" s="34" cm="1">
        <f t="array" ref="G120">Common_InputFunctions.Utility_DisplayArrayInTable(Common_SourceData.Common_SourceData_RainfallZones_Data(),Table_SourceData_RainfallZones[[#Headers],[Rainfall Zone]],0)</f>
        <v>999999</v>
      </c>
      <c r="BN120" s="7"/>
    </row>
    <row r="121" spans="1:66" ht="20.100000000000001" customHeight="1" x14ac:dyDescent="0.25">
      <c r="A121"/>
      <c r="D121" s="34" t="str" cm="1">
        <f t="array" ref="D121">Common_InputFunctions.Utility_DisplayArrayInTable(Common_SourceData.Common_SourceData_RainfallZones_Data(),Table_SourceData_RainfallZones[[#Headers],[Rainfall Zone]],0)</f>
        <v>Low rainfall</v>
      </c>
      <c r="E121" s="34" t="str" cm="1">
        <f t="array" ref="E121">Common_InputFunctions.Utility_DisplayArrayInTable(Common_SourceData.Common_SourceData_RainfallZones_Data(),Table_SourceData_RainfallZones[[#Headers],[Rainfall Zone]],0)</f>
        <v>Annual rainfall ≤ 600mm</v>
      </c>
      <c r="F121" s="34" cm="1">
        <f t="array" ref="F121">Common_InputFunctions.Utility_DisplayArrayInTable(Common_SourceData.Common_SourceData_RainfallZones_Data(),Table_SourceData_RainfallZones[[#Headers],[Rainfall Zone]],0)</f>
        <v>-999999</v>
      </c>
      <c r="G121" s="34" cm="1">
        <f t="array" ref="G121">Common_InputFunctions.Utility_DisplayArrayInTable(Common_SourceData.Common_SourceData_RainfallZones_Data(),Table_SourceData_RainfallZones[[#Headers],[Rainfall Zone]],0)</f>
        <v>600</v>
      </c>
      <c r="BN121" s="7"/>
    </row>
    <row r="122" spans="1:66" ht="20.100000000000001" customHeight="1" x14ac:dyDescent="0.25">
      <c r="A122"/>
      <c r="BN122" s="7"/>
    </row>
    <row r="123" spans="1:66" ht="20.100000000000001" customHeight="1" x14ac:dyDescent="0.25">
      <c r="A123"/>
    </row>
    <row r="124" spans="1:66" ht="20.100000000000001" customHeight="1" x14ac:dyDescent="0.25">
      <c r="A124"/>
      <c r="D124" s="6" t="str" cm="1">
        <f t="array" ref="D124">Common_SourceData.Common_SourceData_LeachingZones_Title()</f>
        <v>VEERG Australian leaching zones</v>
      </c>
    </row>
    <row r="125" spans="1:66" ht="20.100000000000001" customHeight="1" x14ac:dyDescent="0.25">
      <c r="A125"/>
      <c r="D125" s="5"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34" t="s">
        <v>44</v>
      </c>
      <c r="E127" s="34" t="s">
        <v>45</v>
      </c>
    </row>
    <row r="128" spans="1:66" ht="20.100000000000001" customHeight="1" x14ac:dyDescent="0.25">
      <c r="A128"/>
      <c r="D128" s="34" t="str" cm="1">
        <f t="array" ref="D128">Common_InputFunctions.Utility_DisplayArrayInTable(Common_SourceData.Common_SourceData_LeachingZones_Data(), Table_SourceData_LeachingZones[[#Headers],[Leaching Zone]], 0)</f>
        <v>Leaching occurs</v>
      </c>
      <c r="E128" s="34"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34" t="str" cm="1">
        <f t="array" ref="D129">Common_InputFunctions.Utility_DisplayArrayInTable(Common_SourceData.Common_SourceData_LeachingZones_Data(), Table_SourceData_LeachingZones[[#Headers],[Leaching Zone]], 0)</f>
        <v>Leaching does not occur</v>
      </c>
      <c r="E129" s="34"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6" t="str" cm="1">
        <f t="array" ref="D132">Common_SourceData.Common_SourceData_FracWET_Title()</f>
        <v>Fraction of N that is available for leaching and runoff</v>
      </c>
      <c r="E132" s="21"/>
    </row>
    <row r="133" spans="1:77" ht="20.100000000000001" customHeight="1" x14ac:dyDescent="0.25">
      <c r="A133"/>
      <c r="D133" s="5" t="str" cm="1">
        <f t="array" ref="D133">Common_SourceData.Common_SourceData_FracWET_Source()</f>
        <v>VEERG 2026:5.5.2.3 Constant Parameters</v>
      </c>
      <c r="E133" s="21"/>
    </row>
    <row r="134" spans="1:77" ht="20.100000000000001" customHeight="1" x14ac:dyDescent="0.25">
      <c r="A134"/>
      <c r="D134" t="s">
        <v>55</v>
      </c>
      <c r="E134" t="s">
        <v>56</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34"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7"/>
      <c r="BO138" s="7"/>
      <c r="BP138" s="7"/>
      <c r="BQ138" s="7"/>
      <c r="BR138" s="7"/>
      <c r="BS138" s="7"/>
      <c r="BT138" s="7"/>
      <c r="BU138" s="7"/>
      <c r="BV138" s="7"/>
      <c r="BW138" s="7"/>
      <c r="BX138" s="7"/>
      <c r="BY138" s="7"/>
    </row>
    <row r="139" spans="1:77" ht="20.100000000000001" customHeight="1" x14ac:dyDescent="0.25">
      <c r="A139"/>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1:77" ht="20.100000000000001" customHeight="1" x14ac:dyDescent="0.25">
      <c r="A140"/>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1:77" ht="20.100000000000001" customHeight="1" x14ac:dyDescent="0.25">
      <c r="A141"/>
      <c r="D141" s="49"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1:77" ht="20.100000000000001" customHeight="1" x14ac:dyDescent="0.25">
      <c r="A142"/>
      <c r="D142" s="34" t="s">
        <v>70</v>
      </c>
      <c r="E142" s="34" t="s">
        <v>56</v>
      </c>
      <c r="BN142" s="7"/>
    </row>
    <row r="143" spans="1:77" ht="20.100000000000001" customHeight="1" x14ac:dyDescent="0.25">
      <c r="A143"/>
      <c r="D143" s="34" t="str" cm="1">
        <f t="array" ref="D143">Common_InputFunctions.Utility_DisplayArrayInTable(Common_SourceData.Common_SourceData_FracWETIrrigation_Data(), Table_SourceData_FracWETIrrigation[[#Headers],[Irrigation type i]], 0)</f>
        <v>Not irrigated</v>
      </c>
      <c r="E143" s="34" cm="1">
        <f t="array" ref="E143">Common_InputFunctions.Utility_DisplayArrayInTable(Common_SourceData.Common_SourceData_FracWETIrrigation_Data(), Table_SourceData_FracWETIrrigation[[#Headers],[Irrigation type i]], 0)</f>
        <v>0</v>
      </c>
      <c r="BN143" s="7"/>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34" cm="1">
        <f t="array" ref="E144">Common_InputFunctions.Utility_DisplayArrayInTable(Common_SourceData.Common_SourceData_FracWETIrrigation_Data(), Table_SourceData_FracWETIrrigation[[#Headers],[Irrigation type i]], 0)</f>
        <v>0</v>
      </c>
      <c r="BN144" s="7"/>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34" cm="1">
        <f t="array" ref="E145">Common_InputFunctions.Utility_DisplayArrayInTable(Common_SourceData.Common_SourceData_FracWETIrrigation_Data(), Table_SourceData_FracWETIrrigation[[#Headers],[Irrigation type i]], 0)</f>
        <v>1</v>
      </c>
      <c r="BN145" s="7"/>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34" cm="1">
        <f t="array" ref="E146">Common_InputFunctions.Utility_DisplayArrayInTable(Common_SourceData.Common_SourceData_FracWETIrrigation_Data(), Table_SourceData_FracWETIrrigation[[#Headers],[Irrigation type i]], 0)</f>
        <v>1</v>
      </c>
      <c r="BN146" s="7"/>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34" cm="1">
        <f t="array" ref="E147">Common_InputFunctions.Utility_DisplayArrayInTable(Common_SourceData.Common_SourceData_FracWETIrrigation_Data(), Table_SourceData_FracWETIrrigation[[#Headers],[Irrigation type i]], 0)</f>
        <v>1</v>
      </c>
      <c r="BN147" s="7"/>
    </row>
    <row r="148" spans="1:66" ht="20.100000000000001" customHeight="1" x14ac:dyDescent="0.25">
      <c r="A148"/>
      <c r="BN148" s="7"/>
    </row>
    <row r="149" spans="1:66" ht="20.100000000000001" customHeight="1" x14ac:dyDescent="0.25">
      <c r="A149"/>
      <c r="BN149" s="7"/>
    </row>
    <row r="150" spans="1:66" ht="20.100000000000001" customHeight="1" x14ac:dyDescent="0.25">
      <c r="A150"/>
      <c r="D150" s="6" t="str" cm="1">
        <f t="array" ref="D150">Common_SourceData.Common_SourceData_DataScores_Scope3_Title()</f>
        <v>Australian data scores for scope 3</v>
      </c>
      <c r="BN150" s="7"/>
    </row>
    <row r="151" spans="1:66" ht="20.100000000000001" customHeight="1" x14ac:dyDescent="0.25">
      <c r="A151"/>
      <c r="D151" s="5" t="str" cm="1">
        <f t="array" ref="D151">Common_SourceData.Common_SourceData_DataScores_Scope3_Source()</f>
        <v>VEERG 2026: XXXXXXXX</v>
      </c>
      <c r="BN151" s="7"/>
    </row>
    <row r="152" spans="1:66" ht="20.100000000000001" customHeight="1" x14ac:dyDescent="0.25">
      <c r="A152"/>
      <c r="BN152" s="7"/>
    </row>
    <row r="153" spans="1:66" ht="20.100000000000001" customHeight="1" x14ac:dyDescent="0.25">
      <c r="A153"/>
      <c r="D153" s="34" t="s">
        <v>46</v>
      </c>
      <c r="E153" s="34" t="s">
        <v>47</v>
      </c>
      <c r="BC153" s="3"/>
      <c r="BD153" s="3"/>
      <c r="BE153" s="3"/>
      <c r="BF153" s="3"/>
      <c r="BG153" s="3"/>
      <c r="BH153" s="3"/>
      <c r="BI153" s="3"/>
      <c r="BJ153" s="3"/>
      <c r="BK153" s="3"/>
      <c r="BL153" s="3"/>
      <c r="BM153" s="3"/>
    </row>
    <row r="154" spans="1:66" ht="20.100000000000001" customHeight="1" x14ac:dyDescent="0.25">
      <c r="A154"/>
      <c r="D154" s="34" t="str" cm="1">
        <f t="array" ref="D154">Common_InputFunctions.Utility_DisplayArrayInTable(Common_SourceData.Common_SourceData_DataScores_Scope3_Data(), Table_SourceData_DataScores_Scope3[[#Headers],[Data source]], 0)</f>
        <v>International scope 3 database</v>
      </c>
      <c r="E154" s="34"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1:66" ht="20.100000000000001" customHeight="1" x14ac:dyDescent="0.25">
      <c r="A155"/>
      <c r="D155" s="34" t="str" cm="1">
        <f t="array" ref="D155">Common_InputFunctions.Utility_DisplayArrayInTable(Common_SourceData.Common_SourceData_DataScores_Scope3_Data(), Table_SourceData_DataScores_Scope3[[#Headers],[Data source]], 0)</f>
        <v>Australian scope 3 database</v>
      </c>
      <c r="E155" s="34"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1:66" ht="20.100000000000001" customHeight="1" x14ac:dyDescent="0.25">
      <c r="A156"/>
      <c r="D156" s="34" t="str" cm="1">
        <f t="array" ref="D156">Common_InputFunctions.Utility_DisplayArrayInTable(Common_SourceData.Common_SourceData_DataScores_Scope3_Data(), Table_SourceData_DataScores_Scope3[[#Headers],[Data source]], 0)</f>
        <v>State or regional scope 3 database</v>
      </c>
      <c r="E156" s="34"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34" t="str" cm="1">
        <f t="array" ref="D157">Common_InputFunctions.Utility_DisplayArrayInTable(Common_SourceData.Common_SourceData_DataScores_Scope3_Data(), Table_SourceData_DataScores_Scope3[[#Headers],[Data source]], 0)</f>
        <v>Emissions intensity calculated from approved method</v>
      </c>
      <c r="E157" s="34"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34" t="str" cm="1">
        <f t="array" ref="D158">Common_InputFunctions.Utility_DisplayArrayInTable(Common_SourceData.Common_SourceData_DataScores_Scope3_Data(), Table_SourceData_DataScores_Scope3[[#Headers],[Data source]], 0)</f>
        <v>Verified credential matching ISO14067</v>
      </c>
      <c r="E158" s="34"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6" t="str" cm="1">
        <f t="array" ref="D161">Common_SourceData.Common_SourceData_FracLEACH_Title()</f>
        <v>Fraction of N that is available for leaching and runoff</v>
      </c>
      <c r="E161" s="21"/>
    </row>
    <row r="162" spans="4:68" ht="20.100000000000001" customHeight="1" x14ac:dyDescent="0.25">
      <c r="D162" s="5" t="str" cm="1">
        <f t="array" ref="D162">Common_SourceData.Common_SourceData_FracLEACH_Source()</f>
        <v>VEERG 2026:5.5.2.3 Constant Parameters</v>
      </c>
      <c r="E162" s="21"/>
    </row>
    <row r="163" spans="4:68" ht="20.100000000000001" customHeight="1" x14ac:dyDescent="0.25">
      <c r="D163" s="5" t="str" cm="1">
        <f t="array" ref="D163">Common_SourceData.Common_SourceData_FracLEACH_NIRReference()</f>
        <v>National Inventory Report Volume 1: Leaching and runoff (3.D.b.2)</v>
      </c>
      <c r="E163" s="21"/>
    </row>
    <row r="164" spans="4:68" ht="20.100000000000001" customHeight="1" x14ac:dyDescent="0.25">
      <c r="D164" s="21" t="str" cm="1">
        <f t="array" ref="D164:E164">Common_SourceData.Common_SourceData_FracLEACH_Data()</f>
        <v>FracLEACH</v>
      </c>
      <c r="E164" s="21">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48"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48" t="str" cm="1">
        <f t="array" ref="D180">Common_SourceData.Common_SourceData_EFN2O_Unit()</f>
        <v>(kg N2O-N / kg N</v>
      </c>
    </row>
    <row r="181" spans="4:68" ht="20.100000000000001" customHeight="1" x14ac:dyDescent="0.25">
      <c r="D181" s="49" t="str" cm="1">
        <f t="array" ref="D181:D185">Common_SourceData.Common_SourceData_EFN2O_Variation()</f>
        <v>VARIATION OF SOURCE DATA:</v>
      </c>
    </row>
    <row r="182" spans="4:68" ht="20.100000000000001" customHeight="1" x14ac:dyDescent="0.25">
      <c r="D182" s="49" t="str">
        <v>Removed duplicate 'Aquaculture' row.</v>
      </c>
    </row>
    <row r="183" spans="4:68" ht="20.100000000000001" customHeight="1" x14ac:dyDescent="0.25">
      <c r="D183" s="49" t="str">
        <v>Removed asterisks to aid lookup.</v>
      </c>
    </row>
    <row r="184" spans="4:68" ht="20.100000000000001" customHeight="1" x14ac:dyDescent="0.25">
      <c r="D184" s="49" t="str">
        <v>Added 'production system only', 'rainfall zone' and 'irrigation method' columns to aid lookup.</v>
      </c>
    </row>
    <row r="185" spans="4:68" ht="20.100000000000001" customHeight="1" x14ac:dyDescent="0.25">
      <c r="D185" s="49" t="str">
        <v>Duplicated 'non-irrigated pasture' row with same EF for low and high rainfall zones to aid lookup.</v>
      </c>
    </row>
    <row r="186" spans="4:68" ht="20.100000000000001" customHeight="1" x14ac:dyDescent="0.25">
      <c r="D186" s="34" t="s">
        <v>63</v>
      </c>
      <c r="E186" s="34" t="s">
        <v>64</v>
      </c>
      <c r="F186" s="34" t="s">
        <v>65</v>
      </c>
      <c r="G186" s="34" t="s">
        <v>66</v>
      </c>
      <c r="H186" s="34" t="s">
        <v>21</v>
      </c>
    </row>
    <row r="187" spans="4:68" ht="20.100000000000001" customHeight="1" x14ac:dyDescent="0.25">
      <c r="D187" s="34" t="str" cm="1">
        <f t="array" ref="D187">Common_InputFunctions.Utility_DisplayArrayInTable(Common_SourceData.Common_SourceData_EFN2O_Data(), Table_SourceData_Common_EFN2O[[#Headers],[Production system j]], 0)</f>
        <v>Irrigated pasture</v>
      </c>
      <c r="E187" s="34" cm="1">
        <f t="array" ref="E187">Common_InputFunctions.Utility_DisplayArrayInTable(Common_SourceData.Common_SourceData_EFN2O_Data(), Table_SourceData_Common_EFN2O[[#Headers],[Production system j]], 0)</f>
        <v>5.8999999999999999E-3</v>
      </c>
      <c r="F187" s="34" t="str" cm="1">
        <f t="array" ref="F187">Common_InputFunctions.Utility_DisplayArrayInTable(Common_SourceData.Common_SourceData_EFN2O_Data(), Table_SourceData_Common_EFN2O[[#Headers],[Production system j]], 0)</f>
        <v>Pasture</v>
      </c>
      <c r="G187" s="34" t="str" cm="1">
        <f t="array" ref="G187">Common_InputFunctions.Utility_DisplayArrayInTable(Common_SourceData.Common_SourceData_EFN2O_Data(), Table_SourceData_Common_EFN2O[[#Headers],[Production system j]], 0)</f>
        <v>Any</v>
      </c>
      <c r="H187" s="34" t="str" cm="1">
        <f t="array" ref="H187">Common_InputFunctions.Utility_DisplayArrayInTable(Common_SourceData.Common_SourceData_EFN2O_Data(), Table_SourceData_Common_EFN2O[[#Headers],[Production system j]], 0)</f>
        <v>Any</v>
      </c>
    </row>
    <row r="188" spans="4:68" ht="20.100000000000001" customHeight="1" x14ac:dyDescent="0.25">
      <c r="D188" s="34" t="str" cm="1">
        <f t="array" ref="D188">Common_InputFunctions.Utility_DisplayArrayInTable(Common_SourceData.Common_SourceData_EFN2O_Data(), Table_SourceData_Common_EFN2O[[#Headers],[Production system j]], 0)</f>
        <v>Irrigated crop</v>
      </c>
      <c r="E188" s="34" cm="1">
        <f t="array" ref="E188">Common_InputFunctions.Utility_DisplayArrayInTable(Common_SourceData.Common_SourceData_EFN2O_Data(), Table_SourceData_Common_EFN2O[[#Headers],[Production system j]], 0)</f>
        <v>7.0000000000000001E-3</v>
      </c>
      <c r="F188" s="34" t="str" cm="1">
        <f t="array" ref="F188">Common_InputFunctions.Utility_DisplayArrayInTable(Common_SourceData.Common_SourceData_EFN2O_Data(), Table_SourceData_Common_EFN2O[[#Headers],[Production system j]], 0)</f>
        <v>Crop</v>
      </c>
      <c r="G188" s="34" t="str" cm="1">
        <f t="array" ref="G188">Common_InputFunctions.Utility_DisplayArrayInTable(Common_SourceData.Common_SourceData_EFN2O_Data(), Table_SourceData_Common_EFN2O[[#Headers],[Production system j]], 0)</f>
        <v>Any</v>
      </c>
      <c r="H188" s="34" t="str" cm="1">
        <f t="array" ref="H188">Common_InputFunctions.Utility_DisplayArrayInTable(Common_SourceData.Common_SourceData_EFN2O_Data(), Table_SourceData_Common_EFN2O[[#Headers],[Production system j]], 0)</f>
        <v>Any</v>
      </c>
    </row>
    <row r="189" spans="4:68" ht="20.100000000000001" customHeight="1" x14ac:dyDescent="0.25">
      <c r="D189" s="34" t="str" cm="1">
        <f t="array" ref="D189">Common_InputFunctions.Utility_DisplayArrayInTable(Common_SourceData.Common_SourceData_EFN2O_Data(), Table_SourceData_Common_EFN2O[[#Headers],[Production system j]], 0)</f>
        <v>Non-irrigated pasture</v>
      </c>
      <c r="E189" s="34" cm="1">
        <f t="array" ref="E189">Common_InputFunctions.Utility_DisplayArrayInTable(Common_SourceData.Common_SourceData_EFN2O_Data(), Table_SourceData_Common_EFN2O[[#Headers],[Production system j]], 0)</f>
        <v>1.8E-3</v>
      </c>
      <c r="F189" s="34" t="str" cm="1">
        <f t="array" ref="F189">Common_InputFunctions.Utility_DisplayArrayInTable(Common_SourceData.Common_SourceData_EFN2O_Data(), Table_SourceData_Common_EFN2O[[#Headers],[Production system j]], 0)</f>
        <v>Pasture</v>
      </c>
      <c r="G189" s="34" t="str" cm="1">
        <f t="array" ref="G189">Common_InputFunctions.Utility_DisplayArrayInTable(Common_SourceData.Common_SourceData_EFN2O_Data(), Table_SourceData_Common_EFN2O[[#Headers],[Production system j]], 0)</f>
        <v>Not irrigated</v>
      </c>
      <c r="H189" s="34"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4" t="str" cm="1">
        <f t="array" ref="D190">Common_InputFunctions.Utility_DisplayArrayInTable(Common_SourceData.Common_SourceData_EFN2O_Data(), Table_SourceData_Common_EFN2O[[#Headers],[Production system j]], 0)</f>
        <v>Non-irrigated pasture</v>
      </c>
      <c r="E190" s="34" cm="1">
        <f t="array" ref="E190">Common_InputFunctions.Utility_DisplayArrayInTable(Common_SourceData.Common_SourceData_EFN2O_Data(), Table_SourceData_Common_EFN2O[[#Headers],[Production system j]], 0)</f>
        <v>1.8E-3</v>
      </c>
      <c r="F190" s="34" t="str" cm="1">
        <f t="array" ref="F190">Common_InputFunctions.Utility_DisplayArrayInTable(Common_SourceData.Common_SourceData_EFN2O_Data(), Table_SourceData_Common_EFN2O[[#Headers],[Production system j]], 0)</f>
        <v>Pasture</v>
      </c>
      <c r="G190" s="34" t="str" cm="1">
        <f t="array" ref="G190">Common_InputFunctions.Utility_DisplayArrayInTable(Common_SourceData.Common_SourceData_EFN2O_Data(), Table_SourceData_Common_EFN2O[[#Headers],[Production system j]], 0)</f>
        <v>Not irrigated</v>
      </c>
      <c r="H190" s="34"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4" t="str" cm="1">
        <f t="array" ref="D191">Common_InputFunctions.Utility_DisplayArrayInTable(Common_SourceData.Common_SourceData_EFN2O_Data(), Table_SourceData_Common_EFN2O[[#Headers],[Production system j]], 0)</f>
        <v>Non-irrigated crop (low rainfall)</v>
      </c>
      <c r="E191" s="34" cm="1">
        <f t="array" ref="E191">Common_InputFunctions.Utility_DisplayArrayInTable(Common_SourceData.Common_SourceData_EFN2O_Data(), Table_SourceData_Common_EFN2O[[#Headers],[Production system j]], 0)</f>
        <v>2.8999999999999998E-3</v>
      </c>
      <c r="F191" s="34" t="str" cm="1">
        <f t="array" ref="F191">Common_InputFunctions.Utility_DisplayArrayInTable(Common_SourceData.Common_SourceData_EFN2O_Data(), Table_SourceData_Common_EFN2O[[#Headers],[Production system j]], 0)</f>
        <v>Crop</v>
      </c>
      <c r="G191" s="34" t="str" cm="1">
        <f t="array" ref="G191">Common_InputFunctions.Utility_DisplayArrayInTable(Common_SourceData.Common_SourceData_EFN2O_Data(), Table_SourceData_Common_EFN2O[[#Headers],[Production system j]], 0)</f>
        <v>Not irrigated</v>
      </c>
      <c r="H191" s="34"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4" t="str" cm="1">
        <f t="array" ref="D192">Common_InputFunctions.Utility_DisplayArrayInTable(Common_SourceData.Common_SourceData_EFN2O_Data(), Table_SourceData_Common_EFN2O[[#Headers],[Production system j]], 0)</f>
        <v>Non-irrigated crop (high rainfall)</v>
      </c>
      <c r="E192" s="34" cm="1">
        <f t="array" ref="E192">Common_InputFunctions.Utility_DisplayArrayInTable(Common_SourceData.Common_SourceData_EFN2O_Data(), Table_SourceData_Common_EFN2O[[#Headers],[Production system j]], 0)</f>
        <v>8.0000000000000002E-3</v>
      </c>
      <c r="F192" s="34" t="str" cm="1">
        <f t="array" ref="F192">Common_InputFunctions.Utility_DisplayArrayInTable(Common_SourceData.Common_SourceData_EFN2O_Data(), Table_SourceData_Common_EFN2O[[#Headers],[Production system j]], 0)</f>
        <v>Crop</v>
      </c>
      <c r="G192" s="34" t="str" cm="1">
        <f t="array" ref="G192">Common_InputFunctions.Utility_DisplayArrayInTable(Common_SourceData.Common_SourceData_EFN2O_Data(), Table_SourceData_Common_EFN2O[[#Headers],[Production system j]], 0)</f>
        <v>Not irrigated</v>
      </c>
      <c r="H192" s="34"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4" t="str" cm="1">
        <f t="array" ref="D193">Common_InputFunctions.Utility_DisplayArrayInTable(Common_SourceData.Common_SourceData_EFN2O_Data(), Table_SourceData_Common_EFN2O[[#Headers],[Production system j]], 0)</f>
        <v>Sugar</v>
      </c>
      <c r="E193" s="34" cm="1">
        <f t="array" ref="E193">Common_InputFunctions.Utility_DisplayArrayInTable(Common_SourceData.Common_SourceData_EFN2O_Data(), Table_SourceData_Common_EFN2O[[#Headers],[Production system j]], 0)</f>
        <v>1.9900000000000001E-2</v>
      </c>
      <c r="F193" s="34" t="str" cm="1">
        <f t="array" ref="F193">Common_InputFunctions.Utility_DisplayArrayInTable(Common_SourceData.Common_SourceData_EFN2O_Data(), Table_SourceData_Common_EFN2O[[#Headers],[Production system j]], 0)</f>
        <v>Sugar</v>
      </c>
      <c r="G193" s="34" t="str" cm="1">
        <f t="array" ref="G193">Common_InputFunctions.Utility_DisplayArrayInTable(Common_SourceData.Common_SourceData_EFN2O_Data(), Table_SourceData_Common_EFN2O[[#Headers],[Production system j]], 0)</f>
        <v>Any</v>
      </c>
      <c r="H193" s="34" t="str" cm="1">
        <f t="array" ref="H193">Common_InputFunctions.Utility_DisplayArrayInTable(Common_SourceData.Common_SourceData_EFN2O_Data(), Table_SourceData_Common_EFN2O[[#Headers],[Production system j]], 0)</f>
        <v>Any</v>
      </c>
    </row>
    <row r="194" spans="4:8" ht="20.100000000000001" customHeight="1" x14ac:dyDescent="0.25">
      <c r="D194" s="34" t="str" cm="1">
        <f t="array" ref="D194">Common_InputFunctions.Utility_DisplayArrayInTable(Common_SourceData.Common_SourceData_EFN2O_Data(), Table_SourceData_Common_EFN2O[[#Headers],[Production system j]], 0)</f>
        <v>Cotton</v>
      </c>
      <c r="E194" s="34" cm="1">
        <f t="array" ref="E194">Common_InputFunctions.Utility_DisplayArrayInTable(Common_SourceData.Common_SourceData_EFN2O_Data(), Table_SourceData_Common_EFN2O[[#Headers],[Production system j]], 0)</f>
        <v>5.3E-3</v>
      </c>
      <c r="F194" s="34" t="str" cm="1">
        <f t="array" ref="F194">Common_InputFunctions.Utility_DisplayArrayInTable(Common_SourceData.Common_SourceData_EFN2O_Data(), Table_SourceData_Common_EFN2O[[#Headers],[Production system j]], 0)</f>
        <v>Cotton</v>
      </c>
      <c r="G194" s="34" t="str" cm="1">
        <f t="array" ref="G194">Common_InputFunctions.Utility_DisplayArrayInTable(Common_SourceData.Common_SourceData_EFN2O_Data(), Table_SourceData_Common_EFN2O[[#Headers],[Production system j]], 0)</f>
        <v>Any</v>
      </c>
      <c r="H194" s="34" t="str" cm="1">
        <f t="array" ref="H194">Common_InputFunctions.Utility_DisplayArrayInTable(Common_SourceData.Common_SourceData_EFN2O_Data(), Table_SourceData_Common_EFN2O[[#Headers],[Production system j]], 0)</f>
        <v>Any</v>
      </c>
    </row>
    <row r="195" spans="4:8" ht="20.100000000000001" customHeight="1" x14ac:dyDescent="0.25">
      <c r="D195" s="34" t="str" cm="1">
        <f t="array" ref="D195">Common_InputFunctions.Utility_DisplayArrayInTable(Common_SourceData.Common_SourceData_EFN2O_Data(), Table_SourceData_Common_EFN2O[[#Headers],[Production system j]], 0)</f>
        <v>Horticultural crops</v>
      </c>
      <c r="E195" s="34" cm="1">
        <f t="array" ref="E195">Common_InputFunctions.Utility_DisplayArrayInTable(Common_SourceData.Common_SourceData_EFN2O_Data(), Table_SourceData_Common_EFN2O[[#Headers],[Production system j]], 0)</f>
        <v>6.4000000000000003E-3</v>
      </c>
      <c r="F195" s="34" t="str" cm="1">
        <f t="array" ref="F195">Common_InputFunctions.Utility_DisplayArrayInTable(Common_SourceData.Common_SourceData_EFN2O_Data(), Table_SourceData_Common_EFN2O[[#Headers],[Production system j]], 0)</f>
        <v>Horticultural crops</v>
      </c>
      <c r="G195" s="34" t="str" cm="1">
        <f t="array" ref="G195">Common_InputFunctions.Utility_DisplayArrayInTable(Common_SourceData.Common_SourceData_EFN2O_Data(), Table_SourceData_Common_EFN2O[[#Headers],[Production system j]], 0)</f>
        <v>Any</v>
      </c>
      <c r="H195" s="34" t="str" cm="1">
        <f t="array" ref="H195">Common_InputFunctions.Utility_DisplayArrayInTable(Common_SourceData.Common_SourceData_EFN2O_Data(), Table_SourceData_Common_EFN2O[[#Headers],[Production system j]], 0)</f>
        <v>Any</v>
      </c>
    </row>
    <row r="196" spans="4:8" ht="20.100000000000001" customHeight="1" x14ac:dyDescent="0.25">
      <c r="D196" s="34" t="str" cm="1">
        <f t="array" ref="D196">Common_InputFunctions.Utility_DisplayArrayInTable(Common_SourceData.Common_SourceData_EFN2O_Data(), Table_SourceData_Common_EFN2O[[#Headers],[Production system j]], 0)</f>
        <v>Rice (continuous flooding)</v>
      </c>
      <c r="E196" s="34" cm="1">
        <f t="array" ref="E196">Common_InputFunctions.Utility_DisplayArrayInTable(Common_SourceData.Common_SourceData_EFN2O_Data(), Table_SourceData_Common_EFN2O[[#Headers],[Production system j]], 0)</f>
        <v>3.0000000000000001E-3</v>
      </c>
      <c r="F196" s="34" t="str" cm="1">
        <f t="array" ref="F196">Common_InputFunctions.Utility_DisplayArrayInTable(Common_SourceData.Common_SourceData_EFN2O_Data(), Table_SourceData_Common_EFN2O[[#Headers],[Production system j]], 0)</f>
        <v>Rice</v>
      </c>
      <c r="G196" s="34" t="str" cm="1">
        <f t="array" ref="G196">Common_InputFunctions.Utility_DisplayArrayInTable(Common_SourceData.Common_SourceData_EFN2O_Data(), Table_SourceData_Common_EFN2O[[#Headers],[Production system j]], 0)</f>
        <v>Continuous flooding</v>
      </c>
      <c r="H196" s="34" t="str" cm="1">
        <f t="array" ref="H196">Common_InputFunctions.Utility_DisplayArrayInTable(Common_SourceData.Common_SourceData_EFN2O_Data(), Table_SourceData_Common_EFN2O[[#Headers],[Production system j]], 0)</f>
        <v>Any</v>
      </c>
    </row>
    <row r="197" spans="4:8" x14ac:dyDescent="0.25">
      <c r="D197" s="34" t="str" cm="1">
        <f t="array" ref="D197">Common_InputFunctions.Utility_DisplayArrayInTable(Common_SourceData.Common_SourceData_EFN2O_Data(), Table_SourceData_Common_EFN2O[[#Headers],[Production system j]], 0)</f>
        <v>Rice (single and multiple drainage, or alternate wetting and drying)</v>
      </c>
      <c r="E197" s="34" cm="1">
        <f t="array" ref="E197">Common_InputFunctions.Utility_DisplayArrayInTable(Common_SourceData.Common_SourceData_EFN2O_Data(), Table_SourceData_Common_EFN2O[[#Headers],[Production system j]], 0)</f>
        <v>5.0000000000000001E-3</v>
      </c>
      <c r="F197" s="34" t="str" cm="1">
        <f t="array" ref="F197">Common_InputFunctions.Utility_DisplayArrayInTable(Common_SourceData.Common_SourceData_EFN2O_Data(), Table_SourceData_Common_EFN2O[[#Headers],[Production system j]], 0)</f>
        <v>Rice</v>
      </c>
      <c r="G197" s="34" t="str" cm="1">
        <f t="array" ref="G197">Common_InputFunctions.Utility_DisplayArrayInTable(Common_SourceData.Common_SourceData_EFN2O_Data(), Table_SourceData_Common_EFN2O[[#Headers],[Production system j]], 0)</f>
        <v>Single and multiple drainage, or alternate wetting and drying</v>
      </c>
      <c r="H197" s="34" t="str" cm="1">
        <f t="array" ref="H197">Common_InputFunctions.Utility_DisplayArrayInTable(Common_SourceData.Common_SourceData_EFN2O_Data(), Table_SourceData_Common_EFN2O[[#Headers],[Production system j]], 0)</f>
        <v>Any</v>
      </c>
    </row>
    <row r="198" spans="4:8" x14ac:dyDescent="0.25">
      <c r="D198" s="34" t="str" cm="1">
        <f t="array" ref="D198">Common_InputFunctions.Utility_DisplayArrayInTable(Common_SourceData.Common_SourceData_EFN2O_Data(), Table_SourceData_Common_EFN2O[[#Headers],[Production system j]], 0)</f>
        <v>Aquaculture</v>
      </c>
      <c r="E198" s="34" cm="1">
        <f t="array" ref="E198">Common_InputFunctions.Utility_DisplayArrayInTable(Common_SourceData.Common_SourceData_EFN2O_Data(), Table_SourceData_Common_EFN2O[[#Headers],[Production system j]], 0)</f>
        <v>2.5999999999999999E-3</v>
      </c>
      <c r="F198" s="34" t="str" cm="1">
        <f t="array" ref="F198">Common_InputFunctions.Utility_DisplayArrayInTable(Common_SourceData.Common_SourceData_EFN2O_Data(), Table_SourceData_Common_EFN2O[[#Headers],[Production system j]], 0)</f>
        <v>Aquaculture</v>
      </c>
      <c r="G198" s="34" t="str" cm="1">
        <f t="array" ref="G198">Common_InputFunctions.Utility_DisplayArrayInTable(Common_SourceData.Common_SourceData_EFN2O_Data(), Table_SourceData_Common_EFN2O[[#Headers],[Production system j]], 0)</f>
        <v>Any</v>
      </c>
      <c r="H198" s="34" t="str" cm="1">
        <f t="array" ref="H198">Common_InputFunctions.Utility_DisplayArrayInTable(Common_SourceData.Common_SourceData_EFN2O_Data(), Table_SourceData_Common_EFN2O[[#Headers],[Production system j]], 0)</f>
        <v>Any</v>
      </c>
    </row>
    <row r="199" spans="4:8" x14ac:dyDescent="0.25">
      <c r="D199" s="34" t="str" cm="1">
        <f t="array" ref="D199">Common_InputFunctions.Utility_DisplayArrayInTable(Common_SourceData.Common_SourceData_EFN2O_Data(), Table_SourceData_Common_EFN2O[[#Headers],[Production system j]], 0)</f>
        <v>Forestry</v>
      </c>
      <c r="E199" s="34" cm="1">
        <f t="array" ref="E199">Common_InputFunctions.Utility_DisplayArrayInTable(Common_SourceData.Common_SourceData_EFN2O_Data(), Table_SourceData_Common_EFN2O[[#Headers],[Production system j]], 0)</f>
        <v>1.8E-3</v>
      </c>
      <c r="F199" s="34" t="str" cm="1">
        <f t="array" ref="F199">Common_InputFunctions.Utility_DisplayArrayInTable(Common_SourceData.Common_SourceData_EFN2O_Data(), Table_SourceData_Common_EFN2O[[#Headers],[Production system j]], 0)</f>
        <v>Forestry</v>
      </c>
      <c r="G199" s="34" t="str" cm="1">
        <f t="array" ref="G199">Common_InputFunctions.Utility_DisplayArrayInTable(Common_SourceData.Common_SourceData_EFN2O_Data(), Table_SourceData_Common_EFN2O[[#Headers],[Production system j]], 0)</f>
        <v>Any</v>
      </c>
      <c r="H199" s="34"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49" t="str" cm="1">
        <f t="array" ref="D204">Common_SourceData.Common_SourceData_EFPastureRangeAndPaddock_Variation()</f>
        <v>VARIATION FROM SOURCE DATA: Changed 'Dry climate zones' to singular 'Dry climate zone' to aid lookup.</v>
      </c>
    </row>
    <row r="205" spans="4:8" x14ac:dyDescent="0.25">
      <c r="D205" s="48" t="str" cm="1">
        <f t="array" ref="D205">Common_SourceData.Common_SourceData_EFPastureRangeAndPaddock_Unit()</f>
        <v>kg N2O - N / kg N</v>
      </c>
    </row>
    <row r="206" spans="4:8" x14ac:dyDescent="0.25">
      <c r="D206" s="34" t="s">
        <v>5</v>
      </c>
      <c r="E206" s="34" t="s">
        <v>71</v>
      </c>
    </row>
    <row r="207" spans="4:8" x14ac:dyDescent="0.25">
      <c r="D207" s="34" t="str" cm="1">
        <f t="array" ref="D207">Common_InputFunctions.Utility_DisplayArrayInTable(Common_SourceData.Common_SourceData_EFPastureRangeAndPaddock_Data(), Table_SourceData_EFPastureRangeAndPaddock[[#Headers],[Climate zone]], 0)</f>
        <v>Wet climate zone</v>
      </c>
      <c r="E207" s="34"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4"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4" t="s">
        <v>72</v>
      </c>
      <c r="E212" s="34" t="s">
        <v>73</v>
      </c>
    </row>
    <row r="213" spans="4:5" x14ac:dyDescent="0.25">
      <c r="D213" s="34" t="str" cm="1">
        <f t="array" ref="D213">Common_InputFunctions.Utility_DisplayArrayInTable(Common_SourceData.Common_SourceData_MonthsToSeasons_Data(), Table_SourceData_Common_MonthToSeason[[#Headers],[Month]], 0)</f>
        <v>January</v>
      </c>
      <c r="E213" s="34"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4"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4"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4"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4"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4"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4"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4"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4"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4"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4"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4"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49"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4" t="s">
        <v>38</v>
      </c>
      <c r="E231" s="34" t="s">
        <v>80</v>
      </c>
      <c r="F231" s="33" t="s">
        <v>81</v>
      </c>
      <c r="G231" s="34" t="s">
        <v>82</v>
      </c>
      <c r="H231" s="34" t="s">
        <v>83</v>
      </c>
      <c r="I231" s="34" t="s">
        <v>84</v>
      </c>
      <c r="J231" s="34" t="s">
        <v>85</v>
      </c>
      <c r="K231" s="34" t="s">
        <v>86</v>
      </c>
      <c r="L231" s="34" t="s">
        <v>87</v>
      </c>
      <c r="M231" s="34" t="s">
        <v>88</v>
      </c>
      <c r="N231" s="34" t="s">
        <v>89</v>
      </c>
      <c r="O231" s="34" t="s">
        <v>90</v>
      </c>
      <c r="P231" s="34" t="s">
        <v>91</v>
      </c>
      <c r="Q231" s="34" t="s">
        <v>79</v>
      </c>
      <c r="R231" s="34" t="s">
        <v>92</v>
      </c>
      <c r="S231" s="34" t="s">
        <v>93</v>
      </c>
    </row>
    <row r="232" spans="4:19" x14ac:dyDescent="0.25">
      <c r="D232" s="34" t="str" cm="1">
        <f t="array" ref="D232">Common_InputFunctions.Utility_DisplayArrayInTable(Common_SourceData.Common_SourceData_MCFTemperatureZone_Data(),Table_SourceData_Common_MCFTemperatureZone[[#Headers],[Temperature zone]],0)</f>
        <v>Cool</v>
      </c>
      <c r="E232" s="34" t="str" cm="1">
        <f t="array" ref="E232">Common_InputFunctions.Utility_DisplayArrayInTable(Common_SourceData.Common_SourceData_MCFTemperatureZone_Data(),Table_SourceData_Common_MCFTemperatureZone[[#Headers],[Temperature zone]],0)</f>
        <v>≤10</v>
      </c>
      <c r="F232" s="34" cm="1">
        <f t="array" ref="F232">Common_InputFunctions.Utility_DisplayArrayInTable(Common_SourceData.Common_SourceData_MCFTemperatureZone_Data(),Table_SourceData_Common_MCFTemperatureZone[[#Headers],[Temperature zone]],0)</f>
        <v>0.66</v>
      </c>
      <c r="G232" s="34" cm="1">
        <f t="array" ref="G232">Common_InputFunctions.Utility_DisplayArrayInTable(Common_SourceData.Common_SourceData_MCFTemperatureZone_Data(),Table_SourceData_Common_MCFTemperatureZone[[#Headers],[Temperature zone]],0)</f>
        <v>0.1</v>
      </c>
      <c r="H232" s="34" cm="1">
        <f t="array" ref="H232">Common_InputFunctions.Utility_DisplayArrayInTable(Common_SourceData.Common_SourceData_MCFTemperatureZone_Data(),Table_SourceData_Common_MCFTemperatureZone[[#Headers],[Temperature zone]],0)</f>
        <v>0.1</v>
      </c>
      <c r="I232" s="34" cm="1">
        <f t="array" ref="I232">Common_InputFunctions.Utility_DisplayArrayInTable(Common_SourceData.Common_SourceData_MCFTemperatureZone_Data(),Table_SourceData_Common_MCFTemperatureZone[[#Headers],[Temperature zone]],0)</f>
        <v>1E-3</v>
      </c>
      <c r="J232" s="34" cm="1">
        <f t="array" ref="J232">Common_InputFunctions.Utility_DisplayArrayInTable(Common_SourceData.Common_SourceData_MCFTemperatureZone_Data(),Table_SourceData_Common_MCFTemperatureZone[[#Headers],[Temperature zone]],0)</f>
        <v>5.0000000000000001E-3</v>
      </c>
      <c r="K232" s="34" cm="1">
        <f t="array" ref="K232">Common_InputFunctions.Utility_DisplayArrayInTable(Common_SourceData.Common_SourceData_MCFTemperatureZone_Data(),Table_SourceData_Common_MCFTemperatureZone[[#Headers],[Temperature zone]],0)</f>
        <v>0.02</v>
      </c>
      <c r="L232" s="34" cm="1">
        <f t="array" ref="L232">Common_InputFunctions.Utility_DisplayArrayInTable(Common_SourceData.Common_SourceData_MCFTemperatureZone_Data(),Table_SourceData_Common_MCFTemperatureZone[[#Headers],[Temperature zone]],0)</f>
        <v>0.03</v>
      </c>
      <c r="M232" s="34" cm="1">
        <f t="array" ref="M232">Common_InputFunctions.Utility_DisplayArrayInTable(Common_SourceData.Common_SourceData_MCFTemperatureZone_Data(),Table_SourceData_Common_MCFTemperatureZone[[#Headers],[Temperature zone]],0)</f>
        <v>0.04</v>
      </c>
      <c r="N232" s="34" cm="1">
        <f t="array" ref="N232">Common_InputFunctions.Utility_DisplayArrayInTable(Common_SourceData.Common_SourceData_MCFTemperatureZone_Data(),Table_SourceData_Common_MCFTemperatureZone[[#Headers],[Temperature zone]],0)</f>
        <v>1.4999999999999999E-2</v>
      </c>
      <c r="O232" s="34" cm="1">
        <f t="array" ref="O232">Common_InputFunctions.Utility_DisplayArrayInTable(Common_SourceData.Common_SourceData_MCFTemperatureZone_Data(),Table_SourceData_Common_MCFTemperatureZone[[#Headers],[Temperature zone]],0)</f>
        <v>1.4999999999999999E-2</v>
      </c>
      <c r="P232" s="34" cm="1">
        <f t="array" ref="P232">Common_InputFunctions.Utility_DisplayArrayInTable(Common_SourceData.Common_SourceData_MCFTemperatureZone_Data(),Table_SourceData_Common_MCFTemperatureZone[[#Headers],[Temperature zone]],0)</f>
        <v>0</v>
      </c>
      <c r="Q232" s="34" cm="1">
        <f t="array" ref="Q232">Common_InputFunctions.Utility_DisplayArrayInTable(Common_SourceData.Common_SourceData_MCFTemperatureZone_Data(),Table_SourceData_Common_MCFTemperatureZone[[#Headers],[Temperature zone]],0)</f>
        <v>0</v>
      </c>
      <c r="R232" s="34" cm="1">
        <f t="array" ref="R232">Common_InputFunctions.Utility_DisplayArrayInTable(Common_SourceData.Common_SourceData_MCFTemperatureZone_Data(),Table_SourceData_Common_MCFTemperatureZone[[#Headers],[Temperature zone]],0)</f>
        <v>4.7000000000000002E-3</v>
      </c>
      <c r="S232" s="34"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4" cm="1">
        <f t="array" ref="E233">Common_InputFunctions.Utility_DisplayArrayInTable(Common_SourceData.Common_SourceData_MCFTemperatureZone_Data(),Table_SourceData_Common_MCFTemperatureZone[[#Headers],[Temperature zone]],0)</f>
        <v>11</v>
      </c>
      <c r="F233" s="34" cm="1">
        <f t="array" ref="F233">Common_InputFunctions.Utility_DisplayArrayInTable(Common_SourceData.Common_SourceData_MCFTemperatureZone_Data(),Table_SourceData_Common_MCFTemperatureZone[[#Headers],[Temperature zone]],0)</f>
        <v>0.68</v>
      </c>
      <c r="G233" s="34" cm="1">
        <f t="array" ref="G233">Common_InputFunctions.Utility_DisplayArrayInTable(Common_SourceData.Common_SourceData_MCFTemperatureZone_Data(),Table_SourceData_Common_MCFTemperatureZone[[#Headers],[Temperature zone]],0)</f>
        <v>0.1</v>
      </c>
      <c r="H233" s="34" cm="1">
        <f t="array" ref="H233">Common_InputFunctions.Utility_DisplayArrayInTable(Common_SourceData.Common_SourceData_MCFTemperatureZone_Data(),Table_SourceData_Common_MCFTemperatureZone[[#Headers],[Temperature zone]],0)</f>
        <v>0.11</v>
      </c>
      <c r="I233" s="34" cm="1">
        <f t="array" ref="I233">Common_InputFunctions.Utility_DisplayArrayInTable(Common_SourceData.Common_SourceData_MCFTemperatureZone_Data(),Table_SourceData_Common_MCFTemperatureZone[[#Headers],[Temperature zone]],0)</f>
        <v>1E-3</v>
      </c>
      <c r="J233" s="34" cm="1">
        <f t="array" ref="J233">Common_InputFunctions.Utility_DisplayArrayInTable(Common_SourceData.Common_SourceData_MCFTemperatureZone_Data(),Table_SourceData_Common_MCFTemperatureZone[[#Headers],[Temperature zone]],0)</f>
        <v>5.0000000000000001E-3</v>
      </c>
      <c r="K233" s="34" cm="1">
        <f t="array" ref="K233">Common_InputFunctions.Utility_DisplayArrayInTable(Common_SourceData.Common_SourceData_MCFTemperatureZone_Data(),Table_SourceData_Common_MCFTemperatureZone[[#Headers],[Temperature zone]],0)</f>
        <v>0.02</v>
      </c>
      <c r="L233" s="34" cm="1">
        <f t="array" ref="L233">Common_InputFunctions.Utility_DisplayArrayInTable(Common_SourceData.Common_SourceData_MCFTemperatureZone_Data(),Table_SourceData_Common_MCFTemperatureZone[[#Headers],[Temperature zone]],0)</f>
        <v>0.03</v>
      </c>
      <c r="M233" s="34" cm="1">
        <f t="array" ref="M233">Common_InputFunctions.Utility_DisplayArrayInTable(Common_SourceData.Common_SourceData_MCFTemperatureZone_Data(),Table_SourceData_Common_MCFTemperatureZone[[#Headers],[Temperature zone]],0)</f>
        <v>0.04</v>
      </c>
      <c r="N233" s="34" cm="1">
        <f t="array" ref="N233">Common_InputFunctions.Utility_DisplayArrayInTable(Common_SourceData.Common_SourceData_MCFTemperatureZone_Data(),Table_SourceData_Common_MCFTemperatureZone[[#Headers],[Temperature zone]],0)</f>
        <v>1.4999999999999999E-2</v>
      </c>
      <c r="O233" s="34" cm="1">
        <f t="array" ref="O233">Common_InputFunctions.Utility_DisplayArrayInTable(Common_SourceData.Common_SourceData_MCFTemperatureZone_Data(),Table_SourceData_Common_MCFTemperatureZone[[#Headers],[Temperature zone]],0)</f>
        <v>1.4999999999999999E-2</v>
      </c>
      <c r="P233" s="34" cm="1">
        <f t="array" ref="P233">Common_InputFunctions.Utility_DisplayArrayInTable(Common_SourceData.Common_SourceData_MCFTemperatureZone_Data(),Table_SourceData_Common_MCFTemperatureZone[[#Headers],[Temperature zone]],0)</f>
        <v>0</v>
      </c>
      <c r="Q233" s="34" cm="1">
        <f t="array" ref="Q233">Common_InputFunctions.Utility_DisplayArrayInTable(Common_SourceData.Common_SourceData_MCFTemperatureZone_Data(),Table_SourceData_Common_MCFTemperatureZone[[#Headers],[Temperature zone]],0)</f>
        <v>0</v>
      </c>
      <c r="R233" s="34" cm="1">
        <f t="array" ref="R233">Common_InputFunctions.Utility_DisplayArrayInTable(Common_SourceData.Common_SourceData_MCFTemperatureZone_Data(),Table_SourceData_Common_MCFTemperatureZone[[#Headers],[Temperature zone]],0)</f>
        <v>4.7000000000000002E-3</v>
      </c>
      <c r="S233" s="34"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4" cm="1">
        <f t="array" ref="E234">Common_InputFunctions.Utility_DisplayArrayInTable(Common_SourceData.Common_SourceData_MCFTemperatureZone_Data(),Table_SourceData_Common_MCFTemperatureZone[[#Headers],[Temperature zone]],0)</f>
        <v>12</v>
      </c>
      <c r="F234" s="34" cm="1">
        <f t="array" ref="F234">Common_InputFunctions.Utility_DisplayArrayInTable(Common_SourceData.Common_SourceData_MCFTemperatureZone_Data(),Table_SourceData_Common_MCFTemperatureZone[[#Headers],[Temperature zone]],0)</f>
        <v>0.7</v>
      </c>
      <c r="G234" s="34" cm="1">
        <f t="array" ref="G234">Common_InputFunctions.Utility_DisplayArrayInTable(Common_SourceData.Common_SourceData_MCFTemperatureZone_Data(),Table_SourceData_Common_MCFTemperatureZone[[#Headers],[Temperature zone]],0)</f>
        <v>0.1</v>
      </c>
      <c r="H234" s="34" cm="1">
        <f t="array" ref="H234">Common_InputFunctions.Utility_DisplayArrayInTable(Common_SourceData.Common_SourceData_MCFTemperatureZone_Data(),Table_SourceData_Common_MCFTemperatureZone[[#Headers],[Temperature zone]],0)</f>
        <v>0.13</v>
      </c>
      <c r="I234" s="34" cm="1">
        <f t="array" ref="I234">Common_InputFunctions.Utility_DisplayArrayInTable(Common_SourceData.Common_SourceData_MCFTemperatureZone_Data(),Table_SourceData_Common_MCFTemperatureZone[[#Headers],[Temperature zone]],0)</f>
        <v>1E-3</v>
      </c>
      <c r="J234" s="34" cm="1">
        <f t="array" ref="J234">Common_InputFunctions.Utility_DisplayArrayInTable(Common_SourceData.Common_SourceData_MCFTemperatureZone_Data(),Table_SourceData_Common_MCFTemperatureZone[[#Headers],[Temperature zone]],0)</f>
        <v>5.0000000000000001E-3</v>
      </c>
      <c r="K234" s="34" cm="1">
        <f t="array" ref="K234">Common_InputFunctions.Utility_DisplayArrayInTable(Common_SourceData.Common_SourceData_MCFTemperatureZone_Data(),Table_SourceData_Common_MCFTemperatureZone[[#Headers],[Temperature zone]],0)</f>
        <v>0.02</v>
      </c>
      <c r="L234" s="34" cm="1">
        <f t="array" ref="L234">Common_InputFunctions.Utility_DisplayArrayInTable(Common_SourceData.Common_SourceData_MCFTemperatureZone_Data(),Table_SourceData_Common_MCFTemperatureZone[[#Headers],[Temperature zone]],0)</f>
        <v>0.03</v>
      </c>
      <c r="M234" s="34" cm="1">
        <f t="array" ref="M234">Common_InputFunctions.Utility_DisplayArrayInTable(Common_SourceData.Common_SourceData_MCFTemperatureZone_Data(),Table_SourceData_Common_MCFTemperatureZone[[#Headers],[Temperature zone]],0)</f>
        <v>0.04</v>
      </c>
      <c r="N234" s="34" cm="1">
        <f t="array" ref="N234">Common_InputFunctions.Utility_DisplayArrayInTable(Common_SourceData.Common_SourceData_MCFTemperatureZone_Data(),Table_SourceData_Common_MCFTemperatureZone[[#Headers],[Temperature zone]],0)</f>
        <v>1.4999999999999999E-2</v>
      </c>
      <c r="O234" s="34" cm="1">
        <f t="array" ref="O234">Common_InputFunctions.Utility_DisplayArrayInTable(Common_SourceData.Common_SourceData_MCFTemperatureZone_Data(),Table_SourceData_Common_MCFTemperatureZone[[#Headers],[Temperature zone]],0)</f>
        <v>1.4999999999999999E-2</v>
      </c>
      <c r="P234" s="34" cm="1">
        <f t="array" ref="P234">Common_InputFunctions.Utility_DisplayArrayInTable(Common_SourceData.Common_SourceData_MCFTemperatureZone_Data(),Table_SourceData_Common_MCFTemperatureZone[[#Headers],[Temperature zone]],0)</f>
        <v>0</v>
      </c>
      <c r="Q234" s="34" cm="1">
        <f t="array" ref="Q234">Common_InputFunctions.Utility_DisplayArrayInTable(Common_SourceData.Common_SourceData_MCFTemperatureZone_Data(),Table_SourceData_Common_MCFTemperatureZone[[#Headers],[Temperature zone]],0)</f>
        <v>0</v>
      </c>
      <c r="R234" s="34" cm="1">
        <f t="array" ref="R234">Common_InputFunctions.Utility_DisplayArrayInTable(Common_SourceData.Common_SourceData_MCFTemperatureZone_Data(),Table_SourceData_Common_MCFTemperatureZone[[#Headers],[Temperature zone]],0)</f>
        <v>4.7000000000000002E-3</v>
      </c>
      <c r="S234" s="34"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4" cm="1">
        <f t="array" ref="E235">Common_InputFunctions.Utility_DisplayArrayInTable(Common_SourceData.Common_SourceData_MCFTemperatureZone_Data(),Table_SourceData_Common_MCFTemperatureZone[[#Headers],[Temperature zone]],0)</f>
        <v>13</v>
      </c>
      <c r="F235" s="34" cm="1">
        <f t="array" ref="F235">Common_InputFunctions.Utility_DisplayArrayInTable(Common_SourceData.Common_SourceData_MCFTemperatureZone_Data(),Table_SourceData_Common_MCFTemperatureZone[[#Headers],[Temperature zone]],0)</f>
        <v>0.71</v>
      </c>
      <c r="G235" s="34" cm="1">
        <f t="array" ref="G235">Common_InputFunctions.Utility_DisplayArrayInTable(Common_SourceData.Common_SourceData_MCFTemperatureZone_Data(),Table_SourceData_Common_MCFTemperatureZone[[#Headers],[Temperature zone]],0)</f>
        <v>0.1</v>
      </c>
      <c r="H235" s="34" cm="1">
        <f t="array" ref="H235">Common_InputFunctions.Utility_DisplayArrayInTable(Common_SourceData.Common_SourceData_MCFTemperatureZone_Data(),Table_SourceData_Common_MCFTemperatureZone[[#Headers],[Temperature zone]],0)</f>
        <v>0.14000000000000001</v>
      </c>
      <c r="I235" s="34" cm="1">
        <f t="array" ref="I235">Common_InputFunctions.Utility_DisplayArrayInTable(Common_SourceData.Common_SourceData_MCFTemperatureZone_Data(),Table_SourceData_Common_MCFTemperatureZone[[#Headers],[Temperature zone]],0)</f>
        <v>1E-3</v>
      </c>
      <c r="J235" s="34" cm="1">
        <f t="array" ref="J235">Common_InputFunctions.Utility_DisplayArrayInTable(Common_SourceData.Common_SourceData_MCFTemperatureZone_Data(),Table_SourceData_Common_MCFTemperatureZone[[#Headers],[Temperature zone]],0)</f>
        <v>5.0000000000000001E-3</v>
      </c>
      <c r="K235" s="34" cm="1">
        <f t="array" ref="K235">Common_InputFunctions.Utility_DisplayArrayInTable(Common_SourceData.Common_SourceData_MCFTemperatureZone_Data(),Table_SourceData_Common_MCFTemperatureZone[[#Headers],[Temperature zone]],0)</f>
        <v>0.02</v>
      </c>
      <c r="L235" s="34" cm="1">
        <f t="array" ref="L235">Common_InputFunctions.Utility_DisplayArrayInTable(Common_SourceData.Common_SourceData_MCFTemperatureZone_Data(),Table_SourceData_Common_MCFTemperatureZone[[#Headers],[Temperature zone]],0)</f>
        <v>0.03</v>
      </c>
      <c r="M235" s="34" cm="1">
        <f t="array" ref="M235">Common_InputFunctions.Utility_DisplayArrayInTable(Common_SourceData.Common_SourceData_MCFTemperatureZone_Data(),Table_SourceData_Common_MCFTemperatureZone[[#Headers],[Temperature zone]],0)</f>
        <v>0.04</v>
      </c>
      <c r="N235" s="34" cm="1">
        <f t="array" ref="N235">Common_InputFunctions.Utility_DisplayArrayInTable(Common_SourceData.Common_SourceData_MCFTemperatureZone_Data(),Table_SourceData_Common_MCFTemperatureZone[[#Headers],[Temperature zone]],0)</f>
        <v>1.4999999999999999E-2</v>
      </c>
      <c r="O235" s="34" cm="1">
        <f t="array" ref="O235">Common_InputFunctions.Utility_DisplayArrayInTable(Common_SourceData.Common_SourceData_MCFTemperatureZone_Data(),Table_SourceData_Common_MCFTemperatureZone[[#Headers],[Temperature zone]],0)</f>
        <v>1.4999999999999999E-2</v>
      </c>
      <c r="P235" s="34" cm="1">
        <f t="array" ref="P235">Common_InputFunctions.Utility_DisplayArrayInTable(Common_SourceData.Common_SourceData_MCFTemperatureZone_Data(),Table_SourceData_Common_MCFTemperatureZone[[#Headers],[Temperature zone]],0)</f>
        <v>0</v>
      </c>
      <c r="Q235" s="34" cm="1">
        <f t="array" ref="Q235">Common_InputFunctions.Utility_DisplayArrayInTable(Common_SourceData.Common_SourceData_MCFTemperatureZone_Data(),Table_SourceData_Common_MCFTemperatureZone[[#Headers],[Temperature zone]],0)</f>
        <v>0</v>
      </c>
      <c r="R235" s="34" cm="1">
        <f t="array" ref="R235">Common_InputFunctions.Utility_DisplayArrayInTable(Common_SourceData.Common_SourceData_MCFTemperatureZone_Data(),Table_SourceData_Common_MCFTemperatureZone[[#Headers],[Temperature zone]],0)</f>
        <v>4.7000000000000002E-3</v>
      </c>
      <c r="S235" s="34"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4" cm="1">
        <f t="array" ref="E236">Common_InputFunctions.Utility_DisplayArrayInTable(Common_SourceData.Common_SourceData_MCFTemperatureZone_Data(),Table_SourceData_Common_MCFTemperatureZone[[#Headers],[Temperature zone]],0)</f>
        <v>14</v>
      </c>
      <c r="F236" s="34" cm="1">
        <f t="array" ref="F236">Common_InputFunctions.Utility_DisplayArrayInTable(Common_SourceData.Common_SourceData_MCFTemperatureZone_Data(),Table_SourceData_Common_MCFTemperatureZone[[#Headers],[Temperature zone]],0)</f>
        <v>0.73</v>
      </c>
      <c r="G236" s="34" cm="1">
        <f t="array" ref="G236">Common_InputFunctions.Utility_DisplayArrayInTable(Common_SourceData.Common_SourceData_MCFTemperatureZone_Data(),Table_SourceData_Common_MCFTemperatureZone[[#Headers],[Temperature zone]],0)</f>
        <v>0.1</v>
      </c>
      <c r="H236" s="34" cm="1">
        <f t="array" ref="H236">Common_InputFunctions.Utility_DisplayArrayInTable(Common_SourceData.Common_SourceData_MCFTemperatureZone_Data(),Table_SourceData_Common_MCFTemperatureZone[[#Headers],[Temperature zone]],0)</f>
        <v>0.15</v>
      </c>
      <c r="I236" s="34" cm="1">
        <f t="array" ref="I236">Common_InputFunctions.Utility_DisplayArrayInTable(Common_SourceData.Common_SourceData_MCFTemperatureZone_Data(),Table_SourceData_Common_MCFTemperatureZone[[#Headers],[Temperature zone]],0)</f>
        <v>1E-3</v>
      </c>
      <c r="J236" s="34" cm="1">
        <f t="array" ref="J236">Common_InputFunctions.Utility_DisplayArrayInTable(Common_SourceData.Common_SourceData_MCFTemperatureZone_Data(),Table_SourceData_Common_MCFTemperatureZone[[#Headers],[Temperature zone]],0)</f>
        <v>5.0000000000000001E-3</v>
      </c>
      <c r="K236" s="34" cm="1">
        <f t="array" ref="K236">Common_InputFunctions.Utility_DisplayArrayInTable(Common_SourceData.Common_SourceData_MCFTemperatureZone_Data(),Table_SourceData_Common_MCFTemperatureZone[[#Headers],[Temperature zone]],0)</f>
        <v>0.02</v>
      </c>
      <c r="L236" s="34" cm="1">
        <f t="array" ref="L236">Common_InputFunctions.Utility_DisplayArrayInTable(Common_SourceData.Common_SourceData_MCFTemperatureZone_Data(),Table_SourceData_Common_MCFTemperatureZone[[#Headers],[Temperature zone]],0)</f>
        <v>0.03</v>
      </c>
      <c r="M236" s="34" cm="1">
        <f t="array" ref="M236">Common_InputFunctions.Utility_DisplayArrayInTable(Common_SourceData.Common_SourceData_MCFTemperatureZone_Data(),Table_SourceData_Common_MCFTemperatureZone[[#Headers],[Temperature zone]],0)</f>
        <v>0.04</v>
      </c>
      <c r="N236" s="34" cm="1">
        <f t="array" ref="N236">Common_InputFunctions.Utility_DisplayArrayInTable(Common_SourceData.Common_SourceData_MCFTemperatureZone_Data(),Table_SourceData_Common_MCFTemperatureZone[[#Headers],[Temperature zone]],0)</f>
        <v>1.4999999999999999E-2</v>
      </c>
      <c r="O236" s="34" cm="1">
        <f t="array" ref="O236">Common_InputFunctions.Utility_DisplayArrayInTable(Common_SourceData.Common_SourceData_MCFTemperatureZone_Data(),Table_SourceData_Common_MCFTemperatureZone[[#Headers],[Temperature zone]],0)</f>
        <v>1.4999999999999999E-2</v>
      </c>
      <c r="P236" s="34" cm="1">
        <f t="array" ref="P236">Common_InputFunctions.Utility_DisplayArrayInTable(Common_SourceData.Common_SourceData_MCFTemperatureZone_Data(),Table_SourceData_Common_MCFTemperatureZone[[#Headers],[Temperature zone]],0)</f>
        <v>0</v>
      </c>
      <c r="Q236" s="34" cm="1">
        <f t="array" ref="Q236">Common_InputFunctions.Utility_DisplayArrayInTable(Common_SourceData.Common_SourceData_MCFTemperatureZone_Data(),Table_SourceData_Common_MCFTemperatureZone[[#Headers],[Temperature zone]],0)</f>
        <v>0</v>
      </c>
      <c r="R236" s="34" cm="1">
        <f t="array" ref="R236">Common_InputFunctions.Utility_DisplayArrayInTable(Common_SourceData.Common_SourceData_MCFTemperatureZone_Data(),Table_SourceData_Common_MCFTemperatureZone[[#Headers],[Temperature zone]],0)</f>
        <v>4.7000000000000002E-3</v>
      </c>
      <c r="S236" s="34"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4" cm="1">
        <f t="array" ref="E237">Common_InputFunctions.Utility_DisplayArrayInTable(Common_SourceData.Common_SourceData_MCFTemperatureZone_Data(),Table_SourceData_Common_MCFTemperatureZone[[#Headers],[Temperature zone]],0)</f>
        <v>15</v>
      </c>
      <c r="F237" s="34" cm="1">
        <f t="array" ref="F237">Common_InputFunctions.Utility_DisplayArrayInTable(Common_SourceData.Common_SourceData_MCFTemperatureZone_Data(),Table_SourceData_Common_MCFTemperatureZone[[#Headers],[Temperature zone]],0)</f>
        <v>0.74</v>
      </c>
      <c r="G237" s="34" cm="1">
        <f t="array" ref="G237">Common_InputFunctions.Utility_DisplayArrayInTable(Common_SourceData.Common_SourceData_MCFTemperatureZone_Data(),Table_SourceData_Common_MCFTemperatureZone[[#Headers],[Temperature zone]],0)</f>
        <v>0.1</v>
      </c>
      <c r="H237" s="34" cm="1">
        <f t="array" ref="H237">Common_InputFunctions.Utility_DisplayArrayInTable(Common_SourceData.Common_SourceData_MCFTemperatureZone_Data(),Table_SourceData_Common_MCFTemperatureZone[[#Headers],[Temperature zone]],0)</f>
        <v>0.17</v>
      </c>
      <c r="I237" s="34" cm="1">
        <f t="array" ref="I237">Common_InputFunctions.Utility_DisplayArrayInTable(Common_SourceData.Common_SourceData_MCFTemperatureZone_Data(),Table_SourceData_Common_MCFTemperatureZone[[#Headers],[Temperature zone]],0)</f>
        <v>5.0000000000000001E-3</v>
      </c>
      <c r="J237" s="34" cm="1">
        <f t="array" ref="J237">Common_InputFunctions.Utility_DisplayArrayInTable(Common_SourceData.Common_SourceData_MCFTemperatureZone_Data(),Table_SourceData_Common_MCFTemperatureZone[[#Headers],[Temperature zone]],0)</f>
        <v>0.01</v>
      </c>
      <c r="K237" s="34" cm="1">
        <f t="array" ref="K237">Common_InputFunctions.Utility_DisplayArrayInTable(Common_SourceData.Common_SourceData_MCFTemperatureZone_Data(),Table_SourceData_Common_MCFTemperatureZone[[#Headers],[Temperature zone]],0)</f>
        <v>0.02</v>
      </c>
      <c r="L237" s="34" cm="1">
        <f t="array" ref="L237">Common_InputFunctions.Utility_DisplayArrayInTable(Common_SourceData.Common_SourceData_MCFTemperatureZone_Data(),Table_SourceData_Common_MCFTemperatureZone[[#Headers],[Temperature zone]],0)</f>
        <v>0.03</v>
      </c>
      <c r="M237" s="34" cm="1">
        <f t="array" ref="M237">Common_InputFunctions.Utility_DisplayArrayInTable(Common_SourceData.Common_SourceData_MCFTemperatureZone_Data(),Table_SourceData_Common_MCFTemperatureZone[[#Headers],[Temperature zone]],0)</f>
        <v>0.04</v>
      </c>
      <c r="N237" s="34" cm="1">
        <f t="array" ref="N237">Common_InputFunctions.Utility_DisplayArrayInTable(Common_SourceData.Common_SourceData_MCFTemperatureZone_Data(),Table_SourceData_Common_MCFTemperatureZone[[#Headers],[Temperature zone]],0)</f>
        <v>1.4999999999999999E-2</v>
      </c>
      <c r="O237" s="34" cm="1">
        <f t="array" ref="O237">Common_InputFunctions.Utility_DisplayArrayInTable(Common_SourceData.Common_SourceData_MCFTemperatureZone_Data(),Table_SourceData_Common_MCFTemperatureZone[[#Headers],[Temperature zone]],0)</f>
        <v>1.4999999999999999E-2</v>
      </c>
      <c r="P237" s="34" cm="1">
        <f t="array" ref="P237">Common_InputFunctions.Utility_DisplayArrayInTable(Common_SourceData.Common_SourceData_MCFTemperatureZone_Data(),Table_SourceData_Common_MCFTemperatureZone[[#Headers],[Temperature zone]],0)</f>
        <v>0</v>
      </c>
      <c r="Q237" s="34" cm="1">
        <f t="array" ref="Q237">Common_InputFunctions.Utility_DisplayArrayInTable(Common_SourceData.Common_SourceData_MCFTemperatureZone_Data(),Table_SourceData_Common_MCFTemperatureZone[[#Headers],[Temperature zone]],0)</f>
        <v>0</v>
      </c>
      <c r="R237" s="34" cm="1">
        <f t="array" ref="R237">Common_InputFunctions.Utility_DisplayArrayInTable(Common_SourceData.Common_SourceData_MCFTemperatureZone_Data(),Table_SourceData_Common_MCFTemperatureZone[[#Headers],[Temperature zone]],0)</f>
        <v>4.7000000000000002E-3</v>
      </c>
      <c r="S237" s="34"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4" cm="1">
        <f t="array" ref="E238">Common_InputFunctions.Utility_DisplayArrayInTable(Common_SourceData.Common_SourceData_MCFTemperatureZone_Data(),Table_SourceData_Common_MCFTemperatureZone[[#Headers],[Temperature zone]],0)</f>
        <v>16</v>
      </c>
      <c r="F238" s="34" cm="1">
        <f t="array" ref="F238">Common_InputFunctions.Utility_DisplayArrayInTable(Common_SourceData.Common_SourceData_MCFTemperatureZone_Data(),Table_SourceData_Common_MCFTemperatureZone[[#Headers],[Temperature zone]],0)</f>
        <v>0.75</v>
      </c>
      <c r="G238" s="34" cm="1">
        <f t="array" ref="G238">Common_InputFunctions.Utility_DisplayArrayInTable(Common_SourceData.Common_SourceData_MCFTemperatureZone_Data(),Table_SourceData_Common_MCFTemperatureZone[[#Headers],[Temperature zone]],0)</f>
        <v>0.1</v>
      </c>
      <c r="H238" s="34" cm="1">
        <f t="array" ref="H238">Common_InputFunctions.Utility_DisplayArrayInTable(Common_SourceData.Common_SourceData_MCFTemperatureZone_Data(),Table_SourceData_Common_MCFTemperatureZone[[#Headers],[Temperature zone]],0)</f>
        <v>0.18</v>
      </c>
      <c r="I238" s="34" cm="1">
        <f t="array" ref="I238">Common_InputFunctions.Utility_DisplayArrayInTable(Common_SourceData.Common_SourceData_MCFTemperatureZone_Data(),Table_SourceData_Common_MCFTemperatureZone[[#Headers],[Temperature zone]],0)</f>
        <v>5.0000000000000001E-3</v>
      </c>
      <c r="J238" s="34" cm="1">
        <f t="array" ref="J238">Common_InputFunctions.Utility_DisplayArrayInTable(Common_SourceData.Common_SourceData_MCFTemperatureZone_Data(),Table_SourceData_Common_MCFTemperatureZone[[#Headers],[Temperature zone]],0)</f>
        <v>0.01</v>
      </c>
      <c r="K238" s="34" cm="1">
        <f t="array" ref="K238">Common_InputFunctions.Utility_DisplayArrayInTable(Common_SourceData.Common_SourceData_MCFTemperatureZone_Data(),Table_SourceData_Common_MCFTemperatureZone[[#Headers],[Temperature zone]],0)</f>
        <v>0.02</v>
      </c>
      <c r="L238" s="34" cm="1">
        <f t="array" ref="L238">Common_InputFunctions.Utility_DisplayArrayInTable(Common_SourceData.Common_SourceData_MCFTemperatureZone_Data(),Table_SourceData_Common_MCFTemperatureZone[[#Headers],[Temperature zone]],0)</f>
        <v>0.03</v>
      </c>
      <c r="M238" s="34" cm="1">
        <f t="array" ref="M238">Common_InputFunctions.Utility_DisplayArrayInTable(Common_SourceData.Common_SourceData_MCFTemperatureZone_Data(),Table_SourceData_Common_MCFTemperatureZone[[#Headers],[Temperature zone]],0)</f>
        <v>0.04</v>
      </c>
      <c r="N238" s="34" cm="1">
        <f t="array" ref="N238">Common_InputFunctions.Utility_DisplayArrayInTable(Common_SourceData.Common_SourceData_MCFTemperatureZone_Data(),Table_SourceData_Common_MCFTemperatureZone[[#Headers],[Temperature zone]],0)</f>
        <v>1.4999999999999999E-2</v>
      </c>
      <c r="O238" s="34" cm="1">
        <f t="array" ref="O238">Common_InputFunctions.Utility_DisplayArrayInTable(Common_SourceData.Common_SourceData_MCFTemperatureZone_Data(),Table_SourceData_Common_MCFTemperatureZone[[#Headers],[Temperature zone]],0)</f>
        <v>1.4999999999999999E-2</v>
      </c>
      <c r="P238" s="34" cm="1">
        <f t="array" ref="P238">Common_InputFunctions.Utility_DisplayArrayInTable(Common_SourceData.Common_SourceData_MCFTemperatureZone_Data(),Table_SourceData_Common_MCFTemperatureZone[[#Headers],[Temperature zone]],0)</f>
        <v>0</v>
      </c>
      <c r="Q238" s="34" cm="1">
        <f t="array" ref="Q238">Common_InputFunctions.Utility_DisplayArrayInTable(Common_SourceData.Common_SourceData_MCFTemperatureZone_Data(),Table_SourceData_Common_MCFTemperatureZone[[#Headers],[Temperature zone]],0)</f>
        <v>0</v>
      </c>
      <c r="R238" s="34" cm="1">
        <f t="array" ref="R238">Common_InputFunctions.Utility_DisplayArrayInTable(Common_SourceData.Common_SourceData_MCFTemperatureZone_Data(),Table_SourceData_Common_MCFTemperatureZone[[#Headers],[Temperature zone]],0)</f>
        <v>4.7000000000000002E-3</v>
      </c>
      <c r="S238" s="34"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4" cm="1">
        <f t="array" ref="E239">Common_InputFunctions.Utility_DisplayArrayInTable(Common_SourceData.Common_SourceData_MCFTemperatureZone_Data(),Table_SourceData_Common_MCFTemperatureZone[[#Headers],[Temperature zone]],0)</f>
        <v>17</v>
      </c>
      <c r="F239" s="34" cm="1">
        <f t="array" ref="F239">Common_InputFunctions.Utility_DisplayArrayInTable(Common_SourceData.Common_SourceData_MCFTemperatureZone_Data(),Table_SourceData_Common_MCFTemperatureZone[[#Headers],[Temperature zone]],0)</f>
        <v>0.76</v>
      </c>
      <c r="G239" s="34" cm="1">
        <f t="array" ref="G239">Common_InputFunctions.Utility_DisplayArrayInTable(Common_SourceData.Common_SourceData_MCFTemperatureZone_Data(),Table_SourceData_Common_MCFTemperatureZone[[#Headers],[Temperature zone]],0)</f>
        <v>0.1</v>
      </c>
      <c r="H239" s="34" cm="1">
        <f t="array" ref="H239">Common_InputFunctions.Utility_DisplayArrayInTable(Common_SourceData.Common_SourceData_MCFTemperatureZone_Data(),Table_SourceData_Common_MCFTemperatureZone[[#Headers],[Temperature zone]],0)</f>
        <v>0.2</v>
      </c>
      <c r="I239" s="34" cm="1">
        <f t="array" ref="I239">Common_InputFunctions.Utility_DisplayArrayInTable(Common_SourceData.Common_SourceData_MCFTemperatureZone_Data(),Table_SourceData_Common_MCFTemperatureZone[[#Headers],[Temperature zone]],0)</f>
        <v>5.0000000000000001E-3</v>
      </c>
      <c r="J239" s="34" cm="1">
        <f t="array" ref="J239">Common_InputFunctions.Utility_DisplayArrayInTable(Common_SourceData.Common_SourceData_MCFTemperatureZone_Data(),Table_SourceData_Common_MCFTemperatureZone[[#Headers],[Temperature zone]],0)</f>
        <v>0.01</v>
      </c>
      <c r="K239" s="34" cm="1">
        <f t="array" ref="K239">Common_InputFunctions.Utility_DisplayArrayInTable(Common_SourceData.Common_SourceData_MCFTemperatureZone_Data(),Table_SourceData_Common_MCFTemperatureZone[[#Headers],[Temperature zone]],0)</f>
        <v>0.02</v>
      </c>
      <c r="L239" s="34" cm="1">
        <f t="array" ref="L239">Common_InputFunctions.Utility_DisplayArrayInTable(Common_SourceData.Common_SourceData_MCFTemperatureZone_Data(),Table_SourceData_Common_MCFTemperatureZone[[#Headers],[Temperature zone]],0)</f>
        <v>0.03</v>
      </c>
      <c r="M239" s="34" cm="1">
        <f t="array" ref="M239">Common_InputFunctions.Utility_DisplayArrayInTable(Common_SourceData.Common_SourceData_MCFTemperatureZone_Data(),Table_SourceData_Common_MCFTemperatureZone[[#Headers],[Temperature zone]],0)</f>
        <v>0.04</v>
      </c>
      <c r="N239" s="34" cm="1">
        <f t="array" ref="N239">Common_InputFunctions.Utility_DisplayArrayInTable(Common_SourceData.Common_SourceData_MCFTemperatureZone_Data(),Table_SourceData_Common_MCFTemperatureZone[[#Headers],[Temperature zone]],0)</f>
        <v>1.4999999999999999E-2</v>
      </c>
      <c r="O239" s="34" cm="1">
        <f t="array" ref="O239">Common_InputFunctions.Utility_DisplayArrayInTable(Common_SourceData.Common_SourceData_MCFTemperatureZone_Data(),Table_SourceData_Common_MCFTemperatureZone[[#Headers],[Temperature zone]],0)</f>
        <v>1.4999999999999999E-2</v>
      </c>
      <c r="P239" s="34" cm="1">
        <f t="array" ref="P239">Common_InputFunctions.Utility_DisplayArrayInTable(Common_SourceData.Common_SourceData_MCFTemperatureZone_Data(),Table_SourceData_Common_MCFTemperatureZone[[#Headers],[Temperature zone]],0)</f>
        <v>0</v>
      </c>
      <c r="Q239" s="34" cm="1">
        <f t="array" ref="Q239">Common_InputFunctions.Utility_DisplayArrayInTable(Common_SourceData.Common_SourceData_MCFTemperatureZone_Data(),Table_SourceData_Common_MCFTemperatureZone[[#Headers],[Temperature zone]],0)</f>
        <v>0</v>
      </c>
      <c r="R239" s="34" cm="1">
        <f t="array" ref="R239">Common_InputFunctions.Utility_DisplayArrayInTable(Common_SourceData.Common_SourceData_MCFTemperatureZone_Data(),Table_SourceData_Common_MCFTemperatureZone[[#Headers],[Temperature zone]],0)</f>
        <v>4.7000000000000002E-3</v>
      </c>
      <c r="S239" s="34"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4" cm="1">
        <f t="array" ref="E240">Common_InputFunctions.Utility_DisplayArrayInTable(Common_SourceData.Common_SourceData_MCFTemperatureZone_Data(),Table_SourceData_Common_MCFTemperatureZone[[#Headers],[Temperature zone]],0)</f>
        <v>18</v>
      </c>
      <c r="F240" s="34" cm="1">
        <f t="array" ref="F240">Common_InputFunctions.Utility_DisplayArrayInTable(Common_SourceData.Common_SourceData_MCFTemperatureZone_Data(),Table_SourceData_Common_MCFTemperatureZone[[#Headers],[Temperature zone]],0)</f>
        <v>0.77</v>
      </c>
      <c r="G240" s="34" cm="1">
        <f t="array" ref="G240">Common_InputFunctions.Utility_DisplayArrayInTable(Common_SourceData.Common_SourceData_MCFTemperatureZone_Data(),Table_SourceData_Common_MCFTemperatureZone[[#Headers],[Temperature zone]],0)</f>
        <v>0.1</v>
      </c>
      <c r="H240" s="34" cm="1">
        <f t="array" ref="H240">Common_InputFunctions.Utility_DisplayArrayInTable(Common_SourceData.Common_SourceData_MCFTemperatureZone_Data(),Table_SourceData_Common_MCFTemperatureZone[[#Headers],[Temperature zone]],0)</f>
        <v>0.22</v>
      </c>
      <c r="I240" s="34" cm="1">
        <f t="array" ref="I240">Common_InputFunctions.Utility_DisplayArrayInTable(Common_SourceData.Common_SourceData_MCFTemperatureZone_Data(),Table_SourceData_Common_MCFTemperatureZone[[#Headers],[Temperature zone]],0)</f>
        <v>5.0000000000000001E-3</v>
      </c>
      <c r="J240" s="34" cm="1">
        <f t="array" ref="J240">Common_InputFunctions.Utility_DisplayArrayInTable(Common_SourceData.Common_SourceData_MCFTemperatureZone_Data(),Table_SourceData_Common_MCFTemperatureZone[[#Headers],[Temperature zone]],0)</f>
        <v>0.01</v>
      </c>
      <c r="K240" s="34" cm="1">
        <f t="array" ref="K240">Common_InputFunctions.Utility_DisplayArrayInTable(Common_SourceData.Common_SourceData_MCFTemperatureZone_Data(),Table_SourceData_Common_MCFTemperatureZone[[#Headers],[Temperature zone]],0)</f>
        <v>0.02</v>
      </c>
      <c r="L240" s="34" cm="1">
        <f t="array" ref="L240">Common_InputFunctions.Utility_DisplayArrayInTable(Common_SourceData.Common_SourceData_MCFTemperatureZone_Data(),Table_SourceData_Common_MCFTemperatureZone[[#Headers],[Temperature zone]],0)</f>
        <v>0.03</v>
      </c>
      <c r="M240" s="34" cm="1">
        <f t="array" ref="M240">Common_InputFunctions.Utility_DisplayArrayInTable(Common_SourceData.Common_SourceData_MCFTemperatureZone_Data(),Table_SourceData_Common_MCFTemperatureZone[[#Headers],[Temperature zone]],0)</f>
        <v>0.04</v>
      </c>
      <c r="N240" s="34" cm="1">
        <f t="array" ref="N240">Common_InputFunctions.Utility_DisplayArrayInTable(Common_SourceData.Common_SourceData_MCFTemperatureZone_Data(),Table_SourceData_Common_MCFTemperatureZone[[#Headers],[Temperature zone]],0)</f>
        <v>1.4999999999999999E-2</v>
      </c>
      <c r="O240" s="34" cm="1">
        <f t="array" ref="O240">Common_InputFunctions.Utility_DisplayArrayInTable(Common_SourceData.Common_SourceData_MCFTemperatureZone_Data(),Table_SourceData_Common_MCFTemperatureZone[[#Headers],[Temperature zone]],0)</f>
        <v>1.4999999999999999E-2</v>
      </c>
      <c r="P240" s="34" cm="1">
        <f t="array" ref="P240">Common_InputFunctions.Utility_DisplayArrayInTable(Common_SourceData.Common_SourceData_MCFTemperatureZone_Data(),Table_SourceData_Common_MCFTemperatureZone[[#Headers],[Temperature zone]],0)</f>
        <v>0</v>
      </c>
      <c r="Q240" s="34" cm="1">
        <f t="array" ref="Q240">Common_InputFunctions.Utility_DisplayArrayInTable(Common_SourceData.Common_SourceData_MCFTemperatureZone_Data(),Table_SourceData_Common_MCFTemperatureZone[[#Headers],[Temperature zone]],0)</f>
        <v>0</v>
      </c>
      <c r="R240" s="34" cm="1">
        <f t="array" ref="R240">Common_InputFunctions.Utility_DisplayArrayInTable(Common_SourceData.Common_SourceData_MCFTemperatureZone_Data(),Table_SourceData_Common_MCFTemperatureZone[[#Headers],[Temperature zone]],0)</f>
        <v>4.7000000000000002E-3</v>
      </c>
      <c r="S240" s="34"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4" cm="1">
        <f t="array" ref="E241">Common_InputFunctions.Utility_DisplayArrayInTable(Common_SourceData.Common_SourceData_MCFTemperatureZone_Data(),Table_SourceData_Common_MCFTemperatureZone[[#Headers],[Temperature zone]],0)</f>
        <v>19</v>
      </c>
      <c r="F241" s="34" cm="1">
        <f t="array" ref="F241">Common_InputFunctions.Utility_DisplayArrayInTable(Common_SourceData.Common_SourceData_MCFTemperatureZone_Data(),Table_SourceData_Common_MCFTemperatureZone[[#Headers],[Temperature zone]],0)</f>
        <v>0.77</v>
      </c>
      <c r="G241" s="34" cm="1">
        <f t="array" ref="G241">Common_InputFunctions.Utility_DisplayArrayInTable(Common_SourceData.Common_SourceData_MCFTemperatureZone_Data(),Table_SourceData_Common_MCFTemperatureZone[[#Headers],[Temperature zone]],0)</f>
        <v>0.1</v>
      </c>
      <c r="H241" s="34" cm="1">
        <f t="array" ref="H241">Common_InputFunctions.Utility_DisplayArrayInTable(Common_SourceData.Common_SourceData_MCFTemperatureZone_Data(),Table_SourceData_Common_MCFTemperatureZone[[#Headers],[Temperature zone]],0)</f>
        <v>0.24</v>
      </c>
      <c r="I241" s="34" cm="1">
        <f t="array" ref="I241">Common_InputFunctions.Utility_DisplayArrayInTable(Common_SourceData.Common_SourceData_MCFTemperatureZone_Data(),Table_SourceData_Common_MCFTemperatureZone[[#Headers],[Temperature zone]],0)</f>
        <v>5.0000000000000001E-3</v>
      </c>
      <c r="J241" s="34" cm="1">
        <f t="array" ref="J241">Common_InputFunctions.Utility_DisplayArrayInTable(Common_SourceData.Common_SourceData_MCFTemperatureZone_Data(),Table_SourceData_Common_MCFTemperatureZone[[#Headers],[Temperature zone]],0)</f>
        <v>0.01</v>
      </c>
      <c r="K241" s="34" cm="1">
        <f t="array" ref="K241">Common_InputFunctions.Utility_DisplayArrayInTable(Common_SourceData.Common_SourceData_MCFTemperatureZone_Data(),Table_SourceData_Common_MCFTemperatureZone[[#Headers],[Temperature zone]],0)</f>
        <v>0.02</v>
      </c>
      <c r="L241" s="34" cm="1">
        <f t="array" ref="L241">Common_InputFunctions.Utility_DisplayArrayInTable(Common_SourceData.Common_SourceData_MCFTemperatureZone_Data(),Table_SourceData_Common_MCFTemperatureZone[[#Headers],[Temperature zone]],0)</f>
        <v>0.03</v>
      </c>
      <c r="M241" s="34" cm="1">
        <f t="array" ref="M241">Common_InputFunctions.Utility_DisplayArrayInTable(Common_SourceData.Common_SourceData_MCFTemperatureZone_Data(),Table_SourceData_Common_MCFTemperatureZone[[#Headers],[Temperature zone]],0)</f>
        <v>0.04</v>
      </c>
      <c r="N241" s="34" cm="1">
        <f t="array" ref="N241">Common_InputFunctions.Utility_DisplayArrayInTable(Common_SourceData.Common_SourceData_MCFTemperatureZone_Data(),Table_SourceData_Common_MCFTemperatureZone[[#Headers],[Temperature zone]],0)</f>
        <v>1.4999999999999999E-2</v>
      </c>
      <c r="O241" s="34" cm="1">
        <f t="array" ref="O241">Common_InputFunctions.Utility_DisplayArrayInTable(Common_SourceData.Common_SourceData_MCFTemperatureZone_Data(),Table_SourceData_Common_MCFTemperatureZone[[#Headers],[Temperature zone]],0)</f>
        <v>1.4999999999999999E-2</v>
      </c>
      <c r="P241" s="34" cm="1">
        <f t="array" ref="P241">Common_InputFunctions.Utility_DisplayArrayInTable(Common_SourceData.Common_SourceData_MCFTemperatureZone_Data(),Table_SourceData_Common_MCFTemperatureZone[[#Headers],[Temperature zone]],0)</f>
        <v>0</v>
      </c>
      <c r="Q241" s="34" cm="1">
        <f t="array" ref="Q241">Common_InputFunctions.Utility_DisplayArrayInTable(Common_SourceData.Common_SourceData_MCFTemperatureZone_Data(),Table_SourceData_Common_MCFTemperatureZone[[#Headers],[Temperature zone]],0)</f>
        <v>0</v>
      </c>
      <c r="R241" s="34" cm="1">
        <f t="array" ref="R241">Common_InputFunctions.Utility_DisplayArrayInTable(Common_SourceData.Common_SourceData_MCFTemperatureZone_Data(),Table_SourceData_Common_MCFTemperatureZone[[#Headers],[Temperature zone]],0)</f>
        <v>4.7000000000000002E-3</v>
      </c>
      <c r="S241" s="34"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4" cm="1">
        <f t="array" ref="E242">Common_InputFunctions.Utility_DisplayArrayInTable(Common_SourceData.Common_SourceData_MCFTemperatureZone_Data(),Table_SourceData_Common_MCFTemperatureZone[[#Headers],[Temperature zone]],0)</f>
        <v>20</v>
      </c>
      <c r="F242" s="34" cm="1">
        <f t="array" ref="F242">Common_InputFunctions.Utility_DisplayArrayInTable(Common_SourceData.Common_SourceData_MCFTemperatureZone_Data(),Table_SourceData_Common_MCFTemperatureZone[[#Headers],[Temperature zone]],0)</f>
        <v>0.78</v>
      </c>
      <c r="G242" s="34" cm="1">
        <f t="array" ref="G242">Common_InputFunctions.Utility_DisplayArrayInTable(Common_SourceData.Common_SourceData_MCFTemperatureZone_Data(),Table_SourceData_Common_MCFTemperatureZone[[#Headers],[Temperature zone]],0)</f>
        <v>0.1</v>
      </c>
      <c r="H242" s="34" cm="1">
        <f t="array" ref="H242">Common_InputFunctions.Utility_DisplayArrayInTable(Common_SourceData.Common_SourceData_MCFTemperatureZone_Data(),Table_SourceData_Common_MCFTemperatureZone[[#Headers],[Temperature zone]],0)</f>
        <v>0.26</v>
      </c>
      <c r="I242" s="34" cm="1">
        <f t="array" ref="I242">Common_InputFunctions.Utility_DisplayArrayInTable(Common_SourceData.Common_SourceData_MCFTemperatureZone_Data(),Table_SourceData_Common_MCFTemperatureZone[[#Headers],[Temperature zone]],0)</f>
        <v>5.0000000000000001E-3</v>
      </c>
      <c r="J242" s="34" cm="1">
        <f t="array" ref="J242">Common_InputFunctions.Utility_DisplayArrayInTable(Common_SourceData.Common_SourceData_MCFTemperatureZone_Data(),Table_SourceData_Common_MCFTemperatureZone[[#Headers],[Temperature zone]],0)</f>
        <v>0.01</v>
      </c>
      <c r="K242" s="34" cm="1">
        <f t="array" ref="K242">Common_InputFunctions.Utility_DisplayArrayInTable(Common_SourceData.Common_SourceData_MCFTemperatureZone_Data(),Table_SourceData_Common_MCFTemperatureZone[[#Headers],[Temperature zone]],0)</f>
        <v>0.02</v>
      </c>
      <c r="L242" s="34" cm="1">
        <f t="array" ref="L242">Common_InputFunctions.Utility_DisplayArrayInTable(Common_SourceData.Common_SourceData_MCFTemperatureZone_Data(),Table_SourceData_Common_MCFTemperatureZone[[#Headers],[Temperature zone]],0)</f>
        <v>0.03</v>
      </c>
      <c r="M242" s="34" cm="1">
        <f t="array" ref="M242">Common_InputFunctions.Utility_DisplayArrayInTable(Common_SourceData.Common_SourceData_MCFTemperatureZone_Data(),Table_SourceData_Common_MCFTemperatureZone[[#Headers],[Temperature zone]],0)</f>
        <v>0.04</v>
      </c>
      <c r="N242" s="34" cm="1">
        <f t="array" ref="N242">Common_InputFunctions.Utility_DisplayArrayInTable(Common_SourceData.Common_SourceData_MCFTemperatureZone_Data(),Table_SourceData_Common_MCFTemperatureZone[[#Headers],[Temperature zone]],0)</f>
        <v>1.4999999999999999E-2</v>
      </c>
      <c r="O242" s="34" cm="1">
        <f t="array" ref="O242">Common_InputFunctions.Utility_DisplayArrayInTable(Common_SourceData.Common_SourceData_MCFTemperatureZone_Data(),Table_SourceData_Common_MCFTemperatureZone[[#Headers],[Temperature zone]],0)</f>
        <v>1.4999999999999999E-2</v>
      </c>
      <c r="P242" s="34" cm="1">
        <f t="array" ref="P242">Common_InputFunctions.Utility_DisplayArrayInTable(Common_SourceData.Common_SourceData_MCFTemperatureZone_Data(),Table_SourceData_Common_MCFTemperatureZone[[#Headers],[Temperature zone]],0)</f>
        <v>0</v>
      </c>
      <c r="Q242" s="34" cm="1">
        <f t="array" ref="Q242">Common_InputFunctions.Utility_DisplayArrayInTable(Common_SourceData.Common_SourceData_MCFTemperatureZone_Data(),Table_SourceData_Common_MCFTemperatureZone[[#Headers],[Temperature zone]],0)</f>
        <v>0</v>
      </c>
      <c r="R242" s="34" cm="1">
        <f t="array" ref="R242">Common_InputFunctions.Utility_DisplayArrayInTable(Common_SourceData.Common_SourceData_MCFTemperatureZone_Data(),Table_SourceData_Common_MCFTemperatureZone[[#Headers],[Temperature zone]],0)</f>
        <v>4.7000000000000002E-3</v>
      </c>
      <c r="S242" s="34"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4" cm="1">
        <f t="array" ref="E243">Common_InputFunctions.Utility_DisplayArrayInTable(Common_SourceData.Common_SourceData_MCFTemperatureZone_Data(),Table_SourceData_Common_MCFTemperatureZone[[#Headers],[Temperature zone]],0)</f>
        <v>21</v>
      </c>
      <c r="F243" s="34" cm="1">
        <f t="array" ref="F243">Common_InputFunctions.Utility_DisplayArrayInTable(Common_SourceData.Common_SourceData_MCFTemperatureZone_Data(),Table_SourceData_Common_MCFTemperatureZone[[#Headers],[Temperature zone]],0)</f>
        <v>0.78</v>
      </c>
      <c r="G243" s="34" cm="1">
        <f t="array" ref="G243">Common_InputFunctions.Utility_DisplayArrayInTable(Common_SourceData.Common_SourceData_MCFTemperatureZone_Data(),Table_SourceData_Common_MCFTemperatureZone[[#Headers],[Temperature zone]],0)</f>
        <v>0.1</v>
      </c>
      <c r="H243" s="34" cm="1">
        <f t="array" ref="H243">Common_InputFunctions.Utility_DisplayArrayInTable(Common_SourceData.Common_SourceData_MCFTemperatureZone_Data(),Table_SourceData_Common_MCFTemperatureZone[[#Headers],[Temperature zone]],0)</f>
        <v>0.28999999999999998</v>
      </c>
      <c r="I243" s="34" cm="1">
        <f t="array" ref="I243">Common_InputFunctions.Utility_DisplayArrayInTable(Common_SourceData.Common_SourceData_MCFTemperatureZone_Data(),Table_SourceData_Common_MCFTemperatureZone[[#Headers],[Temperature zone]],0)</f>
        <v>5.0000000000000001E-3</v>
      </c>
      <c r="J243" s="34" cm="1">
        <f t="array" ref="J243">Common_InputFunctions.Utility_DisplayArrayInTable(Common_SourceData.Common_SourceData_MCFTemperatureZone_Data(),Table_SourceData_Common_MCFTemperatureZone[[#Headers],[Temperature zone]],0)</f>
        <v>0.01</v>
      </c>
      <c r="K243" s="34" cm="1">
        <f t="array" ref="K243">Common_InputFunctions.Utility_DisplayArrayInTable(Common_SourceData.Common_SourceData_MCFTemperatureZone_Data(),Table_SourceData_Common_MCFTemperatureZone[[#Headers],[Temperature zone]],0)</f>
        <v>0.02</v>
      </c>
      <c r="L243" s="34" cm="1">
        <f t="array" ref="L243">Common_InputFunctions.Utility_DisplayArrayInTable(Common_SourceData.Common_SourceData_MCFTemperatureZone_Data(),Table_SourceData_Common_MCFTemperatureZone[[#Headers],[Temperature zone]],0)</f>
        <v>0.03</v>
      </c>
      <c r="M243" s="34" cm="1">
        <f t="array" ref="M243">Common_InputFunctions.Utility_DisplayArrayInTable(Common_SourceData.Common_SourceData_MCFTemperatureZone_Data(),Table_SourceData_Common_MCFTemperatureZone[[#Headers],[Temperature zone]],0)</f>
        <v>0.04</v>
      </c>
      <c r="N243" s="34" cm="1">
        <f t="array" ref="N243">Common_InputFunctions.Utility_DisplayArrayInTable(Common_SourceData.Common_SourceData_MCFTemperatureZone_Data(),Table_SourceData_Common_MCFTemperatureZone[[#Headers],[Temperature zone]],0)</f>
        <v>1.4999999999999999E-2</v>
      </c>
      <c r="O243" s="34" cm="1">
        <f t="array" ref="O243">Common_InputFunctions.Utility_DisplayArrayInTable(Common_SourceData.Common_SourceData_MCFTemperatureZone_Data(),Table_SourceData_Common_MCFTemperatureZone[[#Headers],[Temperature zone]],0)</f>
        <v>1.4999999999999999E-2</v>
      </c>
      <c r="P243" s="34" cm="1">
        <f t="array" ref="P243">Common_InputFunctions.Utility_DisplayArrayInTable(Common_SourceData.Common_SourceData_MCFTemperatureZone_Data(),Table_SourceData_Common_MCFTemperatureZone[[#Headers],[Temperature zone]],0)</f>
        <v>0</v>
      </c>
      <c r="Q243" s="34" cm="1">
        <f t="array" ref="Q243">Common_InputFunctions.Utility_DisplayArrayInTable(Common_SourceData.Common_SourceData_MCFTemperatureZone_Data(),Table_SourceData_Common_MCFTemperatureZone[[#Headers],[Temperature zone]],0)</f>
        <v>0</v>
      </c>
      <c r="R243" s="34" cm="1">
        <f t="array" ref="R243">Common_InputFunctions.Utility_DisplayArrayInTable(Common_SourceData.Common_SourceData_MCFTemperatureZone_Data(),Table_SourceData_Common_MCFTemperatureZone[[#Headers],[Temperature zone]],0)</f>
        <v>4.7000000000000002E-3</v>
      </c>
      <c r="S243" s="34"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4" cm="1">
        <f t="array" ref="E244">Common_InputFunctions.Utility_DisplayArrayInTable(Common_SourceData.Common_SourceData_MCFTemperatureZone_Data(),Table_SourceData_Common_MCFTemperatureZone[[#Headers],[Temperature zone]],0)</f>
        <v>22</v>
      </c>
      <c r="F244" s="34" cm="1">
        <f t="array" ref="F244">Common_InputFunctions.Utility_DisplayArrayInTable(Common_SourceData.Common_SourceData_MCFTemperatureZone_Data(),Table_SourceData_Common_MCFTemperatureZone[[#Headers],[Temperature zone]],0)</f>
        <v>0.78</v>
      </c>
      <c r="G244" s="34" cm="1">
        <f t="array" ref="G244">Common_InputFunctions.Utility_DisplayArrayInTable(Common_SourceData.Common_SourceData_MCFTemperatureZone_Data(),Table_SourceData_Common_MCFTemperatureZone[[#Headers],[Temperature zone]],0)</f>
        <v>0.1</v>
      </c>
      <c r="H244" s="34" cm="1">
        <f t="array" ref="H244">Common_InputFunctions.Utility_DisplayArrayInTable(Common_SourceData.Common_SourceData_MCFTemperatureZone_Data(),Table_SourceData_Common_MCFTemperatureZone[[#Headers],[Temperature zone]],0)</f>
        <v>0.31</v>
      </c>
      <c r="I244" s="34" cm="1">
        <f t="array" ref="I244">Common_InputFunctions.Utility_DisplayArrayInTable(Common_SourceData.Common_SourceData_MCFTemperatureZone_Data(),Table_SourceData_Common_MCFTemperatureZone[[#Headers],[Temperature zone]],0)</f>
        <v>5.0000000000000001E-3</v>
      </c>
      <c r="J244" s="34" cm="1">
        <f t="array" ref="J244">Common_InputFunctions.Utility_DisplayArrayInTable(Common_SourceData.Common_SourceData_MCFTemperatureZone_Data(),Table_SourceData_Common_MCFTemperatureZone[[#Headers],[Temperature zone]],0)</f>
        <v>0.01</v>
      </c>
      <c r="K244" s="34" cm="1">
        <f t="array" ref="K244">Common_InputFunctions.Utility_DisplayArrayInTable(Common_SourceData.Common_SourceData_MCFTemperatureZone_Data(),Table_SourceData_Common_MCFTemperatureZone[[#Headers],[Temperature zone]],0)</f>
        <v>0.02</v>
      </c>
      <c r="L244" s="34" cm="1">
        <f t="array" ref="L244">Common_InputFunctions.Utility_DisplayArrayInTable(Common_SourceData.Common_SourceData_MCFTemperatureZone_Data(),Table_SourceData_Common_MCFTemperatureZone[[#Headers],[Temperature zone]],0)</f>
        <v>0.03</v>
      </c>
      <c r="M244" s="34" cm="1">
        <f t="array" ref="M244">Common_InputFunctions.Utility_DisplayArrayInTable(Common_SourceData.Common_SourceData_MCFTemperatureZone_Data(),Table_SourceData_Common_MCFTemperatureZone[[#Headers],[Temperature zone]],0)</f>
        <v>0.04</v>
      </c>
      <c r="N244" s="34" cm="1">
        <f t="array" ref="N244">Common_InputFunctions.Utility_DisplayArrayInTable(Common_SourceData.Common_SourceData_MCFTemperatureZone_Data(),Table_SourceData_Common_MCFTemperatureZone[[#Headers],[Temperature zone]],0)</f>
        <v>1.4999999999999999E-2</v>
      </c>
      <c r="O244" s="34" cm="1">
        <f t="array" ref="O244">Common_InputFunctions.Utility_DisplayArrayInTable(Common_SourceData.Common_SourceData_MCFTemperatureZone_Data(),Table_SourceData_Common_MCFTemperatureZone[[#Headers],[Temperature zone]],0)</f>
        <v>1.4999999999999999E-2</v>
      </c>
      <c r="P244" s="34" cm="1">
        <f t="array" ref="P244">Common_InputFunctions.Utility_DisplayArrayInTable(Common_SourceData.Common_SourceData_MCFTemperatureZone_Data(),Table_SourceData_Common_MCFTemperatureZone[[#Headers],[Temperature zone]],0)</f>
        <v>0</v>
      </c>
      <c r="Q244" s="34" cm="1">
        <f t="array" ref="Q244">Common_InputFunctions.Utility_DisplayArrayInTable(Common_SourceData.Common_SourceData_MCFTemperatureZone_Data(),Table_SourceData_Common_MCFTemperatureZone[[#Headers],[Temperature zone]],0)</f>
        <v>0</v>
      </c>
      <c r="R244" s="34" cm="1">
        <f t="array" ref="R244">Common_InputFunctions.Utility_DisplayArrayInTable(Common_SourceData.Common_SourceData_MCFTemperatureZone_Data(),Table_SourceData_Common_MCFTemperatureZone[[#Headers],[Temperature zone]],0)</f>
        <v>4.7000000000000002E-3</v>
      </c>
      <c r="S244" s="34"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4" cm="1">
        <f t="array" ref="E245">Common_InputFunctions.Utility_DisplayArrayInTable(Common_SourceData.Common_SourceData_MCFTemperatureZone_Data(),Table_SourceData_Common_MCFTemperatureZone[[#Headers],[Temperature zone]],0)</f>
        <v>23</v>
      </c>
      <c r="F245" s="34" cm="1">
        <f t="array" ref="F245">Common_InputFunctions.Utility_DisplayArrayInTable(Common_SourceData.Common_SourceData_MCFTemperatureZone_Data(),Table_SourceData_Common_MCFTemperatureZone[[#Headers],[Temperature zone]],0)</f>
        <v>0.79</v>
      </c>
      <c r="G245" s="34" cm="1">
        <f t="array" ref="G245">Common_InputFunctions.Utility_DisplayArrayInTable(Common_SourceData.Common_SourceData_MCFTemperatureZone_Data(),Table_SourceData_Common_MCFTemperatureZone[[#Headers],[Temperature zone]],0)</f>
        <v>0.1</v>
      </c>
      <c r="H245" s="34" cm="1">
        <f t="array" ref="H245">Common_InputFunctions.Utility_DisplayArrayInTable(Common_SourceData.Common_SourceData_MCFTemperatureZone_Data(),Table_SourceData_Common_MCFTemperatureZone[[#Headers],[Temperature zone]],0)</f>
        <v>0.34</v>
      </c>
      <c r="I245" s="34" cm="1">
        <f t="array" ref="I245">Common_InputFunctions.Utility_DisplayArrayInTable(Common_SourceData.Common_SourceData_MCFTemperatureZone_Data(),Table_SourceData_Common_MCFTemperatureZone[[#Headers],[Temperature zone]],0)</f>
        <v>5.0000000000000001E-3</v>
      </c>
      <c r="J245" s="34" cm="1">
        <f t="array" ref="J245">Common_InputFunctions.Utility_DisplayArrayInTable(Common_SourceData.Common_SourceData_MCFTemperatureZone_Data(),Table_SourceData_Common_MCFTemperatureZone[[#Headers],[Temperature zone]],0)</f>
        <v>0.01</v>
      </c>
      <c r="K245" s="34" cm="1">
        <f t="array" ref="K245">Common_InputFunctions.Utility_DisplayArrayInTable(Common_SourceData.Common_SourceData_MCFTemperatureZone_Data(),Table_SourceData_Common_MCFTemperatureZone[[#Headers],[Temperature zone]],0)</f>
        <v>0.02</v>
      </c>
      <c r="L245" s="34" cm="1">
        <f t="array" ref="L245">Common_InputFunctions.Utility_DisplayArrayInTable(Common_SourceData.Common_SourceData_MCFTemperatureZone_Data(),Table_SourceData_Common_MCFTemperatureZone[[#Headers],[Temperature zone]],0)</f>
        <v>0.03</v>
      </c>
      <c r="M245" s="34" cm="1">
        <f t="array" ref="M245">Common_InputFunctions.Utility_DisplayArrayInTable(Common_SourceData.Common_SourceData_MCFTemperatureZone_Data(),Table_SourceData_Common_MCFTemperatureZone[[#Headers],[Temperature zone]],0)</f>
        <v>0.04</v>
      </c>
      <c r="N245" s="34" cm="1">
        <f t="array" ref="N245">Common_InputFunctions.Utility_DisplayArrayInTable(Common_SourceData.Common_SourceData_MCFTemperatureZone_Data(),Table_SourceData_Common_MCFTemperatureZone[[#Headers],[Temperature zone]],0)</f>
        <v>1.4999999999999999E-2</v>
      </c>
      <c r="O245" s="34" cm="1">
        <f t="array" ref="O245">Common_InputFunctions.Utility_DisplayArrayInTable(Common_SourceData.Common_SourceData_MCFTemperatureZone_Data(),Table_SourceData_Common_MCFTemperatureZone[[#Headers],[Temperature zone]],0)</f>
        <v>1.4999999999999999E-2</v>
      </c>
      <c r="P245" s="34" cm="1">
        <f t="array" ref="P245">Common_InputFunctions.Utility_DisplayArrayInTable(Common_SourceData.Common_SourceData_MCFTemperatureZone_Data(),Table_SourceData_Common_MCFTemperatureZone[[#Headers],[Temperature zone]],0)</f>
        <v>0</v>
      </c>
      <c r="Q245" s="34" cm="1">
        <f t="array" ref="Q245">Common_InputFunctions.Utility_DisplayArrayInTable(Common_SourceData.Common_SourceData_MCFTemperatureZone_Data(),Table_SourceData_Common_MCFTemperatureZone[[#Headers],[Temperature zone]],0)</f>
        <v>0</v>
      </c>
      <c r="R245" s="34" cm="1">
        <f t="array" ref="R245">Common_InputFunctions.Utility_DisplayArrayInTable(Common_SourceData.Common_SourceData_MCFTemperatureZone_Data(),Table_SourceData_Common_MCFTemperatureZone[[#Headers],[Temperature zone]],0)</f>
        <v>4.7000000000000002E-3</v>
      </c>
      <c r="S245" s="34"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4" cm="1">
        <f t="array" ref="E246">Common_InputFunctions.Utility_DisplayArrayInTable(Common_SourceData.Common_SourceData_MCFTemperatureZone_Data(),Table_SourceData_Common_MCFTemperatureZone[[#Headers],[Temperature zone]],0)</f>
        <v>24</v>
      </c>
      <c r="F246" s="34" cm="1">
        <f t="array" ref="F246">Common_InputFunctions.Utility_DisplayArrayInTable(Common_SourceData.Common_SourceData_MCFTemperatureZone_Data(),Table_SourceData_Common_MCFTemperatureZone[[#Headers],[Temperature zone]],0)</f>
        <v>0.79</v>
      </c>
      <c r="G246" s="34" cm="1">
        <f t="array" ref="G246">Common_InputFunctions.Utility_DisplayArrayInTable(Common_SourceData.Common_SourceData_MCFTemperatureZone_Data(),Table_SourceData_Common_MCFTemperatureZone[[#Headers],[Temperature zone]],0)</f>
        <v>0.1</v>
      </c>
      <c r="H246" s="34" cm="1">
        <f t="array" ref="H246">Common_InputFunctions.Utility_DisplayArrayInTable(Common_SourceData.Common_SourceData_MCFTemperatureZone_Data(),Table_SourceData_Common_MCFTemperatureZone[[#Headers],[Temperature zone]],0)</f>
        <v>0.37</v>
      </c>
      <c r="I246" s="34" cm="1">
        <f t="array" ref="I246">Common_InputFunctions.Utility_DisplayArrayInTable(Common_SourceData.Common_SourceData_MCFTemperatureZone_Data(),Table_SourceData_Common_MCFTemperatureZone[[#Headers],[Temperature zone]],0)</f>
        <v>5.0000000000000001E-3</v>
      </c>
      <c r="J246" s="34" cm="1">
        <f t="array" ref="J246">Common_InputFunctions.Utility_DisplayArrayInTable(Common_SourceData.Common_SourceData_MCFTemperatureZone_Data(),Table_SourceData_Common_MCFTemperatureZone[[#Headers],[Temperature zone]],0)</f>
        <v>0.01</v>
      </c>
      <c r="K246" s="34" cm="1">
        <f t="array" ref="K246">Common_InputFunctions.Utility_DisplayArrayInTable(Common_SourceData.Common_SourceData_MCFTemperatureZone_Data(),Table_SourceData_Common_MCFTemperatureZone[[#Headers],[Temperature zone]],0)</f>
        <v>0.02</v>
      </c>
      <c r="L246" s="34" cm="1">
        <f t="array" ref="L246">Common_InputFunctions.Utility_DisplayArrayInTable(Common_SourceData.Common_SourceData_MCFTemperatureZone_Data(),Table_SourceData_Common_MCFTemperatureZone[[#Headers],[Temperature zone]],0)</f>
        <v>0.03</v>
      </c>
      <c r="M246" s="34" cm="1">
        <f t="array" ref="M246">Common_InputFunctions.Utility_DisplayArrayInTable(Common_SourceData.Common_SourceData_MCFTemperatureZone_Data(),Table_SourceData_Common_MCFTemperatureZone[[#Headers],[Temperature zone]],0)</f>
        <v>0.04</v>
      </c>
      <c r="N246" s="34" cm="1">
        <f t="array" ref="N246">Common_InputFunctions.Utility_DisplayArrayInTable(Common_SourceData.Common_SourceData_MCFTemperatureZone_Data(),Table_SourceData_Common_MCFTemperatureZone[[#Headers],[Temperature zone]],0)</f>
        <v>1.4999999999999999E-2</v>
      </c>
      <c r="O246" s="34" cm="1">
        <f t="array" ref="O246">Common_InputFunctions.Utility_DisplayArrayInTable(Common_SourceData.Common_SourceData_MCFTemperatureZone_Data(),Table_SourceData_Common_MCFTemperatureZone[[#Headers],[Temperature zone]],0)</f>
        <v>1.4999999999999999E-2</v>
      </c>
      <c r="P246" s="34" cm="1">
        <f t="array" ref="P246">Common_InputFunctions.Utility_DisplayArrayInTable(Common_SourceData.Common_SourceData_MCFTemperatureZone_Data(),Table_SourceData_Common_MCFTemperatureZone[[#Headers],[Temperature zone]],0)</f>
        <v>0</v>
      </c>
      <c r="Q246" s="34" cm="1">
        <f t="array" ref="Q246">Common_InputFunctions.Utility_DisplayArrayInTable(Common_SourceData.Common_SourceData_MCFTemperatureZone_Data(),Table_SourceData_Common_MCFTemperatureZone[[#Headers],[Temperature zone]],0)</f>
        <v>0</v>
      </c>
      <c r="R246" s="34" cm="1">
        <f t="array" ref="R246">Common_InputFunctions.Utility_DisplayArrayInTable(Common_SourceData.Common_SourceData_MCFTemperatureZone_Data(),Table_SourceData_Common_MCFTemperatureZone[[#Headers],[Temperature zone]],0)</f>
        <v>4.7000000000000002E-3</v>
      </c>
      <c r="S246" s="34"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4" cm="1">
        <f t="array" ref="E247">Common_InputFunctions.Utility_DisplayArrayInTable(Common_SourceData.Common_SourceData_MCFTemperatureZone_Data(),Table_SourceData_Common_MCFTemperatureZone[[#Headers],[Temperature zone]],0)</f>
        <v>25</v>
      </c>
      <c r="F247" s="34" cm="1">
        <f t="array" ref="F247">Common_InputFunctions.Utility_DisplayArrayInTable(Common_SourceData.Common_SourceData_MCFTemperatureZone_Data(),Table_SourceData_Common_MCFTemperatureZone[[#Headers],[Temperature zone]],0)</f>
        <v>0.79</v>
      </c>
      <c r="G247" s="34" cm="1">
        <f t="array" ref="G247">Common_InputFunctions.Utility_DisplayArrayInTable(Common_SourceData.Common_SourceData_MCFTemperatureZone_Data(),Table_SourceData_Common_MCFTemperatureZone[[#Headers],[Temperature zone]],0)</f>
        <v>0.1</v>
      </c>
      <c r="H247" s="34" cm="1">
        <f t="array" ref="H247">Common_InputFunctions.Utility_DisplayArrayInTable(Common_SourceData.Common_SourceData_MCFTemperatureZone_Data(),Table_SourceData_Common_MCFTemperatureZone[[#Headers],[Temperature zone]],0)</f>
        <v>0.41</v>
      </c>
      <c r="I247" s="34" cm="1">
        <f t="array" ref="I247">Common_InputFunctions.Utility_DisplayArrayInTable(Common_SourceData.Common_SourceData_MCFTemperatureZone_Data(),Table_SourceData_Common_MCFTemperatureZone[[#Headers],[Temperature zone]],0)</f>
        <v>5.0000000000000001E-3</v>
      </c>
      <c r="J247" s="34" cm="1">
        <f t="array" ref="J247">Common_InputFunctions.Utility_DisplayArrayInTable(Common_SourceData.Common_SourceData_MCFTemperatureZone_Data(),Table_SourceData_Common_MCFTemperatureZone[[#Headers],[Temperature zone]],0)</f>
        <v>0.01</v>
      </c>
      <c r="K247" s="34" cm="1">
        <f t="array" ref="K247">Common_InputFunctions.Utility_DisplayArrayInTable(Common_SourceData.Common_SourceData_MCFTemperatureZone_Data(),Table_SourceData_Common_MCFTemperatureZone[[#Headers],[Temperature zone]],0)</f>
        <v>0.02</v>
      </c>
      <c r="L247" s="34" cm="1">
        <f t="array" ref="L247">Common_InputFunctions.Utility_DisplayArrayInTable(Common_SourceData.Common_SourceData_MCFTemperatureZone_Data(),Table_SourceData_Common_MCFTemperatureZone[[#Headers],[Temperature zone]],0)</f>
        <v>0.03</v>
      </c>
      <c r="M247" s="34" cm="1">
        <f t="array" ref="M247">Common_InputFunctions.Utility_DisplayArrayInTable(Common_SourceData.Common_SourceData_MCFTemperatureZone_Data(),Table_SourceData_Common_MCFTemperatureZone[[#Headers],[Temperature zone]],0)</f>
        <v>0.04</v>
      </c>
      <c r="N247" s="34" cm="1">
        <f t="array" ref="N247">Common_InputFunctions.Utility_DisplayArrayInTable(Common_SourceData.Common_SourceData_MCFTemperatureZone_Data(),Table_SourceData_Common_MCFTemperatureZone[[#Headers],[Temperature zone]],0)</f>
        <v>1.4999999999999999E-2</v>
      </c>
      <c r="O247" s="34" cm="1">
        <f t="array" ref="O247">Common_InputFunctions.Utility_DisplayArrayInTable(Common_SourceData.Common_SourceData_MCFTemperatureZone_Data(),Table_SourceData_Common_MCFTemperatureZone[[#Headers],[Temperature zone]],0)</f>
        <v>1.4999999999999999E-2</v>
      </c>
      <c r="P247" s="34" cm="1">
        <f t="array" ref="P247">Common_InputFunctions.Utility_DisplayArrayInTable(Common_SourceData.Common_SourceData_MCFTemperatureZone_Data(),Table_SourceData_Common_MCFTemperatureZone[[#Headers],[Temperature zone]],0)</f>
        <v>0</v>
      </c>
      <c r="Q247" s="34" cm="1">
        <f t="array" ref="Q247">Common_InputFunctions.Utility_DisplayArrayInTable(Common_SourceData.Common_SourceData_MCFTemperatureZone_Data(),Table_SourceData_Common_MCFTemperatureZone[[#Headers],[Temperature zone]],0)</f>
        <v>0</v>
      </c>
      <c r="R247" s="34" cm="1">
        <f t="array" ref="R247">Common_InputFunctions.Utility_DisplayArrayInTable(Common_SourceData.Common_SourceData_MCFTemperatureZone_Data(),Table_SourceData_Common_MCFTemperatureZone[[#Headers],[Temperature zone]],0)</f>
        <v>4.7000000000000002E-3</v>
      </c>
      <c r="S247" s="34"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4" cm="1">
        <f t="array" ref="E248">Common_InputFunctions.Utility_DisplayArrayInTable(Common_SourceData.Common_SourceData_MCFTemperatureZone_Data(),Table_SourceData_Common_MCFTemperatureZone[[#Headers],[Temperature zone]],0)</f>
        <v>26</v>
      </c>
      <c r="F248" s="34" cm="1">
        <f t="array" ref="F248">Common_InputFunctions.Utility_DisplayArrayInTable(Common_SourceData.Common_SourceData_MCFTemperatureZone_Data(),Table_SourceData_Common_MCFTemperatureZone[[#Headers],[Temperature zone]],0)</f>
        <v>0.79</v>
      </c>
      <c r="G248" s="34" cm="1">
        <f t="array" ref="G248">Common_InputFunctions.Utility_DisplayArrayInTable(Common_SourceData.Common_SourceData_MCFTemperatureZone_Data(),Table_SourceData_Common_MCFTemperatureZone[[#Headers],[Temperature zone]],0)</f>
        <v>0.1</v>
      </c>
      <c r="H248" s="34" cm="1">
        <f t="array" ref="H248">Common_InputFunctions.Utility_DisplayArrayInTable(Common_SourceData.Common_SourceData_MCFTemperatureZone_Data(),Table_SourceData_Common_MCFTemperatureZone[[#Headers],[Temperature zone]],0)</f>
        <v>0.44</v>
      </c>
      <c r="I248" s="34" cm="1">
        <f t="array" ref="I248">Common_InputFunctions.Utility_DisplayArrayInTable(Common_SourceData.Common_SourceData_MCFTemperatureZone_Data(),Table_SourceData_Common_MCFTemperatureZone[[#Headers],[Temperature zone]],0)</f>
        <v>0.01</v>
      </c>
      <c r="J248" s="34" cm="1">
        <f t="array" ref="J248">Common_InputFunctions.Utility_DisplayArrayInTable(Common_SourceData.Common_SourceData_MCFTemperatureZone_Data(),Table_SourceData_Common_MCFTemperatureZone[[#Headers],[Temperature zone]],0)</f>
        <v>1.4999999999999999E-2</v>
      </c>
      <c r="K248" s="34" cm="1">
        <f t="array" ref="K248">Common_InputFunctions.Utility_DisplayArrayInTable(Common_SourceData.Common_SourceData_MCFTemperatureZone_Data(),Table_SourceData_Common_MCFTemperatureZone[[#Headers],[Temperature zone]],0)</f>
        <v>0.02</v>
      </c>
      <c r="L248" s="34" cm="1">
        <f t="array" ref="L248">Common_InputFunctions.Utility_DisplayArrayInTable(Common_SourceData.Common_SourceData_MCFTemperatureZone_Data(),Table_SourceData_Common_MCFTemperatureZone[[#Headers],[Temperature zone]],0)</f>
        <v>0.03</v>
      </c>
      <c r="M248" s="34" cm="1">
        <f t="array" ref="M248">Common_InputFunctions.Utility_DisplayArrayInTable(Common_SourceData.Common_SourceData_MCFTemperatureZone_Data(),Table_SourceData_Common_MCFTemperatureZone[[#Headers],[Temperature zone]],0)</f>
        <v>0.04</v>
      </c>
      <c r="N248" s="34" cm="1">
        <f t="array" ref="N248">Common_InputFunctions.Utility_DisplayArrayInTable(Common_SourceData.Common_SourceData_MCFTemperatureZone_Data(),Table_SourceData_Common_MCFTemperatureZone[[#Headers],[Temperature zone]],0)</f>
        <v>1.4999999999999999E-2</v>
      </c>
      <c r="O248" s="34" cm="1">
        <f t="array" ref="O248">Common_InputFunctions.Utility_DisplayArrayInTable(Common_SourceData.Common_SourceData_MCFTemperatureZone_Data(),Table_SourceData_Common_MCFTemperatureZone[[#Headers],[Temperature zone]],0)</f>
        <v>1.4999999999999999E-2</v>
      </c>
      <c r="P248" s="34" cm="1">
        <f t="array" ref="P248">Common_InputFunctions.Utility_DisplayArrayInTable(Common_SourceData.Common_SourceData_MCFTemperatureZone_Data(),Table_SourceData_Common_MCFTemperatureZone[[#Headers],[Temperature zone]],0)</f>
        <v>0</v>
      </c>
      <c r="Q248" s="34" cm="1">
        <f t="array" ref="Q248">Common_InputFunctions.Utility_DisplayArrayInTable(Common_SourceData.Common_SourceData_MCFTemperatureZone_Data(),Table_SourceData_Common_MCFTemperatureZone[[#Headers],[Temperature zone]],0)</f>
        <v>0</v>
      </c>
      <c r="R248" s="34" cm="1">
        <f t="array" ref="R248">Common_InputFunctions.Utility_DisplayArrayInTable(Common_SourceData.Common_SourceData_MCFTemperatureZone_Data(),Table_SourceData_Common_MCFTemperatureZone[[#Headers],[Temperature zone]],0)</f>
        <v>4.7000000000000002E-3</v>
      </c>
      <c r="S248" s="34"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4" cm="1">
        <f t="array" ref="E249">Common_InputFunctions.Utility_DisplayArrayInTable(Common_SourceData.Common_SourceData_MCFTemperatureZone_Data(),Table_SourceData_Common_MCFTemperatureZone[[#Headers],[Temperature zone]],0)</f>
        <v>27</v>
      </c>
      <c r="F249" s="34" cm="1">
        <f t="array" ref="F249">Common_InputFunctions.Utility_DisplayArrayInTable(Common_SourceData.Common_SourceData_MCFTemperatureZone_Data(),Table_SourceData_Common_MCFTemperatureZone[[#Headers],[Temperature zone]],0)</f>
        <v>0.8</v>
      </c>
      <c r="G249" s="34" cm="1">
        <f t="array" ref="G249">Common_InputFunctions.Utility_DisplayArrayInTable(Common_SourceData.Common_SourceData_MCFTemperatureZone_Data(),Table_SourceData_Common_MCFTemperatureZone[[#Headers],[Temperature zone]],0)</f>
        <v>0.1</v>
      </c>
      <c r="H249" s="34" cm="1">
        <f t="array" ref="H249">Common_InputFunctions.Utility_DisplayArrayInTable(Common_SourceData.Common_SourceData_MCFTemperatureZone_Data(),Table_SourceData_Common_MCFTemperatureZone[[#Headers],[Temperature zone]],0)</f>
        <v>0.48</v>
      </c>
      <c r="I249" s="34" cm="1">
        <f t="array" ref="I249">Common_InputFunctions.Utility_DisplayArrayInTable(Common_SourceData.Common_SourceData_MCFTemperatureZone_Data(),Table_SourceData_Common_MCFTemperatureZone[[#Headers],[Temperature zone]],0)</f>
        <v>0.01</v>
      </c>
      <c r="J249" s="34" cm="1">
        <f t="array" ref="J249">Common_InputFunctions.Utility_DisplayArrayInTable(Common_SourceData.Common_SourceData_MCFTemperatureZone_Data(),Table_SourceData_Common_MCFTemperatureZone[[#Headers],[Temperature zone]],0)</f>
        <v>1.4999999999999999E-2</v>
      </c>
      <c r="K249" s="34" cm="1">
        <f t="array" ref="K249">Common_InputFunctions.Utility_DisplayArrayInTable(Common_SourceData.Common_SourceData_MCFTemperatureZone_Data(),Table_SourceData_Common_MCFTemperatureZone[[#Headers],[Temperature zone]],0)</f>
        <v>0.02</v>
      </c>
      <c r="L249" s="34" cm="1">
        <f t="array" ref="L249">Common_InputFunctions.Utility_DisplayArrayInTable(Common_SourceData.Common_SourceData_MCFTemperatureZone_Data(),Table_SourceData_Common_MCFTemperatureZone[[#Headers],[Temperature zone]],0)</f>
        <v>0.03</v>
      </c>
      <c r="M249" s="34" cm="1">
        <f t="array" ref="M249">Common_InputFunctions.Utility_DisplayArrayInTable(Common_SourceData.Common_SourceData_MCFTemperatureZone_Data(),Table_SourceData_Common_MCFTemperatureZone[[#Headers],[Temperature zone]],0)</f>
        <v>0.04</v>
      </c>
      <c r="N249" s="34" cm="1">
        <f t="array" ref="N249">Common_InputFunctions.Utility_DisplayArrayInTable(Common_SourceData.Common_SourceData_MCFTemperatureZone_Data(),Table_SourceData_Common_MCFTemperatureZone[[#Headers],[Temperature zone]],0)</f>
        <v>1.4999999999999999E-2</v>
      </c>
      <c r="O249" s="34" cm="1">
        <f t="array" ref="O249">Common_InputFunctions.Utility_DisplayArrayInTable(Common_SourceData.Common_SourceData_MCFTemperatureZone_Data(),Table_SourceData_Common_MCFTemperatureZone[[#Headers],[Temperature zone]],0)</f>
        <v>1.4999999999999999E-2</v>
      </c>
      <c r="P249" s="34" cm="1">
        <f t="array" ref="P249">Common_InputFunctions.Utility_DisplayArrayInTable(Common_SourceData.Common_SourceData_MCFTemperatureZone_Data(),Table_SourceData_Common_MCFTemperatureZone[[#Headers],[Temperature zone]],0)</f>
        <v>0</v>
      </c>
      <c r="Q249" s="34" cm="1">
        <f t="array" ref="Q249">Common_InputFunctions.Utility_DisplayArrayInTable(Common_SourceData.Common_SourceData_MCFTemperatureZone_Data(),Table_SourceData_Common_MCFTemperatureZone[[#Headers],[Temperature zone]],0)</f>
        <v>0</v>
      </c>
      <c r="R249" s="34" cm="1">
        <f t="array" ref="R249">Common_InputFunctions.Utility_DisplayArrayInTable(Common_SourceData.Common_SourceData_MCFTemperatureZone_Data(),Table_SourceData_Common_MCFTemperatureZone[[#Headers],[Temperature zone]],0)</f>
        <v>4.7000000000000002E-3</v>
      </c>
      <c r="S249" s="34"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4" t="str" cm="1">
        <f t="array" ref="E250">Common_InputFunctions.Utility_DisplayArrayInTable(Common_SourceData.Common_SourceData_MCFTemperatureZone_Data(),Table_SourceData_Common_MCFTemperatureZone[[#Headers],[Temperature zone]],0)</f>
        <v>≥28</v>
      </c>
      <c r="F250" s="34" cm="1">
        <f t="array" ref="F250">Common_InputFunctions.Utility_DisplayArrayInTable(Common_SourceData.Common_SourceData_MCFTemperatureZone_Data(),Table_SourceData_Common_MCFTemperatureZone[[#Headers],[Temperature zone]],0)</f>
        <v>0.8</v>
      </c>
      <c r="G250" s="34" cm="1">
        <f t="array" ref="G250">Common_InputFunctions.Utility_DisplayArrayInTable(Common_SourceData.Common_SourceData_MCFTemperatureZone_Data(),Table_SourceData_Common_MCFTemperatureZone[[#Headers],[Temperature zone]],0)</f>
        <v>0.1</v>
      </c>
      <c r="H250" s="34" cm="1">
        <f t="array" ref="H250">Common_InputFunctions.Utility_DisplayArrayInTable(Common_SourceData.Common_SourceData_MCFTemperatureZone_Data(),Table_SourceData_Common_MCFTemperatureZone[[#Headers],[Temperature zone]],0)</f>
        <v>0.5</v>
      </c>
      <c r="I250" s="34" cm="1">
        <f t="array" ref="I250">Common_InputFunctions.Utility_DisplayArrayInTable(Common_SourceData.Common_SourceData_MCFTemperatureZone_Data(),Table_SourceData_Common_MCFTemperatureZone[[#Headers],[Temperature zone]],0)</f>
        <v>0.01</v>
      </c>
      <c r="J250" s="34" cm="1">
        <f t="array" ref="J250">Common_InputFunctions.Utility_DisplayArrayInTable(Common_SourceData.Common_SourceData_MCFTemperatureZone_Data(),Table_SourceData_Common_MCFTemperatureZone[[#Headers],[Temperature zone]],0)</f>
        <v>1.4999999999999999E-2</v>
      </c>
      <c r="K250" s="34" cm="1">
        <f t="array" ref="K250">Common_InputFunctions.Utility_DisplayArrayInTable(Common_SourceData.Common_SourceData_MCFTemperatureZone_Data(),Table_SourceData_Common_MCFTemperatureZone[[#Headers],[Temperature zone]],0)</f>
        <v>0.02</v>
      </c>
      <c r="L250" s="34" cm="1">
        <f t="array" ref="L250">Common_InputFunctions.Utility_DisplayArrayInTable(Common_SourceData.Common_SourceData_MCFTemperatureZone_Data(),Table_SourceData_Common_MCFTemperatureZone[[#Headers],[Temperature zone]],0)</f>
        <v>0.03</v>
      </c>
      <c r="M250" s="34" cm="1">
        <f t="array" ref="M250">Common_InputFunctions.Utility_DisplayArrayInTable(Common_SourceData.Common_SourceData_MCFTemperatureZone_Data(),Table_SourceData_Common_MCFTemperatureZone[[#Headers],[Temperature zone]],0)</f>
        <v>0.04</v>
      </c>
      <c r="N250" s="34" cm="1">
        <f t="array" ref="N250">Common_InputFunctions.Utility_DisplayArrayInTable(Common_SourceData.Common_SourceData_MCFTemperatureZone_Data(),Table_SourceData_Common_MCFTemperatureZone[[#Headers],[Temperature zone]],0)</f>
        <v>1.4999999999999999E-2</v>
      </c>
      <c r="O250" s="34" cm="1">
        <f t="array" ref="O250">Common_InputFunctions.Utility_DisplayArrayInTable(Common_SourceData.Common_SourceData_MCFTemperatureZone_Data(),Table_SourceData_Common_MCFTemperatureZone[[#Headers],[Temperature zone]],0)</f>
        <v>1.4999999999999999E-2</v>
      </c>
      <c r="P250" s="34" cm="1">
        <f t="array" ref="P250">Common_InputFunctions.Utility_DisplayArrayInTable(Common_SourceData.Common_SourceData_MCFTemperatureZone_Data(),Table_SourceData_Common_MCFTemperatureZone[[#Headers],[Temperature zone]],0)</f>
        <v>0</v>
      </c>
      <c r="Q250" s="34" cm="1">
        <f t="array" ref="Q250">Common_InputFunctions.Utility_DisplayArrayInTable(Common_SourceData.Common_SourceData_MCFTemperatureZone_Data(),Table_SourceData_Common_MCFTemperatureZone[[#Headers],[Temperature zone]],0)</f>
        <v>0</v>
      </c>
      <c r="R250" s="34" cm="1">
        <f t="array" ref="R250">Common_InputFunctions.Utility_DisplayArrayInTable(Common_SourceData.Common_SourceData_MCFTemperatureZone_Data(),Table_SourceData_Common_MCFTemperatureZone[[#Headers],[Temperature zone]],0)</f>
        <v>4.7000000000000002E-3</v>
      </c>
      <c r="S250" s="34"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48" t="str" cm="1">
        <f t="array" ref="D256">Common_SourceData.Common_SourceData_EFOrganicFertiliserAndCropResidues_Unit()</f>
        <v>kg N2O - N / kg N</v>
      </c>
    </row>
    <row r="257" spans="4:6" x14ac:dyDescent="0.25">
      <c r="D257" s="34" t="s">
        <v>137</v>
      </c>
      <c r="E257" s="34" t="s">
        <v>138</v>
      </c>
    </row>
    <row r="258" spans="4:6" x14ac:dyDescent="0.25">
      <c r="D258" s="34" t="str" cm="1">
        <f t="array" ref="D258">Common_InputFunctions.Utility_DisplayArrayInTable(Common_SourceData.Common_SourceData_EFOrganicFertiliserAndCropResidues_Data(), Table_SourceData_Common_EFOrganicFertCropResidues[[#Headers],[Climate Zone]], 0)</f>
        <v>Wet climate zone</v>
      </c>
      <c r="E258" s="34" cm="1">
        <f t="array" ref="E258">Common_InputFunctions.Utility_DisplayArrayInTable(Common_SourceData.Common_SourceData_EFOrganicFertiliserAndCropResidues_Data(), Table_SourceData_Common_EFOrganicFertCropResidues[[#Headers],[Climate Zone]], 0)</f>
        <v>6.0000000000000001E-3</v>
      </c>
    </row>
    <row r="259" spans="4:6"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4" cm="1">
        <f t="array" ref="E259">Common_InputFunctions.Utility_DisplayArrayInTable(Common_SourceData.Common_SourceData_EFOrganicFertiliserAndCropResidues_Data(), Table_SourceData_Common_EFOrganicFertCropResidues[[#Headers],[Climate Zone]], 0)</f>
        <v>5.0000000000000001E-3</v>
      </c>
    </row>
    <row r="263" spans="4:6" ht="23.25" x14ac:dyDescent="0.25">
      <c r="D263" s="6" t="s">
        <v>140</v>
      </c>
    </row>
    <row r="264" spans="4:6" x14ac:dyDescent="0.25">
      <c r="D264" s="1" t="s">
        <v>141</v>
      </c>
    </row>
    <row r="265" spans="4:6" x14ac:dyDescent="0.25">
      <c r="D265" s="34" t="s">
        <v>142</v>
      </c>
      <c r="E265" s="34" t="s">
        <v>143</v>
      </c>
      <c r="F265" s="34" t="s">
        <v>144</v>
      </c>
    </row>
    <row r="266" spans="4:6" x14ac:dyDescent="0.25">
      <c r="D266" s="34" t="s">
        <v>145</v>
      </c>
      <c r="E266" s="34" t="s">
        <v>146</v>
      </c>
      <c r="F266" s="34">
        <v>5</v>
      </c>
    </row>
    <row r="267" spans="4:6" x14ac:dyDescent="0.25">
      <c r="D267" s="34" t="s">
        <v>147</v>
      </c>
      <c r="E267" s="34" t="s">
        <v>148</v>
      </c>
      <c r="F267" s="34">
        <v>4</v>
      </c>
    </row>
    <row r="268" spans="4:6" x14ac:dyDescent="0.25">
      <c r="D268" s="34" t="s">
        <v>149</v>
      </c>
      <c r="E268" s="34" t="s">
        <v>150</v>
      </c>
      <c r="F268" s="34">
        <v>3</v>
      </c>
    </row>
    <row r="269" spans="4:6" x14ac:dyDescent="0.25">
      <c r="D269" s="34" t="s">
        <v>151</v>
      </c>
      <c r="E269" s="34" t="s">
        <v>152</v>
      </c>
      <c r="F269" s="34">
        <v>2</v>
      </c>
    </row>
    <row r="270" spans="4:6" x14ac:dyDescent="0.25">
      <c r="D270" s="34" t="s">
        <v>153</v>
      </c>
      <c r="E270" s="34" t="s">
        <v>154</v>
      </c>
      <c r="F270" s="34">
        <v>1</v>
      </c>
    </row>
    <row r="273" spans="4:6" x14ac:dyDescent="0.25">
      <c r="D273" s="1" t="s">
        <v>155</v>
      </c>
    </row>
    <row r="274" spans="4:6" x14ac:dyDescent="0.25">
      <c r="D274" s="34" t="s">
        <v>142</v>
      </c>
      <c r="E274" s="34" t="s">
        <v>143</v>
      </c>
      <c r="F274" s="34" t="s">
        <v>144</v>
      </c>
    </row>
    <row r="275" spans="4:6" x14ac:dyDescent="0.25">
      <c r="D275" s="34" t="s">
        <v>156</v>
      </c>
      <c r="E275" s="34" t="s">
        <v>157</v>
      </c>
      <c r="F275" s="34">
        <v>5</v>
      </c>
    </row>
    <row r="276" spans="4:6" x14ac:dyDescent="0.25">
      <c r="D276" s="34" t="s">
        <v>158</v>
      </c>
      <c r="E276" s="34" t="s">
        <v>159</v>
      </c>
      <c r="F276" s="34">
        <v>4</v>
      </c>
    </row>
    <row r="277" spans="4:6" x14ac:dyDescent="0.25">
      <c r="D277" s="34" t="s">
        <v>160</v>
      </c>
      <c r="E277" s="34" t="s">
        <v>161</v>
      </c>
      <c r="F277" s="34">
        <v>3</v>
      </c>
    </row>
    <row r="278" spans="4:6" x14ac:dyDescent="0.25">
      <c r="D278" s="34" t="s">
        <v>162</v>
      </c>
      <c r="E278" s="34" t="s">
        <v>163</v>
      </c>
      <c r="F278" s="34">
        <v>2</v>
      </c>
    </row>
    <row r="279" spans="4:6" x14ac:dyDescent="0.25">
      <c r="D279" s="34" t="s">
        <v>164</v>
      </c>
      <c r="E279" s="34" t="s">
        <v>165</v>
      </c>
      <c r="F279" s="34">
        <v>1</v>
      </c>
    </row>
    <row r="282" spans="4:6" x14ac:dyDescent="0.25">
      <c r="D282" s="1" t="s">
        <v>166</v>
      </c>
    </row>
    <row r="283" spans="4:6" x14ac:dyDescent="0.25">
      <c r="D283" s="34" t="s">
        <v>142</v>
      </c>
      <c r="E283" s="34" t="s">
        <v>143</v>
      </c>
      <c r="F283" s="34" t="s">
        <v>144</v>
      </c>
    </row>
    <row r="284" spans="4:6" x14ac:dyDescent="0.25">
      <c r="D284" s="34" t="s">
        <v>167</v>
      </c>
      <c r="E284" s="34" t="s">
        <v>168</v>
      </c>
      <c r="F284" s="34">
        <v>5</v>
      </c>
    </row>
    <row r="285" spans="4:6" x14ac:dyDescent="0.25">
      <c r="D285" s="34" t="s">
        <v>169</v>
      </c>
      <c r="E285" s="34" t="s">
        <v>170</v>
      </c>
      <c r="F285" s="34">
        <v>4</v>
      </c>
    </row>
    <row r="286" spans="4:6" x14ac:dyDescent="0.25">
      <c r="D286" s="34" t="s">
        <v>171</v>
      </c>
      <c r="E286" s="34" t="s">
        <v>172</v>
      </c>
      <c r="F286" s="34">
        <v>3</v>
      </c>
    </row>
    <row r="287" spans="4:6" x14ac:dyDescent="0.25">
      <c r="D287" s="34" t="s">
        <v>173</v>
      </c>
      <c r="E287" s="34" t="s">
        <v>174</v>
      </c>
      <c r="F287" s="34">
        <v>2</v>
      </c>
    </row>
    <row r="288" spans="4:6" x14ac:dyDescent="0.25">
      <c r="D288" s="34" t="s">
        <v>175</v>
      </c>
      <c r="E288" s="34" t="s">
        <v>176</v>
      </c>
      <c r="F288" s="34">
        <v>1</v>
      </c>
    </row>
    <row r="291" spans="4:6" x14ac:dyDescent="0.25">
      <c r="D291" s="1" t="s">
        <v>177</v>
      </c>
    </row>
    <row r="292" spans="4:6" x14ac:dyDescent="0.25">
      <c r="D292" s="34" t="s">
        <v>142</v>
      </c>
      <c r="E292" s="34" t="s">
        <v>143</v>
      </c>
      <c r="F292" s="34" t="s">
        <v>144</v>
      </c>
    </row>
    <row r="293" spans="4:6" x14ac:dyDescent="0.25">
      <c r="D293" s="34" t="s">
        <v>178</v>
      </c>
      <c r="E293" s="34" t="s">
        <v>179</v>
      </c>
      <c r="F293" s="34">
        <v>5</v>
      </c>
    </row>
    <row r="294" spans="4:6" x14ac:dyDescent="0.25">
      <c r="D294" s="34" t="s">
        <v>180</v>
      </c>
      <c r="E294" s="34" t="s">
        <v>181</v>
      </c>
      <c r="F294" s="34">
        <v>4</v>
      </c>
    </row>
    <row r="295" spans="4:6" x14ac:dyDescent="0.25">
      <c r="D295" s="34" t="s">
        <v>182</v>
      </c>
      <c r="E295" s="34" t="s">
        <v>183</v>
      </c>
      <c r="F295" s="34">
        <v>3</v>
      </c>
    </row>
    <row r="296" spans="4:6" x14ac:dyDescent="0.25">
      <c r="D296" s="34" t="s">
        <v>184</v>
      </c>
      <c r="E296" s="34" t="s">
        <v>185</v>
      </c>
      <c r="F296" s="34">
        <v>2</v>
      </c>
    </row>
    <row r="297" spans="4:6" x14ac:dyDescent="0.25">
      <c r="D297" s="34" t="s">
        <v>186</v>
      </c>
      <c r="E297" s="34" t="s">
        <v>187</v>
      </c>
      <c r="F297" s="34">
        <v>1</v>
      </c>
    </row>
  </sheetData>
  <pageMargins left="0.7" right="0.7" top="0.75" bottom="0.75" header="0.3" footer="0.3"/>
  <pageSetup paperSize="9"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sheetPr>
    <tabColor theme="2" tint="-0.499984740745262"/>
  </sheetPr>
  <dimension ref="A1:A8"/>
  <sheetViews>
    <sheetView zoomScaleNormal="100" workbookViewId="0">
      <selection activeCell="A21" sqref="A21"/>
    </sheetView>
  </sheetViews>
  <sheetFormatPr defaultRowHeight="15" x14ac:dyDescent="0.25"/>
  <sheetData>
    <row r="1" spans="1:1" x14ac:dyDescent="0.25">
      <c r="A1" t="s">
        <v>188</v>
      </c>
    </row>
    <row r="3" spans="1:1" ht="15.75" x14ac:dyDescent="0.25">
      <c r="A3" s="17" t="str">
        <f>HYPERLINK("#'Home'!A1", "Home")</f>
        <v>Home</v>
      </c>
    </row>
    <row r="6" spans="1:1" x14ac:dyDescent="0.25">
      <c r="A6" s="104" t="s">
        <v>1</v>
      </c>
    </row>
    <row r="7" spans="1:1" ht="15.75" x14ac:dyDescent="0.25">
      <c r="A7" s="17" t="str">
        <f>HYPERLINK("#'Constants - Common'!A1", "Constants - Common")</f>
        <v>Constants - Common</v>
      </c>
    </row>
    <row r="8" spans="1:1" ht="15.75" x14ac:dyDescent="0.25">
      <c r="A8" s="55" t="str">
        <f>HYPERLINK("#'Acknowledgements'!A1", "Acknowledgements")</f>
        <v>Acknowledgements</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zoomScaleNormal="100" workbookViewId="0">
      <selection activeCell="A21" sqref="A21"/>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54" t="e" vm="1">
        <v>#VALUE!</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N3" s="4"/>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row>
    <row r="6" spans="1:21" ht="20.100000000000001" customHeight="1" x14ac:dyDescent="0.25"/>
    <row r="7" spans="1:21" ht="20.100000000000001" customHeight="1" x14ac:dyDescent="0.25"/>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Other Livestock'!A1", "Other Livestock")</f>
        <v>Other Livestock</v>
      </c>
    </row>
    <row r="11" spans="1:21" ht="20.100000000000001" customHeight="1" x14ac:dyDescent="0.25"/>
    <row r="12" spans="1:21" ht="20.100000000000001" customHeight="1" x14ac:dyDescent="0.25"/>
    <row r="13" spans="1:21" ht="20.100000000000001" customHeight="1" x14ac:dyDescent="0.25">
      <c r="A13" s="18" t="s">
        <v>51</v>
      </c>
    </row>
    <row r="14" spans="1:21" ht="20.100000000000001" customHeight="1" x14ac:dyDescent="0.25">
      <c r="A14" s="17" t="str">
        <f>HYPERLINK("#'3.6.1.1-2 Enteric Methane'!A1", "3.6.1.1-2 Enteric Methane")</f>
        <v>3.6.1.1-2 Enteric Methane</v>
      </c>
    </row>
    <row r="15" spans="1:21" ht="20.100000000000001" customHeight="1" x14ac:dyDescent="0.25"/>
    <row r="16" spans="1:21" ht="20.100000000000001" customHeight="1" x14ac:dyDescent="0.25"/>
    <row r="17" spans="1:1" ht="20.100000000000001" customHeight="1" x14ac:dyDescent="0.25">
      <c r="A17" s="104" t="s">
        <v>1</v>
      </c>
    </row>
    <row r="18" spans="1:1" ht="20.100000000000001" customHeight="1" x14ac:dyDescent="0.25">
      <c r="A18" s="17" t="str">
        <f>HYPERLINK("#'Constants - Other Livestock'!A1", "Constants - Other Livestock")</f>
        <v>Constants - Other Livestock</v>
      </c>
    </row>
    <row r="19" spans="1:1" ht="20.100000000000001" customHeight="1" x14ac:dyDescent="0.25">
      <c r="A19" s="17" t="str">
        <f>HYPERLINK("#'Constants - Common'!A1", "Constants - Common")</f>
        <v>Constants - Common</v>
      </c>
    </row>
    <row r="20" spans="1:1" ht="20.100000000000001" customHeight="1" x14ac:dyDescent="0.25">
      <c r="A20" s="17" t="str">
        <f>HYPERLINK("#'Acknowledgements'!A1", "Acknowledgements")</f>
        <v>Acknowledgements</v>
      </c>
    </row>
    <row r="21" spans="1:1" ht="20.100000000000001" customHeight="1" x14ac:dyDescent="0.25">
      <c r="A21" s="55" t="str">
        <f>HYPERLINK("#'Tab template'!A1", "Tab template")</f>
        <v>Tab template</v>
      </c>
    </row>
    <row r="22" spans="1:1" ht="20.100000000000001" customHeight="1" x14ac:dyDescent="0.25"/>
    <row r="23" spans="1:1" ht="20.100000000000001" customHeight="1" x14ac:dyDescent="0.25"/>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M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Q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x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IABbAFYAYQBsAHUAZQBJAEYARgBhAGwAcwBlAF0ALABcAG4AIAAgACAAIABYAEwATwBPAEsAVQBQACgAMQAsACAAKABMAG8AbwBrAHUAcABBAHIAcgBhAHkAMQA9AEwAbwBvAGsAdQBwAFYAYQBsAHUAZQAxACkAKgAoAEwAbwBvAGsAdQBwAEEAcgByAGEAeQAyAD0ATABvAG8AawB1AHAAVgBhAGwAdQBlADIAKQAsACAAUgBlAHQAdQByAG4AQQByAHIAYQB5ACwAIABJAEYAKABJAFMATwBNAEkAVABUAEUARAAoAFYAYQBsAHUAZQBJAEYARgBhAGwAcwBlACkALAAgAFwAIgBcACIALAAgAFYAYQBsAHUAZQBJAEYARgBhAGwAcwBlACkAKQBcAG4AKQA7AFwAbgBcAG4AVQB0AGkAbABpAHQAeQBfAEwAbwBvAGsAdQBwAFYAYQBsAHUAZQBJAG4AVABhAGIAbABlAE8AbgBlAEMAbwBsAHUAbQBuAEEAbgBkAEgAZQBhAGQAZQByAFwAbgA9AEwAQQBNAEIARABBACgAXABuACAAIAAgACAATABvAG8AawB1AHAAVgBhAGwAdQBlADEALAAgAEwAbwBvAGsAdQBwAFYAYQBsAHUAZQAyACwAIABMAG8AbwBrAHUAcABBAHIAcgBhAHkAMQAsACAATABvAG8AawB1AHAAQQByAHIAYQB5ADIALAAgAFIAZQB0AHUAcgBuAEEAcgByAGEAeQAsACAAWwBWAGEAbAB1AGUASQBmAEYAYQBsAHMAZQBdACwAXABuACAAIAAgACAASQBGAEUAUgBSAE8AUgAoAFwAbgAgACAAIAAgACAAIAAgACAAWABMAE8ATwBLAFUAUAAoAEwAbwBvAGsAdQBwAFYAYQBsAHUAZQAxACwAIABMAG8AbwBrAHUAcABBAHIAcgBhAHkAMQAsAFwAbgAgACAAIAAgACAAIAAgACAAIAAgACAAIABYAEwATwBPAEsAVQBQACgATABvAG8AawB1AHAAVgBhAGwAdQBlADIALAAgAEwAbwBvAGsAdQBwAEEAcgByAGEAeQAyACwAIABSAGUAdAB1AHIAbgBBAHIAcgBhAHkAKQBcAG4AIAAgACAAIAAgACAAIAAgACkALABcAG4AIAAgACAAIAAgACAAIAAgAEkARgAoAEkAUwBPAE0ASQBUAFQARQBEACgAVgBhAGwAdQBlAEkAZgBGAGEAbABzAGUAKQAsACAAXAAiAFwAIgAsACAAVgBhAGwAdQBlAEkAZgBGAGEAbABzAGUAKQBcAG4AIAAgACAAIAApAFwAbgApADsAXABuAFwAbgBVAHQAaQBsAGkAdAB5AF8AUwBwAGwAaQB0AFMAdAByAGkAbgBnAEkAbgB0AG8AQQByAHIAYQB5AFwAbgA9AEwAQQBNAEIARABBACgAXABuACAAIAAgACAAQwBlAGwAbAAsACAARABlAGwAaQBtAGkAdABlAHIALAAgAFsAQwBoAGEAcgBhAGMAdABlAHIAVABvAFIAZQBtAG8AdgBlADEAXQAsACAAWwBDAGgAYQByAGEAYwB0AGUAcgBUAG8AUgBlAG0AbwB2AGUAMgBdACwAXABuACAAIAAgACAAIAAgACAAIABGAEkATABUAEUAUgBYAE0ATAAoAFwAbgAgACAAIAAgACAAIAAgACAAXAAiAFwAdQAwADAAMwBjAHQAXAB1ADAAMAAzAGUAXAB1ADAAMAAzAGMAcwBcAHUAMAAwADMAZQBcACIAIABcAHUAMAAwADIAN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BcAHUAMAAwADMAYwAvAHMAXAB1ADAAMAAzAGUAXAB1ADAAMAAzAGMAcwBcAHUAMAAwADMAZQBcACIAXABuACAAIAAgACAAIAAgACAAIAApACAAXAB1ADAAMAAyADYAXABuACAAIAAgACAAIAAgACAAIABcACIAXAB1ADAAMAAzAGMALwBzAFwAdQAwADAAMwBlAFwAdQAwADAAMwBjAC8AdABcAHUAMAAwADMAZQ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XAB1ADAAMAAzAGMAPQBhAHYAZwBUAGUAbQBwACkAKgBcAG4AIAAgACAAIAAgACAAIAAgACgAVgBBAEwAVQBFACgAbQBhAHgAVABlAG0AcABBAHIAcgBhAHkAKQBcAHUAMAAwADMAZQA9AGEAdgBnAFQAZQBtAHAAKQAqAFwAbgAgACAAIAAgACAAIAAgACAAKABWAEEATABVAEUAKABtAGkAbgBSAGEAaQBuAGYAYQBsAGwAQQByAHIAYQB5ACkAXAB1ADAAMAAzAGMAPQBhAHYAZwBSAGEAaQBuACkAKgBcAG4AIAAgACAAIAAgACAAIAAgACgAVgBBAEwAVQBFACgAbQBhAHgAUgBhAGkAbgBmAGEAbABsAEEAcgByAGEAeQApAFwAdQAwADAAMwBlAD0AYQB2AGcAUgBhAGkAbgApACoAXABuACAAIAAgACAAIAAgACAAIAAoAFYAQQBMAFUARQAoAG0AaQBuAEYAcgBvAHMAdABBAHIAcgBhAHkAKQBcAHUAMAAwADMAYwA9AGYAcgBvAHMAdABEAGEAeQBzACkAKgBcAG4AIAAgACAAIAAgACAAIAAgACgAVgBBAEwAVQBFACgAbQBhAHgARgByAG8AcwB0AEEAcgByAGEAeQApAFwAdQAwADAAMwBlAD0AZgByAG8AcwB0AEQAYQB5AHMAKQAqAFwAbgAgACAAIAAgACAAIAAgACAAKABWAEEATABVAEUAKABtAGkAbgBFAGwAZQB2AGEAdABpAG8AbgBBAHIAcgBhAHkAKQBcAHUAMAAwADMAYwA9AGUAbABlAHYAKQAqAFwAbgAgACAAIAAgACAAIAAgACAAKABWAEEATABVAEUAKABtAGEAeABFAGwAZQB2AGEAdABpAG8AbgBBAHIAcgBhAHkAKQBcAHUAMAAwADMAZQA9AGUAbABlAHYAKQAqAFwAbgAgACAAIAAgACAAIAAgACAAKABWAEEATABVAEUAKABtAGkAbgBQAEUAVABBAHIAcgBhAHkAKQBcAHUAMAAwADMAYwA9AG0AYQBwAF8AcABlAHQAKQAqAFwAbgAgACAAIAAgACAAIAAgACAAKABWAEEATABVAEUAKABtAGEAeABQAEUAVABBAHIAcgBhAHkAKQBcAHUAMAAwADMAZQA9AG0AYQBwAF8AcABlAHQAKQAsAFwAbgAgACAAIAAgACAAIAAgACAAVABBAEsARQAoAFwAbgAgACAAIAAgACAAIAAgACAAIAAgACAAIABGAEkATABUAEUAUgAoAGMAbABpAG0AYQB0AGUAWgBvAG4AZQBBAHIAcgBhAHkALABtAGEAcwBrACwAIABcACIATgBvACAAbQBhAHQAYwBoAFwAIgApACwAXABuACAAIAAgACAAIAAgACAAIAAgACAAIAAgADEAXABuACAAIAAgACAAIAAgACAAIAApAFwAbgAgACAAIAAgACkAXABuACkAOwBcAG4AXABuAFUAdABpAGwAaQB0AHkAXwBMAG8AbwBrAHUAcABJAHQAZQBtAEYAcgBvAG0ATQBpAG4ATQBhAHgAXABuAD0ATABBAE0AQgBEAEEAKABcAG4AIAAgACAAIABMAG8AbwBrAHUAcABWAGEAbAB1AGUALAAgAE0AaQBuAEEAcgByAGEAeQAsACAATQBhAHgAQQByAHIAYQB5ACwAIABJAHQAZQBtAEEAcgByAGEAeQAsAFwAbgAgACAAIAAgAEwARQBUACgAXABuACAAIAAgACAAIAAgACAAIABtAGEAcwBrACwAXABuACAAIAAgACAAIAAgACAAIAAoAFYAQQBMAFUARQAoAE0AaQBuAEEAcgByAGEAeQApAFwAdQAwADAAMwBjAD0ATABvAG8AawB1AHAAVgBhAGwAdQBlACkAKgBcAG4AIAAgACAAIAAgACAAIAAgACgAVgBBAEwAVQBFACgATQBhAHgAQQByAHIAYQB5ACkAXAB1ADAAMAAzAGU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FwAdQAwADAAMwBjACAAUwApACwAXABuACAAIAAgACAAIAAgACAAIABsAGEAcwB0AFkAZQBhAHIALAB5AGIALQAoAEQAQQBUAEUAKAB5AGIALABtACwAZAApAFwAdQAwADAAMwBl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BcAHUAMAAwADIANwB0ACAAbwB2AGUAcgBsAGEAcAA7ACAAbQBvAHYAZQAgAHQAbwAgAG4AZQB4AHQAIAB5AGUAYQByACoALwBcAG4AIAAgACAAIAAgACAAIAAgAGYAaQByAHMAdABZAGUAYQByACwAeQBhACsAKABQAGUAcgBpAG8AZABFAG4AZAAoAEQAQQBUAEUAKAB5AGEALABtACwAZAApACkAXAB1ADAAMAAzAGMAUwApACwAIAAvACoAaQBmACAAdABoAGUAIABhAG4AYwBoAG8AcgAgAGYAbwByACAAeQBiACAAcwB0AGEAcgB0AHMAIABhAGYAdABlAHIAIABFACwAaQB0ACAAYwBhAG4AXAB1ADAAMAAyADcAdAAgAG8AdgBlAHIAbABhAHAAOwAgAG0AbwB2AGUAIAB0AG8AIABwAHIAZQB2AGkAbwB1AHMAIAB5AGUAYQByACoALwBcAG4AIAAgACAAIAAgACAAIAAgAGwAYQBzAHQAWQBlAGEAcgAsAHkAYgAtACgARABBAFQARQAoAHkAYgAsAG0ALABkACkAXAB1ADAAMAAzAGU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FwAdQAwADAAMgA2ACAAXAAiACAAdABvACAAXAAiACAAXAB1ADAAMAAyADYAIABlAG4AZABzAFQAZQB4AHQAIABcAHUAMAAwADIAN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VAHQAaQBsAGkAdAB5AF8AQwBvAG4AdgBlAHIAdABTAHQAYQB0AGUAQwBvAG0AbQBvAG4ATgBhAG0AZQBUAG8AQQBiAGIAcgBlAHYAaQBhAHQAaQBvAG4AXABuAD0ATABBAE0AQgBEAEEAKABcAG4AIAAgACAAIABTAHQAYQB0AGUAQwBvAG0AbQBvAG4ATgBhAG0AZQAsAFwAbgAgACAAIAAgAFMAdABhAHQAZQBDAG8AbQBtAG8AbgBOAGEAbQBlAEEAcgByAGEAeQAsACAAUwB0AGEAdABlAEEAYgBiAHIAZQB2AGkAYQB0AGkAbwBuAEEAcgByAGEAeQAsAFwAbgAgACAAIAAgAFgATABPAE8ASwBVAFAAKABTAHQAYQB0AGUAQwBvAG0AbQBvAG4ATgBhAG0AZQAsACAAUwB0AGEAdABlAEMAbwBtAG0AbwBuAE4AYQBtAGUAQQByAHIAYQB5ACwAIABTAHQAYQB0AGUAQQBiAGIAcgBlAHYAaQBhAHQAaQBvAG4AQQByAHIAYQB5ACwAIABcACIAXAAiACkAXABuACkAOwBcAG4AXABuAFUAdABpAGwAaQB0AHkAXwBTAG8AdQByAGMAZQBIAHkAcABlAHIAbABpAG4Aaw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dQAwADAAMgA3AFwAIgAgAFwAdQAwADAAMgA2ACAAcwBoACAAXAB1ADAAMAAyADYAIABcACIAXAB1ADAAMAAyADcAIQBcACIAIABcAHUAMAAwADIAN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XAB1ADAAMAAyADYAIABhAGQAZAByAFwAbgAgACAAKQBcAG4AKQA7AFwAbgBcAG4AVQB0AGkAbABpAHQAeQBfAEQAaQBzAHAAbABhAHkAQQByAGcAdQBtAGUAbgB0AHMAXwAxAF8AMgBcAG4APQBMAEEATQBCAEQAQQAoAFwAbgAgACAAIAAgAEEAcgBnAHUAbQBlAG4AdABzAEEAcgByAGEAeQAsAFwAbgAgACAAIAAgAEMASABPAE8AUwBFAEMATwBMAFMAKABBAHIAZwB1AG0AZQBuAHQAcwBBAHIAcgBhAHkALAAgADEALAAgADIAKQBcAG4AKQA7AFwAbgBcAG4AVQB0AGkAbABpAHQAeQBfAEQAaQBzAHAAbABhAHkAQQByAGcAdQBtAGUAbgB0AHMAXwAzAF8ANABcAG4APQBMAEEATQBCAEQAQQAoAFwAbgAgACAAIAAgAEEAcgBnAHUAbQBlAG4AdABzAEEAcgByAGEAeQAsAFwAbgAgACAAIAAgAEMASABPAE8AUwBFAEMATwBMAFMAKABBAHIAZwB1AG0AZQBuAHQAcwBBAHIAcgBhAHkALAAgADMALAAgADQAKQBcAG4AKQA7AFwAbgBcAG4AQwBvAG0AbQBvAG4AXwBHAGUAdABNAEMARgBUAGUAbQBwAGUAcgBhAHQAdQByAGUAWgBvAG4AZQBcAG4APQBMAEEATQBCAEQAQQAoAFwAbgAgACAAIAAgAFQAZQBtAHAAZQByAGEAdAB1AHIAZQAsACAATQBNAFMALAAgAFQAZQBtAHAAZQByAGEAdAB1AHIAZQBBAHIAcgBhAHkALAAgAE0ATQBTAEEAcgByAGEAeQAsACAAUgBlAHQAdQByAG4AQQByAHIAYQB5ACwAXABuACAAIAAgACAAWABMAE8ATwBLAFUAUAAoAFwAbgAgACAAIAAgACAAIAAgACAATQBFAEQASQBBAE4AKABcAG4AIAAgACAAIAAgACAAIAAgACAAIAAgACAAUgBPAFUATgBEACgAVABlAG0AcABlAHIAYQB0AHUAcgBlACwAIAAwACk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TAG8AdQByAGMAZQBEAGEAdABhAF8ATwB0AGgAZQByAEwAaQB2AGUAcwB0AG8AYwBrACIALAAiAHQAZQB4AHQAIgA6ACIAXABuAC8AKgAgAFwAbgAtAC0ALQAtAC0ALQAtAC0ALQAtAC0ALQAtAC0ALQAtAC0ALQAtAC0ALQAtAC0ALQAtAC0ALQAtAC0ALQAtAC0ALQAtAC0ALQAtAC0AXABuAFMAbwB1AHIAYwBlAEQAYQB0AGEAXwBPAHQAaABlAHIATABpAHYAZQBzAHQAbwBjAGsAXwBFAG4AdABlAHIAaQBjAEYAZQByAG0AZQBuAHQAYQB0AGkAbwBuAEUAbQBpAHMAcwBpAG8AbgBGAGEAYwB0AG8AcgBcAG4AVABhAGIAbABlACAAQQAuADEALgA1AC4AMQA6ACAATwB0AGgAZQByACAATABpAHYAZQBzAHQAbwBjAGsAIAAtACAARQBuAHQAZQByAGkAYwAgAGYAZQByAG0AZQBuAHQAYQB0AGkAbwBuACAAZQBtAGkAcwBzAGkAbwBuACAAZgBhAGMAdABvAHIAIABmAG8AcgAgAGUAYQBjAGgAIABvAHQAaABlAHIAIABsAGkAdgBlAHMAdABvAGMAawAgAHQAeQBwAGUAIAAoAGsAZwAgAEMASAA0AC8AaABlAGEAZAAvAHkAZQBhAHIAKQAgACgATQBqACkAXABuAC0ALQAtAC0ALQAtAC0ALQAtAC0ALQAtAC0ALQAtAC0ALQAtAC0ALQAtAC0ALQAtAC0ALQAtAC0ALQAtAC0ALQAtAC0ALQAtAC0ALQBcAG4AKgAvAFwAbgBcAG4AUwBvAHUAcgBjAGUARABhAHQAYQBfAE8AdABoAGUAcgBMAGkAdgBlAHMAdABvAGMAawBfAEUAbgB0AGUAcgBpAGMARgBlAHIAbQBlAG4AdABhAHQAaQBvAG4ARQBtAGkAcwBzAGkAbwBuAEYAYQBjAHQAbwByAF8AVABpAHQAbABlAFwAbgAgACAAPQBMAEEATQBCAEQAQQAoAFwAIgBPAHQAaABlAHIAIABMAGkAdgBlAHMAdABvAGMAawAgAC0AIABFAG4AdABlAHIAaQBjACAAZgBlAHIAbQBlAG4AdABhAHQAaQBvAG4AIABlAG0AaQBzAHMAaQBvAG4AIABmAGEAYwB0AG8AcgAgAGYAbwByACAAZQBhAGMAaAAgAG8AdABoAGUAcgAgAGwAaQB2AGUAcwB0AG8AYwBrACAAdAB5AHAAZQBcACIAKQA7AFwAbgBcAG4AUwBvAHUAcgBjAGUARABhAHQAYQBfAE8AdABoAGUAcgBMAGkAdgBlAHMAdABvAGMAawBfAEUAbgB0AGUAcgBpAGMARgBlAHIAbQBlAG4AdABhAHQAaQBvAG4ARQBtAGkAcwBzAGkAbwBuAEYAYQBjAHQAbwByAF8AVgBhAHIAaQBhAGIAbABlAFwAbgAgACAAPQBMAEEATQBCAEQAQQAoAFwAIgBNAGoAXAAiACkAOwBcAG4AXABuAFMAbwB1AHIAYwBlAEQAYQB0AGEAXwBPAHQAaABlAHIATABpAHYAZQBzAHQAbwBjAGsAXwBFAG4AdABlAHIAaQBjAEYAZQByAG0AZQBuAHQAYQB0AGkAbwBuAEUAbQBpAHMAcwBpAG8AbgBGAGEAYwB0AG8AcgBfAFUAbgBpAHQAXABuACAAIAA9AEwAQQBNAEIARABBACgAXAAiAGsAZwAgAEMASAA0ACAALwAgAGgAZQBhAGQAIAAvACAAeQBlAGEAcgBcACIAKQA7AFwAbgBcAG4AUwBvAHUAcgBjAGUARABhAHQAYQBfAE8AdABoAGUAcgBMAGkAdgBlAHMAdABvAGMAawBfAEUAbgB0AGUAcgBpAGMARgBlAHIAbQBlAG4AdABhAHQAaQBvAG4ARQBtAGkAcwBzAGkAbwBuAEYAYQBjAHQAbwByAF8AUwBvAHUAcgBjAGUAXABuACAAIAA9AEwAQQBNAEIARABBACgAXAAiAFYARQBFAFIARwAgADIAMAAyADYAOgAgAFQAYQBiAGwAZQAgAEEALgAxAC4ANQAuADEAXAAiACkAOwBcAG4AXABuAFMAbwB1AHIAYwBlAEQAYQB0AGEAXwBPAHQAaABlAHIATABpAHYAZQBzAHQAbwBjAGsAXwBFAG4AdABlAHIAaQBjAEYAZQByAG0AZQBuAHQAYQB0AGkAbwBuAEUAbQBpAHMAcwBpAG8AbgBGAGEAYwB0AG8AcgBfAFYAYQByAGkAYQB0AGkAbwBuAFwAbgAgACAAPQBMAEEATQBCAEQAQQAoAFwAIgBcACIAKQA7AFwAbgBcAG4AUwBvAHUAcgBjAGUARABhAHQAYQBfAE8AdABoAGUAcgBMAGkAdgBlAHMAdABvAGMAawBfAEUAbgB0AGUAcgBpAGMARgBlAHIAbQBlAG4AdABhAHQAaQBvAG4ARQBtAGkAcwBzAGkAbwBuAEYAYQBjAHQAbwByAF8ARABhAHQAYQBcAG4AIAAgAD0ATABBAE0AQgBEAEEAKABcAG4AIAAgACAAIABNAEEASwBFAEEAUgBSAEEAWQAoADkALAAgADIALABcAG4AIAAgACAAIAAgACAATABBAE0AQgBEAEEAKAByACwAYwAsAFwAbgAgACAAIAAgACAAIAAgACAASQBOAEQARQBYACgAewBcAG4AIAAgACAAIAAgACAAIAAgACAAIABcACIATwB0AGgAZQByACAATABpAHYAZQBzAHQAbwBjAGsAIABUAHkAcABlAFwAIgAsACAAXAAiAE0AagBcACIAOwBcAG4AIAAgACAAIAAgACAAIAAgACAAIABcACIAQgB1AGYAZgBhAGwAbwBcACIALAAgADYAOAA7AFwAbgAgACAAIAAgACAAIAAgACAAIAAgAFwAIgBHAG8AYQB0AHMAXAAiACwAIAA1ADsAXABuACAAIAAgACAAIAAgACAAIAAgACAAXAAiAEQAZQBlAHIAXAAiACwAIAAyADAAOwBcAG4AIAAgACAAIAAgACAAIAAgACAAIABcACIAQwBhAG0AZQBsAHMAXAAiACwAIAA0ADYAOwBcAG4AIAAgACAAIAAgACAAIAAgACAAIABcACIAQQBsAHAAYQBjAGEAcwBcACIALAAgADgAOwBcAG4AIAAgACAAIAAgACAAIAAgACAAIABcACIASABvAHIAcwBlAHMAXAAiACwAIAAxADgAOwBcAG4AIAAgACAAIAAgACAAIAAgACAAIABcACIATQB1AGwAZQBzAC8AYQBzAHMAZQBzAFwAIgAsACAAMQAwADsAXABuACAAIAAgACAAIAAgACAAIAAgACAAXAAiAEUAbQB1AHMALwBvAHMAdAByAGkAYwBoAGUAcwBcACIALAAgADUAXABuACAAIAAgACAAIAAgACAAIAB9ACwAIAByACwAIABjACkAXABuACAAIAAgACAAIAAgACkAXABuACAAIAAgACAAKQBcAG4AIAAgACkAOwBcAG4AXABuAFwAbgAvACoAIABcAG4ALQAtAC0ALQAtAC0ALQAtAC0ALQAtAC0ALQAtAC0ALQAtAC0ALQAtAC0ALQAtAC0ALQAtAC0ALQAtAC0ALQAtAC0ALQAtAC0ALQAtAFwAbgBTAG8AdQByAGMAZQBEAGEAdABhAF8ATwB0AGgAZQByAEwAaQB2AGUAcwB0AG8AYwBrAF8AVgBvAGwAYQB0AGkAbABlAFMAbwBsAGkAZABzAFAAcgBvAGQAdQBjAGUAZABcAG4AVABhAGIAbABlACAAQQAuADEALgA1AC4AMgA6ACAATwB0AGgAZQByACAATABpAHYAZQBzAHQAbwBjAGsAIAAtACAAVgBvAGwAYQB0AGkAbABlACAAcwBvAGwAaQBkAHMAIABwAHIAbwBkAHUAYwBlAGQAIABiAHkAIABlAGEAYwBoACAAbwB0AGgAZQByACAAbABpAHYAZQBzAHQAbwBjAGsAIAB0AHkAcABlACAAKABrAGcAIABWAFMALwBoAGUAYQBkAC8AZABhAHkAKQAgACgAVgBTAGoAKQBcAG4ALQAtAC0ALQAtAC0ALQAtAC0ALQAtAC0ALQAtAC0ALQAtAC0ALQAtAC0ALQAtAC0ALQAtAC0ALQAtAC0ALQAtAC0ALQAtAC0ALQAtAFwAbgAqAC8AXABuAFwAbgBTAG8AdQByAGMAZQBEAGEAdABhAF8ATwB0AGgAZQByAEwAaQB2AGUAcwB0AG8AYwBrAF8AVgBvAGwAYQB0AGkAbABlAFMAbwBsAGkAZABzAFAAcgBvAGQAdQBjAGUAZABfAFQAaQB0AGwAZQBcAG4AIAAgAD0ATABBAE0AQgBEAEEAKABcACIATwB0AGgAZQByACAATABpAHYAZQBzAHQAbwBjAGsAIAAtACAAVgBvAGwAYQB0AGkAbABlACAAcwBvAGwAaQBkAHMAIABwAHIAbwBkAHUAYwBlAGQAIABiAHkAIABlAGEAYwBoACAAbwB0AGgAZQByACAAbABpAHYAZQBzAHQAbwBjAGsAIAB0AHkAcABlAFwAIgApADsAXABuAFwAbgBTAG8AdQByAGMAZQBEAGEAdABhAF8ATwB0AGgAZQByAEwAaQB2AGUAcwB0AG8AYwBrAF8AVgBvAGwAYQB0AGkAbABlAFMAbwBsAGkAZABzAFAAcgBvAGQAdQBjAGUAZABfAFYAYQByAGkAYQBiAGwAZQBcAG4AIAAgAD0ATABBAE0AQgBEAEEAKABcACIAVgBTAGoAXAAiACkAOwBcAG4AXABuAFMAbwB1AHIAYwBlAEQAYQB0AGEAXwBPAHQAaABlAHIATABpAHYAZQBzAHQAbwBjAGsAXwBWAG8AbABhAHQAaQBsAGUAUwBvAGwAaQBkAHMAUAByAG8AZAB1AGMAZQBkAF8AVQBuAGkAdABcAG4AIAAgAD0ATABBAE0AQgBEAEEAKABcACIAawBnACAAVgBTACAALwAgAGgAZQBhAGQAIAAvACAAZABhAHkAXAAiACkAOwBcAG4AXABuAFMAbwB1AHIAYwBlAEQAYQB0AGEAXwBPAHQAaABlAHIATABpAHYAZQBzAHQAbwBjAGsAXwBWAG8AbABhAHQAaQBsAGUAUwBvAGwAaQBkAHMAUAByAG8AZAB1AGMAZQBkAF8AUwBvAHUAcgBjAGUAXABuACAAIAA9AEwAQQBNAEIARABBACgAXAAiAFYARQBFAFIARwAgADIAMAAyADYAOgAgAFQAYQBiAGwAZQAgAEEALgAxAC4ANQAuADIAXAAiACkAOwBcAG4AXABuAFMAbwB1AHIAYwBlAEQAYQB0AGEAXwBPAHQAaABlAHIATABpAHYAZQBzAHQAbwBjAGsAXwBWAG8AbABhAHQAaQBsAGUAUwBvAGwAaQBkAHMAUAByAG8AZAB1AGMAZQBkAF8AVgBhAHIAaQBhAHQAaQBvAG4AXABuACAAIAA9AEwAQQBNAEIARABBACgAXAAiAFwAIgApADsAXABuAFwAbgBTAG8AdQByAGMAZQBEAGEAdABhAF8ATwB0AGgAZQByAEwAaQB2AGUAcwB0AG8AYwBrAF8AVgBvAGwAYQB0AGkAbABlAFMAbwBsAGkAZABzAFAAcgBvAGQAdQBjAGUAZABfAEQAYQB0AGEAXABuACAAIAA9AEwAQQBNAEIARABBACgAXABuACAAIAAgACAATQBBAEsARQBBAFIAUgBBAFkAKAA5ACwAIAAyACwAXABuACAAIAAgACAAIAAgAEwAQQBNAEIARABBACgAcgAsAGMALABcAG4AIAAgACAAIAAgACAAIAAgAEkATgBEAEUAWAAoAHsAXABuACAAIAAgACAAIAAgACAAIAAgACAAXAAiAE8AdABoAGUAcgAgAEwAaQB2AGUAcwB0AG8AYwBrACAAVAB5AHAAZQBcACIALAAgAFwAIgBWAFMAagBcACIAOwBcAG4AIAAgACAAIAAgACAAIAAgACAAIABcACIAQgB1AGYAZgBhAGwAbwBcACIALAAgADIALgA3ADMAOwBcAG4AIAAgACAAIAAgACAAIAAgACAAIABcACIARwBvAGEAdABzAFwAIgAsACAAMAAuADMANAA7AFwAbgAgACAAIAAgACAAIAAgACAAIAAgAFwAIgBEAGUAZQByAFwAIgAsACAAMAAuADkAMQA7AFwAbgAgACAAIAAgACAAIAAgACAAIAAgAFwAIgBDAGEAbQBlAGwAcwBcACIALAAgADIALgA3ADMAOwBcAG4AIAAgACAAIAAgACAAIAAgACAAIABcACIAQQBsAHAAYQBjAGEAcwBcACIALAAgADAALgAzADQAOwBcAG4AIAAgACAAIAAgACAAIAAgACAAIABcACIASABvAHIAcwBlAHMAXAAiACwAIAAyAC4ANwAzADsAXABuACAAIAAgACAAIAAgACAAIAAgACAAXAAiAE0AdQBsAGUAcwAvAGEAcwBzAGUAcwBcACIALAAgADAALgA5ADEAOwBcAG4AIAAgACAAIAAgACAAIAAgACAAIABcACIARQBtAHUAcwAvAG8AcwB0AHIAaQBjAGgAZQBzAFwAIgAsACAAMAAuADMANABcAG4AIAAgACAAIAAgACAAIAAgAH0ALAAgAHIALAAgAGMAKQBcAG4AIAAgACAAIAAgACAAKQBcAG4AIAAgACAAIAApAFwAbgAgACAAKQA7AFwAbgBcAG4AXABuAC8AKgAgAFwAbgAtAC0ALQAtAC0ALQAtAC0ALQAtAC0ALQAtAC0ALQAtAC0ALQAtAC0ALQAtAC0ALQAtAC0ALQAtAC0ALQAtAC0ALQAtAC0ALQAtAC0AXABuAFMAbwB1AHIAYwBlAEQAYQB0AGEAXwBPAHQAaABlAHIATABpAHYAZQBzAHQAbwBjAGsAXwBOAGkAdAByAG8AZwBlAG4ARQB4AGMAcgBlAHQAZQBkAFwAbgBUAGEAYgBsAGUAIABBAC4AMQAuADUALgAzADoAIABPAHQAaABlAHIAIABMAGkAdgBlAHMAdABvAGMAawAgAC0AIABOAGkAdAByAG8AZwBlAG4AIABlAHgAYwByAGUAdABlAGQAIABwAGUAcgAgAGwAaQB2AGUAcwB0AG8AYwBrACAAdAB5AHAAZQAgACgAawBnACAATgAyAE8ALwBoAGUAYQBkAC8AeQBlAGEAcgApACAAKABOAEUAagApAFwAbgAtAC0ALQAtAC0ALQAtAC0ALQAtAC0ALQAtAC0ALQAtAC0ALQAtAC0ALQAtAC0ALQAtAC0ALQAtAC0ALQAtAC0ALQAtAC0ALQAtAC0AXABuACoALwBcAG4AXABuAFMAbwB1AHIAYwBlAEQAYQB0AGEAXwBPAHQAaABlAHIATABpAHYAZQBzAHQAbwBjAGsAXwBOAGkAdAByAG8AZwBlAG4ARQB4AGMAcgBlAHQAZQBkAF8AVABpAHQAbABlAFwAbgAgACAAPQBMAEEATQBCAEQAQQAoAFwAIgBPAHQAaABlAHIAIABMAGkAdgBlAHMAdABvAGMAawAgAC0AIABOAGkAdAByAG8AZwBlAG4AIABlAHgAYwByAGUAdABlAGQAIABwAGUAcgAgAGwAaQB2AGUAcwB0AG8AYwBrACAAdAB5AHAAZQBcACIAKQA7AFwAbgBcAG4AUwBvAHUAcgBjAGUARABhAHQAYQBfAE8AdABoAGUAcgBMAGkAdgBlAHMAdABvAGMAawBfAE4AaQB0AHIAbwBnAGUAbgBFAHgAYwByAGUAdABlAGQAXwBWAGEAcgBpAGEAYgBsAGUAXABuACAAIAA9AEwAQQBNAEIARABBACgAXAAiAE4ARQBqAFwAIgApADsAXABuAFwAbgBTAG8AdQByAGMAZQBEAGEAdABhAF8ATwB0AGgAZQByAEwAaQB2AGUAcwB0AG8AYwBrAF8ATgBpAHQAcgBvAGcAZQBuAEUAeABjAHIAZQB0AGUAZABfAFUAbgBpAHQAXABuACAAIAA9AEwAQQBNAEIARABBACgAXAAiAGsAZwAgAE4AMgBPACAALwAgAGgAZQBhAGQAIAAvACAAeQBlAGEAcgBcACIAKQA7AFwAbgBcAG4AUwBvAHUAcgBjAGUARABhAHQAYQBfAE8AdABoAGUAcgBMAGkAdgBlAHMAdABvAGMAawBfAE4AaQB0AHIAbwBnAGUAbgBFAHgAYwByAGUAdABlAGQAXwBTAG8AdQByAGMAZQBcAG4AIAAgAD0ATABBAE0AQgBEAEEAKABcACIAVgBFAEUAUgBHACAAMgAwADIANgA6ACAAVABhAGIAbABlACAAQQAuADEALgA1AC4AMwBcACIAKQA7AFwAbgBcAG4AUwBvAHUAcgBjAGUARABhAHQAYQBfAE8AdABoAGUAcgBMAGkAdgBlAHMAdABvAGMAawBfAE4AaQB0AHIAbwBnAGUAbgBFAHgAYwByAGUAdABlAGQAXwBWAGEAcgBpAGEAdABpAG8AbgBcAG4AIAAgAD0ATABBAE0AQgBEAEEAKABcACIAXAAiACkAOwBcAG4AXABuAFMAbwB1AHIAYwBlAEQAYQB0AGEAXwBPAHQAaABlAHIATABpAHYAZQBzAHQAbwBjAGsAXwBOAGkAdAByAG8AZwBlAG4ARQB4AGMAcgBlAHQAZQBkAF8ARABhAHQAYQBcAG4AIAAgAD0ATABBAE0AQgBEAEEAKABcAG4AIAAgACAAIABNAEEASwBFAEEAUgBSAEEAWQAoADkALAAgADIALABcAG4AIAAgACAAIAAgACAATABBAE0AQgBEAEEAKAByACwAYwAsAFwAbgAgACAAIAAgACAAIAAgACAASQBOAEQARQBYACgAewBcAG4AIAAgACAAIAAgACAAIAAgACAAIABcACIATwB0AGgAZQByACAATABpAHYAZQBzAHQAbwBjAGsAIABUAHkAcABlAFwAIgAsACAAXAAiAE4ARQBqAFwAIgA7AFwAbgAgACAAIAAgACAAIAAgACAAIAAgAFwAIgBCAHUAZgBmAGEAbABvAFwAIgAsACAAMwA5AC4ANQA7AFwAbgAgACAAIAAgACAAIAAgACAAIAAgAFwAIgBHAG8AYQB0AHMAXAAiACwAIAA3AC4AMAA7AFwAbgAgACAAIAAgACAAIAAgACAAIAAgAFwAIgBEAGUAZQByAFwAIgAsACAAMQAzAC4AMgA7AFwAbgAgACAAIAAgACAAIAAgACAAIAAgAFwAIgBDAGEAbQBlAGwAcwBcACIALAAgADMAOQAuADUAOwBcAG4AIAAgACAAIAAgACAAIAAgACAAIABcACIAQQBsAHAAYQBjAGEAcwBcACIALAAgADcALgAwADsAXABuACAAIAAgACAAIAAgACAAIAAgACAAXAAiAEgAbwByAHMAZQBzAFwAIgAsACAAMwA5AC4ANQA7AFwAbgAgACAAIAAgACAAIAAgACAAIAAgAFwAIgBNAHUAbABlAHMALwBhAHMAcwBlAHMAXAAiACwAIAAxADMALgAyADsAXABuACAAIAAgACAAIAAgACAAIAAgACAAXAAiAEUAbQB1AHMALwBvAHMAdAByAGkAYwBoAGUAcwBcACIALAAgADcALgAwAFwAbgAgACAAIAAgACAAIAAgACAAfQAsACAAcgAsACAAYwApAFwAbgAgACAAIAAgACAAIAApAFwAbgAgACAAIAAgACkAXABuACAAIAApADsAXABuAFwAbgBcAG4ALwAqACAAXABuAC0ALQAtAC0ALQAtAC0ALQAtAC0ALQAtAC0ALQAtAC0ALQAtAC0ALQAtAC0ALQAtAC0ALQAtAC0ALQAtAC0ALQAtAC0ALQAtAC0ALQBcAG4AUwBvAHUAcgBjAGUARABhAHQAYQBfAE8AdABoAGUAcgBMAGkAdgBlAHMAdABvAGMAawBfAEEAdgBlAHIAYQBnAGUATABpAHYAZQB3AGUAaQBnAGgAdABcAG4AVABhAGIAbABlACAAQQAuADEALgA1AC4ANAA6ACAATwB0AGgAZQByACAATABpAHYAZQBzAHQAbwBjAGsAIAAtACAAQQB2AGUAcgBhAGcAZQAgAEwAaQB2AGUAdwBlAGkAZwBoAHQAcwAgACgAVwBjAG8AKQAgACgAawBnACkAIABcAG4ALQAtAC0ALQAtAC0ALQAtAC0ALQAtAC0ALQAtAC0ALQAtAC0ALQAtAC0ALQAtAC0ALQAtAC0ALQAtAC0ALQAtAC0ALQAtAC0ALQAtAFwAbgAqAC8AXABuAFwAbgBTAG8AdQByAGMAZQBEAGEAdABhAF8ATwB0AGgAZQByAEwAaQB2AGUAcwB0AG8AYwBrAF8AQQB2AGUAcgBhAGcAZQBMAGkAdgBlAHcAZQBpAGcAaAB0AF8AVABpAHQAbABlAFwAbgAgACAAPQBMAEEATQBCAEQAQQAoAFwAIgBPAHQAaABlAHIAIABMAGkAdgBlAHMAdABvAGMAawAgAC0AIABBAHYAZQByAGEAZwBlACAATABpAHYAZQB3AGUAaQBnAGgAdABzAFwAIgApADsAXABuAFwAbgBTAG8AdQByAGMAZQBEAGEAdABhAF8ATwB0AGgAZQByAEwAaQB2AGUAcwB0AG8AYwBrAF8AQQB2AGUAcgBhAGcAZQBMAGkAdgBlAHcAZQBpAGcAaAB0AF8AVgBhAHIAaQBhAGIAbABlAFwAbgAgACAAPQBMAEEATQBCAEQAQQAoAFwAIgBXAGMAbwBcACIAKQA7AFwAbgBcAG4AUwBvAHUAcgBjAGUARABhAHQAYQBfAE8AdABoAGUAcgBMAGkAdgBlAHMAdABvAGMAawBfAEEAdgBlAHIAYQBnAGUATABpAHYAZQB3AGUAaQBnAGgAdABfAFUAbgBpAHQAXABuACAAIAA9AEwAQQBNAEIARABBACgAXAAiAGsAZwBcACIAKQA7AFwAbgBcAG4AUwBvAHUAcgBjAGUARABhAHQAYQBfAE8AdABoAGUAcgBMAGkAdgBlAHMAdABvAGMAawBfAEEAdgBlAHIAYQBnAGUATABpAHYAZQB3AGUAaQBnAGgAdABfAFMAbwB1AHIAYwBlAFwAbgAgACAAPQBMAEEATQBCAEQAQQAoAFwAIgBWAEUARQBSAEcAIAAyADAAMgA2ADoAIABUAGEAYgBsAGUAIABBAC4AMQAuADUALgA0AFwAIgApADsAXABuAFwAbgBTAG8AdQByAGMAZQBEAGEAdABhAF8ATwB0AGgAZQByAEwAaQB2AGUAcwB0AG8AYwBrAF8AQQB2AGUAcgBhAGcAZQBMAGkAdgBlAHcAZQBpAGcAaAB0AF8AVgBhAHIAaQBhAHQAaQBvAG4AXABuACAAIAA9AEwAQQBNAEIARABBACgAXAAiAFwAIgApADsAXABuAFwAbgBTAG8AdQByAGMAZQBEAGEAdABhAF8ATwB0AGgAZQByAEwAaQB2AGUAcwB0AG8AYwBrAF8AQQB2AGUAcgBhAGcAZQBMAGkAdgBlAHcAZQBpAGcAaAB0AF8ARABhAHQAYQBcAG4AIAAgAD0ATABBAE0AQgBEAEEAKABcAG4AIAAgACAAIABNAEEASwBFAEEAUgBSAEEAWQAoADEAMQAsACAAMwAsAFwAbgAgACAAIAAgACAAIABMAEEATQBCAEQAQQAoAHIALABjACwAXABuACAAIAAgACAAIAAgACAAIABJAE4ARABFAFgAKAB7AFwAbgAgACAAIAAgACAAIAAgACAAIAAgAFwAIgBPAHQAaABlAHIAIABMAGkAdgBlAHMAdABvAGMAawAgAFQAeQBwAGUAIABqAFwAIgAsACAAXAAiAEEAdgBlAHIAYQBnAGUAIABMAGkAdgBlAHcAZQBpAGcAaAB0AFwAIgAsACAAXAAiAEEAdgBlAHIAYQBnAGUAIABMAGkAdgBlAHcAZQBpAGcAaAB0AFwAIgA7AFwAbgAgACAAIAAgACAAIAAgACAAIAAgAFwAIgBCAHUAZgBmAGEAbABvAFwAIgAsACAAMwAzADYALAAgAFwAIgAtAFwAIgA7AFwAbgAgACAAIAAgACAAIAAgACAAIAAgAFwAIgBHAG8AYQB0AHMAXAAiACwAIAAzADMALAAgAFwAIgAyADgAawBnACAALQAgAGwAbwB3ACAAcAByAG8AZAB1AGMAdABpAHYAaQB0AHkAIABzAHkAcwB0AGUAbQBzAFwAIgA7AFwAbgAgACAAIAAgACAAIAAgACAAIAAgAFwAIgBHAG8AYQB0AHMAXAAiACwAIAAzADMALAAgAFwAIgA1ADAAawBnACAALQAgAGgAaQBnAGgAIABwAHIAbwBkAHUAYwB0AGkAdgBpAHQAeQAgAHMAeQBzAHQAZQBtAHMAXAAiADsAXABuACAAIAAgACAAIAAgACAAIAAgACAAXAAiAEQAZQBlAHIAXAAiACwAIAAxADIAMAAsACAAMQAyADAAOwBcAG4AIAAgACAAIAAgACAAIAAgACAAIABcACIAQwBhAG0AZQBsAHMAXAAiACwAIAAyADEANwAsACAANQA3ADAAOwBcAG4AIAAgACAAIAAgACAAIAAgACAAIABcACIAQQBsAHAAYQBjAGEAcwBcACIALAAgAFwAIgAtAFwAIgAsACAANgA1ADsAXABuACAAIAAgACAAIAAgACAAIAAgACAAXAAiAEgAbwByAHMAZQBzAFwAIgAsACAAMwA3ADcALAAgADUANQAwADsAXABuACAAIAAgACAAIAAgACAAIAAgACAAXAAiAE0AdQBsAGUAcwAvAGEAcwBzAGUAcwBcACIALAAgADEAMwAwACwAIAAyADQANQA7AFwAbgAgACAAIAAgACAAIAAgACAAIAAgAFwAIgBFAG0AdQBzAC8AbwBzAHQAcgBpAGMAaABlAHMAXAAiACwAIAAxADIAMAAsACAAMQAyADAAOwBcAG4AIAAgACAAIAAgACAAIAAgACAAIABcACIAUgBlAGYAZQByAGUAbgBjAGUAXAAiACwAIABcACIASQBQAEMAQwAgADIAMAAxADkAIABUAGEAYgBsAGUAIAAxADAAQQAuADUAIABbADIAXQBcACIALAAgAFwAIgBJAFAAQwBDACAAMgAwADEAOQAgAFQAYQBiAGwAZQAgADEAMAAuADEAMAAgAFsAMg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PAHQAaABlAHIATABpAHYAZQBzAHQAbwBjAGsAXwBGAHIAYQBjAHQAaQBvAG4AVwBhAHMAdABlAEkAbgBNAE0AUwBcAG4AVABhAGIAbABlACAAQQAuADEALgA1AC4ANQA6ACAATwB0AGgAZQByACAATABpAHYAZQBzAHQAbwBjAGsAIAAtACAARgByAGEAYwB0AGkAbwBuACAAbwBmACAAdwBhAHMAdABlACAAaQBuACAAZQBhAGMAaAAgAG0AYQBuAHUAcgBlACAAbQBhAG4AYQBnAGUAbQBlAG4AdAAgAHMAeQBzAHQAZQBtACAAKABmAHIAYQBjAHQAaQBvAG4AKQAgACgATQBNAFMAbQApAFwAbgAtAC0ALQAtAC0ALQAtAC0ALQAtAC0ALQAtAC0ALQAtAC0ALQAtAC0ALQAtAC0ALQAtAC0ALQAtAC0ALQAtAC0ALQAtAC0ALQAtAC0AXABuACoALwBcAG4AXABuAFMAbwB1AHIAYwBlAEQAYQB0AGEAXwBPAHQAaABlAHIATABpAHYAZQBzAHQAbwBjAGsAXwBGAHIAYQBjAHQAaQBvAG4AVwBhAHMAdABlAEkAbgBNAE0AUwBfAFQAaQB0AGwAZQBcAG4AIAAgAD0ATABBAE0AQgBEAEEAKABcACIATwB0AGgAZQByACAATABpAHYAZQBzAHQAbwBjAGsAIAAtACAARgByAGEAYwB0AGkAbwBuACAAbwBmACAAdwBhAHMAdABlACAAaQBuACAAZQBhAGMAaAAgAG0AYQBuAHUAcgBlACAAbQBhAG4AYQBnAGUAbQBlAG4AdAAgAHMAeQBzAHQAZQBtAFwAIgApADsAXABuAFwAbgBTAG8AdQByAGMAZQBEAGEAdABhAF8ATwB0AGgAZQByAEwAaQB2AGUAcwB0AG8AYwBrAF8ARgByAGEAYwB0AGkAbwBuAFcAYQBzAHQAZQBJAG4ATQBNAFMAXwBWAGEAcgBpAGEAYgBsAGUAXABuACAAIAA9AEwAQQBNAEIARABBACgAXAAiAE0ATQBTAG0AXAAiACkAOwBcAG4AXABuAFMAbwB1AHIAYwBlAEQAYQB0AGEAXwBPAHQAaABlAHIATABpAHYAZQBzAHQAbwBjAGsAXwBGAHIAYQBjAHQAaQBvAG4AVwBhAHMAdABlAEkAbgBNAE0AUwBfAFUAbgBpAHQAXABuACAAIAA9AEwAQQBNAEIARABBACgAXAAiAGYAcgBhAGMAdABpAG8AbgBcACIAKQA7AFwAbgBcAG4AUwBvAHUAcgBjAGUARABhAHQAYQBfAE8AdABoAGUAcgBMAGkAdgBlAHMAdABvAGMAawBfAEYAcgBhAGMAdABpAG8AbgBXAGEAcwB0AGUASQBuAE0ATQBTAF8AUwBvAHUAcgBjAGUAXABuACAAIAA9AEwAQQBNAEIARABBACgAXAAiAFYARQBFAFIARwAgADIAMAAyADYAOgAgAFQAYQBiAGwAZQAgAEEALgAxAC4ANQAuADUAXAAiACkAOwBcAG4AXABuAFMAbwB1AHIAYwBlAEQAYQB0AGEAXwBPAHQAaABlAHIATABpAHYAZQBzAHQAbwBjAGsAXwBGAHIAYQBjAHQAaQBvAG4AVwBhAHMAdABlAEkAbgBNAE0AUwBfAFYAYQByAGkAYQB0AGkAbwBuAFwAbgAgACAAPQBMAEEATQBCAEQAQQAoAFwAIgBcACIAKQA7AFwAbgBcAG4AUwBvAHUAcgBjAGUARABhAHQAYQBfAE8AdABoAGUAcgBMAGkAdgBlAHMAdABvAGMAawBfAEYAcgBhAGMAdABpAG8AbgBXAGEAcwB0AGUASQBuAE0ATQBTAF8ARABhAHQAYQBcAG4AIAAgAD0ATABBAE0AQgBEAEEAKABcAG4AIAAgACAAIABNAEEASwBFAEEAUgBSAEEAWQAoADkALAAgADMALABcAG4AIAAgACAAIAAgACAATABBAE0AQgBEAEEAKAByACwAYwAsAFwAbgAgACAAIAAgACAAIAAgACAASQBOAEQARQBYACgAewBcAG4AIAAgACAAIAAgACAAIAAgACAAIABcACIAUwB0AGEAdABlAFwAIgAsACAAXAAiAFAAYQBzAHQAdQByAGUAIAByAGEAbgBnAGUAIABhAG4AZAAgAHAAYQBkAGQAbwBjAGsAXAAiACwAIABcACIAVQBuAGMAbwB2AGUAcgBlAGQAIABBAG4AYQBlAHIAbwBiAGkAYwAgAGwAYQBnAG8AbwBuAFwAIgA7AFwAbgAgACAAIAAgACAAIAAgACAAIAAgAFwAIgBBAEMAVABcACIALAAgACAAOQA5AC4ANgA2ACwAIAAgADAALgAzADQAOwBcAG4AIAAgACAAIAAgACAAIAAgACAAIABcACIATgBTAFcAXAAiACwAIAAgADkAOQAuADYANgAsACAAIAAwAC4AMwA0ADsAXABuACAAIAAgACAAIAAgACAAIAAgACAAXAAiAE4AVABcACIALAAgACAAOQA5AC4ANgA2ACwAIAAgADAALgAzADQAOwBcAG4AIAAgACAAIAAgACAAIAAgACAAIABcACIAUQBMAEQAXAAiACwAIAAgADkAOQAuADYANgAsACAAIAAwAC4AMwA0ADsAXABuACAAIAAgACAAIAAgACAAIAAgACAAXAAiAFMAQQBcACIALAAgACAAOQA5AC4ANgA2ACwAIAAgADAALgAzADQAOwBcAG4AIAAgACAAIAAgACAAIAAgACAAIABcACIAVABBAFMAXAAiACwAIAAgADkAOQAuADYANgAsACAAIAAwAC4AMwA0ADsAXABuACAAIAAgACAAIAAgACAAIAAgACAAXAAiAFYASQBDAFwAIgAsACAAIAA5ADkALgA2ADYALAAgACAAMAAuADMANAA7AFwAbgAgACAAIAAgACAAIAAgACAAIAAgAFwAIgBXAEEAXAAiACwAIAAgADkAOQAuADYANgAsACAAIAAwAC4AMwA0AFwAbgAgACAAIAAgACAAIAAgACAAfQAsACAAcgAsACAAYwApAFwAbgAgACAAIAAgACAAIAApAFwAbgAgACAAIAAgACkAXABuACAAIAApADsAXABuAFwAbgBcAG4ALwAqACAAXABuAC0ALQAtAC0ALQAtAC0ALQAtAC0ALQAtAC0ALQAtAC0ALQAtAC0ALQAtAC0ALQAtAC0ALQAtAC0ALQAtAC0ALQAtAC0ALQAtAC0ALQBcAG4AUwBvAHUAcgBjAGUARABhAHQAYQBfAE8AdABoAGUAcgBMAGkAdgBlAHMAdABvAGMAawBfAE0AZQB0AGgAYQBuAGUAQwBvAG4AdgBlAHIAcwBpAG8AbgBGAGEAYwB0AG8AcgBcAG4AVABhAGIAbABlACAAQQAuADEALgA1AC4ANgA6ACAATwB0AGgAZQByACAATABpAHYAZQBzAHQAbwBjAGsAIAAtACAATQBlAHQAaABhAG4AZQAgAGMAbwBuAHYAZQByAHMAaQBvAG4AIABmAGEAYwB0AG8AcgAgAHAAZQByACAAcgBlAGcAaQBvAG4AIAAoAGYAcgBhAGMAdABpAG8AbgApACAAKABNAEMARgBpAG0AKQBcAG4ALQAtAC0ALQAtAC0ALQAtAC0ALQAtAC0ALQAtAC0ALQAtAC0ALQAtAC0ALQAtAC0ALQAtAC0ALQAtAC0ALQAtAC0ALQAtAC0ALQAtAFwAbgAqAC8AXABuAFwAbgBTAG8AdQByAGMAZQBEAGEAdABhAF8ATwB0AGgAZQByAEwAaQB2AGUAcwB0AG8AYwBrAF8ATQBlAHQAaABhAG4AZQBDAG8AbgB2AGUAcgBzAGkAbwBuAEYAYQBjAHQAbwByAF8AVABpAHQAbABlAFwAbgAgACAAPQBMAEEATQBCAEQAQQAoAFwAIgBPAHQAaABlAHIAIABMAGkAdgBlAHMAdABvAGMAawAgAC0AIABNAGUAdABoAGEAbgBlACAAYwBvAG4AdgBlAHIAcwBpAG8AbgAgAGYAYQBjAHQAbwByACAAcABlAHIAIAByAGUAZwBpAG8AbgBcACIAKQA7AFwAbgBcAG4AUwBvAHUAcgBjAGUARABhAHQAYQBfAE8AdABoAGUAcgBMAGkAdgBlAHMAdABvAGMAawBfAE0AZQB0AGgAYQBuAGUAQwBvAG4AdgBlAHIAcwBpAG8AbgBGAGEAYwB0AG8AcgBfAFYAYQByAGkAYQBiAGwAZQBcAG4AIAAgAD0ATABBAE0AQgBEAEEAKABcACIATQBDAEYAaQBtAFwAIgApADsAXABuAFwAbgBTAG8AdQByAGMAZQBEAGEAdABhAF8ATwB0AGgAZQByAEwAaQB2AGUAcwB0AG8AYwBrAF8ATQBlAHQAaABhAG4AZQBDAG8AbgB2AGUAcgBzAGkAbwBuAEYAYQBjAHQAbwByAF8AVQBuAGkAdABcAG4AIAAgAD0ATABBAE0AQgBEAEEAKABcACIAZgByAGEAYwB0AGkAbwBuAFwAIgApADsAXABuAFwAbgBTAG8AdQByAGMAZQBEAGEAdABhAF8ATwB0AGgAZQByAEwAaQB2AGUAcwB0AG8AYwBrAF8ATQBlAHQAaABhAG4AZQBDAG8AbgB2AGUAcgBzAGkAbwBuAEYAYQBjAHQAbwByAF8AUwBvAHUAcgBjAGUAXABuACAAIAA9AEwAQQBNAEIARABBACgAXAAiAFYARQBFAFIARwAgADIAMAAyADYAOgAgAFQAYQBiAGwAZQAgAEEALgAxAC4ANQAuADYAXAAiACkAOwBcAG4AXABuAFMAbwB1AHIAYwBlAEQAYQB0AGEAXwBPAHQAaABlAHIATABpAHYAZQBzAHQAbwBjAGsAXwBNAGUAdABoAGEAbgBlAEMAbwBuAHYAZQByAHMAaQBvAG4ARgBhAGMAdABvAHIAXwBWAGEAcgBpAGEAdABpAG8AbgBcAG4AIAAgAD0ATABBAE0AQgBEAEEAKABcACIAXAAiACkAOwBcAG4AXABuAFMAbwB1AHIAYwBlAEQAYQB0AGEAXwBPAHQAaABlAHIATABpAHYAZQBzAHQAbwBjAGsAXwBNAGUAdABoAGEAbgBlAEMAbwBuAHYAZQByAHMAaQBvAG4ARgBhAGMAdABvAHIAXwBEAGEAdABhAFwAbgAgACAAPQBMAEEATQBCAEQAQQAoAFwAbgAgACAAIAAgAE0AQQBLAEUAQQBSAFIAQQBZACgAOQAsACAAMwAsAFwAbgAgACAAIAAgACAAIABMAEEATQBCAEQAQQAoAHIALABjACwAXABuACAAIAAgACAAIAAgACAAIABJAE4ARABFAFgAKAB7AFwAbgAgACAAIAAgACAAIAAgACAAIAAgAFwAIgBTAHQAYQB0AGUAXAAiACwAIABcACIAUABhAHMAdAB1AHIAZQAgAHIAYQBuAGcAZQAgAGEAbgBkACAAcABhAGQAZABvAGMAawBcACIALAAgAFwAIgBVAG4AYwBvAHYAZQByAGUAZAAgAEEAbgBhAGUAcgBvAGIAaQBjACAAbABhAGcAbwBvAG4AXAAiADsAXABuACAAIAAgACAAIAAgACAAIAAgACAAXAAiAEEAQwBUAFwAIgAsACAAIAAwAC4AMAAwADQANwAsACAAIAAwAC4ANwAxADsAXABuACAAIAAgACAAIAAgACAAIAAgACAAXAAiAE4AUwBXAFwAIgAsACAAIAAwAC4AMAAwADQANwAsACAAIAAwAC4ANwA1ADsAXABuACAAIAAgACAAIAAgACAAIAAgACAAXAAiAE4AVABcACIALAAgACAAMAAuADAAMAA0ADcALAAgACAAMAAuADgAMAA7AFwAbgAgACAAIAAgACAAIAAgACAAIAAgAFwAIgBRAEwARABcACIALAAgACAAMAAuADAAMAA0ADcALAAgACAAMAAuADcAOAA7AFwAbgAgACAAIAAgACAAIAAgACAAIAAgAFwAIgBTAEEAXAAiACwAIAAgADAALgAwADAANAA3ACwAIAAgADAALgA3ADQAOwBcAG4AIAAgACAAIAAgACAAIAAgACAAIABcACIAVABBAFMAXAAiACwAIAAgADAALgAwADAANAA3ACwAIAAgADAALgA3ADAAOwBcAG4AIAAgACAAIAAgACAAIAAgACAAIABcACIAVgBJAEMAXAAiACwAIAAgADAALgAwADAANAA3ACwAIAAgADAALgA3ADQAOwBcAG4AIAAgACAAIAAgACAAIAAgACAAIABcACIAVwBBAFwAIgAsACAAIAAwAC4AMAAwADQANwAsACAAIAAwAC4ANwA2AFwAbgAgACAAIAAgACAAIAAgACAAfQAsACAAcgAsACAAYwApAFwAbgAgACAAIAAgACAAIAApAFwAbgAgACAAIAAgACkAXABuACAAIAApADsAXABuAFwAbgBcAG4ALwAqACAAXABuAC0ALQAtAC0ALQAtAC0ALQAtAC0ALQAtAC0ALQAtAC0ALQAtAC0ALQAtAC0ALQAtAC0ALQAtAC0ALQAtAC0ALQAtAC0ALQAtAC0ALQBcAG4AUwBvAHUAcgBjAGUARABhAHQAYQBfAE8AdABoAGUAcgBMAGkAdgBlAHMAdABvAGMAawBfAE0AZQB0AGgAYQBuAGUARQBtAGkAcwBzAGkAbwBuAHMAUABvAHQAZQBuAHQAaQBhAGwAXABuAFQAYQBiAGwAZQAgAEEALgAxAC4ANQAuAFgAOgAgAE8AdABoAGUAcgAgAEwAaQB2AGUAcwB0AG8AYwBrACAALQAgAE0AZQB0AGgAYQBuAGUAIABlAG0AaQBzAHMAaQBvAG4AcwAgAHAAbwB0AGUAbgB0AGkAYQBsACAAKABtADMAIABDAEgANAAgAC8AIABrAGcAIABWAFMAKQAgACgAQgBPACkAXABuAC0ALQAtAC0ALQAtAC0ALQAtAC0ALQAtAC0ALQAtAC0ALQAtAC0ALQAtAC0ALQAtAC0ALQAtAC0ALQAtAC0ALQAtAC0ALQAtAC0ALQBcAG4AKgAvAFwAbgBcAG4AUwBvAHUAcgBjAGUARABhAHQAYQBfAE8AdABoAGUAcgBMAGkAdgBlAHMAdABvAGMAawBfAE0AZQB0AGgAYQBuAGUARQBtAGkAcwBzAGkAbwBuAHMAUABvAHQAZQBuAHQAaQBhAGwAXwBUAGkAdABsAGUAXABuACAAIAA9AEwAQQBNAEIARABBACgAXAAiAE8AdABoAGUAcgAgAEwAaQB2AGUAcwB0AG8AYwBrACAALQAgAE0AZQB0AGgAYQBuAGUAIABlAG0AaQBzAHMAaQBvAG4AcwAgAHAAbwB0AGUAbgB0AGkAYQBsAFwAIgApADsAXABuAFwAbgBTAG8AdQByAGMAZQBEAGEAdABhAF8ATwB0AGgAZQByAEwAaQB2AGUAcwB0AG8AYwBrAF8ATQBlAHQAaABhAG4AZQBFAG0AaQBzAHMAaQBvAG4AcwBQAG8AdABlAG4AdABpAGEAbABfAFYAYQByAGkAYQBiAGwAZQBcAG4AIAAgAD0ATABBAE0AQgBEAEEAKABcACIAQgBPAFwAIgApADsAXABuAFwAbgBTAG8AdQByAGMAZQBEAGEAdABhAF8ATwB0AGgAZQByAEwAaQB2AGUAcwB0AG8AYwBrAF8ATQBlAHQAaABhAG4AZQBFAG0AaQBzAHMAaQBvAG4AcwBQAG8AdABlAG4AdABpAGEAbABfAFUAbgBpAHQAXABuACAAIAA9AEwAQQBNAEIARABBACgAXAAiAG0AMwAgAEMASAA0ACAALwAgAGsAZwAgAFYAUwBcACIAKQA7AFwAbgBcAG4AUwBvAHUAcgBjAGUARABhAHQAYQBfAE8AdABoAGUAcgBMAGkAdgBlAHMAdABvAGMAawBfAE0AZQB0AGgAYQBuAGUARQBtAGkAcwBzAGkAbwBuAHMAUABvAHQAZQBuAHQAaQBhAGwAXwBTAG8AdQByAGMAZQBcAG4AIAAgAD0ATABBAE0AQgBEAEEAKABcACIAVgBFAEUAUgBHACAAMgAwADIANgA6ACAAVABhAGIAbABlACAAQQAuADEALgA1AC4AWABcACIAKQA7AFwAbgBcAG4AUwBvAHUAcgBjAGUARABhAHQAYQBfAE8AdABoAGUAcgBMAGkAdgBlAHMAdABvAGMAawBfAE0AZQB0AGgAYQBuAGUARQBtAGkAcwBzAGkAbwBuAHMAUABvAHQAZQBuAHQAaQBhAGwAXwBWAGEAcgBpAGEAdABpAG8AbgBcAG4AIAAgAD0ATABBAE0AQgBEAEEAKABcACIAVgBBAFIASQBBAFQASQBPAE4AIABPAE4AIABTAE8AVQBSAEMARQA6ACAAVABoAGUAcgBlACAAdwBlAHIAZQAgAG4AbwAgAHYAYQBsAHUAZQBzACAAaQBuACAAVgBFAEUAUgBHACAAcwBvACAAdABoAGkAcwAgAGQAYQB0AGEAIABoAGEAcwAgAGIAZQBlAG4AIABnAGUAbgBlAHIAYQB0AGUAZAAgAGIAeQAgAHUAcwBpAG4AZwAgAGQAbwBjAHUAbQBlAG4AdABlAGQAIABCAE8AIAB2AGEAbAB1AGUAcwAgAGYAcgBvAG0AIABvAHQAaABlAHIAIABsAGkAdgBlAHMAdABvAGMAawBcACIAKQA7AFwAbgBcAG4AUwBvAHUAcgBjAGUARABhAHQAYQBfAE8AdABoAGUAcgBMAGkAdgBlAHMAdABvAGMAawBfAE0AZQB0AGgAYQBuAGUARQBtAGkAcwBzAGkAbwBuAHMAUABvAHQAZQBuAHQAaQBhAGwAXwBEAGEAdABhAFwAbgAgACAAPQBMAEEATQBCAEQAQQAoAFwAbgAgACAAIAAgAE0AQQBLAEUAQQBSAFIAQQBZACgAOQAsACAAMwAsAFwAbgAgACAAIAAgACAAIABMAEEATQBCAEQAQQAoAHIALABjACwAXABuACAAIAAgACAAIAAgACAAIABJAE4ARABFAFgAKAB7AFwAbgAgACAAIAAgACAAIAAgACAAIAAgAFwAIgBPAHQAaABlAHIAIABMAGkAdgBlAHMAdABvAGMAawAgAFQAeQBwAGUAXAAiACwAIABcACIAQgBPAFwAIgAsACAAXAAiAFQAYQBrAGUAbgAgAGYAcgBvAG0AXAAiADsAXABuACAAIAAgACAAIAAgACAAIAAgACAAXAAiAEIAdQBmAGYAYQBsAG8AXAAiACwAIAAwAC4AMQA5ACwAIABcACIARgBlAGUAZABsAG8AdAAsACAAUABhAHMAdAB1AHIAZQAgAGIAZQBlAGYAXAAiADsAXABuACAAIAAgACAAIAAgACAAIAAgACAAXAAiAEcAbwBhAHQAcwBcACIALAAgADAALgAyADQALAAgAFwAIgBTAGgAZQBlAHAAXAAiADsAXABuACAAIAAgACAAIAAgACAAIAAgACAAXAAiAEQAZQBlAHIAXAAiACwAIAAwAC4AMgA0ACwAIABcACIAUwBoAGUAZQBwAFwAIgA7AFwAbgAgACAAIAAgACAAIAAgACAAIAAgAFwAIgBDAGEAbQBlAGwAcwBcACIALAAgADAALgAyADQALAAgAFwAIgBTAGgAZQBlAHAAXAAiADsAXABuACAAIAAgACAAIAAgACAAIAAgACAAXAAiAEEAbABwAGEAYwBhAHMAXAAiACwAIAAwAC4AMgA0ACwAIABcACIAUwBoAGUAZQBwAFwAIgA7AFwAbgAgACAAIAAgACAAIAAgACAAIAAgAFwAIgBIAG8AcgBzAGUAcwBcACIALAAgADAALgAxADkALAAgAFwAIgBGAGUAZQBkAGwAbwB0ACwAIABQAGEAcwB0AHUAcgBlACAAYgBlAGUAZgBcACIAOwBcAG4AIAAgACAAIAAgACAAIAAgACAAIABcACIATQB1AGwAZQBzAC8AYQBzAHMAZQBzAFwAIgAsACAAMAAuADIANAAsACAAXAAiAFMAaABlAGUAcABcACIAOwBcAG4AIAAgACAAIAAgACAAIAAgACAAIABcACIARQBtAHUAcwAvAG8AcwB0AHIAaQBjAGgAZQBzAFwAIgAsACAAMAAuADMANgAsACAAXAAiAFAAbwB1AGwAdAByAHkAIAAtACAAbQBlAGEAdAAgAGMAaABpAGMAawBlAG4AcwBcACIAXABuACAAIAAgACAAIAAgACAAIAB9ACwAIAByACwAIABjACkAXABuACAAIAAgACAAIAAgACkAXABuACAAIAAgACAAKQBcAG4AIAAgACkAOwBcAG4AXABuAFwAbgAvACoAIABcAG4ALQAtAC0ALQAtAC0ALQAtAC0ALQAtAC0ALQAtAC0ALQAtAC0ALQAtAC0ALQAtAC0ALQAtAC0ALQAtAC0ALQAtAC0ALQAtAC0ALQAtAFwAbgBTAG8AdQByAGMAZQBEAGEAdABhAF8ATwB0AGgAZQByAEwAaQB2AGUAcwB0AG8AYwBrAF8ARgByAGEAYwBHAEEAUwBNAFMAbwBpAGwAXABuAEYAcgBhAGMAdABpAG8AbgAgAG8AZgAgAG4AaQB0AHIAbwBnAGUAbgAgAHYAbwBsAGEAdABpAGwAaQBzAGUAZAAgAGYAcgBvAG0AIAB1AHIAaQBuAGUAIABhAG4AZAAgAGYAYQBlAGMAZQBzACAAZABlAHAAbwBzAGkAdABlAGQAIABvAG4AIABwAGEAcwB0AHUAcgBlAFwAbgAtAC0ALQAtAC0ALQAtAC0ALQAtAC0ALQAtAC0ALQAtAC0ALQAtAC0ALQAtAC0ALQAtAC0ALQAtAC0ALQAtAC0ALQAtAC0ALQAtAC0AXABuACoALwBcAG4AXABuAFMAbwB1AHIAYwBlAEQAYQB0AGEAXwBPAHQAaABlAHIATABpAHYAZQBzAHQAbwBjAGsAXwBGAHIAYQBjAEcAQQBTAE0AUwBvAGkAbABfAFQAaQB0AGwAZQBcAG4AIAAgAD0ATABBAE0AQgBEAEEAKABcACIARgByAGEAYwB0AGkAbwBuACAAbwBmACAAbgBpAHQAcgBvAGcAZQBuACAAdgBvAGwAYQB0AGkAbABpAHMAZQBkACAAZgByAG8AbQAgAHUAcgBpAG4AZQAgAGEAbgBkACAAZgBhAGUAYwBlAHMAIABkAGUAcABvAHMAaQB0AGUAZAAgAG8AbgAgAHAAYQBzAHQAdQByAGUAXAAiACkAOwBcAG4AXABuAFMAbwB1AHIAYwBlAEQAYQB0AGEAXwBPAHQAaABlAHIATABpAHYAZQBzAHQAbwBjAGsAXwBGAHIAYQBjAEcAQQBTAE0AUwBvAGkAbABfAFYAYQByAGkAYQBiAGwAZQBcAG4AIAAgAD0ATABBAE0AQgBEAEEAKABcACIARgByAGEAYwBHAEEAUwBNAHMAbwBpAGwAXAAiACkAOwBcAG4AXABuAFMAbwB1AHIAYwBlAEQAYQB0AGEAXwBPAHQAaABlAHIATABpAHYAZQBzAHQAbwBjAGsAXwBGAHIAYQBjAEcAQQBTAE0AUwBvAGkAbABfAFUAbgBpAHQAXABuACAAIAA9AEwAQQBNAEIARABBACgAXAAiACgAawBnACAATgBIADMALQBOACAAKwAgAE4ATwB4AC0ATgApAC8AawBnACAATgBcACIAKQA7AFwAbgBcAG4AUwBvAHUAcgBjAGUARABhAHQAYQBfAE8AdABoAGUAcgBMAGkAdgBlAHMAdABvAGMAawBfAEYAcgBhAGMARwBBAFMATQBTAG8AaQBsAF8AUwBvAHUAcgBjAGUAXABuACAAIAA9AEwAQQBNAEIARABBACgAXAAiAFYARQBFAFIARwAgADIAMAAyADYAOgAgADQALgA3AC4AMgAuADMAIABDAE8ATgBTAFQAQQBOAFQAUwBcACIAKQA7AFwAbgBcAG4AUwBvAHUAcgBjAGUARABhAHQAYQBfAE8AdABoAGUAcgBMAGkAdgBlAHMAdABvAGMAawBfAEYAcgBhAGMARwBBAFMATQBTAG8AaQBsAF8AVgBhAHIAaQBhAHQAaQBvAG4AXABuACAAIAA9AEwAQQBNAEIARABBACgAXAAiAFwAIgApADsAXABuAFwAbgBTAG8AdQByAGMAZQBEAGEAdABhAF8ATwB0AGgAZQByAEwAaQB2AGUAcwB0AG8AYwBrAF8ARgByAGEAYwBHAEEAUwBNAFMAbwBpAGwAXwBEAGEAdABhAFwAbgAgACAAPQBMAEEATQBCAEQAQQAoADAALgAyADEAKQA7AFwAbgBcAG4AIgB9ACwAewAiAHAAYQB0AGgAIgA6ACIALwBwAHIAbwBqAGUAYwB0AHMALwBFAG4AdABlAHIAaQBjAE0AZQB0AGgAYQBuAGUAXwBPAHQAaABlAHIATABpAHYAZQBzAHQAbwBjAGsAXwBFAHEAdQBhAHQAaQBvAG4AcwAiACwAIgB0AGUAeAB0ACIAOgAiAC8AKgBcAG4APQA9AD0APQA9AD0APQA9AD0APQA9AD0APQA9AD0APQA9AD0APQA9AD0APQA9AD0APQA9AD0APQA9AD0APQA9AD0APQA9AD0APQA9AD0APQA9AD0APQA9AD0APQA9AD0APQA9AD0APQA9AD0APQA9AD0APQA9AD0APQA9AD0APQA9AD0APQA9AD0APQA9AD0APQA9AD0APQBcAG4AMwAuADYAOgAgAEUAbgB0AGUAcgBpAGMAIABNAGUAdABoAGEAbgBlACAALQAgAE8AdABoAGUAcgAgAEwAaQB2AGUAcwB0AG8AYwBrAFwAbgA9AD0APQA9AD0APQA9AD0APQA9AD0APQA9AD0APQA9AD0APQA9AD0APQA9AD0APQA9AD0APQA9AD0APQA9AD0APQA9AD0APQA9AD0APQA9AD0APQA9AD0APQA9AD0APQA9AD0APQA9AD0APQA9AD0APQA9AD0APQA9AD0APQA9AD0APQA9AD0APQA9AD0APQA9AD0APQA9AFwAbgAzAC4ANgAuADEALgAxACAATQBlAHQAaABvAGQAIAAxACAALQAgAEUAbgB0AGUAcgBpAGMAIABPAHQAaABlAHIAIABMAGkAdgBlAHMAdABvAGMAa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MAXwA2AF8AMQBfADEAXwBfADEAXwBUAG8AdABhAGwAQQBuAG4AdQBhAGwATQBlAHQAaABhAG4AZQBGAHIAbwBtAEUAbgB0AGUAcgBpAGMARgBlAHIAbQBlAG4AdABhAHQAaQBvAG4ATwB0AGgAZQByAEwAaQB2AGUAcwB0AG8AYwBrAFwAbgBUAG8AdABhAGwAIABhAG4AbgB1AGEAbAAgAG0AZQB0AGgAYQBuAGUAIABwAHIAbwBkAHUAYwB0AGkAbwBuACAAZgByAG8AbQAgAGUAbgB0AGUAcgBpAGMAIABmAGUAcgBtAGUAbgB0AGEAdABpAG8AbgAgAGkAbgAgAG8AdABoAGUAcgAgAGwAaQB2AGUAcwB0AG8AYwBrAFwAbgBFAF8AZQBuAHQAZQByAGkAYwBcAG4AdAAgAEMASAA0AFwAbgBFAF8AewBlAG4AdABlAHIAaQBjAH0APQBcAFwAcwB1AG0AXwBqACgATgBfAGoAXABcAHQAaQBtAGUAcwAgAE0AXwBqACkAXABcAHQAaQBtAGUAcwAgADEAMABeAHsALQAzAH0AXABuAE4AXwBqACAAPQAgAG4AdQBtAGIAZQByACAAbwBmACAAbABpAHYAZQBzAHQAbwBjAGsAIABvAGYAIABlAGEAYwBoACAAbABpAHYAZQBzAHQAbwBjAGsAIAB0AHkAcABlACAAagAgACgAaABlAGEAZAApAFwAbgBNAF8AagAgAD0AIABlAG4AdABlAHIAaQBjACAAZgBlAHIAbQBlAG4AdABhAHQAaQBvAG4AIABlAG0AaQBzAHMAaQBvAG4AIABmAGEAYwB0AG8AcgAgACgAawBnACAAQwBIADQALwBoAGUAYQBkAC8AeQBlAGEAcgApAFwAbgAtAC0ALQAtAC0ALQAtAC0ALQAtAC0ALQAtAC0ALQAtAC0ALQAtAC0ALQAtAC0ALQAtAC0ALQAtAC0ALQAtAC0ALQAtAC0ALQAtAC0AXABuACoALwBcAG4AXABuAFYARQBFAFIARwBfADMAXwA2AF8AMQBfADEAXwBfADEAXwBUAG8AdABhAGwAQQBuAG4AdQBhAGwATQBlAHQAaABhAG4AZQBGAHIAbwBtAEUAbgB0AGUAcgBpAGMARgBlAHIAbQBlAG4AdABhAHQAaQBvAG4ATwB0AGgAZQByAEwAaQB2AGUAcwB0AG8AYwBrAFwAbgAgACAAPQBMAEEATQBCAEQAQQAoAFwAbgAgACAAIAAgAE4AXwBqACwAIABNAF8AagAsAFwAbgAgACAAIAAgAFMAVQBNACgATgBfAGoAIAAqACAATQBfAGoAKQAgACoAIAAxADAAIABeACAALQAzAFwAbgAgACAAKQA7AFwAbgBcAG4AVgBFAEUAUgBHAF8AMwBfADYAXwAxAF8AMQBfAF8AMQBfAFQAbwB0AGEAbABBAG4AbgB1AGEAbABNAGUAdABoAGEAbgBlAEYAcgBvAG0ARQBuAHQAZQByAGkAYwBGAGUAcgBtAGUAbgB0AGEAdABpAG8AbgBPAHQAaABlAHIATABpAHYAZQBzAHQAbwBjAGsAXwBUAGkAdABsAGUAXABuACAAIAA9AEwAQQBNAEIARABBACgAXAAiAFQAbwB0AGEAbAAgAGEAbgBuAHUAYQBsACAAbQBlAHQAaABhAG4AZQAgAHAAcgBvAGQAdQBjAHQAaQBvAG4AIABmAHIAbwBtACAAZQBuAHQAZQByAGkAYwAgAGYAZQByAG0AZQBuAHQAYQB0AGkAbwBuACAAaQBuACAAbwB0AGgAZQByACAAbABpAHYAZQBzAHQAbwBjAGsAXAAiACkAOwBcAG4AXABuAFYARQBFAFIARwBfADMAXwA2AF8AMQBfADEAXwBfADEAXwBUAG8AdABhAGwAQQBuAG4AdQBhAGwATQBlAHQAaABhAG4AZQBGAHIAbwBtAEUAbgB0AGUAcgBpAGMARgBlAHIAbQBlAG4AdABhAHQAaQBvAG4ATwB0AGgAZQByAEwAaQB2AGUAcwB0AG8AYwBrAF8AVgBhAHIAaQBhAGIAbABlAFwAbgAgACAAPQBMAEEATQBCAEQAQQAoAFwAIgBFAF8AZQBuAHQAZQByAGkAYwBcACIAKQA7AFwAbgBcAG4AVgBFAEUAUgBHAF8AMwBfADYAXwAxAF8AMQBfAF8AMQBfAFQAbwB0AGEAbABBAG4AbgB1AGEAbABNAGUAdABoAGEAbgBlAEYAcgBvAG0ARQBuAHQAZQByAGkAYwBGAGUAcgBtAGUAbgB0AGEAdABpAG8AbgBPAHQAaABlAHIATABpAHYAZQBzAHQAbwBjAGsAXwBVAG4AaQB0AFwAbgAgACAAPQBMAEEATQBCAEQAQQAoAFwAIgB0ACAAQwBIADQAXAAiACkAOwBcAG4AXABuAFYARQBFAFIARwBfADMAXwA2AF8AMQBfADEAXwBfADEAXwBUAG8AdABhAGwAQQBuAG4AdQBhAGwATQBlAHQAaABhAG4AZQBGAHIAbwBtAEUAbgB0AGUAcgBpAGMARgBlAHIAbQBlAG4AdABhAHQAaQBvAG4ATwB0AGgAZQByAEwAaQB2AGUAcwB0AG8AYwBrAF8AUwBvAHUAcgBjAGUAXABuACAAIAA9AEwAQQBNAEIARABBACgAXAAiAFYARQBFAFIARwAgADIAMAAyADYAOgAgADMALgA2AC4AMQAuADEALAAgAEUAcQB1AGEAdABpAG8AbgAgACgAMQApAFwAIgApADsAXABuAFwAbgBWAEUARQBSAEcAXwAzAF8ANgBfADEAXwAxAF8AXwAxAF8AVABvAHQAYQBsAEEAbgBuAHUAYQBsAE0AZQB0AGgAYQBuAGUARgByAG8AbQBFAG4AdABlAHIAaQBjAEYAZQByAG0AZQBuAHQAYQB0AGkAbwBuAE8AdABoAGUAcgBMAGkAdgBlAHMAdABvAGMAawBfAE4ASQBSAFIAZQBmAGUAcgBlAG4AYwBlAFwAbgAgACAAPQBMAEEATQBCAEQAQQAoAFwAIgBcACIAKQA7AFwAbgBcAG4AVgBFAEUAUgBHAF8AMwBfADYAXwAxAF8AMQBfAF8AMQBfAFQAbwB0AGEAbABBAG4AbgB1AGEAbABNAGUAdABoAGEAbgBlAEYAcgBvAG0ARQBuAHQAZQByAGkAYwBGAGUAcgBtAGUAbgB0AGEAdABpAG8AbgBPAHQAaABlAHIATABpAHYAZQBzAHQAbwBjAGsAXwBMAGEAdABlAHgARQBxAHUAYQB0AGkAbwBuAFwAbgAgACAAPQBMAEEATQBCAEQAQQAoAFwAIgBFAF8AewBlAG4AdABlAHIAaQBjAH0APQBcAFwAcwB1AG0AXwBqACgATgBfAGoAXABcAHQAaQBtAGUAcwAgAE0AXwBqACkAXABcAHQAaQBtAGUAcwAgADEAMABeAHsALQAzAH0AXAAiACkAOwBcAG4AXABuAFYARQBFAFIARwBfADMAXwA2AF8AMQBfADEAXwBfADEAXwBUAG8AdABhAGwAQQBuAG4AdQBhAGwATQBlAHQAaABhAG4AZQBGAHIAbwBtAEUAbgB0AGUAcgBpAGMARgBlAHIAbQBlAG4AdABhAHQAaQBvAG4ATwB0AGgAZQByAEwAaQB2AGUAcwB0AG8AYwBrAF8AQQByAGcAdQBtAGUAbgB0AHMAXABuACAAIAA9AEwAQQBNAEIARABBACgAXABuACAAIAAgACAATQBBAEsARQBBAFIAUgBBAFkAKAAzACwAIAA0ACwAXABuACAAIAAgACAAIAAgAEwAQQBNAEIARABBACgAcgAsAGMALABcAG4AIAAgACAAIAAgACAAIAAgAEkATgBEAEUAWAAoAHsAXABuACAAIAAgACAAIAAgACAAIAAgACAAXAAiAE4AXwBqAFwAIgAsACAAXAAiAG4AdQBtAGIAZQByACAAbwBmACAAbABpAHYAZQBzAHQAbwBjAGsAIABvAGYAIABlAGEAYwBoACAAbABpAHYAZQBzAHQAbwBjAGsAIAB0AHkAcABlACAAagBcACIALAAgAFwAIgBoAGUAYQBkAFwAIgAsACAAXAAiAEkAbgBwAHUAdABcACIAOwBcAG4AIAAgACAAIAAgACAAIAAgACAAIABcACIATQBfAGoAXAAiACwAIABcACIAZQBuAHQAZQByAGkAYwAgAGYAZQByAG0AZQBuAHQAYQB0AGkAbwBuACAAZQBtAGkAcwBzAGkAbwBuACAAZgBhAGMAdABvAHIAXAAiACwAIABcACIAawBnACAAQwBIADQALwBoAGUAYQBkAC8AeQBlAGEAcgBcACIALAAgAFwAIgBDAG8AbgBzAHQAYQBuAHQAXAAiADsAXABuACAAIAAgACAAIAAgACAAIAAgACAAXAAiAGoAXAAiACwAIABcACIAbABpAHYAZQBzAHQAbwBjAGsAIAB0AHkAcABlAFwAIgAsACAAXAAiAFwAIgAsACAAXAAiAEkAbgBwAHUAdABcACIAXABuACAAIAAgACAAIAAgACAAIAB9ACwAIAByACwAIABjACkAXABuACAAIAAgACAAIAAgACkAXABuACAAIAAgACAAKQBcAG4AIAAgACkAOwBcAG4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F8ASQBuAHAAdQB0AEYAdQBuAGMAdABpAG8AbgBzAC4AVQB0AGkAbABpAHQAeQBfAFMAbwB1AHIAYwBlAEgAeQBwAGUAcgBsAGkAbgBrACIALAAiAEMAbwBtAG0AbwBuAF8ASQBuAHAAdQB0AEYAdQBuAGMAdABpAG8AbgBzAC4AVQB0AGkAbABpAHQAeQBfAEQAaQBzAHAAbABhAHkAQQByAGcAdQBtAGUAbgB0AHMAXwAxAF8AMgAiACwAIgBDAG8AbQBtAG8AbgBfAEkAbgBwAHUAdABGAHUAbgBjAHQAaQBvAG4AcwAuAFUAdABpAGwAaQB0AHkAXwBEAGkAcwBwAGwAYQB5AEEAcgBnAHUAbQBlAG4AdABzAF8AMwBfADQAIgAsACIAQwBvAG0AbQBvAG4AXwBJAG4AcAB1AHQARgB1AG4AYwB0AGkAbwBuAHMALgBDAG8AbQBtAG8AbgBfAEcAZQB0AE0AQwBGAFQAZQBtAHAAZQByAGEAdAB1AHIAZQBaAG8AbgBlACIALAAiAFMAbwB1AHIAYwBlAEQAYQB0AGEAXwBPAHQAaABlAHIATABpAHYAZQBzAHQAbwBjAGsALgBTAG8AdQByAGMAZQBEAGEAdABhAF8ATwB0AGgAZQByAEwAaQB2AGUAcwB0AG8AYwBrAF8ARQBuAHQAZQByAGkAYwBGAGUAcgBtAGUAbgB0AGEAdABpAG8AbgBFAG0AaQBzAHMAaQBvAG4ARgBhAGMAdABvAHIAXwBUAGkAdABsAGUAIgAsACIAUwBvAHUAcgBjAGUARABhAHQAYQBfAE8AdABoAGUAcgBMAGkAdgBlAHMAdABvAGMAawAuAFMAbwB1AHIAYwBlAEQAYQB0AGEAXwBPAHQAaABlAHIATABpAHYAZQBzAHQAbwBjAGsAXwBFAG4AdABlAHIAaQBjAEYAZQByAG0AZQBuAHQAYQB0AGkAbwBuAEUAbQBpAHMAcwBpAG8AbgBGAGEAYwB0AG8AcgBfAFYAYQByAGkAYQBiAGwAZQAiACwAIgBTAG8AdQByAGMAZQBEAGEAdABhAF8ATwB0AGgAZQByAEwAaQB2AGUAcwB0AG8AYwBrAC4AUwBvAHUAcgBjAGUARABhAHQAYQBfAE8AdABoAGUAcgBMAGkAdgBlAHMAdABvAGMAawBfAEUAbgB0AGUAcgBpAGMARgBlAHIAbQBlAG4AdABhAHQAaQBvAG4ARQBtAGkAcwBzAGkAbwBuAEYAYQBjAHQAbwByAF8AVQBuAGkAdAAiACwAIgBTAG8AdQByAGMAZQBEAGEAdABhAF8ATwB0AGgAZQByAEwAaQB2AGUAcwB0AG8AYwBrAC4AUwBvAHUAcgBjAGUARABhAHQAYQBfAE8AdABoAGUAcgBMAGkAdgBlAHMAdABvAGMAawBfAEUAbgB0AGUAcgBpAGMARgBlAHIAbQBlAG4AdABhAHQAaQBvAG4ARQBtAGkAcwBzAGkAbwBuAEYAYQBjAHQAbwByAF8AUwBvAHUAcgBjAGUAIgAsACIAUwBvAHUAcgBjAGUARABhAHQAYQBfAE8AdABoAGUAcgBMAGkAdgBlAHMAdABvAGMAawAuAFMAbwB1AHIAYwBlAEQAYQB0AGEAXwBPAHQAaABlAHIATABpAHYAZQBzAHQAbwBjAGsAXwBFAG4AdABlAHIAaQBjAEYAZQByAG0AZQBuAHQAYQB0AGkAbwBuAEUAbQBpAHMAcwBpAG8AbgBGAGEAYwB0AG8AcgBfAFYAYQByAGkAYQB0AGkAbwBuACIALAAiAFMAbwB1AHIAYwBlAEQAYQB0AGEAXwBPAHQAaABlAHIATABpAHYAZQBzAHQAbwBjAGsALgBTAG8AdQByAGMAZQBEAGEAdABhAF8ATwB0AGgAZQByAEwAaQB2AGUAcwB0AG8AYwBrAF8ARQBuAHQAZQByAGkAYwBGAGUAcgBtAGUAbgB0AGEAdABpAG8AbgBFAG0AaQBzAHMAaQBvAG4ARgBhAGMAdABvAHIAXwBEAGEAdABhACIALAAiAFMAbwB1AHIAYwBlAEQAYQB0AGEAXwBPAHQAaABlAHIATABpAHYAZQBzAHQAbwBjAGsALgBTAG8AdQByAGMAZQBEAGEAdABhAF8ATwB0AGgAZQByAEwAaQB2AGUAcwB0AG8AYwBrAF8AVgBvAGwAYQB0AGkAbABlAFMAbwBsAGkAZABzAFAAcgBvAGQAdQBjAGUAZABfAFQAaQB0AGwAZQAiACwAIgBTAG8AdQByAGMAZQBEAGEAdABhAF8ATwB0AGgAZQByAEwAaQB2AGUAcwB0AG8AYwBrAC4AUwBvAHUAcgBjAGUARABhAHQAYQBfAE8AdABoAGUAcgBMAGkAdgBlAHMAdABvAGMAawBfAFYAbwBsAGEAdABpAGwAZQBTAG8AbABpAGQAcwBQAHIAbwBkAHUAYwBlAGQAXwBWAGEAcgBpAGEAYgBsAGUAIgAsACIAUwBvAHUAcgBjAGUARABhAHQAYQBfAE8AdABoAGUAcgBMAGkAdgBlAHMAdABvAGMAawAuAFMAbwB1AHIAYwBlAEQAYQB0AGEAXwBPAHQAaABlAHIATABpAHYAZQBzAHQAbwBjAGsAXwBWAG8AbABhAHQAaQBsAGUAUwBvAGwAaQBkAHMAUAByAG8AZAB1AGMAZQBkAF8AVQBuAGkAdAAiACwAIgBTAG8AdQByAGMAZQBEAGEAdABhAF8ATwB0AGgAZQByAEwAaQB2AGUAcwB0AG8AYwBrAC4AUwBvAHUAcgBjAGUARABhAHQAYQBfAE8AdABoAGUAcgBMAGkAdgBlAHMAdABvAGMAawBfAFYAbwBsAGEAdABpAGwAZQBTAG8AbABpAGQAcwBQAHIAbwBkAHUAYwBlAGQAXwBTAG8AdQByAGMAZQAiACwAIgBTAG8AdQByAGMAZQBEAGEAdABhAF8ATwB0AGgAZQByAEwAaQB2AGUAcwB0AG8AYwBrAC4AUwBvAHUAcgBjAGUARABhAHQAYQBfAE8AdABoAGUAcgBMAGkAdgBlAHMAdABvAGMAawBfAFYAbwBsAGEAdABpAGwAZQBTAG8AbABpAGQAcwBQAHIAbwBkAHUAYwBlAGQAXwBWAGEAcgBpAGEAdABpAG8AbgAiACwAIgBTAG8AdQByAGMAZQBEAGEAdABhAF8ATwB0AGgAZQByAEwAaQB2AGUAcwB0AG8AYwBrAC4AUwBvAHUAcgBjAGUARABhAHQAYQBfAE8AdABoAGUAcgBMAGkAdgBlAHMAdABvAGMAawBfAFYAbwBsAGEAdABpAGwAZQBTAG8AbABpAGQAcwBQAHIAbwBkAHUAYwBlAGQAXwBEAGEAdABhACIALAAiAFMAbwB1AHIAYwBlAEQAYQB0AGEAXwBPAHQAaABlAHIATABpAHYAZQBzAHQAbwBjAGsALgBTAG8AdQByAGMAZQBEAGEAdABhAF8ATwB0AGgAZQByAEwAaQB2AGUAcwB0AG8AYwBrAF8ATgBpAHQAcgBvAGcAZQBuAEUAeABjAHIAZQB0AGUAZABfAFQAaQB0AGwAZQAiACwAIgBTAG8AdQByAGMAZQBEAGEAdABhAF8ATwB0AGgAZQByAEwAaQB2AGUAcwB0AG8AYwBrAC4AUwBvAHUAcgBjAGUARABhAHQAYQBfAE8AdABoAGUAcgBMAGkAdgBlAHMAdABvAGMAawBfAE4AaQB0AHIAbwBnAGUAbgBFAHgAYwByAGUAdABlAGQAXwBWAGEAcgBpAGEAYgBsAGUAIgAsACIAUwBvAHUAcgBjAGUARABhAHQAYQBfAE8AdABoAGUAcgBMAGkAdgBlAHMAdABvAGMAawAuAFMAbwB1AHIAYwBlAEQAYQB0AGEAXwBPAHQAaABlAHIATABpAHYAZQBzAHQAbwBjAGsAXwBOAGkAdAByAG8AZwBlAG4ARQB4AGMAcgBlAHQAZQBkAF8AVQBuAGkAdAAiACwAIgBTAG8AdQByAGMAZQBEAGEAdABhAF8ATwB0AGgAZQByAEwAaQB2AGUAcwB0AG8AYwBrAC4AUwBvAHUAcgBjAGUARABhAHQAYQBfAE8AdABoAGUAcgBMAGkAdgBlAHMAdABvAGMAawBfAE4AaQB0AHIAbwBnAGUAbgBFAHgAYwByAGUAdABlAGQAXwBTAG8AdQByAGMAZQAiACwAIgBTAG8AdQByAGMAZQBEAGEAdABhAF8ATwB0AGgAZQByAEwAaQB2AGUAcwB0AG8AYwBrAC4AUwBvAHUAcgBjAGUARABhAHQAYQBfAE8AdABoAGUAcgBMAGkAdgBlAHMAdABvAGMAawBfAE4AaQB0AHIAbwBnAGUAbgBFAHgAYwByAGUAdABlAGQAXwBWAGEAcgBpAGEAdABpAG8AbgAiACwAIgBTAG8AdQByAGMAZQBEAGEAdABhAF8ATwB0AGgAZQByAEwAaQB2AGUAcwB0AG8AYwBrAC4AUwBvAHUAcgBjAGUARABhAHQAYQBfAE8AdABoAGUAcgBMAGkAdgBlAHMAdABvAGMAawBfAE4AaQB0AHIAbwBnAGUAbgBFAHgAYwByAGUAdABlAGQAXwBEAGEAdABhACIALAAiAFMAbwB1AHIAYwBlAEQAYQB0AGEAXwBPAHQAaABlAHIATABpAHYAZQBzAHQAbwBjAGsALgBTAG8AdQByAGMAZQBEAGEAdABhAF8ATwB0AGgAZQByAEwAaQB2AGUAcwB0AG8AYwBrAF8AQQB2AGUAcgBhAGcAZQBMAGkAdgBlAHcAZQBpAGcAaAB0AF8AVABpAHQAbABlACIALAAiAFMAbwB1AHIAYwBlAEQAYQB0AGEAXwBPAHQAaABlAHIATABpAHYAZQBzAHQAbwBjAGsALgBTAG8AdQByAGMAZQBEAGEAdABhAF8ATwB0AGgAZQByAEwAaQB2AGUAcwB0AG8AYwBrAF8AQQB2AGUAcgBhAGcAZQBMAGkAdgBlAHcAZQBpAGcAaAB0AF8AVgBhAHIAaQBhAGIAbABlACIALAAiAFMAbwB1AHIAYwBlAEQAYQB0AGEAXwBPAHQAaABlAHIATABpAHYAZQBzAHQAbwBjAGsALgBTAG8AdQByAGMAZQBEAGEAdABhAF8ATwB0AGgAZQByAEwAaQB2AGUAcwB0AG8AYwBrAF8AQQB2AGUAcgBhAGcAZQBMAGkAdgBlAHcAZQBpAGcAaAB0AF8AVQBuAGkAdAAiACwAIgBTAG8AdQByAGMAZQBEAGEAdABhAF8ATwB0AGgAZQByAEwAaQB2AGUAcwB0AG8AYwBrAC4AUwBvAHUAcgBjAGUARABhAHQAYQBfAE8AdABoAGUAcgBMAGkAdgBlAHMAdABvAGMAawBfAEEAdgBlAHIAYQBnAGUATABpAHYAZQB3AGUAaQBnAGgAdABfAFMAbwB1AHIAYwBlACIALAAiAFMAbwB1AHIAYwBlAEQAYQB0AGEAXwBPAHQAaABlAHIATABpAHYAZQBzAHQAbwBjAGsALgBTAG8AdQByAGMAZQBEAGEAdABhAF8ATwB0AGgAZQByAEwAaQB2AGUAcwB0AG8AYwBrAF8AQQB2AGUAcgBhAGcAZQBMAGkAdgBlAHcAZQBpAGcAaAB0AF8AVgBhAHIAaQBhAHQAaQBvAG4AIgAsACIAUwBvAHUAcgBjAGUARABhAHQAYQBfAE8AdABoAGUAcgBMAGkAdgBlAHMAdABvAGMAawAuAFMAbwB1AHIAYwBlAEQAYQB0AGEAXwBPAHQAaABlAHIATABpAHYAZQBzAHQAbwBjAGsAXwBBAHYAZQByAGEAZwBlAEwAaQB2AGUAdwBlAGkAZwBoAHQAXwBEAGEAdABhACIALAAiAFMAbwB1AHIAYwBlAEQAYQB0AGEAXwBPAHQAaABlAHIATABpAHYAZQBzAHQAbwBjAGsALgBTAG8AdQByAGMAZQBEAGEAdABhAF8ATwB0AGgAZQByAEwAaQB2AGUAcwB0AG8AYwBrAF8ARgByAGEAYwB0AGkAbwBuAFcAYQBzAHQAZQBJAG4ATQBNAFMAXwBUAGkAdABsAGUAIgAsACIAUwBvAHUAcgBjAGUARABhAHQAYQBfAE8AdABoAGUAcgBMAGkAdgBlAHMAdABvAGMAawAuAFMAbwB1AHIAYwBlAEQAYQB0AGEAXwBPAHQAaABlAHIATABpAHYAZQBzAHQAbwBjAGsAXwBGAHIAYQBjAHQAaQBvAG4AVwBhAHMAdABlAEkAbgBNAE0AUwBfAFYAYQByAGkAYQBiAGwAZQAiACwAIgBTAG8AdQByAGMAZQBEAGEAdABhAF8ATwB0AGgAZQByAEwAaQB2AGUAcwB0AG8AYwBrAC4AUwBvAHUAcgBjAGUARABhAHQAYQBfAE8AdABoAGUAcgBMAGkAdgBlAHMAdABvAGMAawBfAEYAcgBhAGMAdABpAG8AbgBXAGEAcwB0AGUASQBuAE0ATQBTAF8AVQBuAGkAdAAiACwAIgBTAG8AdQByAGMAZQBEAGEAdABhAF8ATwB0AGgAZQByAEwAaQB2AGUAcwB0AG8AYwBrAC4AUwBvAHUAcgBjAGUARABhAHQAYQBfAE8AdABoAGUAcgBMAGkAdgBlAHMAdABvAGMAawBfAEYAcgBhAGMAdABpAG8AbgBXAGEAcwB0AGUASQBuAE0ATQBTAF8AUwBvAHUAcgBjAGUAIgAsACIAUwBvAHUAcgBjAGUARABhAHQAYQBfAE8AdABoAGUAcgBMAGkAdgBlAHMAdABvAGMAawAuAFMAbwB1AHIAYwBlAEQAYQB0AGEAXwBPAHQAaABlAHIATABpAHYAZQBzAHQAbwBjAGsAXwBGAHIAYQBjAHQAaQBvAG4AVwBhAHMAdABlAEkAbgBNAE0AUwBfAFYAYQByAGkAYQB0AGkAbwBuACIALAAiAFMAbwB1AHIAYwBlAEQAYQB0AGEAXwBPAHQAaABlAHIATABpAHYAZQBzAHQAbwBjAGsALgBTAG8AdQByAGMAZQBEAGEAdABhAF8ATwB0AGgAZQByAEwAaQB2AGUAcwB0AG8AYwBrAF8ARgByAGEAYwB0AGkAbwBuAFcAYQBzAHQAZQBJAG4ATQBNAFMAXwBEAGEAdABhACIALAAiAFMAbwB1AHIAYwBlAEQAYQB0AGEAXwBPAHQAaABlAHIATABpAHYAZQBzAHQAbwBjAGsALgBTAG8AdQByAGMAZQBEAGEAdABhAF8ATwB0AGgAZQByAEwAaQB2AGUAcwB0AG8AYwBrAF8ATQBlAHQAaABhAG4AZQBDAG8AbgB2AGUAcgBzAGkAbwBuAEYAYQBjAHQAbwByAF8AVABpAHQAbABlACIALAAiAFMAbwB1AHIAYwBlAEQAYQB0AGEAXwBPAHQAaABlAHIATABpAHYAZQBzAHQAbwBjAGsALgBTAG8AdQByAGMAZQBEAGEAdABhAF8ATwB0AGgAZQByAEwAaQB2AGUAcwB0AG8AYwBrAF8ATQBlAHQAaABhAG4AZQBDAG8AbgB2AGUAcgBzAGkAbwBuAEYAYQBjAHQAbwByAF8AVgBhAHIAaQBhAGIAbABlACIALAAiAFMAbwB1AHIAYwBlAEQAYQB0AGEAXwBPAHQAaABlAHIATABpAHYAZQBzAHQAbwBjAGsALgBTAG8AdQByAGMAZQBEAGEAdABhAF8ATwB0AGgAZQByAEwAaQB2AGUAcwB0AG8AYwBrAF8ATQBlAHQAaABhAG4AZQBDAG8AbgB2AGUAcgBzAGkAbwBuAEYAYQBjAHQAbwByAF8AVQBuAGkAdAAiACwAIgBTAG8AdQByAGMAZQBEAGEAdABhAF8ATwB0AGgAZQByAEwAaQB2AGUAcwB0AG8AYwBrAC4AUwBvAHUAcgBjAGUARABhAHQAYQBfAE8AdABoAGUAcgBMAGkAdgBlAHMAdABvAGMAawBfAE0AZQB0AGgAYQBuAGUAQwBvAG4AdgBlAHIAcwBpAG8AbgBGAGEAYwB0AG8AcgBfAFMAbwB1AHIAYwBlACIALAAiAFMAbwB1AHIAYwBlAEQAYQB0AGEAXwBPAHQAaABlAHIATABpAHYAZQBzAHQAbwBjAGsALgBTAG8AdQByAGMAZQBEAGEAdABhAF8ATwB0AGgAZQByAEwAaQB2AGUAcwB0AG8AYwBrAF8ATQBlAHQAaABhAG4AZQBDAG8AbgB2AGUAcgBzAGkAbwBuAEYAYQBjAHQAbwByAF8AVgBhAHIAaQBhAHQAaQBvAG4AIgAsACIAUwBvAHUAcgBjAGUARABhAHQAYQBfAE8AdABoAGUAcgBMAGkAdgBlAHMAdABvAGMAawAuAFMAbwB1AHIAYwBlAEQAYQB0AGEAXwBPAHQAaABlAHIATABpAHYAZQBzAHQAbwBjAGsAXwBNAGUAdABoAGEAbgBlAEMAbwBuAHYAZQByAHMAaQBvAG4ARgBhAGMAdABvAHIAXwBEAGEAdABhACIALAAiAEUAbgB0AGUAcgBpAGMATQBlAHQAaABhAG4AZQBfAE8AdABoAGUAcgBMAGkAdgBlAHMAdABvAGMAawBfAEUAcQB1AGEAdABpAG8AbgBzAC4AVgBFAEUAUgBHAF8AMwBfADYAXwAxAF8AMQBfAF8AMQBfAFQAbwB0AGEAbABBAG4AbgB1AGEAbABNAGUAdABoAGEAbgBlAEYAcgBvAG0ARQBuAHQAZQByAGkAYwBGAGUAcgBtAGUAbgB0AGEAdABpAG8AbgBPAHQAaABlAHIATABpAHYAZQBzAHQAbwBjAGsAIgAsACIARQBuAHQAZQByAGkAYwBNAGUAdABoAGEAbgBlAF8ATwB0AGgAZQByAEwAaQB2AGUAcwB0AG8AYwBrAF8ARQBxAHUAYQB0AGkAbwBuAHMALgBWAEUARQBSAEcAXwAzAF8ANgBfADEAXwAxAF8AXwAxAF8AVABvAHQAYQBsAEEAbgBuAHUAYQBsAE0AZQB0AGgAYQBuAGUARgByAG8AbQBFAG4AdABlAHIAaQBjAEYAZQByAG0AZQBuAHQAYQB0AGkAbwBuAE8AdABoAGUAcgBMAGkAdgBlAHMAdABvAGMAawBfAFQAaQB0AGwAZQAiACwAIgBFAG4AdABlAHIAaQBjAE0AZQB0AGgAYQBuAGUAXwBPAHQAaABlAHIATABpAHYAZQBzAHQAbwBjAGsAXwBFAHEAdQBhAHQAaQBvAG4AcwAuAFYARQBFAFIARwBfADMAXwA2AF8AMQBfADEAXwBfADEAXwBUAG8AdABhAGwAQQBuAG4AdQBhAGwATQBlAHQAaABhAG4AZQBGAHIAbwBtAEUAbgB0AGUAcgBpAGMARgBlAHIAbQBlAG4AdABhAHQAaQBvAG4ATwB0AGgAZQByAEwAaQB2AGUAcwB0AG8AYwBrAF8AVgBhAHIAaQBhAGIAbABlACIALAAiAEUAbgB0AGUAcgBpAGMATQBlAHQAaABhAG4AZQBfAE8AdABoAGUAcgBMAGkAdgBlAHMAdABvAGMAawBfAEUAcQB1AGEAdABpAG8AbgBzAC4AVgBFAEUAUgBHAF8AMwBfADYAXwAxAF8AMQBfAF8AMQBfAFQAbwB0AGEAbABBAG4AbgB1AGEAbABNAGUAdABoAGEAbgBlAEYAcgBvAG0ARQBuAHQAZQByAGkAYwBGAGUAcgBtAGUAbgB0AGEAdABpAG8AbgBPAHQAaABlAHIATABpAHYAZQBzAHQAbwBjAGsAXwBVAG4AaQB0ACIALAAiAEUAbgB0AGUAcgBpAGMATQBlAHQAaABhAG4AZQBfAE8AdABoAGUAcgBMAGkAdgBlAHMAdABvAGMAawBfAEUAcQB1AGEAdABpAG8AbgBzAC4AVgBFAEUAUgBHAF8AMwBfADYAXwAxAF8AMQBfAF8AMQBfAFQAbwB0AGEAbABBAG4AbgB1AGEAbABNAGUAdABoAGEAbgBlAEYAcgBvAG0ARQBuAHQAZQByAGkAYwBGAGUAcgBtAGUAbgB0AGEAdABpAG8AbgBPAHQAaABlAHIATABpAHYAZQBzAHQAbwBjAGsAXwBTAG8AdQByAGMAZQAiACwAIgBFAG4AdABlAHIAaQBjAE0AZQB0AGgAYQBuAGUAXwBPAHQAaABlAHIATABpAHYAZQBzAHQAbwBjAGsAXwBFAHEAdQBhAHQAaQBvAG4AcwAuAFYARQBFAFIARwBfADMAXwA2AF8AMQBfADEAXwBfADEAXwBUAG8AdABhAGwAQQBuAG4AdQBhAGwATQBlAHQAaABhAG4AZQBGAHIAbwBtAEUAbgB0AGUAcgBpAGMARgBlAHIAbQBlAG4AdABhAHQAaQBvAG4ATwB0AGgAZQByAEwAaQB2AGUAcwB0AG8AYwBrAF8ATgBJAFIAUgBlAGYAZQByAGUAbgBjAGUAIgAsACIARQBuAHQAZQByAGkAYwBNAGUAdABoAGEAbgBlAF8ATwB0AGgAZQByAEwAaQB2AGUAcwB0AG8AYwBrAF8ARQBxAHUAYQB0AGkAbwBuAHMALgBWAEUARQBSAEcAXwAzAF8ANgBfADEAXwAxAF8AXwAxAF8AVABvAHQAYQBsAEEAbgBuAHUAYQBsAE0AZQB0AGgAYQBuAGUARgByAG8AbQBFAG4AdABlAHIAaQBjAEYAZQByAG0AZQBuAHQAYQB0AGkAbwBuAE8AdABoAGUAcgBMAGkAdgBlAHMAdABvAGMAawBfAEwAYQB0AGUAeABFAHEAdQBhAHQAaQBvAG4AIgAsACIARQBuAHQAZQByAGkAYwBNAGUAdABoAGEAbgBlAF8ATwB0AGgAZQByAEwAaQB2AGUAcwB0AG8AYwBrAF8ARQBxAHUAYQB0AGkAbwBuAHMALgBWAEUARQBSAEcAXwAzAF8ANgBfADEAXwAxAF8AXwAxAF8AVABvAHQAYQBsAEEAbgBuAHUAYQBsAE0AZQB0AGgAYQBuAGUARgByAG8AbQBFAG4AdABlAHIAaQBjAEYAZQByAG0AZQBuAHQAYQB0AGkAbwBuAE8AdABoAGUAcgBMAGkAdgBlAHMAdABvAGMAaw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14</vt:i4>
      </vt:variant>
    </vt:vector>
  </HeadingPairs>
  <TitlesOfParts>
    <vt:vector size="24" baseType="lpstr">
      <vt:lpstr>Home</vt:lpstr>
      <vt:lpstr>Overview</vt:lpstr>
      <vt:lpstr>Results</vt:lpstr>
      <vt:lpstr>Input - Site</vt:lpstr>
      <vt:lpstr>Input - Other Livestock</vt:lpstr>
      <vt:lpstr>3.6.1.1-2 Enteric Methane</vt:lpstr>
      <vt:lpstr>Constants - Other Livestock</vt:lpstr>
      <vt:lpstr>Constants - Common</vt:lpstr>
      <vt:lpstr>Acknowledgements</vt:lpstr>
      <vt:lpstr>Tab template</vt:lpstr>
      <vt:lpstr>Common_SourceData_DensityOfMethane_Data</vt:lpstr>
      <vt:lpstr>VEERG_3_6_1_1__1_TotalAnnualMethaneFromEntericFermentationOtherLivestock_Result_Method1</vt:lpstr>
      <vt:lpstr>X_Cell_OtherLivestock_Others_Alpacas_Head</vt:lpstr>
      <vt:lpstr>X_Cell_OtherLivestock_Others_Camels_Head</vt:lpstr>
      <vt:lpstr>X_Cell_OtherLivestock_Others_Emus_Head</vt:lpstr>
      <vt:lpstr>X_Cell_OtherLivestock_Others_Horses_Head</vt:lpstr>
      <vt:lpstr>X_Cell_OtherLivestock_Others_Mules_Head</vt:lpstr>
      <vt:lpstr>X_Cell_Site_EndDate</vt:lpstr>
      <vt:lpstr>X_Cell_Site_FarmName</vt:lpstr>
      <vt:lpstr>X_Cell_Site_ReportingEntityName</vt:lpstr>
      <vt:lpstr>X_Cell_Site_StartDate</vt:lpstr>
      <vt:lpstr>X_Table_OtherLivestock_Buffalo_Head</vt:lpstr>
      <vt:lpstr>X_Table_OtherLivestock_Deer_Head</vt:lpstr>
      <vt:lpstr>X_Table_OtherLivestock_Goats_Head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2026-08-27T02:15:51Z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