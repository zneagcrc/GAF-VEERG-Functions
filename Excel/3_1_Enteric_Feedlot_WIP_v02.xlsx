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9924EFB-F92E-4B96-8CD1-91473C408898}" xr6:coauthVersionLast="47" xr6:coauthVersionMax="47" xr10:uidLastSave="{00000000-0000-0000-0000-000000000000}"/>
  <bookViews>
    <workbookView xWindow="1125" yWindow="1125" windowWidth="36330" windowHeight="19485" activeTab="5"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9" r:id="rId8"/>
    <sheet name="Constants - Common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'3.1.1.1-2 Enteric Methane'!$D$54:$F$55</definedName>
    <definedName name="Table_N_j">'3.1.1.1-2 Enteric Methane'!$D$59:$F$60</definedName>
    <definedName name="VEERG_3_1_1_1__1_TotalAnnualMethaneFromEntericFermentation_Result_Method1">'3.1.1.1-2 Enteric Methane'!$E$67</definedName>
    <definedName name="VEERG_3_1_1_1__1_TotalAnnualMethaneFromEntericFermentation_Result_Method2">'3.1.1.1-2 Enteric Methane'!$N$67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43" l="1"/>
  <c r="A20" i="79"/>
  <c r="A20" i="69"/>
  <c r="A20" i="70"/>
  <c r="A20" i="15"/>
  <c r="A20" i="13"/>
  <c r="A20" i="100"/>
  <c r="A20" i="74"/>
  <c r="A8" i="72" l="1"/>
  <c r="A7" i="72"/>
  <c r="A3" i="72"/>
  <c r="G29" i="79"/>
  <c r="G28" i="79"/>
  <c r="P70" i="69"/>
  <c r="G70" i="69"/>
  <c r="E259" i="109" a="1"/>
  <c r="E259" i="109" s="1"/>
  <c r="D259" i="109" a="1"/>
  <c r="D259" i="109" s="1"/>
  <c r="E258" i="109" a="1"/>
  <c r="E258" i="109" s="1"/>
  <c r="D258" i="109" a="1"/>
  <c r="D258" i="109" s="1"/>
  <c r="D256" i="109" a="1"/>
  <c r="D256" i="109" s="1"/>
  <c r="D255" i="109" a="1"/>
  <c r="D255" i="109" s="1"/>
  <c r="D254" i="109"/>
  <c r="D254" i="109" a="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c r="M244" i="109" a="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c r="D46" i="109" a="1"/>
  <c r="D45" i="109"/>
  <c r="D45" i="109" a="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a="1"/>
  <c r="D5" i="109" s="1"/>
  <c r="A3" i="109"/>
  <c r="A8" i="71"/>
  <c r="A7" i="71"/>
  <c r="A3" i="71"/>
  <c r="E13" i="15"/>
  <c r="D9" i="70" s="1"/>
  <c r="A22" i="74"/>
  <c r="A21" i="74"/>
  <c r="A19" i="74"/>
  <c r="A18" i="74"/>
  <c r="A14" i="74"/>
  <c r="A10" i="74"/>
  <c r="A9" i="74"/>
  <c r="A5" i="74"/>
  <c r="A4" i="74"/>
  <c r="A3" i="74"/>
  <c r="A22" i="43"/>
  <c r="A21" i="43"/>
  <c r="A19" i="43"/>
  <c r="A18" i="43"/>
  <c r="A14" i="43"/>
  <c r="A10" i="43"/>
  <c r="A9" i="43"/>
  <c r="A5" i="43"/>
  <c r="A4" i="43"/>
  <c r="A3" i="43"/>
  <c r="A22" i="79"/>
  <c r="A21" i="79"/>
  <c r="A19" i="79"/>
  <c r="A18" i="79"/>
  <c r="A14" i="79"/>
  <c r="A10" i="79"/>
  <c r="A9" i="79"/>
  <c r="A5" i="79"/>
  <c r="A4" i="79"/>
  <c r="A3" i="79"/>
  <c r="A22" i="69"/>
  <c r="A21" i="69"/>
  <c r="A19" i="69"/>
  <c r="A18" i="69"/>
  <c r="A14" i="69"/>
  <c r="A10" i="69"/>
  <c r="A9" i="69"/>
  <c r="A5" i="69"/>
  <c r="A4" i="69"/>
  <c r="A3" i="69"/>
  <c r="A22" i="70"/>
  <c r="A21" i="70"/>
  <c r="A19" i="70"/>
  <c r="A18" i="70"/>
  <c r="A14" i="70"/>
  <c r="A10" i="70"/>
  <c r="A9" i="70"/>
  <c r="A5" i="70"/>
  <c r="A4" i="70"/>
  <c r="A3" i="70"/>
  <c r="A22" i="15"/>
  <c r="A21" i="15"/>
  <c r="A19" i="15"/>
  <c r="A18" i="15"/>
  <c r="A14" i="15"/>
  <c r="A10" i="15"/>
  <c r="A9" i="15"/>
  <c r="A5" i="15"/>
  <c r="A4" i="15"/>
  <c r="A3" i="15"/>
  <c r="A22" i="13"/>
  <c r="A21" i="13"/>
  <c r="A19" i="13"/>
  <c r="A18" i="13"/>
  <c r="A14" i="13"/>
  <c r="A10" i="13"/>
  <c r="A9" i="13"/>
  <c r="A5" i="13"/>
  <c r="A4" i="13"/>
  <c r="A3" i="13"/>
  <c r="A22" i="100"/>
  <c r="A21" i="100"/>
  <c r="A19" i="100"/>
  <c r="A18" i="100"/>
  <c r="A14" i="100"/>
  <c r="A10" i="100"/>
  <c r="A9" i="100"/>
  <c r="A5" i="100"/>
  <c r="A4" i="100"/>
  <c r="A3" i="100"/>
  <c r="D60" i="69" a="1"/>
  <c r="D60" i="69" s="1"/>
  <c r="D55" i="69" a="1"/>
  <c r="D55" i="69" s="1"/>
  <c r="H54" i="109" l="1"/>
  <c r="H48" i="109"/>
  <c r="H53" i="109"/>
  <c r="H51" i="109"/>
  <c r="D8" i="70"/>
  <c r="H50" i="109"/>
  <c r="H49" i="109"/>
  <c r="H52" i="109"/>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l="1"/>
  <c r="N72" i="69" s="1" a="1"/>
  <c r="N72" i="69" s="1"/>
  <c r="I7" i="13" s="1"/>
  <c r="I8" i="13" s="1"/>
  <c r="F7" i="13"/>
  <c r="E72" i="69" a="1"/>
  <c r="E72" i="69" s="1"/>
  <c r="H7" i="13" s="1"/>
  <c r="H8"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<sst xmlns="http://schemas.openxmlformats.org/spreadsheetml/2006/main" count="345" uniqueCount="234">
  <si>
    <t>INPUTS</t>
  </si>
  <si>
    <t>APPENDICES</t>
  </si>
  <si>
    <t>Emissions breakdown</t>
  </si>
  <si>
    <t>Test Farms</t>
  </si>
  <si>
    <t>Farm name</t>
  </si>
  <si>
    <t>Climate zone</t>
  </si>
  <si>
    <t>Your business</t>
  </si>
  <si>
    <r>
      <rPr>
        <sz val="10"/>
        <color theme="1" tint="0.34998626667073579"/>
        <rFont val="Arial"/>
        <family val="1"/>
      </rPr>
      <t xml:space="preserve">← </t>
    </r>
    <r>
      <rPr>
        <i/>
        <sz val="10"/>
        <color theme="1" tint="0.34998626667073579"/>
        <rFont val="Arial"/>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</si>
  <si>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</si>
  <si>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</si>
  <si>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</si>
  <si>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</si>
  <si>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</si>
  <si>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</si>
  <si>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</si>
  <si>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</si>
  <si>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</si>
  <si>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</si>
  <si>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</si>
  <si>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</si>
  <si>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</si>
  <si>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</si>
  <si>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</si>
  <si>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</si>
  <si>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</si>
  <si>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</si>
  <si>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</si>
  <si>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</si>
  <si>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</si>
  <si>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</si>
  <si>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</si>
  <si>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</si>
  <si>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</si>
  <si>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</si>
  <si>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</si>
  <si>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</si>
  <si>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</si>
  <si>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</si>
  <si>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</si>
  <si>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</si>
  <si>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</si>
  <si>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</si>
  <si>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</si>
  <si>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</si>
  <si>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</si>
  <si>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</si>
  <si>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</si>
  <si>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</si>
  <si>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</si>
  <si>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</si>
  <si>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0"/>
        <color theme="1" tint="0.34998626667073579"/>
        <rFont val="Arial"/>
        <family val="1"/>
      </rPr>
      <t xml:space="preserve">← </t>
    </r>
    <r>
      <rPr>
        <i/>
        <sz val="10"/>
        <color theme="1" tint="0.34998626667073579"/>
        <rFont val="Arial"/>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</si>
  <si>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</si>
  <si>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</si>
  <si>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</si>
  <si>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</si>
  <si>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</si>
  <si>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</si>
  <si>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</si>
  <si>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</si>
  <si>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</si>
  <si>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</si>
  <si>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</si>
  <si>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</si>
  <si>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</si>
  <si>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</si>
  <si>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</si>
  <si>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</si>
  <si>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</si>
  <si>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</si>
  <si>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</si>
  <si>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</si>
  <si>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</si>
  <si>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</si>
  <si>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</si>
  <si>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</si>
  <si>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</si>
  <si>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</si>
  <si>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</si>
  <si>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</si>
  <si>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</si>
  <si>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</si>
  <si>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</si>
  <si>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</si>
  <si>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</si>
  <si>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</si>
  <si>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</si>
  <si>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</si>
  <si>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</si>
  <si>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</si>
  <si>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</si>
  <si>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</si>
  <si>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</si>
  <si>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</si>
  <si>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</si>
  <si>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</si>
  <si>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</si>
  <si>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</si>
  <si>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</si>
  <si>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</si>
  <si>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</si>
  <si>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</si>
  <si>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</si>
  <si>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</si>
  <si>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</si>
  <si>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</si>
  <si>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</si>
  <si>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</si>
  <si>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</si>
  <si>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</si>
  <si>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</si>
  <si>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</si>
  <si>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</si>
  <si>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</si>
  <si>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</si>
  <si>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</si>
  <si>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</si>
  <si>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</si>
  <si>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</si>
  <si>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</si>
  <si>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</si>
  <si>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</si>
  <si>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</si>
  <si>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</si>
  <si>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</si>
  <si>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</si>
  <si>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</si>
  <si>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</si>
  <si>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</si>
  <si>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</si>
  <si>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</si>
  <si>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</si>
  <si>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</si>
  <si>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</si>
  <si>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</si>
  <si>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</si>
  <si>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</si>
  <si>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</si>
  <si>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</si>
  <si>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</si>
  <si>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</si>
  <si>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</si>
  <si>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</si>
  <si>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</si>
  <si>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</si>
  <si>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</si>
  <si>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</si>
  <si>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</si>
  <si>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</si>
  <si>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</si>
  <si>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</si>
  <si>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</si>
  <si>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</si>
  <si>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</si>
  <si>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</si>
  <si>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</si>
  <si>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</si>
  <si>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</si>
  <si>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</si>
  <si>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</si>
  <si>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</si>
  <si>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</si>
  <si>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</si>
  <si>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</si>
  <si>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</si>
  <si>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</si>
  <si>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</si>
  <si>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</si>
  <si>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</si>
  <si>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4"/>
        <color theme="1" tint="0.24994659260841701"/>
        <rFont val="Arial"/>
        <family val="1"/>
      </rPr>
      <t>enteric</t>
    </r>
    <r>
      <rPr>
        <b/>
        <sz val="14"/>
        <color theme="1" tint="0.24994659260841701"/>
        <rFont val="Arial"/>
        <family val="1"/>
      </rPr>
      <t xml:space="preserve"> (Method 1)</t>
    </r>
  </si>
  <si>
    <r>
      <t>E</t>
    </r>
    <r>
      <rPr>
        <b/>
        <vertAlign val="subscript"/>
        <sz val="14"/>
        <color theme="1" tint="0.24994659260841701"/>
        <rFont val="Arial"/>
        <family val="1"/>
      </rPr>
      <t>enteric</t>
    </r>
    <r>
      <rPr>
        <b/>
        <sz val="14"/>
        <color theme="1" tint="0.24994659260841701"/>
        <rFont val="Arial"/>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</si>
  <si>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</si>
  <si>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</si>
  <si>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</si>
  <si>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</si>
  <si>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</si>
  <si>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</si>
  <si>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</si>
  <si>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</si>
  <si>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</si>
  <si>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</si>
  <si>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</si>
  <si>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</si>
  <si>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</si>
  <si>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</si>
  <si>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</si>
  <si>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</si>
  <si>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</si>
  <si>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</si>
  <si>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</si>
  <si>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</si>
  <si>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</si>
  <si>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</si>
  <si>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</si>
  <si>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</si>
  <si>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</si>
  <si>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</si>
  <si>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</si>
  <si>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</si>
  <si>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</si>
  <si>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</si>
  <si>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</si>
  <si>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</si>
  <si>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</si>
  <si>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</si>
  <si>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</si>
  <si>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</si>
  <si>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</si>
  <si>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</si>
  <si>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</si>
  <si>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</si>
  <si>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</si>
  <si>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</si>
  <si>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</si>
  <si>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</si>
  <si>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</si>
  <si>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</si>
  <si>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</si>
  <si>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</si>
  <si>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</si>
  <si>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</si>
  <si>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</si>
  <si>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</si>
  <si>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</si>
  <si>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</si>
  <si>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</si>
  <si>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</si>
  <si>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</si>
  <si>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</si>
  <si>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</si>
  <si>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</si>
  <si>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</si>
  <si>
    <t>Livestock classes</t>
  </si>
  <si>
    <t>Livestock class</t>
  </si>
  <si>
    <t>Table_LivestockClasses_Feedlot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</si>
</sst>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sz val="10"/>
      <color theme="1"/>
      <name val="Arial"/>
      <family val="2"/>
    </font>
    <font>
      <b/>
      <vertAlign val="subscript"/>
      <sz val="14"/>
      <color theme="1" tint="0.24994659260841701"/>
      <name val="Arial"/>
      <family val="1"/>
    </font>
    <font>
      <b/>
      <sz val="18"/>
      <color theme="4" tint="-0.249977111117893"/>
      <name val="Arial"/>
      <family val="1"/>
    </font>
    <font>
      <i/>
      <sz val="9"/>
      <color theme="5" tint="-0.499984740745262"/>
      <name val="Arial"/>
      <family val="1"/>
    </font>
    <font>
      <i/>
      <sz val="9"/>
      <color theme="6" tint="-0.499984740745262"/>
      <name val="Arial"/>
      <family val="1"/>
    </font>
    <font>
      <u/>
      <sz val="9"/>
      <color theme="1" tint="0.34998626667073579"/>
      <name val="Arial"/>
      <family val="1"/>
    </font>
    <font>
      <b/>
      <sz val="18"/>
      <color theme="3" tint="9.9978637043366805E-2"/>
      <name val="Arial"/>
      <family val="1"/>
    </font>
    <font>
      <sz val="9"/>
      <color rgb="FF404040"/>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4">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xf numFmtId="0" fontId="18" fillId="0" borderId="0" xfId="33"/>
    <xf numFmtId="0" fontId="18" fillId="0" borderId="0" xfId="33" applyAlignment="1">
      <alignment horizontal="left" vertical="center" indent="1"/>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7">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900" b="0" i="0" u="none" strike="noStrike">
              <a:solidFill>
                <a:srgbClr val="0C769E"/>
              </a:solidFill>
              <a:latin typeface="Arial"/>
              <a:cs typeface="Arial"/>
            </a:rPr>
            <a:pPr algn="ctr"/>
            <a:t>Daily production of enteric methane</a:t>
          </a:fld>
          <a:endParaRPr lang="en-AU" sz="9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900" b="1" i="0" u="none" strike="noStrike">
              <a:solidFill>
                <a:srgbClr val="0C769E"/>
              </a:solidFill>
              <a:latin typeface="Arial"/>
              <a:cs typeface="Arial"/>
            </a:rPr>
            <a:pPr algn="ctr"/>
            <a:t>Total annual methane production from enteric fermentation in feedlot beef cattle</a:t>
          </a:fld>
          <a:endParaRPr lang="en-AU" sz="9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5.11×</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−4.00×</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+2.26×</m:t>
                        </m:r>
                        <m:r>
                          <a:rPr lang="en-AU" sz="1000" i="1">
                            <a:latin typeface="Cambria Math" panose="02040503050406030204" pitchFamily="18" charset="0"/>
                          </a:rPr>
                          <m:t>𝑁𝐷</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𝑀_𝑗=(5.11×𝐼_𝑗−4.00×𝐸𝐸_𝑗+2.26×𝑁𝐷𝐹_𝑗 )×10^(−3)</a:t>
              </a:r>
              <a:endParaRPr lang="en-AU" sz="10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𝐸_𝑒𝑛𝑡𝑒𝑟𝑖𝑐=∑10_𝑗▒(𝐷_𝑗×𝑀_𝑗×𝑁_𝑗 ) ×10^(−3)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B81E9D5-A128-4C2D-9E32-C1887B5EDB9B}" name="Table_LivestockClasses_Feedlot" displayName="Table_LivestockClasses_Feedlot" ref="L27:L30" totalsRowShown="0">
  <autoFilter ref="L27:L30" xr:uid="{5B81E9D5-A128-4C2D-9E32-C1887B5EDB9B}"/>
  <tableColumns count="1">
    <tableColumn id="1" xr3:uid="{CAB8EDFD-1053-4527-A328-EB1169397190}" name="Livestock class"/>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C3B859-594C-4D46-A76F-4745022F39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C56D9B2-9D02-4B77-AF2F-960622D18776}" name="State/Territory">
      <calculatedColumnFormula array="1">Common_InputFunctions.Utility_DisplayArrayInTable(Common_SourceData.Common_SourceData_AustralianStatesTerritories_Data(),Table_AustralianStates[[#Headers],[State/Territory]],0)</calculatedColumnFormula>
    </tableColumn>
    <tableColumn id="2" xr3:uid="{7FCB5E32-E0B3-4280-A2F6-49A98225E186}" name="Common Name">
      <calculatedColumnFormula array="1">Common_InputFunctions.Utility_DisplayArrayInTable(Common_SourceData.Common_SourceData_AustralianStatesTerritories_Data(),Table_AustralianStates[[#Headers],[State/Territory]],0)</calculatedColumnFormula>
    </tableColumn>
    <tableColumn id="3" xr3:uid="{F8E68FC3-4D25-4F80-A886-652955638EF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295D31-DC66-4D68-A4AA-03F25D49BE54}" name="Table_WASA4Areas" displayName="Table_WASA4Areas" ref="D20:D30" totalsRowShown="0">
  <autoFilter ref="D20:D30" xr:uid="{5FA81339-C6C8-4D36-BEEA-6C4AEDD9E676}">
    <filterColumn colId="0" hiddenButton="1"/>
  </autoFilter>
  <tableColumns count="1">
    <tableColumn id="1" xr3:uid="{DB00BB4B-A941-4E11-AB2D-8308B526BAB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395EF0A-F49A-422F-92E1-26A42CC7B39A}" name="Table_GWPData" displayName="Table_GWPData" ref="D36:E43" totalsRowShown="0">
  <autoFilter ref="D36:E43" xr:uid="{B8E87A66-3E41-4AD3-925D-01EE21B43D7A}">
    <filterColumn colId="0" hiddenButton="1"/>
    <filterColumn colId="1" hiddenButton="1"/>
  </autoFilter>
  <tableColumns count="2">
    <tableColumn id="1" xr3:uid="{92FE24BC-0AA9-4923-9894-72B796B85A51}" name="Gas">
      <calculatedColumnFormula array="1">Common_InputFunctions.Utility_DisplayArrayInTable(Common_SourceData.Common_SourceData_GWP_Data(), Table_GWPData[[#Headers],[Gas]], 0)</calculatedColumnFormula>
    </tableColumn>
    <tableColumn id="2" xr3:uid="{C4793949-DE91-47B0-A5D5-C259791CF3F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F9B07C4-F647-4BE5-AEDF-BC4D2A33A68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10C1DE-D847-4030-AFCB-C661DDDD5E39}" name="Gas">
      <calculatedColumnFormula array="1">Common_InputFunctions.Utility_DisplayArrayInTable(Common_SourceData.Common_SourceData_ConvertGasElementalToMolecular_Data(),Table_GasToMolecularConversionFactor[[#Headers],[Gas]], 0)</calculatedColumnFormula>
    </tableColumn>
    <tableColumn id="5" xr3:uid="{48308DDC-0AFD-4619-85BD-9361245C3DA4}" name="Conversion factor">
      <calculatedColumnFormula array="1">Common_InputFunctions.Utility_DisplayArrayInTable(Common_SourceData.Common_SourceData_ConvertGasElementalToMolecular_Data(),Table_GasToMolecularConversionFactor[[#Headers],[Gas]], 0)</calculatedColumnFormula>
    </tableColumn>
    <tableColumn id="2" xr3:uid="{7023168E-83E8-4907-9CC9-2A8379A795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198EFC-C626-4917-B4FB-811A944F66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8F13E84-7479-4A4A-9810-7FACEAFD9E6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BD911F3-80CB-41DC-9B0E-C874FFC991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2516A0-1F9E-4023-BA82-6672681A87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1C0CC10-B6D1-4F1B-AF67-63540D3C657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2E86635-9B5F-4851-B090-DE2ACAEDF44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F73CA39-E92F-4A10-8511-3C929BFEDAA2}"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1B756309-A904-4B03-89BB-F0E9CFE961A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ECCF8CE7-918B-424A-8D0B-FE1A50768C6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F97F8D6-CC77-43B2-A9DF-16FA34A0821C}"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F368831A-6ABD-4702-AD6C-40392EBDF102}"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94284B4-1932-4CF9-87A0-10AC0C355803}"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9B4AC69-0BE8-4809-88BD-3D9C3366C801}"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52624FB-1991-4D08-BF77-8867175351D7}"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4AF5B2C1-2CB6-41E8-98B7-F05A02BE5CCF}"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DC14DCAE-993A-4A49-B055-B24393671D4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456662F-6E71-4AE4-BED7-B34F70B718E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43296FE0-60C3-4ECC-B983-CA2EC824388C}"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E271A63E-F2F9-411F-9BBD-348C53F4E7F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78C62F0-5104-49ED-9F15-B26C6AC33A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157AB0B-7B8C-47CD-9FE8-5C545E967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F74487-53B1-43B5-B614-8DAD9E2DFFE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32F318A-C05A-4CCC-83B2-7A261B0022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7394011-24FA-455C-A3EB-62C5A3761662}" name="Temperature Zone">
      <calculatedColumnFormula array="1">Common_InputFunctions.Utility_DisplayArrayInTable(Common_SourceData.Common_SourceData_TemperatureZones_Data(),Table_SourceData_TemperatureZones[[#Headers],[Temperature Zone]],0)</calculatedColumnFormula>
    </tableColumn>
    <tableColumn id="2" xr3:uid="{E3F720AD-5264-4391-B5DD-810FBD241C36}" name="MAT">
      <calculatedColumnFormula array="1">Common_InputFunctions.Utility_DisplayArrayInTable(Common_SourceData.Common_SourceData_TemperatureZones_Data(),Table_SourceData_TemperatureZones[[#Headers],[Temperature Zone]],0)</calculatedColumnFormula>
    </tableColumn>
    <tableColumn id="3" xr3:uid="{D6EAA479-229B-477C-BD5C-F1B41AC33046}" name="Min MAT">
      <calculatedColumnFormula array="1">Common_InputFunctions.Utility_DisplayArrayInTable(Common_SourceData.Common_SourceData_TemperatureZones_Data(),Table_SourceData_TemperatureZones[[#Headers],[Temperature Zone]],0)</calculatedColumnFormula>
    </tableColumn>
    <tableColumn id="4" xr3:uid="{CF7D4823-27E2-406C-B29E-76922B1C6E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49A079-8CCF-4088-926F-559A1AA349E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14DDC2-8D07-458E-94B8-3A519952157E}" name="Rainfall Zone">
      <calculatedColumnFormula array="1">Common_InputFunctions.Utility_DisplayArrayInTable(Common_SourceData.Common_SourceData_RainfallZones_Data(),Table_SourceData_RainfallZones[[#Headers],[Rainfall Zone]],0)</calculatedColumnFormula>
    </tableColumn>
    <tableColumn id="2" xr3:uid="{A952052D-98E7-4974-B032-3591FDDCBAD8}" name="Annual rainfall">
      <calculatedColumnFormula array="1">Common_InputFunctions.Utility_DisplayArrayInTable(Common_SourceData.Common_SourceData_RainfallZones_Data(),Table_SourceData_RainfallZones[[#Headers],[Rainfall Zone]],0)</calculatedColumnFormula>
    </tableColumn>
    <tableColumn id="3" xr3:uid="{D44207B0-23A1-4756-AD88-51C9C0BC9972}" name="Min rainfall">
      <calculatedColumnFormula array="1">Common_InputFunctions.Utility_DisplayArrayInTable(Common_SourceData.Common_SourceData_RainfallZones_Data(),Table_SourceData_RainfallZones[[#Headers],[Rainfall Zone]],0)</calculatedColumnFormula>
    </tableColumn>
    <tableColumn id="4" xr3:uid="{97EF21A1-6607-4227-A3EC-78CAB89C110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FC0F7AA-E505-48D3-9DAB-E3D4AF5592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8020236-4487-4D22-84AC-BFDB0D6F453B}" name="Leaching Zone">
      <calculatedColumnFormula array="1">Common_InputFunctions.Utility_DisplayArrayInTable(Common_SourceData.Common_SourceData_LeachingZones_Data(), Table_SourceData_LeachingZones[[#Headers],[Leaching Zone]], 0)</calculatedColumnFormula>
    </tableColumn>
    <tableColumn id="2" xr3:uid="{C0EC12AB-3000-425C-8062-3551D0C59FA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C3E7E2-6FE2-4377-83DF-A2E704575A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7AA8CE7-B307-4398-B8E2-751D85FEAEDB}" name="Data source">
      <calculatedColumnFormula array="1">Common_InputFunctions.Utility_DisplayArrayInTable(Common_SourceData.Common_SourceData_DataScores_Scope3_Data(), Table_SourceData_DataScores_Scope3[[#Headers],[Data source]], 0)</calculatedColumnFormula>
    </tableColumn>
    <tableColumn id="2" xr3:uid="{773A8397-827D-4E04-A9FB-8665F95B2F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A072447-401E-4542-8B53-1A6B10B9420F}" name="Table_SourceData_FracWET" displayName="Table_SourceData_FracWET" ref="D134:E136" totalsRowShown="0">
  <autoFilter ref="D134:E136" xr:uid="{308E99BE-FE1F-47A4-B2CA-97217277C4E9}">
    <filterColumn colId="0" hiddenButton="1"/>
    <filterColumn colId="1" hiddenButton="1"/>
  </autoFilter>
  <tableColumns count="2">
    <tableColumn id="1" xr3:uid="{E03AF6FD-C2DC-4E2A-8DD2-9D01C3922F68}" name="Is in leaching zone">
      <calculatedColumnFormula array="1">Common_InputFunctions.Utility_DisplayArrayInTable(Common_SourceData.Common_SourceData_FracWET_Data(),Table_SourceData_FracWET[[#Headers],[Is in leaching zone]],0)</calculatedColumnFormula>
    </tableColumn>
    <tableColumn id="2" xr3:uid="{5FE7D2C0-93B2-4CFA-8E49-86D22018F7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FE5DE9-1AF8-4915-AE92-E23D22D4B9F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2787A4A-7763-42EC-8FB6-5820C32D457B}" name="Production system j">
      <calculatedColumnFormula array="1">Common_InputFunctions.Utility_DisplayArrayInTable(Common_SourceData.Common_SourceData_EFN2O_Data(), Table_SourceData_Common_EFN2O[[#Headers],[Production system j]], 0)</calculatedColumnFormula>
    </tableColumn>
    <tableColumn id="2" xr3:uid="{D758384F-6F16-4806-AD6B-E394B69EBA47}" name="EFN2O">
      <calculatedColumnFormula array="1">Common_InputFunctions.Utility_DisplayArrayInTable(Common_SourceData.Common_SourceData_EFN2O_Data(), Table_SourceData_Common_EFN2O[[#Headers],[Production system j]], 0)</calculatedColumnFormula>
    </tableColumn>
    <tableColumn id="3" xr3:uid="{457DC56F-91D5-448F-8339-644469598578}" name="Production system only">
      <calculatedColumnFormula array="1">Common_InputFunctions.Utility_DisplayArrayInTable(Common_SourceData.Common_SourceData_EFN2O_Data(), Table_SourceData_Common_EFN2O[[#Headers],[Production system j]], 0)</calculatedColumnFormula>
    </tableColumn>
    <tableColumn id="4" xr3:uid="{F4D3DF4C-DB12-4236-9BBD-5285BA7C8D98}" name="Irrigation method">
      <calculatedColumnFormula array="1">Common_InputFunctions.Utility_DisplayArrayInTable(Common_SourceData.Common_SourceData_EFN2O_Data(), Table_SourceData_Common_EFN2O[[#Headers],[Production system j]], 0)</calculatedColumnFormula>
    </tableColumn>
    <tableColumn id="5" xr3:uid="{C184AE09-DE3A-4397-9C59-A69C08456DE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3C27AEC-5960-410F-B835-46615BF7B4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50E7C3F-23B3-447B-B4C4-6060BF022E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AFBF774-1644-4FD1-A124-9B504EDFABE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88EEBA-2376-47F5-815C-F9373AFA0D7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53737D0-55CF-4CE4-A2DA-5E64EC681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DEB6DD4-2D71-459B-9A7D-91F401E4C50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9FF98F0-20C5-4C52-82C9-1C6DAFD36B1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ACE1312-EFBD-47E7-BAE6-CD1DFB5C1149}" name="Month">
      <calculatedColumnFormula array="1">Common_InputFunctions.Utility_DisplayArrayInTable(Common_SourceData.Common_SourceData_MonthsToSeasons_Data(), Table_SourceData_Common_MonthToSeason[[#Headers],[Month]], 0)</calculatedColumnFormula>
    </tableColumn>
    <tableColumn id="2" xr3:uid="{55926360-A3BF-4F7D-930E-33008C7948DC}"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DD8763A-AA2F-4A55-9873-412927AC57B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4A8EA66-F024-45E8-B03E-791B841E974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4BFB9E6-B3AE-4AE0-8FC9-A3A15770F2A3}"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E9D6328-E0CD-4C53-90C0-0E060E86171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E542609-0309-4456-863B-5E7A42AE24FC}"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15A606-992F-4E57-AF1B-AD9F7C399E5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06F7060-E7A1-4B7A-B0E1-78E30D0BEDED}"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A00F34D-939F-4296-95CC-077DD279A797}"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30EBB79-6A17-4516-80B6-F375FF9669A9}"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5559CD2-6C4D-4F6D-AFDF-9A0890886D97}"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428E8C-5F0E-4324-A4B8-393A0103893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B3894FD-B1DE-49E3-93E3-9C2D5D5FEFD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B24A1FF-05D1-44A8-885D-770FEC70339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32C2DE9-2AD0-427C-A104-694DE52E31E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CA673A4-7283-4EE6-A8B7-7FA16B4D8FC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01BEDD-817D-4DC0-8C93-4FA88EFB5BB0}"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B14FD26-FA63-40B5-9A79-1EB0E579EFE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3A369AC-25DF-418C-8315-7B3B6FE7941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0B0DCC-AB7B-472C-AFA2-D9FBA01FEE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330EA4-D04D-4DD5-8483-059B774FB8A7}"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EF6B787-D785-4034-BBE0-FF88779F358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4085F84-B7D6-4E41-8C32-36C2B6908D02}" name="Description" dataDxfId="0" dataCellStyle="Content normal"/>
    <tableColumn id="1" xr3:uid="{C208DBA4-4CA6-4556-839E-BC861134E788}" name="ID"/>
    <tableColumn id="3" xr3:uid="{E813DE45-E616-4D89-AB2F-7A47CC57EA5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B472BFD-D73A-4C4D-872A-8EB0CA5DC61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D5BD4F2-AE6B-4F06-843C-A6EF761C8571}" name="Description"/>
    <tableColumn id="2" xr3:uid="{853B30FC-9D3E-4C65-A724-0D9AD85A9E7A}" name="ID"/>
    <tableColumn id="3" xr3:uid="{624BEDBE-DCDC-4043-B305-6924684683C6}"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17AF045-3E04-4F2F-B766-1CF948ABDC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84D3951-C2F6-43F8-BA03-026E8B22526D}" name="Description"/>
    <tableColumn id="2" xr3:uid="{23AD8F31-762D-4923-B64E-5066AD906B5B}" name="ID"/>
    <tableColumn id="3" xr3:uid="{AB1B4BF4-583E-41FE-A7E0-D2FA52925EF1}"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3AE6333-6FA1-44C5-B23D-40B49A4B1055}"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AE5924C-BF6A-49C3-A970-5DE266306956}" name="Description"/>
    <tableColumn id="2" xr3:uid="{5AD1CC8D-1BFF-4457-A4C8-90E187A1AF95}" name="ID"/>
    <tableColumn id="3" xr3:uid="{07FFF851-372E-44EA-BA57-EA133FD0A5D3}"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 x14ac:dyDescent="0.25" customHeight="1"/>
  <sheetData>
    <row r="1" spans="1:1" x14ac:dyDescent="0.25" ht="30" customHeight="1">
      <c r="A1" t="s">
        <v>181</v>
      </c>
    </row>
    <row r="3" spans="1:1" x14ac:dyDescent="0.25" ht="20" customHeight="1">
      <c r="A3" s="112" t="str">
        <f>HYPERLINK("#'Home'!A1", "Home")</f>
        <v>Home</v>
      </c>
    </row>
    <row r="6" spans="1:1" x14ac:dyDescent="0.25" ht="20" customHeight="1">
      <c r="A6" s="111"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0" sqref="A20"/>
    </sheetView>
  </sheetViews>
  <sheetFormatPr defaultRowHeight="20" x14ac:dyDescent="0.25" customHeight="1"/>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 customHeight="1" x14ac:dyDescent="0.25">
      <c r="A20" s="17" t="str">
        <f>HYPERLINK("#'Constants - Common livestock'!A1", "Constants - Common livestock")</f>
        <v>Constants - Common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ht="20" customHeight="1">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ht="20" customHeight="1">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ht="20" customHeight="1">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ht="20" customHeight="1">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ht="20" customHeight="1">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ht="20" customHeight="1">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ht="20" customHeight="1">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ht="20" customHeight="1">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ht="20" customHeight="1">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ht="20" customHeight="1">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ht="20" customHeight="1">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ht="20" customHeight="1">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ht="20" customHeight="1">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ht="20" customHeight="1">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ht="20" customHeight="1">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ht="20" customHeight="1">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ht="20" customHeight="1">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ht="20" customHeight="1">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ht="20" customHeight="1">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ht="20" customHeight="1">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ht="20" customHeight="1">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ht="20" customHeight="1">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ht="20" customHeight="1">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ht="20" customHeight="1">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2" sqref="A22"/>
    </sheetView>
  </sheetViews>
  <sheetFormatPr defaultRowHeight="20" x14ac:dyDescent="0.25" customHeight="1"/>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 customHeight="1" x14ac:dyDescent="0.25">
      <c r="C2" s="9"/>
    </row>
    <row r="3" spans="1:12" ht="20" customHeight="1" x14ac:dyDescent="0.25">
      <c r="A3" s="17" t="str">
        <f>HYPERLINK("#'Home'!A1", "Home")</f>
        <v>Home</v>
      </c>
      <c r="C3" s="23"/>
      <c r="D3" s="23"/>
      <c r="E3" s="23"/>
      <c r="F3" s="23"/>
      <c r="G3" s="23"/>
      <c r="H3" s="23"/>
      <c r="I3" s="23"/>
      <c r="J3" s="23"/>
      <c r="K3" s="23"/>
      <c r="L3" s="23"/>
    </row>
    <row r="4" spans="1:12" ht="20" customHeight="1" x14ac:dyDescent="0.25">
      <c r="A4" s="17" t="str">
        <f>HYPERLINK("#'Overview'!A1", "Overview")</f>
        <v>Overview</v>
      </c>
      <c r="C4" s="23"/>
      <c r="D4" s="6" t="s">
        <v>2</v>
      </c>
      <c r="E4" s="25"/>
      <c r="F4" s="25"/>
      <c r="G4" s="25"/>
      <c r="H4" s="6"/>
      <c r="I4" s="6"/>
      <c r="J4" s="6"/>
      <c r="K4" s="6"/>
      <c r="L4" s="26"/>
    </row>
    <row r="5" spans="1:12" ht="20" customHeight="1" x14ac:dyDescent="0.3">
      <c r="A5" s="97" t="str">
        <f>HYPERLINK("#'Results'!A1", "Results")</f>
        <v>Results</v>
      </c>
      <c r="C5" s="23"/>
      <c r="D5" s="27"/>
      <c r="E5" s="28"/>
      <c r="F5" s="28"/>
      <c r="G5" s="28"/>
      <c r="H5" s="25"/>
      <c r="I5" s="23"/>
      <c r="J5" s="23"/>
      <c r="K5" s="23"/>
      <c r="L5" s="23"/>
    </row>
    <row r="6" spans="1:12" ht="20" customHeight="1" x14ac:dyDescent="0.25">
      <c r="C6" s="23"/>
      <c r="D6" s="96" t="s">
        <v>108</v>
      </c>
      <c r="E6" s="96" t="s">
        <v>130</v>
      </c>
      <c r="F6" s="96" t="s">
        <v>131</v>
      </c>
      <c r="G6" s="96" t="s">
        <v>122</v>
      </c>
      <c r="H6" s="96" t="s">
        <v>132</v>
      </c>
      <c r="I6" s="96" t="s">
        <v>134</v>
      </c>
      <c r="J6" s="96" t="s">
        <v>123</v>
      </c>
      <c r="K6" s="23"/>
      <c r="L6" s="23"/>
    </row>
    <row r="7" spans="1:12" ht="20" customHeight="1" x14ac:dyDescent="0.25">
      <c r="C7" s="23"/>
      <c r="D7" s="1" t="s">
        <v>153</v>
      </c>
      <c r="E7" s="94">
        <f ca="1">VEERG_3_1_1_1__1_TotalAnnualMethaneFromEntericFermentation_Result_Method1</f>
        <v>35.420230000000004</v>
      </c>
      <c r="F7" s="94">
        <f ca="1">VEERG_3_1_1_1__1_TotalAnnualMethaneFromEntericFermentation_Result_Method2</f>
        <v>35.420230000000004</v>
      </c>
      <c r="G7" s="50" t="str">
        <f>'3.1.1.1-2 Enteric Methane'!F67</f>
        <v>t CH4</v>
      </c>
      <c r="H7" s="94">
        <f ca="1">'3.1.1.1-2 Enteric Methane'!E72</f>
        <v>991.7664400000001</v>
      </c>
      <c r="I7" s="94">
        <f ca="1">'3.1.1.1-2 Enteric Methane'!N72</f>
        <v>991.7664400000001</v>
      </c>
      <c r="J7" s="50" t="s">
        <v>133</v>
      </c>
      <c r="K7" s="23"/>
      <c r="L7" s="23"/>
    </row>
    <row r="8" spans="1:12" ht="20" customHeight="1" x14ac:dyDescent="0.3">
      <c r="A8" s="19" t="s">
        <v>0</v>
      </c>
      <c r="C8" s="23"/>
      <c r="D8" s="30" t="s">
        <v>121</v>
      </c>
      <c r="E8" s="24"/>
      <c r="F8" s="30"/>
      <c r="G8" s="30"/>
      <c r="H8" s="95">
        <f ca="1">SUM(H7:H7)</f>
        <v>991.7664400000001</v>
      </c>
      <c r="I8" s="95">
        <f ca="1">SUM(I7:I7)</f>
        <v>991.7664400000001</v>
      </c>
      <c r="J8" s="89" t="s">
        <v>133</v>
      </c>
      <c r="K8" s="23"/>
      <c r="L8" s="23"/>
    </row>
    <row r="9" spans="1:12" ht="20" customHeight="1" x14ac:dyDescent="0.25">
      <c r="A9" s="17" t="str">
        <f>HYPERLINK("#'Input - Site'!A1", "Site")</f>
        <v>Site</v>
      </c>
      <c r="C9" s="23"/>
      <c r="D9" s="1"/>
      <c r="E9" s="1"/>
      <c r="F9" s="1"/>
      <c r="G9" s="25"/>
      <c r="H9" s="23"/>
      <c r="I9" s="1"/>
      <c r="J9" s="1"/>
      <c r="K9" s="23"/>
      <c r="L9" s="23"/>
    </row>
    <row r="10" spans="1:12" ht="20" customHeight="1" x14ac:dyDescent="0.25">
      <c r="A10" s="17" t="str">
        <f>HYPERLINK("#'Input - Feedlot'!A1", "Feedlot")</f>
        <v>Feedlot</v>
      </c>
      <c r="C10" s="23"/>
      <c r="D10" s="1"/>
      <c r="E10" s="1"/>
      <c r="F10" s="1"/>
      <c r="G10" s="1"/>
      <c r="H10" s="1"/>
      <c r="I10" s="1"/>
      <c r="J10" s="1"/>
      <c r="K10" s="23"/>
      <c r="L10" s="23"/>
    </row>
    <row r="11" spans="1:12" ht="20" customHeight="1" x14ac:dyDescent="0.25">
      <c r="C11" s="23"/>
      <c r="D11" s="1"/>
      <c r="E11" s="1"/>
      <c r="F11" s="1"/>
      <c r="G11" s="1"/>
      <c r="H11" s="1"/>
      <c r="I11" s="1"/>
      <c r="J11" s="1"/>
      <c r="K11" s="23"/>
      <c r="L11" s="23"/>
    </row>
    <row r="12" spans="1:12" ht="20" customHeight="1" x14ac:dyDescent="0.25">
      <c r="C12" s="23"/>
      <c r="D12" s="1"/>
      <c r="E12" s="1"/>
      <c r="F12" s="1"/>
      <c r="G12" s="1"/>
      <c r="H12" s="1"/>
      <c r="I12" s="1"/>
      <c r="J12" s="1"/>
      <c r="K12" s="23"/>
      <c r="L12" s="23"/>
    </row>
    <row r="13" spans="1:12" ht="20" customHeight="1" x14ac:dyDescent="0.25">
      <c r="A13" s="18" t="s">
        <v>53</v>
      </c>
      <c r="C13" s="23"/>
      <c r="D13" s="1"/>
      <c r="E13" s="1"/>
      <c r="F13" s="1"/>
      <c r="G13" s="1"/>
      <c r="H13" s="1"/>
      <c r="I13" s="1"/>
      <c r="J13" s="1"/>
      <c r="K13" s="23"/>
      <c r="L13" s="23"/>
    </row>
    <row r="14" spans="1:12" ht="20" customHeight="1" x14ac:dyDescent="0.25">
      <c r="A14" s="17" t="str">
        <f>HYPERLINK("#'3.1.1.1-2 Enteric Methane'!A1", "3.1.1.1-2 Enteric Methane")</f>
        <v>3.1.1.1-2 Enteric Methane</v>
      </c>
      <c r="C14" s="23"/>
      <c r="D14" s="1"/>
      <c r="E14" s="1"/>
      <c r="F14" s="1"/>
      <c r="G14" s="1"/>
      <c r="H14" s="1"/>
      <c r="I14" s="1"/>
      <c r="J14" s="1"/>
      <c r="K14" s="23"/>
      <c r="L14" s="23"/>
    </row>
    <row r="15" spans="1:12" ht="20" customHeight="1" x14ac:dyDescent="0.25">
      <c r="C15" s="23"/>
      <c r="D15" s="1"/>
      <c r="E15" s="1"/>
      <c r="F15" s="1"/>
      <c r="G15" s="1"/>
      <c r="H15" s="1"/>
      <c r="I15" s="1"/>
      <c r="J15" s="1"/>
      <c r="K15" s="23"/>
      <c r="L15" s="23"/>
    </row>
    <row r="16" spans="1:12" ht="20" customHeight="1" x14ac:dyDescent="0.25">
      <c r="C16" s="23"/>
      <c r="D16" s="1"/>
      <c r="E16" s="1"/>
      <c r="F16" s="1"/>
      <c r="G16" s="1"/>
      <c r="H16" s="1"/>
      <c r="I16" s="1"/>
      <c r="J16" s="1"/>
      <c r="K16" s="23"/>
      <c r="L16" s="23"/>
    </row>
    <row r="17" spans="1:12" ht="20" customHeight="1" x14ac:dyDescent="0.25">
      <c r="A17" s="111" t="s">
        <v>1</v>
      </c>
      <c r="C17" s="23"/>
      <c r="D17" s="1"/>
      <c r="E17" s="1"/>
      <c r="F17" s="1"/>
      <c r="G17" s="1"/>
      <c r="H17" s="1"/>
      <c r="I17" s="1"/>
      <c r="J17" s="1"/>
      <c r="K17" s="23"/>
      <c r="L17" s="23"/>
    </row>
    <row r="18" spans="1:12" ht="20" customHeight="1" x14ac:dyDescent="0.25">
      <c r="A18" s="17" t="str">
        <f>HYPERLINK("#'Constants - Feedlot'!A1", "Constants - Feedlot")</f>
        <v>Constants - Feedlot</v>
      </c>
      <c r="C18" s="23"/>
      <c r="D18" s="1"/>
      <c r="E18" s="1"/>
      <c r="F18" s="1"/>
      <c r="G18" s="1"/>
      <c r="H18" s="1"/>
      <c r="I18" s="1"/>
      <c r="J18" s="1"/>
      <c r="K18" s="23"/>
      <c r="L18" s="23"/>
    </row>
    <row r="19" spans="1:12" ht="20" customHeight="1" x14ac:dyDescent="0.25">
      <c r="A19" s="17" t="str">
        <f>HYPERLINK("#'Constants - Common'!A1", "Constants - Common")</f>
        <v>Constants - Common</v>
      </c>
      <c r="C19" s="23"/>
      <c r="D19" s="1"/>
      <c r="E19" s="1"/>
      <c r="F19" s="1"/>
      <c r="G19" s="1"/>
      <c r="H19" s="1"/>
      <c r="I19" s="1"/>
      <c r="J19" s="1"/>
      <c r="K19" s="23"/>
      <c r="L19" s="23"/>
    </row>
    <row r="20" spans="1:12" ht="20" customHeight="1" x14ac:dyDescent="0.25">
      <c r="A20" s="17" t="str">
        <f>HYPERLINK("#'Constants - Common livestock'!A1", "Constants - Common livestock")</f>
        <v>Constants - Common livestock</v>
      </c>
      <c r="C20" s="23"/>
      <c r="D20" s="1"/>
      <c r="E20" s="1"/>
      <c r="F20" s="1"/>
      <c r="G20" s="1"/>
      <c r="H20" s="1"/>
      <c r="I20" s="1"/>
      <c r="J20" s="1"/>
      <c r="K20" s="23"/>
      <c r="L20" s="23"/>
    </row>
    <row r="21" spans="1:12" ht="20" customHeight="1" x14ac:dyDescent="0.25">
      <c r="A21" s="17" t="str">
        <f>HYPERLINK("#'Acknowledgements'!A1", "Acknowledgements")</f>
        <v>Acknowledgements</v>
      </c>
      <c r="C21" s="23"/>
      <c r="D21" s="1"/>
      <c r="E21" s="1"/>
      <c r="F21" s="1"/>
      <c r="G21" s="1"/>
      <c r="H21" s="1"/>
      <c r="I21" s="1"/>
      <c r="J21" s="1"/>
      <c r="K21" s="23"/>
      <c r="L21" s="23"/>
    </row>
    <row r="22" spans="1:12" ht="20" customHeight="1" x14ac:dyDescent="0.25">
      <c r="A22" s="17" t="str">
        <f>HYPERLINK("#'Tab template'!A1", "Tab template")</f>
        <v>Tab template</v>
      </c>
      <c r="C22" s="23"/>
      <c r="D22" s="1"/>
      <c r="E22" s="1"/>
      <c r="F22" s="1"/>
      <c r="G22" s="1"/>
      <c r="H22" s="1"/>
      <c r="I22" s="1"/>
      <c r="J22" s="1"/>
      <c r="K22" s="23"/>
      <c r="L22" s="23"/>
    </row>
    <row r="23" spans="1:12" ht="20" customHeight="1" x14ac:dyDescent="0.25">
      <c r="C23" s="23"/>
      <c r="D23" s="1"/>
      <c r="E23" s="1"/>
      <c r="F23" s="1"/>
      <c r="G23" s="1"/>
      <c r="H23" s="1"/>
      <c r="I23" s="1"/>
      <c r="J23" s="1"/>
      <c r="K23" s="23"/>
      <c r="L23" s="23"/>
    </row>
    <row r="24" spans="1:12" ht="20" customHeight="1" x14ac:dyDescent="0.25">
      <c r="C24" s="23"/>
      <c r="D24" s="1"/>
      <c r="E24" s="1"/>
      <c r="F24" s="1"/>
      <c r="G24" s="1"/>
      <c r="H24" s="1"/>
      <c r="I24" s="1"/>
      <c r="J24" s="1"/>
      <c r="K24" s="23"/>
      <c r="L24" s="23"/>
    </row>
    <row r="25" spans="1:12" ht="20" customHeight="1" x14ac:dyDescent="0.25">
      <c r="C25" s="23"/>
      <c r="D25" s="1"/>
      <c r="E25" s="1"/>
      <c r="F25" s="1"/>
      <c r="G25" s="1"/>
      <c r="H25" s="1"/>
      <c r="I25" s="1"/>
      <c r="J25" s="1"/>
      <c r="K25" s="23"/>
      <c r="L25" s="23"/>
    </row>
    <row r="26" spans="1:12" ht="20" customHeight="1" x14ac:dyDescent="0.25">
      <c r="C26" s="23"/>
      <c r="D26" s="1"/>
      <c r="E26" s="1"/>
      <c r="F26" s="1"/>
      <c r="G26" s="1"/>
      <c r="H26" s="1"/>
      <c r="I26" s="1"/>
      <c r="J26" s="1"/>
      <c r="K26" s="23"/>
      <c r="L26" s="23"/>
    </row>
    <row r="27" spans="1:12" ht="20" customHeight="1" x14ac:dyDescent="0.25">
      <c r="C27" s="23"/>
      <c r="D27" s="1"/>
      <c r="E27" s="1"/>
      <c r="F27" s="1"/>
      <c r="G27" s="1"/>
      <c r="H27" s="1"/>
      <c r="I27" s="1"/>
      <c r="J27" s="1"/>
      <c r="K27" s="23"/>
      <c r="L27" s="23"/>
    </row>
    <row r="28" spans="1:12" ht="20" customHeight="1" x14ac:dyDescent="0.25">
      <c r="C28" s="23"/>
      <c r="D28" s="1"/>
      <c r="E28" s="1"/>
      <c r="F28" s="1"/>
      <c r="G28" s="1"/>
      <c r="H28" s="1"/>
      <c r="I28" s="1"/>
      <c r="J28" s="1"/>
      <c r="K28" s="23"/>
      <c r="L28" s="23"/>
    </row>
    <row r="29" spans="1:12" ht="20" customHeight="1" x14ac:dyDescent="0.25">
      <c r="C29" s="23"/>
      <c r="D29" s="1"/>
      <c r="E29" s="1"/>
      <c r="F29" s="1"/>
      <c r="G29" s="1"/>
      <c r="H29" s="23"/>
      <c r="I29" s="23"/>
      <c r="J29" s="23"/>
      <c r="K29" s="23"/>
      <c r="L29" s="23"/>
    </row>
    <row r="30" spans="1:12" ht="20" customHeight="1" x14ac:dyDescent="0.25">
      <c r="C30" s="23"/>
      <c r="D30" s="1"/>
      <c r="E30" s="1"/>
      <c r="F30" s="1"/>
      <c r="G30" s="1"/>
      <c r="H30" s="23"/>
      <c r="I30" s="23"/>
      <c r="J30" s="23"/>
      <c r="K30" s="23"/>
      <c r="L30" s="23"/>
    </row>
    <row r="31" spans="1:12" ht="20" customHeight="1" x14ac:dyDescent="0.25">
      <c r="C31" s="23"/>
      <c r="D31" s="1"/>
      <c r="E31" s="1"/>
      <c r="F31" s="1"/>
      <c r="G31" s="1"/>
      <c r="H31" s="23"/>
      <c r="I31" s="23"/>
      <c r="J31" s="23"/>
      <c r="K31" s="23"/>
      <c r="L31" s="23"/>
    </row>
    <row r="32" spans="1:12" ht="20" customHeight="1" x14ac:dyDescent="0.25">
      <c r="C32" s="23"/>
      <c r="D32" s="1"/>
      <c r="E32" s="1"/>
      <c r="F32" s="1"/>
      <c r="G32" s="1"/>
      <c r="H32" s="25"/>
      <c r="I32" s="23"/>
      <c r="J32" s="23"/>
      <c r="K32" s="23"/>
      <c r="L32" s="23"/>
    </row>
    <row r="33" spans="3:12" ht="20" customHeight="1" x14ac:dyDescent="0.3">
      <c r="C33" s="23"/>
      <c r="D33" s="1"/>
      <c r="E33" s="1"/>
      <c r="F33" s="1"/>
      <c r="G33" s="1"/>
      <c r="H33" s="28"/>
      <c r="I33" s="23"/>
      <c r="J33" s="23"/>
      <c r="K33" s="23"/>
      <c r="L33" s="23"/>
    </row>
    <row r="34" spans="3:12" ht="20" customHeight="1" x14ac:dyDescent="0.25">
      <c r="C34" s="23"/>
      <c r="D34" s="1"/>
      <c r="E34" s="1"/>
      <c r="F34" s="1"/>
      <c r="G34" s="1"/>
      <c r="H34" s="1"/>
      <c r="I34" s="23"/>
      <c r="J34" s="23"/>
      <c r="K34" s="23"/>
      <c r="L34" s="23"/>
    </row>
    <row r="35" spans="3:12" ht="20" customHeight="1" x14ac:dyDescent="0.25">
      <c r="C35" s="23"/>
      <c r="D35" s="1"/>
      <c r="E35" s="1"/>
      <c r="F35" s="1"/>
      <c r="G35" s="1"/>
      <c r="H35" s="1"/>
      <c r="I35" s="23"/>
      <c r="J35" s="23"/>
      <c r="K35" s="23"/>
      <c r="L35" s="23"/>
    </row>
    <row r="36" spans="3:12" ht="20" customHeight="1" x14ac:dyDescent="0.25">
      <c r="C36" s="23"/>
      <c r="D36" s="1"/>
      <c r="E36" s="1"/>
      <c r="F36" s="1"/>
      <c r="G36" s="1"/>
      <c r="H36" s="1"/>
      <c r="I36" s="23"/>
      <c r="J36" s="23"/>
      <c r="K36" s="23"/>
      <c r="L36" s="23"/>
    </row>
    <row r="37" spans="3:12" ht="20" customHeight="1" x14ac:dyDescent="0.25">
      <c r="C37" s="23"/>
      <c r="D37" s="1"/>
      <c r="E37" s="1"/>
      <c r="F37" s="1"/>
      <c r="G37" s="1"/>
      <c r="H37" s="1"/>
      <c r="I37" s="23"/>
      <c r="J37" s="23"/>
      <c r="K37" s="23"/>
      <c r="L37" s="23"/>
    </row>
    <row r="38" spans="3:12" ht="20" customHeight="1" x14ac:dyDescent="0.25">
      <c r="C38" s="23"/>
      <c r="D38" s="1"/>
      <c r="E38" s="1"/>
      <c r="F38" s="1"/>
      <c r="G38" s="1"/>
      <c r="H38" s="1"/>
      <c r="I38" s="93"/>
      <c r="J38" s="93"/>
      <c r="K38" s="93"/>
      <c r="L38" s="23"/>
    </row>
    <row r="39" spans="3:12" ht="20" customHeight="1" x14ac:dyDescent="0.25">
      <c r="C39" s="23"/>
      <c r="D39" s="1"/>
      <c r="E39" s="1"/>
      <c r="F39" s="1"/>
      <c r="G39" s="1"/>
      <c r="H39" s="1"/>
      <c r="I39" s="93"/>
      <c r="J39" s="93"/>
      <c r="K39" s="93"/>
      <c r="L39" s="23"/>
    </row>
    <row r="40" spans="3:12" ht="20" customHeight="1" x14ac:dyDescent="0.25">
      <c r="C40" s="23"/>
      <c r="D40" s="1"/>
      <c r="E40" s="1"/>
      <c r="F40" s="1"/>
      <c r="G40" s="1"/>
      <c r="H40" s="1"/>
      <c r="I40" s="93"/>
      <c r="J40" s="93"/>
      <c r="K40" s="93"/>
      <c r="L40" s="23"/>
    </row>
    <row r="41" spans="3:12" ht="20" customHeight="1" x14ac:dyDescent="0.25">
      <c r="C41" s="23"/>
      <c r="D41" s="1"/>
      <c r="E41" s="1"/>
      <c r="F41" s="1"/>
      <c r="G41" s="1"/>
      <c r="H41" s="1"/>
      <c r="I41" s="93"/>
      <c r="J41" s="93"/>
      <c r="K41" s="93"/>
      <c r="L41" s="23"/>
    </row>
    <row r="42" spans="3:12" ht="20" customHeight="1" x14ac:dyDescent="0.25">
      <c r="C42" s="23"/>
      <c r="D42" s="1"/>
      <c r="E42" s="1"/>
      <c r="F42" s="1"/>
      <c r="G42" s="1"/>
      <c r="H42" s="1"/>
      <c r="I42" s="93"/>
      <c r="J42" s="93"/>
      <c r="K42" s="93"/>
      <c r="L42" s="23"/>
    </row>
    <row r="43" spans="3:12" ht="20" customHeight="1" x14ac:dyDescent="0.25">
      <c r="C43" s="23"/>
      <c r="D43" s="1"/>
      <c r="E43" s="1"/>
      <c r="F43" s="1"/>
      <c r="G43" s="1"/>
      <c r="H43" s="1"/>
      <c r="I43" s="93"/>
      <c r="J43" s="93"/>
      <c r="K43" s="93"/>
      <c r="L43" s="23"/>
    </row>
    <row r="44" spans="3:12" ht="20" customHeight="1" x14ac:dyDescent="0.25">
      <c r="C44" s="23"/>
      <c r="D44" s="1"/>
      <c r="E44" s="1"/>
      <c r="F44" s="1"/>
      <c r="G44" s="1"/>
      <c r="H44" s="1"/>
      <c r="I44" s="93"/>
      <c r="J44" s="93"/>
      <c r="K44" s="93"/>
      <c r="L44" s="23"/>
    </row>
    <row r="45" spans="3:12" ht="20" customHeight="1" x14ac:dyDescent="0.25">
      <c r="C45" s="23"/>
      <c r="D45" s="1"/>
      <c r="E45" s="1"/>
      <c r="F45" s="1"/>
      <c r="G45" s="1"/>
      <c r="H45" s="1"/>
      <c r="I45" s="93"/>
      <c r="J45" s="93"/>
      <c r="K45" s="93"/>
      <c r="L45" s="23"/>
    </row>
    <row r="46" spans="3:12" ht="20" customHeight="1" x14ac:dyDescent="0.25">
      <c r="C46" s="23"/>
      <c r="D46" s="1"/>
      <c r="E46" s="1"/>
      <c r="F46" s="1"/>
      <c r="G46" s="1"/>
      <c r="H46" s="1"/>
      <c r="I46" s="93"/>
      <c r="J46" s="93"/>
      <c r="K46" s="93"/>
      <c r="L46" s="23"/>
    </row>
    <row r="47" spans="3:12" ht="20" customHeight="1" x14ac:dyDescent="0.25">
      <c r="C47" s="23"/>
      <c r="D47" s="1"/>
      <c r="E47" s="1"/>
      <c r="F47" s="1"/>
      <c r="G47" s="1"/>
      <c r="H47" s="1"/>
      <c r="I47" s="93"/>
      <c r="J47" s="93"/>
      <c r="K47" s="93"/>
      <c r="L47" s="23"/>
    </row>
    <row r="48" spans="3:12" ht="20" customHeight="1" x14ac:dyDescent="0.25">
      <c r="C48" s="23"/>
      <c r="D48" s="1"/>
      <c r="E48" s="1"/>
      <c r="F48" s="1"/>
      <c r="G48" s="1"/>
      <c r="H48" s="1"/>
      <c r="I48" s="93"/>
      <c r="J48" s="93"/>
      <c r="K48" s="93"/>
      <c r="L48" s="23"/>
    </row>
    <row r="49" spans="3:12" ht="20" customHeight="1" x14ac:dyDescent="0.25">
      <c r="C49" s="23"/>
      <c r="D49" s="1"/>
      <c r="E49" s="1"/>
      <c r="F49" s="1"/>
      <c r="G49" s="1"/>
      <c r="H49" s="93"/>
      <c r="I49" s="93"/>
      <c r="J49" s="93"/>
      <c r="K49" s="93"/>
      <c r="L49" s="23"/>
    </row>
    <row r="50" spans="3:12" ht="20" customHeight="1" x14ac:dyDescent="0.25">
      <c r="C50" s="23"/>
      <c r="D50" s="1"/>
      <c r="E50" s="1"/>
      <c r="F50" s="1"/>
      <c r="G50" s="1"/>
      <c r="H50" s="93"/>
      <c r="I50" s="93"/>
      <c r="J50" s="93"/>
      <c r="K50" s="93"/>
      <c r="L50" s="23"/>
    </row>
    <row r="51" spans="3:12" ht="20" customHeight="1" x14ac:dyDescent="0.25">
      <c r="C51" s="23"/>
      <c r="D51" s="1"/>
      <c r="E51" s="1"/>
      <c r="F51" s="1"/>
      <c r="G51" s="1"/>
      <c r="H51" s="93"/>
      <c r="I51" s="93"/>
      <c r="J51" s="93"/>
      <c r="K51" s="93"/>
      <c r="L51" s="23"/>
    </row>
    <row r="52" spans="3:12" ht="20" customHeight="1" x14ac:dyDescent="0.25">
      <c r="C52" s="23"/>
      <c r="D52" s="1"/>
      <c r="E52" s="1"/>
      <c r="F52" s="1"/>
      <c r="G52" s="1"/>
      <c r="H52" s="93"/>
      <c r="I52" s="93"/>
      <c r="J52" s="93"/>
      <c r="K52" s="93"/>
      <c r="L52" s="23"/>
    </row>
    <row r="53" spans="3:12" ht="20" customHeight="1" x14ac:dyDescent="0.25">
      <c r="C53" s="23"/>
      <c r="D53" s="1"/>
      <c r="E53" s="1"/>
      <c r="F53" s="1"/>
      <c r="G53" s="1"/>
      <c r="H53" s="93"/>
      <c r="I53" s="93"/>
      <c r="J53" s="93"/>
      <c r="K53" s="93"/>
      <c r="L53" s="23"/>
    </row>
    <row r="54" spans="3:12" ht="20" customHeight="1" x14ac:dyDescent="0.25">
      <c r="C54" s="23"/>
      <c r="D54" s="1"/>
      <c r="E54" s="1"/>
      <c r="F54" s="1"/>
      <c r="G54" s="1"/>
      <c r="H54" s="23"/>
      <c r="I54" s="23"/>
      <c r="J54" s="23"/>
      <c r="K54" s="23"/>
      <c r="L54" s="23"/>
    </row>
    <row r="55" spans="3:12" ht="20" customHeight="1" x14ac:dyDescent="0.25">
      <c r="C55" s="23"/>
      <c r="D55" s="1"/>
      <c r="E55" s="1"/>
      <c r="F55" s="1"/>
      <c r="G55" s="1"/>
      <c r="H55" s="23"/>
      <c r="I55" s="23"/>
      <c r="J55" s="23"/>
      <c r="K55" s="23"/>
      <c r="L55" s="23"/>
    </row>
    <row r="56" spans="3:12" ht="20" customHeight="1" x14ac:dyDescent="0.25">
      <c r="C56" s="23"/>
      <c r="D56" s="1"/>
      <c r="E56" s="1"/>
      <c r="F56" s="1"/>
      <c r="G56" s="1"/>
      <c r="H56" s="23"/>
      <c r="I56" s="23"/>
      <c r="J56" s="23"/>
      <c r="K56" s="23"/>
      <c r="L56" s="23"/>
    </row>
    <row r="57" spans="3:12" ht="20" customHeight="1" x14ac:dyDescent="0.25">
      <c r="C57" s="23"/>
      <c r="D57" s="1"/>
      <c r="E57" s="1"/>
      <c r="F57" s="1"/>
      <c r="G57" s="1"/>
      <c r="H57" s="23"/>
      <c r="I57" s="23"/>
      <c r="J57" s="23"/>
      <c r="K57" s="23"/>
      <c r="L57" s="23"/>
    </row>
    <row r="58" spans="3:12" ht="20" customHeight="1" x14ac:dyDescent="0.25">
      <c r="C58" s="23"/>
      <c r="D58" s="1"/>
      <c r="E58" s="31"/>
      <c r="F58" s="29"/>
      <c r="G58" s="23"/>
      <c r="H58" s="23"/>
      <c r="I58" s="23"/>
      <c r="J58" s="23"/>
      <c r="K58" s="23"/>
      <c r="L58" s="23"/>
    </row>
    <row r="59" spans="3:12" ht="20" customHeight="1" x14ac:dyDescent="0.25">
      <c r="C59" s="23"/>
      <c r="D59" s="1"/>
      <c r="E59" s="1"/>
      <c r="F59" s="1"/>
      <c r="G59" s="1"/>
      <c r="H59" s="1"/>
      <c r="I59" s="1"/>
      <c r="J59" s="1"/>
      <c r="K59" s="1"/>
      <c r="L59" s="23"/>
    </row>
    <row r="60" spans="3:12" ht="20" customHeight="1" x14ac:dyDescent="0.25">
      <c r="C60" s="23"/>
      <c r="D60" s="1"/>
      <c r="E60" s="1"/>
      <c r="F60" s="1"/>
      <c r="G60" s="1"/>
      <c r="H60" s="1"/>
      <c r="I60" s="1"/>
      <c r="J60" s="1"/>
      <c r="K60" s="1"/>
      <c r="L60" s="23"/>
    </row>
    <row r="61" spans="3:12" ht="20" customHeight="1" x14ac:dyDescent="0.25">
      <c r="C61" s="23"/>
      <c r="D61" s="1"/>
      <c r="E61" s="1"/>
      <c r="F61" s="1"/>
      <c r="G61" s="1"/>
      <c r="H61" s="1"/>
      <c r="I61" s="1"/>
      <c r="J61" s="1"/>
      <c r="K61" s="1"/>
      <c r="L61" s="23"/>
    </row>
    <row r="62" spans="3:12" ht="20" customHeight="1" x14ac:dyDescent="0.25">
      <c r="C62" s="23"/>
      <c r="D62" s="1"/>
      <c r="E62" s="1"/>
      <c r="F62" s="1"/>
      <c r="G62" s="1"/>
      <c r="H62" s="1"/>
      <c r="I62" s="1"/>
      <c r="J62" s="1"/>
      <c r="K62" s="1"/>
      <c r="L62" s="23"/>
    </row>
    <row r="63" spans="3:12" ht="20" customHeight="1" x14ac:dyDescent="0.25">
      <c r="C63" s="23"/>
      <c r="D63" s="1"/>
      <c r="E63" s="1"/>
      <c r="F63" s="1"/>
      <c r="G63" s="1"/>
      <c r="H63" s="1"/>
      <c r="I63" s="1"/>
      <c r="J63" s="1"/>
      <c r="K63" s="1"/>
      <c r="L63" s="23"/>
    </row>
    <row r="64" spans="3:12" ht="20" customHeight="1" x14ac:dyDescent="0.25">
      <c r="C64" s="23"/>
      <c r="D64" s="1"/>
      <c r="E64" s="1"/>
      <c r="F64" s="1"/>
      <c r="G64" s="1"/>
      <c r="H64" s="1"/>
      <c r="I64" s="1"/>
      <c r="J64" s="1"/>
      <c r="K64" s="1"/>
      <c r="L64" s="23"/>
    </row>
    <row r="65" spans="3:12" ht="20" customHeight="1" x14ac:dyDescent="0.25">
      <c r="C65" s="23"/>
      <c r="D65" s="1"/>
      <c r="E65" s="1"/>
      <c r="F65" s="1"/>
      <c r="G65" s="1"/>
      <c r="H65" s="1"/>
      <c r="I65" s="1"/>
      <c r="J65" s="1"/>
      <c r="K65" s="1"/>
      <c r="L65" s="23"/>
    </row>
    <row r="66" spans="3:12" ht="20" customHeight="1" x14ac:dyDescent="0.25">
      <c r="C66" s="23"/>
      <c r="D66" s="1"/>
      <c r="E66" s="1"/>
      <c r="F66" s="1"/>
      <c r="G66" s="1"/>
      <c r="H66" s="1"/>
      <c r="I66" s="1"/>
      <c r="J66" s="1"/>
      <c r="K66" s="1"/>
      <c r="L66" s="23"/>
    </row>
    <row r="67" spans="3:12" ht="20" customHeight="1" x14ac:dyDescent="0.25">
      <c r="C67" s="23"/>
      <c r="D67" s="1"/>
      <c r="E67" s="1"/>
      <c r="F67" s="1"/>
      <c r="G67" s="1"/>
      <c r="H67" s="1"/>
      <c r="I67" s="1"/>
      <c r="J67" s="1"/>
      <c r="K67" s="1"/>
      <c r="L67" s="23"/>
    </row>
    <row r="68" spans="3:12" ht="20" customHeight="1" x14ac:dyDescent="0.25">
      <c r="C68" s="23"/>
      <c r="D68" s="1"/>
      <c r="E68" s="1"/>
      <c r="F68" s="1"/>
      <c r="G68" s="1"/>
      <c r="H68" s="1"/>
      <c r="I68" s="1"/>
      <c r="J68" s="1"/>
      <c r="K68" s="1"/>
      <c r="L68" s="23"/>
    </row>
    <row r="69" spans="3:12" ht="20" customHeight="1" x14ac:dyDescent="0.25">
      <c r="C69" s="23"/>
      <c r="D69" s="1"/>
      <c r="E69" s="1"/>
      <c r="F69" s="1"/>
      <c r="G69" s="1"/>
      <c r="H69" s="1"/>
      <c r="I69" s="1"/>
      <c r="J69" s="1"/>
      <c r="K69" s="1"/>
      <c r="L69" s="23"/>
    </row>
    <row r="70" spans="3:12" ht="20" customHeight="1" x14ac:dyDescent="0.25">
      <c r="C70" s="23"/>
      <c r="D70" s="1"/>
      <c r="E70" s="1"/>
      <c r="F70" s="1"/>
      <c r="G70" s="1"/>
      <c r="H70" s="1"/>
      <c r="I70" s="1"/>
      <c r="J70" s="1"/>
      <c r="K70" s="1"/>
      <c r="L70" s="23"/>
    </row>
    <row r="71" spans="3:12" ht="20" customHeight="1" x14ac:dyDescent="0.25">
      <c r="C71" s="23"/>
      <c r="D71" s="1"/>
      <c r="E71" s="1"/>
      <c r="F71" s="1"/>
      <c r="G71" s="1"/>
      <c r="H71" s="1"/>
      <c r="I71" s="1"/>
      <c r="J71" s="1"/>
      <c r="K71" s="1"/>
      <c r="L71" s="23"/>
    </row>
    <row r="72" spans="3:12" ht="20" customHeight="1" x14ac:dyDescent="0.25">
      <c r="C72" s="23"/>
      <c r="D72" s="1"/>
      <c r="E72" s="1"/>
      <c r="F72" s="1"/>
      <c r="G72" s="1"/>
      <c r="H72" s="1"/>
      <c r="I72" s="1"/>
      <c r="J72" s="1"/>
      <c r="K72" s="1"/>
      <c r="L72" s="23"/>
    </row>
    <row r="73" spans="3:12" ht="20" customHeight="1" x14ac:dyDescent="0.25">
      <c r="C73" s="23"/>
      <c r="D73" s="1"/>
      <c r="E73" s="1"/>
      <c r="F73" s="1"/>
      <c r="G73" s="1"/>
      <c r="H73" s="1"/>
      <c r="I73" s="1"/>
      <c r="J73" s="1"/>
      <c r="K73" s="1"/>
      <c r="L73" s="23"/>
    </row>
    <row r="74" spans="3:12" ht="20" customHeight="1" x14ac:dyDescent="0.25">
      <c r="C74" s="23"/>
      <c r="D74" s="1"/>
      <c r="E74" s="1"/>
      <c r="F74" s="1"/>
      <c r="G74" s="1"/>
      <c r="H74" s="1"/>
      <c r="I74" s="1"/>
      <c r="J74" s="1"/>
      <c r="K74" s="1"/>
      <c r="L74" s="23"/>
    </row>
    <row r="75" spans="3:12" ht="20" customHeight="1" x14ac:dyDescent="0.25">
      <c r="C75" s="23"/>
      <c r="D75" s="1"/>
      <c r="E75" s="1"/>
      <c r="F75" s="1"/>
      <c r="G75" s="1"/>
      <c r="H75" s="1"/>
      <c r="I75" s="1"/>
      <c r="J75" s="1"/>
      <c r="K75" s="1"/>
      <c r="L75" s="23"/>
    </row>
    <row r="76" spans="3:12" ht="20" x14ac:dyDescent="0.25" customHeight="1">
      <c r="C76" s="23"/>
      <c r="D76" s="1"/>
      <c r="E76" s="1"/>
      <c r="F76" s="1"/>
      <c r="G76" s="1"/>
      <c r="H76" s="1"/>
      <c r="I76" s="1"/>
      <c r="J76" s="1"/>
      <c r="K76" s="1"/>
      <c r="L76" s="23"/>
    </row>
    <row r="77" spans="3:12" ht="20" x14ac:dyDescent="0.25" customHeight="1">
      <c r="C77" s="23"/>
      <c r="D77" s="1"/>
      <c r="E77" s="1"/>
      <c r="F77" s="1"/>
      <c r="G77" s="1"/>
      <c r="H77" s="1"/>
      <c r="I77" s="1"/>
      <c r="J77" s="1"/>
      <c r="K77" s="1"/>
      <c r="L77" s="23"/>
    </row>
    <row r="78" spans="3:12" ht="20" x14ac:dyDescent="0.25" customHeight="1">
      <c r="C78" s="23"/>
      <c r="D78" s="1"/>
      <c r="E78" s="1"/>
      <c r="F78" s="1"/>
      <c r="G78" s="1"/>
      <c r="H78" s="1"/>
      <c r="I78" s="1"/>
      <c r="J78" s="1"/>
      <c r="K78" s="1"/>
      <c r="L78" s="23"/>
    </row>
    <row r="79" spans="3:12" ht="20" x14ac:dyDescent="0.25" customHeight="1">
      <c r="C79" s="23"/>
      <c r="D79" s="1"/>
      <c r="E79" s="1"/>
      <c r="F79" s="1"/>
      <c r="G79" s="1"/>
      <c r="H79" s="1"/>
      <c r="I79" s="1"/>
      <c r="J79" s="1"/>
      <c r="K79" s="1"/>
      <c r="L79" s="23"/>
    </row>
    <row r="80" spans="3:12" ht="20" x14ac:dyDescent="0.25" customHeight="1">
      <c r="C80" s="23"/>
      <c r="D80" s="1"/>
      <c r="E80" s="1"/>
      <c r="F80" s="1"/>
      <c r="G80" s="1"/>
      <c r="H80" s="1"/>
      <c r="I80" s="1"/>
      <c r="J80" s="1"/>
      <c r="K80" s="1"/>
      <c r="L80" s="23"/>
    </row>
    <row r="81" spans="3:12" ht="20" x14ac:dyDescent="0.25" customHeight="1">
      <c r="C81" s="23"/>
      <c r="D81" s="1"/>
      <c r="E81" s="1"/>
      <c r="F81" s="1"/>
      <c r="G81" s="1"/>
      <c r="H81" s="1"/>
      <c r="I81" s="1"/>
      <c r="J81" s="1"/>
      <c r="K81" s="1"/>
      <c r="L81" s="23"/>
    </row>
    <row r="82" spans="3:12" ht="20" x14ac:dyDescent="0.25" customHeight="1">
      <c r="C82" s="23"/>
      <c r="D82" s="1"/>
      <c r="E82" s="1"/>
      <c r="F82" s="1"/>
      <c r="G82" s="1"/>
      <c r="H82" s="1"/>
      <c r="I82" s="1"/>
      <c r="J82" s="1"/>
      <c r="K82" s="1"/>
      <c r="L82" s="23"/>
    </row>
    <row r="83" spans="3:12" ht="20" x14ac:dyDescent="0.25" customHeight="1">
      <c r="C83" s="23"/>
      <c r="D83" s="1"/>
      <c r="E83" s="1"/>
      <c r="F83" s="1"/>
      <c r="G83" s="1"/>
      <c r="H83" s="1"/>
      <c r="I83" s="1"/>
      <c r="J83" s="1"/>
      <c r="K83" s="1"/>
      <c r="L83" s="23"/>
    </row>
    <row r="84" spans="3:12" ht="20" x14ac:dyDescent="0.25" customHeight="1">
      <c r="C84" s="23"/>
      <c r="D84" s="1"/>
      <c r="E84" s="1"/>
      <c r="F84" s="1"/>
      <c r="G84" s="1"/>
      <c r="H84" s="1"/>
      <c r="I84" s="1"/>
      <c r="J84" s="1"/>
      <c r="K84" s="1"/>
      <c r="L84" s="23"/>
    </row>
    <row r="85" spans="3:12" ht="20" x14ac:dyDescent="0.25" customHeight="1">
      <c r="C85" s="23"/>
      <c r="D85" s="1"/>
      <c r="E85" s="1"/>
      <c r="F85" s="1"/>
      <c r="G85" s="1"/>
      <c r="H85" s="1"/>
      <c r="I85" s="1"/>
      <c r="J85" s="1"/>
      <c r="K85" s="1"/>
      <c r="L85" s="23"/>
    </row>
    <row r="86" spans="3:12" x14ac:dyDescent="0.25" ht="20" customHeight="1">
      <c r="C86" s="23"/>
      <c r="D86" s="23"/>
      <c r="E86" s="23"/>
      <c r="F86" s="23"/>
      <c r="G86" s="23"/>
      <c r="H86" s="23"/>
      <c r="I86" s="23"/>
      <c r="J86" s="23"/>
      <c r="K86" s="23"/>
      <c r="L86" s="23"/>
    </row>
    <row r="87" spans="3:12" x14ac:dyDescent="0.25" ht="20" customHeight="1">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10" sqref="A10"/>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61"/>
      <c r="D4" s="61"/>
      <c r="E4" s="61"/>
      <c r="F4" s="61"/>
      <c r="G4" s="61"/>
      <c r="H4" s="61"/>
      <c r="I4" s="61"/>
      <c r="J4" s="61"/>
      <c r="K4" s="61"/>
    </row>
    <row r="5" spans="1:24" ht="20" customHeight="1" x14ac:dyDescent="0.25">
      <c r="A5" s="17" t="str">
        <f>HYPERLINK("#'Results'!A1", "Results")</f>
        <v>Results</v>
      </c>
      <c r="D5" s="6" t="s">
        <v>6</v>
      </c>
      <c r="N5" s="39"/>
    </row>
    <row r="6" spans="1:24" ht="20" customHeight="1" x14ac:dyDescent="0.25">
      <c r="A6"/>
      <c r="D6" s="14"/>
      <c r="N6" s="40"/>
    </row>
    <row r="7" spans="1:24" ht="20" customHeight="1" x14ac:dyDescent="0.25">
      <c r="A7"/>
      <c r="D7" s="1" t="s">
        <v>4</v>
      </c>
      <c r="E7" s="32" t="s">
        <v>3</v>
      </c>
      <c r="F7" s="2"/>
    </row>
    <row r="8" spans="1:24" ht="20" customHeight="1" x14ac:dyDescent="0.25">
      <c r="A8" s="19" t="s">
        <v>0</v>
      </c>
      <c r="D8" s="10" t="s">
        <v>51</v>
      </c>
      <c r="E8" s="32" t="s">
        <v>52</v>
      </c>
    </row>
    <row r="9" spans="1:24" ht="20" customHeight="1" x14ac:dyDescent="0.25">
      <c r="A9" s="20" t="str">
        <f>HYPERLINK("#'Input - Site'!A1", "Site")</f>
        <v>Site</v>
      </c>
      <c r="N9" s="41"/>
    </row>
    <row r="10" spans="1:24" ht="20" customHeight="1" x14ac:dyDescent="0.25">
      <c r="A10" s="17" t="str">
        <f>HYPERLINK("#'Input - Feedlot'!A1", "Feedlot")</f>
        <v>Feedlot</v>
      </c>
      <c r="D10" s="78" t="s">
        <v>66</v>
      </c>
      <c r="E10" s="76"/>
      <c r="F10" s="79"/>
      <c r="G10" s="73"/>
      <c r="N10" s="41"/>
    </row>
    <row r="11" spans="1:24" ht="20" customHeight="1" x14ac:dyDescent="0.25">
      <c r="A11"/>
      <c r="N11" s="42"/>
    </row>
    <row r="12" spans="1:24" ht="20" customHeight="1" x14ac:dyDescent="0.25">
      <c r="A12"/>
      <c r="D12" s="10" t="s">
        <v>70</v>
      </c>
      <c r="E12" s="57">
        <v>45292</v>
      </c>
      <c r="F12" s="2" t="s">
        <v>50</v>
      </c>
    </row>
    <row r="13" spans="1:24" ht="20" customHeight="1" x14ac:dyDescent="0.25">
      <c r="A13" s="18" t="s">
        <v>53</v>
      </c>
      <c r="D13" s="10" t="s">
        <v>71</v>
      </c>
      <c r="E13" s="62">
        <f>DATE(YEAR(Input_Site_StartDate)+1,MONTH(Input_Site_StartDate),DAY(Input_Site_StartDate))-1</f>
        <v>45657</v>
      </c>
      <c r="F13" s="2" t="s">
        <v>7</v>
      </c>
      <c r="N13" s="37"/>
      <c r="O13" s="37"/>
    </row>
    <row r="14" spans="1:24" ht="20" customHeight="1" x14ac:dyDescent="0.25">
      <c r="A14" s="17" t="str">
        <f>HYPERLINK("#'3.1.1.1-2 Enteric Methane'!A1", "3.1.1.1-2 Enteric Methane")</f>
        <v>3.1.1.1-2 Enteric Methane</v>
      </c>
      <c r="N14" s="37"/>
      <c r="O14" s="37"/>
    </row>
    <row r="15" spans="1:24" ht="20" customHeight="1" x14ac:dyDescent="0.25">
      <c r="A15"/>
      <c r="D15" s="33"/>
      <c r="E15" s="33"/>
      <c r="F15" s="33"/>
      <c r="G15" s="33"/>
      <c r="H15" s="33"/>
      <c r="I15" s="33"/>
      <c r="J15" s="33"/>
      <c r="K15" s="33"/>
      <c r="N15" s="37"/>
      <c r="O15" s="37"/>
    </row>
    <row r="16" spans="1:24" ht="20" customHeight="1" x14ac:dyDescent="0.25">
      <c r="A16"/>
      <c r="D16" s="33"/>
      <c r="E16" s="33"/>
      <c r="F16" s="33"/>
      <c r="G16" s="33"/>
      <c r="H16" s="33"/>
      <c r="I16" s="33"/>
      <c r="J16" s="33"/>
      <c r="K16" s="33"/>
      <c r="N16" s="37"/>
      <c r="O16" s="37"/>
    </row>
    <row r="17" spans="1:25" ht="20" customHeight="1" x14ac:dyDescent="0.25">
      <c r="A17" s="111" t="s">
        <v>1</v>
      </c>
      <c r="D17" s="33"/>
      <c r="E17" s="33"/>
      <c r="F17" s="33"/>
      <c r="G17" s="33"/>
      <c r="H17" s="33"/>
      <c r="I17" s="33"/>
      <c r="J17" s="33"/>
      <c r="K17" s="33"/>
    </row>
    <row r="18" spans="1:25" ht="20" customHeight="1" x14ac:dyDescent="0.25">
      <c r="A18" s="17" t="str">
        <f>HYPERLINK("#'Constants - Feedlot'!A1", "Constants - Feedlot")</f>
        <v>Constants - Feedlot</v>
      </c>
      <c r="D18" s="33"/>
      <c r="E18" s="33"/>
      <c r="F18" s="33"/>
      <c r="G18" s="33"/>
      <c r="H18" s="33"/>
      <c r="I18" s="33"/>
      <c r="J18" s="33"/>
      <c r="K18" s="33"/>
    </row>
    <row r="19" spans="1:25" ht="20" customHeight="1" x14ac:dyDescent="0.25">
      <c r="A19" s="17" t="str">
        <f>HYPERLINK("#'Constants - Common'!A1", "Constants - Common")</f>
        <v>Constants - Common</v>
      </c>
      <c r="D19" s="33"/>
      <c r="E19" s="33"/>
      <c r="F19" s="33"/>
      <c r="G19" s="33"/>
      <c r="H19" s="33"/>
      <c r="I19" s="33"/>
      <c r="J19" s="33"/>
      <c r="K19" s="33"/>
      <c r="N19" s="39"/>
    </row>
    <row r="20" spans="1:25" ht="20" customHeight="1" x14ac:dyDescent="0.25">
      <c r="A20" s="17" t="str">
        <f>HYPERLINK("#'Constants - Common livestock'!A1", "Constants - Common livestock")</f>
        <v>Constants - Common livestock</v>
      </c>
      <c r="D20" s="33"/>
      <c r="E20" s="33"/>
      <c r="F20" s="33"/>
      <c r="G20" s="33"/>
      <c r="H20" s="33"/>
      <c r="I20" s="33"/>
      <c r="J20" s="33"/>
      <c r="K20" s="33"/>
      <c r="N20" s="40"/>
    </row>
    <row r="21" spans="1:25" ht="20" customHeight="1" x14ac:dyDescent="0.25">
      <c r="A21" s="17" t="str">
        <f>HYPERLINK("#'Acknowledgements'!A1", "Acknowledgements")</f>
        <v>Acknowledgements</v>
      </c>
      <c r="D21" s="33"/>
      <c r="E21" s="33"/>
      <c r="F21" s="33"/>
      <c r="G21" s="33"/>
      <c r="H21" s="33"/>
      <c r="I21" s="33"/>
      <c r="J21" s="33"/>
      <c r="K21" s="33"/>
    </row>
    <row r="22" spans="1:25" ht="20" customHeight="1" x14ac:dyDescent="0.25">
      <c r="A22" s="17" t="str">
        <f>HYPERLINK("#'Tab template'!A1", "Tab template")</f>
        <v>Tab template</v>
      </c>
      <c r="D22" s="33"/>
      <c r="E22" s="33"/>
      <c r="F22" s="33"/>
      <c r="G22" s="33"/>
      <c r="H22" s="33"/>
      <c r="I22" s="33"/>
      <c r="J22" s="33"/>
      <c r="K22" s="33"/>
    </row>
    <row r="23" spans="1:25" ht="20" customHeight="1" x14ac:dyDescent="0.25">
      <c r="A23"/>
      <c r="D23" s="33"/>
      <c r="E23" s="33"/>
      <c r="F23" s="33"/>
      <c r="G23" s="33"/>
      <c r="H23" s="33"/>
      <c r="I23" s="33"/>
      <c r="J23" s="33"/>
      <c r="K23" s="33"/>
    </row>
    <row r="24" spans="1:25" ht="20" customHeight="1" x14ac:dyDescent="0.25">
      <c r="A24"/>
      <c r="D24" s="33"/>
      <c r="E24" s="33"/>
      <c r="F24" s="33"/>
      <c r="G24" s="33"/>
      <c r="H24" s="33"/>
      <c r="I24" s="33"/>
      <c r="J24" s="33"/>
      <c r="K24" s="33"/>
    </row>
    <row r="25" spans="1:25" ht="20" customHeight="1" x14ac:dyDescent="0.25">
      <c r="A25"/>
      <c r="D25" s="33"/>
      <c r="E25" s="33"/>
      <c r="F25" s="33"/>
      <c r="G25" s="33"/>
      <c r="H25" s="33"/>
      <c r="I25" s="33"/>
      <c r="J25" s="33"/>
      <c r="K25" s="33"/>
      <c r="N25" s="40"/>
    </row>
    <row r="26" spans="1:25" ht="20" customHeight="1" x14ac:dyDescent="0.25">
      <c r="A26"/>
      <c r="D26" s="33"/>
      <c r="E26" s="33"/>
      <c r="F26" s="33"/>
      <c r="G26" s="33"/>
      <c r="H26" s="33"/>
      <c r="I26" s="33"/>
      <c r="J26" s="33"/>
      <c r="K26" s="33"/>
    </row>
    <row r="27" spans="1:25" ht="20" customHeight="1" x14ac:dyDescent="0.25">
      <c r="A27"/>
      <c r="D27" s="33"/>
      <c r="E27" s="33"/>
      <c r="F27" s="33"/>
      <c r="G27" s="33"/>
      <c r="H27" s="33"/>
      <c r="I27" s="33"/>
      <c r="J27" s="33"/>
      <c r="K27" s="33"/>
    </row>
    <row r="28" spans="1:25" ht="20" customHeight="1" x14ac:dyDescent="0.25">
      <c r="A28"/>
      <c r="D28" s="33"/>
      <c r="E28" s="33"/>
      <c r="F28" s="33"/>
      <c r="G28" s="33"/>
      <c r="H28" s="33"/>
      <c r="I28" s="33"/>
      <c r="J28" s="33"/>
      <c r="K28" s="33"/>
    </row>
    <row r="29" spans="1:25" ht="20" customHeight="1" x14ac:dyDescent="0.25">
      <c r="A29"/>
      <c r="D29" s="33"/>
      <c r="E29" s="33"/>
      <c r="F29" s="33"/>
      <c r="G29" s="33"/>
      <c r="H29" s="33"/>
      <c r="I29" s="33"/>
      <c r="J29" s="33"/>
      <c r="K29" s="33"/>
    </row>
    <row r="30" spans="1:25" ht="20"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 customHeight="1" x14ac:dyDescent="0.25">
      <c r="A41"/>
      <c r="D41" s="33"/>
      <c r="E41" s="33"/>
      <c r="F41" s="33"/>
      <c r="G41" s="33"/>
      <c r="H41" s="33"/>
      <c r="I41" s="33"/>
      <c r="J41" s="33"/>
      <c r="K41" s="33"/>
    </row>
    <row r="42" spans="1:25" ht="20" customHeight="1" x14ac:dyDescent="0.25">
      <c r="A42"/>
      <c r="D42" s="33"/>
      <c r="E42" s="33"/>
      <c r="F42" s="33"/>
      <c r="G42" s="33"/>
      <c r="H42" s="33"/>
      <c r="I42" s="33"/>
      <c r="J42" s="33"/>
      <c r="K42" s="33"/>
    </row>
    <row r="43" spans="1:25" ht="20" customHeight="1" x14ac:dyDescent="0.25">
      <c r="A43"/>
      <c r="D43" s="33"/>
      <c r="E43" s="33"/>
      <c r="F43" s="33"/>
      <c r="G43" s="33"/>
      <c r="H43" s="33"/>
      <c r="I43" s="33"/>
      <c r="J43" s="33"/>
      <c r="K43" s="33"/>
    </row>
    <row r="44" spans="1:25" ht="20" customHeight="1" x14ac:dyDescent="0.25">
      <c r="A44"/>
      <c r="D44" s="33"/>
      <c r="E44" s="33"/>
      <c r="F44" s="33"/>
      <c r="G44" s="33"/>
      <c r="H44" s="33"/>
      <c r="I44" s="33"/>
      <c r="J44" s="33"/>
      <c r="K44" s="33"/>
    </row>
    <row r="45" spans="1:25" ht="20" customHeight="1" x14ac:dyDescent="0.25">
      <c r="A45"/>
      <c r="D45" s="33"/>
      <c r="E45" s="33"/>
      <c r="F45" s="33"/>
      <c r="G45" s="33"/>
      <c r="H45" s="33"/>
      <c r="I45" s="33"/>
      <c r="J45" s="33"/>
      <c r="K45" s="33"/>
    </row>
    <row r="46" spans="1:25" ht="20" customHeight="1" x14ac:dyDescent="0.25">
      <c r="A46"/>
      <c r="D46" s="33"/>
      <c r="E46" s="33"/>
      <c r="F46" s="33"/>
      <c r="G46" s="33"/>
      <c r="H46" s="33"/>
      <c r="I46" s="33"/>
      <c r="J46" s="33"/>
      <c r="K46" s="33"/>
    </row>
    <row r="47" spans="1:25" ht="20" customHeight="1" x14ac:dyDescent="0.25">
      <c r="A47"/>
      <c r="D47" s="33"/>
      <c r="E47" s="33"/>
      <c r="F47" s="33"/>
      <c r="G47" s="33"/>
      <c r="H47" s="33"/>
      <c r="I47" s="33"/>
      <c r="J47" s="33"/>
      <c r="K47" s="33"/>
    </row>
    <row r="48" spans="1:25" ht="20" customHeight="1" x14ac:dyDescent="0.25">
      <c r="A48"/>
      <c r="D48" s="33"/>
      <c r="E48" s="33"/>
      <c r="F48" s="33"/>
      <c r="G48" s="33"/>
      <c r="H48" s="33"/>
      <c r="I48" s="33"/>
      <c r="J48" s="33"/>
      <c r="K48" s="33"/>
    </row>
    <row r="49" spans="1:8" ht="20" customHeight="1" x14ac:dyDescent="0.25">
      <c r="A49"/>
      <c r="D49" s="33"/>
      <c r="E49" s="33"/>
      <c r="F49" s="34"/>
      <c r="G49" s="34"/>
      <c r="H49" s="33"/>
    </row>
    <row r="50" spans="1:8" ht="20" customHeight="1" x14ac:dyDescent="0.25">
      <c r="A50"/>
      <c r="D50" s="33"/>
      <c r="E50" s="33"/>
      <c r="F50" s="34"/>
      <c r="G50" s="34"/>
      <c r="H50" s="33"/>
    </row>
    <row r="51" spans="1:8" ht="20" customHeight="1" x14ac:dyDescent="0.25">
      <c r="A51"/>
      <c r="D51" s="63"/>
      <c r="E51" s="64"/>
      <c r="F51" s="64"/>
      <c r="G51" s="64"/>
      <c r="H51" s="65"/>
    </row>
    <row r="52" spans="1:8" ht="20" customHeight="1" x14ac:dyDescent="0.25">
      <c r="A52"/>
    </row>
    <row r="53" spans="1:8" ht="20" customHeight="1" x14ac:dyDescent="0.25">
      <c r="A53"/>
    </row>
    <row r="54" spans="1:8" ht="20" customHeight="1" x14ac:dyDescent="0.25">
      <c r="A54"/>
      <c r="G54" s="66"/>
    </row>
    <row r="55" spans="1:8" ht="20" customHeight="1" x14ac:dyDescent="0.25">
      <c r="A55"/>
      <c r="D55" s="6"/>
    </row>
    <row r="56" spans="1:8" ht="20" customHeight="1" x14ac:dyDescent="0.25">
      <c r="A56"/>
    </row>
    <row r="57" spans="1:8" ht="20" customHeight="1" x14ac:dyDescent="0.25">
      <c r="A57"/>
      <c r="D57" s="22"/>
      <c r="F57" s="67"/>
    </row>
    <row r="58" spans="1:8" ht="20" customHeight="1" x14ac:dyDescent="0.25">
      <c r="A58"/>
      <c r="D58" s="1"/>
      <c r="E58" s="68"/>
    </row>
    <row r="59" spans="1:8" ht="20" customHeight="1" x14ac:dyDescent="0.25">
      <c r="A59"/>
      <c r="D59" s="1"/>
      <c r="E59" s="68"/>
    </row>
    <row r="60" spans="1:8" ht="20" customHeight="1" x14ac:dyDescent="0.25">
      <c r="A60"/>
      <c r="D60" s="1"/>
      <c r="E60" s="69"/>
    </row>
    <row r="61" spans="1:8" ht="20" customHeight="1" x14ac:dyDescent="0.25">
      <c r="A61"/>
      <c r="D61" s="1"/>
    </row>
    <row r="62" spans="1:8" ht="20" customHeight="1" x14ac:dyDescent="0.25">
      <c r="A62"/>
    </row>
    <row r="63" spans="1:8" ht="20" customHeight="1" x14ac:dyDescent="0.25">
      <c r="A63"/>
      <c r="D63" s="22"/>
    </row>
    <row r="64" spans="1:8" ht="20" customHeight="1" x14ac:dyDescent="0.25">
      <c r="A64"/>
      <c r="D64" s="1"/>
      <c r="E64" s="68"/>
    </row>
    <row r="65" spans="1:9" ht="20" customHeight="1" x14ac:dyDescent="0.25">
      <c r="A65"/>
      <c r="D65" s="1"/>
      <c r="E65" s="68"/>
    </row>
    <row r="66" spans="1:9" ht="20" customHeight="1" x14ac:dyDescent="0.25">
      <c r="A66"/>
      <c r="D66" s="1"/>
      <c r="E66" s="69"/>
    </row>
    <row r="67" spans="1:9" ht="20" customHeight="1" x14ac:dyDescent="0.25">
      <c r="A67"/>
    </row>
    <row r="68" spans="1:9" ht="20" customHeight="1" x14ac:dyDescent="0.25">
      <c r="A68"/>
    </row>
    <row r="69" spans="1:9" ht="20" customHeight="1" x14ac:dyDescent="0.25">
      <c r="A69"/>
      <c r="D69" s="55"/>
      <c r="E69" s="55"/>
      <c r="F69" s="55"/>
      <c r="G69" s="55"/>
      <c r="H69" s="55"/>
      <c r="I69" s="55"/>
    </row>
    <row r="70" spans="1:9" ht="20" customHeight="1" x14ac:dyDescent="0.25">
      <c r="A70"/>
      <c r="D70" s="55"/>
      <c r="E70" s="55"/>
      <c r="F70" s="55"/>
      <c r="G70" s="55"/>
      <c r="H70" s="55"/>
      <c r="I70" s="55"/>
    </row>
    <row r="71" spans="1:9" ht="20" customHeight="1" x14ac:dyDescent="0.25">
      <c r="A71"/>
      <c r="D71" s="55"/>
      <c r="E71" s="55"/>
      <c r="F71" s="55"/>
      <c r="G71" s="55"/>
      <c r="H71" s="55"/>
      <c r="I71" s="55"/>
    </row>
    <row r="72" spans="1:9" ht="20" customHeight="1" x14ac:dyDescent="0.25">
      <c r="A72"/>
      <c r="D72" s="55"/>
      <c r="E72" s="55"/>
      <c r="F72" s="55"/>
      <c r="G72" s="55"/>
      <c r="H72" s="55"/>
      <c r="I72" s="55"/>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0"/>
    </row>
    <row r="79" spans="1:9" ht="20" customHeight="1" x14ac:dyDescent="0.25">
      <c r="A79"/>
      <c r="D79" s="70"/>
    </row>
    <row r="80" spans="1:9" ht="20" customHeight="1" x14ac:dyDescent="0.25">
      <c r="A80"/>
      <c r="D80" s="70"/>
    </row>
    <row r="81" spans="1:4" ht="20" customHeight="1" x14ac:dyDescent="0.25">
      <c r="A81"/>
      <c r="D81" s="70"/>
    </row>
    <row r="82" spans="1:4" ht="20" customHeight="1" x14ac:dyDescent="0.25">
      <c r="A82"/>
      <c r="D82" s="70"/>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zoomScaleNormal="100" workbookViewId="0">
      <selection activeCell="A22" sqref="A22"/>
    </sheetView>
  </sheetViews>
  <sheetFormatPr defaultRowHeight="20" x14ac:dyDescent="0.25" customHeight="1"/>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 customHeight="1" x14ac:dyDescent="0.25">
      <c r="A2"/>
      <c r="N2" s="52"/>
      <c r="O2" s="52"/>
      <c r="P2" s="52"/>
      <c r="Q2" s="52"/>
      <c r="R2" s="52"/>
      <c r="S2" s="52"/>
      <c r="T2" s="52"/>
      <c r="U2" s="52"/>
    </row>
    <row r="3" spans="1:21" ht="20" customHeight="1" x14ac:dyDescent="0.25">
      <c r="A3" s="17" t="str">
        <f>HYPERLINK("#'Home'!A1", "Home")</f>
        <v>Home</v>
      </c>
      <c r="C3" s="15"/>
      <c r="D3" s="15"/>
      <c r="E3" s="15"/>
      <c r="F3" s="15"/>
      <c r="G3" s="15"/>
      <c r="H3" s="15"/>
      <c r="I3" s="15"/>
      <c r="J3" s="15"/>
      <c r="K3" s="15"/>
      <c r="L3" s="15"/>
    </row>
    <row r="4" spans="1:21" ht="20" customHeight="1" x14ac:dyDescent="0.25">
      <c r="A4" s="17" t="str">
        <f>HYPERLINK("#'Overview'!A1", "Overview")</f>
        <v>Overview</v>
      </c>
    </row>
    <row r="5" spans="1:21" ht="20" customHeight="1" x14ac:dyDescent="0.25">
      <c r="A5" s="17" t="str">
        <f>HYPERLINK("#'Results'!A1", "Results")</f>
        <v>Results</v>
      </c>
      <c r="D5" s="6" t="s">
        <v>78</v>
      </c>
    </row>
    <row r="6" spans="1:21" ht="20" customHeight="1" x14ac:dyDescent="0.25"/>
    <row r="7" spans="1:21" ht="20" customHeight="1" x14ac:dyDescent="0.25">
      <c r="D7" s="56"/>
      <c r="E7" s="38" t="s">
        <v>90</v>
      </c>
      <c r="F7" s="38" t="s">
        <v>91</v>
      </c>
      <c r="G7" s="38" t="s">
        <v>92</v>
      </c>
    </row>
    <row r="8" spans="1:21" ht="20"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 customHeight="1" x14ac:dyDescent="0.25">
      <c r="A10" s="20" t="str">
        <f>HYPERLINK("#'Input - Feedlot'!A1", "Feedlot")</f>
        <v>Feedlot</v>
      </c>
    </row>
    <row r="11" spans="1:21" ht="20" customHeight="1" x14ac:dyDescent="0.25">
      <c r="D11" s="6" t="s">
        <v>73</v>
      </c>
    </row>
    <row r="12" spans="1:21" ht="20" customHeight="1" x14ac:dyDescent="0.25"/>
    <row r="13" spans="1:21" ht="20" customHeight="1" x14ac:dyDescent="0.25">
      <c r="A13" s="18" t="s">
        <v>53</v>
      </c>
      <c r="D13" s="56" t="s">
        <v>124</v>
      </c>
      <c r="E13" s="38" t="s">
        <v>90</v>
      </c>
      <c r="F13" s="38" t="s">
        <v>91</v>
      </c>
      <c r="G13" s="38" t="s">
        <v>92</v>
      </c>
    </row>
    <row r="14" spans="1:21" ht="20"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 customHeight="1" x14ac:dyDescent="0.25">
      <c r="A17" s="111" t="s">
        <v>1</v>
      </c>
      <c r="J17" s="2"/>
      <c r="K17" s="2"/>
    </row>
    <row r="18" spans="1:11" ht="20" customHeight="1" x14ac:dyDescent="0.25">
      <c r="A18" s="17" t="str">
        <f>HYPERLINK("#'Constants - Feedlot'!A1", "Constants - Feedlot")</f>
        <v>Constants - Feedlot</v>
      </c>
      <c r="D18" s="56" t="s">
        <v>125</v>
      </c>
      <c r="E18" s="38" t="s">
        <v>90</v>
      </c>
      <c r="F18" s="38" t="s">
        <v>91</v>
      </c>
      <c r="G18" s="38" t="s">
        <v>92</v>
      </c>
    </row>
    <row r="19" spans="1:11" ht="20"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 customHeight="1" x14ac:dyDescent="0.25">
      <c r="A20" s="17" t="str">
        <f>HYPERLINK("#'Constants - Common livestock'!A1", "Constants - Common livestock")</f>
        <v>Constants - Common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 customHeight="1" x14ac:dyDescent="0.25">
      <c r="A22" s="17" t="str">
        <f>HYPERLINK("#'Tab template'!A1", "Tab template")</f>
        <v>Tab template</v>
      </c>
      <c r="J22" s="2"/>
      <c r="K22" s="2"/>
    </row>
    <row r="23" spans="1:11" ht="20" customHeight="1" x14ac:dyDescent="0.25">
      <c r="J23" s="2"/>
      <c r="K23" s="2"/>
    </row>
    <row r="24" spans="1:11" ht="20" customHeight="1" x14ac:dyDescent="0.25"/>
    <row r="25" spans="1:11" ht="20" customHeight="1" x14ac:dyDescent="0.25">
      <c r="D25" s="6"/>
    </row>
    <row r="26" spans="1:11" ht="20" customHeight="1" x14ac:dyDescent="0.25"/>
    <row r="27" spans="1:11" ht="20" customHeight="1" x14ac:dyDescent="0.25"/>
    <row r="28" spans="1:11" ht="20" customHeight="1" x14ac:dyDescent="0.25"/>
    <row r="29" spans="1:11" ht="20" customHeight="1" x14ac:dyDescent="0.25"/>
    <row r="30" spans="1:11" ht="20" customHeight="1" x14ac:dyDescent="0.25"/>
    <row r="31" spans="1:11" ht="20" customHeight="1" x14ac:dyDescent="0.25"/>
    <row r="32" spans="1:11" ht="20" customHeight="1" x14ac:dyDescent="0.25"/>
    <row r="33" spans="9:11" ht="20" customHeight="1" x14ac:dyDescent="0.25"/>
    <row r="34" spans="9:11" ht="20" customHeight="1" x14ac:dyDescent="0.25"/>
    <row r="35" spans="9:11" ht="20" customHeight="1" x14ac:dyDescent="0.25"/>
    <row r="36" spans="9:11" ht="20" customHeight="1" x14ac:dyDescent="0.25"/>
    <row r="37" spans="9:11" ht="20" customHeight="1" x14ac:dyDescent="0.25"/>
    <row r="38" spans="9:11" ht="20" customHeight="1" x14ac:dyDescent="0.25"/>
    <row r="39" spans="9:11" ht="20" customHeight="1" x14ac:dyDescent="0.25"/>
    <row r="40" spans="9:11" ht="20" customHeight="1" x14ac:dyDescent="0.25"/>
    <row r="41" spans="9:11" ht="20" customHeight="1" x14ac:dyDescent="0.25"/>
    <row r="42" spans="9:11" ht="20" customHeight="1" x14ac:dyDescent="0.25"/>
    <row r="43" spans="9:11" ht="20" customHeight="1" x14ac:dyDescent="0.25"/>
    <row r="44" spans="9:11" ht="20" customHeight="1" x14ac:dyDescent="0.25"/>
    <row r="45" spans="9:11" ht="20" customHeight="1" x14ac:dyDescent="0.25">
      <c r="I45" s="2"/>
      <c r="J45" s="2"/>
      <c r="K45" s="2"/>
    </row>
    <row r="46" spans="9:11" ht="20" customHeight="1" x14ac:dyDescent="0.25"/>
    <row r="47" spans="9:11" ht="20" customHeight="1" x14ac:dyDescent="0.25"/>
    <row r="48" spans="9:11" ht="20" customHeight="1" x14ac:dyDescent="0.25"/>
    <row r="49" spans="4:11" ht="20" customHeight="1" x14ac:dyDescent="0.25">
      <c r="I49" s="2"/>
      <c r="J49" s="2"/>
      <c r="K49" s="2"/>
    </row>
    <row r="50" spans="4:11" ht="20" customHeight="1" x14ac:dyDescent="0.25">
      <c r="I50" s="2"/>
      <c r="J50" s="2"/>
      <c r="K50" s="2"/>
    </row>
    <row r="51" spans="4:11" ht="20" customHeight="1" x14ac:dyDescent="0.25">
      <c r="I51" s="2"/>
      <c r="J51" s="2"/>
      <c r="K51" s="2"/>
    </row>
    <row r="52" spans="4:11" ht="20" customHeight="1" x14ac:dyDescent="0.25"/>
    <row r="53" spans="4:11" ht="20" customHeight="1" x14ac:dyDescent="0.25"/>
    <row r="54" spans="4:11" ht="20" customHeight="1" x14ac:dyDescent="0.25">
      <c r="I54" s="2"/>
      <c r="J54" s="2"/>
      <c r="K54" s="2"/>
    </row>
    <row r="55" spans="4:11" ht="20" customHeight="1" x14ac:dyDescent="0.25">
      <c r="I55" s="2"/>
      <c r="J55" s="2"/>
      <c r="K55" s="2"/>
    </row>
    <row r="56" spans="4:11" ht="20" customHeight="1" x14ac:dyDescent="0.25">
      <c r="I56" s="2"/>
      <c r="J56" s="2"/>
      <c r="K56" s="2"/>
    </row>
    <row r="57" spans="4:11" ht="20" customHeight="1" x14ac:dyDescent="0.25">
      <c r="D57" s="90"/>
    </row>
    <row r="58" spans="4:11" ht="20" customHeight="1" x14ac:dyDescent="0.25"/>
    <row r="59" spans="4:11" ht="20" customHeight="1" x14ac:dyDescent="0.25"/>
    <row r="60" spans="4:11" ht="20" customHeight="1" x14ac:dyDescent="0.25"/>
    <row r="61" spans="4:11" ht="20" customHeight="1" x14ac:dyDescent="0.25"/>
    <row r="62" spans="4:11" ht="20" customHeight="1" x14ac:dyDescent="0.25"/>
    <row r="63" spans="4:11" ht="20" customHeight="1" x14ac:dyDescent="0.25"/>
    <row r="64" spans="4: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abSelected="1" topLeftCell="A4" zoomScaleNormal="100" workbookViewId="0">
      <selection activeCell="M20" sqref="M20"/>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 customHeight="1" x14ac:dyDescent="0.25">
      <c r="A2"/>
      <c r="K2"/>
    </row>
    <row r="3" spans="1:19" ht="20" customHeight="1" x14ac:dyDescent="0.25">
      <c r="A3" s="17" t="str">
        <f>HYPERLINK("#'Home'!A1", "Home")</f>
        <v>Home</v>
      </c>
      <c r="C3" s="4"/>
      <c r="D3" s="4" t="s">
        <v>102</v>
      </c>
      <c r="E3" s="4"/>
      <c r="F3" s="4"/>
      <c r="G3" s="4"/>
      <c r="H3" s="4"/>
      <c r="I3" s="4"/>
      <c r="J3" s="4"/>
      <c r="L3" s="4"/>
      <c r="M3" s="4" t="s">
        <v>103</v>
      </c>
      <c r="N3" s="4"/>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EntericMethane_Feedlot_Equations.VEERG_3_1_1_1__2_DailyEntericMethaneProduction_Title()</f>
        <v>Daily production of enteric methane</v>
      </c>
    </row>
    <row r="6" spans="1:19" ht="20" customHeight="1" x14ac:dyDescent="0.25">
      <c r="D6" s="5" t="str" cm="1">
        <f t="array" ref="D6">EntericMethane_Feedlot_Equations.VEERG_3_1_1_1__2_DailyEntericMethaneProduction_Source()</f>
        <v>VEERG 2026: 3.1.1.1, Equation (2)</v>
      </c>
    </row>
    <row r="7" spans="1:19" ht="20" customHeight="1" x14ac:dyDescent="0.25">
      <c r="D7" s="13" t="s">
        <v>14</v>
      </c>
      <c r="E7" s="13" t="str" cm="1">
        <f t="array" aca="1" ref="E7" ca="1">Common_InputFunctions.Utility_DisplayFunctionName(D35)</f>
        <v>=EntericMethane_Feedlot_Equations.VEERG_3_1_1_1__2_DailyEntericMethaneProduction</v>
      </c>
    </row>
    <row r="8" spans="1:19" ht="20" customHeight="1" x14ac:dyDescent="0.25">
      <c r="A8" s="19" t="s">
        <v>0</v>
      </c>
    </row>
    <row r="9" spans="1:19" ht="20" customHeight="1" x14ac:dyDescent="0.25">
      <c r="A9" s="17" t="str">
        <f>HYPERLINK("#'Input - Site'!A1", "Site")</f>
        <v>Site</v>
      </c>
    </row>
    <row r="10" spans="1:19" ht="20" customHeight="1" x14ac:dyDescent="0.25">
      <c r="A10" s="17" t="str">
        <f>HYPERLINK("#'Input - Feedlot'!A1", "Feedlot")</f>
        <v>Feedlot</v>
      </c>
      <c r="D10" s="49" t="s">
        <v>17</v>
      </c>
      <c r="E10" s="1" t="str" cm="1">
        <f t="array" ref="E10">EntericMethane_Feedlot_Equations.VEERG_3_1_1_1__2_DailyEntericMethaneProduction_Variable()</f>
        <v>M_j</v>
      </c>
    </row>
    <row r="11" spans="1:19" ht="20" customHeight="1" x14ac:dyDescent="0.25">
      <c r="D11" s="49" t="s">
        <v>8</v>
      </c>
      <c r="E11" s="50" t="str" cm="1">
        <f t="array" ref="E11">EntericMethane_Feedlot_Equations.VEERG_3_1_1_1__2_DailyEntericMethaneProduction_Unit()</f>
        <v>kg CH4/head/day</v>
      </c>
    </row>
    <row r="12" spans="1:19" ht="20" customHeight="1" x14ac:dyDescent="0.25"/>
    <row r="13" spans="1:19" ht="20"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 customHeight="1" x14ac:dyDescent="0.25"/>
    <row r="17" spans="1:16" ht="20" customHeight="1" x14ac:dyDescent="0.25">
      <c r="A17" s="111" t="s">
        <v>1</v>
      </c>
      <c r="D17" s="82" t="s">
        <v>100</v>
      </c>
      <c r="M17" s="82" t="s">
        <v>101</v>
      </c>
    </row>
    <row r="18" spans="1:16" ht="20" customHeight="1" x14ac:dyDescent="0.25">
      <c r="A18" s="17" t="str">
        <f>HYPERLINK("#'Constants - Feedlot'!A1", "Constants - Feedlot")</f>
        <v>Constants - Feedlot</v>
      </c>
      <c r="D18" s="81" t="s">
        <v>104</v>
      </c>
      <c r="M18" s="81" t="s">
        <v>105</v>
      </c>
    </row>
    <row r="19" spans="1:16" ht="20" customHeight="1" x14ac:dyDescent="0.25">
      <c r="A19" s="17" t="str">
        <f>HYPERLINK("#'Constants - Common'!A1", "Constants - Common")</f>
        <v>Constants - Common</v>
      </c>
      <c r="D19" s="38" t="s">
        <v>90</v>
      </c>
      <c r="E19" s="38" t="s">
        <v>91</v>
      </c>
      <c r="F19" s="38" t="s">
        <v>92</v>
      </c>
      <c r="M19" s="38" t="s">
        <v>90</v>
      </c>
      <c r="N19" s="38" t="s">
        <v>91</v>
      </c>
      <c r="O19" s="38" t="s">
        <v>92</v>
      </c>
    </row>
    <row r="20" spans="1:16" ht="20" customHeight="1" x14ac:dyDescent="0.25">
      <c r="A20" s="17" t="str">
        <f>HYPERLINK("#'Constants - Common livestock'!A1", "Constants - Common livestock")</f>
        <v>Constants - Common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 customHeight="1" x14ac:dyDescent="0.25">
      <c r="A21" s="17" t="str">
        <f>HYPERLINK("#'Acknowledgements'!A1", "Acknowledgements")</f>
        <v>Acknowledgements</v>
      </c>
    </row>
    <row r="22" spans="1:16" ht="20" customHeight="1" x14ac:dyDescent="0.25">
      <c r="A22" s="17" t="str">
        <f>HYPERLINK("#'Tab template'!A1", "Tab template")</f>
        <v>Tab template</v>
      </c>
      <c r="D22" s="82" t="s">
        <v>156</v>
      </c>
      <c r="M22" s="82" t="s">
        <v>164</v>
      </c>
    </row>
    <row r="23" spans="1:16" ht="20" customHeight="1" x14ac:dyDescent="0.25">
      <c r="D23" s="81" t="s">
        <v>157</v>
      </c>
      <c r="M23" s="81" t="s">
        <v>165</v>
      </c>
    </row>
    <row r="24" spans="1:16" ht="20" customHeight="1" x14ac:dyDescent="0.25">
      <c r="D24" s="38" t="s">
        <v>90</v>
      </c>
      <c r="E24" s="38" t="s">
        <v>91</v>
      </c>
      <c r="F24" s="38" t="s">
        <v>92</v>
      </c>
      <c r="M24" s="38" t="s">
        <v>90</v>
      </c>
      <c r="N24" s="38" t="s">
        <v>91</v>
      </c>
      <c r="O24" s="38" t="s">
        <v>92</v>
      </c>
    </row>
    <row r="25" spans="1:16" ht="20"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 customHeight="1" x14ac:dyDescent="0.25"/>
    <row r="27" spans="1:16" ht="20" customHeight="1" x14ac:dyDescent="0.25">
      <c r="D27" s="82" t="s">
        <v>158</v>
      </c>
      <c r="M27" s="82" t="s">
        <v>166</v>
      </c>
    </row>
    <row r="28" spans="1:16" ht="20" customHeight="1" x14ac:dyDescent="0.25">
      <c r="D28" s="81" t="s">
        <v>159</v>
      </c>
      <c r="M28" s="81" t="s">
        <v>167</v>
      </c>
    </row>
    <row r="29" spans="1:16" ht="20" customHeight="1" x14ac:dyDescent="0.25">
      <c r="D29" s="38" t="s">
        <v>90</v>
      </c>
      <c r="E29" s="38" t="s">
        <v>91</v>
      </c>
      <c r="F29" s="38" t="s">
        <v>92</v>
      </c>
      <c r="M29" s="38" t="s">
        <v>90</v>
      </c>
      <c r="N29" s="38" t="s">
        <v>91</v>
      </c>
      <c r="O29" s="38" t="s">
        <v>92</v>
      </c>
    </row>
    <row r="30" spans="1:16" ht="20"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 customHeight="1" x14ac:dyDescent="0.25"/>
    <row r="32" spans="1:16" ht="20" customHeight="1" x14ac:dyDescent="0.25">
      <c r="D32" s="82" t="s">
        <v>160</v>
      </c>
      <c r="M32" s="82" t="s">
        <v>162</v>
      </c>
    </row>
    <row r="33" spans="3:18" ht="20" customHeight="1" x14ac:dyDescent="0.25">
      <c r="D33" s="81" t="s">
        <v>161</v>
      </c>
      <c r="M33" s="81" t="s">
        <v>163</v>
      </c>
    </row>
    <row r="34" spans="3:18" ht="20" customHeight="1" x14ac:dyDescent="0.25">
      <c r="D34" s="47" t="s">
        <v>90</v>
      </c>
      <c r="E34" s="47" t="s">
        <v>91</v>
      </c>
      <c r="F34" s="47" t="s">
        <v>92</v>
      </c>
      <c r="M34" s="47" t="s">
        <v>90</v>
      </c>
      <c r="N34" s="47" t="s">
        <v>91</v>
      </c>
      <c r="O34" s="47" t="s">
        <v>92</v>
      </c>
    </row>
    <row r="35" spans="3:18" ht="20"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 customHeight="1" x14ac:dyDescent="0.25"/>
    <row r="37" spans="3:18" ht="20" customHeight="1" x14ac:dyDescent="0.25"/>
    <row r="38" spans="3:18" ht="20" customHeight="1" x14ac:dyDescent="0.25">
      <c r="C38" s="43"/>
      <c r="D38" s="43"/>
      <c r="E38" s="43"/>
      <c r="F38" s="43"/>
      <c r="G38" s="43"/>
      <c r="H38" s="43"/>
      <c r="I38" s="43"/>
      <c r="J38" s="43"/>
      <c r="L38" s="43"/>
      <c r="M38" s="43"/>
      <c r="N38" s="43"/>
      <c r="O38" s="43"/>
      <c r="P38" s="43"/>
      <c r="Q38" s="43"/>
      <c r="R38" s="43"/>
    </row>
    <row r="39" spans="3:18" ht="20" customHeight="1" x14ac:dyDescent="0.25">
      <c r="D39" s="6" t="str" cm="1">
        <f t="array" ref="D39">EntericMethane_Feedlot_Equations.VEERG_3_1_1_1__1_TotalAnnualMethaneFromEntericFermentation_Title()</f>
        <v>Total annual methane production from enteric fermentation in feedlot beef cattle</v>
      </c>
    </row>
    <row r="40" spans="3:18" ht="20" customHeight="1" x14ac:dyDescent="0.25">
      <c r="D40" s="5" t="str" cm="1">
        <f t="array" ref="D40">EntericMethane_Feedlot_Equations.VEERG_3_1_1_1__1_TotalAnnualMethaneFromEntericFermentation_Source()</f>
        <v>VEERG 2026: 3.1.1.1, Equation (1)</v>
      </c>
    </row>
    <row r="41" spans="3:18" ht="20" customHeight="1" x14ac:dyDescent="0.25">
      <c r="D41" s="13" t="s">
        <v>14</v>
      </c>
      <c r="E41" s="13" t="str" cm="1">
        <f t="array" aca="1" ref="E41" ca="1">Common_InputFunctions.Utility_DisplayFunctionName(D65)</f>
        <v>=EntericMethane_Feedlot_Equations.VEERG_3_1_1_1__1_TotalAnnualMethaneFromEntericFermentation</v>
      </c>
    </row>
    <row r="42" spans="3:18" ht="20" customHeight="1" x14ac:dyDescent="0.25"/>
    <row r="43" spans="3:18" ht="20" customHeight="1" x14ac:dyDescent="0.25">
      <c r="D43" s="6"/>
    </row>
    <row r="44" spans="3:18" ht="20" customHeight="1" x14ac:dyDescent="0.25"/>
    <row r="45" spans="3:18" ht="20" customHeight="1" x14ac:dyDescent="0.25">
      <c r="D45" s="49" t="s">
        <v>17</v>
      </c>
      <c r="E45" s="1" t="str" cm="1">
        <f t="array" ref="E45">EntericMethane_Feedlot_Equations.VEERG_3_1_1_1__1_TotalAnnualMethaneFromEntericFermentation_Variable()</f>
        <v>E_enteric</v>
      </c>
    </row>
    <row r="46" spans="3:18" ht="20" customHeight="1" x14ac:dyDescent="0.25">
      <c r="D46" s="49" t="s">
        <v>8</v>
      </c>
      <c r="E46" s="50" t="str" cm="1">
        <f t="array" ref="E46">EntericMethane_Feedlot_Equations.VEERG_3_1_1_1__1_TotalAnnualMethaneFromEntericFermentation_Unit()</f>
        <v>t CH4</v>
      </c>
    </row>
    <row r="47" spans="3:18" ht="20" customHeight="1" x14ac:dyDescent="0.25"/>
    <row r="48" spans="3:18" ht="20"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 customHeight="1" x14ac:dyDescent="0.25"/>
    <row r="52" spans="4:15" ht="20" customHeight="1" x14ac:dyDescent="0.25">
      <c r="D52" s="82" t="s">
        <v>81</v>
      </c>
    </row>
    <row r="53" spans="4:15" ht="20" customHeight="1" x14ac:dyDescent="0.25">
      <c r="D53" s="81" t="s">
        <v>79</v>
      </c>
    </row>
    <row r="54" spans="4:15" ht="20" customHeight="1" x14ac:dyDescent="0.25">
      <c r="D54" s="38" t="s">
        <v>90</v>
      </c>
      <c r="E54" s="38" t="s">
        <v>91</v>
      </c>
      <c r="F54" s="38" t="s">
        <v>92</v>
      </c>
    </row>
    <row r="55" spans="4:15" ht="20" customHeight="1" x14ac:dyDescent="0.25">
      <c r="D55" s="84" cm="1">
        <f t="array" aca="1" ref="D55:F55" ca="1">OFFSET(X_Table_Feedlot_HerdMovement, 2, 1, 1, 3)</f>
        <v>90</v>
      </c>
      <c r="E55" s="84">
        <f ca="1"/>
        <v>140</v>
      </c>
      <c r="F55" s="84">
        <f ca="1"/>
        <v>250</v>
      </c>
      <c r="G55" s="2" t="str">
        <f>G48</f>
        <v>days</v>
      </c>
    </row>
    <row r="56" spans="4:15" ht="20" customHeight="1" x14ac:dyDescent="0.25"/>
    <row r="57" spans="4:15" ht="20" customHeight="1" x14ac:dyDescent="0.25">
      <c r="D57" s="82" t="s">
        <v>82</v>
      </c>
    </row>
    <row r="58" spans="4:15" ht="20" customHeight="1" x14ac:dyDescent="0.25">
      <c r="D58" s="81" t="s">
        <v>83</v>
      </c>
    </row>
    <row r="59" spans="4:15" ht="20" customHeight="1" x14ac:dyDescent="0.25">
      <c r="D59" s="38" t="s">
        <v>90</v>
      </c>
      <c r="E59" s="38" t="s">
        <v>91</v>
      </c>
      <c r="F59" s="38" t="s">
        <v>92</v>
      </c>
    </row>
    <row r="60" spans="4:15" ht="20" customHeight="1" x14ac:dyDescent="0.25">
      <c r="D60" s="84" cm="1">
        <f t="array" aca="1" ref="D60:F60" ca="1">OFFSET(X_Table_Feedlot_HerdMovement, 1, 1, 1, 3)</f>
        <v>4300</v>
      </c>
      <c r="E60" s="84">
        <f ca="1"/>
        <v>100</v>
      </c>
      <c r="F60" s="84">
        <f ca="1"/>
        <v>100</v>
      </c>
      <c r="G60" s="2" t="str">
        <f>G50</f>
        <v>head</v>
      </c>
    </row>
    <row r="61" spans="4:15" ht="20" customHeight="1" x14ac:dyDescent="0.25"/>
    <row r="62" spans="4:15" ht="20" customHeight="1" x14ac:dyDescent="0.25">
      <c r="D62" s="82" t="s">
        <v>179</v>
      </c>
      <c r="M62" s="82" t="s">
        <v>177</v>
      </c>
    </row>
    <row r="63" spans="4:15" ht="20" customHeight="1" x14ac:dyDescent="0.25">
      <c r="D63" s="81" t="s">
        <v>180</v>
      </c>
      <c r="M63" s="81" t="s">
        <v>178</v>
      </c>
    </row>
    <row r="64" spans="4:15" ht="20" customHeight="1" x14ac:dyDescent="0.25">
      <c r="D64" s="47" t="s">
        <v>90</v>
      </c>
      <c r="E64" s="47" t="s">
        <v>91</v>
      </c>
      <c r="F64" s="47" t="s">
        <v>92</v>
      </c>
      <c r="M64" s="47" t="s">
        <v>90</v>
      </c>
      <c r="N64" s="47" t="s">
        <v>91</v>
      </c>
      <c r="O64" s="47" t="s">
        <v>92</v>
      </c>
    </row>
    <row r="65" spans="4:17" ht="20"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 customHeight="1" x14ac:dyDescent="0.25"/>
    <row r="67" spans="4:17" ht="20" customHeight="1" x14ac:dyDescent="0.25">
      <c r="D67" s="85" t="s">
        <v>168</v>
      </c>
      <c r="E67" s="86">
        <f ca="1">SUM(D65:F65)</f>
        <v>35.420230000000004</v>
      </c>
      <c r="F67" s="87" t="str">
        <f>$E$46</f>
        <v>t CH4</v>
      </c>
      <c r="M67" s="85" t="s">
        <v>169</v>
      </c>
      <c r="N67" s="86">
        <f ca="1">SUM(M65:O65)</f>
        <v>35.420230000000004</v>
      </c>
      <c r="O67" s="87" t="str">
        <f>$E$46</f>
        <v>t CH4</v>
      </c>
    </row>
    <row r="68" spans="4:17" ht="20" customHeight="1" x14ac:dyDescent="0.25"/>
    <row r="69" spans="4:17" ht="20" customHeight="1" x14ac:dyDescent="0.25">
      <c r="D69" s="53" t="str" cm="1">
        <f t="array" ref="D69:E70">Common_Equations.Common_ConvertCH4ToCO2e_Arguments()</f>
        <v>ECH4</v>
      </c>
      <c r="E69" s="54" t="str">
        <v>Methane emissions (t CH4)</v>
      </c>
      <c r="F69" s="88"/>
      <c r="G69" s="48">
        <f ca="1">VEERG_3_1_1_1__1_TotalAnnualMethaneFromEntericFermentation_Result_Method1</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 customHeight="1" x14ac:dyDescent="0.25"/>
    <row r="72" spans="4:17" ht="20"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zoomScaleNormal="100" workbookViewId="0">
      <selection activeCell="A14" sqref="A14"/>
    </sheetView>
  </sheetViews>
  <sheetFormatPr defaultRowHeight="20" x14ac:dyDescent="0.25" customHeight="1"/>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M3" s="4"/>
      <c r="N3" s="4"/>
      <c r="O3" s="4"/>
      <c r="P3" s="4"/>
      <c r="Q3" s="4"/>
      <c r="R3" s="4"/>
      <c r="S3" s="4"/>
      <c r="T3" s="4"/>
      <c r="U3" s="4"/>
    </row>
    <row r="4" spans="1:21" ht="20" customHeight="1" x14ac:dyDescent="0.25">
      <c r="A4" s="17" t="str">
        <f>HYPERLINK("#'Overview'!A1", "Overview")</f>
        <v>Overview</v>
      </c>
      <c r="M4" s="23"/>
    </row>
    <row r="5" spans="1:21" ht="20"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 customHeight="1" x14ac:dyDescent="0.25">
      <c r="D6" s="5" t="str" cm="1">
        <f t="array" ref="D6">SourceData_Feedlot.SourceData_Feedlot_VSL_Source()</f>
        <v>VEERG 2026: 4.1.2.3 CONSTANTS</v>
      </c>
      <c r="M6" s="1"/>
    </row>
    <row r="7" spans="1:21" ht="20"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 customHeight="1" x14ac:dyDescent="0.25">
      <c r="A8" s="19" t="s">
        <v>0</v>
      </c>
      <c r="M8" s="1"/>
    </row>
    <row r="9" spans="1:21" ht="20" customHeight="1" x14ac:dyDescent="0.25">
      <c r="A9" s="17" t="str">
        <f>HYPERLINK("#'Input - Site'!A1", "Site")</f>
        <v>Site</v>
      </c>
      <c r="M9" s="1"/>
    </row>
    <row r="10" spans="1:21" ht="20"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 customHeight="1" x14ac:dyDescent="0.25">
      <c r="D11" s="5" t="str" cm="1">
        <f t="array" ref="D11">SourceData_Feedlot.SourceData_Feedlot_MMSm1T3_Source()</f>
        <v>VEERG 2026: 4.1.2.3 CONSTANTS</v>
      </c>
      <c r="M11" s="1"/>
    </row>
    <row r="12" spans="1:21" ht="20"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 customHeight="1" x14ac:dyDescent="0.25">
      <c r="A13" s="18" t="s">
        <v>53</v>
      </c>
      <c r="M13" s="1"/>
    </row>
    <row r="14" spans="1:21" ht="20" customHeight="1" x14ac:dyDescent="0.25">
      <c r="A14" s="17" t="str">
        <f>HYPERLINK("#'3.1.1.1-2 Enteric Methane'!A1", "3.1.1.1-2 Enteric Methane")</f>
        <v>3.1.1.1-2 Enteric Methane</v>
      </c>
      <c r="M14" s="1"/>
    </row>
    <row r="15" spans="1:21" ht="20" customHeight="1" x14ac:dyDescent="0.25">
      <c r="D15" s="6" t="str" cm="1">
        <f t="array" ref="D15">SourceData_Feedlot.SourceData_Feedlot_AshContent_Title()</f>
        <v>Ash content of manure.</v>
      </c>
      <c r="M15" s="1"/>
    </row>
    <row r="16" spans="1:21" ht="20" customHeight="1" x14ac:dyDescent="0.25">
      <c r="D16" s="5" t="str" cm="1">
        <f t="array" ref="D16">SourceData_Feedlot.SourceData_Feedlot_AshContent_Source()</f>
        <v>VEERG 2026: 4.1.2.3 CONSTANTS</v>
      </c>
      <c r="M16" s="1"/>
    </row>
    <row r="17" spans="1:13" ht="20"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 customHeight="1" x14ac:dyDescent="0.25">
      <c r="A18" s="60" t="str">
        <f>HYPERLINK("#'Constants - Feedlot'!A1", "Constants - Feedlot")</f>
        <v>Constants - Feedlot</v>
      </c>
      <c r="M18" s="1"/>
    </row>
    <row r="19" spans="1:13" ht="20" customHeight="1" x14ac:dyDescent="0.25">
      <c r="A19" s="17" t="str">
        <f>HYPERLINK("#'Constants - Common'!A1", "Constants - Common")</f>
        <v>Constants - Common</v>
      </c>
      <c r="M19" s="1"/>
    </row>
    <row r="20" spans="1:13" ht="20" customHeight="1" x14ac:dyDescent="0.25">
      <c r="A20" s="17" t="str">
        <f>HYPERLINK("#'Constants - Common livestock'!A1", "Constants - Common livestock")</f>
        <v>Constants - Common livestock</v>
      </c>
      <c r="D20" s="6" t="str" cm="1">
        <f t="array" ref="D20">SourceData_Feedlot.SourceData_Feedlot_MethaneEmissionsPotential_Title()</f>
        <v>Methane emissions potential.</v>
      </c>
      <c r="M20" s="1"/>
    </row>
    <row r="21" spans="1:13" ht="20"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 customHeight="1" x14ac:dyDescent="0.25">
      <c r="M23" s="1"/>
    </row>
    <row r="24" spans="1:13" ht="20" customHeight="1" x14ac:dyDescent="0.25">
      <c r="M24" s="1"/>
    </row>
    <row r="25" spans="1:13" ht="20" customHeight="1" x14ac:dyDescent="0.25">
      <c r="D25" s="6" t="s">
        <v>77</v>
      </c>
      <c r="G25" s="6" t="s">
        <v>113</v>
      </c>
      <c r="J25" s="6" t="s">
        <v>115</v>
      </c>
      <c r="L25" s="6" t="s">
        <v>231</v>
      </c>
      <c r="M25" s="1"/>
    </row>
    <row r="26" spans="1:13" ht="20" customHeight="1" x14ac:dyDescent="0.25">
      <c r="L26" s="1" t="s">
        <v>233</v>
      </c>
      <c r="M26" s="1"/>
    </row>
    <row r="27" spans="1:13" ht="20" customHeight="1" x14ac:dyDescent="0.25">
      <c r="D27" s="80" t="s">
        <v>47</v>
      </c>
      <c r="E27" s="36" t="s">
        <v>57</v>
      </c>
      <c r="G27" s="36" t="s">
        <v>114</v>
      </c>
      <c r="J27" s="36" t="s">
        <v>112</v>
      </c>
      <c r="L27" s="36" t="s">
        <v>232</v>
      </c>
      <c r="M27" s="1"/>
    </row>
    <row r="28" spans="1:13" ht="20" customHeight="1" x14ac:dyDescent="0.25">
      <c r="D28" s="36" t="str">
        <f>'Constants - Common livestock'!$E$16</f>
        <v>Drylot (feed pad)</v>
      </c>
      <c r="E28" s="36" t="str">
        <f>'Constants - Common livestock'!$F$16</f>
        <v>Drylot (feed pad) (m=5)</v>
      </c>
      <c r="G28" s="36" t="str">
        <f>'Constants - Common'!$F$188</f>
        <v>Crop</v>
      </c>
      <c r="J28" s="36" t="s">
        <v>116</v>
      </c>
      <c r="L28" s="36" t="s">
        <v>90</v>
      </c>
      <c r="M28" s="1"/>
    </row>
    <row r="29" spans="1:13" ht="20" customHeight="1" x14ac:dyDescent="0.25">
      <c r="D29" s="36" t="str">
        <f>'Constants - Common livestock'!$E$15</f>
        <v>Solid storage</v>
      </c>
      <c r="E29" s="36" t="str">
        <f>'Constants - Common livestock'!$F$15</f>
        <v>Solid storage (m=4)</v>
      </c>
      <c r="G29" s="1" t="str">
        <f>'Constants - Common'!$F$187</f>
        <v>Pasture</v>
      </c>
      <c r="J29" s="36" t="s">
        <v>117</v>
      </c>
      <c r="L29" s="36" t="s">
        <v>91</v>
      </c>
      <c r="M29" s="1"/>
    </row>
    <row r="30" spans="1:13" ht="20" customHeight="1" x14ac:dyDescent="0.25">
      <c r="D30" s="36" t="str">
        <f>'Constants - Common livestock'!$E$17</f>
        <v>Composting (passive windrow)</v>
      </c>
      <c r="E30" s="36" t="str">
        <f>'Constants - Common livestock'!$F$17</f>
        <v>Composting (passive windrow) (m=6)</v>
      </c>
      <c r="J30" s="1" t="s">
        <v>118</v>
      </c>
      <c r="L30" s="36" t="s">
        <v>92</v>
      </c>
      <c r="M30" s="1"/>
    </row>
    <row r="31" spans="1:13" ht="20" customHeight="1" x14ac:dyDescent="0.25">
      <c r="D31" s="36" t="str">
        <f>'Constants - Common livestock'!$E$26</f>
        <v>Direct application</v>
      </c>
      <c r="E31" s="36" t="str">
        <f>'Constants - Common livestock'!$F$26</f>
        <v>Direct application (m=13)</v>
      </c>
      <c r="J31" s="1" t="s">
        <v>119</v>
      </c>
      <c r="M31" s="1"/>
    </row>
    <row r="32" spans="1:13" ht="20" customHeight="1" x14ac:dyDescent="0.25">
      <c r="D32" s="1" t="str">
        <f>'Constants - Common livestock'!$E$10</f>
        <v>Anaerobic lagoon</v>
      </c>
      <c r="E32" s="1" t="str">
        <f>'Constants - Common livestock'!$F$10</f>
        <v>Anaerobic lagoon (m=1)</v>
      </c>
      <c r="J32" s="1" t="s">
        <v>120</v>
      </c>
      <c r="M32" s="1"/>
    </row>
    <row r="33" spans="4:13" ht="20" customHeight="1" x14ac:dyDescent="0.25">
      <c r="M33" s="1"/>
    </row>
    <row r="34" spans="4:13" ht="20" customHeight="1" x14ac:dyDescent="0.25">
      <c r="M34" s="1"/>
    </row>
    <row r="35" spans="4:13" ht="20" customHeight="1" x14ac:dyDescent="0.25">
      <c r="M35" s="1"/>
    </row>
    <row r="36" spans="4:13" ht="20" customHeight="1" x14ac:dyDescent="0.25">
      <c r="D36" s="6" t="str" cm="1">
        <f t="array" ref="D36">SourceData_Feedlot.SourceData_Feedlot_DurationOfStay_Title()</f>
        <v>Beef feedlot cattle - Duration of stay (days)</v>
      </c>
      <c r="M36" s="1"/>
    </row>
    <row r="37" spans="4:13" ht="20" customHeight="1" x14ac:dyDescent="0.25">
      <c r="D37" s="5" t="str" cm="1">
        <f t="array" ref="D37">SourceData_Feedlot.SourceData_Feedlot_DurationOfStay_Source()</f>
        <v>VEERG 2026: Table A.1.1.1: Beef feedlot cattle - Duration of stay (days)</v>
      </c>
      <c r="M37" s="1"/>
    </row>
    <row r="38" spans="4:13" ht="20" customHeight="1" x14ac:dyDescent="0.25">
      <c r="D38" s="36" t="s">
        <v>84</v>
      </c>
      <c r="E38" s="36" t="s">
        <v>97</v>
      </c>
      <c r="M38" s="1"/>
    </row>
    <row r="39" spans="4:13" ht="20"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 customHeight="1" x14ac:dyDescent="0.25">
      <c r="M42" s="23"/>
    </row>
    <row r="43" spans="4:13" ht="20" customHeight="1" x14ac:dyDescent="0.25">
      <c r="M43" s="23"/>
    </row>
    <row r="44" spans="4:13" ht="20" customHeight="1" x14ac:dyDescent="0.25">
      <c r="D44" s="6" t="str" cm="1">
        <f t="array" ref="D44">SourceData_Feedlot.SourceData_Feedlot_AnimalCharacteristics_Title()</f>
        <v>Beef feedlot cattle - Animal characteristics</v>
      </c>
      <c r="M44" s="23"/>
    </row>
    <row r="45" spans="4:13" ht="20" customHeight="1" x14ac:dyDescent="0.25">
      <c r="D45" s="5" t="str" cm="1">
        <f t="array" ref="D45">SourceData_Feedlot.SourceData_Feedlot_AnimalCharacteristics_Source()</f>
        <v>VEERG 2026: Table A.1.1.2: Beef feedlot cattle - Animal characteristics</v>
      </c>
      <c r="M45" s="23"/>
    </row>
    <row r="46" spans="4:13" ht="20" customHeight="1" x14ac:dyDescent="0.25">
      <c r="D46" s="51" t="str" cm="1">
        <f t="array" ref="D46:D48">SourceData_Feedlot.SourceData_Feedlot_AnimalCharacteristics_Variation()</f>
        <v>VARIATION ON SOURCE:</v>
      </c>
      <c r="M46" s="23"/>
    </row>
    <row r="47" spans="4:13" ht="20" customHeight="1" x14ac:dyDescent="0.25">
      <c r="D47" s="51" t="str">
        <v>Moved feedlot types to a separate column to aid lookup.</v>
      </c>
      <c r="M47" s="23"/>
    </row>
    <row r="48" spans="4:13" ht="20" customHeight="1" x14ac:dyDescent="0.25">
      <c r="D48" s="51" t="str">
        <v>Named 'characteristic' column - original has header 'Unit' which covers two columns)</v>
      </c>
      <c r="M48" s="23"/>
    </row>
    <row r="49" spans="4:13" ht="20" customHeight="1" x14ac:dyDescent="0.25">
      <c r="D49" s="36" t="s">
        <v>84</v>
      </c>
      <c r="E49" s="36" t="s">
        <v>94</v>
      </c>
      <c r="F49" s="36" t="s">
        <v>8</v>
      </c>
      <c r="G49" s="36" t="s">
        <v>95</v>
      </c>
      <c r="H49" s="36" t="s">
        <v>86</v>
      </c>
      <c r="I49" s="36" t="s">
        <v>87</v>
      </c>
      <c r="J49" s="36" t="s">
        <v>88</v>
      </c>
      <c r="M49" s="23"/>
    </row>
    <row r="50" spans="4:13" ht="20"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 customHeight="1" x14ac:dyDescent="0.25">
      <c r="M59" s="23"/>
    </row>
    <row r="60" spans="4:13" ht="20" customHeight="1" x14ac:dyDescent="0.25">
      <c r="M60" s="23"/>
    </row>
    <row r="61" spans="4:13" ht="20" customHeight="1" x14ac:dyDescent="0.25">
      <c r="D61" s="6" t="str" cm="1">
        <f t="array" ref="D61">SourceData_Feedlot.SourceData_Feedlot_DietProperties_Title()</f>
        <v>Beef feedlot cattle - Diet properties</v>
      </c>
      <c r="M61" s="23"/>
    </row>
    <row r="62" spans="4:13" ht="20" customHeight="1" x14ac:dyDescent="0.25">
      <c r="D62" s="5" t="str" cm="1">
        <f t="array" ref="D62">SourceData_Feedlot.SourceData_Feedlot_DietProperties_Source()</f>
        <v>VEERG 2026: Table A.1.1.3: Beef feedlot cattle - Diet properties</v>
      </c>
      <c r="M62" s="23"/>
    </row>
    <row r="63" spans="4:13" ht="20" customHeight="1" x14ac:dyDescent="0.25">
      <c r="D63" s="51" t="str" cm="1">
        <f t="array" ref="D63:D65">SourceData_Feedlot.SourceData_Feedlot_DietProperties_Variation()</f>
        <v>VARIATION ON SOURCE:</v>
      </c>
      <c r="M63" s="23"/>
    </row>
    <row r="64" spans="4:13" ht="20" customHeight="1" x14ac:dyDescent="0.25">
      <c r="D64" s="51" t="str">
        <v>Added 'Converted to fraction column and converted NDF and Ether extract values to fractions.</v>
      </c>
      <c r="M64" s="23"/>
    </row>
    <row r="65" spans="4:13" ht="20" customHeight="1" x14ac:dyDescent="0.25">
      <c r="D65" s="51" t="str">
        <v>Moved feedlot types to a separate column to aid lookup.</v>
      </c>
      <c r="M65" s="23"/>
    </row>
    <row r="66" spans="4:13" ht="20" customHeight="1" x14ac:dyDescent="0.25">
      <c r="D66" s="36" t="s">
        <v>84</v>
      </c>
      <c r="E66" s="36" t="s">
        <v>85</v>
      </c>
      <c r="F66" s="36" t="s">
        <v>8</v>
      </c>
      <c r="G66" s="36" t="s">
        <v>86</v>
      </c>
      <c r="H66" s="36" t="s">
        <v>87</v>
      </c>
      <c r="I66" s="36" t="s">
        <v>88</v>
      </c>
      <c r="J66" s="36" t="s">
        <v>93</v>
      </c>
      <c r="M66" s="23"/>
    </row>
    <row r="67" spans="4:13" ht="20"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 customHeight="1" x14ac:dyDescent="0.25">
      <c r="M79" s="23"/>
    </row>
    <row r="80" spans="4:13" ht="20" customHeight="1" x14ac:dyDescent="0.25">
      <c r="M80" s="23"/>
    </row>
    <row r="81" spans="4:14" ht="20" customHeight="1" x14ac:dyDescent="0.25">
      <c r="D81" s="6" t="str" cm="1">
        <f t="array" ref="D81">SourceData_Feedlot.SourceData_Feedlot_MCF_Title()</f>
        <v>Feedlot - MCFs</v>
      </c>
      <c r="M81" s="1"/>
    </row>
    <row r="82" spans="4:14" ht="20" customHeight="1" x14ac:dyDescent="0.25">
      <c r="D82" s="5" t="str" cm="1">
        <f t="array" ref="D82">SourceData_Feedlot.SourceData_Feedlot_MCF_Source()</f>
        <v>VEERG 2026: Table A.1.1.4: Beef feedlot cattle - MCFs (fraction) (MCFimT)</v>
      </c>
      <c r="M82" s="1"/>
    </row>
    <row r="83" spans="4:14" ht="20" customHeight="1" x14ac:dyDescent="0.25">
      <c r="D83" s="51" t="str" cm="1">
        <f t="array" ref="D83:D86">SourceData_Feedlot.SourceData_Feedlot_MCF_Variation()</f>
        <v>VARIATION ON SOURCE:</v>
      </c>
      <c r="M83" s="1"/>
    </row>
    <row r="84" spans="4:14" ht="20" customHeight="1" x14ac:dyDescent="0.25">
      <c r="D84" s="51" t="str">
        <v>Duplicated NSW values for ACT</v>
      </c>
      <c r="M84" s="1"/>
    </row>
    <row r="85" spans="4:14" ht="20" customHeight="1" x14ac:dyDescent="0.25">
      <c r="D85" s="51" t="str">
        <v>Added NT column that duplicates QLD values as per advice from source data provider.</v>
      </c>
      <c r="M85" s="1"/>
    </row>
    <row r="86" spans="4:14" ht="20" customHeight="1" x14ac:dyDescent="0.25">
      <c r="D86" s="51" t="str">
        <v>Added TAS column that duplicates VIC values as per advice from source data provider.</v>
      </c>
      <c r="M86" s="1"/>
    </row>
    <row r="87" spans="4:14" ht="20" customHeight="1" x14ac:dyDescent="0.25">
      <c r="M87" s="1"/>
    </row>
    <row r="88" spans="4:14" ht="20"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 customHeight="1" x14ac:dyDescent="0.25">
      <c r="M94" s="23"/>
    </row>
    <row r="95" spans="4:14" ht="20" customHeight="1" x14ac:dyDescent="0.25">
      <c r="M95" s="23"/>
    </row>
    <row r="96" spans="4:14" ht="20" customHeight="1" x14ac:dyDescent="0.25">
      <c r="D96" s="6" t="str" cm="1">
        <f t="array" ref="D96">SourceData_Feedlot.SourceData_Feedlot_NitrousOxideEFs_Title()</f>
        <v>Feedlot - Nitrous oxide EFs</v>
      </c>
      <c r="M96" s="23"/>
    </row>
    <row r="97" spans="4:14" ht="20" customHeight="1" x14ac:dyDescent="0.25">
      <c r="D97" s="5" t="str" cm="1">
        <f t="array" ref="D97">SourceData_Feedlot.SourceData_Feedlot_NitrousOxideEFs_Source()</f>
        <v>VEERG 2026: Table A.1.1.5: Beef feedlot cattle - Nitrous oxide EFs (EFmT)</v>
      </c>
      <c r="M97" s="23"/>
    </row>
    <row r="98" spans="4:14" ht="20" customHeight="1" x14ac:dyDescent="0.25">
      <c r="D98" s="51" t="str" cm="1">
        <f t="array" ref="D98:D99">SourceData_Feedlot.SourceData_Feedlot_NitrousOxideEFs_Variation()</f>
        <v>VARIATION ON SOURCE:</v>
      </c>
      <c r="M98" s="23"/>
    </row>
    <row r="99" spans="4:14" ht="20" customHeight="1" x14ac:dyDescent="0.25">
      <c r="D99" s="51" t="str">
        <v>Added 'NIR definition' column with MMS names that match NIR definitions.</v>
      </c>
      <c r="M99" s="23"/>
    </row>
    <row r="100" spans="4:14" ht="20" customHeight="1" x14ac:dyDescent="0.25">
      <c r="D100" s="36" t="s">
        <v>76</v>
      </c>
      <c r="E100" s="36" t="s">
        <v>74</v>
      </c>
      <c r="F100" s="36" t="s">
        <v>98</v>
      </c>
      <c r="G100" s="36" t="s">
        <v>72</v>
      </c>
      <c r="M100" s="1"/>
      <c r="N100" s="23"/>
    </row>
    <row r="101" spans="4:14" ht="20"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 customHeight="1" x14ac:dyDescent="0.25">
      <c r="M106" s="23"/>
    </row>
    <row r="107" spans="4:14" ht="20" customHeight="1" x14ac:dyDescent="0.25">
      <c r="M107" s="23"/>
    </row>
    <row r="108" spans="4:14" ht="20" customHeight="1" x14ac:dyDescent="0.25">
      <c r="D108" s="6" t="str" cm="1">
        <f t="array" ref="D108">SourceData_Feedlot.SourceData_Feedlot_FracNVolatilised_Title()</f>
        <v>Feedlot - Fraction of N volatilised by MMS (FracGASMmT)</v>
      </c>
      <c r="M108" s="23"/>
    </row>
    <row r="109" spans="4:14" ht="20" customHeight="1" x14ac:dyDescent="0.25">
      <c r="D109" s="5" t="str" cm="1">
        <f t="array" ref="D109">SourceData_Feedlot.SourceData_Feedlot_FracNVolatilised_Source()</f>
        <v>VEERG 2026: Table A.1.1.6: Beef feedlot cattle - Fraction of N volatilised by MMS (FracGASMmT)</v>
      </c>
      <c r="M109" s="23"/>
    </row>
    <row r="110" spans="4:14" ht="20" customHeight="1" x14ac:dyDescent="0.25">
      <c r="D110" s="51" t="str" cm="1">
        <f t="array" ref="D110:D111">SourceData_Feedlot.SourceData_Feedlot_FracNVolatilised_Variation()</f>
        <v>VARIATION ON SOURCE:</v>
      </c>
      <c r="M110" s="23"/>
    </row>
    <row r="111" spans="4:14" ht="20" customHeight="1" x14ac:dyDescent="0.25">
      <c r="D111" s="51" t="str">
        <v>Added 'NIR definition' column with MMS names that match NIR definitions.</v>
      </c>
      <c r="M111" s="23"/>
    </row>
    <row r="112" spans="4:14" ht="20" customHeight="1" x14ac:dyDescent="0.25">
      <c r="D112" s="91" t="s">
        <v>76</v>
      </c>
      <c r="E112" s="91" t="s">
        <v>74</v>
      </c>
      <c r="F112" s="91" t="s">
        <v>99</v>
      </c>
      <c r="G112" s="91" t="s">
        <v>72</v>
      </c>
      <c r="M112" s="23"/>
    </row>
    <row r="113" spans="4:22" ht="20"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 customHeight="1" x14ac:dyDescent="0.25">
      <c r="M118" s="23"/>
    </row>
    <row r="119" spans="4:22" ht="20" customHeight="1" x14ac:dyDescent="0.25">
      <c r="M119" s="23"/>
    </row>
    <row r="120" spans="4:22" ht="20" customHeight="1" x14ac:dyDescent="0.25">
      <c r="M120" s="23"/>
    </row>
    <row r="121" spans="4:22" ht="20" customHeight="1" x14ac:dyDescent="0.25">
      <c r="M121" s="23"/>
    </row>
    <row r="122" spans="4:22" ht="20" customHeight="1" x14ac:dyDescent="0.25">
      <c r="M122" s="23"/>
    </row>
    <row r="123" spans="4:22" ht="20" customHeight="1" x14ac:dyDescent="0.25">
      <c r="M123" s="23"/>
    </row>
    <row r="124" spans="4:22" ht="20" customHeight="1" x14ac:dyDescent="0.25">
      <c r="M124" s="23"/>
    </row>
    <row r="125" spans="4:22" ht="20" customHeight="1" x14ac:dyDescent="0.25">
      <c r="M125" s="23"/>
    </row>
    <row r="126" spans="4:22" ht="20" customHeight="1" x14ac:dyDescent="0.25">
      <c r="M126" s="23"/>
    </row>
    <row r="127" spans="4:22" ht="20" customHeight="1" x14ac:dyDescent="0.25">
      <c r="M127" s="23"/>
    </row>
    <row r="128" spans="4:22" ht="20" customHeight="1" x14ac:dyDescent="0.25">
      <c r="M128" s="23"/>
    </row>
    <row r="129" spans="13:13" ht="20" customHeight="1" x14ac:dyDescent="0.25">
      <c r="M129" s="23"/>
    </row>
    <row r="130" spans="13:13" ht="20" customHeight="1" x14ac:dyDescent="0.25">
      <c r="M130" s="23"/>
    </row>
    <row r="131" spans="13:13" ht="20" customHeight="1" x14ac:dyDescent="0.25">
      <c r="M131" s="23"/>
    </row>
    <row r="132" spans="13:13" ht="20" customHeight="1" x14ac:dyDescent="0.25">
      <c r="M132" s="23"/>
    </row>
    <row r="133" spans="13:13" ht="20" customHeight="1" x14ac:dyDescent="0.25">
      <c r="M133" s="23"/>
    </row>
    <row r="134" spans="13:13" ht="20" customHeight="1" x14ac:dyDescent="0.25">
      <c r="M134" s="23"/>
    </row>
    <row r="135" spans="13:13" ht="20" customHeight="1" x14ac:dyDescent="0.25">
      <c r="M135" s="23"/>
    </row>
    <row r="136" spans="13:13" ht="20" customHeight="1" x14ac:dyDescent="0.25">
      <c r="M136" s="23"/>
    </row>
    <row r="137" spans="13:13" ht="20" customHeight="1" x14ac:dyDescent="0.25">
      <c r="M137" s="23"/>
    </row>
    <row r="138" spans="13:13" ht="20" customHeight="1" x14ac:dyDescent="0.25">
      <c r="M138" s="23"/>
    </row>
    <row r="139" spans="13:13" ht="20" customHeight="1" x14ac:dyDescent="0.25">
      <c r="M139" s="23"/>
    </row>
    <row r="140" spans="13:13" ht="20" customHeight="1" x14ac:dyDescent="0.25">
      <c r="M140" s="23"/>
    </row>
    <row r="141" spans="13:13" ht="20" customHeight="1" x14ac:dyDescent="0.25">
      <c r="M141" s="23"/>
    </row>
    <row r="142" spans="13:13" ht="20" customHeight="1" x14ac:dyDescent="0.25">
      <c r="M142" s="23"/>
    </row>
    <row r="143" spans="13:13" ht="20" customHeight="1" x14ac:dyDescent="0.25">
      <c r="M143" s="23"/>
    </row>
    <row r="144" spans="13:13" ht="20" customHeight="1" x14ac:dyDescent="0.25">
      <c r="M144" s="23"/>
    </row>
    <row r="145" spans="13:13" ht="20" customHeight="1" x14ac:dyDescent="0.25">
      <c r="M145" s="23"/>
    </row>
    <row r="146" spans="13:13" ht="20" customHeight="1" x14ac:dyDescent="0.25">
      <c r="M146" s="23"/>
    </row>
    <row r="147" spans="13:13" ht="20" customHeight="1" x14ac:dyDescent="0.25">
      <c r="M147" s="23"/>
    </row>
    <row r="148" spans="13:13" ht="20" customHeight="1" x14ac:dyDescent="0.25">
      <c r="M148" s="23"/>
    </row>
    <row r="149" spans="13:13" ht="20" customHeight="1" x14ac:dyDescent="0.25">
      <c r="M149" s="23"/>
    </row>
    <row r="150" spans="13:13" ht="20" customHeight="1" x14ac:dyDescent="0.25">
      <c r="M150" s="23"/>
    </row>
    <row r="151" spans="13:13" ht="20" customHeight="1" x14ac:dyDescent="0.25">
      <c r="M151" s="23"/>
    </row>
    <row r="152" spans="13:13" ht="20" customHeight="1" x14ac:dyDescent="0.25">
      <c r="M152" s="23"/>
    </row>
    <row r="153" spans="13:13" ht="20" customHeight="1" x14ac:dyDescent="0.25">
      <c r="M153" s="23"/>
    </row>
    <row r="154" spans="13:13" ht="20" customHeight="1" x14ac:dyDescent="0.25">
      <c r="M154" s="23"/>
    </row>
    <row r="155" spans="13:13" ht="20" customHeight="1" x14ac:dyDescent="0.25">
      <c r="M155" s="23"/>
    </row>
    <row r="156" spans="13:13" ht="20" customHeight="1" x14ac:dyDescent="0.25">
      <c r="M156" s="23"/>
    </row>
    <row r="157" spans="13:13" ht="20" customHeight="1" x14ac:dyDescent="0.25">
      <c r="M157" s="23"/>
    </row>
    <row r="158" spans="13:13" ht="20" customHeight="1" x14ac:dyDescent="0.25">
      <c r="M158" s="23"/>
    </row>
    <row r="159" spans="13:13" ht="20" customHeight="1" x14ac:dyDescent="0.25">
      <c r="M159" s="23"/>
    </row>
    <row r="160" spans="13:13" ht="20" customHeight="1" x14ac:dyDescent="0.25">
      <c r="M160" s="23"/>
    </row>
    <row r="161" spans="13:13" ht="20" customHeight="1" x14ac:dyDescent="0.25">
      <c r="M161" s="23"/>
    </row>
    <row r="162" spans="13:13" ht="20" customHeight="1" x14ac:dyDescent="0.25">
      <c r="M162" s="23"/>
    </row>
    <row r="163" spans="13:13" ht="20" customHeight="1" x14ac:dyDescent="0.25">
      <c r="M163" s="23"/>
    </row>
    <row r="164" spans="13:13" ht="20" customHeight="1" x14ac:dyDescent="0.25">
      <c r="M164" s="23"/>
    </row>
    <row r="165" spans="13:13" ht="20" customHeight="1" x14ac:dyDescent="0.25">
      <c r="M165" s="23"/>
    </row>
    <row r="166" spans="13:13" x14ac:dyDescent="0.25" ht="20" customHeight="1">
      <c r="M166" s="23"/>
    </row>
    <row r="167" spans="13:13" x14ac:dyDescent="0.25" ht="20" customHeight="1">
      <c r="M167" s="23"/>
    </row>
    <row r="168" spans="13:13" x14ac:dyDescent="0.25" ht="20" customHeight="1">
      <c r="M168" s="23"/>
    </row>
    <row r="169" spans="13:13" x14ac:dyDescent="0.25" ht="20" customHeight="1">
      <c r="M169" s="23"/>
    </row>
    <row r="170" spans="13:13" x14ac:dyDescent="0.25" ht="20" customHeight="1">
      <c r="M170" s="23"/>
    </row>
    <row r="171" spans="13:13" x14ac:dyDescent="0.25" ht="20" customHeight="1">
      <c r="M171" s="23"/>
    </row>
    <row r="172" spans="13:13" x14ac:dyDescent="0.25" ht="20" customHeight="1">
      <c r="M172" s="23"/>
    </row>
    <row r="173" spans="13:13" x14ac:dyDescent="0.25" ht="20" customHeight="1">
      <c r="M173" s="23"/>
    </row>
    <row r="174" spans="13:13" x14ac:dyDescent="0.25" ht="20" customHeight="1">
      <c r="M174" s="23"/>
    </row>
    <row r="175" spans="13:13" x14ac:dyDescent="0.25" ht="20" customHeight="1">
      <c r="M175" s="23"/>
    </row>
    <row r="176" spans="13:13" x14ac:dyDescent="0.25" ht="20" customHeight="1">
      <c r="M176" s="23"/>
    </row>
    <row r="177" spans="13:13" x14ac:dyDescent="0.25" ht="20" customHeight="1">
      <c r="M177" s="23"/>
    </row>
    <row r="178" spans="13:13" x14ac:dyDescent="0.25" ht="20" customHeight="1">
      <c r="M178" s="23"/>
    </row>
    <row r="179" spans="13:13" x14ac:dyDescent="0.25" ht="20" customHeight="1">
      <c r="M179" s="23"/>
    </row>
    <row r="180" spans="13:13" x14ac:dyDescent="0.25" ht="20" customHeight="1">
      <c r="M180" s="23"/>
    </row>
    <row r="181" spans="13:13" x14ac:dyDescent="0.25" ht="20" customHeight="1">
      <c r="M181" s="23"/>
    </row>
    <row r="182" spans="13:13" x14ac:dyDescent="0.25" ht="20" customHeight="1">
      <c r="M182" s="23"/>
    </row>
    <row r="183" spans="13:13" x14ac:dyDescent="0.25" ht="20" customHeight="1">
      <c r="M183" s="23"/>
    </row>
    <row r="184" spans="13:13" x14ac:dyDescent="0.25" ht="20" customHeight="1">
      <c r="M184" s="23"/>
    </row>
    <row r="185" spans="13:13" x14ac:dyDescent="0.25" ht="20" customHeight="1">
      <c r="M185" s="23"/>
    </row>
    <row r="186" spans="13:13" x14ac:dyDescent="0.25" ht="20" customHeight="1">
      <c r="M186" s="23"/>
    </row>
    <row r="187" spans="13:13" x14ac:dyDescent="0.25" ht="20" customHeight="1">
      <c r="M187" s="23"/>
    </row>
    <row r="188" spans="13:13" x14ac:dyDescent="0.25" ht="20" customHeight="1">
      <c r="M188" s="23"/>
    </row>
    <row r="189" spans="13:13" x14ac:dyDescent="0.25" ht="20" customHeight="1">
      <c r="M189" s="23"/>
    </row>
    <row r="190" spans="13:13" x14ac:dyDescent="0.25" ht="20" customHeight="1">
      <c r="M190" s="23"/>
    </row>
    <row r="191" spans="13:13" x14ac:dyDescent="0.25" ht="20" customHeight="1">
      <c r="M191" s="23"/>
    </row>
    <row r="192" spans="13:13" x14ac:dyDescent="0.25" ht="20" customHeight="1">
      <c r="M192" s="23"/>
    </row>
    <row r="193" spans="13:13" x14ac:dyDescent="0.25" ht="20" customHeight="1">
      <c r="M193" s="23"/>
    </row>
    <row r="194" spans="13:13" x14ac:dyDescent="0.25" ht="20" customHeight="1">
      <c r="M194" s="23"/>
    </row>
    <row r="195" spans="13:13" x14ac:dyDescent="0.25" ht="20" customHeight="1">
      <c r="M195" s="23"/>
    </row>
    <row r="196" spans="13:13" x14ac:dyDescent="0.25" ht="20" customHeight="1">
      <c r="M196" s="23"/>
    </row>
    <row r="197" spans="13:13" x14ac:dyDescent="0.25" ht="20" customHeight="1">
      <c r="M197" s="23"/>
    </row>
    <row r="198" spans="13:13" x14ac:dyDescent="0.25" ht="20" customHeight="1">
      <c r="M198" s="23"/>
    </row>
    <row r="199" spans="13:13" x14ac:dyDescent="0.25" ht="20" customHeight="1">
      <c r="M199" s="23"/>
    </row>
    <row r="200" spans="13:13" x14ac:dyDescent="0.25" ht="20" customHeight="1">
      <c r="M200" s="23"/>
    </row>
    <row r="201" spans="13:13" x14ac:dyDescent="0.25" ht="20" customHeight="1">
      <c r="M201" s="23"/>
    </row>
    <row r="202" spans="13:13" x14ac:dyDescent="0.25" ht="20" customHeight="1">
      <c r="M202" s="23"/>
    </row>
    <row r="203" spans="13:13" x14ac:dyDescent="0.25" ht="20" customHeight="1">
      <c r="M203" s="23"/>
    </row>
    <row r="204" spans="13:13" x14ac:dyDescent="0.25" ht="20" customHeight="1">
      <c r="M204" s="23"/>
    </row>
    <row r="205" spans="13:13" x14ac:dyDescent="0.25" ht="20" customHeight="1">
      <c r="M205" s="23"/>
    </row>
    <row r="206" spans="13:13" x14ac:dyDescent="0.25" ht="20" customHeight="1">
      <c r="M206" s="23"/>
    </row>
    <row r="207" spans="13:13" x14ac:dyDescent="0.25" ht="20" customHeight="1">
      <c r="M207" s="23"/>
    </row>
    <row r="208" spans="13:13" x14ac:dyDescent="0.25" ht="20" customHeight="1">
      <c r="M208" s="23"/>
    </row>
    <row r="209" spans="13:13" x14ac:dyDescent="0.25" ht="20" customHeight="1">
      <c r="M209" s="23"/>
    </row>
    <row r="210" spans="13:13" x14ac:dyDescent="0.25" ht="20" customHeight="1">
      <c r="M210" s="23"/>
    </row>
    <row r="211" spans="13:13" x14ac:dyDescent="0.25" ht="20" customHeight="1">
      <c r="M211" s="23"/>
    </row>
    <row r="212" spans="13:13" x14ac:dyDescent="0.25" ht="20" customHeight="1">
      <c r="M212" s="23"/>
    </row>
    <row r="213" spans="13:13" x14ac:dyDescent="0.25" ht="20" customHeight="1">
      <c r="M213" s="23"/>
    </row>
    <row r="214" spans="13:13" x14ac:dyDescent="0.25" ht="20" customHeight="1">
      <c r="M214" s="23"/>
    </row>
    <row r="215" spans="13:13" x14ac:dyDescent="0.25" ht="20" customHeight="1">
      <c r="M215" s="23"/>
    </row>
    <row r="216" spans="13:13" x14ac:dyDescent="0.25" ht="20" customHeight="1">
      <c r="M216" s="23"/>
    </row>
    <row r="217" spans="13:13" x14ac:dyDescent="0.25" ht="20" customHeight="1">
      <c r="M217" s="23"/>
    </row>
    <row r="218" spans="13:13" x14ac:dyDescent="0.25" ht="20" customHeight="1">
      <c r="M218" s="23"/>
    </row>
    <row r="219" spans="13:13" x14ac:dyDescent="0.25" ht="20" customHeight="1">
      <c r="M219" s="23"/>
    </row>
    <row r="220" spans="13:13" x14ac:dyDescent="0.25" ht="20" customHeight="1">
      <c r="M220" s="23"/>
    </row>
    <row r="221" spans="13:13" x14ac:dyDescent="0.25" ht="20" customHeight="1">
      <c r="M221" s="23"/>
    </row>
    <row r="222" spans="13:13" x14ac:dyDescent="0.25" ht="20" customHeight="1">
      <c r="M222" s="23"/>
    </row>
    <row r="223" spans="13:13" x14ac:dyDescent="0.25" ht="20" customHeight="1">
      <c r="M223" s="23"/>
    </row>
    <row r="224" spans="13:13" x14ac:dyDescent="0.25" ht="20" customHeight="1">
      <c r="M224" s="23"/>
    </row>
    <row r="225" spans="13:13" x14ac:dyDescent="0.25" ht="20" customHeight="1">
      <c r="M225" s="23"/>
    </row>
    <row r="226" spans="13:13" x14ac:dyDescent="0.25" ht="20" customHeight="1">
      <c r="M226" s="23"/>
    </row>
    <row r="227" spans="13:13" x14ac:dyDescent="0.25" ht="20" customHeight="1">
      <c r="M227" s="23"/>
    </row>
    <row r="228" spans="13:13" x14ac:dyDescent="0.25" ht="20" customHeight="1">
      <c r="M228" s="23"/>
    </row>
    <row r="229" spans="13:13" x14ac:dyDescent="0.25" ht="20" customHeight="1">
      <c r="M229" s="23"/>
    </row>
    <row r="230" spans="13:13" x14ac:dyDescent="0.25" ht="20" customHeight="1">
      <c r="M230" s="23"/>
    </row>
    <row r="231" spans="13:13" x14ac:dyDescent="0.25" ht="20" customHeight="1">
      <c r="M231" s="23"/>
    </row>
    <row r="232" spans="13:13" x14ac:dyDescent="0.25" ht="20" customHeight="1">
      <c r="M232" s="23"/>
    </row>
    <row r="233" spans="13:13" x14ac:dyDescent="0.25" ht="20" customHeight="1">
      <c r="M233" s="23"/>
    </row>
    <row r="234" spans="13:13" x14ac:dyDescent="0.25" ht="20" customHeight="1">
      <c r="M234" s="23"/>
    </row>
    <row r="235" spans="13:13" x14ac:dyDescent="0.25" ht="20" customHeight="1">
      <c r="M235" s="23"/>
    </row>
    <row r="236" spans="13:13" x14ac:dyDescent="0.25" ht="20" customHeight="1">
      <c r="M236" s="23"/>
    </row>
    <row r="237" spans="13:13" x14ac:dyDescent="0.25" ht="20" customHeight="1">
      <c r="M237" s="23"/>
    </row>
    <row r="238" spans="13:13" x14ac:dyDescent="0.25" ht="20" customHeight="1">
      <c r="M238" s="23"/>
    </row>
    <row r="239" spans="13:13" x14ac:dyDescent="0.25" ht="20" customHeight="1">
      <c r="M239" s="23"/>
    </row>
    <row r="240" spans="13:13" x14ac:dyDescent="0.25" ht="20" customHeight="1">
      <c r="M240" s="23"/>
    </row>
    <row r="241" spans="13:13" x14ac:dyDescent="0.25" ht="20" customHeight="1">
      <c r="M241" s="23"/>
    </row>
    <row r="242" spans="13:13" x14ac:dyDescent="0.25" ht="20" customHeight="1">
      <c r="M242" s="23"/>
    </row>
    <row r="243" spans="13:13" x14ac:dyDescent="0.25" ht="20" customHeight="1">
      <c r="M243" s="23"/>
    </row>
    <row r="244" spans="13:13" x14ac:dyDescent="0.25" ht="20" customHeight="1">
      <c r="M244" s="23"/>
    </row>
    <row r="245" spans="13:13" x14ac:dyDescent="0.25" ht="20" customHeight="1">
      <c r="M245" s="23"/>
    </row>
    <row r="246" spans="13:13" x14ac:dyDescent="0.25" ht="20" customHeight="1">
      <c r="M246" s="23"/>
    </row>
    <row r="247" spans="13:13" x14ac:dyDescent="0.25" ht="20" customHeight="1">
      <c r="M247" s="23"/>
    </row>
    <row r="248" spans="13:13" x14ac:dyDescent="0.25" ht="20" customHeight="1">
      <c r="M248" s="23"/>
    </row>
    <row r="249" spans="13:13" x14ac:dyDescent="0.25" ht="20" customHeight="1">
      <c r="M249" s="23"/>
    </row>
    <row r="250" spans="13:13" x14ac:dyDescent="0.25" ht="20" customHeight="1">
      <c r="M250" s="23"/>
    </row>
    <row r="251" spans="13:13" x14ac:dyDescent="0.25" ht="20" customHeight="1">
      <c r="M251" s="23"/>
    </row>
    <row r="252" spans="13:13" x14ac:dyDescent="0.25" ht="20" customHeight="1">
      <c r="M252" s="23"/>
    </row>
    <row r="253" spans="13:13" x14ac:dyDescent="0.25" ht="20" customHeight="1">
      <c r="M253" s="23"/>
    </row>
    <row r="254" spans="13:13" x14ac:dyDescent="0.25" ht="20" customHeight="1">
      <c r="M254" s="23"/>
    </row>
    <row r="255" spans="13:13" x14ac:dyDescent="0.25" ht="20" customHeight="1">
      <c r="M255" s="23"/>
    </row>
    <row r="256" spans="13:13" x14ac:dyDescent="0.25" ht="20" customHeight="1">
      <c r="M256" s="23"/>
    </row>
    <row r="257" spans="13:13" x14ac:dyDescent="0.25" ht="20" customHeight="1">
      <c r="M257" s="23"/>
    </row>
    <row r="258" spans="13:13" x14ac:dyDescent="0.25" ht="20" customHeight="1">
      <c r="M258" s="23"/>
    </row>
    <row r="259" spans="13:13" x14ac:dyDescent="0.25" ht="20" customHeight="1">
      <c r="M259" s="23"/>
    </row>
    <row r="260" spans="13:13" x14ac:dyDescent="0.25" ht="20" customHeight="1">
      <c r="M260" s="23"/>
    </row>
    <row r="261" spans="13:13" x14ac:dyDescent="0.25" ht="20" customHeight="1">
      <c r="M261" s="23"/>
    </row>
    <row r="262" spans="13:13" x14ac:dyDescent="0.25" ht="20" customHeight="1">
      <c r="M262" s="23"/>
    </row>
    <row r="263" spans="13:13" x14ac:dyDescent="0.25" ht="20" customHeight="1">
      <c r="M263" s="23"/>
    </row>
    <row r="264" spans="13:13" x14ac:dyDescent="0.25" ht="20" customHeight="1">
      <c r="M264" s="23"/>
    </row>
    <row r="265" spans="13:13" x14ac:dyDescent="0.25" ht="20" customHeight="1">
      <c r="M265" s="23"/>
    </row>
    <row r="266" spans="13:13" x14ac:dyDescent="0.25" ht="20" customHeight="1">
      <c r="M266" s="23"/>
    </row>
    <row r="267" spans="13:13" x14ac:dyDescent="0.25" ht="20" customHeight="1">
      <c r="M267" s="23"/>
    </row>
    <row r="268" spans="13:13" x14ac:dyDescent="0.25" ht="20" customHeight="1">
      <c r="M268" s="23"/>
    </row>
    <row r="269" spans="13:13" x14ac:dyDescent="0.25" ht="20" customHeight="1">
      <c r="M269" s="23"/>
    </row>
    <row r="270" spans="13:13" x14ac:dyDescent="0.25" ht="20" customHeight="1">
      <c r="M270" s="23"/>
    </row>
    <row r="271" spans="13:13" x14ac:dyDescent="0.25" ht="20" customHeight="1">
      <c r="M271" s="23"/>
    </row>
    <row r="272" spans="13:13" x14ac:dyDescent="0.25" ht="20" customHeight="1">
      <c r="M272" s="23"/>
    </row>
    <row r="273" spans="13:13" x14ac:dyDescent="0.25" ht="20" customHeight="1">
      <c r="M273" s="23"/>
    </row>
    <row r="274" spans="13:13" x14ac:dyDescent="0.25" ht="20" customHeight="1">
      <c r="M274" s="23"/>
    </row>
    <row r="275" spans="13:13" x14ac:dyDescent="0.25" ht="20" customHeight="1">
      <c r="M275" s="23"/>
    </row>
    <row r="276" spans="13:13" x14ac:dyDescent="0.25" ht="20" customHeight="1">
      <c r="M276" s="23"/>
    </row>
    <row r="277" spans="13:13" x14ac:dyDescent="0.25" ht="20" customHeight="1">
      <c r="M277" s="23"/>
    </row>
    <row r="278" spans="13:13" x14ac:dyDescent="0.25" ht="20" customHeight="1">
      <c r="M278" s="23"/>
    </row>
    <row r="279" spans="13:13" x14ac:dyDescent="0.25" ht="20" customHeight="1">
      <c r="M279" s="23"/>
    </row>
    <row r="280" spans="13:13" x14ac:dyDescent="0.25" ht="20" customHeight="1">
      <c r="M280" s="23"/>
    </row>
    <row r="281" spans="13:13" x14ac:dyDescent="0.25" ht="20" customHeight="1">
      <c r="M281" s="23"/>
    </row>
    <row r="282" spans="13:13" x14ac:dyDescent="0.25" ht="20" customHeight="1">
      <c r="M282" s="23"/>
    </row>
    <row r="283" spans="13:13" x14ac:dyDescent="0.25" ht="20" customHeight="1">
      <c r="M283" s="23"/>
    </row>
    <row r="284" spans="13:13" x14ac:dyDescent="0.25" ht="20" customHeight="1">
      <c r="M284" s="23"/>
    </row>
    <row r="285" spans="13:13" x14ac:dyDescent="0.25" ht="20" customHeight="1">
      <c r="M285" s="23"/>
    </row>
    <row r="286" spans="13:13" x14ac:dyDescent="0.25" ht="20" customHeight="1">
      <c r="M286" s="23"/>
    </row>
    <row r="287" spans="13:13" x14ac:dyDescent="0.25" ht="20" customHeight="1">
      <c r="M287" s="23"/>
    </row>
    <row r="288" spans="13:13" x14ac:dyDescent="0.25" ht="20" customHeight="1">
      <c r="M288" s="23"/>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12C3C-C551-420A-AED2-0EA702E901E4}">
  <sheetPr>
    <tabColor theme="2" tint="-0.499984740745262"/>
  </sheetPr>
  <dimension ref="A1:BY297"/>
  <sheetViews>
    <sheetView showGridLines="0" zoomScaleNormal="100" workbookViewId="0">
      <selection activeCell="A3" sqref="A3"/>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54</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11" t="s">
        <v>1</v>
      </c>
      <c r="D6" s="36" t="s">
        <v>10</v>
      </c>
      <c r="E6" s="36" t="s">
        <v>11</v>
      </c>
      <c r="F6" s="36" t="s">
        <v>12</v>
      </c>
    </row>
    <row r="7" spans="1:65" ht="20" customHeight="1" x14ac:dyDescent="0.25">
      <c r="A7" s="60"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6" t="s">
        <v>13</v>
      </c>
    </row>
    <row r="21" spans="1:4" ht="20" customHeight="1" x14ac:dyDescent="0.25">
      <c r="A21"/>
      <c r="D21" s="36" t="str" cm="1">
        <f t="array" ref="D21">Common_InputFunctions.Utility_DisplayArrayInTable(Common_SourceData.Common_SourceData_WASA4Areas_Data(), Table_WASA4Areas[[#Headers],[SA 4 Name]], 0)</f>
        <v>Bunbury</v>
      </c>
    </row>
    <row r="22" spans="1:4" ht="20" customHeight="1" x14ac:dyDescent="0.25">
      <c r="A22"/>
      <c r="D22" s="36" t="str" cm="1">
        <f t="array" ref="D22">Common_InputFunctions.Utility_DisplayArrayInTable(Common_SourceData.Common_SourceData_WASA4Areas_Data(), Table_WASA4Areas[[#Headers],[SA 4 Name]], 0)</f>
        <v>Mandurah</v>
      </c>
    </row>
    <row r="23" spans="1:4" ht="20" customHeight="1" x14ac:dyDescent="0.25">
      <c r="A23"/>
      <c r="D23" s="36" t="str" cm="1">
        <f t="array" ref="D23">Common_InputFunctions.Utility_DisplayArrayInTable(Common_SourceData.Common_SourceData_WASA4Areas_Data(), Table_WASA4Areas[[#Headers],[SA 4 Name]], 0)</f>
        <v>Perth - Inner</v>
      </c>
    </row>
    <row r="24" spans="1:4" ht="20" customHeight="1" x14ac:dyDescent="0.25">
      <c r="A24"/>
      <c r="D24" s="36" t="str" cm="1">
        <f t="array" ref="D24">Common_InputFunctions.Utility_DisplayArrayInTable(Common_SourceData.Common_SourceData_WASA4Areas_Data(), Table_WASA4Areas[[#Headers],[SA 4 Name]], 0)</f>
        <v>Perth - North East</v>
      </c>
    </row>
    <row r="25" spans="1:4" ht="20" customHeight="1" x14ac:dyDescent="0.25">
      <c r="A25"/>
      <c r="D25" s="36" t="str" cm="1">
        <f t="array" ref="D25">Common_InputFunctions.Utility_DisplayArrayInTable(Common_SourceData.Common_SourceData_WASA4Areas_Data(), Table_WASA4Areas[[#Headers],[SA 4 Name]], 0)</f>
        <v>Perth - North West</v>
      </c>
    </row>
    <row r="26" spans="1:4" ht="20" customHeight="1" x14ac:dyDescent="0.25">
      <c r="A26"/>
      <c r="D26" s="36" t="str" cm="1">
        <f t="array" ref="D26">Common_InputFunctions.Utility_DisplayArrayInTable(Common_SourceData.Common_SourceData_WASA4Areas_Data(), Table_WASA4Areas[[#Headers],[SA 4 Name]], 0)</f>
        <v>Perth - South East</v>
      </c>
    </row>
    <row r="27" spans="1:4" ht="20" customHeight="1" x14ac:dyDescent="0.25">
      <c r="A27"/>
      <c r="D27" s="36" t="str" cm="1">
        <f t="array" ref="D27">Common_InputFunctions.Utility_DisplayArrayInTable(Common_SourceData.Common_SourceData_WASA4Areas_Data(), Table_WASA4Areas[[#Headers],[SA 4 Name]], 0)</f>
        <v>Perth - South West</v>
      </c>
    </row>
    <row r="28" spans="1:4" ht="20" customHeight="1" x14ac:dyDescent="0.25">
      <c r="A28"/>
      <c r="D28" s="36" t="str" cm="1">
        <f t="array" ref="D28">Common_InputFunctions.Utility_DisplayArrayInTable(Common_SourceData.Common_SourceData_WASA4Areas_Data(), Table_WASA4Areas[[#Headers],[SA 4 Name]], 0)</f>
        <v>Western Australia - Wheat Belt</v>
      </c>
    </row>
    <row r="29" spans="1:4" ht="20" customHeight="1" x14ac:dyDescent="0.25">
      <c r="A29"/>
      <c r="D29" s="36" t="str" cm="1">
        <f t="array" ref="D29">Common_InputFunctions.Utility_DisplayArrayInTable(Common_SourceData.Common_SourceData_WASA4Areas_Data(), Table_WASA4Areas[[#Headers],[SA 4 Name]], 0)</f>
        <v>Western Australia - Outback (North)</v>
      </c>
    </row>
    <row r="30" spans="1:4" ht="20" customHeight="1" x14ac:dyDescent="0.25">
      <c r="A30"/>
      <c r="D30" s="36"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6" t="s">
        <v>15</v>
      </c>
      <c r="E36" s="36" t="s">
        <v>16</v>
      </c>
    </row>
    <row r="37" spans="1:8" ht="20"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6" t="s">
        <v>15</v>
      </c>
      <c r="E47" s="36" t="s">
        <v>18</v>
      </c>
      <c r="F47" s="36" t="s">
        <v>19</v>
      </c>
      <c r="G47" s="36" t="s">
        <v>20</v>
      </c>
      <c r="H47" s="36" t="s">
        <v>21</v>
      </c>
    </row>
    <row r="48" spans="1:8" ht="20"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51" t="str" cm="1">
        <f t="array" ref="D59:D61">"⚠️" &amp; Common_SourceData.Common_SourceData_WetAndDryZones_Variation()</f>
        <v>⚠️VARIATION OF SOURCE DATA:</v>
      </c>
    </row>
    <row r="60" spans="1:8" ht="20" customHeight="1" x14ac:dyDescent="0.25">
      <c r="A60"/>
      <c r="D60" s="51" t="str">
        <v>⚠️Added warm / cool temperate moist / dry - low frost and high temp classes to accommodate climate scenarios excluded by VEERG criteria.</v>
      </c>
    </row>
    <row r="61" spans="1:8" ht="20" customHeight="1" x14ac:dyDescent="0.25">
      <c r="A61"/>
      <c r="D61" s="51" t="str">
        <v>⚠️Fixed typo - Changed 'Fry' to 'Dry'.</v>
      </c>
    </row>
    <row r="62" spans="1:8" ht="20" customHeight="1" x14ac:dyDescent="0.25">
      <c r="A62"/>
    </row>
    <row r="63" spans="1:8" ht="20" customHeight="1" x14ac:dyDescent="0.25">
      <c r="A63"/>
      <c r="D63" s="36" t="s">
        <v>5</v>
      </c>
      <c r="E63" s="36" t="s">
        <v>35</v>
      </c>
    </row>
    <row r="64" spans="1:8" ht="20"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51" t="str" cm="1">
        <f t="array" ref="D83:D87">"⚠️" &amp; Common_SourceData.Common_SourceData_ClimateZones_Variation()</f>
        <v>⚠️VARIATION OF SOURCE DATA:</v>
      </c>
    </row>
    <row r="84" spans="1:20" ht="20" customHeight="1" x14ac:dyDescent="0.25">
      <c r="A84"/>
      <c r="D84" s="51" t="str">
        <v>⚠️Added warm / cool temperate moist / dry - low frost and high temp classes to accommodate climate scenarios excluded by VEERG criteria.</v>
      </c>
    </row>
    <row r="85" spans="1:20" ht="20" customHeight="1" x14ac:dyDescent="0.25">
      <c r="A85"/>
      <c r="D85" s="51" t="str">
        <v>⚠️Fixed typo in MAT value for warm temperate dry - changed 10 to 11.</v>
      </c>
    </row>
    <row r="86" spans="1:20" ht="20" customHeight="1" x14ac:dyDescent="0.25">
      <c r="A86"/>
      <c r="D86" s="51" t="str">
        <v>⚠️Added min and max columns for MAT, MAP, frost days per year, elevation, MAP:PET to calculate zones from real climate data.</v>
      </c>
    </row>
    <row r="87" spans="1:20" ht="20" customHeight="1" x14ac:dyDescent="0.25">
      <c r="A87"/>
      <c r="D87" s="51" t="str">
        <v>⚠️GAF accepts rainfall as a proxy for precipitation.</v>
      </c>
    </row>
    <row r="88" spans="1:20" ht="20" customHeight="1" x14ac:dyDescent="0.25">
      <c r="A88"/>
    </row>
    <row r="89" spans="1:20" ht="20"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 customHeight="1" x14ac:dyDescent="0.25">
      <c r="A98"/>
    </row>
    <row r="99" spans="1:20" ht="20" customHeight="1" x14ac:dyDescent="0.25">
      <c r="A99"/>
      <c r="D99" s="50" t="str" cm="1">
        <f t="array" ref="D99:D102">Common_SourceData.Common_SourceData_ClimateZones_Appendices()</f>
        <v>Note:</v>
      </c>
    </row>
    <row r="100" spans="1:20" ht="20" customHeight="1" x14ac:dyDescent="0.25">
      <c r="A100"/>
      <c r="D100" s="50" t="str">
        <v>MAT = mean annual temperature</v>
      </c>
    </row>
    <row r="101" spans="1:20" ht="20" customHeight="1" x14ac:dyDescent="0.25">
      <c r="A101"/>
      <c r="D101" s="50" t="str">
        <v>MAP = mean annual precipitation</v>
      </c>
    </row>
    <row r="102" spans="1:20" ht="20" customHeight="1" x14ac:dyDescent="0.25">
      <c r="A102"/>
      <c r="D102" s="50" t="str">
        <v>PET = potential evapotranspiration</v>
      </c>
    </row>
    <row r="103" spans="1:20" ht="20" customHeight="1" x14ac:dyDescent="0.25">
      <c r="A103"/>
      <c r="D103" s="50"/>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6" t="s">
        <v>40</v>
      </c>
      <c r="E109" s="36" t="s">
        <v>23</v>
      </c>
      <c r="F109" s="36" t="s">
        <v>41</v>
      </c>
      <c r="G109" s="36" t="s">
        <v>42</v>
      </c>
    </row>
    <row r="110" spans="1:20" ht="20"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6" t="s">
        <v>43</v>
      </c>
      <c r="E119" s="36" t="s">
        <v>44</v>
      </c>
      <c r="F119" s="36" t="s">
        <v>30</v>
      </c>
      <c r="G119" s="36" t="s">
        <v>31</v>
      </c>
      <c r="BN119" s="7"/>
    </row>
    <row r="120" spans="1:66" ht="20"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6" t="s">
        <v>45</v>
      </c>
      <c r="E127" s="36" t="s">
        <v>46</v>
      </c>
    </row>
    <row r="128" spans="1:66" ht="20"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3"/>
    </row>
    <row r="133" spans="1:77" ht="20" customHeight="1" x14ac:dyDescent="0.25">
      <c r="A133"/>
      <c r="D133" s="5" t="str" cm="1">
        <f t="array" ref="D133">Common_SourceData.Common_SourceData_FracWET_Source()</f>
        <v>VEERG 2026:5.5.2.3 Constant Parameters</v>
      </c>
      <c r="E133" s="23"/>
    </row>
    <row r="134" spans="1:77" ht="20" customHeight="1" x14ac:dyDescent="0.25">
      <c r="A134"/>
      <c r="D134" t="s">
        <v>68</v>
      </c>
      <c r="E134" t="s">
        <v>69</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6" t="s">
        <v>126</v>
      </c>
      <c r="E142" s="36" t="s">
        <v>69</v>
      </c>
      <c r="BN142" s="7"/>
    </row>
    <row r="143" spans="1:77" ht="20"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6" t="s">
        <v>48</v>
      </c>
      <c r="E153" s="36" t="s">
        <v>49</v>
      </c>
      <c r="BC153" s="3"/>
      <c r="BD153" s="3"/>
      <c r="BE153" s="3"/>
      <c r="BF153" s="3"/>
      <c r="BG153" s="3"/>
      <c r="BH153" s="3"/>
      <c r="BI153" s="3"/>
      <c r="BJ153" s="3"/>
      <c r="BK153" s="3"/>
      <c r="BL153" s="3"/>
      <c r="BM153" s="3"/>
    </row>
    <row r="154" spans="1:66" ht="20"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3"/>
    </row>
    <row r="162" spans="4:68" ht="20" customHeight="1" x14ac:dyDescent="0.25">
      <c r="D162" s="5" t="str" cm="1">
        <f t="array" ref="D162">Common_SourceData.Common_SourceData_FracLEACH_Source()</f>
        <v>VEERG 2026:5.5.2.3 Constant Parameters</v>
      </c>
      <c r="E162" s="23"/>
    </row>
    <row r="163" spans="4:68" ht="20" customHeight="1" x14ac:dyDescent="0.25">
      <c r="D163" s="5" t="str" cm="1">
        <f t="array" ref="D163">Common_SourceData.Common_SourceData_FracLEACH_NIRReference()</f>
        <v>National Inventory Report Volume 1: Leaching and runoff (3.D.b.2)</v>
      </c>
      <c r="E163" s="23"/>
    </row>
    <row r="164" spans="4:68" ht="20" customHeight="1" x14ac:dyDescent="0.25">
      <c r="D164" s="23" t="str" cm="1">
        <f t="array" ref="D164:E164">Common_SourceData.Common_SourceData_FracLEACH_Data()</f>
        <v>FracLEACH</v>
      </c>
      <c r="E164" s="23">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50" t="str" cm="1">
        <f t="array" ref="D180">Common_SourceData.Common_SourceData_EFN2O_Unit()</f>
        <v>(kg N2O-N / kg N</v>
      </c>
    </row>
    <row r="181" spans="4:68" ht="20" customHeight="1" x14ac:dyDescent="0.25">
      <c r="D181" s="51" t="str" cm="1">
        <f t="array" ref="D181:D185">Common_SourceData.Common_SourceData_EFN2O_Variation()</f>
        <v>VARIATION OF SOURCE DATA:</v>
      </c>
    </row>
    <row r="182" spans="4:68" ht="20" customHeight="1" x14ac:dyDescent="0.25">
      <c r="D182" s="51" t="str">
        <v>Removed duplicate 'Aquaculture' row.</v>
      </c>
    </row>
    <row r="183" spans="4:68" ht="20" customHeight="1" x14ac:dyDescent="0.25">
      <c r="D183" s="51" t="str">
        <v>Removed asterisks to aid lookup.</v>
      </c>
    </row>
    <row r="184" spans="4:68" ht="20" customHeight="1" x14ac:dyDescent="0.25">
      <c r="D184" s="51" t="str">
        <v>Added 'production system only', 'rainfall zone' and 'irrigation method' columns to aid lookup.</v>
      </c>
    </row>
    <row r="185" spans="4:68" ht="20" customHeight="1" x14ac:dyDescent="0.25">
      <c r="D185" s="51" t="str">
        <v>Duplicated 'non-irrigated pasture' row with same EF for low and high rainfall zones to aid lookup.</v>
      </c>
    </row>
    <row r="186" spans="4:68" ht="20" customHeight="1" x14ac:dyDescent="0.25">
      <c r="D186" s="36" t="s">
        <v>109</v>
      </c>
      <c r="E186" s="36" t="s">
        <v>110</v>
      </c>
      <c r="F186" s="36" t="s">
        <v>111</v>
      </c>
      <c r="G186" s="36" t="s">
        <v>112</v>
      </c>
      <c r="H186" s="36" t="s">
        <v>22</v>
      </c>
    </row>
    <row r="187" spans="4:68" ht="20"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ht="20" customHeight="1">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ht="20" customHeight="1">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ht="20" customHeight="1">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51" t="str" cm="1">
        <f t="array" ref="D204">Common_SourceData.Common_SourceData_EFPastureRangeAndPaddock_Variation()</f>
        <v>VARIATION FROM SOURCE DATA: Changed 'Dry climate zones' to singular 'Dry climate zone' to aid lookup.</v>
      </c>
    </row>
    <row r="205" spans="4:8" x14ac:dyDescent="0.25" ht="20" customHeight="1">
      <c r="D205" s="50" t="str" cm="1">
        <f t="array" ref="D205">Common_SourceData.Common_SourceData_EFPastureRangeAndPaddock_Unit()</f>
        <v>kg N2O - N / kg N</v>
      </c>
    </row>
    <row r="206" spans="4:8" x14ac:dyDescent="0.25" ht="20" customHeight="1">
      <c r="D206" s="36" t="s">
        <v>5</v>
      </c>
      <c r="E206" s="36" t="s">
        <v>127</v>
      </c>
    </row>
    <row r="207" spans="4:8" x14ac:dyDescent="0.25" ht="20" customHeight="1">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6" t="s">
        <v>128</v>
      </c>
      <c r="E212" s="36" t="s">
        <v>129</v>
      </c>
    </row>
    <row r="213" spans="4:5" x14ac:dyDescent="0.25" ht="20" customHeight="1">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ht="20" customHeight="1">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50" t="str" cm="1">
        <f t="array" ref="D256">Common_SourceData.Common_SourceData_EFOrganicFertiliserAndCropResidues_Unit()</f>
        <v>kg N2O - N / kg N</v>
      </c>
    </row>
    <row r="257" spans="4:6" x14ac:dyDescent="0.25" ht="20" customHeight="1">
      <c r="D257" s="36" t="s">
        <v>175</v>
      </c>
      <c r="E257" s="36" t="s">
        <v>176</v>
      </c>
    </row>
    <row r="258" spans="4:6" x14ac:dyDescent="0.25" ht="20" customHeight="1">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182</v>
      </c>
    </row>
    <row r="264" spans="4:6" x14ac:dyDescent="0.25" ht="20" customHeight="1">
      <c r="D264" s="1" t="s">
        <v>183</v>
      </c>
    </row>
    <row r="265" spans="4:6" x14ac:dyDescent="0.25" ht="20" customHeight="1">
      <c r="D265" s="36" t="s">
        <v>184</v>
      </c>
      <c r="E265" s="36" t="s">
        <v>185</v>
      </c>
      <c r="F265" s="36" t="s">
        <v>186</v>
      </c>
    </row>
    <row r="266" spans="4:6" x14ac:dyDescent="0.25" ht="20" customHeight="1">
      <c r="D266" s="36" t="s">
        <v>187</v>
      </c>
      <c r="E266" s="36" t="s">
        <v>188</v>
      </c>
      <c r="F266" s="36">
        <v>5</v>
      </c>
    </row>
    <row r="267" spans="4:6" x14ac:dyDescent="0.25" ht="20" customHeight="1">
      <c r="D267" s="36" t="s">
        <v>189</v>
      </c>
      <c r="E267" s="36" t="s">
        <v>190</v>
      </c>
      <c r="F267" s="36">
        <v>4</v>
      </c>
    </row>
    <row r="268" spans="4:6" x14ac:dyDescent="0.25" ht="20" customHeight="1">
      <c r="D268" s="36" t="s">
        <v>191</v>
      </c>
      <c r="E268" s="36" t="s">
        <v>192</v>
      </c>
      <c r="F268" s="36">
        <v>3</v>
      </c>
    </row>
    <row r="269" spans="4:6" x14ac:dyDescent="0.25" ht="20" customHeight="1">
      <c r="D269" s="36" t="s">
        <v>193</v>
      </c>
      <c r="E269" s="36" t="s">
        <v>194</v>
      </c>
      <c r="F269" s="36">
        <v>2</v>
      </c>
    </row>
    <row r="270" spans="4:6" x14ac:dyDescent="0.25" ht="20" customHeight="1">
      <c r="D270" s="36" t="s">
        <v>195</v>
      </c>
      <c r="E270" s="36" t="s">
        <v>196</v>
      </c>
      <c r="F270" s="36">
        <v>1</v>
      </c>
    </row>
    <row r="273" spans="4:6" x14ac:dyDescent="0.25" ht="20" customHeight="1">
      <c r="D273" s="1" t="s">
        <v>197</v>
      </c>
    </row>
    <row r="274" spans="4:6" x14ac:dyDescent="0.25" ht="20" customHeight="1">
      <c r="D274" s="36" t="s">
        <v>184</v>
      </c>
      <c r="E274" s="36" t="s">
        <v>185</v>
      </c>
      <c r="F274" s="36" t="s">
        <v>186</v>
      </c>
    </row>
    <row r="275" spans="4:6" x14ac:dyDescent="0.25" ht="20" customHeight="1">
      <c r="D275" s="36" t="s">
        <v>198</v>
      </c>
      <c r="E275" s="36" t="s">
        <v>199</v>
      </c>
      <c r="F275" s="36">
        <v>5</v>
      </c>
    </row>
    <row r="276" spans="4:6" x14ac:dyDescent="0.25" ht="20" customHeight="1">
      <c r="D276" s="36" t="s">
        <v>200</v>
      </c>
      <c r="E276" s="36" t="s">
        <v>201</v>
      </c>
      <c r="F276" s="36">
        <v>4</v>
      </c>
    </row>
    <row r="277" spans="4:6" x14ac:dyDescent="0.25" ht="20" customHeight="1">
      <c r="D277" s="36" t="s">
        <v>202</v>
      </c>
      <c r="E277" s="36" t="s">
        <v>203</v>
      </c>
      <c r="F277" s="36">
        <v>3</v>
      </c>
    </row>
    <row r="278" spans="4:6" x14ac:dyDescent="0.25" ht="20" customHeight="1">
      <c r="D278" s="36" t="s">
        <v>204</v>
      </c>
      <c r="E278" s="36" t="s">
        <v>205</v>
      </c>
      <c r="F278" s="36">
        <v>2</v>
      </c>
    </row>
    <row r="279" spans="4:6" x14ac:dyDescent="0.25" ht="20" customHeight="1">
      <c r="D279" s="36" t="s">
        <v>206</v>
      </c>
      <c r="E279" s="36" t="s">
        <v>207</v>
      </c>
      <c r="F279" s="36">
        <v>1</v>
      </c>
    </row>
    <row r="282" spans="4:6" x14ac:dyDescent="0.25" ht="20" customHeight="1">
      <c r="D282" s="1" t="s">
        <v>208</v>
      </c>
    </row>
    <row r="283" spans="4:6" x14ac:dyDescent="0.25" ht="20" customHeight="1">
      <c r="D283" s="36" t="s">
        <v>184</v>
      </c>
      <c r="E283" s="36" t="s">
        <v>185</v>
      </c>
      <c r="F283" s="36" t="s">
        <v>186</v>
      </c>
    </row>
    <row r="284" spans="4:6" x14ac:dyDescent="0.25" ht="20" customHeight="1">
      <c r="D284" s="36" t="s">
        <v>209</v>
      </c>
      <c r="E284" s="36" t="s">
        <v>210</v>
      </c>
      <c r="F284" s="36">
        <v>5</v>
      </c>
    </row>
    <row r="285" spans="4:6" x14ac:dyDescent="0.25" ht="20" customHeight="1">
      <c r="D285" s="36" t="s">
        <v>211</v>
      </c>
      <c r="E285" s="36" t="s">
        <v>212</v>
      </c>
      <c r="F285" s="36">
        <v>4</v>
      </c>
    </row>
    <row r="286" spans="4:6" x14ac:dyDescent="0.25" ht="20" customHeight="1">
      <c r="D286" s="36" t="s">
        <v>213</v>
      </c>
      <c r="E286" s="36" t="s">
        <v>214</v>
      </c>
      <c r="F286" s="36">
        <v>3</v>
      </c>
    </row>
    <row r="287" spans="4:6" x14ac:dyDescent="0.25" ht="20" customHeight="1">
      <c r="D287" s="36" t="s">
        <v>215</v>
      </c>
      <c r="E287" s="36" t="s">
        <v>216</v>
      </c>
      <c r="F287" s="36">
        <v>2</v>
      </c>
    </row>
    <row r="288" spans="4:6" x14ac:dyDescent="0.25" ht="20" customHeight="1">
      <c r="D288" s="36" t="s">
        <v>217</v>
      </c>
      <c r="E288" s="36" t="s">
        <v>218</v>
      </c>
      <c r="F288" s="36">
        <v>1</v>
      </c>
    </row>
    <row r="291" spans="4:6" x14ac:dyDescent="0.25" ht="20" customHeight="1">
      <c r="D291" s="1" t="s">
        <v>219</v>
      </c>
    </row>
    <row r="292" spans="4:6" x14ac:dyDescent="0.25" ht="20" customHeight="1">
      <c r="D292" s="36" t="s">
        <v>184</v>
      </c>
      <c r="E292" s="36" t="s">
        <v>185</v>
      </c>
      <c r="F292" s="36" t="s">
        <v>186</v>
      </c>
    </row>
    <row r="293" spans="4:6" x14ac:dyDescent="0.25" ht="20" customHeight="1">
      <c r="D293" s="36" t="s">
        <v>220</v>
      </c>
      <c r="E293" s="36" t="s">
        <v>221</v>
      </c>
      <c r="F293" s="36">
        <v>5</v>
      </c>
    </row>
    <row r="294" spans="4:6" x14ac:dyDescent="0.25" ht="20" customHeight="1">
      <c r="D294" s="36" t="s">
        <v>222</v>
      </c>
      <c r="E294" s="36" t="s">
        <v>223</v>
      </c>
      <c r="F294" s="36">
        <v>4</v>
      </c>
    </row>
    <row r="295" spans="4:6" x14ac:dyDescent="0.25" ht="20" customHeight="1">
      <c r="D295" s="36" t="s">
        <v>224</v>
      </c>
      <c r="E295" s="36" t="s">
        <v>225</v>
      </c>
      <c r="F295" s="36">
        <v>3</v>
      </c>
    </row>
    <row r="296" spans="4:6" x14ac:dyDescent="0.25" ht="20" customHeight="1">
      <c r="D296" s="36" t="s">
        <v>226</v>
      </c>
      <c r="E296" s="36" t="s">
        <v>227</v>
      </c>
      <c r="F296" s="36">
        <v>2</v>
      </c>
    </row>
    <row r="297" spans="4:6" x14ac:dyDescent="0.25" ht="20" customHeight="1">
      <c r="D297" s="36" t="s">
        <v>228</v>
      </c>
      <c r="E297" s="36" t="s">
        <v>229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18" sqref="A18"/>
    </sheetView>
  </sheetViews>
  <sheetFormatPr defaultRowHeight="20" x14ac:dyDescent="0.25" customHeight="1"/>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 customHeight="1" x14ac:dyDescent="0.25">
      <c r="C2" s="9"/>
      <c r="D2" s="9"/>
      <c r="E2" s="9"/>
      <c r="F2" s="9"/>
      <c r="G2" s="9"/>
      <c r="H2" s="9"/>
      <c r="I2" s="9"/>
      <c r="J2" s="9"/>
      <c r="K2" s="9"/>
      <c r="L2" s="9"/>
      <c r="M2" s="9"/>
    </row>
    <row r="3" spans="1:13" ht="20" customHeight="1" x14ac:dyDescent="0.25">
      <c r="A3" s="17" t="str">
        <f>HYPERLINK("#'Home'!A1", "Home")</f>
        <v>Home</v>
      </c>
      <c r="C3" s="4"/>
      <c r="D3" s="4"/>
      <c r="E3" s="4"/>
      <c r="F3" s="4"/>
      <c r="G3" s="4"/>
      <c r="H3" s="4"/>
      <c r="I3" s="4"/>
      <c r="J3" s="4"/>
      <c r="K3" s="4"/>
      <c r="L3" s="4"/>
      <c r="M3" s="4"/>
    </row>
    <row r="4" spans="1:13" ht="20" customHeight="1" x14ac:dyDescent="0.25">
      <c r="A4" s="17" t="str">
        <f>HYPERLINK("#'Overview'!A1", "Overview")</f>
        <v>Overview</v>
      </c>
    </row>
    <row r="5" spans="1:13" ht="20" customHeight="1" x14ac:dyDescent="0.25">
      <c r="A5" s="17" t="str">
        <f>HYPERLINK("#'Results'!A1", "Results")</f>
        <v>Results</v>
      </c>
    </row>
    <row r="6" spans="1:13" ht="20" customHeight="1" x14ac:dyDescent="0.25">
      <c r="D6" s="6" t="str" cm="1">
        <f t="array" ref="D6">CommonLivestock_SourceData.SourceData_Livestock_Common_SymbolsMMS_Title()</f>
        <v>Table 5.12 Additional symbols used in algorithms for manure related emissions</v>
      </c>
      <c r="E6" s="3"/>
      <c r="F6" s="3"/>
      <c r="G6" s="3"/>
      <c r="H6" s="3"/>
    </row>
    <row r="7" spans="1:13" ht="20" customHeight="1" x14ac:dyDescent="0.25">
      <c r="D7" s="3" t="str" cm="1">
        <f t="array" ref="D7">CommonLivestock_SourceData.SourceData_Livestock_Common_SymbolsMMS_Vairable()</f>
        <v>MMS</v>
      </c>
      <c r="E7" s="3"/>
      <c r="F7" s="3"/>
      <c r="G7" s="3"/>
      <c r="H7" s="3"/>
    </row>
    <row r="8" spans="1:13" ht="20" customHeight="1" x14ac:dyDescent="0.25">
      <c r="A8" s="19" t="s">
        <v>0</v>
      </c>
      <c r="D8" s="5" t="str" cm="1">
        <f t="array" ref="D8">CommonLivestock_SourceData.SourceData_Livestock_Common_SymbolsMMS_Source()</f>
        <v>National Inventory Report 2023 Volume 1: Table 5.12</v>
      </c>
      <c r="E8" s="3"/>
      <c r="F8" s="3"/>
      <c r="G8" s="3"/>
      <c r="H8" s="3"/>
    </row>
    <row r="9" spans="1:13" ht="20" customHeight="1" x14ac:dyDescent="0.25">
      <c r="A9" s="17" t="str">
        <f>HYPERLINK("#'Input - Site'!A1", "Site")</f>
        <v>Site</v>
      </c>
      <c r="D9" s="35" t="s">
        <v>56</v>
      </c>
      <c r="E9" s="36" t="s">
        <v>9</v>
      </c>
      <c r="F9" s="36" t="s">
        <v>57</v>
      </c>
      <c r="G9" s="3"/>
    </row>
    <row r="10" spans="1:13" ht="20"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 customHeight="1" x14ac:dyDescent="0.25">
      <c r="A20" s="60" t="str">
        <f>HYPERLINK("#'Constants - Common livestock'!A1", "Constants - Common livestock")</f>
        <v>Constants - Common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 customHeight="1" x14ac:dyDescent="0.25">
      <c r="G28" s="3"/>
      <c r="H28" s="3"/>
    </row>
    <row r="29" spans="1:8" ht="20" customHeight="1" x14ac:dyDescent="0.25"/>
    <row r="30" spans="1:8" ht="20" customHeight="1" x14ac:dyDescent="0.25"/>
    <row r="31" spans="1:8" ht="20" customHeight="1" x14ac:dyDescent="0.25"/>
    <row r="32" spans="1:8"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2" sqref="A22"/>
    </sheetView>
  </sheetViews>
  <sheetFormatPr defaultRowHeight="20" x14ac:dyDescent="0.25" customHeight="1"/>
  <sheetData>
    <row r="1" spans="1:1" x14ac:dyDescent="0.25" ht="30" customHeight="1">
      <c r="A1" t="s">
        <v>230</v>
      </c>
    </row>
    <row r="3" spans="1:1" ht="20" x14ac:dyDescent="0.25" customHeight="1">
      <c r="A3" s="17" t="str">
        <f>HYPERLINK("#'Home'!A1", "Home")</f>
        <v>Home</v>
      </c>
    </row>
    <row r="6" spans="1:1" x14ac:dyDescent="0.25" ht="20" customHeight="1">
      <c r="A6" s="111" t="s">
        <v>1</v>
      </c>
    </row>
    <row r="7" spans="1:1" ht="20" x14ac:dyDescent="0.25" customHeight="1">
      <c r="A7" s="17" t="str">
        <f>HYPERLINK("#'Constants - Common'!A1", "Constants - Common")</f>
        <v>Constants - Common</v>
      </c>
    </row>
    <row r="8" spans="1:1" ht="20" x14ac:dyDescent="0.25" customHeight="1">
      <c r="A8" s="60"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zoomScaleNormal="100" workbookViewId="0">
      <selection activeCell="A20" sqref="A20"/>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N3" s="4"/>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row>
    <row r="6" spans="1:21" ht="20" customHeight="1" x14ac:dyDescent="0.25"/>
    <row r="7" spans="1:21" ht="20" customHeight="1" x14ac:dyDescent="0.25"/>
    <row r="8" spans="1:21" ht="20" customHeight="1" x14ac:dyDescent="0.25">
      <c r="A8" s="19" t="s">
        <v>0</v>
      </c>
    </row>
    <row r="9" spans="1:21" ht="20" customHeight="1" x14ac:dyDescent="0.25">
      <c r="A9" s="17" t="str">
        <f>HYPERLINK("#'Input - Site'!A1", "Site")</f>
        <v>Site</v>
      </c>
    </row>
    <row r="10" spans="1:21" ht="20" customHeight="1" x14ac:dyDescent="0.25">
      <c r="A10" s="17" t="str">
        <f>HYPERLINK("#'Input - Feedlot'!A1", "Feedlot")</f>
        <v>Feedlot</v>
      </c>
    </row>
    <row r="11" spans="1:21" ht="20" customHeight="1" x14ac:dyDescent="0.25"/>
    <row r="12" spans="1:21" ht="20" customHeight="1" x14ac:dyDescent="0.25"/>
    <row r="13" spans="1:21" ht="20" customHeight="1" x14ac:dyDescent="0.25">
      <c r="A13" s="18" t="s">
        <v>53</v>
      </c>
    </row>
    <row r="14" spans="1:21" ht="20" customHeight="1" x14ac:dyDescent="0.25">
      <c r="A14" s="17" t="str">
        <f>HYPERLINK("#'3.1.1.1-2 Enteric Methane'!A1", "3.1.1.1-2 Enteric Methane")</f>
        <v>3.1.1.1-2 Enteric Methane</v>
      </c>
    </row>
    <row r="15" spans="1:21" ht="20" customHeight="1" x14ac:dyDescent="0.25"/>
    <row r="16" spans="1:21" ht="20" customHeight="1" x14ac:dyDescent="0.25"/>
    <row r="17" spans="1:1" ht="20" customHeight="1" x14ac:dyDescent="0.25">
      <c r="A17" s="111" t="s">
        <v>1</v>
      </c>
    </row>
    <row r="18" spans="1:1" ht="20" customHeight="1" x14ac:dyDescent="0.25">
      <c r="A18" s="17" t="str">
        <f>HYPERLINK("#'Constants - Feedlot'!A1", "Constants - Feedlot")</f>
        <v>Constants - Feedlot</v>
      </c>
    </row>
    <row r="19" spans="1:1" ht="20" customHeight="1" x14ac:dyDescent="0.25">
      <c r="A19" s="17" t="str">
        <f>HYPERLINK("#'Constants - Common'!A1", "Constants - Common")</f>
        <v>Constants - Common</v>
      </c>
    </row>
    <row r="20" spans="1:1" ht="20" customHeight="1" x14ac:dyDescent="0.25">
      <c r="A20" s="113" t="str">
        <f>HYPERLINK("#'Constants - Common livestock'!A1", "Constants - Common livestock")</f>
        <v>Constants - Common livestock</v>
      </c>
    </row>
    <row r="21" spans="1:1" ht="20" customHeight="1" x14ac:dyDescent="0.25">
      <c r="A21" s="17" t="str">
        <f>HYPERLINK("#'Acknowledgements'!A1", "Acknowledgements")</f>
        <v>Acknowledgements</v>
      </c>
    </row>
    <row r="22" spans="1:1" ht="20" customHeight="1" x14ac:dyDescent="0.25">
      <c r="A22" s="60" t="str">
        <f>HYPERLINK("#'Tab template'!A1", "Tab template")</f>
        <v>Tab template</v>
      </c>
    </row>
    <row r="23" spans="1:1" ht="20" customHeight="1" x14ac:dyDescent="0.25"/>
    <row r="24" spans="1:1" ht="20" customHeight="1" x14ac:dyDescent="0.25"/>
    <row r="25" spans="1:1" ht="20" customHeight="1" x14ac:dyDescent="0.25"/>
    <row r="26" spans="1:1" ht="20" customHeight="1" x14ac:dyDescent="0.25"/>
    <row r="27" spans="1:1" ht="20" customHeight="1" x14ac:dyDescent="0.25"/>
    <row r="28" spans="1:1" ht="20" customHeight="1" x14ac:dyDescent="0.25"/>
    <row r="29" spans="1:1" ht="20" customHeight="1" x14ac:dyDescent="0.25"/>
    <row r="30" spans="1:1" ht="20" customHeight="1" x14ac:dyDescent="0.25"/>
    <row r="31" spans="1:1" ht="20" customHeight="1" x14ac:dyDescent="0.25"/>
    <row r="32" spans="1:1"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26</vt:i4>
      </vt:variant>
    </vt:vector>
  </HeadingPairs>
  <TitlesOfParts>
    <vt:vector size="37" baseType="lpstr">
      <vt:lpstr>Home</vt:lpstr>
      <vt:lpstr>Overview</vt:lpstr>
      <vt:lpstr>Results</vt:lpstr>
      <vt:lpstr>Input - Site</vt:lpstr>
      <vt:lpstr>Input - Feedlot</vt:lpstr>
      <vt:lpstr>3.1.1.1-2 Enteric Methane</vt:lpstr>
      <vt:lpstr>Constants - Feedlot</vt:lpstr>
      <vt:lpstr>Constants - Common</vt:lpstr>
      <vt:lpstr>Constants - Common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VEERG_3_1_1_1__1_TotalAnnualMethaneFromEntericFermentation_Result_Method1</vt:lpstr>
      <vt:lpstr>VEERG_3_1_1_1__1_TotalAnnualMethaneFromEntericFermentation_Result_Method2</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2026-08-31T03:28:38Z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2026-09-02T17:27:02; rename=True resize=True scope=all</vt:lpwstr>
  </property>
</Properties>
</file>