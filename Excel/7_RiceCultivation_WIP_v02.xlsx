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B3E0F81D-F1BB-4099-93AF-62F0B7E998D4}" xr6:coauthVersionLast="47" xr6:coauthVersionMax="47" xr10:uidLastSave="{00000000-0000-0000-0000-000000000000}"/>
  <bookViews>
    <workbookView xWindow="735" yWindow="735" windowWidth="37170" windowHeight="19920" activeTab="3" xr2:uid="{992023F3-CAB7-4E5B-A348-08D563A0EF40}"/>
  </bookViews>
  <sheets>
    <sheet name="Home" sheetId="71" r:id="rId1"/>
    <sheet name="Overview" sheetId="118" r:id="rId2"/>
    <sheet name="Results" sheetId="13" r:id="rId3"/>
    <sheet name="Input - Site" sheetId="15" r:id="rId4"/>
    <sheet name="Input - Rice" sheetId="70" r:id="rId5"/>
    <sheet name="7.1.1-2 Rice cultivation" sheetId="69" r:id="rId6"/>
    <sheet name="Constants - Rice cultivation" sheetId="110" r:id="rId7"/>
    <sheet name="Constants - Common" sheetId="123" r:id="rId8"/>
  </sheets>
  <definedNames>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iceCultivation_Equations.VEERG_7_1_1_1__1_MethaneEmissionsFromRiceCultivation">_xlfn.LAMBDA(_xlpm.A_ricewpo,_xlpm.EF_ricewpo,_xlpm.t_ricewpo, SUM(_xlpm.A_ricewpo * _xlpm.EF_ricewpo * _xlpm.t_ricewpo) * 10 ^ -3)</definedName>
    <definedName name="RiceCultivation_Equations.VEERG_7_1_1_1__1_MethaneEmissionsFromRiceCultivation_Arguments">_xlfn.LAMBDA(_xlfn.MAKEARRAY(4, 4, _xlfn.LAMBDA(_xlpm.r,_xlpm.c, INDEX({"A_ricewpo","annual area of rice cultivation under water regime w, pre-season water regime p, and organic amendment condition o","ha","Input";"EF_ricewpo","emission factor for rice cultivation under conditions w, p, and o","kg CH4/ha/day","Calculated from 7.1.1.1, (2)";"t_ricewpo","cultivation period for rice under conditions w, p, and o","days","Input";"s","number of cropping seasons in reporting period managed this way","seasons","Input"}, _xlpm.r, _xlpm.c))))</definedName>
    <definedName name="RiceCultivation_Equations.VEERG_7_1_1_1__1_MethaneEmissionsFromRiceCultivation_LatexEquation">_xlfn.LAMBDA("E_{rice}=\sum_w\sum_p\sum_o(A_{rice,wpo}\times EF_{rice,wpo}\times t_{rice,wpo})\times 10^{-3}")</definedName>
    <definedName name="RiceCultivation_Equations.VEERG_7_1_1_1__1_MethaneEmissionsFromRiceCultivation_NIRReference">_xlfn.LAMBDA("")</definedName>
    <definedName name="RiceCultivation_Equations.VEERG_7_1_1_1__1_MethaneEmissionsFromRiceCultivation_Source">_xlfn.LAMBDA("VEERG 2026: 7.1.1.1, Equation (1)")</definedName>
    <definedName name="RiceCultivation_Equations.VEERG_7_1_1_1__1_MethaneEmissionsFromRiceCultivation_Title">_xlfn.LAMBDA("Methane emissions from rice cultivation")</definedName>
    <definedName name="RiceCultivation_Equations.VEERG_7_1_1_1__1_MethaneEmissionsFromRiceCultivation_Unit">_xlfn.LAMBDA("t CH4")</definedName>
    <definedName name="RiceCultivation_Equations.VEERG_7_1_1_1__1_MethaneEmissionsFromRiceCultivation_Variable">_xlfn.LAMBDA("E_rice")</definedName>
    <definedName name="RiceCultivation_Equations.VEERG_7_1_1_1__1_MethaneEmissionsFromRiceCultivation_Variation">_xlfn.LAMBDA("Added 'number of seasons' variable as per VEERG description in 7.2.1 'Where there is more than one cropping season per year, Arice,wpo shall be scaled accordingly'")</definedName>
    <definedName name="RiceCultivation_Equations.VEERG_7_1_1_1__2_EmissionFactorForRiceCultivation">_xlfn.LAMBDA(_xlpm.EF_c,_xlpm.SF_w,_xlpm.SF_p,_xlpm.SF_o, _xlpm.EF_c * _xlpm.SF_w * _xlpm.SF_p * _xlpm.SF_o)</definedName>
    <definedName name="RiceCultivation_Equations.VEERG_7_1_1_1__2_EmissionFactorForRiceCultivation_Arguments">_xlfn.LAMBDA(_xlfn.MAKEARRAY(7, 4, _xlfn.LAMBDA(_xlpm.r,_xlpm.c, INDEX({"EF_c","baseline emission factor for continuously flooded fields without organic amendments","kg CH4/ha/day","Constant";"SF_w","scaling factor for water regime during the growing season","fraction","Constant";"SF_p","scaling factor for water regime in the pre-season","fraction","Constant";"SF_o","scaling factor for type and amount of organic amendments","fraction","Calculated from 7.1.1.1, (3)";"w","water regime during growing season","","Input";"p","pre-season water regime","","Input";"o","organic amendment","","Input"}, _xlpm.r, _xlpm.c))))</definedName>
    <definedName name="RiceCultivation_Equations.VEERG_7_1_1_1__2_EmissionFactorForRiceCultivation_LatexEquation">_xlfn.LAMBDA("EF_{rice,wpo}=EF_c\times SF_w\times SF_p\times SF_o")</definedName>
    <definedName name="RiceCultivation_Equations.VEERG_7_1_1_1__2_EmissionFactorForRiceCultivation_NIRReference">_xlfn.LAMBDA("")</definedName>
    <definedName name="RiceCultivation_Equations.VEERG_7_1_1_1__2_EmissionFactorForRiceCultivation_Source">_xlfn.LAMBDA("VEERG 2026: 7.1.1.1, Equation (2)")</definedName>
    <definedName name="RiceCultivation_Equations.VEERG_7_1_1_1__2_EmissionFactorForRiceCultivation_Title">_xlfn.LAMBDA("Emission factor for rice cultivation")</definedName>
    <definedName name="RiceCultivation_Equations.VEERG_7_1_1_1__2_EmissionFactorForRiceCultivation_Unit">_xlfn.LAMBDA("kg CH4/ha/day")</definedName>
    <definedName name="RiceCultivation_Equations.VEERG_7_1_1_1__2_EmissionFactorForRiceCultivation_Variable">_xlfn.LAMBDA("EF_ricewpo")</definedName>
    <definedName name="RiceCultivation_Equations.VEERG_7_1_1_1__3_OrganicAmendmentsScalingFactor">_xlfn.LAMBDA(_xlpm.ROA_o,_xlpm.CFOA_o, (1 + SUM(_xlpm.ROA_o * _xlpm.CFOA_o)) ^ 0.59)</definedName>
    <definedName name="RiceCultivation_Equations.VEERG_7_1_1_1__3_OrganicAmendmentsScalingFactor_Arguments">_xlfn.LAMBDA(_xlfn.MAKEARRAY(3, 4, _xlfn.LAMBDA(_xlpm.r,_xlpm.c, INDEX({"ROA_o","application rate of organic amendment o","tonnes/ha","Input";"CFOA_o","conversion factor of organic amendment o","fraction","Constant";"o","organic amendment type","","Input"}, _xlpm.r, _xlpm.c))))</definedName>
    <definedName name="RiceCultivation_Equations.VEERG_7_1_1_1__3_OrganicAmendmentsScalingFactor_LatexEquation">_xlfn.LAMBDA("SF_o=(1+\sum_oROA_o\times CFOA_o)^{0.59}")</definedName>
    <definedName name="RiceCultivation_Equations.VEERG_7_1_1_1__3_OrganicAmendmentsScalingFactor_LatexEquationVariation">_xlfn.LAMBDA("SF_o=(1+ ((ROA_o1\times CFOA_o1) + (ROA_o2\times CFOA_o2) + (ROA_o3\times CFOA_o3) + (ROA_o4\times CFOA_o4) + (ROA_o5\times CFOA_o5) + (ROA_o6\times CFOA_o6))^{0.59}")</definedName>
    <definedName name="RiceCultivation_Equations.VEERG_7_1_1_1__3_OrganicAmendmentsScalingFactor_NIRReference">_xlfn.LAMBDA("")</definedName>
    <definedName name="RiceCultivation_Equations.VEERG_7_1_1_1__3_OrganicAmendmentsScalingFactor_Source">_xlfn.LAMBDA("VEERG 2026: 7.1.1.1, Equation (3)")</definedName>
    <definedName name="RiceCultivation_Equations.VEERG_7_1_1_1__3_OrganicAmendmentsScalingFactor_Title">_xlfn.LAMBDA("Organic amendments scaling factor")</definedName>
    <definedName name="RiceCultivation_Equations.VEERG_7_1_1_1__3_OrganicAmendmentsScalingFactor_Unit">_xlfn.LAMBDA("dimensionless")</definedName>
    <definedName name="RiceCultivation_Equations.VEERG_7_1_1_1__3_OrganicAmendmentsScalingFactor_Variable">_xlfn.LAMBDA("SF_o")</definedName>
    <definedName name="RiceCultivation_Equations.VEERG_7_1_1_1__3_OrganicAmendmentsScalingFactor_Variation">_xlfn.LAMBDA(_xlfn.MAKEARRAY(4, 1, _xlfn.LAMBDA(_xlpm.r,_xlpm.c, INDEX({"VARIATION ON SOURCE:";"Included inorganic fertiliser as amendment as per VEERG equation description:";"Where inorganic fertiliser is applied to the rice fields rather than organic amendments, SF_o is set to 1.";"Declared each amendment separately to allow summing in Excel in one equation"}, _xlpm.r, _xlpm.c))))</definedName>
    <definedName name="RiceCultivation_Equations.VEERG_7_1_1_1__3_OrganicAmendmentsScalingFactorVariation">_xlfn.LAMBDA(_xlpm.ROA_o1,_xlpm.CFOA_o1,_xlpm.ROA_o2,_xlpm.CFOA_o2,_xlpm.ROA_o3,_xlpm.CFOA_o3,_xlpm.ROA_o4,_xlpm.CFOA_o4,_xlpm.ROA_o5,_xlpm.CFOA_o5,_xlpm.ROA_o6,_xlpm.CFOA_o6, (1 + ((_xlpm.ROA_o1 * _xlpm.CFOA_o1) + (_xlpm.ROA_o2 * _xlpm.CFOA_o2) + (_xlpm.ROA_o3 * _xlpm.CFOA_o3) + (_xlpm.ROA_o4 * _xlpm.CFOA_o4) + (_xlpm.ROA_o5 * _xlpm.CFOA_o5) + (_xlpm.ROA_o6 * _xlpm.CFOA_o6))) ^ 0.59)</definedName>
    <definedName name="RiceCultivation_SourceData.SourceData_RiceCultivation_BaselineEF_Data">_xlfn.LAMBDA(1.19)</definedName>
    <definedName name="RiceCultivation_SourceData.SourceData_RiceCultivation_BaselineEF_Source">_xlfn.LAMBDA("VEERG 2026: 7.2.3 Constant Parameters")</definedName>
    <definedName name="RiceCultivation_SourceData.SourceData_RiceCultivation_BaselineEF_Title">_xlfn.LAMBDA("Baseline emission factor for continuously flooded fields without organic amendments")</definedName>
    <definedName name="RiceCultivation_SourceData.SourceData_RiceCultivation_BaselineEF_Unit">_xlfn.LAMBDA("kg CH4 / ha / day")</definedName>
    <definedName name="RiceCultivation_SourceData.SourceData_RiceCultivation_BaselineEF_Variable">_xlfn.LAMBDA("EFc")</definedName>
    <definedName name="RiceCultivation_SourceData.SourceData_RiceCultivation_BaselineEF_Variation">_xlfn.LAMBDA("")</definedName>
    <definedName name="RiceCultivation_SourceData.SourceData_RiceCultivation_OrganicAmendmentConversionFactor_Data">_xlfn.LAMBDA(
    _xlfn.MAKEARRAY(7, 2,
      _xlfn.LAMBDA(_xlpm.r,_xlpm.c,
        INDEX({"Organic amendment i","CFOAi";"Straw incorporated shortly (&lt;30 days) before cultivation",1;"Straw incorporated long (&gt;30 days) before cultivation",0.19;"Compost",0.17;"Farm yard manure",0.21;"Green manure",0.45;"Inorganic fertiliser",1}, _xlpm.r, _xlpm.c)
      )
    )
  )</definedName>
    <definedName name="RiceCultivation_SourceData.SourceData_RiceCultivation_OrganicAmendmentConversionFactor_Source">_xlfn.LAMBDA("VEERG 2026: Table A.2.3.3")</definedName>
    <definedName name="RiceCultivation_SourceData.SourceData_RiceCultivation_OrganicAmendmentConversionFactor_Title">_xlfn.LAMBDA("Conversion factor for organic amendment i")</definedName>
    <definedName name="RiceCultivation_SourceData.SourceData_RiceCultivation_OrganicAmendmentConversionFactor_Unit">_xlfn.LAMBDA("fraction")</definedName>
    <definedName name="RiceCultivation_SourceData.SourceData_RiceCultivation_OrganicAmendmentConversionFactor_Variable">_xlfn.LAMBDA("CFOAi")</definedName>
    <definedName name="RiceCultivation_SourceData.SourceData_RiceCultivation_OrganicAmendmentConversionFactor_Variation">_xlfn.LAMBDA(_xlfn.MAKEARRAY(3, 1, _xlfn.LAMBDA(_xlpm.r,_xlpm.c, INDEX({"VARIATION ON SOURCE:";"Included inorganic fertiliser as amendment as per VEERG equation description:";"Where inorganic fertiliser is applied to the rice fields rather than organic amendments, SF_o is set to 1."}, _xlpm.r, _xlpm.c))))</definedName>
    <definedName name="RiceCultivation_SourceData.SourceData_RiceCultivation_WaterScalingFactorGrowingSeason_Data">_xlfn.LAMBDA(_xlfn.MAKEARRAY(9, 3, _xlfn.LAMBDA(_xlpm.r,_xlpm.c, INDEX({"Water regime type","Water regime sub - type","SFw";"Upland","Paddy rotation",0;"Upland","Fallow without flooding in previous year",0;"Irrigated","Continuously flooded",1;"Irrigated","Single drainage period",0.71;"Irrigated","Multiple drainage periods",0.55;"Rainfed and deep water","Regular rainfed",0.54;"Rainfed and deep water","Drought prone",0.16;"Rainfed and deep water","Deep water",0.06}, _xlpm.r, _xlpm.c))))</definedName>
    <definedName name="RiceCultivation_SourceData.SourceData_RiceCultivation_WaterScalingFactorGrowingSeason_Source">_xlfn.LAMBDA("VEERG 2026: Table A.2.3.1")</definedName>
    <definedName name="RiceCultivation_SourceData.SourceData_RiceCultivation_WaterScalingFactorGrowingSeason_Title">_xlfn.LAMBDA("Scaling factor based on the water regime employed during the growing season cultivation period")</definedName>
    <definedName name="RiceCultivation_SourceData.SourceData_RiceCultivation_WaterScalingFactorGrowingSeason_Unit">_xlfn.LAMBDA("fraction")</definedName>
    <definedName name="RiceCultivation_SourceData.SourceData_RiceCultivation_WaterScalingFactorGrowingSeason_Variable">_xlfn.LAMBDA("SFw")</definedName>
    <definedName name="RiceCultivation_SourceData.SourceData_RiceCultivation_WaterScalingFactorGrowingSeason_Variation">_xlfn.LAMBDA("")</definedName>
    <definedName name="RiceCultivation_SourceData.SourceData_RiceCultivation_WaterScalingFactorPreSeason_Data">_xlfn.LAMBDA(_xlfn.MAKEARRAY(5, 2, _xlfn.LAMBDA(_xlpm.r,_xlpm.c, INDEX({"Water regime prior to cultivation period p","SFp";"Non flooded pre-season &lt;180 days",1;"Non flooded pre-season &gt;180 days",0.89;"Flooded pre-season &gt;30 days",2.41;"Non-flooded pre-season &gt;365 days",0.59}, _xlpm.r, _xlpm.c))))</definedName>
    <definedName name="RiceCultivation_SourceData.SourceData_RiceCultivation_WaterScalingFactorPreSeason_Source">_xlfn.LAMBDA("VEERG 2026: Table A.2.3.2")</definedName>
    <definedName name="RiceCultivation_SourceData.SourceData_RiceCultivation_WaterScalingFactorPreSeason_Title">_xlfn.LAMBDA("Scaling factor based on the water regime employed in the pre - season before the growing period")</definedName>
    <definedName name="RiceCultivation_SourceData.SourceData_RiceCultivation_WaterScalingFactorPreSeason_Unit">_xlfn.LAMBDA("fraction")</definedName>
    <definedName name="RiceCultivation_SourceData.SourceData_RiceCultivation_WaterScalingFactorPreSeason_Variable">_xlfn.LAMBDA("SFp")</definedName>
    <definedName name="RiceCultivation_SourceData.SourceData_RiceCultivation_WaterScalingFactorPreSeason_Variation">_xlfn.LAMBDA("")</definedName>
    <definedName name="SourceData_RiceCultivation_BaselineEF_Data">'Constants - Rice cultivation'!$E$49</definedName>
    <definedName name="Table_CFOA_o">'7.1.1-2 Rice cultivation'!$D$32:$E$38</definedName>
    <definedName name="Table_E_rice">'7.1.1-2 Rice cultivation'!$D$95:$G$97</definedName>
    <definedName name="Table_EF_rice_w_p_o">'7.1.1-2 Rice cultivation'!$D$69:$K$71</definedName>
    <definedName name="Table_ROA_o">'7.1.1-2 Rice cultivation'!$D$23:$J$25</definedName>
    <definedName name="Table_SF_o">'7.1.1-2 Rice cultivation'!$D$42:$E$44</definedName>
    <definedName name="VEERG_7_1_1_1__1_MethaneEmissionsFromRiceCultivation_Result_Method1">'7.1.1-2 Rice cultivation'!$E$102</definedName>
    <definedName name="X_Cell_NumberGorwingSeasons">'Input - Rice'!$E$10</definedName>
    <definedName name="X_Cell_Site_EndDate">'Input - Site'!$E$13</definedName>
    <definedName name="X_Cell_Site_FarmName">'Input - Site'!$E$7</definedName>
    <definedName name="X_Cell_Site_ReportingEntityName">'Input - Site'!$E$8</definedName>
    <definedName name="X_Cell_Site_StartDate">'Input - Site'!$E$12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5" i="69" l="1"/>
  <c r="E259" i="123" a="1"/>
  <c r="E259" i="123" s="1"/>
  <c r="D259" i="123" a="1"/>
  <c r="D259" i="123" s="1"/>
  <c r="E258" i="123" a="1"/>
  <c r="E258" i="123" s="1"/>
  <c r="D258" i="123" a="1"/>
  <c r="D258" i="123" s="1"/>
  <c r="D256" i="123" a="1"/>
  <c r="D256" i="123" s="1"/>
  <c r="D255" i="123" a="1"/>
  <c r="D255" i="123" s="1"/>
  <c r="D254" i="123" a="1"/>
  <c r="D254" i="123" s="1"/>
  <c r="D253" i="123" a="1"/>
  <c r="D253" i="123" s="1"/>
  <c r="S250" i="123" a="1"/>
  <c r="S250" i="123" s="1"/>
  <c r="R250" i="123" a="1"/>
  <c r="R250" i="123" s="1"/>
  <c r="Q250" i="123" a="1"/>
  <c r="Q250" i="123" s="1"/>
  <c r="P250" i="123" a="1"/>
  <c r="P250" i="123" s="1"/>
  <c r="O250" i="123" a="1"/>
  <c r="O250" i="123" s="1"/>
  <c r="N250" i="123" a="1"/>
  <c r="N250" i="123" s="1"/>
  <c r="M250" i="123" a="1"/>
  <c r="M250" i="123" s="1"/>
  <c r="L250" i="123" a="1"/>
  <c r="L250" i="123" s="1"/>
  <c r="K250" i="123" a="1"/>
  <c r="K250" i="123" s="1"/>
  <c r="J250" i="123" a="1"/>
  <c r="J250" i="123" s="1"/>
  <c r="I250" i="123" a="1"/>
  <c r="I250" i="123" s="1"/>
  <c r="H250" i="123" a="1"/>
  <c r="H250" i="123" s="1"/>
  <c r="G250" i="123" a="1"/>
  <c r="G250" i="123" s="1"/>
  <c r="F250" i="123" a="1"/>
  <c r="F250" i="123" s="1"/>
  <c r="E250" i="123" a="1"/>
  <c r="E250" i="123" s="1"/>
  <c r="D250" i="123" a="1"/>
  <c r="D250" i="123" s="1"/>
  <c r="S249" i="123" a="1"/>
  <c r="S249" i="123" s="1"/>
  <c r="R249" i="123" a="1"/>
  <c r="R249" i="123" s="1"/>
  <c r="Q249" i="123" a="1"/>
  <c r="Q249" i="123" s="1"/>
  <c r="P249" i="123" a="1"/>
  <c r="P249" i="123" s="1"/>
  <c r="O249" i="123" a="1"/>
  <c r="O249" i="123" s="1"/>
  <c r="N249" i="123" a="1"/>
  <c r="N249" i="123" s="1"/>
  <c r="M249" i="123" a="1"/>
  <c r="M249" i="123" s="1"/>
  <c r="L249" i="123" a="1"/>
  <c r="L249" i="123" s="1"/>
  <c r="K249" i="123" a="1"/>
  <c r="K249" i="123" s="1"/>
  <c r="J249" i="123" a="1"/>
  <c r="J249" i="123" s="1"/>
  <c r="I249" i="123" a="1"/>
  <c r="I249" i="123" s="1"/>
  <c r="H249" i="123" a="1"/>
  <c r="H249" i="123" s="1"/>
  <c r="G249" i="123" a="1"/>
  <c r="G249" i="123" s="1"/>
  <c r="F249" i="123" a="1"/>
  <c r="F249" i="123" s="1"/>
  <c r="E249" i="123" a="1"/>
  <c r="E249" i="123" s="1"/>
  <c r="D249" i="123" a="1"/>
  <c r="D249" i="123" s="1"/>
  <c r="S248" i="123" a="1"/>
  <c r="S248" i="123" s="1"/>
  <c r="R248" i="123" a="1"/>
  <c r="R248" i="123" s="1"/>
  <c r="Q248" i="123" a="1"/>
  <c r="Q248" i="123" s="1"/>
  <c r="P248" i="123" a="1"/>
  <c r="P248" i="123" s="1"/>
  <c r="O248" i="123" a="1"/>
  <c r="O248" i="123" s="1"/>
  <c r="N248" i="123" a="1"/>
  <c r="N248" i="123" s="1"/>
  <c r="M248" i="123" a="1"/>
  <c r="M248" i="123" s="1"/>
  <c r="L248" i="123" a="1"/>
  <c r="L248" i="123" s="1"/>
  <c r="K248" i="123" a="1"/>
  <c r="K248" i="123" s="1"/>
  <c r="J248" i="123" a="1"/>
  <c r="J248" i="123" s="1"/>
  <c r="I248" i="123" a="1"/>
  <c r="I248" i="123" s="1"/>
  <c r="H248" i="123" a="1"/>
  <c r="H248" i="123" s="1"/>
  <c r="G248" i="123" a="1"/>
  <c r="G248" i="123" s="1"/>
  <c r="F248" i="123" a="1"/>
  <c r="F248" i="123" s="1"/>
  <c r="E248" i="123" a="1"/>
  <c r="E248" i="123" s="1"/>
  <c r="D248" i="123" a="1"/>
  <c r="D248" i="123" s="1"/>
  <c r="S247" i="123" a="1"/>
  <c r="S247" i="123" s="1"/>
  <c r="R247" i="123" a="1"/>
  <c r="R247" i="123" s="1"/>
  <c r="Q247" i="123" a="1"/>
  <c r="Q247" i="123" s="1"/>
  <c r="P247" i="123" a="1"/>
  <c r="P247" i="123" s="1"/>
  <c r="O247" i="123" a="1"/>
  <c r="O247" i="123" s="1"/>
  <c r="N247" i="123" a="1"/>
  <c r="N247" i="123" s="1"/>
  <c r="M247" i="123" a="1"/>
  <c r="M247" i="123" s="1"/>
  <c r="L247" i="123" a="1"/>
  <c r="L247" i="123" s="1"/>
  <c r="K247" i="123" a="1"/>
  <c r="K247" i="123" s="1"/>
  <c r="J247" i="123" a="1"/>
  <c r="J247" i="123" s="1"/>
  <c r="I247" i="123" a="1"/>
  <c r="I247" i="123" s="1"/>
  <c r="H247" i="123" a="1"/>
  <c r="H247" i="123" s="1"/>
  <c r="G247" i="123" a="1"/>
  <c r="G247" i="123" s="1"/>
  <c r="F247" i="123" a="1"/>
  <c r="F247" i="123" s="1"/>
  <c r="E247" i="123" a="1"/>
  <c r="E247" i="123" s="1"/>
  <c r="D247" i="123" a="1"/>
  <c r="D247" i="123" s="1"/>
  <c r="S246" i="123" a="1"/>
  <c r="S246" i="123" s="1"/>
  <c r="R246" i="123" a="1"/>
  <c r="R246" i="123" s="1"/>
  <c r="Q246" i="123" a="1"/>
  <c r="Q246" i="123" s="1"/>
  <c r="P246" i="123" a="1"/>
  <c r="P246" i="123" s="1"/>
  <c r="O246" i="123" a="1"/>
  <c r="O246" i="123" s="1"/>
  <c r="N246" i="123" a="1"/>
  <c r="N246" i="123" s="1"/>
  <c r="M246" i="123" a="1"/>
  <c r="M246" i="123" s="1"/>
  <c r="L246" i="123" a="1"/>
  <c r="L246" i="123" s="1"/>
  <c r="K246" i="123" a="1"/>
  <c r="K246" i="123" s="1"/>
  <c r="J246" i="123" a="1"/>
  <c r="J246" i="123" s="1"/>
  <c r="I246" i="123" a="1"/>
  <c r="I246" i="123" s="1"/>
  <c r="H246" i="123" a="1"/>
  <c r="H246" i="123" s="1"/>
  <c r="G246" i="123" a="1"/>
  <c r="G246" i="123" s="1"/>
  <c r="F246" i="123" a="1"/>
  <c r="F246" i="123" s="1"/>
  <c r="E246" i="123" a="1"/>
  <c r="E246" i="123" s="1"/>
  <c r="D246" i="123" a="1"/>
  <c r="D246" i="123" s="1"/>
  <c r="S245" i="123" a="1"/>
  <c r="S245" i="123" s="1"/>
  <c r="R245" i="123" a="1"/>
  <c r="R245" i="123" s="1"/>
  <c r="Q245" i="123" a="1"/>
  <c r="Q245" i="123" s="1"/>
  <c r="P245" i="123" a="1"/>
  <c r="P245" i="123" s="1"/>
  <c r="O245" i="123" a="1"/>
  <c r="O245" i="123" s="1"/>
  <c r="N245" i="123" a="1"/>
  <c r="N245" i="123" s="1"/>
  <c r="M245" i="123" a="1"/>
  <c r="M245" i="123" s="1"/>
  <c r="L245" i="123" a="1"/>
  <c r="L245" i="123" s="1"/>
  <c r="K245" i="123" a="1"/>
  <c r="K245" i="123" s="1"/>
  <c r="J245" i="123" a="1"/>
  <c r="J245" i="123" s="1"/>
  <c r="I245" i="123" a="1"/>
  <c r="I245" i="123" s="1"/>
  <c r="H245" i="123" a="1"/>
  <c r="H245" i="123" s="1"/>
  <c r="G245" i="123" a="1"/>
  <c r="G245" i="123" s="1"/>
  <c r="F245" i="123" a="1"/>
  <c r="F245" i="123" s="1"/>
  <c r="E245" i="123" a="1"/>
  <c r="E245" i="123" s="1"/>
  <c r="D245" i="123" a="1"/>
  <c r="D245" i="123" s="1"/>
  <c r="S244" i="123" a="1"/>
  <c r="S244" i="123" s="1"/>
  <c r="R244" i="123" a="1"/>
  <c r="R244" i="123" s="1"/>
  <c r="Q244" i="123" a="1"/>
  <c r="Q244" i="123" s="1"/>
  <c r="P244" i="123" a="1"/>
  <c r="P244" i="123" s="1"/>
  <c r="O244" i="123" a="1"/>
  <c r="O244" i="123" s="1"/>
  <c r="N244" i="123" a="1"/>
  <c r="N244" i="123" s="1"/>
  <c r="M244" i="123" a="1"/>
  <c r="M244" i="123" s="1"/>
  <c r="L244" i="123" a="1"/>
  <c r="L244" i="123" s="1"/>
  <c r="K244" i="123" a="1"/>
  <c r="K244" i="123" s="1"/>
  <c r="J244" i="123" a="1"/>
  <c r="J244" i="123" s="1"/>
  <c r="I244" i="123" a="1"/>
  <c r="I244" i="123" s="1"/>
  <c r="H244" i="123" a="1"/>
  <c r="H244" i="123" s="1"/>
  <c r="G244" i="123" a="1"/>
  <c r="G244" i="123" s="1"/>
  <c r="F244" i="123" a="1"/>
  <c r="F244" i="123" s="1"/>
  <c r="E244" i="123" a="1"/>
  <c r="E244" i="123" s="1"/>
  <c r="D244" i="123" a="1"/>
  <c r="D244" i="123" s="1"/>
  <c r="S243" i="123" a="1"/>
  <c r="S243" i="123" s="1"/>
  <c r="R243" i="123" a="1"/>
  <c r="R243" i="123" s="1"/>
  <c r="Q243" i="123" a="1"/>
  <c r="Q243" i="123" s="1"/>
  <c r="P243" i="123" a="1"/>
  <c r="P243" i="123" s="1"/>
  <c r="O243" i="123" a="1"/>
  <c r="O243" i="123" s="1"/>
  <c r="N243" i="123" a="1"/>
  <c r="N243" i="123" s="1"/>
  <c r="M243" i="123" a="1"/>
  <c r="M243" i="123" s="1"/>
  <c r="L243" i="123" a="1"/>
  <c r="L243" i="123" s="1"/>
  <c r="K243" i="123" a="1"/>
  <c r="K243" i="123" s="1"/>
  <c r="J243" i="123" a="1"/>
  <c r="J243" i="123" s="1"/>
  <c r="I243" i="123" a="1"/>
  <c r="I243" i="123" s="1"/>
  <c r="H243" i="123" a="1"/>
  <c r="H243" i="123" s="1"/>
  <c r="G243" i="123" a="1"/>
  <c r="G243" i="123" s="1"/>
  <c r="F243" i="123" a="1"/>
  <c r="F243" i="123" s="1"/>
  <c r="E243" i="123" a="1"/>
  <c r="E243" i="123" s="1"/>
  <c r="D243" i="123" a="1"/>
  <c r="D243" i="123" s="1"/>
  <c r="S242" i="123" a="1"/>
  <c r="S242" i="123" s="1"/>
  <c r="R242" i="123" a="1"/>
  <c r="R242" i="123" s="1"/>
  <c r="Q242" i="123" a="1"/>
  <c r="Q242" i="123" s="1"/>
  <c r="P242" i="123" a="1"/>
  <c r="P242" i="123" s="1"/>
  <c r="O242" i="123" a="1"/>
  <c r="O242" i="123" s="1"/>
  <c r="N242" i="123" a="1"/>
  <c r="N242" i="123" s="1"/>
  <c r="M242" i="123" a="1"/>
  <c r="M242" i="123" s="1"/>
  <c r="L242" i="123" a="1"/>
  <c r="L242" i="123" s="1"/>
  <c r="K242" i="123" a="1"/>
  <c r="K242" i="123" s="1"/>
  <c r="J242" i="123" a="1"/>
  <c r="J242" i="123" s="1"/>
  <c r="I242" i="123" a="1"/>
  <c r="I242" i="123" s="1"/>
  <c r="H242" i="123" a="1"/>
  <c r="H242" i="123" s="1"/>
  <c r="G242" i="123" a="1"/>
  <c r="G242" i="123" s="1"/>
  <c r="F242" i="123" a="1"/>
  <c r="F242" i="123" s="1"/>
  <c r="E242" i="123" a="1"/>
  <c r="E242" i="123" s="1"/>
  <c r="D242" i="123" a="1"/>
  <c r="D242" i="123" s="1"/>
  <c r="S241" i="123" a="1"/>
  <c r="S241" i="123" s="1"/>
  <c r="R241" i="123" a="1"/>
  <c r="R241" i="123" s="1"/>
  <c r="Q241" i="123" a="1"/>
  <c r="Q241" i="123" s="1"/>
  <c r="P241" i="123" a="1"/>
  <c r="P241" i="123" s="1"/>
  <c r="O241" i="123" a="1"/>
  <c r="O241" i="123" s="1"/>
  <c r="N241" i="123" a="1"/>
  <c r="N241" i="123" s="1"/>
  <c r="M241" i="123" a="1"/>
  <c r="M241" i="123" s="1"/>
  <c r="L241" i="123" a="1"/>
  <c r="L241" i="123" s="1"/>
  <c r="K241" i="123" a="1"/>
  <c r="K241" i="123" s="1"/>
  <c r="J241" i="123" a="1"/>
  <c r="J241" i="123" s="1"/>
  <c r="I241" i="123" a="1"/>
  <c r="I241" i="123" s="1"/>
  <c r="H241" i="123" a="1"/>
  <c r="H241" i="123" s="1"/>
  <c r="G241" i="123" a="1"/>
  <c r="G241" i="123" s="1"/>
  <c r="F241" i="123" a="1"/>
  <c r="F241" i="123" s="1"/>
  <c r="E241" i="123" a="1"/>
  <c r="E241" i="123" s="1"/>
  <c r="D241" i="123" a="1"/>
  <c r="D241" i="123" s="1"/>
  <c r="S240" i="123" a="1"/>
  <c r="S240" i="123" s="1"/>
  <c r="R240" i="123" a="1"/>
  <c r="R240" i="123" s="1"/>
  <c r="Q240" i="123" a="1"/>
  <c r="Q240" i="123" s="1"/>
  <c r="P240" i="123" a="1"/>
  <c r="P240" i="123" s="1"/>
  <c r="O240" i="123" a="1"/>
  <c r="O240" i="123" s="1"/>
  <c r="N240" i="123" a="1"/>
  <c r="N240" i="123" s="1"/>
  <c r="M240" i="123" a="1"/>
  <c r="M240" i="123" s="1"/>
  <c r="L240" i="123" a="1"/>
  <c r="L240" i="123" s="1"/>
  <c r="K240" i="123" a="1"/>
  <c r="K240" i="123" s="1"/>
  <c r="J240" i="123" a="1"/>
  <c r="J240" i="123" s="1"/>
  <c r="I240" i="123" a="1"/>
  <c r="I240" i="123" s="1"/>
  <c r="H240" i="123" a="1"/>
  <c r="H240" i="123" s="1"/>
  <c r="G240" i="123" a="1"/>
  <c r="G240" i="123" s="1"/>
  <c r="F240" i="123" a="1"/>
  <c r="F240" i="123" s="1"/>
  <c r="E240" i="123" a="1"/>
  <c r="E240" i="123" s="1"/>
  <c r="D240" i="123" a="1"/>
  <c r="D240" i="123" s="1"/>
  <c r="S239" i="123" a="1"/>
  <c r="S239" i="123" s="1"/>
  <c r="R239" i="123" a="1"/>
  <c r="R239" i="123" s="1"/>
  <c r="Q239" i="123" a="1"/>
  <c r="Q239" i="123" s="1"/>
  <c r="P239" i="123" a="1"/>
  <c r="P239" i="123" s="1"/>
  <c r="O239" i="123" a="1"/>
  <c r="O239" i="123" s="1"/>
  <c r="N239" i="123" a="1"/>
  <c r="N239" i="123" s="1"/>
  <c r="M239" i="123" a="1"/>
  <c r="M239" i="123" s="1"/>
  <c r="L239" i="123" a="1"/>
  <c r="L239" i="123" s="1"/>
  <c r="K239" i="123" a="1"/>
  <c r="K239" i="123" s="1"/>
  <c r="J239" i="123" a="1"/>
  <c r="J239" i="123" s="1"/>
  <c r="I239" i="123" a="1"/>
  <c r="I239" i="123" s="1"/>
  <c r="H239" i="123" a="1"/>
  <c r="H239" i="123" s="1"/>
  <c r="G239" i="123" a="1"/>
  <c r="G239" i="123" s="1"/>
  <c r="F239" i="123" a="1"/>
  <c r="F239" i="123" s="1"/>
  <c r="E239" i="123" a="1"/>
  <c r="E239" i="123" s="1"/>
  <c r="D239" i="123" a="1"/>
  <c r="D239" i="123" s="1"/>
  <c r="S238" i="123" a="1"/>
  <c r="S238" i="123" s="1"/>
  <c r="R238" i="123" a="1"/>
  <c r="R238" i="123" s="1"/>
  <c r="Q238" i="123" a="1"/>
  <c r="Q238" i="123" s="1"/>
  <c r="P238" i="123" a="1"/>
  <c r="P238" i="123" s="1"/>
  <c r="O238" i="123" a="1"/>
  <c r="O238" i="123" s="1"/>
  <c r="N238" i="123" a="1"/>
  <c r="N238" i="123" s="1"/>
  <c r="M238" i="123" a="1"/>
  <c r="M238" i="123" s="1"/>
  <c r="L238" i="123" a="1"/>
  <c r="L238" i="123" s="1"/>
  <c r="K238" i="123" a="1"/>
  <c r="K238" i="123" s="1"/>
  <c r="J238" i="123" a="1"/>
  <c r="J238" i="123" s="1"/>
  <c r="I238" i="123" a="1"/>
  <c r="I238" i="123" s="1"/>
  <c r="H238" i="123" a="1"/>
  <c r="H238" i="123" s="1"/>
  <c r="G238" i="123" a="1"/>
  <c r="G238" i="123" s="1"/>
  <c r="F238" i="123" a="1"/>
  <c r="F238" i="123" s="1"/>
  <c r="E238" i="123" a="1"/>
  <c r="E238" i="123" s="1"/>
  <c r="D238" i="123" a="1"/>
  <c r="D238" i="123" s="1"/>
  <c r="S237" i="123" a="1"/>
  <c r="S237" i="123" s="1"/>
  <c r="R237" i="123" a="1"/>
  <c r="R237" i="123" s="1"/>
  <c r="Q237" i="123" a="1"/>
  <c r="Q237" i="123" s="1"/>
  <c r="P237" i="123" a="1"/>
  <c r="P237" i="123" s="1"/>
  <c r="O237" i="123" a="1"/>
  <c r="O237" i="123" s="1"/>
  <c r="N237" i="123" a="1"/>
  <c r="N237" i="123" s="1"/>
  <c r="M237" i="123" a="1"/>
  <c r="M237" i="123" s="1"/>
  <c r="L237" i="123" a="1"/>
  <c r="L237" i="123" s="1"/>
  <c r="K237" i="123" a="1"/>
  <c r="K237" i="123" s="1"/>
  <c r="J237" i="123" a="1"/>
  <c r="J237" i="123" s="1"/>
  <c r="I237" i="123" a="1"/>
  <c r="I237" i="123" s="1"/>
  <c r="H237" i="123" a="1"/>
  <c r="H237" i="123" s="1"/>
  <c r="G237" i="123" a="1"/>
  <c r="G237" i="123" s="1"/>
  <c r="F237" i="123" a="1"/>
  <c r="F237" i="123" s="1"/>
  <c r="E237" i="123" a="1"/>
  <c r="E237" i="123" s="1"/>
  <c r="D237" i="123" a="1"/>
  <c r="D237" i="123" s="1"/>
  <c r="S236" i="123" a="1"/>
  <c r="S236" i="123" s="1"/>
  <c r="R236" i="123" a="1"/>
  <c r="R236" i="123" s="1"/>
  <c r="Q236" i="123" a="1"/>
  <c r="Q236" i="123" s="1"/>
  <c r="P236" i="123" a="1"/>
  <c r="P236" i="123" s="1"/>
  <c r="O236" i="123" a="1"/>
  <c r="O236" i="123" s="1"/>
  <c r="N236" i="123" a="1"/>
  <c r="N236" i="123" s="1"/>
  <c r="M236" i="123" a="1"/>
  <c r="M236" i="123" s="1"/>
  <c r="L236" i="123" a="1"/>
  <c r="L236" i="123" s="1"/>
  <c r="K236" i="123" a="1"/>
  <c r="K236" i="123" s="1"/>
  <c r="J236" i="123" a="1"/>
  <c r="J236" i="123" s="1"/>
  <c r="I236" i="123" a="1"/>
  <c r="I236" i="123" s="1"/>
  <c r="H236" i="123" a="1"/>
  <c r="H236" i="123" s="1"/>
  <c r="G236" i="123" a="1"/>
  <c r="G236" i="123" s="1"/>
  <c r="F236" i="123" a="1"/>
  <c r="F236" i="123" s="1"/>
  <c r="E236" i="123" a="1"/>
  <c r="E236" i="123" s="1"/>
  <c r="D236" i="123" a="1"/>
  <c r="D236" i="123" s="1"/>
  <c r="S235" i="123" a="1"/>
  <c r="S235" i="123" s="1"/>
  <c r="R235" i="123" a="1"/>
  <c r="R235" i="123" s="1"/>
  <c r="Q235" i="123" a="1"/>
  <c r="Q235" i="123" s="1"/>
  <c r="P235" i="123" a="1"/>
  <c r="P235" i="123" s="1"/>
  <c r="O235" i="123" a="1"/>
  <c r="O235" i="123" s="1"/>
  <c r="N235" i="123" a="1"/>
  <c r="N235" i="123" s="1"/>
  <c r="M235" i="123" a="1"/>
  <c r="M235" i="123" s="1"/>
  <c r="L235" i="123" a="1"/>
  <c r="L235" i="123" s="1"/>
  <c r="K235" i="123" a="1"/>
  <c r="K235" i="123" s="1"/>
  <c r="J235" i="123" a="1"/>
  <c r="J235" i="123" s="1"/>
  <c r="I235" i="123" a="1"/>
  <c r="I235" i="123" s="1"/>
  <c r="H235" i="123" a="1"/>
  <c r="H235" i="123" s="1"/>
  <c r="G235" i="123" a="1"/>
  <c r="G235" i="123" s="1"/>
  <c r="F235" i="123" a="1"/>
  <c r="F235" i="123" s="1"/>
  <c r="E235" i="123" a="1"/>
  <c r="E235" i="123" s="1"/>
  <c r="D235" i="123" a="1"/>
  <c r="D235" i="123" s="1"/>
  <c r="S234" i="123" a="1"/>
  <c r="S234" i="123" s="1"/>
  <c r="R234" i="123" a="1"/>
  <c r="R234" i="123" s="1"/>
  <c r="Q234" i="123" a="1"/>
  <c r="Q234" i="123" s="1"/>
  <c r="P234" i="123" a="1"/>
  <c r="P234" i="123" s="1"/>
  <c r="O234" i="123" a="1"/>
  <c r="O234" i="123" s="1"/>
  <c r="N234" i="123" a="1"/>
  <c r="N234" i="123" s="1"/>
  <c r="M234" i="123" a="1"/>
  <c r="M234" i="123" s="1"/>
  <c r="L234" i="123" a="1"/>
  <c r="L234" i="123" s="1"/>
  <c r="K234" i="123" a="1"/>
  <c r="K234" i="123" s="1"/>
  <c r="J234" i="123" a="1"/>
  <c r="J234" i="123" s="1"/>
  <c r="I234" i="123" a="1"/>
  <c r="I234" i="123" s="1"/>
  <c r="H234" i="123" a="1"/>
  <c r="H234" i="123" s="1"/>
  <c r="G234" i="123" a="1"/>
  <c r="G234" i="123" s="1"/>
  <c r="F234" i="123" a="1"/>
  <c r="F234" i="123" s="1"/>
  <c r="E234" i="123" a="1"/>
  <c r="E234" i="123" s="1"/>
  <c r="D234" i="123" a="1"/>
  <c r="D234" i="123" s="1"/>
  <c r="S233" i="123" a="1"/>
  <c r="S233" i="123" s="1"/>
  <c r="R233" i="123" a="1"/>
  <c r="R233" i="123" s="1"/>
  <c r="Q233" i="123" a="1"/>
  <c r="Q233" i="123" s="1"/>
  <c r="P233" i="123" a="1"/>
  <c r="P233" i="123" s="1"/>
  <c r="O233" i="123" a="1"/>
  <c r="O233" i="123" s="1"/>
  <c r="N233" i="123" a="1"/>
  <c r="N233" i="123" s="1"/>
  <c r="M233" i="123" a="1"/>
  <c r="M233" i="123" s="1"/>
  <c r="L233" i="123" a="1"/>
  <c r="L233" i="123" s="1"/>
  <c r="K233" i="123" a="1"/>
  <c r="K233" i="123" s="1"/>
  <c r="J233" i="123" a="1"/>
  <c r="J233" i="123" s="1"/>
  <c r="I233" i="123" a="1"/>
  <c r="I233" i="123" s="1"/>
  <c r="H233" i="123" a="1"/>
  <c r="H233" i="123" s="1"/>
  <c r="G233" i="123" a="1"/>
  <c r="G233" i="123" s="1"/>
  <c r="F233" i="123" a="1"/>
  <c r="F233" i="123" s="1"/>
  <c r="E233" i="123" a="1"/>
  <c r="E233" i="123" s="1"/>
  <c r="D233" i="123" a="1"/>
  <c r="D233" i="123" s="1"/>
  <c r="S232" i="123" a="1"/>
  <c r="S232" i="123" s="1"/>
  <c r="R232" i="123" a="1"/>
  <c r="R232" i="123" s="1"/>
  <c r="Q232" i="123" a="1"/>
  <c r="Q232" i="123" s="1"/>
  <c r="P232" i="123" a="1"/>
  <c r="P232" i="123" s="1"/>
  <c r="O232" i="123" a="1"/>
  <c r="O232" i="123" s="1"/>
  <c r="N232" i="123" a="1"/>
  <c r="N232" i="123" s="1"/>
  <c r="M232" i="123" a="1"/>
  <c r="M232" i="123" s="1"/>
  <c r="L232" i="123" a="1"/>
  <c r="L232" i="123" s="1"/>
  <c r="K232" i="123" a="1"/>
  <c r="K232" i="123" s="1"/>
  <c r="J232" i="123" a="1"/>
  <c r="J232" i="123" s="1"/>
  <c r="I232" i="123" a="1"/>
  <c r="I232" i="123" s="1"/>
  <c r="H232" i="123" a="1"/>
  <c r="H232" i="123" s="1"/>
  <c r="G232" i="123" a="1"/>
  <c r="G232" i="123" s="1"/>
  <c r="F232" i="123" a="1"/>
  <c r="F232" i="123" s="1"/>
  <c r="E232" i="123" a="1"/>
  <c r="E232" i="123" s="1"/>
  <c r="D232" i="123" a="1"/>
  <c r="D232" i="123" s="1"/>
  <c r="D229" i="123" a="1"/>
  <c r="D229" i="123" s="1"/>
  <c r="D228" i="123" a="1"/>
  <c r="D228" i="123" s="1"/>
  <c r="D227" i="123" a="1"/>
  <c r="D227" i="123" s="1"/>
  <c r="E224" i="123" a="1"/>
  <c r="E224" i="123" s="1"/>
  <c r="D224" i="123" a="1"/>
  <c r="D224" i="123" s="1"/>
  <c r="E223" i="123" a="1"/>
  <c r="E223" i="123" s="1"/>
  <c r="D223" i="123" a="1"/>
  <c r="D223" i="123" s="1"/>
  <c r="E222" i="123" a="1"/>
  <c r="E222" i="123" s="1"/>
  <c r="D222" i="123" a="1"/>
  <c r="D222" i="123" s="1"/>
  <c r="E221" i="123" a="1"/>
  <c r="E221" i="123" s="1"/>
  <c r="D221" i="123" a="1"/>
  <c r="D221" i="123" s="1"/>
  <c r="E220" i="123" a="1"/>
  <c r="E220" i="123" s="1"/>
  <c r="D220" i="123" a="1"/>
  <c r="D220" i="123" s="1"/>
  <c r="E219" i="123" a="1"/>
  <c r="E219" i="123" s="1"/>
  <c r="D219" i="123" a="1"/>
  <c r="D219" i="123" s="1"/>
  <c r="E218" i="123" a="1"/>
  <c r="E218" i="123" s="1"/>
  <c r="D218" i="123" a="1"/>
  <c r="D218" i="123" s="1"/>
  <c r="E217" i="123" a="1"/>
  <c r="E217" i="123" s="1"/>
  <c r="D217" i="123" a="1"/>
  <c r="D217" i="123" s="1"/>
  <c r="E216" i="123" a="1"/>
  <c r="E216" i="123" s="1"/>
  <c r="D216" i="123" a="1"/>
  <c r="D216" i="123" s="1"/>
  <c r="E215" i="123" a="1"/>
  <c r="E215" i="123" s="1"/>
  <c r="D215" i="123" a="1"/>
  <c r="D215" i="123" s="1"/>
  <c r="E214" i="123" a="1"/>
  <c r="E214" i="123" s="1"/>
  <c r="D214" i="123" a="1"/>
  <c r="D214" i="123" s="1"/>
  <c r="E213" i="123" a="1"/>
  <c r="E213" i="123" s="1"/>
  <c r="D213" i="123" a="1"/>
  <c r="D213" i="123" s="1"/>
  <c r="D211" i="123" a="1"/>
  <c r="D211" i="123" s="1"/>
  <c r="E208" i="123" a="1"/>
  <c r="E208" i="123" s="1"/>
  <c r="D208" i="123" a="1"/>
  <c r="D208" i="123" s="1"/>
  <c r="E207" i="123" a="1"/>
  <c r="E207" i="123" s="1"/>
  <c r="D207" i="123" a="1"/>
  <c r="D207" i="123" s="1"/>
  <c r="D205" i="123"/>
  <c r="D205" i="123" a="1"/>
  <c r="D204" i="123" a="1"/>
  <c r="D204" i="123" s="1"/>
  <c r="D203" i="123" a="1"/>
  <c r="D203" i="123" s="1"/>
  <c r="D202" i="123"/>
  <c r="D202" i="123" a="1"/>
  <c r="H199" i="123" a="1"/>
  <c r="H199" i="123" s="1"/>
  <c r="G199" i="123" a="1"/>
  <c r="G199" i="123" s="1"/>
  <c r="F199" i="123" a="1"/>
  <c r="F199" i="123" s="1"/>
  <c r="E199" i="123" a="1"/>
  <c r="E199" i="123" s="1"/>
  <c r="D199" i="123" a="1"/>
  <c r="D199" i="123" s="1"/>
  <c r="H198" i="123" a="1"/>
  <c r="H198" i="123" s="1"/>
  <c r="G198" i="123" a="1"/>
  <c r="G198" i="123" s="1"/>
  <c r="F198" i="123" a="1"/>
  <c r="F198" i="123" s="1"/>
  <c r="E198" i="123" a="1"/>
  <c r="E198" i="123" s="1"/>
  <c r="D198" i="123" a="1"/>
  <c r="D198" i="123" s="1"/>
  <c r="H197" i="123" a="1"/>
  <c r="H197" i="123" s="1"/>
  <c r="G197" i="123" a="1"/>
  <c r="G197" i="123" s="1"/>
  <c r="F197" i="123" a="1"/>
  <c r="F197" i="123" s="1"/>
  <c r="E197" i="123" a="1"/>
  <c r="E197" i="123" s="1"/>
  <c r="D197" i="123" a="1"/>
  <c r="D197" i="123" s="1"/>
  <c r="H196" i="123" a="1"/>
  <c r="H196" i="123" s="1"/>
  <c r="G196" i="123" a="1"/>
  <c r="G196" i="123" s="1"/>
  <c r="F196" i="123" a="1"/>
  <c r="F196" i="123" s="1"/>
  <c r="E196" i="123" a="1"/>
  <c r="E196" i="123" s="1"/>
  <c r="D196" i="123" a="1"/>
  <c r="D196" i="123" s="1"/>
  <c r="H195" i="123" a="1"/>
  <c r="H195" i="123" s="1"/>
  <c r="G195" i="123" a="1"/>
  <c r="G195" i="123" s="1"/>
  <c r="F195" i="123" a="1"/>
  <c r="F195" i="123" s="1"/>
  <c r="E195" i="123" a="1"/>
  <c r="E195" i="123" s="1"/>
  <c r="D195" i="123" a="1"/>
  <c r="D195" i="123" s="1"/>
  <c r="H194" i="123" a="1"/>
  <c r="H194" i="123" s="1"/>
  <c r="G194" i="123" a="1"/>
  <c r="G194" i="123" s="1"/>
  <c r="F194" i="123" a="1"/>
  <c r="F194" i="123" s="1"/>
  <c r="E194" i="123" a="1"/>
  <c r="E194" i="123" s="1"/>
  <c r="D194" i="123" a="1"/>
  <c r="D194" i="123" s="1"/>
  <c r="H193" i="123" a="1"/>
  <c r="H193" i="123" s="1"/>
  <c r="G193" i="123" a="1"/>
  <c r="G193" i="123" s="1"/>
  <c r="F193" i="123" a="1"/>
  <c r="F193" i="123" s="1"/>
  <c r="E193" i="123" a="1"/>
  <c r="E193" i="123" s="1"/>
  <c r="D193" i="123" a="1"/>
  <c r="D193" i="123" s="1"/>
  <c r="H192" i="123" a="1"/>
  <c r="H192" i="123" s="1"/>
  <c r="G192" i="123" a="1"/>
  <c r="G192" i="123" s="1"/>
  <c r="F192" i="123" a="1"/>
  <c r="F192" i="123" s="1"/>
  <c r="E192" i="123" a="1"/>
  <c r="E192" i="123" s="1"/>
  <c r="D192" i="123" a="1"/>
  <c r="D192" i="123" s="1"/>
  <c r="H191" i="123" a="1"/>
  <c r="H191" i="123" s="1"/>
  <c r="G191" i="123" a="1"/>
  <c r="G191" i="123" s="1"/>
  <c r="F191" i="123" a="1"/>
  <c r="F191" i="123" s="1"/>
  <c r="E191" i="123" a="1"/>
  <c r="E191" i="123" s="1"/>
  <c r="D191" i="123" a="1"/>
  <c r="D191" i="123" s="1"/>
  <c r="H190" i="123" a="1"/>
  <c r="H190" i="123" s="1"/>
  <c r="G190" i="123" a="1"/>
  <c r="G190" i="123" s="1"/>
  <c r="F190" i="123" a="1"/>
  <c r="F190" i="123" s="1"/>
  <c r="E190" i="123" a="1"/>
  <c r="E190" i="123" s="1"/>
  <c r="D190" i="123" a="1"/>
  <c r="D190" i="123" s="1"/>
  <c r="H189" i="123" a="1"/>
  <c r="H189" i="123" s="1"/>
  <c r="G189" i="123" a="1"/>
  <c r="G189" i="123" s="1"/>
  <c r="F189" i="123" a="1"/>
  <c r="F189" i="123" s="1"/>
  <c r="E189" i="123" a="1"/>
  <c r="E189" i="123" s="1"/>
  <c r="D189" i="123" a="1"/>
  <c r="D189" i="123" s="1"/>
  <c r="H188" i="123" a="1"/>
  <c r="H188" i="123" s="1"/>
  <c r="G188" i="123" a="1"/>
  <c r="G188" i="123" s="1"/>
  <c r="F188" i="123" a="1"/>
  <c r="F188" i="123" s="1"/>
  <c r="E188" i="123" a="1"/>
  <c r="E188" i="123" s="1"/>
  <c r="D188" i="123" a="1"/>
  <c r="D188" i="123" s="1"/>
  <c r="H187" i="123" a="1"/>
  <c r="H187" i="123" s="1"/>
  <c r="G187" i="123" a="1"/>
  <c r="G187" i="123" s="1"/>
  <c r="F187" i="123" a="1"/>
  <c r="F187" i="123" s="1"/>
  <c r="E187" i="123" a="1"/>
  <c r="E187" i="123" s="1"/>
  <c r="D187" i="123" a="1"/>
  <c r="D187" i="123" s="1"/>
  <c r="D181" i="123" a="1"/>
  <c r="D181" i="123" s="1"/>
  <c r="D180" i="123" a="1"/>
  <c r="D180" i="123" s="1"/>
  <c r="D179" i="123" a="1"/>
  <c r="D179" i="123" s="1"/>
  <c r="D178" i="123" a="1"/>
  <c r="D178" i="123" s="1"/>
  <c r="E175" i="123" a="1"/>
  <c r="E175" i="123" s="1"/>
  <c r="D175" i="123"/>
  <c r="D175" i="123" a="1"/>
  <c r="D174" i="123" a="1"/>
  <c r="D174" i="123" s="1"/>
  <c r="D173" i="123" a="1"/>
  <c r="D173" i="123" s="1"/>
  <c r="D170" i="123" a="1"/>
  <c r="D170" i="123" s="1"/>
  <c r="D169" i="123" a="1"/>
  <c r="D169" i="123" s="1"/>
  <c r="D168" i="123" a="1"/>
  <c r="D168" i="123" s="1"/>
  <c r="D167" i="123"/>
  <c r="D167" i="123" a="1"/>
  <c r="D164" i="123" a="1"/>
  <c r="D164" i="123" s="1"/>
  <c r="D163" i="123" a="1"/>
  <c r="D163" i="123" s="1"/>
  <c r="D162" i="123" a="1"/>
  <c r="D162" i="123" s="1"/>
  <c r="D161" i="123" a="1"/>
  <c r="D161" i="123" s="1"/>
  <c r="E158" i="123" a="1"/>
  <c r="E158" i="123" s="1"/>
  <c r="D158" i="123" a="1"/>
  <c r="D158" i="123" s="1"/>
  <c r="E157" i="123" a="1"/>
  <c r="E157" i="123" s="1"/>
  <c r="D157" i="123" a="1"/>
  <c r="D157" i="123" s="1"/>
  <c r="E156" i="123" a="1"/>
  <c r="E156" i="123" s="1"/>
  <c r="D156" i="123" a="1"/>
  <c r="D156" i="123" s="1"/>
  <c r="E155" i="123" a="1"/>
  <c r="E155" i="123" s="1"/>
  <c r="D155" i="123" a="1"/>
  <c r="D155" i="123" s="1"/>
  <c r="E154" i="123" a="1"/>
  <c r="E154" i="123" s="1"/>
  <c r="D154" i="123" a="1"/>
  <c r="D154" i="123" s="1"/>
  <c r="D151" i="123"/>
  <c r="D151" i="123" a="1"/>
  <c r="D150" i="123" a="1"/>
  <c r="D150" i="123" s="1"/>
  <c r="E147" i="123" a="1"/>
  <c r="E147" i="123" s="1"/>
  <c r="D147" i="123" a="1"/>
  <c r="D147" i="123" s="1"/>
  <c r="E146" i="123" a="1"/>
  <c r="E146" i="123" s="1"/>
  <c r="D146" i="123" a="1"/>
  <c r="D146" i="123" s="1"/>
  <c r="E145" i="123" a="1"/>
  <c r="E145" i="123" s="1"/>
  <c r="D145" i="123" a="1"/>
  <c r="D145" i="123" s="1"/>
  <c r="E144" i="123" a="1"/>
  <c r="E144" i="123" s="1"/>
  <c r="D144" i="123" a="1"/>
  <c r="D144" i="123" s="1"/>
  <c r="E143" i="123" a="1"/>
  <c r="E143" i="123" s="1"/>
  <c r="D143" i="123" a="1"/>
  <c r="D143" i="123" s="1"/>
  <c r="D141" i="123" a="1"/>
  <c r="D141" i="123" s="1"/>
  <c r="D140" i="123" a="1"/>
  <c r="D140" i="123" s="1"/>
  <c r="D139" i="123" a="1"/>
  <c r="D139" i="123" s="1"/>
  <c r="E136" i="123" a="1"/>
  <c r="E136" i="123" s="1"/>
  <c r="D136" i="123" a="1"/>
  <c r="D136" i="123" s="1"/>
  <c r="E135" i="123" a="1"/>
  <c r="E135" i="123" s="1"/>
  <c r="D135" i="123" a="1"/>
  <c r="D135" i="123" s="1"/>
  <c r="D133" i="123" a="1"/>
  <c r="D133" i="123" s="1"/>
  <c r="D132" i="123" a="1"/>
  <c r="D132" i="123" s="1"/>
  <c r="E129" i="123" a="1"/>
  <c r="E129" i="123" s="1"/>
  <c r="D129" i="123" a="1"/>
  <c r="D129" i="123" s="1"/>
  <c r="E128" i="123" a="1"/>
  <c r="E128" i="123" s="1"/>
  <c r="D128" i="123" a="1"/>
  <c r="D128" i="123" s="1"/>
  <c r="D125" i="123" a="1"/>
  <c r="D125" i="123" s="1"/>
  <c r="D124" i="123" a="1"/>
  <c r="D124" i="123" s="1"/>
  <c r="G121" i="123" a="1"/>
  <c r="G121" i="123" s="1"/>
  <c r="F121" i="123" a="1"/>
  <c r="F121" i="123" s="1"/>
  <c r="E121" i="123" a="1"/>
  <c r="E121" i="123" s="1"/>
  <c r="D121" i="123" a="1"/>
  <c r="D121" i="123" s="1"/>
  <c r="G120" i="123" a="1"/>
  <c r="G120" i="123" s="1"/>
  <c r="F120" i="123" a="1"/>
  <c r="F120" i="123" s="1"/>
  <c r="E120" i="123" a="1"/>
  <c r="E120" i="123" s="1"/>
  <c r="D120" i="123" a="1"/>
  <c r="D120" i="123" s="1"/>
  <c r="D117" i="123" a="1"/>
  <c r="D117" i="123" s="1"/>
  <c r="D116" i="123" a="1"/>
  <c r="D116" i="123" s="1"/>
  <c r="D115" i="123" a="1"/>
  <c r="D115" i="123" s="1"/>
  <c r="G112" i="123" a="1"/>
  <c r="G112" i="123" s="1"/>
  <c r="F112" i="123" a="1"/>
  <c r="F112" i="123" s="1"/>
  <c r="E112" i="123" a="1"/>
  <c r="E112" i="123" s="1"/>
  <c r="D112" i="123" a="1"/>
  <c r="D112" i="123" s="1"/>
  <c r="G111" i="123" a="1"/>
  <c r="G111" i="123" s="1"/>
  <c r="F111" i="123" a="1"/>
  <c r="F111" i="123" s="1"/>
  <c r="E111" i="123" a="1"/>
  <c r="E111" i="123" s="1"/>
  <c r="D111" i="123" a="1"/>
  <c r="D111" i="123" s="1"/>
  <c r="G110" i="123" a="1"/>
  <c r="G110" i="123" s="1"/>
  <c r="F110" i="123" a="1"/>
  <c r="F110" i="123" s="1"/>
  <c r="E110" i="123" a="1"/>
  <c r="E110" i="123" s="1"/>
  <c r="D110" i="123" a="1"/>
  <c r="D110" i="123" s="1"/>
  <c r="D107" i="123"/>
  <c r="D107" i="123" a="1"/>
  <c r="D106" i="123" a="1"/>
  <c r="D106" i="123" s="1"/>
  <c r="D105" i="123" a="1"/>
  <c r="D105" i="123" s="1"/>
  <c r="D99" i="123" a="1"/>
  <c r="D99" i="123" s="1"/>
  <c r="S97" i="123" a="1"/>
  <c r="S97" i="123" s="1"/>
  <c r="R97" i="123" a="1"/>
  <c r="R97" i="123" s="1"/>
  <c r="Q97" i="123" a="1"/>
  <c r="Q97" i="123" s="1"/>
  <c r="P97" i="123" a="1"/>
  <c r="P97" i="123" s="1"/>
  <c r="O97" i="123" a="1"/>
  <c r="O97" i="123" s="1"/>
  <c r="N97" i="123" a="1"/>
  <c r="N97" i="123" s="1"/>
  <c r="M97" i="123" a="1"/>
  <c r="M97" i="123" s="1"/>
  <c r="L97" i="123" a="1"/>
  <c r="L97" i="123" s="1"/>
  <c r="K97" i="123" a="1"/>
  <c r="K97" i="123" s="1"/>
  <c r="J97" i="123" a="1"/>
  <c r="J97" i="123" s="1"/>
  <c r="I97" i="123" a="1"/>
  <c r="I97" i="123" s="1"/>
  <c r="H97" i="123" a="1"/>
  <c r="H97" i="123" s="1"/>
  <c r="G97" i="123" a="1"/>
  <c r="G97" i="123" s="1"/>
  <c r="F97" i="123" a="1"/>
  <c r="F97" i="123" s="1"/>
  <c r="E97" i="123" a="1"/>
  <c r="E97" i="123" s="1"/>
  <c r="D97" i="123" a="1"/>
  <c r="D97" i="123" s="1"/>
  <c r="S96" i="123" a="1"/>
  <c r="S96" i="123" s="1"/>
  <c r="R96" i="123" a="1"/>
  <c r="R96" i="123" s="1"/>
  <c r="Q96" i="123" a="1"/>
  <c r="Q96" i="123" s="1"/>
  <c r="P96" i="123" a="1"/>
  <c r="P96" i="123" s="1"/>
  <c r="O96" i="123" a="1"/>
  <c r="O96" i="123" s="1"/>
  <c r="N96" i="123" a="1"/>
  <c r="N96" i="123" s="1"/>
  <c r="M96" i="123" a="1"/>
  <c r="M96" i="123" s="1"/>
  <c r="L96" i="123" a="1"/>
  <c r="L96" i="123" s="1"/>
  <c r="K96" i="123" a="1"/>
  <c r="K96" i="123" s="1"/>
  <c r="J96" i="123" a="1"/>
  <c r="J96" i="123" s="1"/>
  <c r="I96" i="123" a="1"/>
  <c r="I96" i="123" s="1"/>
  <c r="H96" i="123" a="1"/>
  <c r="H96" i="123" s="1"/>
  <c r="G96" i="123" a="1"/>
  <c r="G96" i="123" s="1"/>
  <c r="F96" i="123" a="1"/>
  <c r="F96" i="123" s="1"/>
  <c r="E96" i="123" a="1"/>
  <c r="E96" i="123" s="1"/>
  <c r="D96" i="123" a="1"/>
  <c r="D96" i="123" s="1"/>
  <c r="S95" i="123" a="1"/>
  <c r="S95" i="123" s="1"/>
  <c r="R95" i="123" a="1"/>
  <c r="R95" i="123" s="1"/>
  <c r="Q95" i="123" a="1"/>
  <c r="Q95" i="123" s="1"/>
  <c r="P95" i="123" a="1"/>
  <c r="P95" i="123" s="1"/>
  <c r="O95" i="123" a="1"/>
  <c r="O95" i="123" s="1"/>
  <c r="N95" i="123" a="1"/>
  <c r="N95" i="123" s="1"/>
  <c r="M95" i="123" a="1"/>
  <c r="M95" i="123" s="1"/>
  <c r="L95" i="123" a="1"/>
  <c r="L95" i="123" s="1"/>
  <c r="K95" i="123" a="1"/>
  <c r="K95" i="123" s="1"/>
  <c r="J95" i="123" a="1"/>
  <c r="J95" i="123" s="1"/>
  <c r="I95" i="123" a="1"/>
  <c r="I95" i="123" s="1"/>
  <c r="H95" i="123" a="1"/>
  <c r="H95" i="123" s="1"/>
  <c r="G95" i="123" a="1"/>
  <c r="G95" i="123" s="1"/>
  <c r="F95" i="123" a="1"/>
  <c r="F95" i="123" s="1"/>
  <c r="E95" i="123" a="1"/>
  <c r="E95" i="123" s="1"/>
  <c r="D95" i="123" a="1"/>
  <c r="D95" i="123" s="1"/>
  <c r="S94" i="123" a="1"/>
  <c r="S94" i="123" s="1"/>
  <c r="R94" i="123" a="1"/>
  <c r="R94" i="123" s="1"/>
  <c r="Q94" i="123" a="1"/>
  <c r="Q94" i="123" s="1"/>
  <c r="P94" i="123" a="1"/>
  <c r="P94" i="123" s="1"/>
  <c r="O94" i="123" a="1"/>
  <c r="O94" i="123" s="1"/>
  <c r="N94" i="123" a="1"/>
  <c r="N94" i="123" s="1"/>
  <c r="M94" i="123" a="1"/>
  <c r="M94" i="123" s="1"/>
  <c r="L94" i="123" a="1"/>
  <c r="L94" i="123" s="1"/>
  <c r="K94" i="123" a="1"/>
  <c r="K94" i="123" s="1"/>
  <c r="J94" i="123" a="1"/>
  <c r="J94" i="123" s="1"/>
  <c r="I94" i="123" a="1"/>
  <c r="I94" i="123" s="1"/>
  <c r="H94" i="123" a="1"/>
  <c r="H94" i="123" s="1"/>
  <c r="G94" i="123" a="1"/>
  <c r="G94" i="123" s="1"/>
  <c r="F94" i="123" a="1"/>
  <c r="F94" i="123" s="1"/>
  <c r="E94" i="123" a="1"/>
  <c r="E94" i="123" s="1"/>
  <c r="D94" i="123" a="1"/>
  <c r="D94" i="123" s="1"/>
  <c r="S93" i="123" a="1"/>
  <c r="S93" i="123" s="1"/>
  <c r="R93" i="123" a="1"/>
  <c r="R93" i="123" s="1"/>
  <c r="Q93" i="123" a="1"/>
  <c r="Q93" i="123" s="1"/>
  <c r="P93" i="123" a="1"/>
  <c r="P93" i="123" s="1"/>
  <c r="O93" i="123" a="1"/>
  <c r="O93" i="123" s="1"/>
  <c r="N93" i="123" a="1"/>
  <c r="N93" i="123" s="1"/>
  <c r="M93" i="123" a="1"/>
  <c r="M93" i="123" s="1"/>
  <c r="L93" i="123" a="1"/>
  <c r="L93" i="123" s="1"/>
  <c r="K93" i="123" a="1"/>
  <c r="K93" i="123" s="1"/>
  <c r="J93" i="123" a="1"/>
  <c r="J93" i="123" s="1"/>
  <c r="I93" i="123" a="1"/>
  <c r="I93" i="123" s="1"/>
  <c r="H93" i="123" a="1"/>
  <c r="H93" i="123" s="1"/>
  <c r="G93" i="123" a="1"/>
  <c r="G93" i="123" s="1"/>
  <c r="F93" i="123" a="1"/>
  <c r="F93" i="123" s="1"/>
  <c r="E93" i="123" a="1"/>
  <c r="E93" i="123" s="1"/>
  <c r="D93" i="123" a="1"/>
  <c r="D93" i="123" s="1"/>
  <c r="S92" i="123" a="1"/>
  <c r="S92" i="123" s="1"/>
  <c r="R92" i="123" a="1"/>
  <c r="R92" i="123" s="1"/>
  <c r="Q92" i="123" a="1"/>
  <c r="Q92" i="123" s="1"/>
  <c r="P92" i="123" a="1"/>
  <c r="P92" i="123" s="1"/>
  <c r="O92" i="123" a="1"/>
  <c r="O92" i="123" s="1"/>
  <c r="N92" i="123" a="1"/>
  <c r="N92" i="123" s="1"/>
  <c r="M92" i="123" a="1"/>
  <c r="M92" i="123" s="1"/>
  <c r="L92" i="123" a="1"/>
  <c r="L92" i="123" s="1"/>
  <c r="K92" i="123" a="1"/>
  <c r="K92" i="123" s="1"/>
  <c r="J92" i="123" a="1"/>
  <c r="J92" i="123" s="1"/>
  <c r="I92" i="123" a="1"/>
  <c r="I92" i="123" s="1"/>
  <c r="H92" i="123" a="1"/>
  <c r="H92" i="123" s="1"/>
  <c r="G92" i="123" a="1"/>
  <c r="G92" i="123" s="1"/>
  <c r="F92" i="123" a="1"/>
  <c r="F92" i="123" s="1"/>
  <c r="E92" i="123" a="1"/>
  <c r="E92" i="123" s="1"/>
  <c r="D92" i="123" a="1"/>
  <c r="D92" i="123" s="1"/>
  <c r="S91" i="123" a="1"/>
  <c r="S91" i="123" s="1"/>
  <c r="R91" i="123" a="1"/>
  <c r="R91" i="123" s="1"/>
  <c r="Q91" i="123" a="1"/>
  <c r="Q91" i="123" s="1"/>
  <c r="P91" i="123" a="1"/>
  <c r="P91" i="123" s="1"/>
  <c r="O91" i="123" a="1"/>
  <c r="O91" i="123" s="1"/>
  <c r="N91" i="123" a="1"/>
  <c r="N91" i="123" s="1"/>
  <c r="M91" i="123" a="1"/>
  <c r="M91" i="123" s="1"/>
  <c r="L91" i="123" a="1"/>
  <c r="L91" i="123" s="1"/>
  <c r="K91" i="123" a="1"/>
  <c r="K91" i="123" s="1"/>
  <c r="J91" i="123" a="1"/>
  <c r="J91" i="123" s="1"/>
  <c r="I91" i="123" a="1"/>
  <c r="I91" i="123" s="1"/>
  <c r="H91" i="123" a="1"/>
  <c r="H91" i="123" s="1"/>
  <c r="G91" i="123" a="1"/>
  <c r="G91" i="123" s="1"/>
  <c r="F91" i="123" a="1"/>
  <c r="F91" i="123" s="1"/>
  <c r="E91" i="123" a="1"/>
  <c r="E91" i="123" s="1"/>
  <c r="D91" i="123" a="1"/>
  <c r="D91" i="123" s="1"/>
  <c r="S90" i="123" a="1"/>
  <c r="S90" i="123" s="1"/>
  <c r="R90" i="123" a="1"/>
  <c r="R90" i="123" s="1"/>
  <c r="Q90" i="123" a="1"/>
  <c r="Q90" i="123" s="1"/>
  <c r="P90" i="123" a="1"/>
  <c r="P90" i="123" s="1"/>
  <c r="O90" i="123" a="1"/>
  <c r="O90" i="123" s="1"/>
  <c r="N90" i="123" a="1"/>
  <c r="N90" i="123" s="1"/>
  <c r="M90" i="123" a="1"/>
  <c r="M90" i="123" s="1"/>
  <c r="L90" i="123" a="1"/>
  <c r="L90" i="123" s="1"/>
  <c r="K90" i="123" a="1"/>
  <c r="K90" i="123" s="1"/>
  <c r="J90" i="123" a="1"/>
  <c r="J90" i="123" s="1"/>
  <c r="I90" i="123" a="1"/>
  <c r="I90" i="123" s="1"/>
  <c r="H90" i="123" a="1"/>
  <c r="H90" i="123" s="1"/>
  <c r="G90" i="123" a="1"/>
  <c r="G90" i="123" s="1"/>
  <c r="F90" i="123" a="1"/>
  <c r="F90" i="123" s="1"/>
  <c r="E90" i="123" a="1"/>
  <c r="E90" i="123" s="1"/>
  <c r="D90" i="123" a="1"/>
  <c r="D90" i="123" s="1"/>
  <c r="D83" i="123" a="1"/>
  <c r="D83" i="123" s="1"/>
  <c r="D82" i="123" a="1"/>
  <c r="D82" i="123" s="1"/>
  <c r="D81" i="123" a="1"/>
  <c r="D81" i="123" s="1"/>
  <c r="E77" i="123" a="1"/>
  <c r="E77" i="123" s="1"/>
  <c r="D77" i="123" a="1"/>
  <c r="D77" i="123" s="1"/>
  <c r="E76" i="123" a="1"/>
  <c r="E76" i="123" s="1"/>
  <c r="D76" i="123" a="1"/>
  <c r="D76" i="123" s="1"/>
  <c r="E75" i="123" a="1"/>
  <c r="E75" i="123" s="1"/>
  <c r="D75" i="123" a="1"/>
  <c r="D75" i="123" s="1"/>
  <c r="E74" i="123" a="1"/>
  <c r="E74" i="123" s="1"/>
  <c r="D74" i="123" a="1"/>
  <c r="D74" i="123" s="1"/>
  <c r="E73" i="123" a="1"/>
  <c r="E73" i="123" s="1"/>
  <c r="D73" i="123" a="1"/>
  <c r="D73" i="123" s="1"/>
  <c r="E72" i="123" a="1"/>
  <c r="E72" i="123" s="1"/>
  <c r="D72" i="123" a="1"/>
  <c r="D72" i="123" s="1"/>
  <c r="E71" i="123" a="1"/>
  <c r="E71" i="123" s="1"/>
  <c r="D71" i="123" a="1"/>
  <c r="D71" i="123" s="1"/>
  <c r="E70" i="123" a="1"/>
  <c r="E70" i="123" s="1"/>
  <c r="D70" i="123" a="1"/>
  <c r="D70" i="123" s="1"/>
  <c r="E69" i="123" a="1"/>
  <c r="E69" i="123" s="1"/>
  <c r="D69" i="123" a="1"/>
  <c r="D69" i="123" s="1"/>
  <c r="E68" i="123" a="1"/>
  <c r="E68" i="123" s="1"/>
  <c r="D68" i="123" a="1"/>
  <c r="D68" i="123" s="1"/>
  <c r="E67" i="123" a="1"/>
  <c r="E67" i="123" s="1"/>
  <c r="D67" i="123" a="1"/>
  <c r="D67" i="123" s="1"/>
  <c r="E66" i="123" a="1"/>
  <c r="E66" i="123" s="1"/>
  <c r="D66" i="123" a="1"/>
  <c r="D66" i="123" s="1"/>
  <c r="E65" i="123" a="1"/>
  <c r="E65" i="123" s="1"/>
  <c r="D65" i="123" a="1"/>
  <c r="D65" i="123" s="1"/>
  <c r="E64" i="123" a="1"/>
  <c r="E64" i="123" s="1"/>
  <c r="D64" i="123" a="1"/>
  <c r="D64" i="123" s="1"/>
  <c r="D59" i="123" a="1"/>
  <c r="D59" i="123" s="1"/>
  <c r="D58" i="123" a="1"/>
  <c r="D58" i="123" s="1"/>
  <c r="D57" i="123" a="1"/>
  <c r="D57" i="123" s="1"/>
  <c r="G54" i="123" a="1"/>
  <c r="G54" i="123" s="1"/>
  <c r="F54" i="123" a="1"/>
  <c r="F54" i="123" s="1"/>
  <c r="E54" i="123" a="1"/>
  <c r="E54" i="123" s="1"/>
  <c r="D54" i="123" a="1"/>
  <c r="D54" i="123" s="1"/>
  <c r="G53" i="123" a="1"/>
  <c r="G53" i="123" s="1"/>
  <c r="F53" i="123" a="1"/>
  <c r="F53" i="123" s="1"/>
  <c r="E53" i="123" a="1"/>
  <c r="E53" i="123" s="1"/>
  <c r="D53" i="123" a="1"/>
  <c r="D53" i="123" s="1"/>
  <c r="G52" i="123" a="1"/>
  <c r="G52" i="123" s="1"/>
  <c r="F52" i="123" a="1"/>
  <c r="F52" i="123" s="1"/>
  <c r="E52" i="123" a="1"/>
  <c r="E52" i="123" s="1"/>
  <c r="D52" i="123" a="1"/>
  <c r="D52" i="123" s="1"/>
  <c r="G51" i="123" a="1"/>
  <c r="G51" i="123" s="1"/>
  <c r="F51" i="123" a="1"/>
  <c r="F51" i="123" s="1"/>
  <c r="E51" i="123" a="1"/>
  <c r="E51" i="123" s="1"/>
  <c r="D51" i="123" a="1"/>
  <c r="D51" i="123" s="1"/>
  <c r="G50" i="123" a="1"/>
  <c r="G50" i="123" s="1"/>
  <c r="F50" i="123" a="1"/>
  <c r="F50" i="123" s="1"/>
  <c r="E50" i="123" a="1"/>
  <c r="E50" i="123" s="1"/>
  <c r="D50" i="123" a="1"/>
  <c r="D50" i="123" s="1"/>
  <c r="G49" i="123" a="1"/>
  <c r="G49" i="123" s="1"/>
  <c r="F49" i="123" a="1"/>
  <c r="F49" i="123" s="1"/>
  <c r="E49" i="123" a="1"/>
  <c r="E49" i="123" s="1"/>
  <c r="D49" i="123" a="1"/>
  <c r="D49" i="123" s="1"/>
  <c r="G48" i="123" a="1"/>
  <c r="G48" i="123" s="1"/>
  <c r="F48" i="123" a="1"/>
  <c r="F48" i="123" s="1"/>
  <c r="E48" i="123" a="1"/>
  <c r="E48" i="123" s="1"/>
  <c r="D48" i="123" a="1"/>
  <c r="D48" i="123" s="1"/>
  <c r="D46" i="123" a="1"/>
  <c r="D46" i="123" s="1"/>
  <c r="D45" i="123" a="1"/>
  <c r="D45" i="123" s="1"/>
  <c r="E43" i="123" a="1"/>
  <c r="E43" i="123" s="1"/>
  <c r="D43" i="123" a="1"/>
  <c r="D43" i="123" s="1"/>
  <c r="E42" i="123" a="1"/>
  <c r="E42" i="123" s="1"/>
  <c r="D42" i="123" a="1"/>
  <c r="D42" i="123" s="1"/>
  <c r="E41" i="123" a="1"/>
  <c r="E41" i="123" s="1"/>
  <c r="D41" i="123" a="1"/>
  <c r="D41" i="123" s="1"/>
  <c r="E40" i="123" a="1"/>
  <c r="E40" i="123" s="1"/>
  <c r="D40" i="123" a="1"/>
  <c r="D40" i="123" s="1"/>
  <c r="E39" i="123" a="1"/>
  <c r="E39" i="123" s="1"/>
  <c r="D39" i="123" a="1"/>
  <c r="D39" i="123" s="1"/>
  <c r="E38" i="123" a="1"/>
  <c r="E38" i="123" s="1"/>
  <c r="D38" i="123" a="1"/>
  <c r="D38" i="123" s="1"/>
  <c r="E37" i="123" a="1"/>
  <c r="E37" i="123" s="1"/>
  <c r="D37" i="123" a="1"/>
  <c r="D37" i="123" s="1"/>
  <c r="D35" i="123" a="1"/>
  <c r="D35" i="123" s="1"/>
  <c r="D34" i="123" a="1"/>
  <c r="D34" i="123" s="1"/>
  <c r="D30" i="123" a="1"/>
  <c r="D30" i="123" s="1"/>
  <c r="D29" i="123" a="1"/>
  <c r="D29" i="123" s="1"/>
  <c r="D28" i="123" a="1"/>
  <c r="D28" i="123" s="1"/>
  <c r="D27" i="123" a="1"/>
  <c r="D27" i="123" s="1"/>
  <c r="D26" i="123" a="1"/>
  <c r="D26" i="123" s="1"/>
  <c r="D25" i="123" a="1"/>
  <c r="D25" i="123" s="1"/>
  <c r="D24" i="123" a="1"/>
  <c r="D24" i="123" s="1"/>
  <c r="D23" i="123" a="1"/>
  <c r="D23" i="123" s="1"/>
  <c r="D22" i="123" a="1"/>
  <c r="D22" i="123" s="1"/>
  <c r="D21" i="123" a="1"/>
  <c r="D21" i="123" s="1"/>
  <c r="D19" i="123" a="1"/>
  <c r="D19" i="123" s="1"/>
  <c r="D18" i="123"/>
  <c r="D18" i="123" a="1"/>
  <c r="F14" i="123" a="1"/>
  <c r="F14" i="123" s="1"/>
  <c r="E14" i="123" a="1"/>
  <c r="E14" i="123" s="1"/>
  <c r="D14" i="123" a="1"/>
  <c r="D14" i="123" s="1"/>
  <c r="F13" i="123" a="1"/>
  <c r="F13" i="123" s="1"/>
  <c r="E13" i="123" a="1"/>
  <c r="E13" i="123" s="1"/>
  <c r="D13" i="123" a="1"/>
  <c r="D13" i="123" s="1"/>
  <c r="F12" i="123" a="1"/>
  <c r="F12" i="123" s="1"/>
  <c r="E12" i="123" a="1"/>
  <c r="E12" i="123" s="1"/>
  <c r="D12" i="123" a="1"/>
  <c r="D12" i="123" s="1"/>
  <c r="F11" i="123" a="1"/>
  <c r="F11" i="123" s="1"/>
  <c r="E11" i="123" a="1"/>
  <c r="E11" i="123" s="1"/>
  <c r="D11" i="123" a="1"/>
  <c r="D11" i="123" s="1"/>
  <c r="F10" i="123" a="1"/>
  <c r="F10" i="123" s="1"/>
  <c r="E10" i="123" a="1"/>
  <c r="E10" i="123" s="1"/>
  <c r="D10" i="123" a="1"/>
  <c r="D10" i="123" s="1"/>
  <c r="F9" i="123" a="1"/>
  <c r="F9" i="123" s="1"/>
  <c r="E9" i="123" a="1"/>
  <c r="E9" i="123" s="1"/>
  <c r="D9" i="123" a="1"/>
  <c r="D9" i="123" s="1"/>
  <c r="F8" i="123" a="1"/>
  <c r="F8" i="123" s="1"/>
  <c r="E8" i="123" a="1"/>
  <c r="E8" i="123" s="1"/>
  <c r="D8" i="123" a="1"/>
  <c r="D8" i="123" s="1"/>
  <c r="A8" i="123"/>
  <c r="F7" i="123" a="1"/>
  <c r="F7" i="123" s="1"/>
  <c r="E7" i="123" a="1"/>
  <c r="E7" i="123" s="1"/>
  <c r="D7" i="123" a="1"/>
  <c r="D7" i="123" s="1"/>
  <c r="A7" i="123"/>
  <c r="D5" i="123" a="1"/>
  <c r="D5" i="123" s="1"/>
  <c r="A3" i="123"/>
  <c r="A8" i="71"/>
  <c r="A7" i="71"/>
  <c r="A3" i="71"/>
  <c r="E13" i="15"/>
  <c r="D10" i="70" s="1"/>
  <c r="A19" i="110"/>
  <c r="A18" i="110"/>
  <c r="A14" i="110"/>
  <c r="A10" i="110"/>
  <c r="A9" i="110"/>
  <c r="A5" i="110"/>
  <c r="A4" i="110"/>
  <c r="A3" i="110"/>
  <c r="A19" i="69"/>
  <c r="A18" i="69"/>
  <c r="A14" i="69"/>
  <c r="A10" i="69"/>
  <c r="A9" i="69"/>
  <c r="A5" i="69"/>
  <c r="A4" i="69"/>
  <c r="A3" i="69"/>
  <c r="A19" i="70"/>
  <c r="A18" i="70"/>
  <c r="A14" i="70"/>
  <c r="A10" i="70"/>
  <c r="A9" i="70"/>
  <c r="A5" i="70"/>
  <c r="A4" i="70"/>
  <c r="A3" i="70"/>
  <c r="A19" i="15"/>
  <c r="A18" i="15"/>
  <c r="A14" i="15"/>
  <c r="A10" i="15"/>
  <c r="A9" i="15"/>
  <c r="A5" i="15"/>
  <c r="A4" i="15"/>
  <c r="A3" i="15"/>
  <c r="A19" i="13"/>
  <c r="A18" i="13"/>
  <c r="A14" i="13"/>
  <c r="A10" i="13"/>
  <c r="A9" i="13"/>
  <c r="A5" i="13"/>
  <c r="A4" i="13"/>
  <c r="A3" i="13"/>
  <c r="A19" i="118"/>
  <c r="A18" i="118"/>
  <c r="A14" i="118"/>
  <c r="A10" i="118"/>
  <c r="A9" i="118"/>
  <c r="A5" i="118"/>
  <c r="A4" i="118"/>
  <c r="A3" i="118"/>
  <c r="J91" i="69"/>
  <c r="E96" i="69" s="1" a="1"/>
  <c r="E96" i="69" s="1"/>
  <c r="G70" i="69" a="1"/>
  <c r="G70" i="69" s="1"/>
  <c r="F70" i="69" a="1"/>
  <c r="F70" i="69" s="1"/>
  <c r="E70" i="69" a="1"/>
  <c r="E70" i="69" s="1"/>
  <c r="D70" i="69" a="1"/>
  <c r="D70" i="69" s="1"/>
  <c r="J24" i="69" a="1"/>
  <c r="J24" i="69" s="1"/>
  <c r="I24" i="69" a="1"/>
  <c r="I24" i="69" s="1"/>
  <c r="H24" i="69" a="1"/>
  <c r="H24" i="69" s="1"/>
  <c r="G24" i="69" a="1"/>
  <c r="G24" i="69" s="1"/>
  <c r="F24" i="69" a="1"/>
  <c r="F24" i="69" s="1"/>
  <c r="E24" i="69" a="1"/>
  <c r="E24" i="69" s="1"/>
  <c r="D24" i="69" a="1"/>
  <c r="D24" i="69" s="1"/>
  <c r="D43" i="69" a="1"/>
  <c r="D43" i="69" s="1"/>
  <c r="F96" i="69" a="1"/>
  <c r="F96" i="69" s="1"/>
  <c r="D96" i="69" a="1"/>
  <c r="D96" i="69" s="1"/>
  <c r="H51" i="123" l="1"/>
  <c r="H50" i="123"/>
  <c r="H53" i="123"/>
  <c r="H48" i="123"/>
  <c r="H54" i="123"/>
  <c r="H49" i="123"/>
  <c r="H52" i="123"/>
  <c r="D80" i="69" a="1"/>
  <c r="D80" i="69" s="1"/>
  <c r="J89" i="69" a="1"/>
  <c r="J89" i="69" s="1"/>
  <c r="J90" i="69" a="1"/>
  <c r="J90" i="69" s="1"/>
  <c r="J88" i="69" a="1"/>
  <c r="J88" i="69" s="1"/>
  <c r="H88" i="69" a="1"/>
  <c r="H88" i="69" s="1"/>
  <c r="D88" i="69" a="1"/>
  <c r="D88" i="69" s="1"/>
  <c r="D104" i="69" a="1"/>
  <c r="D104" i="69" s="1"/>
  <c r="E86" i="69" a="1"/>
  <c r="E86" i="69" s="1"/>
  <c r="E85" i="69" a="1"/>
  <c r="E85" i="69" s="1"/>
  <c r="D79" i="69" a="1"/>
  <c r="D79" i="69" s="1"/>
  <c r="D78" i="69" a="1"/>
  <c r="D78" i="69" s="1"/>
  <c r="J65" i="69" a="1"/>
  <c r="J65" i="69" s="1"/>
  <c r="J64" i="69" a="1"/>
  <c r="J64" i="69" s="1"/>
  <c r="J63" i="69" a="1"/>
  <c r="J63" i="69" s="1"/>
  <c r="J62" i="69" a="1"/>
  <c r="J62" i="69" s="1"/>
  <c r="J61" i="69" a="1"/>
  <c r="J61" i="69" s="1"/>
  <c r="J60" i="69" a="1"/>
  <c r="J60" i="69" s="1"/>
  <c r="E53" i="69" a="1"/>
  <c r="E81" i="69" a="1"/>
  <c r="F102" i="69" l="1"/>
  <c r="H96" i="69"/>
  <c r="E81" i="69"/>
  <c r="E53" i="69"/>
  <c r="I19" i="69" l="1" a="1"/>
  <c r="I19" i="69" s="1"/>
  <c r="I18" i="69" a="1"/>
  <c r="I18" i="69" s="1"/>
  <c r="I17" i="69" a="1"/>
  <c r="I17" i="69" s="1"/>
  <c r="D7" i="69" a="1"/>
  <c r="D7" i="69" s="1"/>
  <c r="D33" i="110" a="1"/>
  <c r="D33" i="110" s="1"/>
  <c r="D44" i="110" a="1"/>
  <c r="D44" i="110" s="1"/>
  <c r="D38" i="69" s="1"/>
  <c r="E44" i="110" a="1"/>
  <c r="E44" i="110" s="1"/>
  <c r="E38" i="69" s="1"/>
  <c r="F49" i="110" a="1"/>
  <c r="F49" i="110" s="1"/>
  <c r="E49" i="110" a="1"/>
  <c r="E49" i="110" s="1"/>
  <c r="J59" i="69" s="1"/>
  <c r="D49" i="110" a="1"/>
  <c r="D49" i="110" s="1"/>
  <c r="D48" i="110" a="1"/>
  <c r="D48" i="110" s="1"/>
  <c r="D47" i="110" a="1"/>
  <c r="D47" i="110" s="1"/>
  <c r="D43" i="110" a="1"/>
  <c r="D43" i="110" s="1"/>
  <c r="I23" i="69" s="1"/>
  <c r="E43" i="110" a="1"/>
  <c r="E43" i="110" s="1"/>
  <c r="E37" i="69" s="1"/>
  <c r="D42" i="110" a="1"/>
  <c r="D42" i="110" s="1"/>
  <c r="H23" i="69" s="1"/>
  <c r="E42" i="110" a="1"/>
  <c r="E42" i="110" s="1"/>
  <c r="E36" i="69" s="1"/>
  <c r="D41" i="110" a="1"/>
  <c r="D41" i="110" s="1"/>
  <c r="G23" i="69" s="1"/>
  <c r="E41" i="110" a="1"/>
  <c r="E41" i="110" s="1"/>
  <c r="E35" i="69" s="1"/>
  <c r="D40" i="110" a="1"/>
  <c r="D40" i="110" s="1"/>
  <c r="F23" i="69" s="1"/>
  <c r="E40" i="110" a="1"/>
  <c r="E40" i="110" s="1"/>
  <c r="E34" i="69" s="1"/>
  <c r="E39" i="110" a="1"/>
  <c r="E39" i="110" s="1"/>
  <c r="E33" i="69" s="1"/>
  <c r="D39" i="110" a="1"/>
  <c r="D39" i="110" s="1"/>
  <c r="E23" i="69" s="1"/>
  <c r="D37" i="110" a="1"/>
  <c r="D37" i="110" s="1"/>
  <c r="D36" i="110" a="1"/>
  <c r="D36" i="110" s="1"/>
  <c r="D32" i="110" a="1"/>
  <c r="D32" i="110" s="1"/>
  <c r="D31" i="110" a="1"/>
  <c r="D31" i="110" s="1"/>
  <c r="D28" i="110" a="1"/>
  <c r="D28" i="110" s="1"/>
  <c r="E28" i="110" a="1"/>
  <c r="E28" i="110" s="1"/>
  <c r="D27" i="110" a="1"/>
  <c r="D27" i="110" s="1"/>
  <c r="E27" i="110" a="1"/>
  <c r="E27" i="110" s="1"/>
  <c r="D26" i="110" a="1"/>
  <c r="D26" i="110" s="1"/>
  <c r="E26" i="110" a="1"/>
  <c r="E26" i="110" s="1"/>
  <c r="E25" i="110" a="1"/>
  <c r="E25" i="110" s="1"/>
  <c r="D25" i="110" a="1"/>
  <c r="D25" i="110" s="1"/>
  <c r="D23" i="110" a="1"/>
  <c r="D23" i="110" s="1"/>
  <c r="D22" i="110" a="1"/>
  <c r="D22" i="110" s="1"/>
  <c r="D21" i="110" a="1"/>
  <c r="D21" i="110" s="1"/>
  <c r="D20" i="110" a="1"/>
  <c r="D20" i="110" s="1"/>
  <c r="D17" i="110" a="1"/>
  <c r="D17" i="110" s="1"/>
  <c r="E17" i="110" a="1"/>
  <c r="E17" i="110" s="1"/>
  <c r="L12" i="110" s="1"/>
  <c r="F17" i="110" a="1"/>
  <c r="F17" i="110" s="1"/>
  <c r="D16" i="110" a="1"/>
  <c r="D16" i="110" s="1"/>
  <c r="E16" i="110" a="1"/>
  <c r="E16" i="110" s="1"/>
  <c r="L11" i="110" s="1"/>
  <c r="F16" i="110" a="1"/>
  <c r="F16" i="110" s="1"/>
  <c r="D15" i="110" a="1"/>
  <c r="D15" i="110" s="1"/>
  <c r="E15" i="110" a="1"/>
  <c r="E15" i="110" s="1"/>
  <c r="L10" i="110" s="1"/>
  <c r="F15" i="110" a="1"/>
  <c r="F15" i="110" s="1"/>
  <c r="D14" i="110" a="1"/>
  <c r="D14" i="110" s="1"/>
  <c r="E14" i="110" a="1"/>
  <c r="E14" i="110" s="1"/>
  <c r="J12" i="110" s="1"/>
  <c r="F14" i="110" a="1"/>
  <c r="F14" i="110" s="1"/>
  <c r="D13" i="110" a="1"/>
  <c r="D13" i="110" s="1"/>
  <c r="E13" i="110" a="1"/>
  <c r="E13" i="110" s="1"/>
  <c r="J11" i="110" s="1"/>
  <c r="F13" i="110" a="1"/>
  <c r="F13" i="110" s="1"/>
  <c r="D12" i="110" a="1"/>
  <c r="D12" i="110" s="1"/>
  <c r="E12" i="110" a="1"/>
  <c r="E12" i="110" s="1"/>
  <c r="J10" i="110" s="1"/>
  <c r="F12" i="110" a="1"/>
  <c r="F12" i="110" s="1"/>
  <c r="D11" i="110" a="1"/>
  <c r="D11" i="110" s="1"/>
  <c r="E11" i="110" a="1"/>
  <c r="E11" i="110" s="1"/>
  <c r="H11" i="110" s="1"/>
  <c r="F11" i="110" a="1"/>
  <c r="F11" i="110" s="1"/>
  <c r="F10" i="110" a="1"/>
  <c r="F10" i="110" s="1"/>
  <c r="E10" i="110" a="1"/>
  <c r="E10" i="110" s="1"/>
  <c r="D10" i="110" a="1"/>
  <c r="D10" i="110" s="1"/>
  <c r="D8" i="110" a="1"/>
  <c r="D8" i="110" s="1"/>
  <c r="D7" i="110" a="1"/>
  <c r="D7" i="110" s="1"/>
  <c r="D6" i="110" a="1"/>
  <c r="D6" i="110" s="1"/>
  <c r="D5" i="110" a="1"/>
  <c r="D5" i="110" s="1"/>
  <c r="E11" i="69" a="1"/>
  <c r="J74" i="69" l="1" a="1"/>
  <c r="J74" i="69" s="1"/>
  <c r="J73" i="69" a="1"/>
  <c r="J73" i="69" s="1"/>
  <c r="J72" i="69" a="1"/>
  <c r="J72" i="69" s="1"/>
  <c r="H10" i="110"/>
  <c r="I73" i="69" a="1"/>
  <c r="I73" i="69" s="1"/>
  <c r="I74" i="69" a="1"/>
  <c r="I74" i="69" s="1"/>
  <c r="I72" i="69" a="1"/>
  <c r="I72" i="69" s="1"/>
  <c r="I70" i="69" a="1"/>
  <c r="I70" i="69" s="1"/>
  <c r="I71" i="69" a="1"/>
  <c r="I71" i="69" s="1"/>
  <c r="J70" i="69" a="1"/>
  <c r="J70" i="69" s="1"/>
  <c r="J71" i="69" a="1"/>
  <c r="J71" i="69" s="1"/>
  <c r="E47" i="69" a="1"/>
  <c r="E47" i="69" s="1"/>
  <c r="E43" i="69" a="1"/>
  <c r="E43" i="69" s="1"/>
  <c r="E45" i="69" a="1"/>
  <c r="E45" i="69" s="1"/>
  <c r="H73" i="69" s="1" a="1"/>
  <c r="H73" i="69" s="1"/>
  <c r="E46" i="69" a="1"/>
  <c r="E46" i="69" s="1"/>
  <c r="E44" i="69" a="1"/>
  <c r="E44" i="69" s="1"/>
  <c r="H71" i="69" s="1" a="1"/>
  <c r="H71" i="69" s="1"/>
  <c r="E11" i="69"/>
  <c r="D33" i="69"/>
  <c r="D34" i="69"/>
  <c r="D35" i="69"/>
  <c r="D36" i="69"/>
  <c r="D37" i="69"/>
  <c r="K73" i="69" l="1" a="1"/>
  <c r="K73" i="69" s="1"/>
  <c r="G99" i="69" s="1" a="1"/>
  <c r="G99" i="69" s="1"/>
  <c r="H74" i="69" a="1"/>
  <c r="H74" i="69" s="1"/>
  <c r="K74" i="69" s="1" a="1"/>
  <c r="K74" i="69" s="1"/>
  <c r="G100" i="69" s="1" a="1"/>
  <c r="G100" i="69" s="1"/>
  <c r="H72" i="69" a="1"/>
  <c r="H72" i="69" s="1"/>
  <c r="K72" i="69" s="1" a="1"/>
  <c r="K72" i="69" s="1"/>
  <c r="G98" i="69" s="1" a="1"/>
  <c r="G98" i="69" s="1"/>
  <c r="H70" i="69" a="1"/>
  <c r="H70" i="69" s="1"/>
  <c r="K70" i="69" s="1" a="1"/>
  <c r="K70" i="69" s="1"/>
  <c r="G96" i="69" s="1" a="1"/>
  <c r="G96" i="69" s="1"/>
  <c r="K71" i="69" a="1"/>
  <c r="K71" i="69" s="1"/>
  <c r="G97" i="69" s="1" a="1"/>
  <c r="G97" i="69" s="1"/>
  <c r="E102" i="69" l="1"/>
  <c r="G104" i="69" s="1"/>
  <c r="E9" i="13" l="1"/>
  <c r="F9" i="13" s="1"/>
  <c r="H59" i="69" a="1"/>
  <c r="H59" i="69" s="1"/>
  <c r="D59" i="69" a="1"/>
  <c r="D59" i="69" s="1"/>
  <c r="E57" i="69" a="1"/>
  <c r="E57" i="69" s="1"/>
  <c r="E56" i="69" a="1"/>
  <c r="E56" i="69" s="1"/>
  <c r="D52" i="69" a="1"/>
  <c r="D52" i="69" s="1"/>
  <c r="D51" i="69" a="1"/>
  <c r="D51" i="69" s="1"/>
  <c r="G17" i="69" a="1"/>
  <c r="D17" i="69" a="1"/>
  <c r="D17" i="69" s="1"/>
  <c r="E15" i="69" a="1"/>
  <c r="E15" i="69" s="1"/>
  <c r="E14" i="69" a="1"/>
  <c r="E14" i="69" s="1"/>
  <c r="D6" i="69" a="1"/>
  <c r="D6" i="69" s="1"/>
  <c r="D5" i="69" a="1"/>
  <c r="D5" i="69" s="1"/>
  <c r="G17" i="69" l="1"/>
  <c r="K24" i="69" s="1"/>
  <c r="F33" i="69"/>
  <c r="F107" i="69" a="1"/>
  <c r="F107" i="69" s="1"/>
  <c r="E107" i="69" l="1" a="1"/>
  <c r="E107" i="69" s="1"/>
  <c r="H9" i="13" s="1"/>
  <c r="H10" i="13" l="1"/>
  <c r="I9" i="13"/>
  <c r="I10"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<sst xmlns="http://schemas.openxmlformats.org/spreadsheetml/2006/main" count="270" uniqueCount="219">
  <si>
    <t>INPUTS</t>
  </si>
  <si>
    <t>APPENDICES</t>
  </si>
  <si>
    <t>Emissions breakdown</t>
  </si>
  <si>
    <t>Test Farms</t>
  </si>
  <si>
    <t>Farm name</t>
  </si>
  <si>
    <t>Climate zone</t>
  </si>
  <si>
    <t>Your business</t>
  </si>
  <si>
    <r>
      <rPr>
        <sz val="10"/>
        <color theme="1" tint="0.34998626667073579"/>
        <rFont val="Arial"/>
        <family val="1"/>
      </rPr>
      <t xml:space="preserve">← </t>
    </r>
    <r>
      <rPr>
        <i/>
        <sz val="10"/>
        <color theme="1" tint="0.34998626667073579"/>
        <rFont val="Arial"/>
        <family val="1"/>
      </rPr>
      <t>Automatically calculated, 12 months after start date</t>
    </r>
  </si>
  <si>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</si>
  <si>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</si>
  <si>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</si>
  <si>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</si>
  <si>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</si>
  <si>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</si>
  <si>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</si>
  <si>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</si>
  <si>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</si>
  <si>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</si>
  <si>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</si>
  <si>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</si>
  <si>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</si>
  <si>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</si>
  <si>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</si>
  <si>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</si>
  <si>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</si>
  <si>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</si>
  <si>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</si>
  <si>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</si>
  <si>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</si>
  <si>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</si>
  <si>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</si>
  <si>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</si>
  <si>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</si>
  <si>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</si>
  <si>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</si>
  <si>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</si>
  <si>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</si>
  <si>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</si>
  <si>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</si>
  <si>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</si>
  <si>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</si>
  <si>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</si>
  <si>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</si>
  <si>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</si>
  <si>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</si>
  <si>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</si>
  <si>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</si>
  <si>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</si>
  <si>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r>
      <rPr>
        <sz val="10"/>
        <color theme="1" tint="0.34998626667073579"/>
        <rFont val="Arial"/>
        <family val="1"/>
      </rPr>
      <t xml:space="preserve">← </t>
    </r>
    <r>
      <rPr>
        <i/>
        <sz val="10"/>
        <color theme="1" tint="0.34998626667073579"/>
        <rFont val="Arial"/>
        <family val="1"/>
      </rPr>
      <t>DD/MM/YYYY or DD Month YYYY</t>
    </r>
  </si>
  <si>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</si>
  <si>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</si>
  <si>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</si>
  <si>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</si>
  <si>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</si>
  <si>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</si>
  <si>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</si>
  <si>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</si>
  <si>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</si>
  <si>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</si>
  <si>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r>
      <t>E</t>
    </r>
    <r>
      <rPr>
        <vertAlign val="subscript"/>
        <sz val="10"/>
        <color theme="1" tint="0.24994659260841701"/>
        <rFont val="Arial"/>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</si>
  <si>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</si>
  <si>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</si>
  <si>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</si>
  <si>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</si>
  <si>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</si>
  <si>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</si>
  <si>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</si>
  <si>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</si>
  <si>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</si>
  <si>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</si>
  <si>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</si>
  <si>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</si>
  <si>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</si>
  <si>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</si>
  <si>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</si>
  <si>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</si>
  <si>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</si>
  <si>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</si>
  <si>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</si>
  <si>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t N2O</t>
  </si>
  <si>
    <t>Poultry manure with bedding</t>
  </si>
  <si>
    <t>Solid storage</t>
  </si>
  <si>
    <t>Composting (passive windrow)</t>
  </si>
  <si>
    <t>Digester / covered lagoons</t>
  </si>
  <si>
    <t>Pasture range and paddock</t>
  </si>
  <si>
    <t>Direct processing</t>
  </si>
  <si>
    <t>Direct application</t>
  </si>
  <si>
    <r>
      <t>E</t>
    </r>
    <r>
      <rPr>
        <b/>
        <vertAlign val="subscript"/>
        <sz val="14"/>
        <color theme="1" tint="0.24994659260841701"/>
        <rFont val="Arial"/>
        <family val="1"/>
      </rPr>
      <t>N2O</t>
    </r>
  </si>
  <si>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</si>
  <si>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</si>
  <si>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</si>
  <si>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</si>
  <si>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</si>
  <si>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</si>
  <si>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</si>
  <si>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</si>
  <si>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</si>
  <si>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</si>
  <si>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</si>
  <si>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</si>
  <si>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</si>
  <si>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</si>
  <si>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</si>
  <si>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Area</t>
  </si>
  <si>
    <t>If multiple paddocks were managed in the same way at the same time, you can enter information for them all together.</t>
  </si>
  <si>
    <t>7.1.1-2 Rice cultivation CH4 emissions</t>
  </si>
  <si>
    <t>Input - Rice</t>
  </si>
  <si>
    <t>Regimes</t>
  </si>
  <si>
    <t>Water regime type</t>
  </si>
  <si>
    <t>Regime name</t>
  </si>
  <si>
    <t>Pre-cultivation water regime</t>
  </si>
  <si>
    <t>Water regime sub-type</t>
  </si>
  <si>
    <t>Application rate of organic amendment</t>
  </si>
  <si>
    <t>Amendments</t>
  </si>
  <si>
    <t>Inorganic fertiliser</t>
  </si>
  <si>
    <t>Compost (t/ha)</t>
  </si>
  <si>
    <t>Farm yard manure (t/ha)</t>
  </si>
  <si>
    <t>Green manure (t/ha)</t>
  </si>
  <si>
    <t>Inorganic fertiliser (t/ha)</t>
  </si>
  <si>
    <t>Amendment blend (select)</t>
  </si>
  <si>
    <t>Water regime sub-type (select)</t>
  </si>
  <si>
    <t>Water regime (select)</t>
  </si>
  <si>
    <t>Pre-cultivation water regime (select)</t>
  </si>
  <si>
    <t>Constants - Rice cultivation</t>
  </si>
  <si>
    <t>SFw</t>
  </si>
  <si>
    <t>Water regime prior to cultivation</t>
  </si>
  <si>
    <t>SFp</t>
  </si>
  <si>
    <t>Organic amendment i</t>
  </si>
  <si>
    <t>CFOAi</t>
  </si>
  <si>
    <t>Table_SF_o</t>
  </si>
  <si>
    <t>Amendment mix</t>
  </si>
  <si>
    <t>Amendment mix name</t>
  </si>
  <si>
    <t>Table_CFOA_o</t>
  </si>
  <si>
    <t>Conversion factor for organic amendment</t>
  </si>
  <si>
    <t>Amendment</t>
  </si>
  <si>
    <t>CFOAo</t>
  </si>
  <si>
    <t>Table_ROA_o</t>
  </si>
  <si>
    <t>Organic amendments scaling factor</t>
  </si>
  <si>
    <t>SFo</t>
  </si>
  <si>
    <t>Regime</t>
  </si>
  <si>
    <t>Regime 1</t>
  </si>
  <si>
    <t>Regime 2</t>
  </si>
  <si>
    <t>Non flooded pre-season &lt;180 days</t>
  </si>
  <si>
    <t>Table_WaterRegimeSubtypes_Upland</t>
  </si>
  <si>
    <t>Table_WaterRegimeSubtypes_Irrigated</t>
  </si>
  <si>
    <t>Table_WaterRegimeSubtypes_Rainfedanddeepwater</t>
  </si>
  <si>
    <t>Sub type</t>
  </si>
  <si>
    <t>Irrigated</t>
  </si>
  <si>
    <t>Single drainage period</t>
  </si>
  <si>
    <t>Rainfed and deep water</t>
  </si>
  <si>
    <t>Flooded pre-season &gt;30 days</t>
  </si>
  <si>
    <t>growing seasons</t>
  </si>
  <si>
    <t>Mix 1</t>
  </si>
  <si>
    <t>Mix 2</t>
  </si>
  <si>
    <t>EFrice,wpo</t>
  </si>
  <si>
    <t>Drought prone</t>
  </si>
  <si>
    <t>Table_EF_rice_w_p_o</t>
  </si>
  <si>
    <t>Emission factor for rice cultivation</t>
  </si>
  <si>
    <t>Cultivation period (days)</t>
  </si>
  <si>
    <r>
      <t>E</t>
    </r>
    <r>
      <rPr>
        <b/>
        <vertAlign val="subscript"/>
        <sz val="10"/>
        <color rgb="FF183C1B"/>
        <rFont val="Arial"/>
        <family val="1"/>
      </rPr>
      <t>rice,wpo</t>
    </r>
  </si>
  <si>
    <t>Area under cultivation (hectares)</t>
  </si>
  <si>
    <r>
      <t>A</t>
    </r>
    <r>
      <rPr>
        <b/>
        <vertAlign val="subscript"/>
        <sz val="10"/>
        <color rgb="FF533001"/>
        <rFont val="Arial"/>
        <family val="1"/>
      </rPr>
      <t>rice,wpo</t>
    </r>
  </si>
  <si>
    <t>Table_E_rice</t>
  </si>
  <si>
    <t>Methane emissions from rice cultivation</t>
  </si>
  <si>
    <t>7.1.1-2 Rice cultivation</t>
  </si>
  <si>
    <t>7: Rice Cultivation: Overview</t>
  </si>
  <si>
    <t>7: Rice Cultivation: Results</t>
  </si>
  <si>
    <r>
      <t>t</t>
    </r>
    <r>
      <rPr>
        <b/>
        <vertAlign val="subscript"/>
        <sz val="10"/>
        <color rgb="FF533001"/>
        <rFont val="Arial"/>
        <family val="1"/>
      </rPr>
      <t>rice,wpo</t>
    </r>
  </si>
  <si>
    <t>Straw added &lt; 30 days precultivation (t/ha)</t>
  </si>
  <si>
    <t>Straw added 30+ days pre cultivation (t/ha)</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</si>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</sst>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64"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i/>
      <sz val="9"/>
      <color theme="1" tint="0.34998626667073579"/>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u/>
      <sz val="10"/>
      <color theme="10"/>
      <name val="Arial"/>
      <family val="2"/>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b/>
      <sz val="10"/>
      <color theme="1"/>
      <name val="Arial"/>
      <family val="1"/>
    </font>
    <font>
      <b/>
      <sz val="12"/>
      <color theme="1"/>
      <name val="Arial"/>
      <family val="1"/>
    </font>
    <font>
      <sz val="10"/>
      <color rgb="FF242424"/>
      <name val="Consolas"/>
      <family val="3"/>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b/>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b/>
      <sz val="14"/>
      <color theme="1" tint="0.24994659260841701"/>
      <name val="Arial"/>
      <family val="1"/>
    </font>
    <font>
      <sz val="14"/>
      <color theme="1" tint="0.24994659260841701"/>
      <name val="Arial"/>
      <family val="1"/>
    </font>
    <font>
      <i/>
      <sz val="14"/>
      <color theme="1" tint="0.34998626667073579"/>
      <name val="Arial"/>
      <family val="1"/>
    </font>
    <font>
      <vertAlign val="subscript"/>
      <sz val="10"/>
      <color theme="1" tint="0.24994659260841701"/>
      <name val="Arial"/>
      <family val="1"/>
    </font>
    <font>
      <sz val="12"/>
      <color theme="1" tint="0.34998626667073579"/>
      <name val="Arial"/>
      <family val="1"/>
    </font>
    <font>
      <b/>
      <sz val="10"/>
      <color rgb="FFCC6600"/>
      <name val="Arial"/>
      <family val="1"/>
    </font>
    <font>
      <b/>
      <vertAlign val="subscript"/>
      <sz val="14"/>
      <color theme="1" tint="0.24994659260841701"/>
      <name val="Arial"/>
      <family val="1"/>
    </font>
    <font>
      <sz val="10"/>
      <color rgb="FFCC6600"/>
      <name val="Arial"/>
      <family val="1"/>
    </font>
    <font>
      <i/>
      <sz val="9"/>
      <color theme="6" tint="-0.499984740745262"/>
      <name val="Arial"/>
      <family val="1"/>
    </font>
    <font>
      <i/>
      <sz val="9"/>
      <color theme="5" tint="-0.499984740745262"/>
      <name val="Arial"/>
      <family val="1"/>
    </font>
    <font>
      <u/>
      <sz val="9"/>
      <color theme="1" tint="0.34998626667073579"/>
      <name val="Arial"/>
      <family val="1"/>
    </font>
    <font>
      <i/>
      <sz val="9"/>
      <color theme="1" tint="0.14999847407452621"/>
      <name val="Arial"/>
      <family val="1"/>
    </font>
    <font>
      <b/>
      <sz val="18"/>
      <color theme="3" tint="9.9978637043366805E-2"/>
      <name val="Arial"/>
      <family val="1"/>
    </font>
    <font>
      <b/>
      <vertAlign val="subscript"/>
      <sz val="10"/>
      <color rgb="FF183C1B"/>
      <name val="Arial"/>
      <family val="1"/>
    </font>
    <font>
      <b/>
      <vertAlign val="subscript"/>
      <sz val="10"/>
      <color rgb="FF533001"/>
      <name val="Arial"/>
      <family val="1"/>
    </font>
    <font>
      <sz val="9"/>
      <color rgb="FF404040"/>
      <name val="Arial"/>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2"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2"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1"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6" fillId="15" borderId="2">
      <alignment horizontal="center" vertical="center"/>
    </xf>
    <xf numFmtId="0" fontId="58" fillId="4" borderId="2">
      <alignment horizontal="left" vertical="center"/>
    </xf>
    <xf numFmtId="0" fontId="35" fillId="4" borderId="2">
      <alignment horizontal="left" vertical="center"/>
    </xf>
    <xf numFmtId="0" fontId="59" fillId="0" borderId="0"/>
  </cellStyleXfs>
  <cellXfs count="120">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2"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3"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2"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0" fillId="4" borderId="0" xfId="8" applyFont="1">
      <alignment horizontal="left" vertical="center"/>
    </xf>
    <xf numFmtId="0" fontId="6" fillId="4" borderId="0" xfId="56">
      <alignment horizontal="left" vertical="center"/>
    </xf>
    <xf numFmtId="0" fontId="41"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3" fillId="13" borderId="10" xfId="41" applyBorder="1">
      <alignment horizontal="left" vertical="center"/>
    </xf>
    <xf numFmtId="0" fontId="43" fillId="13" borderId="12" xfId="41" applyBorder="1">
      <alignment horizontal="left" vertical="center"/>
    </xf>
    <xf numFmtId="0" fontId="43" fillId="13" borderId="14" xfId="41" applyBorder="1">
      <alignment horizontal="left" vertical="center"/>
    </xf>
    <xf numFmtId="0" fontId="43" fillId="13" borderId="13" xfId="41" applyBorder="1">
      <alignment horizontal="left" vertical="center"/>
    </xf>
    <xf numFmtId="0" fontId="43" fillId="13" borderId="15" xfId="41" applyBorder="1">
      <alignment horizontal="left" vertical="center"/>
    </xf>
    <xf numFmtId="0" fontId="43" fillId="13" borderId="17" xfId="41" applyBorder="1">
      <alignment horizontal="left" vertical="center"/>
    </xf>
    <xf numFmtId="0" fontId="43" fillId="13" borderId="16" xfId="41" applyBorder="1">
      <alignment horizontal="left" vertical="center"/>
    </xf>
    <xf numFmtId="0" fontId="43" fillId="13" borderId="18" xfId="41" applyBorder="1">
      <alignment horizontal="left" vertical="center"/>
    </xf>
    <xf numFmtId="0" fontId="47" fillId="4" borderId="0" xfId="61">
      <alignment horizontal="left" vertical="center"/>
    </xf>
    <xf numFmtId="0" fontId="46" fillId="4" borderId="0" xfId="60">
      <alignment horizontal="left"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3"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5" fillId="11" borderId="0" xfId="63">
      <alignment horizontal="center" vertical="center"/>
    </xf>
    <xf numFmtId="0" fontId="39" fillId="4" borderId="0" xfId="8" applyAlignment="1">
      <alignment horizontal="center" vertical="center"/>
    </xf>
    <xf numFmtId="0" fontId="43" fillId="13" borderId="9" xfId="41" applyBorder="1">
      <alignment horizontal="left" vertical="center"/>
    </xf>
    <xf numFmtId="0" fontId="55"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13" fillId="6" borderId="0" xfId="30">
      <alignment horizontal="center" vertical="center"/>
      <protection locked="0"/>
    </xf>
    <xf numFmtId="0" fontId="56" fillId="15" borderId="2" xfId="66">
      <alignment horizontal="center" vertical="center"/>
    </xf>
    <xf numFmtId="0" fontId="57" fillId="14" borderId="2" xfId="65">
      <alignment horizontal="center" vertical="center"/>
    </xf>
    <xf numFmtId="0" fontId="39"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58" fillId="4" borderId="2" xfId="67">
      <alignment horizontal="left" vertical="center"/>
    </xf>
    <xf numFmtId="0" fontId="35" fillId="4" borderId="2" xfId="68">
      <alignment horizontal="left"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170" fontId="8" fillId="4" borderId="0" xfId="10" applyNumberFormat="1">
      <alignment horizontal="center" vertical="center"/>
    </xf>
    <xf numFmtId="0" fontId="60" fillId="9" borderId="0" xfId="33" applyFont="1" applyFill="1"/>
    <xf numFmtId="0" fontId="39" fillId="9" borderId="0" xfId="8" applyFill="1">
      <alignment horizontal="left" vertical="center"/>
    </xf>
    <xf numFmtId="0" fontId="0" fillId="9" borderId="0" xfId="0" applyFill="1"/>
    <xf numFmtId="0" fontId="17" fillId="11" borderId="0" xfId="32" applyFill="1">
      <alignment vertical="center"/>
    </xf>
    <xf numFmtId="0" fontId="44"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63" fillId="9" borderId="5" xfId="36" applyFont="1">
      <alignment horizontal="left" vertical="center" indent="1"/>
    </xf>
    <xf numFmtId="0" fontId="18" fillId="0" borderId="0" xfId="34"/>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67">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6"/>
      <tableStyleElement type="headerRow" dxfId="65"/>
      <tableStyleElement type="totalRow" dxfId="64"/>
      <tableStyleElement type="firstColumn" dxfId="63"/>
      <tableStyleElement type="firstRowStripe" dxfId="62"/>
      <tableStyleElement type="secondRowStripe" dxfId="61"/>
    </tableStyle>
    <tableStyle name="Equation table" pivot="0" count="6" xr9:uid="{B247698E-E41D-4CCD-AA0A-C14817E9DE65}">
      <tableStyleElement type="wholeTable" dxfId="60"/>
      <tableStyleElement type="headerRow" dxfId="59"/>
      <tableStyleElement type="totalRow" dxfId="58"/>
      <tableStyleElement type="firstColumn" dxfId="57"/>
      <tableStyleElement type="firstRowStripe" dxfId="56"/>
      <tableStyleElement type="secondRowStripe" dxfId="55"/>
    </tableStyle>
    <tableStyle name="Table Style 1" pivot="0" count="0" xr9:uid="{97B370DB-5463-4A31-9160-5A96BD6A559D}"/>
  </tableStyles>
  <colors>
    <mruColors>
      <color rgb="FF0C769E"/>
      <color rgb="FF008000"/>
      <color rgb="FFC44340"/>
      <color rgb="FFFFCCCC"/>
      <color rgb="FFCC660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7.1.1-2 Rice cultivation'!D5"/><Relationship Id="rId2" Type="http://schemas.openxmlformats.org/officeDocument/2006/relationships/hyperlink" Target="#'7.1.1-2 Rice cultivation'!D78"/><Relationship Id="rId1" Type="http://schemas.openxmlformats.org/officeDocument/2006/relationships/hyperlink" Target="#'7.1.1-2 Rice cultivation'!D5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7.1.1-2 Rice cultivation'!C1">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4871EB4-5DC2-4D10-A8B6-A0CA4AE96D38}" type="TxLink">
            <a:rPr lang="en-US" sz="1200" b="0" i="0" u="none" strike="noStrike">
              <a:solidFill>
                <a:srgbClr val="0C769E"/>
              </a:solidFill>
              <a:latin typeface="Arial"/>
              <a:cs typeface="Arial"/>
            </a:rPr>
            <a:pPr algn="ctr"/>
            <a:t>7.1.1-2 Rice cultivation CH4 emissions</a:t>
          </a:fld>
          <a:endParaRPr lang="en-AU" sz="1200" b="0">
            <a:solidFill>
              <a:srgbClr val="0C769E"/>
            </a:solidFill>
          </a:endParaRPr>
        </a:p>
      </xdr:txBody>
    </xdr:sp>
    <xdr:clientData/>
  </xdr:oneCellAnchor>
  <xdr:twoCellAnchor>
    <xdr:from>
      <xdr:col>3</xdr:col>
      <xdr:colOff>110835</xdr:colOff>
      <xdr:row>14</xdr:row>
      <xdr:rowOff>232930</xdr:rowOff>
    </xdr:from>
    <xdr:to>
      <xdr:col>5</xdr:col>
      <xdr:colOff>403635</xdr:colOff>
      <xdr:row>17</xdr:row>
      <xdr:rowOff>209980</xdr:rowOff>
    </xdr:to>
    <xdr:sp macro="" textlink="'7.1.1-2 Rice cultivation'!D51">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3833380"/>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27ECB6-7EB0-4FD1-96B7-4F3159D16F11}" type="TxLink">
            <a:rPr lang="en-US" sz="900" b="0" i="0" u="none" strike="noStrike">
              <a:solidFill>
                <a:srgbClr val="0C769E"/>
              </a:solidFill>
              <a:latin typeface="Arial"/>
              <a:cs typeface="Arial"/>
            </a:rPr>
            <a:pPr algn="ctr"/>
            <a:t>Emission factor for rice cultivation</a:t>
          </a:fld>
          <a:endParaRPr lang="en-AU" sz="900">
            <a:solidFill>
              <a:srgbClr val="0C769E"/>
            </a:solidFill>
          </a:endParaRPr>
        </a:p>
      </xdr:txBody>
    </xdr:sp>
    <xdr:clientData/>
  </xdr:twoCellAnchor>
  <xdr:twoCellAnchor>
    <xdr:from>
      <xdr:col>3</xdr:col>
      <xdr:colOff>110835</xdr:colOff>
      <xdr:row>20</xdr:row>
      <xdr:rowOff>45521</xdr:rowOff>
    </xdr:from>
    <xdr:to>
      <xdr:col>5</xdr:col>
      <xdr:colOff>403635</xdr:colOff>
      <xdr:row>23</xdr:row>
      <xdr:rowOff>38100</xdr:rowOff>
    </xdr:to>
    <xdr:sp macro="" textlink="'7.1.1-2 Rice cultivation'!D7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5131871"/>
          <a:ext cx="1512000" cy="735529"/>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50A416-30BE-4EDC-B99C-EA936883A985}" type="TxLink">
            <a:rPr lang="en-US" sz="900" b="1" i="0" u="none" strike="noStrike">
              <a:solidFill>
                <a:srgbClr val="0C769E"/>
              </a:solidFill>
              <a:latin typeface="Arial"/>
              <a:cs typeface="Arial"/>
            </a:rPr>
            <a:pPr algn="ctr"/>
            <a:t>Methane emissions from rice cultivation</a:t>
          </a:fld>
          <a:endParaRPr lang="en-AU" sz="900" b="1">
            <a:solidFill>
              <a:srgbClr val="0C769E"/>
            </a:solidFill>
          </a:endParaRPr>
        </a:p>
      </xdr:txBody>
    </xdr:sp>
    <xdr:clientData/>
  </xdr:twoCellAnchor>
  <xdr:twoCellAnchor>
    <xdr:from>
      <xdr:col>4</xdr:col>
      <xdr:colOff>250886</xdr:colOff>
      <xdr:row>17</xdr:row>
      <xdr:rowOff>216329</xdr:rowOff>
    </xdr:from>
    <xdr:to>
      <xdr:col>4</xdr:col>
      <xdr:colOff>263586</xdr:colOff>
      <xdr:row>20</xdr:row>
      <xdr:rowOff>51870</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3254115" y="4842625"/>
          <a:ext cx="578491"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120360</xdr:colOff>
      <xdr:row>10</xdr:row>
      <xdr:rowOff>13855</xdr:rowOff>
    </xdr:from>
    <xdr:to>
      <xdr:col>5</xdr:col>
      <xdr:colOff>413160</xdr:colOff>
      <xdr:row>12</xdr:row>
      <xdr:rowOff>238555</xdr:rowOff>
    </xdr:to>
    <xdr:sp macro="" textlink="'7.1.1-2 Rice cultivation'!D5">
      <xdr:nvSpPr>
        <xdr:cNvPr id="2" name="TextBox 1">
          <a:hlinkClick xmlns:r="http://schemas.openxmlformats.org/officeDocument/2006/relationships" r:id="rId3"/>
          <a:extLst>
            <a:ext uri="{FF2B5EF4-FFF2-40B4-BE49-F238E27FC236}">
              <a16:creationId xmlns:a16="http://schemas.microsoft.com/office/drawing/2014/main" id="{3DBA3A1F-E461-4DCE-97E4-39835C9DA940}"/>
            </a:ext>
          </a:extLst>
        </xdr:cNvPr>
        <xdr:cNvSpPr txBox="1"/>
      </xdr:nvSpPr>
      <xdr:spPr>
        <a:xfrm>
          <a:off x="2796885" y="26237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DABD53-0B14-4646-BF1E-ABDF085372F8}" type="TxLink">
            <a:rPr lang="en-US" sz="900" b="0" i="0" u="none" strike="noStrike">
              <a:solidFill>
                <a:srgbClr val="0C769E"/>
              </a:solidFill>
              <a:latin typeface="Arial"/>
              <a:cs typeface="Arial"/>
            </a:rPr>
            <a:pPr algn="ctr"/>
            <a:t>Organic amendments scaling factor</a:t>
          </a:fld>
          <a:endParaRPr lang="en-AU" sz="900">
            <a:solidFill>
              <a:srgbClr val="0C769E"/>
            </a:solidFill>
          </a:endParaRPr>
        </a:p>
      </xdr:txBody>
    </xdr:sp>
    <xdr:clientData/>
  </xdr:twoCellAnchor>
  <xdr:twoCellAnchor>
    <xdr:from>
      <xdr:col>4</xdr:col>
      <xdr:colOff>257236</xdr:colOff>
      <xdr:row>12</xdr:row>
      <xdr:rowOff>238555</xdr:rowOff>
    </xdr:from>
    <xdr:to>
      <xdr:col>4</xdr:col>
      <xdr:colOff>266761</xdr:colOff>
      <xdr:row>14</xdr:row>
      <xdr:rowOff>232930</xdr:rowOff>
    </xdr:to>
    <xdr:cxnSp macro="">
      <xdr:nvCxnSpPr>
        <xdr:cNvPr id="14" name="Connector: Curved 13">
          <a:extLst>
            <a:ext uri="{FF2B5EF4-FFF2-40B4-BE49-F238E27FC236}">
              <a16:creationId xmlns:a16="http://schemas.microsoft.com/office/drawing/2014/main" id="{FC0DCD89-96E0-0D85-232D-32E89CD0B078}"/>
            </a:ext>
          </a:extLst>
        </xdr:cNvPr>
        <xdr:cNvCxnSpPr>
          <a:stCxn id="2" idx="2"/>
          <a:endCxn id="5" idx="0"/>
        </xdr:cNvCxnSpPr>
      </xdr:nvCxnSpPr>
      <xdr:spPr>
        <a:xfrm rot="5400000">
          <a:off x="3303286" y="3583780"/>
          <a:ext cx="489675" cy="9525"/>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𝐸_𝐶𝐻4=∑8_𝑗▒∑8_𝑘▒∑8_𝑚▒∑8_𝑇▒(𝐷_𝑗𝑘×𝑀_𝑗𝑘𝑚𝑇×𝑁_𝑗𝑘 ) ×10^(−3)</a:t>
              </a:r>
              <a:endParaRPr lang="en-AU" sz="1000"/>
            </a:p>
          </xdr:txBody>
        </xdr:sp>
      </mc:Fallback>
    </mc:AlternateContent>
    <xdr:clientData/>
  </xdr:oneCellAnchor>
  <xdr:oneCellAnchor>
    <xdr:from>
      <xdr:col>7</xdr:col>
      <xdr:colOff>1657350</xdr:colOff>
      <xdr:row>11</xdr:row>
      <xdr:rowOff>4762</xdr:rowOff>
    </xdr:from>
    <xdr:ext cx="2984215" cy="4858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b="1" i="1">
                        <a:solidFill>
                          <a:srgbClr val="C00000"/>
                        </a:solidFill>
                        <a:latin typeface="Cambria Math" panose="02040503050406030204" pitchFamily="18" charset="0"/>
                      </a:rPr>
                      <m:t>𝑶𝑹𝑰𝑮𝑰𝑵𝑨𝑳</m:t>
                    </m:r>
                    <m:r>
                      <a:rPr lang="en-AU" sz="1000" b="1" i="1">
                        <a:solidFill>
                          <a:srgbClr val="C00000"/>
                        </a:solidFill>
                        <a:latin typeface="Cambria Math" panose="02040503050406030204" pitchFamily="18" charset="0"/>
                      </a:rPr>
                      <m:t>: </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𝑜</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r>
                                  <a:rPr lang="en-AU" sz="1000" i="1">
                                    <a:latin typeface="Cambria Math" panose="02040503050406030204" pitchFamily="18" charset="0"/>
                                  </a:rPr>
                                  <m:t>𝑅𝑂</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𝑜</m:t>
                                    </m:r>
                                  </m:sub>
                                </m:sSub>
                              </m:e>
                            </m:nary>
                            <m:r>
                              <a:rPr lang="en-AU" sz="1000" i="1">
                                <a:latin typeface="Cambria Math" panose="02040503050406030204" pitchFamily="18" charset="0"/>
                              </a:rPr>
                              <m:t>×</m:t>
                            </m:r>
                            <m:r>
                              <a:rPr lang="en-AU" sz="1000" i="1">
                                <a:latin typeface="Cambria Math" panose="02040503050406030204" pitchFamily="18" charset="0"/>
                              </a:rPr>
                              <m:t>𝐶𝐹𝑂</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𝑜</m:t>
                                </m:r>
                              </m:sub>
                            </m:sSub>
                          </m:e>
                        </m:d>
                      </m:e>
                      <m:sup>
                        <m:r>
                          <a:rPr lang="en-AU" sz="1000" i="1">
                            <a:latin typeface="Cambria Math" panose="02040503050406030204" pitchFamily="18" charset="0"/>
                          </a:rPr>
                          <m:t>0.59</m:t>
                        </m:r>
                      </m:sup>
                    </m:sSup>
                  </m:oMath>
                </m:oMathPara>
              </a14:m>
              <a:endParaRPr lang="en-AU" sz="10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12525375" y="2862262"/>
              <a:ext cx="2984215" cy="485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1" i="0">
                  <a:solidFill>
                    <a:srgbClr val="C00000"/>
                  </a:solidFill>
                  <a:latin typeface="Cambria Math" panose="02040503050406030204" pitchFamily="18" charset="0"/>
                </a:rPr>
                <a:t>𝑶𝑹𝑰𝑮𝑰𝑵𝑨𝑳: </a:t>
              </a:r>
              <a:r>
                <a:rPr lang="en-AU" sz="1000" i="0">
                  <a:latin typeface="Cambria Math" panose="02040503050406030204" pitchFamily="18" charset="0"/>
                </a:rPr>
                <a:t>𝑆𝐹_𝑜=(1+∑8_𝑜▒〖𝑅𝑂𝐴_𝑜 〗×𝐶𝐹𝑂𝐴_𝑜 )^0.59</a:t>
              </a:r>
              <a:endParaRPr lang="en-AU" sz="1000"/>
            </a:p>
          </xdr:txBody>
        </xdr:sp>
      </mc:Fallback>
    </mc:AlternateContent>
    <xdr:clientData/>
  </xdr:oneCellAnchor>
  <xdr:oneCellAnchor>
    <xdr:from>
      <xdr:col>2</xdr:col>
      <xdr:colOff>304800</xdr:colOff>
      <xdr:row>53</xdr:row>
      <xdr:rowOff>142875</xdr:rowOff>
    </xdr:from>
    <xdr:ext cx="2169055" cy="18229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𝑟𝑖𝑐𝑒</m:t>
                        </m:r>
                        <m:r>
                          <a:rPr lang="en-AU" sz="1000" i="1">
                            <a:latin typeface="Cambria Math" panose="02040503050406030204" pitchFamily="18" charset="0"/>
                          </a:rPr>
                          <m:t>,</m:t>
                        </m:r>
                        <m:r>
                          <a:rPr lang="en-AU" sz="1000" i="1">
                            <a:latin typeface="Cambria Math" panose="02040503050406030204" pitchFamily="18" charset="0"/>
                          </a:rPr>
                          <m:t>𝑤𝑝𝑜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𝑜</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BF0050C3-7063-2D24-EB4E-AC68CF08AC21}"/>
                </a:ext>
              </a:extLst>
            </xdr:cNvPr>
            <xdr:cNvSpPr txBox="1"/>
          </xdr:nvSpPr>
          <xdr:spPr>
            <a:xfrm>
              <a:off x="2667000" y="5972175"/>
              <a:ext cx="2169055" cy="1822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𝐸𝐹_(𝑟𝑖𝑐𝑒,𝑤𝑝𝑜)=𝐸𝐹_𝑐×𝑆𝐹_𝑤×𝑆𝐹_𝑝×𝑆𝐹_𝑜</a:t>
              </a:r>
              <a:endParaRPr lang="en-AU" sz="1000"/>
            </a:p>
          </xdr:txBody>
        </xdr:sp>
      </mc:Fallback>
    </mc:AlternateContent>
    <xdr:clientData/>
  </xdr:oneCellAnchor>
  <xdr:oneCellAnchor>
    <xdr:from>
      <xdr:col>2</xdr:col>
      <xdr:colOff>266700</xdr:colOff>
      <xdr:row>11</xdr:row>
      <xdr:rowOff>109537</xdr:rowOff>
    </xdr:from>
    <xdr:ext cx="9164111" cy="22692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𝑜</m:t>
                        </m:r>
                      </m:sub>
                    </m:sSub>
                    <m:r>
                      <a:rPr lang="en-AU" sz="1000" i="1">
                        <a:latin typeface="Cambria Math" panose="02040503050406030204" pitchFamily="18" charset="0"/>
                      </a:rPr>
                      <m:t>=(1+</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𝑅𝑂</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𝑜</m:t>
                                    </m:r>
                                  </m:sub>
                                </m:sSub>
                                <m:r>
                                  <a:rPr lang="en-AU" sz="1000" i="1">
                                    <a:latin typeface="Cambria Math" panose="02040503050406030204" pitchFamily="18" charset="0"/>
                                  </a:rPr>
                                  <m:t>1×</m:t>
                                </m:r>
                                <m:r>
                                  <a:rPr lang="en-AU" sz="1000" i="1">
                                    <a:latin typeface="Cambria Math" panose="02040503050406030204" pitchFamily="18" charset="0"/>
                                  </a:rPr>
                                  <m:t>𝐶𝐹𝑂</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𝑜</m:t>
                                    </m:r>
                                  </m:sub>
                                </m:sSub>
                                <m:r>
                                  <a:rPr lang="en-AU" sz="1000" i="1">
                                    <a:latin typeface="Cambria Math" panose="02040503050406030204" pitchFamily="18" charset="0"/>
                                  </a:rPr>
                                  <m:t>1</m:t>
                                </m:r>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𝑅𝑂</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𝑜</m:t>
                                    </m:r>
                                  </m:sub>
                                </m:sSub>
                                <m:r>
                                  <a:rPr lang="en-AU" sz="1000" i="1">
                                    <a:latin typeface="Cambria Math" panose="02040503050406030204" pitchFamily="18" charset="0"/>
                                  </a:rPr>
                                  <m:t>2×</m:t>
                                </m:r>
                                <m:r>
                                  <a:rPr lang="en-AU" sz="1000" i="1">
                                    <a:latin typeface="Cambria Math" panose="02040503050406030204" pitchFamily="18" charset="0"/>
                                  </a:rPr>
                                  <m:t>𝐶𝐹𝑂</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𝑜</m:t>
                                    </m:r>
                                  </m:sub>
                                </m:sSub>
                                <m:r>
                                  <a:rPr lang="en-AU" sz="1000" i="1">
                                    <a:latin typeface="Cambria Math" panose="02040503050406030204" pitchFamily="18" charset="0"/>
                                  </a:rPr>
                                  <m:t>2</m:t>
                                </m:r>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𝑅𝑂</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𝑜</m:t>
                                    </m:r>
                                  </m:sub>
                                </m:sSub>
                                <m:r>
                                  <a:rPr lang="en-AU" sz="1000" i="1">
                                    <a:latin typeface="Cambria Math" panose="02040503050406030204" pitchFamily="18" charset="0"/>
                                  </a:rPr>
                                  <m:t>3×</m:t>
                                </m:r>
                                <m:r>
                                  <a:rPr lang="en-AU" sz="1000" i="1">
                                    <a:latin typeface="Cambria Math" panose="02040503050406030204" pitchFamily="18" charset="0"/>
                                  </a:rPr>
                                  <m:t>𝐶𝐹𝑂</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𝑜</m:t>
                                    </m:r>
                                  </m:sub>
                                </m:sSub>
                                <m:r>
                                  <a:rPr lang="en-AU" sz="1000" i="1">
                                    <a:latin typeface="Cambria Math" panose="02040503050406030204" pitchFamily="18" charset="0"/>
                                  </a:rPr>
                                  <m:t>3</m:t>
                                </m:r>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𝑅𝑂</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𝑜</m:t>
                                    </m:r>
                                  </m:sub>
                                </m:sSub>
                                <m:r>
                                  <a:rPr lang="en-AU" sz="1000" i="1">
                                    <a:latin typeface="Cambria Math" panose="02040503050406030204" pitchFamily="18" charset="0"/>
                                  </a:rPr>
                                  <m:t>4×</m:t>
                                </m:r>
                                <m:r>
                                  <a:rPr lang="en-AU" sz="1000" i="1">
                                    <a:latin typeface="Cambria Math" panose="02040503050406030204" pitchFamily="18" charset="0"/>
                                  </a:rPr>
                                  <m:t>𝐶𝐹𝑂</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𝑜</m:t>
                                    </m:r>
                                  </m:sub>
                                </m:sSub>
                                <m:r>
                                  <a:rPr lang="en-AU" sz="1000" i="1">
                                    <a:latin typeface="Cambria Math" panose="02040503050406030204" pitchFamily="18" charset="0"/>
                                  </a:rPr>
                                  <m:t>4</m:t>
                                </m:r>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𝑅𝑂</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𝑜</m:t>
                                    </m:r>
                                  </m:sub>
                                </m:sSub>
                                <m:r>
                                  <a:rPr lang="en-AU" sz="1000" i="1">
                                    <a:latin typeface="Cambria Math" panose="02040503050406030204" pitchFamily="18" charset="0"/>
                                  </a:rPr>
                                  <m:t>5×</m:t>
                                </m:r>
                                <m:r>
                                  <a:rPr lang="en-AU" sz="1000" i="1">
                                    <a:latin typeface="Cambria Math" panose="02040503050406030204" pitchFamily="18" charset="0"/>
                                  </a:rPr>
                                  <m:t>𝐶𝐹𝑂</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𝑜</m:t>
                                    </m:r>
                                  </m:sub>
                                </m:sSub>
                                <m:r>
                                  <a:rPr lang="en-AU" sz="1000" i="1">
                                    <a:latin typeface="Cambria Math" panose="02040503050406030204" pitchFamily="18" charset="0"/>
                                  </a:rPr>
                                  <m:t>5</m:t>
                                </m:r>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𝑅𝑂</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𝑜</m:t>
                                    </m:r>
                                  </m:sub>
                                </m:sSub>
                                <m:r>
                                  <a:rPr lang="en-AU" sz="1000" i="1">
                                    <a:latin typeface="Cambria Math" panose="02040503050406030204" pitchFamily="18" charset="0"/>
                                  </a:rPr>
                                  <m:t>6×</m:t>
                                </m:r>
                                <m:r>
                                  <a:rPr lang="en-AU" sz="1000" i="1">
                                    <a:latin typeface="Cambria Math" panose="02040503050406030204" pitchFamily="18" charset="0"/>
                                  </a:rPr>
                                  <m:t>𝐶𝐹𝑂</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𝑜</m:t>
                                    </m:r>
                                  </m:sub>
                                </m:sSub>
                                <m:r>
                                  <a:rPr lang="en-AU" sz="1000" i="1">
                                    <a:latin typeface="Cambria Math" panose="02040503050406030204" pitchFamily="18" charset="0"/>
                                  </a:rPr>
                                  <m:t>6</m:t>
                                </m:r>
                              </m:e>
                            </m:d>
                          </m:e>
                        </m:d>
                      </m:e>
                      <m:sup>
                        <m:r>
                          <a:rPr lang="en-AU" sz="1000" i="1">
                            <a:latin typeface="Cambria Math" panose="02040503050406030204" pitchFamily="18" charset="0"/>
                          </a:rPr>
                          <m:t>0.59</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129321E7-12AD-4BF0-9514-1FDB3A42289B}"/>
                </a:ext>
              </a:extLst>
            </xdr:cNvPr>
            <xdr:cNvSpPr txBox="1"/>
          </xdr:nvSpPr>
          <xdr:spPr>
            <a:xfrm>
              <a:off x="2628900" y="2967037"/>
              <a:ext cx="9164111" cy="226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𝑆𝐹_𝑜=(1+((𝑅𝑂𝐴_𝑜 1×𝐶𝐹𝑂𝐴_𝑜 1)+(𝑅𝑂𝐴_𝑜 2×𝐶𝐹𝑂𝐴_𝑜 2)+(𝑅𝑂𝐴_𝑜 3×𝐶𝐹𝑂𝐴_𝑜 3)+(𝑅𝑂𝐴_𝑜 4×𝐶𝐹𝑂𝐴_𝑜 4)+(𝑅𝑂𝐴_𝑜 5×𝐶𝐹𝑂𝐴_𝑜 5)+(𝑅𝑂𝐴_𝑜 6×𝐶𝐹𝑂𝐴_𝑜 6))^0.59</a:t>
              </a:r>
              <a:endParaRPr lang="en-AU" sz="1000"/>
            </a:p>
          </xdr:txBody>
        </xdr:sp>
      </mc:Fallback>
    </mc:AlternateContent>
    <xdr:clientData/>
  </xdr:oneCellAnchor>
  <xdr:oneCellAnchor>
    <xdr:from>
      <xdr:col>3</xdr:col>
      <xdr:colOff>4762</xdr:colOff>
      <xdr:row>81</xdr:row>
      <xdr:rowOff>185737</xdr:rowOff>
    </xdr:from>
    <xdr:ext cx="3657411" cy="429348"/>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𝑟𝑖𝑐𝑒</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𝑟𝑖𝑐𝑒</m:t>
                                        </m:r>
                                        <m:r>
                                          <a:rPr lang="en-AU" sz="1000" i="1">
                                            <a:latin typeface="Cambria Math" panose="02040503050406030204" pitchFamily="18" charset="0"/>
                                          </a:rPr>
                                          <m:t>,</m:t>
                                        </m:r>
                                        <m:r>
                                          <a:rPr lang="en-AU" sz="1000" i="1">
                                            <a:latin typeface="Cambria Math" panose="02040503050406030204" pitchFamily="18" charset="0"/>
                                          </a:rPr>
                                          <m:t>𝑤𝑝𝑜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𝑟𝑖𝑐𝑒</m:t>
                                        </m:r>
                                        <m:r>
                                          <a:rPr lang="en-AU" sz="1000" i="1">
                                            <a:latin typeface="Cambria Math" panose="02040503050406030204" pitchFamily="18" charset="0"/>
                                          </a:rPr>
                                          <m:t>,</m:t>
                                        </m:r>
                                        <m:r>
                                          <a:rPr lang="en-AU" sz="1000" i="1">
                                            <a:latin typeface="Cambria Math" panose="02040503050406030204" pitchFamily="18" charset="0"/>
                                          </a:rPr>
                                          <m:t>𝑤𝑝𝑜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𝑡</m:t>
                                        </m:r>
                                      </m:e>
                                      <m:sub>
                                        <m:r>
                                          <a:rPr lang="en-AU" sz="1000" i="1">
                                            <a:latin typeface="Cambria Math" panose="02040503050406030204" pitchFamily="18" charset="0"/>
                                          </a:rPr>
                                          <m:t>𝑟𝑖𝑐𝑒</m:t>
                                        </m:r>
                                        <m:r>
                                          <a:rPr lang="en-AU" sz="1000" i="1">
                                            <a:latin typeface="Cambria Math" panose="02040503050406030204" pitchFamily="18" charset="0"/>
                                          </a:rPr>
                                          <m:t>,</m:t>
                                        </m:r>
                                        <m:r>
                                          <a:rPr lang="en-AU" sz="1000" i="1">
                                            <a:latin typeface="Cambria Math" panose="02040503050406030204" pitchFamily="18" charset="0"/>
                                          </a:rPr>
                                          <m:t>𝑤𝑝𝑜</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F27CAA44-70D4-676C-DA78-0F071CCB84CE}"/>
                </a:ext>
              </a:extLst>
            </xdr:cNvPr>
            <xdr:cNvSpPr txBox="1"/>
          </xdr:nvSpPr>
          <xdr:spPr>
            <a:xfrm>
              <a:off x="2681287" y="20378737"/>
              <a:ext cx="3657411"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𝐸_𝑟𝑖𝑐𝑒=∑8_𝑤▒∑8_𝑝▒∑8_𝑜▒(𝐴_(𝑟𝑖𝑐𝑒,𝑤𝑝𝑜)×𝐸𝐹_(𝑟𝑖𝑐𝑒,𝑤𝑝𝑜)×𝑡_(𝑟𝑖𝑐𝑒,𝑤𝑝𝑜) ) ×10^(−3)</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806D6F-E104-4CB8-B5F5-5EEEA3F43EFC}" name="Table_Input_AmendmentBlends" displayName="Table_Input_AmendmentBlends" ref="D14:J16" totalsRowShown="0" headerRowCellStyle="Input table column header">
  <autoFilter ref="D14:J16" xr:uid="{7E806D6F-E104-4CB8-B5F5-5EEEA3F43EF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E260FFD-8165-44FA-8171-CF7DA9E6EDC2}" name="Amendment mix name"/>
    <tableColumn id="2" xr3:uid="{1656D970-5568-46C3-8CF9-6544B58E60EE}" name="Straw added &lt; 30 days precultivation (t/ha)"/>
    <tableColumn id="8" xr3:uid="{6AB8226E-B5ED-4236-BF1D-312497BC4C8F}" name="Straw added 30+ days pre cultivation (t/ha)" dataDxfId="17" dataCellStyle="Content normal"/>
    <tableColumn id="3" xr3:uid="{7414D722-C23C-43BF-8BE4-9A787F770773}" name="Compost (t/ha)"/>
    <tableColumn id="4" xr3:uid="{10821F0A-FFAB-47C5-A2D8-0C77A91D1E11}" name="Farm yard manure (t/ha)"/>
    <tableColumn id="5" xr3:uid="{7554AF1F-8437-4EC1-A35B-D5ADAFFC9535}" name="Green manure (t/ha)"/>
    <tableColumn id="6" xr3:uid="{E60C975D-5DD8-4650-852E-B1AD3218E96D}" name="Inorganic fertiliser (t/ha)"/>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DABCF01-31A9-4CAB-B7D7-F8C72457E51D}" name="Table_Input_Regimes" displayName="Table_Input_Regimes" ref="D21:J23" totalsRowShown="0" headerRowCellStyle="Input table column header">
  <autoFilter ref="D21:J23" xr:uid="{5DABCF01-31A9-4CAB-B7D7-F8C72457E51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CF21226-E2F8-4356-887C-701D50A69505}" name="Regime name"/>
    <tableColumn id="7" xr3:uid="{03F35653-B2DB-4AB6-99EC-0912FB20CD21}" name="Area under cultivation (hectares)" dataDxfId="16" dataCellStyle="Content normal"/>
    <tableColumn id="2" xr3:uid="{EA5A5A10-60BF-4C8A-8D3B-469871BE7F8E}" name="Pre-cultivation water regime (select)" dataCellStyle="Input select"/>
    <tableColumn id="3" xr3:uid="{85A41168-485F-4954-954D-E24F2E46EB1B}" name="Water regime (select)" dataCellStyle="Input select"/>
    <tableColumn id="4" xr3:uid="{EF7FE10B-862C-4478-9622-5C7E7DA42BCC}" name="Water regime sub-type (select)" dataCellStyle="Input select"/>
    <tableColumn id="5" xr3:uid="{274EF3FE-F32E-4E3B-8AF6-63DC5F6AA273}" name="Amendment blend (select)" dataCellStyle="Input select"/>
    <tableColumn id="6" xr3:uid="{89D8F559-BDF1-41B3-A394-B22145C5F5D8}" name="Cultivation period (days)"/>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FC6817-1E48-495D-8941-14BD1D94D951}" name="Table_SourceData_WaterScalingFactorGrowingSeason" displayName="Table_SourceData_WaterScalingFactorGrowingSeason" ref="D9:F17" totalsRowShown="0">
  <autoFilter ref="D9:F17" xr:uid="{71FC6817-1E48-495D-8941-14BD1D94D951}">
    <filterColumn colId="0" hiddenButton="1"/>
    <filterColumn colId="1" hiddenButton="1"/>
    <filterColumn colId="2" hiddenButton="1"/>
  </autoFilter>
  <tableColumns count="3">
    <tableColumn id="1" xr3:uid="{3A2980B6-3A2D-485C-8340-4AB52CBFBB99}" name="Water regime type">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2" xr3:uid="{49BAF191-8DE2-478B-90F3-B9943FCEA9BA}" name="Water regime sub-type" dataDxfId="15"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 id="3" xr3:uid="{5202109C-BFD9-4463-9F2B-0B19C4500C07}" name="SFw" dataDxfId="14" dataCellStyle="Content normal">
      <calculatedColumnFormula array="1">Common_InputFunctions.Utility_DisplayArrayInTable(RiceCultivation_SourceData.SourceData_RiceCultivation_WaterScalingFactorGrowingSeason_Data(),Table_SourceData_WaterScalingFactorGrowingSeason[[#Headers],[Water regime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6AC87F4-A026-4E1C-B966-F5A8995E0DB0}" name="Table_SourceData_WaterScalingFactorPreSeason" displayName="Table_SourceData_WaterScalingFactorPreSeason" ref="D24:E28" totalsRowShown="0">
  <autoFilter ref="D24:E28" xr:uid="{E6AC87F4-A026-4E1C-B966-F5A8995E0DB0}">
    <filterColumn colId="0" hiddenButton="1"/>
    <filterColumn colId="1" hiddenButton="1"/>
  </autoFilter>
  <tableColumns count="2">
    <tableColumn id="1" xr3:uid="{FF0717D8-C262-491B-A316-62679EA1B7D7}" name="Water regime prior to cultivation">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 id="2" xr3:uid="{3527B004-E130-4F0F-B6D1-0D475D57A7A4}" name="SFp" dataDxfId="13" dataCellStyle="Content normal">
      <calculatedColumnFormula array="1">Common_InputFunctions.Utility_DisplayArrayInTable(RiceCultivation_SourceData.SourceData_RiceCultivation_WaterScalingFactorPreSeason_Data(),Table_SourceData_WaterScalingFactorPreSeason[[#Headers],[Water regime prior to cultivation]],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3953C9E-D36F-4A10-AE29-BD9411E126EF}" name="Table15" displayName="Table15" ref="D38:E44" totalsRowShown="0">
  <autoFilter ref="D38:E44" xr:uid="{E3953C9E-D36F-4A10-AE29-BD9411E126EF}">
    <filterColumn colId="0" hiddenButton="1"/>
    <filterColumn colId="1" hiddenButton="1"/>
  </autoFilter>
  <tableColumns count="2">
    <tableColumn id="1" xr3:uid="{4FCCD68A-6FAE-4D17-88E1-28AE833F5E5E}" name="Organic amendment i">
      <calculatedColumnFormula array="1">Common_InputFunctions.Utility_DisplayArrayInTable(RiceCultivation_SourceData.SourceData_RiceCultivation_OrganicAmendmentConversionFactor_Data(),Table15[[#Headers],[Organic amendment i]],0)</calculatedColumnFormula>
    </tableColumn>
    <tableColumn id="2" xr3:uid="{1F56CED6-01B8-4B36-AC56-E8A59F878F68}" name="CFOAi" dataDxfId="12" dataCellStyle="Content normal">
      <calculatedColumnFormula array="1">Common_InputFunctions.Utility_DisplayArrayInTable(RiceCultivation_SourceData.SourceData_RiceCultivation_OrganicAmendmentConversionFactor_Data(),Table15[[#Headers],[Organic amendment i]],0)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2C34D22-0A63-44F3-AA0E-B9AD9AB5BF0D}" name="Table_WaterRegimeSubtypes_Upland" displayName="Table_WaterRegimeSubtypes_Upland" ref="H9:H11" totalsRowShown="0">
  <autoFilter ref="H9:H11" xr:uid="{B2C34D22-0A63-44F3-AA0E-B9AD9AB5BF0D}">
    <filterColumn colId="0" hiddenButton="1"/>
  </autoFilter>
  <tableColumns count="1">
    <tableColumn id="1" xr3:uid="{856A0627-2135-42FE-B5CE-B93D28BF0A31}" name="Sub type">
      <calculatedColumnFormula>E10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C4488E6-1A9C-478C-9231-681FC385E6E8}" name="Table_WaterRegimeSubtypes_Irrigated" displayName="Table_WaterRegimeSubtypes_Irrigated" ref="J9:J12" totalsRowShown="0">
  <autoFilter ref="J9:J12" xr:uid="{BC4488E6-1A9C-478C-9231-681FC385E6E8}">
    <filterColumn colId="0" hiddenButton="1"/>
  </autoFilter>
  <tableColumns count="1">
    <tableColumn id="1" xr3:uid="{D5119A7A-A2C1-4BBA-AE2B-F7EA88BA8F9C}" name="Sub type">
      <calculatedColumnFormula>E12</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7567355-74D7-4D18-ADB1-14B3EF8AD956}" name="Table_WaterRegimeSubtypes_Rainfedanddeepwater" displayName="Table_WaterRegimeSubtypes_Rainfedanddeepwater" ref="L9:L12" totalsRowShown="0">
  <autoFilter ref="L9:L12" xr:uid="{A7567355-74D7-4D18-ADB1-14B3EF8AD956}">
    <filterColumn colId="0" hiddenButton="1"/>
  </autoFilter>
  <tableColumns count="1">
    <tableColumn id="1" xr3:uid="{AFFA96F5-D792-48FB-8291-9CBAFFAE199A}" name="Sub type">
      <calculatedColumnFormula>E15</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FCB453-FEE1-482A-BFAC-D3E9E454A3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828FFBA-79DA-4AA9-9BA3-4F6C7B27E6AE}" name="State/Territory">
      <calculatedColumnFormula array="1">Common_InputFunctions.Utility_DisplayArrayInTable(Common_SourceData.Common_SourceData_AustralianStatesTerritories_Data(),Table_AustralianStates[[#Headers],[State/Territory]],0)</calculatedColumnFormula>
    </tableColumn>
    <tableColumn id="2" xr3:uid="{6EAC1EE6-D45B-431A-9AA9-98252796654F}" name="Common Name">
      <calculatedColumnFormula array="1">Common_InputFunctions.Utility_DisplayArrayInTable(Common_SourceData.Common_SourceData_AustralianStatesTerritories_Data(),Table_AustralianStates[[#Headers],[State/Territory]],0)</calculatedColumnFormula>
    </tableColumn>
    <tableColumn id="3" xr3:uid="{8F9D19D2-9EFB-4E3B-AA2C-EF0483EDBE5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1DC5F7-5DC3-4870-9742-7899655413DF}" name="Table_WASA4Areas" displayName="Table_WASA4Areas" ref="D20:D30" totalsRowShown="0">
  <autoFilter ref="D20:D30" xr:uid="{5FA81339-C6C8-4D36-BEEA-6C4AEDD9E676}">
    <filterColumn colId="0" hiddenButton="1"/>
  </autoFilter>
  <tableColumns count="1">
    <tableColumn id="1" xr3:uid="{47CA6C72-4D3E-453D-A782-DDDFD7F0C15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14E28CC-45AA-40ED-BAAF-145FFC003BDE}" name="Table_GWPData" displayName="Table_GWPData" ref="D36:E43" totalsRowShown="0">
  <autoFilter ref="D36:E43" xr:uid="{B8E87A66-3E41-4AD3-925D-01EE21B43D7A}">
    <filterColumn colId="0" hiddenButton="1"/>
    <filterColumn colId="1" hiddenButton="1"/>
  </autoFilter>
  <tableColumns count="2">
    <tableColumn id="1" xr3:uid="{DFDA9E02-5032-42CA-BE00-20906FDCEA2D}" name="Gas">
      <calculatedColumnFormula array="1">Common_InputFunctions.Utility_DisplayArrayInTable(Common_SourceData.Common_SourceData_GWP_Data(), Table_GWPData[[#Headers],[Gas]], 0)</calculatedColumnFormula>
    </tableColumn>
    <tableColumn id="2" xr3:uid="{AD37BC6F-A9D1-41DA-8CAD-71D344854274}"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B0152A7-D54E-4719-A24D-0BB70A8B2A3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36522F2-F07F-4A08-A039-7DC2365E23A4}" name="Gas">
      <calculatedColumnFormula array="1">Common_InputFunctions.Utility_DisplayArrayInTable(Common_SourceData.Common_SourceData_ConvertGasElementalToMolecular_Data(),Table_GasToMolecularConversionFactor[[#Headers],[Gas]], 0)</calculatedColumnFormula>
    </tableColumn>
    <tableColumn id="5" xr3:uid="{28EE11EF-7F4A-48EF-8FAB-96835A2C4E2A}" name="Conversion factor">
      <calculatedColumnFormula array="1">Common_InputFunctions.Utility_DisplayArrayInTable(Common_SourceData.Common_SourceData_ConvertGasElementalToMolecular_Data(),Table_GasToMolecularConversionFactor[[#Headers],[Gas]], 0)</calculatedColumnFormula>
    </tableColumn>
    <tableColumn id="2" xr3:uid="{640674E2-BD17-4618-911C-FFD3B88B4EE3}"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4566824-CB9F-4500-B2DA-B55F300EE3A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213C8433-1315-47C5-AE77-82CEF6732F2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754E2B-817D-42D8-8435-E3D33FAE56F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EA74A3E-5061-47A6-8030-EA9216D75D9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B6F04A8-621B-4051-A35D-2A2C8653074B}" name="MA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3" xr3:uid="{8636EC23-22B8-4BD0-8DD2-E1DE69C015A6}" name="MA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4" xr3:uid="{1560BDC1-05AF-4BC0-9BE0-29EBB27EF171}" name="Frost days per year"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5" xr3:uid="{E5BECF75-F7E9-4C48-A0DA-6DD96FF93513}" name="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6" xr3:uid="{A85827CC-F0DD-4E58-A715-47629180F9F8}" name="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7" xr3:uid="{D2FCA055-FEEA-4412-8363-1A9328DA27B8}" name="Min temp"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8" xr3:uid="{ECAE64EA-FABE-4DF7-80F6-9ED55A298129}" name="Max temp"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9" xr3:uid="{1E5C9E90-CAAE-4528-BCF3-C3612CBEF639}" name="Min rainfall"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0" xr3:uid="{DEDB3BEA-7235-4372-ADB8-C010C609A0EE}" name="Max rainfall"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1" xr3:uid="{2A9B2BDB-8DD5-4965-8A9E-7CC374E90506}" name="Min frost days"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5" xr3:uid="{B24D432C-8930-4CDD-B039-383120ADF036}" name="Max frost days"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2" xr3:uid="{5DBD679E-FD12-4E8A-9BB3-F080320895CD}" name="Min elevation"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6" xr3:uid="{DDD35B50-B1E6-4E73-952E-251F61DF59C2}" name="Max elevation"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13" xr3:uid="{D568682A-DB8C-4864-AEDE-60983BBD52AE}" name="Min MAP:PE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17" xr3:uid="{5A9339C1-8665-4C20-947A-83DCCBE5675A}" name="Max MAP:PET" totalsRowDxfId="4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AC9E643-8F59-4214-A48E-5B02DB4441B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8C2C197D-3221-4569-981F-0E627D20F9D2}"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25238C-0675-4265-8072-B3C358591C2F}" name="Wet or Dry Zone" totalsRowDxfId="3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FF1D251-FBBC-4EC6-A09C-D3A85501871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B51E5E40-ABC0-44B2-99E8-5FB2AB59883D}" name="Temperature Zone">
      <calculatedColumnFormula array="1">Common_InputFunctions.Utility_DisplayArrayInTable(Common_SourceData.Common_SourceData_TemperatureZones_Data(),Table_SourceData_TemperatureZones[[#Headers],[Temperature Zone]],0)</calculatedColumnFormula>
    </tableColumn>
    <tableColumn id="2" xr3:uid="{B6343D17-E2F9-4B74-A776-B2C9CDA05D43}" name="MAT">
      <calculatedColumnFormula array="1">Common_InputFunctions.Utility_DisplayArrayInTable(Common_SourceData.Common_SourceData_TemperatureZones_Data(),Table_SourceData_TemperatureZones[[#Headers],[Temperature Zone]],0)</calculatedColumnFormula>
    </tableColumn>
    <tableColumn id="3" xr3:uid="{4BB2DB7E-EC16-4FF5-A961-5BFE0527D3AD}" name="Min MAT">
      <calculatedColumnFormula array="1">Common_InputFunctions.Utility_DisplayArrayInTable(Common_SourceData.Common_SourceData_TemperatureZones_Data(),Table_SourceData_TemperatureZones[[#Headers],[Temperature Zone]],0)</calculatedColumnFormula>
    </tableColumn>
    <tableColumn id="4" xr3:uid="{DEE39425-81BF-46C2-807D-97869D98429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A424095-7457-4068-BE9F-BD21AC5A05C2}"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52D77C7-C92C-4C12-9E51-BB1505707127}" name="Rainfall Zone">
      <calculatedColumnFormula array="1">Common_InputFunctions.Utility_DisplayArrayInTable(Common_SourceData.Common_SourceData_RainfallZones_Data(),Table_SourceData_RainfallZones[[#Headers],[Rainfall Zone]],0)</calculatedColumnFormula>
    </tableColumn>
    <tableColumn id="2" xr3:uid="{D650BDAF-7CF3-4515-88CB-4937F33A9122}" name="Annual rainfall">
      <calculatedColumnFormula array="1">Common_InputFunctions.Utility_DisplayArrayInTable(Common_SourceData.Common_SourceData_RainfallZones_Data(),Table_SourceData_RainfallZones[[#Headers],[Rainfall Zone]],0)</calculatedColumnFormula>
    </tableColumn>
    <tableColumn id="3" xr3:uid="{9620A713-3B6E-40E6-95FB-4A59D93CB8FF}" name="Min rainfall">
      <calculatedColumnFormula array="1">Common_InputFunctions.Utility_DisplayArrayInTable(Common_SourceData.Common_SourceData_RainfallZones_Data(),Table_SourceData_RainfallZones[[#Headers],[Rainfall Zone]],0)</calculatedColumnFormula>
    </tableColumn>
    <tableColumn id="4" xr3:uid="{093DFCFA-8B39-4B33-9CE4-0E6A290931CC}"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3E235FE-1F6D-42F4-B5D8-69E9C258DF3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AC4DB7-3868-405C-A4EE-244DAA8CA4CA}" name="Leaching Zone">
      <calculatedColumnFormula array="1">Common_InputFunctions.Utility_DisplayArrayInTable(Common_SourceData.Common_SourceData_LeachingZones_Data(), Table_SourceData_LeachingZones[[#Headers],[Leaching Zone]], 0)</calculatedColumnFormula>
    </tableColumn>
    <tableColumn id="2" xr3:uid="{CAFC82A1-44DE-4BC0-A35B-FDCF13AD8BA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6F2AB68-0487-4E15-ABDE-F9AFC04D125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33AC771-C520-48F3-9C25-6F07EAEA6C28}" name="Data source">
      <calculatedColumnFormula array="1">Common_InputFunctions.Utility_DisplayArrayInTable(Common_SourceData.Common_SourceData_DataScores_Scope3_Data(), Table_SourceData_DataScores_Scope3[[#Headers],[Data source]], 0)</calculatedColumnFormula>
    </tableColumn>
    <tableColumn id="2" xr3:uid="{750DFA8A-319D-4C61-BD10-ABAF1207152B}"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B952FFA-D3F3-49D8-ACD7-DFCD487041D7}" name="Table_SourceData_FracWET" displayName="Table_SourceData_FracWET" ref="D134:E136" totalsRowShown="0">
  <autoFilter ref="D134:E136" xr:uid="{308E99BE-FE1F-47A4-B2CA-97217277C4E9}">
    <filterColumn colId="0" hiddenButton="1"/>
    <filterColumn colId="1" hiddenButton="1"/>
  </autoFilter>
  <tableColumns count="2">
    <tableColumn id="1" xr3:uid="{46856F61-E4F9-41D9-B151-9E5505BC5F86}" name="Is in leaching zone">
      <calculatedColumnFormula array="1">Common_InputFunctions.Utility_DisplayArrayInTable(Common_SourceData.Common_SourceData_FracWET_Data(),Table_SourceData_FracWET[[#Headers],[Is in leaching zone]],0)</calculatedColumnFormula>
    </tableColumn>
    <tableColumn id="2" xr3:uid="{2D9EB9A7-3185-4F34-B809-D56279CC4BB1}" name="FracWET" dataDxfId="3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CFF8B4F-9548-454A-99E7-C31847718C9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242A36E-68A9-4DF1-A161-012FA5412FE3}" name="Production system j">
      <calculatedColumnFormula array="1">Common_InputFunctions.Utility_DisplayArrayInTable(Common_SourceData.Common_SourceData_EFN2O_Data(), Table_SourceData_Common_EFN2O[[#Headers],[Production system j]], 0)</calculatedColumnFormula>
    </tableColumn>
    <tableColumn id="2" xr3:uid="{4EF579F0-7821-414A-8272-0A0B78B919E9}" name="EFN2O">
      <calculatedColumnFormula array="1">Common_InputFunctions.Utility_DisplayArrayInTable(Common_SourceData.Common_SourceData_EFN2O_Data(), Table_SourceData_Common_EFN2O[[#Headers],[Production system j]], 0)</calculatedColumnFormula>
    </tableColumn>
    <tableColumn id="3" xr3:uid="{7743F284-7A28-49A8-9A54-B01C3CE6ED83}" name="Production system only">
      <calculatedColumnFormula array="1">Common_InputFunctions.Utility_DisplayArrayInTable(Common_SourceData.Common_SourceData_EFN2O_Data(), Table_SourceData_Common_EFN2O[[#Headers],[Production system j]], 0)</calculatedColumnFormula>
    </tableColumn>
    <tableColumn id="4" xr3:uid="{95FBFB9E-5B69-4381-9670-3C09ADFDD885}" name="Irrigation method">
      <calculatedColumnFormula array="1">Common_InputFunctions.Utility_DisplayArrayInTable(Common_SourceData.Common_SourceData_EFN2O_Data(), Table_SourceData_Common_EFN2O[[#Headers],[Production system j]], 0)</calculatedColumnFormula>
    </tableColumn>
    <tableColumn id="5" xr3:uid="{828328D9-66FC-4870-9A7B-61890070F3A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A6D4B88-3919-45F7-BC73-82A69809409A}"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0A47335-A8FB-46FC-B7E9-AC6AA878DCC8}" name="Irrigation type i">
      <calculatedColumnFormula array="1">Common_InputFunctions.Utility_DisplayArrayInTable(Common_SourceData.Common_SourceData_FracWETIrrigation_Data(), Table_SourceData_FracWETIrrigation[[#Headers],[Irrigation type i]], 0)</calculatedColumnFormula>
    </tableColumn>
    <tableColumn id="2" xr3:uid="{88B7F4E8-95FC-456E-A01A-58EB69F2393C}" name="FracWET" dataDxfId="3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DD9BE02-43C9-4AFB-A524-F20FA42B42B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8AE55F0-3864-4838-B1AA-9922EB348C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6D3852E-548B-4F6F-9ED5-DCC5BC4382E1}" name="EFPRP" dataDxfId="3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69A80D2-C93C-4008-A7DB-B02DF04CBAA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A5FBEFC-8533-434E-9B31-D5E0D48337B5}" name="Month">
      <calculatedColumnFormula array="1">Common_InputFunctions.Utility_DisplayArrayInTable(Common_SourceData.Common_SourceData_MonthsToSeasons_Data(), Table_SourceData_Common_MonthToSeason[[#Headers],[Month]], 0)</calculatedColumnFormula>
    </tableColumn>
    <tableColumn id="2" xr3:uid="{1E5F297D-5900-4961-8155-AA98427EA154}" name="Season" dataDxfId="3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7F253F1-DBB2-4944-9FAC-DBD7E4C39CE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880DFA9-4770-4EA9-B95D-E892950F19A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5B3D070-513E-45C3-A27A-03FFEF32C03D}" name="MAT (ºC)"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7674B00-1F76-415E-8C0E-233FA6FC6CAD}" name="Anaerobic lagoon"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2E3287B-0B90-4ED3-94ED-8AAC8852C649}" name="Digester / covered lagoons"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28CD235-7AEA-4DF0-AF2D-D8A180980EA8}" name="Liquid systems"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965CB696-E6D7-4F8F-A63F-AF7CEC48F8F4}" name="Daily spread"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58F82A9-1A1A-4006-A799-CDD9E6F10152}" name="Composting (passive windro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341CA8CB-EF6E-40E4-8EEB-68D900FABA06}" name="Solid storage"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AF1A9A7-D66C-48E5-AC96-AB98D42B2E6B}" name="Pit storage"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7FFA168-6E48-4561-A5BE-04B97B001D68}" name="Deep litter"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9D98416-34D7-492D-8D63-54389787A755}" name="Poultry manure with bedding"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FA25358C-E587-468E-ACBF-87553788571E}" name="Poultry manure without bedding"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46D367C-D840-4832-82EF-F3251D2E1C1A}" name="Direct processing"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21420DC8-6446-472C-B952-507B5803D943}" name="Direct application"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E38AA7F-EDE4-443E-A9BC-B0E080B747BF}" name="Pasture range and paddock"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304A499-8C10-4B7E-94F8-36ABB47BD9B3}" name="MAT raw"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05CC4DB-41D6-4944-B2C3-53A555F260A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5AA98287-2305-4B17-96A7-D8B36F33360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0AB3D80A-FEB2-412B-9382-BF38487C1DA8}" name="EFNi &amp; EFN2Oi" dataDxfId="1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77DA04E-4263-4CF9-AF43-D01A828FDEC1}"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4C2125AA-4EC3-429D-9736-197FDE57E38B}" name="Description" dataDxfId="18" dataCellStyle="Content normal"/>
    <tableColumn id="1" xr3:uid="{ED0F5991-497C-49C7-BCB7-48A3D5DC69C6}" name="ID"/>
    <tableColumn id="3" xr3:uid="{5C87EF9E-A04E-4278-835D-E7C29D72AD3E}"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E8B37ADA-C4EF-4FF9-87DE-942AEACBFE0A}"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C212FDDB-0F55-4869-B355-2CC4627668C9}" name="Description"/>
    <tableColumn id="2" xr3:uid="{D92B8EE5-E794-4B12-A8B9-7F1C93C9B385}" name="ID"/>
    <tableColumn id="3" xr3:uid="{19F95C82-EB1A-451B-BD80-B20C6BD96813}"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5E5F237D-EDF9-4999-B9F9-855807C18212}"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814712BB-ABD6-475A-92F9-3859CB764427}" name="Description"/>
    <tableColumn id="2" xr3:uid="{7FC1AD1F-445C-4731-98A4-B1D7A5DB9A58}" name="ID"/>
    <tableColumn id="3" xr3:uid="{406F1562-A584-4BF8-9957-56728115C343}" name="Score"/>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F36868B-CB6F-4BBD-8063-ADBF89DFCAEB}"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E8BFAA01-CB9B-44EE-8A22-7FF621A416CA}" name="Description"/>
    <tableColumn id="2" xr3:uid="{37AC1E15-4AA6-4E2E-9CA8-EB0F44C96997}" name="ID"/>
    <tableColumn id="3" xr3:uid="{7893BEAC-52E2-4850-9FC4-9DE634FE3209}"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3.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21" Type="http://schemas.openxmlformats.org/officeDocument/2006/relationships/table" Target="../tables/table28.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20" Type="http://schemas.openxmlformats.org/officeDocument/2006/relationships/table" Target="../tables/table27.xml"/><Relationship Id="rId1" Type="http://schemas.openxmlformats.org/officeDocument/2006/relationships/printerSettings" Target="../printerSettings/printerSettings4.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19" Type="http://schemas.openxmlformats.org/officeDocument/2006/relationships/table" Target="../tables/table26.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 Id="rId22"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19" sqref="A19"/>
    </sheetView>
  </sheetViews>
  <sheetFormatPr defaultRowHeight="20" x14ac:dyDescent="0.25" customHeight="1"/>
  <sheetData>
    <row r="1" spans="1:1" x14ac:dyDescent="0.25" ht="30" customHeight="1">
      <c r="A1" t="s">
        <v>170</v>
      </c>
    </row>
    <row r="3" spans="1:1" x14ac:dyDescent="0.25" ht="20" customHeight="1">
      <c r="A3" s="119" t="str">
        <f>HYPERLINK("#'Home'!A1", "Home")</f>
        <v>Home</v>
      </c>
    </row>
    <row r="6" spans="1:1" x14ac:dyDescent="0.25" ht="20" customHeight="1">
      <c r="A6" s="118" t="s">
        <v>1</v>
      </c>
    </row>
    <row r="7" spans="1:1" ht="20" x14ac:dyDescent="0.25" customHeight="1">
      <c r="A7" s="17" t="str">
        <f>HYPERLINK("#'Constants - Common'!A1", "Constants - Common")</f>
        <v>Constants - Common</v>
      </c>
    </row>
    <row r="8" spans="1:1" ht="20" x14ac:dyDescent="0.25" customHeight="1">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sheetPr>
    <tabColor rgb="FF0C769E"/>
  </sheetPr>
  <dimension ref="A1:AV45"/>
  <sheetViews>
    <sheetView showGridLines="0" zoomScaleNormal="100" workbookViewId="0">
      <selection activeCell="A19" sqref="A19"/>
    </sheetView>
  </sheetViews>
  <sheetFormatPr defaultRowHeight="20" x14ac:dyDescent="0.25" customHeight="1"/>
  <cols>
    <col min="1" max="1" width="30.7109375" customWidth="1"/>
    <col min="2" max="2" width="4.7109375" customWidth="1"/>
    <col min="3" max="3" width="4.7109375" style="1" customWidth="1"/>
    <col min="4" max="41" width="9.140625" style="1"/>
  </cols>
  <sheetData>
    <row r="1" spans="1:42" ht="30" customHeight="1" x14ac:dyDescent="0.35">
      <c r="A1" s="56" t="e" vm="1">
        <v>#VALUE!</v>
      </c>
      <c r="C1" s="111" t="s">
        <v>165</v>
      </c>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row>
    <row r="2" spans="1:42" ht="20" customHeight="1" x14ac:dyDescent="0.25">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3"/>
    </row>
    <row r="3" spans="1:42" ht="20" customHeight="1" x14ac:dyDescent="0.25">
      <c r="A3" s="17" t="str">
        <f>HYPERLINK("#'Home'!A1", "Home")</f>
        <v>Home</v>
      </c>
      <c r="C3" s="114"/>
      <c r="D3" s="114"/>
      <c r="E3" s="114"/>
      <c r="F3" s="114"/>
      <c r="G3" s="114"/>
      <c r="H3" s="114"/>
      <c r="I3" s="114"/>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c r="AM3" s="114"/>
      <c r="AN3" s="114"/>
      <c r="AO3" s="114"/>
    </row>
    <row r="4" spans="1:42" ht="20" customHeight="1" x14ac:dyDescent="0.25">
      <c r="A4" s="98" t="str">
        <f>HYPERLINK("#'Overview'!A1", "Overview")</f>
        <v>Overview</v>
      </c>
    </row>
    <row r="5" spans="1:42" ht="20" customHeight="1" x14ac:dyDescent="0.25">
      <c r="A5" s="17" t="str">
        <f>HYPERLINK("#'Results'!A1", "Results")</f>
        <v>Results</v>
      </c>
      <c r="D5" s="95" t="s">
        <v>101</v>
      </c>
      <c r="E5" s="78"/>
      <c r="F5" s="78"/>
      <c r="G5" s="78"/>
      <c r="H5" s="78"/>
      <c r="I5" s="78"/>
      <c r="J5" s="78"/>
      <c r="K5" s="78"/>
      <c r="L5" s="78"/>
      <c r="M5" s="78"/>
      <c r="N5" s="78"/>
      <c r="O5" s="74"/>
    </row>
    <row r="6" spans="1:42" ht="20" customHeight="1" x14ac:dyDescent="0.25">
      <c r="D6" s="115" t="s">
        <v>102</v>
      </c>
      <c r="E6" s="77"/>
      <c r="F6" s="77"/>
      <c r="G6" s="77"/>
      <c r="H6" s="77"/>
      <c r="I6" s="77"/>
      <c r="J6" s="77"/>
      <c r="K6" s="77"/>
      <c r="L6" s="77"/>
      <c r="M6" s="77"/>
      <c r="N6" s="77"/>
      <c r="O6" s="75"/>
    </row>
    <row r="7" spans="1:42" ht="20" customHeight="1" x14ac:dyDescent="0.25"/>
    <row r="8" spans="1:42" ht="20" customHeight="1" x14ac:dyDescent="0.25">
      <c r="A8" s="19" t="s">
        <v>0</v>
      </c>
    </row>
    <row r="9" spans="1:42" ht="20" customHeight="1" x14ac:dyDescent="0.25">
      <c r="A9" s="17" t="str">
        <f>HYPERLINK("#'Input - Site'!A1", "Site")</f>
        <v>Site</v>
      </c>
    </row>
    <row r="10" spans="1:42" ht="20" customHeight="1" x14ac:dyDescent="0.25">
      <c r="A10" s="17" t="str">
        <f>HYPERLINK("#'Input - Rice'!A1", "Rice")</f>
        <v>Rice</v>
      </c>
    </row>
    <row r="11" spans="1:42" ht="20" customHeight="1" x14ac:dyDescent="0.25"/>
    <row r="12" spans="1:42" ht="20" customHeight="1" x14ac:dyDescent="0.25"/>
    <row r="13" spans="1:42" ht="20" customHeight="1" x14ac:dyDescent="0.25">
      <c r="A13" s="18" t="s">
        <v>51</v>
      </c>
    </row>
    <row r="14" spans="1:42" ht="20" customHeight="1" x14ac:dyDescent="0.25">
      <c r="A14" s="17" t="str">
        <f>HYPERLINK("#'7.1.1-2 Rice cultivation'!A1", "7.1.1-2 Rice cultivation")</f>
        <v>7.1.1-2 Rice cultivation</v>
      </c>
    </row>
    <row r="15" spans="1:42" ht="20" customHeight="1" x14ac:dyDescent="0.25"/>
    <row r="16" spans="1:42" ht="20" customHeight="1" x14ac:dyDescent="0.25"/>
    <row r="17" spans="1:1" ht="20" customHeight="1" x14ac:dyDescent="0.25">
      <c r="A17" s="118" t="s">
        <v>1</v>
      </c>
    </row>
    <row r="18" spans="1:1" ht="20" customHeight="1" x14ac:dyDescent="0.25">
      <c r="A18" s="17" t="str">
        <f>HYPERLINK("#'Constants - Rice cultivation'!A1", "Constants - Rice cultivation")</f>
        <v>Constants - Rice cultivation</v>
      </c>
    </row>
    <row r="19" spans="1:1" ht="20" customHeight="1" x14ac:dyDescent="0.25">
      <c r="A19" s="17" t="str">
        <f>HYPERLINK("#'Constants - Common'!A1", "Constants - Common")</f>
        <v>Constants - Common</v>
      </c>
    </row>
    <row r="20" spans="1:1" ht="20" customHeight="1" x14ac:dyDescent="0.25"/>
    <row r="21" spans="1:1" ht="20" customHeight="1" x14ac:dyDescent="0.25"/>
    <row r="22" spans="1:1" ht="20" customHeight="1" x14ac:dyDescent="0.25"/>
    <row r="23" spans="1:1" ht="20" customHeight="1" x14ac:dyDescent="0.25"/>
    <row r="24" spans="1:1" ht="20" customHeight="1" x14ac:dyDescent="0.25"/>
    <row r="25" spans="1:1" ht="20" customHeight="1" x14ac:dyDescent="0.25"/>
    <row r="26" spans="1:1" ht="20" customHeight="1" x14ac:dyDescent="0.25"/>
    <row r="27" spans="1:1" ht="20" customHeight="1" x14ac:dyDescent="0.25"/>
    <row r="28" spans="1:1" ht="20" customHeight="1" x14ac:dyDescent="0.25"/>
    <row r="29" spans="1:1" ht="20" customHeight="1" x14ac:dyDescent="0.25"/>
    <row r="30" spans="1:1" ht="20" customHeight="1" x14ac:dyDescent="0.25"/>
    <row r="31" spans="1:1" ht="20" customHeight="1" x14ac:dyDescent="0.25"/>
    <row r="32" spans="1:1" ht="20" customHeight="1" x14ac:dyDescent="0.25"/>
    <row r="33" spans="12:48" ht="20" customHeight="1" x14ac:dyDescent="0.25"/>
    <row r="34" spans="12:48" ht="20" customHeight="1" x14ac:dyDescent="0.25"/>
    <row r="35" spans="12:48" ht="20" customHeight="1" x14ac:dyDescent="0.25"/>
    <row r="36" spans="12:48" ht="20" customHeight="1" x14ac:dyDescent="0.25"/>
    <row r="37" spans="12:48" ht="20" customHeight="1" x14ac:dyDescent="0.25">
      <c r="L37" s="1" t="s">
        <v>99</v>
      </c>
    </row>
    <row r="38" spans="12:48" ht="20" customHeight="1" x14ac:dyDescent="0.25"/>
    <row r="39" spans="12:48" ht="20" customHeight="1" x14ac:dyDescent="0.25"/>
    <row r="40" spans="12:48" ht="20" customHeight="1" x14ac:dyDescent="0.25"/>
    <row r="41" spans="12:48" ht="20" customHeight="1" x14ac:dyDescent="0.25"/>
    <row r="42" spans="12:48" ht="20" customHeight="1" x14ac:dyDescent="0.25"/>
    <row r="45" spans="12:48" x14ac:dyDescent="0.25" ht="20" customHeight="1">
      <c r="AV45" t="s">
        <v>100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A19" sqref="A19"/>
    </sheetView>
  </sheetViews>
  <sheetFormatPr defaultRowHeight="20" x14ac:dyDescent="0.25" customHeight="1"/>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56" t="e" vm="1">
        <v>#VALUE!</v>
      </c>
      <c r="C1" s="111" t="s">
        <v>166</v>
      </c>
    </row>
    <row r="2" spans="1:11" ht="20" customHeight="1" x14ac:dyDescent="0.25">
      <c r="C2" s="9"/>
    </row>
    <row r="3" spans="1:11" ht="20" customHeight="1" x14ac:dyDescent="0.25">
      <c r="A3" s="17" t="str">
        <f>HYPERLINK("#'Home'!A1", "Home")</f>
        <v>Home</v>
      </c>
      <c r="C3" s="21"/>
      <c r="D3" s="21"/>
      <c r="E3" s="21"/>
      <c r="F3" s="21"/>
      <c r="G3" s="21"/>
      <c r="H3" s="21"/>
      <c r="I3" s="21"/>
      <c r="J3" s="21"/>
      <c r="K3" s="21"/>
    </row>
    <row r="4" spans="1:11" ht="20" customHeight="1" x14ac:dyDescent="0.25">
      <c r="A4" s="17" t="str">
        <f>HYPERLINK("#'Overview'!A1", "Overview")</f>
        <v>Overview</v>
      </c>
      <c r="C4" s="21"/>
      <c r="D4" s="6" t="s">
        <v>2</v>
      </c>
      <c r="E4" s="23"/>
      <c r="F4" s="23"/>
      <c r="G4" s="23"/>
      <c r="H4" s="6"/>
      <c r="I4" s="6"/>
      <c r="J4" s="6"/>
      <c r="K4" s="24"/>
    </row>
    <row r="5" spans="1:11" ht="20" customHeight="1" x14ac:dyDescent="0.3">
      <c r="A5" s="98" t="str">
        <f>HYPERLINK("#'Results'!A1", "Results")</f>
        <v>Results</v>
      </c>
      <c r="C5" s="21"/>
      <c r="D5" s="25"/>
      <c r="E5" s="26"/>
      <c r="F5" s="26"/>
      <c r="G5" s="26"/>
      <c r="H5" s="23"/>
      <c r="I5" s="21"/>
      <c r="J5" s="21"/>
      <c r="K5" s="21"/>
    </row>
    <row r="6" spans="1:11" ht="20" customHeight="1" x14ac:dyDescent="0.25">
      <c r="C6" s="21"/>
      <c r="D6" s="80" t="s">
        <v>98</v>
      </c>
      <c r="E6" s="76"/>
      <c r="F6" s="21"/>
      <c r="G6" s="21"/>
      <c r="H6" s="21"/>
      <c r="I6" s="21"/>
      <c r="J6" s="21"/>
      <c r="K6" s="21"/>
    </row>
    <row r="7" spans="1:11" ht="20" customHeight="1" x14ac:dyDescent="0.25">
      <c r="C7" s="21"/>
      <c r="D7" s="21"/>
      <c r="E7" s="21"/>
      <c r="F7" s="21"/>
      <c r="G7" s="21"/>
      <c r="H7" s="21"/>
      <c r="I7" s="21"/>
      <c r="J7" s="21"/>
      <c r="K7" s="21"/>
    </row>
    <row r="8" spans="1:11" ht="20" customHeight="1" x14ac:dyDescent="0.25">
      <c r="A8" s="19" t="s">
        <v>0</v>
      </c>
      <c r="C8" s="21"/>
      <c r="D8" s="93" t="s">
        <v>62</v>
      </c>
      <c r="E8" s="93" t="s">
        <v>74</v>
      </c>
      <c r="F8" s="93" t="s">
        <v>75</v>
      </c>
      <c r="G8" s="93" t="s">
        <v>68</v>
      </c>
      <c r="H8" s="93" t="s">
        <v>76</v>
      </c>
      <c r="I8" s="93" t="s">
        <v>77</v>
      </c>
      <c r="J8" s="93" t="s">
        <v>69</v>
      </c>
      <c r="K8" s="21"/>
    </row>
    <row r="9" spans="1:11" ht="20" customHeight="1" x14ac:dyDescent="0.25">
      <c r="A9" s="17" t="str">
        <f>HYPERLINK("#'Input - Site'!A1", "Site")</f>
        <v>Site</v>
      </c>
      <c r="C9" s="21"/>
      <c r="D9" s="1" t="s">
        <v>164</v>
      </c>
      <c r="E9" s="110">
        <f>VEERG_7_1_1_1__1_MethaneEmissionsFromRiceCultivation_Result_Method1</f>
        <v>98.450769394817939</v>
      </c>
      <c r="F9" s="110">
        <f>E9</f>
        <v>98.450769394817939</v>
      </c>
      <c r="G9" s="48" t="s">
        <v>79</v>
      </c>
      <c r="H9" s="91">
        <f>'7.1.1-2 Rice cultivation'!$E$107</f>
        <v>2756.6215430549023</v>
      </c>
      <c r="I9" s="91">
        <f>H9</f>
        <v>2756.6215430549023</v>
      </c>
      <c r="J9" s="48" t="s">
        <v>72</v>
      </c>
      <c r="K9" s="21"/>
    </row>
    <row r="10" spans="1:11" ht="20" customHeight="1" x14ac:dyDescent="0.3">
      <c r="A10" s="17" t="str">
        <f>HYPERLINK("#'Input - Rice'!A1", "Rice")</f>
        <v>Rice</v>
      </c>
      <c r="C10" s="21"/>
      <c r="D10" s="28" t="s">
        <v>67</v>
      </c>
      <c r="E10" s="22"/>
      <c r="F10" s="22"/>
      <c r="G10" s="28"/>
      <c r="H10" s="92">
        <f>SUM(H9:H9)</f>
        <v>2756.6215430549023</v>
      </c>
      <c r="I10" s="92">
        <f>SUM(I9:I9)</f>
        <v>2756.6215430549023</v>
      </c>
      <c r="J10" s="88" t="s">
        <v>72</v>
      </c>
      <c r="K10" s="21"/>
    </row>
    <row r="11" spans="1:11" ht="20" customHeight="1" x14ac:dyDescent="0.25">
      <c r="C11" s="21"/>
      <c r="D11" s="1"/>
      <c r="E11" s="1"/>
      <c r="F11" s="1"/>
      <c r="G11" s="1"/>
      <c r="H11" s="1"/>
      <c r="I11" s="1"/>
      <c r="J11" s="1"/>
      <c r="K11" s="21"/>
    </row>
    <row r="12" spans="1:11" ht="20" customHeight="1" x14ac:dyDescent="0.25">
      <c r="C12" s="21"/>
      <c r="D12" s="89"/>
      <c r="E12" s="89"/>
      <c r="F12" s="89"/>
      <c r="G12" s="89"/>
      <c r="H12" s="89"/>
      <c r="I12" s="89"/>
      <c r="J12" s="89"/>
      <c r="K12" s="21"/>
    </row>
    <row r="13" spans="1:11" ht="20" customHeight="1" x14ac:dyDescent="0.25">
      <c r="A13" s="18" t="s">
        <v>51</v>
      </c>
      <c r="C13" s="21"/>
      <c r="D13" s="89"/>
      <c r="E13" s="1"/>
      <c r="F13" s="1"/>
      <c r="G13" s="1"/>
      <c r="H13" s="1"/>
      <c r="I13" s="1"/>
      <c r="J13" s="21"/>
      <c r="K13" s="21"/>
    </row>
    <row r="14" spans="1:11" ht="20" customHeight="1" x14ac:dyDescent="0.25">
      <c r="A14" s="17" t="str">
        <f>HYPERLINK("#'7.1.1-2 Rice cultivation'!A1", "7.1.1-2 Rice cultivation")</f>
        <v>7.1.1-2 Rice cultivation</v>
      </c>
      <c r="C14" s="21"/>
      <c r="D14" s="96"/>
      <c r="E14" s="1"/>
      <c r="F14" s="1"/>
      <c r="G14" s="1"/>
      <c r="H14" s="1"/>
      <c r="I14" s="1"/>
      <c r="J14" s="21"/>
      <c r="K14" s="21"/>
    </row>
    <row r="15" spans="1:11" ht="20" customHeight="1" x14ac:dyDescent="0.25">
      <c r="C15" s="21"/>
      <c r="D15" s="1"/>
      <c r="E15" s="1"/>
      <c r="F15" s="1"/>
      <c r="G15" s="1"/>
      <c r="H15" s="1"/>
      <c r="I15" s="1"/>
      <c r="J15" s="21"/>
      <c r="K15" s="21"/>
    </row>
    <row r="16" spans="1:11" ht="20" customHeight="1" x14ac:dyDescent="0.25">
      <c r="C16" s="21"/>
      <c r="D16" s="1"/>
      <c r="E16" s="1"/>
      <c r="F16" s="1"/>
      <c r="G16" s="1"/>
      <c r="H16" s="1"/>
      <c r="I16" s="1"/>
      <c r="J16" s="21"/>
      <c r="K16" s="21"/>
    </row>
    <row r="17" spans="1:11" ht="20" customHeight="1" x14ac:dyDescent="0.25">
      <c r="A17" s="118" t="s">
        <v>1</v>
      </c>
      <c r="C17" s="21"/>
      <c r="D17" s="1"/>
      <c r="E17" s="94"/>
      <c r="F17" s="48"/>
      <c r="G17" s="1"/>
      <c r="H17" s="1"/>
      <c r="I17" s="21"/>
      <c r="J17" s="21"/>
      <c r="K17" s="21"/>
    </row>
    <row r="18" spans="1:11" ht="20" customHeight="1" x14ac:dyDescent="0.25">
      <c r="A18" s="17" t="str">
        <f>HYPERLINK("#'Constants - Rice cultivation'!A1", "Constants - Rice cultivation")</f>
        <v>Constants - Rice cultivation</v>
      </c>
      <c r="C18" s="21"/>
      <c r="D18" s="1"/>
      <c r="E18" s="1"/>
      <c r="F18" s="1"/>
      <c r="G18" s="1"/>
      <c r="H18" s="1"/>
      <c r="I18" s="1"/>
      <c r="J18" s="1"/>
      <c r="K18" s="21"/>
    </row>
    <row r="19" spans="1:11" ht="20" customHeight="1" x14ac:dyDescent="0.25">
      <c r="A19" s="17" t="str">
        <f>HYPERLINK("#'Constants - Common'!A1", "Constants - Common")</f>
        <v>Constants - Common</v>
      </c>
      <c r="C19" s="21"/>
      <c r="D19" s="1"/>
      <c r="E19" s="1"/>
      <c r="F19" s="1"/>
      <c r="G19" s="1"/>
      <c r="H19" s="1"/>
      <c r="I19" s="1"/>
      <c r="J19" s="1"/>
      <c r="K19" s="21"/>
    </row>
    <row r="20" spans="1:11" ht="20" customHeight="1" x14ac:dyDescent="0.25">
      <c r="C20" s="21"/>
      <c r="D20" s="1"/>
      <c r="E20" s="1"/>
      <c r="F20" s="1"/>
      <c r="G20" s="1"/>
      <c r="H20" s="1"/>
      <c r="I20" s="1"/>
      <c r="J20" s="1"/>
      <c r="K20" s="21"/>
    </row>
    <row r="21" spans="1:11" ht="20" customHeight="1" x14ac:dyDescent="0.25">
      <c r="C21" s="21"/>
      <c r="D21" s="1"/>
      <c r="E21" s="1"/>
      <c r="F21" s="1"/>
      <c r="G21" s="1"/>
      <c r="H21" s="1"/>
      <c r="I21" s="1"/>
      <c r="J21" s="1"/>
      <c r="K21" s="21"/>
    </row>
    <row r="22" spans="1:11" ht="20" customHeight="1" x14ac:dyDescent="0.25">
      <c r="C22" s="21"/>
      <c r="D22" s="1"/>
      <c r="E22" s="1"/>
      <c r="F22" s="1"/>
      <c r="G22" s="1"/>
      <c r="H22" s="1"/>
      <c r="I22" s="1"/>
      <c r="J22" s="1"/>
      <c r="K22" s="21"/>
    </row>
    <row r="23" spans="1:11" ht="20" customHeight="1" x14ac:dyDescent="0.25">
      <c r="C23" s="21"/>
      <c r="D23" s="1"/>
      <c r="E23" s="1"/>
      <c r="F23" s="1"/>
      <c r="G23" s="1"/>
      <c r="H23" s="1"/>
      <c r="I23" s="1"/>
      <c r="J23" s="1"/>
      <c r="K23" s="21"/>
    </row>
    <row r="24" spans="1:11" ht="20" customHeight="1" x14ac:dyDescent="0.25">
      <c r="C24" s="21"/>
      <c r="D24" s="1"/>
      <c r="E24" s="1"/>
      <c r="F24" s="1"/>
      <c r="G24" s="1"/>
      <c r="H24" s="1"/>
      <c r="I24" s="1"/>
      <c r="J24" s="1"/>
      <c r="K24" s="21"/>
    </row>
    <row r="25" spans="1:11" ht="20" customHeight="1" x14ac:dyDescent="0.3">
      <c r="C25" s="21"/>
      <c r="D25" s="1"/>
      <c r="E25" s="1"/>
      <c r="F25" s="1"/>
      <c r="G25" s="1"/>
      <c r="H25" s="26"/>
      <c r="I25" s="21"/>
      <c r="J25" s="21"/>
      <c r="K25" s="21"/>
    </row>
    <row r="26" spans="1:11" ht="20" customHeight="1" x14ac:dyDescent="0.3">
      <c r="C26" s="21"/>
      <c r="D26" s="1"/>
      <c r="E26" s="1"/>
      <c r="F26" s="1"/>
      <c r="G26" s="1"/>
      <c r="H26" s="26"/>
      <c r="I26" s="21"/>
      <c r="J26" s="21"/>
      <c r="K26" s="21"/>
    </row>
    <row r="27" spans="1:11" ht="20" customHeight="1" x14ac:dyDescent="0.25">
      <c r="C27" s="21"/>
      <c r="D27" s="1"/>
      <c r="E27" s="1"/>
      <c r="F27" s="1"/>
      <c r="G27" s="1"/>
      <c r="H27" s="1"/>
      <c r="I27" s="1"/>
      <c r="J27" s="21"/>
      <c r="K27" s="21"/>
    </row>
    <row r="28" spans="1:11" ht="20" customHeight="1" x14ac:dyDescent="0.25">
      <c r="C28" s="21"/>
      <c r="D28" s="1"/>
      <c r="E28" s="1"/>
      <c r="F28" s="1"/>
      <c r="G28" s="1"/>
      <c r="H28" s="1"/>
      <c r="I28" s="1"/>
      <c r="J28" s="21"/>
      <c r="K28" s="21"/>
    </row>
    <row r="29" spans="1:11" ht="20" customHeight="1" x14ac:dyDescent="0.25">
      <c r="C29" s="21"/>
      <c r="D29" s="1"/>
      <c r="E29" s="1"/>
      <c r="F29" s="1"/>
      <c r="G29" s="1"/>
      <c r="H29" s="1"/>
      <c r="I29" s="1"/>
      <c r="J29" s="21"/>
      <c r="K29" s="21"/>
    </row>
    <row r="30" spans="1:11" ht="20" customHeight="1" x14ac:dyDescent="0.25">
      <c r="C30" s="21"/>
      <c r="D30" s="1"/>
      <c r="E30" s="1"/>
      <c r="F30" s="1"/>
      <c r="G30" s="1"/>
      <c r="H30" s="1"/>
      <c r="I30" s="1"/>
      <c r="J30" s="21"/>
      <c r="K30" s="21"/>
    </row>
    <row r="31" spans="1:11" ht="20" customHeight="1" x14ac:dyDescent="0.25">
      <c r="C31" s="21"/>
      <c r="D31" s="1"/>
      <c r="E31" s="1"/>
      <c r="F31" s="1"/>
      <c r="G31" s="1"/>
      <c r="H31" s="1"/>
      <c r="I31" s="1"/>
      <c r="J31" s="21"/>
      <c r="K31" s="21"/>
    </row>
    <row r="32" spans="1:11" ht="20" customHeight="1" x14ac:dyDescent="0.25">
      <c r="C32" s="21"/>
      <c r="D32" s="1"/>
      <c r="E32" s="1"/>
      <c r="F32" s="1"/>
      <c r="G32" s="1"/>
      <c r="H32" s="1"/>
      <c r="I32" s="1"/>
      <c r="J32" s="21"/>
      <c r="K32" s="21"/>
    </row>
    <row r="33" spans="3:11" ht="20" customHeight="1" x14ac:dyDescent="0.25">
      <c r="C33" s="21"/>
      <c r="D33" s="1"/>
      <c r="E33" s="1"/>
      <c r="F33" s="1"/>
      <c r="G33" s="1"/>
      <c r="H33" s="1"/>
      <c r="I33" s="1"/>
      <c r="J33" s="21"/>
      <c r="K33" s="21"/>
    </row>
    <row r="34" spans="3:11" ht="20" customHeight="1" x14ac:dyDescent="0.25">
      <c r="C34" s="21"/>
      <c r="D34" s="1"/>
      <c r="E34" s="1"/>
      <c r="F34" s="1"/>
      <c r="G34" s="1"/>
      <c r="H34" s="1"/>
      <c r="I34" s="21"/>
      <c r="J34" s="21"/>
      <c r="K34" s="21"/>
    </row>
    <row r="35" spans="3:11" ht="20" customHeight="1" x14ac:dyDescent="0.25">
      <c r="C35" s="21"/>
      <c r="D35" s="1"/>
      <c r="E35" s="1"/>
      <c r="F35" s="1"/>
      <c r="G35" s="1"/>
      <c r="H35" s="1"/>
      <c r="I35" s="21"/>
      <c r="J35" s="21"/>
      <c r="K35" s="21"/>
    </row>
    <row r="36" spans="3:11" ht="20" customHeight="1" x14ac:dyDescent="0.25">
      <c r="C36" s="21"/>
      <c r="D36" s="1"/>
      <c r="E36" s="1"/>
      <c r="F36" s="1"/>
      <c r="G36" s="1"/>
      <c r="H36" s="1"/>
      <c r="I36" s="21"/>
      <c r="J36" s="21"/>
      <c r="K36" s="21"/>
    </row>
    <row r="37" spans="3:11" ht="20" customHeight="1" x14ac:dyDescent="0.25">
      <c r="C37" s="21"/>
      <c r="D37" s="1"/>
      <c r="E37" s="1"/>
      <c r="F37" s="1"/>
      <c r="G37" s="1"/>
      <c r="H37" s="1"/>
      <c r="I37" s="21"/>
      <c r="J37" s="21"/>
      <c r="K37" s="21"/>
    </row>
    <row r="38" spans="3:11" ht="20" customHeight="1" x14ac:dyDescent="0.25">
      <c r="C38" s="21"/>
      <c r="D38" s="1"/>
      <c r="E38" s="1"/>
      <c r="F38" s="1"/>
      <c r="G38" s="1"/>
      <c r="H38" s="1"/>
      <c r="I38" s="90"/>
      <c r="J38" s="90"/>
      <c r="K38" s="21"/>
    </row>
    <row r="39" spans="3:11" ht="20" customHeight="1" x14ac:dyDescent="0.25">
      <c r="C39" s="21"/>
      <c r="D39" s="1"/>
      <c r="E39" s="1"/>
      <c r="F39" s="1"/>
      <c r="G39" s="1"/>
      <c r="H39" s="1"/>
      <c r="I39" s="90"/>
      <c r="J39" s="90"/>
      <c r="K39" s="21"/>
    </row>
    <row r="40" spans="3:11" ht="20" customHeight="1" x14ac:dyDescent="0.25">
      <c r="C40" s="21"/>
      <c r="D40" s="1"/>
      <c r="E40" s="1"/>
      <c r="F40" s="1"/>
      <c r="G40" s="1"/>
      <c r="H40" s="1"/>
      <c r="I40" s="90"/>
      <c r="J40" s="90"/>
      <c r="K40" s="21"/>
    </row>
    <row r="41" spans="3:11" ht="20" customHeight="1" x14ac:dyDescent="0.25">
      <c r="C41" s="21"/>
      <c r="D41" s="1"/>
      <c r="E41" s="1"/>
      <c r="F41" s="1"/>
      <c r="G41" s="1"/>
      <c r="H41" s="1"/>
      <c r="I41" s="90"/>
      <c r="J41" s="90"/>
      <c r="K41" s="21"/>
    </row>
    <row r="42" spans="3:11" ht="20" customHeight="1" x14ac:dyDescent="0.25">
      <c r="C42" s="21"/>
      <c r="D42" s="1"/>
      <c r="E42" s="1"/>
      <c r="F42" s="1"/>
      <c r="G42" s="1"/>
      <c r="H42" s="1"/>
      <c r="I42" s="90"/>
      <c r="J42" s="90"/>
      <c r="K42" s="21"/>
    </row>
    <row r="43" spans="3:11" ht="20" customHeight="1" x14ac:dyDescent="0.25">
      <c r="C43" s="21"/>
      <c r="D43" s="1"/>
      <c r="E43" s="1"/>
      <c r="F43" s="1"/>
      <c r="G43" s="1"/>
      <c r="H43" s="1"/>
      <c r="I43" s="90"/>
      <c r="J43" s="90"/>
      <c r="K43" s="21"/>
    </row>
    <row r="44" spans="3:11" ht="20" customHeight="1" x14ac:dyDescent="0.25">
      <c r="C44" s="21"/>
      <c r="D44" s="1"/>
      <c r="E44" s="1"/>
      <c r="F44" s="1"/>
      <c r="G44" s="1"/>
      <c r="H44" s="1"/>
      <c r="I44" s="90"/>
      <c r="J44" s="90"/>
      <c r="K44" s="21"/>
    </row>
    <row r="45" spans="3:11" ht="20" customHeight="1" x14ac:dyDescent="0.25">
      <c r="C45" s="21"/>
      <c r="D45" s="1"/>
      <c r="E45" s="1"/>
      <c r="F45" s="1"/>
      <c r="G45" s="1"/>
      <c r="H45" s="1"/>
      <c r="I45" s="90"/>
      <c r="J45" s="90"/>
      <c r="K45" s="21"/>
    </row>
    <row r="46" spans="3:11" ht="20" customHeight="1" x14ac:dyDescent="0.25">
      <c r="C46" s="21"/>
      <c r="D46" s="1"/>
      <c r="E46" s="1"/>
      <c r="F46" s="1"/>
      <c r="G46" s="1"/>
      <c r="H46" s="1"/>
      <c r="I46" s="90"/>
      <c r="J46" s="90"/>
      <c r="K46" s="21"/>
    </row>
    <row r="47" spans="3:11" ht="20" customHeight="1" x14ac:dyDescent="0.25">
      <c r="C47" s="21"/>
      <c r="D47" s="1"/>
      <c r="E47" s="1"/>
      <c r="F47" s="1"/>
      <c r="G47" s="1"/>
      <c r="H47" s="1"/>
      <c r="I47" s="90"/>
      <c r="J47" s="90"/>
      <c r="K47" s="21"/>
    </row>
    <row r="48" spans="3:11" ht="20" customHeight="1" x14ac:dyDescent="0.25">
      <c r="C48" s="21"/>
      <c r="D48" s="1"/>
      <c r="E48" s="1"/>
      <c r="F48" s="1"/>
      <c r="G48" s="1"/>
      <c r="H48" s="1"/>
      <c r="I48" s="90"/>
      <c r="J48" s="90"/>
      <c r="K48" s="21"/>
    </row>
    <row r="49" spans="3:11" ht="20" customHeight="1" x14ac:dyDescent="0.25">
      <c r="C49" s="21"/>
      <c r="D49" s="1"/>
      <c r="E49" s="1"/>
      <c r="F49" s="1"/>
      <c r="G49" s="1"/>
      <c r="H49" s="90"/>
      <c r="I49" s="90"/>
      <c r="J49" s="90"/>
      <c r="K49" s="21"/>
    </row>
    <row r="50" spans="3:11" ht="20" customHeight="1" x14ac:dyDescent="0.25">
      <c r="C50" s="21"/>
      <c r="D50" s="1"/>
      <c r="E50" s="1"/>
      <c r="F50" s="1"/>
      <c r="G50" s="1"/>
      <c r="H50" s="90"/>
      <c r="I50" s="90"/>
      <c r="J50" s="90"/>
      <c r="K50" s="21"/>
    </row>
    <row r="51" spans="3:11" ht="20" customHeight="1" x14ac:dyDescent="0.25">
      <c r="C51" s="21"/>
      <c r="D51" s="1"/>
      <c r="E51" s="1"/>
      <c r="F51" s="1"/>
      <c r="G51" s="1"/>
      <c r="H51" s="90"/>
      <c r="I51" s="90"/>
      <c r="J51" s="90"/>
      <c r="K51" s="21"/>
    </row>
    <row r="52" spans="3:11" ht="20" customHeight="1" x14ac:dyDescent="0.25">
      <c r="C52" s="21"/>
      <c r="D52" s="1"/>
      <c r="E52" s="1"/>
      <c r="F52" s="1"/>
      <c r="G52" s="1"/>
      <c r="H52" s="90"/>
      <c r="I52" s="90"/>
      <c r="J52" s="90"/>
      <c r="K52" s="21"/>
    </row>
    <row r="53" spans="3:11" ht="20" customHeight="1" x14ac:dyDescent="0.25">
      <c r="C53" s="21"/>
      <c r="D53" s="1"/>
      <c r="E53" s="1"/>
      <c r="F53" s="1"/>
      <c r="G53" s="1"/>
      <c r="H53" s="90"/>
      <c r="I53" s="90"/>
      <c r="J53" s="90"/>
      <c r="K53" s="21"/>
    </row>
    <row r="54" spans="3:11" ht="20" customHeight="1" x14ac:dyDescent="0.25">
      <c r="C54" s="21"/>
      <c r="D54" s="1"/>
      <c r="E54" s="1"/>
      <c r="F54" s="1"/>
      <c r="G54" s="1"/>
      <c r="H54" s="21"/>
      <c r="I54" s="21"/>
      <c r="J54" s="21"/>
      <c r="K54" s="21"/>
    </row>
    <row r="55" spans="3:11" ht="20" customHeight="1" x14ac:dyDescent="0.25">
      <c r="C55" s="21"/>
      <c r="D55" s="1"/>
      <c r="E55" s="1"/>
      <c r="F55" s="1"/>
      <c r="G55" s="1"/>
      <c r="H55" s="21"/>
      <c r="I55" s="21"/>
      <c r="J55" s="21"/>
      <c r="K55" s="21"/>
    </row>
    <row r="56" spans="3:11" ht="20" customHeight="1" x14ac:dyDescent="0.25">
      <c r="C56" s="21"/>
      <c r="D56" s="1"/>
      <c r="E56" s="1"/>
      <c r="F56" s="1"/>
      <c r="G56" s="1"/>
      <c r="H56" s="21"/>
      <c r="I56" s="21"/>
      <c r="J56" s="21"/>
      <c r="K56" s="21"/>
    </row>
    <row r="57" spans="3:11" ht="20" customHeight="1" x14ac:dyDescent="0.25">
      <c r="C57" s="21"/>
      <c r="D57" s="1"/>
      <c r="E57" s="1"/>
      <c r="F57" s="1"/>
      <c r="G57" s="1"/>
      <c r="H57" s="21"/>
      <c r="I57" s="21"/>
      <c r="J57" s="21"/>
      <c r="K57" s="21"/>
    </row>
    <row r="58" spans="3:11" ht="20" customHeight="1" x14ac:dyDescent="0.25">
      <c r="C58" s="21"/>
      <c r="D58" s="1"/>
      <c r="E58" s="29"/>
      <c r="F58" s="27"/>
      <c r="G58" s="21"/>
      <c r="H58" s="21"/>
      <c r="I58" s="21"/>
      <c r="J58" s="21"/>
      <c r="K58" s="21"/>
    </row>
    <row r="59" spans="3:11" ht="20" customHeight="1" x14ac:dyDescent="0.25">
      <c r="C59" s="21"/>
      <c r="D59" s="1"/>
      <c r="E59" s="1"/>
      <c r="F59" s="1"/>
      <c r="G59" s="1"/>
      <c r="H59" s="1"/>
      <c r="I59" s="1"/>
      <c r="J59" s="1"/>
      <c r="K59" s="21"/>
    </row>
    <row r="60" spans="3:11" ht="20" customHeight="1" x14ac:dyDescent="0.25">
      <c r="C60" s="21"/>
      <c r="D60" s="1"/>
      <c r="E60" s="1"/>
      <c r="F60" s="1"/>
      <c r="G60" s="1"/>
      <c r="H60" s="1"/>
      <c r="I60" s="1"/>
      <c r="J60" s="1"/>
      <c r="K60" s="21"/>
    </row>
    <row r="61" spans="3:11" ht="20" customHeight="1" x14ac:dyDescent="0.25">
      <c r="C61" s="21"/>
      <c r="D61" s="1"/>
      <c r="E61" s="1"/>
      <c r="F61" s="1"/>
      <c r="G61" s="1"/>
      <c r="H61" s="1"/>
      <c r="I61" s="1"/>
      <c r="J61" s="1"/>
      <c r="K61" s="21"/>
    </row>
    <row r="62" spans="3:11" ht="20" customHeight="1" x14ac:dyDescent="0.25">
      <c r="C62" s="21"/>
      <c r="D62" s="1"/>
      <c r="E62" s="1"/>
      <c r="F62" s="1"/>
      <c r="G62" s="1"/>
      <c r="H62" s="1"/>
      <c r="I62" s="1"/>
      <c r="J62" s="1"/>
      <c r="K62" s="21"/>
    </row>
    <row r="63" spans="3:11" ht="20" customHeight="1" x14ac:dyDescent="0.25">
      <c r="C63" s="21"/>
      <c r="D63" s="1"/>
      <c r="E63" s="1"/>
      <c r="F63" s="1"/>
      <c r="G63" s="1"/>
      <c r="H63" s="1"/>
      <c r="I63" s="1"/>
      <c r="J63" s="1"/>
      <c r="K63" s="21"/>
    </row>
    <row r="64" spans="3:11" ht="20" customHeight="1" x14ac:dyDescent="0.25">
      <c r="C64" s="21"/>
      <c r="D64" s="1"/>
      <c r="E64" s="1"/>
      <c r="F64" s="1"/>
      <c r="G64" s="1"/>
      <c r="H64" s="1"/>
      <c r="I64" s="1"/>
      <c r="J64" s="1"/>
      <c r="K64" s="21"/>
    </row>
    <row r="65" spans="3:11" ht="20" customHeight="1" x14ac:dyDescent="0.25">
      <c r="C65" s="21"/>
      <c r="D65" s="1"/>
      <c r="E65" s="1"/>
      <c r="F65" s="1"/>
      <c r="G65" s="1"/>
      <c r="H65" s="1"/>
      <c r="I65" s="1"/>
      <c r="J65" s="1"/>
      <c r="K65" s="21"/>
    </row>
    <row r="66" spans="3:11" ht="20" customHeight="1" x14ac:dyDescent="0.25">
      <c r="C66" s="21"/>
      <c r="D66" s="1"/>
      <c r="E66" s="1"/>
      <c r="F66" s="1"/>
      <c r="G66" s="1"/>
      <c r="H66" s="1"/>
      <c r="I66" s="1"/>
      <c r="J66" s="1"/>
      <c r="K66" s="21"/>
    </row>
    <row r="67" spans="3:11" ht="20" customHeight="1" x14ac:dyDescent="0.25">
      <c r="C67" s="21"/>
      <c r="D67" s="1"/>
      <c r="E67" s="1"/>
      <c r="F67" s="1"/>
      <c r="G67" s="1"/>
      <c r="H67" s="1"/>
      <c r="I67" s="1"/>
      <c r="J67" s="1"/>
      <c r="K67" s="21"/>
    </row>
    <row r="68" spans="3:11" ht="20" customHeight="1" x14ac:dyDescent="0.25">
      <c r="C68" s="21"/>
      <c r="D68" s="1"/>
      <c r="E68" s="1"/>
      <c r="F68" s="1"/>
      <c r="G68" s="1"/>
      <c r="H68" s="1"/>
      <c r="I68" s="1"/>
      <c r="J68" s="1"/>
      <c r="K68" s="21"/>
    </row>
    <row r="69" spans="3:11" ht="20" customHeight="1" x14ac:dyDescent="0.25">
      <c r="C69" s="21"/>
      <c r="D69" s="1"/>
      <c r="E69" s="1"/>
      <c r="F69" s="1"/>
      <c r="G69" s="1"/>
      <c r="H69" s="1"/>
      <c r="I69" s="1"/>
      <c r="J69" s="1"/>
      <c r="K69" s="21"/>
    </row>
    <row r="70" spans="3:11" ht="20" customHeight="1" x14ac:dyDescent="0.25">
      <c r="C70" s="21"/>
      <c r="D70" s="1"/>
      <c r="E70" s="1"/>
      <c r="F70" s="1"/>
      <c r="G70" s="1"/>
      <c r="H70" s="1"/>
      <c r="I70" s="1"/>
      <c r="J70" s="1"/>
      <c r="K70" s="21"/>
    </row>
    <row r="71" spans="3:11" ht="20" customHeight="1" x14ac:dyDescent="0.25">
      <c r="C71" s="21"/>
      <c r="D71" s="1"/>
      <c r="E71" s="1"/>
      <c r="F71" s="1"/>
      <c r="G71" s="1"/>
      <c r="H71" s="1"/>
      <c r="I71" s="1"/>
      <c r="J71" s="1"/>
      <c r="K71" s="21"/>
    </row>
    <row r="72" spans="3:11" ht="20" customHeight="1" x14ac:dyDescent="0.25">
      <c r="C72" s="21"/>
      <c r="D72" s="1"/>
      <c r="E72" s="1"/>
      <c r="F72" s="1"/>
      <c r="G72" s="1"/>
      <c r="H72" s="1"/>
      <c r="I72" s="1"/>
      <c r="J72" s="1"/>
      <c r="K72" s="21"/>
    </row>
    <row r="73" spans="3:11" ht="20" customHeight="1" x14ac:dyDescent="0.25">
      <c r="C73" s="21"/>
      <c r="D73" s="1"/>
      <c r="E73" s="1"/>
      <c r="F73" s="1"/>
      <c r="G73" s="1"/>
      <c r="H73" s="1"/>
      <c r="I73" s="1"/>
      <c r="J73" s="1"/>
      <c r="K73" s="21"/>
    </row>
    <row r="74" spans="3:11" ht="20" customHeight="1" x14ac:dyDescent="0.25">
      <c r="C74" s="21"/>
      <c r="D74" s="1"/>
      <c r="E74" s="1"/>
      <c r="F74" s="1"/>
      <c r="G74" s="1"/>
      <c r="H74" s="1"/>
      <c r="I74" s="1"/>
      <c r="J74" s="1"/>
      <c r="K74" s="21"/>
    </row>
    <row r="75" spans="3:11" ht="20" customHeight="1" x14ac:dyDescent="0.25">
      <c r="C75" s="21"/>
      <c r="D75" s="1"/>
      <c r="E75" s="1"/>
      <c r="F75" s="1"/>
      <c r="G75" s="1"/>
      <c r="H75" s="1"/>
      <c r="I75" s="1"/>
      <c r="J75" s="1"/>
      <c r="K75" s="21"/>
    </row>
    <row r="76" spans="3:11" ht="20" x14ac:dyDescent="0.25" customHeight="1">
      <c r="C76" s="21"/>
      <c r="D76" s="1"/>
      <c r="E76" s="1"/>
      <c r="F76" s="1"/>
      <c r="G76" s="1"/>
      <c r="H76" s="1"/>
      <c r="I76" s="1"/>
      <c r="J76" s="1"/>
      <c r="K76" s="21"/>
    </row>
    <row r="77" spans="3:11" ht="20" x14ac:dyDescent="0.25" customHeight="1">
      <c r="C77" s="21"/>
      <c r="D77" s="1"/>
      <c r="E77" s="1"/>
      <c r="F77" s="1"/>
      <c r="G77" s="1"/>
      <c r="H77" s="1"/>
      <c r="I77" s="1"/>
      <c r="J77" s="1"/>
      <c r="K77" s="21"/>
    </row>
    <row r="78" spans="3:11" ht="20" x14ac:dyDescent="0.25" customHeight="1">
      <c r="C78" s="21"/>
      <c r="D78" s="1"/>
      <c r="E78" s="1"/>
      <c r="F78" s="1"/>
      <c r="G78" s="1"/>
      <c r="H78" s="1"/>
      <c r="I78" s="1"/>
      <c r="J78" s="1"/>
      <c r="K78" s="21"/>
    </row>
    <row r="79" spans="3:11" ht="20" x14ac:dyDescent="0.25" customHeight="1">
      <c r="C79" s="21"/>
      <c r="D79" s="1"/>
      <c r="E79" s="1"/>
      <c r="F79" s="1"/>
      <c r="G79" s="1"/>
      <c r="H79" s="1"/>
      <c r="I79" s="1"/>
      <c r="J79" s="1"/>
      <c r="K79" s="21"/>
    </row>
    <row r="80" spans="3:11" ht="20" x14ac:dyDescent="0.25" customHeight="1">
      <c r="C80" s="21"/>
      <c r="D80" s="1"/>
      <c r="E80" s="1"/>
      <c r="F80" s="1"/>
      <c r="G80" s="1"/>
      <c r="H80" s="1"/>
      <c r="I80" s="1"/>
      <c r="J80" s="1"/>
      <c r="K80" s="21"/>
    </row>
    <row r="81" spans="3:11" ht="20" x14ac:dyDescent="0.25" customHeight="1">
      <c r="C81" s="21"/>
      <c r="D81" s="1"/>
      <c r="E81" s="1"/>
      <c r="F81" s="1"/>
      <c r="G81" s="1"/>
      <c r="H81" s="1"/>
      <c r="I81" s="1"/>
      <c r="J81" s="1"/>
      <c r="K81" s="21"/>
    </row>
    <row r="82" spans="3:11" ht="20" x14ac:dyDescent="0.25" customHeight="1">
      <c r="C82" s="21"/>
      <c r="D82" s="1"/>
      <c r="E82" s="1"/>
      <c r="F82" s="1"/>
      <c r="G82" s="1"/>
      <c r="H82" s="1"/>
      <c r="I82" s="1"/>
      <c r="J82" s="1"/>
      <c r="K82" s="21"/>
    </row>
    <row r="83" spans="3:11" ht="20" x14ac:dyDescent="0.25" customHeight="1">
      <c r="C83" s="21"/>
      <c r="D83" s="1"/>
      <c r="E83" s="1"/>
      <c r="F83" s="1"/>
      <c r="G83" s="1"/>
      <c r="H83" s="1"/>
      <c r="I83" s="1"/>
      <c r="J83" s="1"/>
      <c r="K83" s="21"/>
    </row>
    <row r="84" spans="3:11" ht="20" x14ac:dyDescent="0.25" customHeight="1">
      <c r="C84" s="21"/>
      <c r="D84" s="1"/>
      <c r="E84" s="1"/>
      <c r="F84" s="1"/>
      <c r="G84" s="1"/>
      <c r="H84" s="1"/>
      <c r="I84" s="1"/>
      <c r="J84" s="1"/>
      <c r="K84" s="21"/>
    </row>
    <row r="85" spans="3:11" ht="20" x14ac:dyDescent="0.25" customHeight="1">
      <c r="C85" s="21"/>
      <c r="D85" s="1"/>
      <c r="E85" s="1"/>
      <c r="F85" s="1"/>
      <c r="G85" s="1"/>
      <c r="H85" s="1"/>
      <c r="I85" s="1"/>
      <c r="J85" s="1"/>
      <c r="K85" s="21"/>
    </row>
    <row r="86" spans="3:11" x14ac:dyDescent="0.25" ht="20" customHeight="1">
      <c r="C86" s="21"/>
      <c r="D86" s="21"/>
      <c r="E86" s="21"/>
      <c r="F86" s="21"/>
      <c r="G86" s="21"/>
      <c r="H86" s="21"/>
      <c r="I86" s="21"/>
      <c r="J86" s="21"/>
      <c r="K86" s="21"/>
    </row>
    <row r="87" spans="3:11" x14ac:dyDescent="0.25" ht="20" customHeight="1">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tabSelected="1" zoomScaleNormal="100" workbookViewId="0">
      <selection activeCell="E13" sqref="E13"/>
    </sheetView>
  </sheetViews>
  <sheetFormatPr defaultColWidth="9.140625" defaultRowHeight="20" x14ac:dyDescent="0.25" customHeight="1"/>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56" t="e" vm="1">
        <v>#VALUE!</v>
      </c>
      <c r="C1" s="12" t="s">
        <v>54</v>
      </c>
    </row>
    <row r="2" spans="1:24" s="7" customFormat="1" ht="20" customHeight="1" x14ac:dyDescent="0.25">
      <c r="A2"/>
      <c r="C2" s="9"/>
      <c r="D2" s="9"/>
      <c r="E2" s="9"/>
      <c r="F2" s="9"/>
      <c r="G2" s="9"/>
      <c r="H2" s="9"/>
      <c r="I2" s="9"/>
      <c r="J2" s="9"/>
    </row>
    <row r="3" spans="1:24" ht="20"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 customHeight="1" x14ac:dyDescent="0.25">
      <c r="A4" s="17" t="str">
        <f>HYPERLINK("#'Overview'!A1", "Overview")</f>
        <v>Overview</v>
      </c>
      <c r="C4" s="57"/>
      <c r="D4" s="57"/>
      <c r="E4" s="57"/>
      <c r="F4" s="57"/>
      <c r="G4" s="57"/>
      <c r="H4" s="57"/>
      <c r="I4" s="57"/>
      <c r="J4" s="57"/>
      <c r="K4" s="57"/>
    </row>
    <row r="5" spans="1:24" ht="20" customHeight="1" x14ac:dyDescent="0.25">
      <c r="A5" s="17" t="str">
        <f>HYPERLINK("#'Results'!A1", "Results")</f>
        <v>Results</v>
      </c>
      <c r="D5" s="6" t="s">
        <v>6</v>
      </c>
      <c r="N5" s="37"/>
    </row>
    <row r="6" spans="1:24" ht="20" customHeight="1" x14ac:dyDescent="0.25">
      <c r="A6"/>
      <c r="D6" s="14"/>
      <c r="N6" s="38"/>
    </row>
    <row r="7" spans="1:24" ht="20" customHeight="1" x14ac:dyDescent="0.25">
      <c r="A7"/>
      <c r="D7" s="1" t="s">
        <v>4</v>
      </c>
      <c r="E7" s="30" t="s">
        <v>3</v>
      </c>
      <c r="F7" s="2"/>
    </row>
    <row r="8" spans="1:24" ht="20" customHeight="1" x14ac:dyDescent="0.25">
      <c r="A8" s="19" t="s">
        <v>0</v>
      </c>
      <c r="D8" s="10" t="s">
        <v>49</v>
      </c>
      <c r="E8" s="30" t="s">
        <v>50</v>
      </c>
    </row>
    <row r="9" spans="1:24" ht="20" customHeight="1" x14ac:dyDescent="0.25">
      <c r="A9" s="97" t="str">
        <f>HYPERLINK("#'Input - Site'!A1", "Site")</f>
        <v>Site</v>
      </c>
      <c r="N9" s="39"/>
    </row>
    <row r="10" spans="1:24" ht="20" customHeight="1" x14ac:dyDescent="0.25">
      <c r="A10" s="17" t="str">
        <f>HYPERLINK("#'Input - Rice'!A1", "Rice")</f>
        <v>Rice</v>
      </c>
      <c r="D10" s="80" t="s">
        <v>53</v>
      </c>
      <c r="E10" s="79"/>
      <c r="F10" s="81"/>
      <c r="G10" s="76"/>
      <c r="N10" s="39"/>
    </row>
    <row r="11" spans="1:24" ht="20" customHeight="1" x14ac:dyDescent="0.25">
      <c r="A11"/>
      <c r="N11" s="40"/>
    </row>
    <row r="12" spans="1:24" ht="20" customHeight="1" x14ac:dyDescent="0.25">
      <c r="A12"/>
      <c r="D12" s="10" t="s">
        <v>57</v>
      </c>
      <c r="E12" s="55">
        <v>45292</v>
      </c>
      <c r="F12" s="2" t="s">
        <v>48</v>
      </c>
    </row>
    <row r="13" spans="1:24" ht="20" customHeight="1" x14ac:dyDescent="0.25">
      <c r="A13" s="18" t="s">
        <v>51</v>
      </c>
      <c r="D13" s="10" t="s">
        <v>58</v>
      </c>
      <c r="E13" s="58">
        <f>DATE(YEAR(X_Cell_Site_StartDate)+1,MONTH(X_Cell_Site_StartDate),DAY(X_Cell_Site_StartDate))-1</f>
        <v>45657</v>
      </c>
      <c r="F13" s="2" t="s">
        <v>7</v>
      </c>
      <c r="N13" s="35"/>
      <c r="O13" s="35"/>
    </row>
    <row r="14" spans="1:24" ht="20" customHeight="1" x14ac:dyDescent="0.25">
      <c r="A14" s="17" t="str">
        <f>HYPERLINK("#'7.1.1-2 Rice cultivation'!A1", "7.1.1-2 Rice cultivation")</f>
        <v>7.1.1-2 Rice cultivation</v>
      </c>
      <c r="N14" s="35"/>
      <c r="O14" s="35"/>
    </row>
    <row r="15" spans="1:24" ht="20" customHeight="1" x14ac:dyDescent="0.25">
      <c r="A15"/>
      <c r="D15" s="1"/>
      <c r="E15" s="1"/>
      <c r="F15" s="1"/>
      <c r="G15" s="1"/>
      <c r="H15" s="1"/>
      <c r="N15" s="35"/>
      <c r="O15" s="35"/>
    </row>
    <row r="16" spans="1:24" ht="20" customHeight="1" x14ac:dyDescent="0.25">
      <c r="A16"/>
      <c r="D16" s="1"/>
      <c r="E16" s="1"/>
      <c r="F16" s="1"/>
      <c r="G16" s="1"/>
      <c r="H16" s="1"/>
      <c r="N16" s="35"/>
      <c r="O16" s="35"/>
    </row>
    <row r="17" spans="1:25" ht="20" customHeight="1" x14ac:dyDescent="0.25">
      <c r="A17" s="118" t="s">
        <v>1</v>
      </c>
      <c r="D17" s="1"/>
      <c r="E17" s="1"/>
      <c r="F17" s="1"/>
      <c r="G17" s="1"/>
      <c r="H17" s="1"/>
    </row>
    <row r="18" spans="1:25" ht="20" customHeight="1" x14ac:dyDescent="0.25">
      <c r="A18" s="17" t="str">
        <f>HYPERLINK("#'Constants - Rice cultivation'!A1", "Constants - Rice cultivation")</f>
        <v>Constants - Rice cultivation</v>
      </c>
      <c r="D18" s="1"/>
      <c r="E18" s="1"/>
      <c r="F18" s="1"/>
      <c r="G18" s="1"/>
      <c r="H18" s="1"/>
    </row>
    <row r="19" spans="1:25" ht="20" customHeight="1" x14ac:dyDescent="0.25">
      <c r="A19" s="17" t="str">
        <f>HYPERLINK("#'Constants - Common'!A1", "Constants - Common")</f>
        <v>Constants - Common</v>
      </c>
      <c r="D19" s="1"/>
      <c r="E19" s="1"/>
      <c r="F19" s="1"/>
      <c r="G19" s="1"/>
      <c r="H19" s="1"/>
      <c r="N19" s="37"/>
    </row>
    <row r="20" spans="1:25" ht="20" customHeight="1" x14ac:dyDescent="0.25">
      <c r="A20"/>
      <c r="D20" s="1"/>
      <c r="E20" s="1"/>
      <c r="F20" s="1"/>
      <c r="G20" s="1"/>
      <c r="H20" s="1"/>
      <c r="N20" s="38"/>
    </row>
    <row r="21" spans="1:25" ht="20" customHeight="1" x14ac:dyDescent="0.25">
      <c r="A21"/>
      <c r="D21" s="1"/>
      <c r="E21" s="1"/>
      <c r="F21" s="1"/>
      <c r="G21" s="1"/>
      <c r="H21" s="1"/>
    </row>
    <row r="22" spans="1:25" ht="20" customHeight="1" x14ac:dyDescent="0.25">
      <c r="A22"/>
      <c r="D22" s="1"/>
      <c r="E22" s="1"/>
      <c r="F22" s="1"/>
      <c r="G22" s="1"/>
      <c r="H22" s="1"/>
    </row>
    <row r="23" spans="1:25" ht="20" customHeight="1" x14ac:dyDescent="0.25">
      <c r="A23"/>
      <c r="D23" s="1"/>
      <c r="E23" s="1"/>
      <c r="F23" s="1"/>
      <c r="G23" s="1"/>
      <c r="H23" s="1"/>
    </row>
    <row r="24" spans="1:25" ht="20" customHeight="1" x14ac:dyDescent="0.25">
      <c r="A24"/>
      <c r="D24" s="1"/>
      <c r="E24" s="1"/>
      <c r="F24" s="1"/>
      <c r="G24" s="1"/>
      <c r="H24" s="1"/>
    </row>
    <row r="25" spans="1:25" ht="20" customHeight="1" x14ac:dyDescent="0.25">
      <c r="A25"/>
      <c r="D25" s="1"/>
      <c r="E25" s="1"/>
      <c r="F25" s="1"/>
      <c r="G25" s="1"/>
      <c r="H25" s="1"/>
      <c r="N25" s="38"/>
    </row>
    <row r="26" spans="1:25" ht="20" customHeight="1" x14ac:dyDescent="0.25">
      <c r="A26"/>
      <c r="D26" s="1"/>
      <c r="E26" s="1"/>
      <c r="F26" s="1"/>
      <c r="G26" s="1"/>
      <c r="H26" s="1"/>
    </row>
    <row r="27" spans="1:25" ht="20" customHeight="1" x14ac:dyDescent="0.25">
      <c r="A27"/>
      <c r="D27" s="1"/>
      <c r="E27" s="1"/>
      <c r="F27" s="1"/>
      <c r="G27" s="1"/>
      <c r="H27" s="1"/>
    </row>
    <row r="28" spans="1:25" ht="20" customHeight="1" x14ac:dyDescent="0.25">
      <c r="A28"/>
      <c r="D28" s="1"/>
      <c r="E28" s="1"/>
      <c r="F28" s="1"/>
      <c r="G28" s="1"/>
      <c r="H28" s="1"/>
    </row>
    <row r="29" spans="1:25" ht="20" customHeight="1" x14ac:dyDescent="0.25">
      <c r="A29"/>
      <c r="D29" s="1"/>
      <c r="E29" s="1"/>
      <c r="F29" s="1"/>
      <c r="G29" s="1"/>
      <c r="H29" s="1"/>
    </row>
    <row r="30" spans="1:25" ht="20" customHeight="1" x14ac:dyDescent="0.25">
      <c r="A30"/>
      <c r="D30" s="1"/>
      <c r="E30" s="1"/>
      <c r="F30" s="1"/>
      <c r="G30" s="1"/>
      <c r="H30" s="1"/>
      <c r="L30" s="43"/>
      <c r="M30" s="43"/>
      <c r="N30" s="43"/>
      <c r="O30" s="43"/>
      <c r="P30" s="43"/>
      <c r="Q30" s="43"/>
      <c r="R30" s="43"/>
      <c r="S30" s="43"/>
      <c r="T30" s="43"/>
      <c r="U30" s="43"/>
      <c r="V30" s="43"/>
      <c r="W30" s="43"/>
      <c r="X30" s="43"/>
      <c r="Y30" s="43"/>
    </row>
    <row r="31" spans="1:25" ht="20" customHeight="1" x14ac:dyDescent="0.25">
      <c r="A31"/>
      <c r="D31" s="1"/>
      <c r="E31" s="1"/>
      <c r="F31" s="1"/>
      <c r="G31" s="1"/>
      <c r="H31" s="1"/>
      <c r="L31" s="42"/>
      <c r="M31" s="42"/>
      <c r="N31" s="42"/>
      <c r="O31" s="42"/>
      <c r="P31" s="42"/>
      <c r="Q31" s="42"/>
      <c r="R31" s="42"/>
      <c r="S31" s="42"/>
      <c r="T31" s="42"/>
      <c r="U31" s="42"/>
      <c r="V31" s="42"/>
      <c r="W31" s="42"/>
      <c r="X31" s="42"/>
      <c r="Y31" s="42"/>
    </row>
    <row r="32" spans="1:25" ht="20" customHeight="1" x14ac:dyDescent="0.25">
      <c r="A32"/>
      <c r="D32" s="1"/>
      <c r="E32" s="1"/>
      <c r="F32" s="1"/>
      <c r="G32" s="1"/>
      <c r="H32" s="1"/>
      <c r="L32" s="42"/>
      <c r="M32" s="42"/>
      <c r="N32" s="42"/>
      <c r="O32" s="42"/>
      <c r="P32" s="42"/>
      <c r="Q32" s="42"/>
      <c r="R32" s="42"/>
      <c r="S32" s="42"/>
      <c r="T32" s="42"/>
      <c r="U32" s="42"/>
      <c r="V32" s="42"/>
      <c r="W32" s="42"/>
      <c r="X32" s="42"/>
      <c r="Y32" s="42"/>
    </row>
    <row r="33" spans="1:25" ht="20" customHeight="1" x14ac:dyDescent="0.25">
      <c r="A33"/>
      <c r="D33" s="1"/>
      <c r="E33" s="1"/>
      <c r="F33" s="1"/>
      <c r="G33" s="1"/>
      <c r="H33" s="1"/>
      <c r="L33" s="42"/>
      <c r="M33" s="42"/>
      <c r="N33" s="42"/>
      <c r="O33" s="42"/>
      <c r="P33" s="42"/>
      <c r="Q33" s="42"/>
      <c r="R33" s="42"/>
      <c r="S33" s="42"/>
      <c r="T33" s="42"/>
      <c r="U33" s="42"/>
      <c r="V33" s="42"/>
      <c r="W33" s="42"/>
      <c r="X33" s="42"/>
      <c r="Y33" s="42"/>
    </row>
    <row r="34" spans="1:25" ht="20" customHeight="1" x14ac:dyDescent="0.25">
      <c r="A34"/>
      <c r="D34" s="1"/>
      <c r="E34" s="1"/>
      <c r="F34" s="1"/>
      <c r="G34" s="1"/>
      <c r="H34" s="1"/>
      <c r="J34" s="53"/>
      <c r="K34" s="61"/>
      <c r="L34" s="42"/>
      <c r="M34" s="42"/>
      <c r="N34" s="42"/>
      <c r="O34" s="42"/>
      <c r="P34" s="42"/>
      <c r="Q34" s="42"/>
      <c r="R34" s="42"/>
      <c r="S34" s="42"/>
      <c r="T34" s="42"/>
      <c r="U34" s="42"/>
      <c r="V34" s="42"/>
      <c r="W34" s="42"/>
      <c r="X34" s="42"/>
      <c r="Y34" s="42"/>
    </row>
    <row r="35" spans="1:25" ht="20" customHeight="1" x14ac:dyDescent="0.25">
      <c r="A35"/>
      <c r="D35" s="1"/>
      <c r="E35" s="1"/>
      <c r="F35" s="1"/>
      <c r="G35" s="1"/>
      <c r="H35" s="1"/>
      <c r="J35" s="53"/>
      <c r="K35" s="61"/>
      <c r="L35" s="42"/>
      <c r="M35" s="42"/>
      <c r="N35" s="42"/>
      <c r="O35" s="42"/>
      <c r="P35" s="42"/>
      <c r="Q35" s="42"/>
      <c r="R35" s="42"/>
      <c r="S35" s="42"/>
      <c r="T35" s="42"/>
      <c r="U35" s="42"/>
      <c r="V35" s="42"/>
      <c r="W35" s="42"/>
      <c r="X35" s="42"/>
      <c r="Y35" s="42"/>
    </row>
    <row r="36" spans="1:25" ht="20" customHeight="1" x14ac:dyDescent="0.25">
      <c r="A36"/>
      <c r="D36" s="1"/>
      <c r="E36" s="1"/>
      <c r="F36" s="1"/>
      <c r="G36" s="1"/>
      <c r="H36" s="1"/>
      <c r="I36" s="54"/>
      <c r="J36" s="53"/>
      <c r="K36" s="61"/>
      <c r="L36" s="42"/>
      <c r="M36" s="42"/>
      <c r="N36" s="42"/>
      <c r="O36" s="42"/>
      <c r="P36" s="42"/>
      <c r="Q36" s="42"/>
      <c r="R36" s="42"/>
      <c r="S36" s="42"/>
      <c r="T36" s="42"/>
      <c r="U36" s="42"/>
      <c r="V36" s="42"/>
      <c r="W36" s="42"/>
      <c r="X36" s="42"/>
      <c r="Y36" s="42"/>
    </row>
    <row r="37" spans="1:25" ht="20" customHeight="1" x14ac:dyDescent="0.25">
      <c r="A37"/>
      <c r="D37" s="59"/>
      <c r="E37" s="59"/>
      <c r="F37" s="60"/>
      <c r="G37" s="53"/>
      <c r="H37" s="53"/>
      <c r="I37" s="54"/>
      <c r="J37" s="53"/>
      <c r="K37" s="61"/>
      <c r="L37" s="42"/>
      <c r="M37" s="42"/>
      <c r="N37" s="42"/>
      <c r="O37" s="42"/>
      <c r="P37" s="42"/>
      <c r="Q37" s="42"/>
      <c r="R37" s="42"/>
      <c r="S37" s="42"/>
      <c r="T37" s="42"/>
      <c r="U37" s="42"/>
      <c r="V37" s="42"/>
      <c r="W37" s="42"/>
      <c r="X37" s="42"/>
      <c r="Y37" s="42"/>
    </row>
    <row r="38" spans="1:25" ht="20" customHeight="1" x14ac:dyDescent="0.25">
      <c r="A38"/>
      <c r="D38" s="59"/>
      <c r="E38" s="59"/>
      <c r="F38" s="60"/>
      <c r="G38" s="53"/>
      <c r="H38" s="53"/>
      <c r="I38" s="54"/>
      <c r="J38" s="53"/>
      <c r="K38" s="61"/>
      <c r="L38" s="42"/>
      <c r="M38" s="42"/>
      <c r="N38" s="42"/>
      <c r="O38" s="42"/>
      <c r="P38" s="42"/>
      <c r="Q38" s="42"/>
      <c r="R38" s="42"/>
      <c r="S38" s="42"/>
      <c r="T38" s="42"/>
      <c r="U38" s="42"/>
      <c r="V38" s="42"/>
      <c r="W38" s="42"/>
      <c r="X38" s="42"/>
      <c r="Y38" s="42"/>
    </row>
    <row r="39" spans="1:25" ht="20" customHeight="1" x14ac:dyDescent="0.25">
      <c r="A39"/>
      <c r="D39" s="59"/>
      <c r="E39" s="59"/>
      <c r="F39" s="60"/>
      <c r="G39" s="53"/>
      <c r="H39" s="53"/>
      <c r="I39" s="54"/>
      <c r="J39" s="53"/>
      <c r="K39" s="61"/>
      <c r="L39" s="42"/>
      <c r="M39" s="42"/>
      <c r="N39" s="42"/>
      <c r="O39" s="42"/>
      <c r="P39" s="42"/>
      <c r="Q39" s="42"/>
      <c r="R39" s="42"/>
      <c r="S39" s="42"/>
      <c r="T39" s="42"/>
      <c r="U39" s="42"/>
      <c r="V39" s="42"/>
      <c r="W39" s="42"/>
      <c r="X39" s="42"/>
      <c r="Y39" s="42"/>
    </row>
    <row r="40" spans="1:25" ht="20" customHeight="1" x14ac:dyDescent="0.25">
      <c r="A40"/>
      <c r="D40" s="62"/>
      <c r="E40" s="62"/>
      <c r="F40" s="62"/>
      <c r="G40" s="63"/>
      <c r="H40" s="64"/>
      <c r="I40" s="64"/>
      <c r="J40" s="64"/>
      <c r="K40" s="64"/>
      <c r="L40" s="44"/>
      <c r="M40" s="44"/>
      <c r="N40" s="44"/>
      <c r="O40" s="44"/>
      <c r="P40" s="44"/>
      <c r="Q40" s="44"/>
      <c r="R40" s="44"/>
      <c r="S40" s="44"/>
      <c r="T40" s="44"/>
      <c r="U40" s="44"/>
      <c r="V40" s="44"/>
      <c r="W40" s="44"/>
      <c r="X40" s="44"/>
      <c r="Y40" s="44"/>
    </row>
    <row r="41" spans="1:25" ht="20" customHeight="1" x14ac:dyDescent="0.25">
      <c r="A41"/>
    </row>
    <row r="42" spans="1:25" ht="20" customHeight="1" x14ac:dyDescent="0.25">
      <c r="A42"/>
    </row>
    <row r="43" spans="1:25" ht="20" customHeight="1" x14ac:dyDescent="0.25">
      <c r="A43"/>
    </row>
    <row r="44" spans="1:25" ht="20" customHeight="1" x14ac:dyDescent="0.25">
      <c r="A44"/>
    </row>
    <row r="45" spans="1:25" ht="20" customHeight="1" x14ac:dyDescent="0.25">
      <c r="A45"/>
      <c r="D45" s="6"/>
    </row>
    <row r="46" spans="1:25" ht="20" customHeight="1" x14ac:dyDescent="0.25">
      <c r="A46"/>
      <c r="D46" s="6"/>
    </row>
    <row r="47" spans="1:25" ht="20" customHeight="1" x14ac:dyDescent="0.25">
      <c r="A47"/>
      <c r="D47" s="65"/>
      <c r="E47" s="65"/>
      <c r="F47" s="65"/>
      <c r="G47" s="65"/>
      <c r="H47" s="65"/>
    </row>
    <row r="48" spans="1:25" ht="20" customHeight="1" x14ac:dyDescent="0.25">
      <c r="A48"/>
      <c r="D48" s="31"/>
      <c r="E48" s="31"/>
      <c r="F48" s="32"/>
      <c r="G48" s="32"/>
      <c r="H48" s="31"/>
    </row>
    <row r="49" spans="1:8" ht="20" customHeight="1" x14ac:dyDescent="0.25">
      <c r="A49"/>
      <c r="D49" s="31"/>
      <c r="E49" s="31"/>
      <c r="F49" s="32"/>
      <c r="G49" s="32"/>
      <c r="H49" s="31"/>
    </row>
    <row r="50" spans="1:8" ht="20" customHeight="1" x14ac:dyDescent="0.25">
      <c r="A50"/>
      <c r="D50" s="31"/>
      <c r="E50" s="31"/>
      <c r="F50" s="32"/>
      <c r="G50" s="32"/>
      <c r="H50" s="31"/>
    </row>
    <row r="51" spans="1:8" ht="20" customHeight="1" x14ac:dyDescent="0.25">
      <c r="A51"/>
      <c r="D51" s="66"/>
      <c r="E51" s="67"/>
      <c r="F51" s="67"/>
      <c r="G51" s="67"/>
      <c r="H51" s="68"/>
    </row>
    <row r="52" spans="1:8" ht="20" customHeight="1" x14ac:dyDescent="0.25">
      <c r="A52"/>
    </row>
    <row r="53" spans="1:8" ht="20" customHeight="1" x14ac:dyDescent="0.25">
      <c r="A53"/>
    </row>
    <row r="54" spans="1:8" ht="20" customHeight="1" x14ac:dyDescent="0.25">
      <c r="A54"/>
      <c r="G54" s="69"/>
    </row>
    <row r="55" spans="1:8" ht="20" customHeight="1" x14ac:dyDescent="0.25">
      <c r="A55"/>
      <c r="D55" s="6"/>
    </row>
    <row r="56" spans="1:8" ht="20" customHeight="1" x14ac:dyDescent="0.25">
      <c r="A56"/>
    </row>
    <row r="57" spans="1:8" ht="20" customHeight="1" x14ac:dyDescent="0.25">
      <c r="A57"/>
      <c r="D57" s="20"/>
      <c r="F57" s="70"/>
    </row>
    <row r="58" spans="1:8" ht="20" customHeight="1" x14ac:dyDescent="0.25">
      <c r="A58"/>
      <c r="D58" s="1"/>
      <c r="E58" s="71"/>
    </row>
    <row r="59" spans="1:8" ht="20" customHeight="1" x14ac:dyDescent="0.25">
      <c r="A59"/>
      <c r="D59" s="1"/>
      <c r="E59" s="71"/>
    </row>
    <row r="60" spans="1:8" ht="20" customHeight="1" x14ac:dyDescent="0.25">
      <c r="A60"/>
      <c r="D60" s="1"/>
      <c r="E60" s="72"/>
    </row>
    <row r="61" spans="1:8" ht="20" customHeight="1" x14ac:dyDescent="0.25">
      <c r="A61"/>
      <c r="D61" s="1"/>
    </row>
    <row r="62" spans="1:8" ht="20" customHeight="1" x14ac:dyDescent="0.25">
      <c r="A62"/>
    </row>
    <row r="63" spans="1:8" ht="20" customHeight="1" x14ac:dyDescent="0.25">
      <c r="A63"/>
      <c r="D63" s="20"/>
    </row>
    <row r="64" spans="1:8" ht="20" customHeight="1" x14ac:dyDescent="0.25">
      <c r="A64"/>
      <c r="D64" s="1"/>
      <c r="E64" s="71"/>
    </row>
    <row r="65" spans="1:9" ht="20" customHeight="1" x14ac:dyDescent="0.25">
      <c r="A65"/>
      <c r="D65" s="1"/>
      <c r="E65" s="71"/>
    </row>
    <row r="66" spans="1:9" ht="20" customHeight="1" x14ac:dyDescent="0.25">
      <c r="A66"/>
      <c r="D66" s="1"/>
      <c r="E66" s="72"/>
    </row>
    <row r="67" spans="1:9" ht="20" customHeight="1" x14ac:dyDescent="0.25">
      <c r="A67"/>
    </row>
    <row r="68" spans="1:9" ht="20" customHeight="1" x14ac:dyDescent="0.25">
      <c r="A68"/>
    </row>
    <row r="69" spans="1:9" ht="20" customHeight="1" x14ac:dyDescent="0.25">
      <c r="A69"/>
      <c r="D69" s="52"/>
      <c r="E69" s="52"/>
      <c r="F69" s="52"/>
      <c r="G69" s="52"/>
      <c r="H69" s="52"/>
      <c r="I69" s="52"/>
    </row>
    <row r="70" spans="1:9" ht="20" customHeight="1" x14ac:dyDescent="0.25">
      <c r="A70"/>
      <c r="D70" s="52"/>
      <c r="E70" s="52"/>
      <c r="F70" s="52"/>
      <c r="G70" s="52"/>
      <c r="H70" s="52"/>
      <c r="I70" s="52"/>
    </row>
    <row r="71" spans="1:9" ht="20" customHeight="1" x14ac:dyDescent="0.25">
      <c r="A71"/>
      <c r="D71" s="52"/>
      <c r="E71" s="52"/>
      <c r="F71" s="52"/>
      <c r="G71" s="52"/>
      <c r="H71" s="52"/>
      <c r="I71" s="52"/>
    </row>
    <row r="72" spans="1:9" ht="20" customHeight="1" x14ac:dyDescent="0.25">
      <c r="A72"/>
      <c r="D72" s="52"/>
      <c r="E72" s="52"/>
      <c r="F72" s="52"/>
      <c r="G72" s="52"/>
      <c r="H72" s="52"/>
      <c r="I72" s="52"/>
    </row>
    <row r="73" spans="1:9" ht="20" customHeight="1" x14ac:dyDescent="0.25">
      <c r="A73"/>
    </row>
    <row r="74" spans="1:9" ht="20" customHeight="1" x14ac:dyDescent="0.25">
      <c r="A74"/>
    </row>
    <row r="75" spans="1:9" ht="20" customHeight="1" x14ac:dyDescent="0.25">
      <c r="A75"/>
    </row>
    <row r="76" spans="1:9" ht="20" customHeight="1" x14ac:dyDescent="0.25">
      <c r="A76"/>
    </row>
    <row r="77" spans="1:9" ht="20" customHeight="1" x14ac:dyDescent="0.25">
      <c r="A77"/>
    </row>
    <row r="78" spans="1:9" ht="20" customHeight="1" x14ac:dyDescent="0.25">
      <c r="A78"/>
      <c r="D78" s="73"/>
    </row>
    <row r="79" spans="1:9" ht="20" customHeight="1" x14ac:dyDescent="0.25">
      <c r="A79"/>
      <c r="D79" s="73"/>
    </row>
    <row r="80" spans="1:9" ht="20" customHeight="1" x14ac:dyDescent="0.25">
      <c r="A80"/>
      <c r="D80" s="73"/>
    </row>
    <row r="81" spans="1:4" ht="20" customHeight="1" x14ac:dyDescent="0.25">
      <c r="A81"/>
      <c r="D81" s="73"/>
    </row>
    <row r="82" spans="1:4" ht="20" customHeight="1" x14ac:dyDescent="0.25">
      <c r="A82"/>
      <c r="D82" s="73"/>
    </row>
    <row r="83" spans="1:4" ht="20" customHeight="1" x14ac:dyDescent="0.25">
      <c r="A83"/>
    </row>
    <row r="84" spans="1:4" ht="20" customHeight="1" x14ac:dyDescent="0.25">
      <c r="A84"/>
    </row>
    <row r="85" spans="1:4" ht="20" customHeight="1" x14ac:dyDescent="0.25">
      <c r="A85"/>
    </row>
    <row r="86" spans="1:4" ht="20" customHeight="1" x14ac:dyDescent="0.25">
      <c r="A86"/>
    </row>
    <row r="87" spans="1:4" ht="20" customHeight="1" x14ac:dyDescent="0.25">
      <c r="A87"/>
    </row>
    <row r="88" spans="1:4" ht="20" customHeight="1" x14ac:dyDescent="0.25">
      <c r="A88"/>
    </row>
    <row r="89" spans="1:4" ht="20" customHeight="1" x14ac:dyDescent="0.25">
      <c r="A89"/>
    </row>
    <row r="90" spans="1:4" ht="20" customHeight="1" x14ac:dyDescent="0.25">
      <c r="A90"/>
    </row>
    <row r="91" spans="1:4" ht="20" customHeight="1" x14ac:dyDescent="0.25">
      <c r="A91"/>
    </row>
    <row r="92" spans="1:4" ht="20" customHeight="1" x14ac:dyDescent="0.25">
      <c r="A92"/>
    </row>
    <row r="93" spans="1:4" ht="20" customHeight="1" x14ac:dyDescent="0.25">
      <c r="A93"/>
    </row>
    <row r="94" spans="1:4" ht="20" customHeight="1" x14ac:dyDescent="0.25">
      <c r="A94"/>
    </row>
    <row r="95" spans="1:4" ht="20" customHeight="1" x14ac:dyDescent="0.25">
      <c r="A95"/>
    </row>
    <row r="96" spans="1:4"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K363"/>
  <sheetViews>
    <sheetView showGridLines="0" zoomScaleNormal="100" workbookViewId="0">
      <selection activeCell="A19" sqref="A19"/>
    </sheetView>
  </sheetViews>
  <sheetFormatPr defaultRowHeight="20" x14ac:dyDescent="0.25" customHeight="1"/>
  <cols>
    <col min="1" max="1" width="30.7109375" customWidth="1"/>
    <col min="2" max="2" width="4.7109375" customWidth="1"/>
    <col min="3" max="3" width="4.7109375" style="1" customWidth="1"/>
    <col min="4" max="4" width="91.42578125" style="1" customWidth="1"/>
    <col min="5" max="10" width="40.7109375" style="1" customWidth="1"/>
    <col min="11" max="11" width="4.7109375" style="1" customWidth="1"/>
    <col min="12" max="12" width="4.7109375" customWidth="1"/>
  </cols>
  <sheetData>
    <row r="1" spans="1:11" s="56" customFormat="1" ht="30" customHeight="1" x14ac:dyDescent="0.35">
      <c r="A1" s="56" t="e" vm="1">
        <v>#VALUE!</v>
      </c>
      <c r="C1" s="56" t="s">
        <v>106</v>
      </c>
    </row>
    <row r="2" spans="1:11" s="9" customFormat="1" ht="20" customHeight="1" x14ac:dyDescent="0.25">
      <c r="A2"/>
    </row>
    <row r="3" spans="1:11" ht="20" customHeight="1" x14ac:dyDescent="0.25">
      <c r="A3" s="17" t="str">
        <f>HYPERLINK("#'Home'!A1", "Home")</f>
        <v>Home</v>
      </c>
      <c r="C3" s="15"/>
      <c r="D3" s="15"/>
      <c r="E3" s="15"/>
      <c r="F3" s="15"/>
      <c r="G3" s="15"/>
      <c r="H3" s="15"/>
      <c r="I3" s="15"/>
      <c r="J3" s="15"/>
      <c r="K3" s="15"/>
    </row>
    <row r="4" spans="1:11" ht="20" customHeight="1" x14ac:dyDescent="0.25">
      <c r="A4" s="17" t="str">
        <f>HYPERLINK("#'Overview'!A1", "Overview")</f>
        <v>Overview</v>
      </c>
    </row>
    <row r="5" spans="1:11" ht="20" customHeight="1" x14ac:dyDescent="0.25">
      <c r="A5" s="17" t="str">
        <f>HYPERLINK("#'Results'!A1", "Results")</f>
        <v>Results</v>
      </c>
      <c r="D5" s="6" t="s">
        <v>103</v>
      </c>
    </row>
    <row r="6" spans="1:11" ht="20" customHeight="1" x14ac:dyDescent="0.25"/>
    <row r="7" spans="1:11" ht="20" customHeight="1" x14ac:dyDescent="0.25">
      <c r="D7" s="80" t="s">
        <v>104</v>
      </c>
      <c r="E7" s="81"/>
      <c r="F7" s="81"/>
      <c r="G7" s="76"/>
    </row>
    <row r="8" spans="1:11" ht="20" customHeight="1" x14ac:dyDescent="0.25">
      <c r="A8" s="19" t="s">
        <v>0</v>
      </c>
    </row>
    <row r="9" spans="1:11" ht="20" customHeight="1" x14ac:dyDescent="0.25">
      <c r="A9" s="17" t="str">
        <f>HYPERLINK("#'Input - Site'!A1", "Site")</f>
        <v>Site</v>
      </c>
    </row>
    <row r="10" spans="1:11" ht="20" customHeight="1" x14ac:dyDescent="0.25">
      <c r="A10" s="97" t="str">
        <f>HYPERLINK("#'Input - Rice'!A1", "Rice")</f>
        <v>Rice</v>
      </c>
      <c r="D10" s="1" t="str">
        <f>"Number of full growing seasons between "&amp;TEXT(X_Cell_Site_StartDate,"d/m/yy")&amp;" and " &amp; TEXT(X_Cell_Site_EndDate,"d/m/yy") &amp; " that are managed the same way"</f>
        <v>Number of full growing seasons between 1/1/24 and 31/12/24 that are managed the same way</v>
      </c>
      <c r="E10" s="104">
        <v>2</v>
      </c>
      <c r="F10" s="2" t="s">
        <v>151</v>
      </c>
    </row>
    <row r="11" spans="1:11" ht="20" customHeight="1" x14ac:dyDescent="0.25"/>
    <row r="12" spans="1:11" ht="20" customHeight="1" x14ac:dyDescent="0.25">
      <c r="D12" s="6" t="s">
        <v>113</v>
      </c>
    </row>
    <row r="13" spans="1:11" ht="20" customHeight="1" x14ac:dyDescent="0.25">
      <c r="A13" s="18" t="s">
        <v>51</v>
      </c>
    </row>
    <row r="14" spans="1:11" ht="20" customHeight="1" x14ac:dyDescent="0.25">
      <c r="A14" s="17" t="str">
        <f>HYPERLINK("#'7.1.1-2 Rice cultivation'!A1", "7.1.1-2 Rice cultivation")</f>
        <v>7.1.1-2 Rice cultivation</v>
      </c>
      <c r="D14" s="99" t="s">
        <v>131</v>
      </c>
      <c r="E14" s="99" t="s">
        <v>168</v>
      </c>
      <c r="F14" s="99" t="s">
        <v>169</v>
      </c>
      <c r="G14" s="99" t="s">
        <v>115</v>
      </c>
      <c r="H14" s="99" t="s">
        <v>116</v>
      </c>
      <c r="I14" s="99" t="s">
        <v>117</v>
      </c>
      <c r="J14" s="99" t="s">
        <v>118</v>
      </c>
    </row>
    <row r="15" spans="1:11" ht="20" customHeight="1" x14ac:dyDescent="0.25">
      <c r="D15" s="34" t="s">
        <v>152</v>
      </c>
      <c r="E15" s="34">
        <v>2</v>
      </c>
      <c r="F15" s="34">
        <v>0</v>
      </c>
      <c r="G15" s="34">
        <v>2</v>
      </c>
      <c r="H15" s="34">
        <v>0</v>
      </c>
      <c r="I15" s="34">
        <v>2</v>
      </c>
      <c r="J15" s="34">
        <v>0</v>
      </c>
    </row>
    <row r="16" spans="1:11" ht="20" customHeight="1" x14ac:dyDescent="0.25">
      <c r="D16" s="34" t="s">
        <v>153</v>
      </c>
      <c r="E16" s="34">
        <v>0</v>
      </c>
      <c r="F16" s="34">
        <v>2</v>
      </c>
      <c r="G16" s="34">
        <v>0</v>
      </c>
      <c r="H16" s="34">
        <v>2</v>
      </c>
      <c r="I16" s="34">
        <v>0</v>
      </c>
      <c r="J16" s="34">
        <v>2</v>
      </c>
    </row>
    <row r="17" spans="1:10" ht="20" customHeight="1" x14ac:dyDescent="0.25">
      <c r="A17" s="118" t="s">
        <v>1</v>
      </c>
    </row>
    <row r="18" spans="1:10" ht="20" customHeight="1" x14ac:dyDescent="0.25">
      <c r="A18" s="17" t="str">
        <f>HYPERLINK("#'Constants - Rice cultivation'!A1", "Constants - Rice cultivation")</f>
        <v>Constants - Rice cultivation</v>
      </c>
    </row>
    <row r="19" spans="1:10" ht="20" customHeight="1" x14ac:dyDescent="0.25">
      <c r="A19" s="17" t="str">
        <f>HYPERLINK("#'Constants - Common'!A1", "Constants - Common")</f>
        <v>Constants - Common</v>
      </c>
      <c r="D19" s="6" t="s">
        <v>107</v>
      </c>
    </row>
    <row r="20" spans="1:10" ht="20" customHeight="1" x14ac:dyDescent="0.25"/>
    <row r="21" spans="1:10" ht="20" customHeight="1" x14ac:dyDescent="0.25">
      <c r="D21" s="99" t="s">
        <v>109</v>
      </c>
      <c r="E21" s="99" t="s">
        <v>160</v>
      </c>
      <c r="F21" s="99" t="s">
        <v>122</v>
      </c>
      <c r="G21" s="99" t="s">
        <v>121</v>
      </c>
      <c r="H21" s="99" t="s">
        <v>120</v>
      </c>
      <c r="I21" s="99" t="s">
        <v>119</v>
      </c>
      <c r="J21" s="99" t="s">
        <v>158</v>
      </c>
    </row>
    <row r="22" spans="1:10" ht="20" customHeight="1" x14ac:dyDescent="0.25">
      <c r="D22" s="34" t="s">
        <v>140</v>
      </c>
      <c r="E22" s="34">
        <v>100</v>
      </c>
      <c r="F22" s="36" t="s">
        <v>142</v>
      </c>
      <c r="G22" s="36" t="s">
        <v>149</v>
      </c>
      <c r="H22" s="36" t="s">
        <v>155</v>
      </c>
      <c r="I22" s="36" t="s">
        <v>152</v>
      </c>
      <c r="J22" s="34">
        <v>100</v>
      </c>
    </row>
    <row r="23" spans="1:10" ht="20" customHeight="1" x14ac:dyDescent="0.25">
      <c r="D23" s="34" t="s">
        <v>141</v>
      </c>
      <c r="E23" s="34">
        <v>100</v>
      </c>
      <c r="F23" s="36" t="s">
        <v>150</v>
      </c>
      <c r="G23" s="36" t="s">
        <v>147</v>
      </c>
      <c r="H23" s="36" t="s">
        <v>148</v>
      </c>
      <c r="I23" s="36" t="s">
        <v>153</v>
      </c>
      <c r="J23" s="34">
        <v>100</v>
      </c>
    </row>
    <row r="24" spans="1:10" ht="20" customHeight="1" x14ac:dyDescent="0.25"/>
    <row r="25" spans="1:10" ht="20" customHeight="1" x14ac:dyDescent="0.25"/>
    <row r="26" spans="1:10" ht="20" customHeight="1" x14ac:dyDescent="0.25"/>
    <row r="27" spans="1:10" ht="20" customHeight="1" x14ac:dyDescent="0.25"/>
    <row r="28" spans="1:10" ht="20" customHeight="1" x14ac:dyDescent="0.25"/>
    <row r="29" spans="1:10" ht="20" customHeight="1" x14ac:dyDescent="0.25"/>
    <row r="30" spans="1:10" ht="20" customHeight="1" x14ac:dyDescent="0.25"/>
    <row r="31" spans="1:10" ht="20" customHeight="1" x14ac:dyDescent="0.25"/>
    <row r="32" spans="1:10" ht="20" customHeight="1" x14ac:dyDescent="0.25"/>
    <row r="33" spans="1:11" ht="20" customHeight="1" x14ac:dyDescent="0.25"/>
    <row r="34" spans="1:11" ht="20" customHeight="1" x14ac:dyDescent="0.25"/>
    <row r="35" spans="1:11" ht="20" customHeight="1" x14ac:dyDescent="0.25"/>
    <row r="36" spans="1:11" ht="20" customHeight="1" x14ac:dyDescent="0.25"/>
    <row r="37" spans="1:11" ht="20" customHeight="1" x14ac:dyDescent="0.25">
      <c r="C37" s="102"/>
    </row>
    <row r="38" spans="1:11" ht="20" customHeight="1" x14ac:dyDescent="0.25">
      <c r="C38" s="102"/>
    </row>
    <row r="39" spans="1:11" ht="20" customHeight="1" x14ac:dyDescent="0.25"/>
    <row r="40" spans="1:11" s="103" customFormat="1" ht="20" customHeight="1" x14ac:dyDescent="0.25">
      <c r="A40"/>
      <c r="C40" s="1"/>
      <c r="D40" s="1"/>
      <c r="E40" s="1"/>
      <c r="F40" s="1"/>
      <c r="G40" s="1"/>
      <c r="H40" s="1"/>
      <c r="I40" s="1"/>
      <c r="J40" s="1"/>
      <c r="K40" s="1"/>
    </row>
    <row r="41" spans="1:11" s="103" customFormat="1" ht="20" customHeight="1" x14ac:dyDescent="0.25">
      <c r="A41"/>
      <c r="C41" s="1"/>
      <c r="D41" s="1"/>
      <c r="E41" s="1"/>
      <c r="F41" s="1"/>
      <c r="G41" s="1"/>
      <c r="H41" s="1"/>
      <c r="I41" s="1"/>
      <c r="J41" s="1"/>
      <c r="K41" s="1"/>
    </row>
    <row r="42" spans="1:11" ht="20" customHeight="1" x14ac:dyDescent="0.25"/>
    <row r="43" spans="1:11" ht="20" customHeight="1" x14ac:dyDescent="0.25"/>
    <row r="44" spans="1:11" ht="20" customHeight="1" x14ac:dyDescent="0.25"/>
    <row r="45" spans="1:11" ht="20" customHeight="1" x14ac:dyDescent="0.25"/>
    <row r="46" spans="1:11" ht="20" customHeight="1" x14ac:dyDescent="0.25"/>
    <row r="47" spans="1:11" ht="20" customHeight="1" x14ac:dyDescent="0.25"/>
    <row r="48" spans="1:11"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spans="4:4" ht="20" customHeight="1" x14ac:dyDescent="0.25"/>
    <row r="82" spans="4:4" ht="20" customHeight="1" x14ac:dyDescent="0.25"/>
    <row r="83" spans="4:4" ht="20" customHeight="1" x14ac:dyDescent="0.25"/>
    <row r="84" spans="4:4" ht="20" customHeight="1" x14ac:dyDescent="0.25"/>
    <row r="85" spans="4:4" ht="20" customHeight="1" x14ac:dyDescent="0.25"/>
    <row r="86" spans="4:4" ht="20" customHeight="1" x14ac:dyDescent="0.25"/>
    <row r="87" spans="4:4" ht="20" customHeight="1" x14ac:dyDescent="0.25"/>
    <row r="88" spans="4:4" ht="20" customHeight="1" x14ac:dyDescent="0.25">
      <c r="D88" s="6"/>
    </row>
    <row r="89" spans="4:4" ht="20" customHeight="1" x14ac:dyDescent="0.25"/>
    <row r="90" spans="4:4" ht="20" customHeight="1" x14ac:dyDescent="0.25"/>
    <row r="91" spans="4:4" ht="20" customHeight="1" x14ac:dyDescent="0.25"/>
    <row r="92" spans="4:4" ht="20" customHeight="1" x14ac:dyDescent="0.25"/>
    <row r="93" spans="4:4" ht="20" customHeight="1" x14ac:dyDescent="0.25"/>
    <row r="94" spans="4:4" ht="20" customHeight="1" x14ac:dyDescent="0.25"/>
    <row r="95" spans="4:4" ht="20" customHeight="1" x14ac:dyDescent="0.25"/>
    <row r="96" spans="4:4"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363" spans="4:4" x14ac:dyDescent="0.25" ht="20" customHeight="1">
      <c r="D363" s="89"/>
    </row>
  </sheetData>
  <conditionalFormatting sqref="F86">
    <cfRule type="cellIs" dxfId="11" priority="62" operator="lessThan">
      <formula>0</formula>
    </cfRule>
  </conditionalFormatting>
  <conditionalFormatting sqref="F128:F129">
    <cfRule type="cellIs" dxfId="10" priority="21" operator="lessThan">
      <formula>0</formula>
    </cfRule>
  </conditionalFormatting>
  <conditionalFormatting sqref="F140:F141">
    <cfRule type="cellIs" dxfId="9" priority="20" operator="lessThan">
      <formula>0</formula>
    </cfRule>
  </conditionalFormatting>
  <conditionalFormatting sqref="F152:F153">
    <cfRule type="cellIs" dxfId="8" priority="19" operator="lessThan">
      <formula>0</formula>
    </cfRule>
  </conditionalFormatting>
  <conditionalFormatting sqref="F164:F165">
    <cfRule type="cellIs" dxfId="7" priority="18" operator="lessThan">
      <formula>0</formula>
    </cfRule>
  </conditionalFormatting>
  <conditionalFormatting sqref="F252:F253">
    <cfRule type="cellIs" dxfId="6" priority="93" operator="lessThan">
      <formula>0</formula>
    </cfRule>
  </conditionalFormatting>
  <conditionalFormatting sqref="F257:F258">
    <cfRule type="cellIs" dxfId="5" priority="92" operator="lessThan">
      <formula>0</formula>
    </cfRule>
  </conditionalFormatting>
  <conditionalFormatting sqref="F262:F263">
    <cfRule type="cellIs" dxfId="4" priority="91" operator="lessThan">
      <formula>0</formula>
    </cfRule>
  </conditionalFormatting>
  <conditionalFormatting sqref="F286:F287">
    <cfRule type="cellIs" dxfId="3" priority="85" operator="lessThan">
      <formula>0</formula>
    </cfRule>
  </conditionalFormatting>
  <conditionalFormatting sqref="F291:F292">
    <cfRule type="cellIs" dxfId="2" priority="84" operator="lessThan">
      <formula>0</formula>
    </cfRule>
  </conditionalFormatting>
  <conditionalFormatting sqref="F296:F297">
    <cfRule type="cellIs" dxfId="1" priority="83" operator="lessThan">
      <formula>0</formula>
    </cfRule>
  </conditionalFormatting>
  <conditionalFormatting sqref="J211 E212:I212">
    <cfRule type="cellIs" dxfId="0" priority="79" operator="lessThan">
      <formula>0</formula>
    </cfRule>
  </conditionalFormatting>
  <dataValidations count="7">
    <dataValidation type="list" allowBlank="1" showInputMessage="1" showErrorMessage="1" sqref="D279" xr:uid="{4E913AB3-F90B-4C35-BCE1-5DBB8FC05107}">
      <formula1>INDIRECT("Table_SourceData_PoultryMMSStage1[MMS]")</formula1>
    </dataValidation>
    <dataValidation type="list" allowBlank="1" showInputMessage="1" showErrorMessage="1" sqref="E227" xr:uid="{9FB53635-991F-44AA-A123-E8ABEF9EE0A6}">
      <formula1>INDIRECT("Table_SourceData_Dairy_ProductionSystemTemplates[Area]")</formula1>
    </dataValidation>
    <dataValidation type="list" allowBlank="1" showInputMessage="1" showErrorMessage="1" sqref="E251 E256 E261 E295 E290 E285 E163 E151 E127 E139" xr:uid="{00A4EA4C-90D3-4150-979D-4D71C7F37A31}">
      <formula1>"Yes, No"</formula1>
    </dataValidation>
    <dataValidation type="list" allowBlank="1" showInputMessage="1" showErrorMessage="1" sqref="I22:I23" xr:uid="{AC720740-2A9C-4E4D-878A-3A7CD4B2EEAA}">
      <formula1>INDIRECT("Table_Input_AmendmentBlends[Amendment mix name]")</formula1>
    </dataValidation>
    <dataValidation type="list" allowBlank="1" showInputMessage="1" showErrorMessage="1" sqref="F22:F23" xr:uid="{C3A6FB83-0913-4E8C-8135-D4429C93D9E9}">
      <formula1>INDIRECT("Table_SourceData_WaterScalingFactorPreSeason[Water regime prior to cultivation]")</formula1>
    </dataValidation>
    <dataValidation type="list" allowBlank="1" showInputMessage="1" showErrorMessage="1" sqref="G22:G23" xr:uid="{B01AFB5D-37E9-40B5-8F22-A5F286D70DDB}">
      <formula1>INDIRECT("Table_SourceData_WaterScalingFactorGrowingSeason[Water regime type]")</formula1>
    </dataValidation>
    <dataValidation type="list" allowBlank="1" showInputMessage="1" showErrorMessage="1" sqref="H22:H23" xr:uid="{4C831510-5231-467E-A8EA-31B7366B83CB}">
      <formula1>INDIRECT("Table_WaterRegimeSubtypes_" &amp; SUBSTITUTE(G22, " ", "") &amp; "[Sub type]")</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V342"/>
  <sheetViews>
    <sheetView showGridLines="0" topLeftCell="A82" zoomScaleNormal="100" workbookViewId="0">
      <selection activeCell="A19" sqref="A19"/>
    </sheetView>
  </sheetViews>
  <sheetFormatPr defaultRowHeight="20" x14ac:dyDescent="0.25" customHeight="1"/>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1" width="30.7109375" style="1" customWidth="1"/>
    <col min="22" max="22" width="4.7109375" style="1" customWidth="1"/>
  </cols>
  <sheetData>
    <row r="1" spans="1:22" s="8" customFormat="1" ht="30" customHeight="1" x14ac:dyDescent="0.35">
      <c r="A1" s="56" t="e" vm="1">
        <v>#VALUE!</v>
      </c>
      <c r="C1" s="8" t="s">
        <v>105</v>
      </c>
      <c r="M1"/>
    </row>
    <row r="2" spans="1:22" s="9" customFormat="1" ht="20" customHeight="1" x14ac:dyDescent="0.25">
      <c r="A2"/>
      <c r="M2"/>
    </row>
    <row r="3" spans="1:22" ht="20" customHeight="1" x14ac:dyDescent="0.25">
      <c r="A3" s="17" t="str">
        <f>HYPERLINK("#'Home'!A1", "Home")</f>
        <v>Home</v>
      </c>
      <c r="C3" s="4"/>
      <c r="D3" s="4" t="s">
        <v>60</v>
      </c>
      <c r="E3" s="4"/>
      <c r="F3" s="4"/>
      <c r="G3" s="4"/>
      <c r="H3" s="4"/>
      <c r="I3" s="4"/>
      <c r="J3" s="4"/>
      <c r="K3" s="4"/>
      <c r="L3" s="4"/>
      <c r="N3" s="4"/>
      <c r="O3" s="4" t="s">
        <v>61</v>
      </c>
      <c r="P3" s="4"/>
      <c r="Q3" s="4"/>
      <c r="R3" s="4"/>
      <c r="S3" s="4"/>
      <c r="T3" s="4"/>
      <c r="U3" s="4"/>
      <c r="V3" s="4"/>
    </row>
    <row r="4" spans="1:22" ht="20" customHeight="1" x14ac:dyDescent="0.25">
      <c r="A4" s="17" t="str">
        <f>HYPERLINK("#'Overview'!A1", "Overview")</f>
        <v>Overview</v>
      </c>
    </row>
    <row r="5" spans="1:22" ht="20" customHeight="1" x14ac:dyDescent="0.25">
      <c r="A5" s="17" t="str">
        <f>HYPERLINK("#'Results'!A1", "Results")</f>
        <v>Results</v>
      </c>
      <c r="D5" s="6" t="str" cm="1">
        <f t="array" ref="D5">RiceCultivation_Equations.VEERG_7_1_1_1__3_OrganicAmendmentsScalingFactor_Title()</f>
        <v>Organic amendments scaling factor</v>
      </c>
      <c r="E5" s="21"/>
      <c r="F5" s="21"/>
      <c r="G5" s="21"/>
      <c r="H5" s="21"/>
    </row>
    <row r="6" spans="1:22" ht="20" customHeight="1" x14ac:dyDescent="0.25">
      <c r="D6" s="5" t="str" cm="1">
        <f t="array" ref="D6">RiceCultivation_Equations.VEERG_7_1_1_1__3_OrganicAmendmentsScalingFactor_Source()</f>
        <v>VEERG 2026: 7.1.1.1, Equation (3)</v>
      </c>
      <c r="E6" s="21"/>
      <c r="F6" s="21"/>
      <c r="G6" s="21"/>
      <c r="H6" s="21"/>
      <c r="L6" s="21"/>
    </row>
    <row r="7" spans="1:22" ht="20" customHeight="1" x14ac:dyDescent="0.25">
      <c r="D7" s="49" t="str" cm="1">
        <f t="array" ref="D7:D10">RiceCultivation_Equations.VEERG_7_1_1_1__3_OrganicAmendmentsScalingFactor_Variation()</f>
        <v>VARIATION ON SOURCE:</v>
      </c>
      <c r="L7" s="21"/>
    </row>
    <row r="8" spans="1:22" ht="20" customHeight="1" x14ac:dyDescent="0.25">
      <c r="A8" s="19" t="s">
        <v>0</v>
      </c>
      <c r="D8" s="49" t="str">
        <v>Included inorganic fertiliser as amendment as per VEERG equation description:</v>
      </c>
      <c r="L8" s="21"/>
    </row>
    <row r="9" spans="1:22" ht="20" customHeight="1" x14ac:dyDescent="0.25">
      <c r="A9" s="17" t="str">
        <f>HYPERLINK("#'Input - Site'!A1", "Site")</f>
        <v>Site</v>
      </c>
      <c r="D9" s="49" t="str">
        <v>Where inorganic fertiliser is applied to the rice fields rather than organic amendments, SF_o is set to 1.</v>
      </c>
      <c r="L9" s="21"/>
    </row>
    <row r="10" spans="1:22" ht="20" customHeight="1" x14ac:dyDescent="0.25">
      <c r="A10" s="17" t="str">
        <f>HYPERLINK("#'Input - Rice'!A1", "Rice")</f>
        <v>Rice</v>
      </c>
      <c r="D10" s="49" t="str">
        <v>Declared each amendment separately to allow summing in Excel in one equation</v>
      </c>
    </row>
    <row r="11" spans="1:22" ht="20" customHeight="1" x14ac:dyDescent="0.25">
      <c r="D11" s="13" t="s">
        <v>13</v>
      </c>
      <c r="E11" s="13" t="str" cm="1">
        <f t="array" aca="1" ref="E11" ca="1">Common_InputFunctions.Utility_DisplayFunctionName(E43)</f>
        <v>=RiceCultivation_Equations.VEERG_7_1_1_1__3_OrganicAmendmentsScalingFactorVariation</v>
      </c>
      <c r="F11" s="21"/>
      <c r="G11" s="21"/>
      <c r="H11" s="21"/>
      <c r="L11" s="21"/>
    </row>
    <row r="12" spans="1:22" ht="20" customHeight="1" x14ac:dyDescent="0.25">
      <c r="F12" s="5"/>
      <c r="G12" s="21"/>
      <c r="H12" s="21"/>
      <c r="L12" s="21"/>
    </row>
    <row r="13" spans="1:22" ht="20" customHeight="1" x14ac:dyDescent="0.25">
      <c r="A13" s="18" t="s">
        <v>51</v>
      </c>
      <c r="D13" s="21"/>
      <c r="E13" s="21"/>
      <c r="F13" s="21"/>
      <c r="G13" s="21"/>
      <c r="H13" s="21"/>
      <c r="L13" s="21"/>
    </row>
    <row r="14" spans="1:22" ht="20" customHeight="1" x14ac:dyDescent="0.25">
      <c r="A14" s="116" t="str">
        <f>HYPERLINK("#'7.1.1-2 Rice cultivation'!A1", "7.1.1-2 Rice cultivation")</f>
        <v>7.1.1-2 Rice cultivation</v>
      </c>
      <c r="D14" s="47" t="s">
        <v>16</v>
      </c>
      <c r="E14" s="1" t="str" cm="1">
        <f t="array" ref="E14">RiceCultivation_Equations.VEERG_7_1_1_1__3_OrganicAmendmentsScalingFactor_Variable()</f>
        <v>SF_o</v>
      </c>
      <c r="F14" s="21"/>
      <c r="G14" s="21"/>
      <c r="H14" s="21"/>
      <c r="L14" s="21"/>
    </row>
    <row r="15" spans="1:22" ht="20" customHeight="1" x14ac:dyDescent="0.25">
      <c r="D15" s="47" t="s">
        <v>8</v>
      </c>
      <c r="E15" s="48" t="str" cm="1">
        <f t="array" ref="E15">RiceCultivation_Equations.VEERG_7_1_1_1__3_OrganicAmendmentsScalingFactor_Unit()</f>
        <v>dimensionless</v>
      </c>
      <c r="F15" s="6"/>
      <c r="G15" s="21"/>
      <c r="H15" s="21"/>
      <c r="L15" s="21"/>
    </row>
    <row r="16" spans="1:22" ht="20" customHeight="1" x14ac:dyDescent="0.25">
      <c r="D16" s="21"/>
      <c r="E16" s="21"/>
      <c r="F16" s="21"/>
      <c r="G16" s="21"/>
    </row>
    <row r="17" spans="1:11" ht="20" customHeight="1" x14ac:dyDescent="0.25">
      <c r="A17" s="118" t="s">
        <v>1</v>
      </c>
      <c r="D17" s="106" t="str" cm="1">
        <f t="array" ref="D17:E19">_xlfn.CHOOSECOLS(RiceCultivation_Equations.VEERG_7_1_1_1__3_OrganicAmendmentsScalingFactor_Arguments(), 1, 2)</f>
        <v>ROA_o</v>
      </c>
      <c r="E17" s="108" t="str">
        <v>application rate of organic amendment o</v>
      </c>
      <c r="F17" s="107"/>
      <c r="G17" s="106" t="str" cm="1">
        <f t="array" ref="G17:H19">_xlfn.CHOOSECOLS(RiceCultivation_Equations.VEERG_7_1_1_1__3_OrganicAmendmentsScalingFactor_Arguments(), 3,4)</f>
        <v>tonnes/ha</v>
      </c>
      <c r="H17" s="101" t="str">
        <v>Input</v>
      </c>
      <c r="I17" s="105" t="str" cm="1">
        <f t="array" aca="1" ref="I17" ca="1">HYPERLINK(Common_InputFunctions.Utility_SourceHyperlink($D$21),$D$21)</f>
        <v>Table_ROA_o</v>
      </c>
    </row>
    <row r="18" spans="1:11" ht="20" customHeight="1" x14ac:dyDescent="0.25">
      <c r="A18" s="17" t="str">
        <f>HYPERLINK("#'Constants - Rice cultivation'!A1", "Constants - Rice cultivation")</f>
        <v>Constants - Rice cultivation</v>
      </c>
      <c r="D18" s="106" t="str">
        <v>CFOA_o</v>
      </c>
      <c r="E18" s="108" t="str">
        <v>conversion factor of organic amendment o</v>
      </c>
      <c r="F18" s="107"/>
      <c r="G18" s="106" t="str">
        <v>fraction</v>
      </c>
      <c r="H18" s="100" t="str">
        <v>Constant</v>
      </c>
      <c r="I18" s="105" t="str" cm="1">
        <f t="array" aca="1" ref="I18" ca="1">HYPERLINK(Common_InputFunctions.Utility_SourceHyperlink($D$30),$D$30)</f>
        <v>Table_CFOA_o</v>
      </c>
    </row>
    <row r="19" spans="1:11" ht="20" customHeight="1" x14ac:dyDescent="0.25">
      <c r="A19" s="17" t="str">
        <f>HYPERLINK("#'Constants - Common'!A1", "Constants - Common")</f>
        <v>Constants - Common</v>
      </c>
      <c r="D19" s="106" t="str">
        <v>o</v>
      </c>
      <c r="E19" s="108" t="str">
        <v>organic amendment type</v>
      </c>
      <c r="F19" s="107"/>
      <c r="G19" s="106" t="str">
        <v/>
      </c>
      <c r="H19" s="101" t="str">
        <v>Input</v>
      </c>
      <c r="I19" s="105" t="str" cm="1">
        <f t="array" aca="1" ref="I19" ca="1">HYPERLINK(Common_InputFunctions.Utility_SourceHyperlink($D$21),$D$21)</f>
        <v>Table_ROA_o</v>
      </c>
    </row>
    <row r="20" spans="1:11" ht="20" customHeight="1" x14ac:dyDescent="0.25">
      <c r="D20" s="21"/>
      <c r="E20" s="21"/>
      <c r="F20" s="21"/>
      <c r="G20" s="21"/>
      <c r="H20" s="21"/>
    </row>
    <row r="21" spans="1:11" ht="20" customHeight="1" x14ac:dyDescent="0.25">
      <c r="D21" s="83" t="s">
        <v>136</v>
      </c>
      <c r="E21" s="21"/>
      <c r="F21" s="6"/>
      <c r="G21" s="21"/>
    </row>
    <row r="22" spans="1:11" ht="20" customHeight="1" x14ac:dyDescent="0.25">
      <c r="D22" s="82" t="s">
        <v>112</v>
      </c>
      <c r="E22" s="21"/>
      <c r="F22" s="21"/>
      <c r="G22" s="21"/>
      <c r="H22" s="21"/>
    </row>
    <row r="23" spans="1:11" ht="20" customHeight="1" x14ac:dyDescent="0.25">
      <c r="D23" s="99" t="s">
        <v>130</v>
      </c>
      <c r="E23" s="99" t="str">
        <f>'Constants - Rice cultivation'!D39</f>
        <v>Straw incorporated shortly (&lt;30 days) before cultivation</v>
      </c>
      <c r="F23" s="99" t="str">
        <f>'Constants - Rice cultivation'!D40</f>
        <v>Straw incorporated long (&gt;30 days) before cultivation</v>
      </c>
      <c r="G23" s="99" t="str">
        <f>'Constants - Rice cultivation'!D41</f>
        <v>Compost</v>
      </c>
      <c r="H23" s="99" t="str">
        <f>'Constants - Rice cultivation'!D42</f>
        <v>Farm yard manure</v>
      </c>
      <c r="I23" s="99" t="str">
        <f>'Constants - Rice cultivation'!D43</f>
        <v>Green manure</v>
      </c>
      <c r="J23" s="99" t="s">
        <v>114</v>
      </c>
    </row>
    <row r="24" spans="1:11" ht="20" customHeight="1" x14ac:dyDescent="0.25">
      <c r="D24" s="46" t="str" cm="1">
        <f t="array" ref="D24:D28">IFERROR(INDEX(Table_Input_AmendmentBlends[Amendment mix name], _xlfn.SEQUENCE(5)), "")</f>
        <v>Mix 1</v>
      </c>
      <c r="E24" s="46" cm="1">
        <f t="array" ref="E24:E28">IFERROR(INDEX(Table_Input_AmendmentBlends[Straw added &lt; 30 days precultivation (t/ha)], _xlfn.SEQUENCE(5)), 0)</f>
        <v>2</v>
      </c>
      <c r="F24" s="46" cm="1">
        <f t="array" ref="F24:F28">IFERROR(INDEX(Table_Input_AmendmentBlends[Straw added 30+ days pre cultivation (t/ha)], _xlfn.SEQUENCE(5)), 0)</f>
        <v>0</v>
      </c>
      <c r="G24" s="46" cm="1">
        <f t="array" ref="G24:G28">IFERROR(INDEX(Table_Input_AmendmentBlends[Compost (t/ha)], _xlfn.SEQUENCE(5)), 0)</f>
        <v>2</v>
      </c>
      <c r="H24" s="46" cm="1">
        <f t="array" ref="H24:H28">IFERROR(INDEX(Table_Input_AmendmentBlends[Farm yard manure (t/ha)], _xlfn.SEQUENCE(5)), 0)</f>
        <v>0</v>
      </c>
      <c r="I24" s="46" cm="1">
        <f t="array" ref="I24:I28">IFERROR(INDEX(Table_Input_AmendmentBlends[Green manure (t/ha)], _xlfn.SEQUENCE(5)), 0)</f>
        <v>2</v>
      </c>
      <c r="J24" s="46" cm="1">
        <f t="array" ref="J24:J28">IFERROR(INDEX(Table_Input_AmendmentBlends[Inorganic fertiliser (t/ha)], _xlfn.SEQUENCE(5)), 0)</f>
        <v>0</v>
      </c>
      <c r="K24" s="2" t="str">
        <f>G17</f>
        <v>tonnes/ha</v>
      </c>
    </row>
    <row r="25" spans="1:11" ht="20" customHeight="1" x14ac:dyDescent="0.25">
      <c r="D25" s="46" t="str">
        <v>Mix 2</v>
      </c>
      <c r="E25" s="46">
        <v>0</v>
      </c>
      <c r="F25" s="46">
        <v>2</v>
      </c>
      <c r="G25" s="46">
        <v>0</v>
      </c>
      <c r="H25" s="46">
        <v>2</v>
      </c>
      <c r="I25" s="46">
        <v>0</v>
      </c>
      <c r="J25" s="46">
        <v>2</v>
      </c>
    </row>
    <row r="26" spans="1:11" ht="20" customHeight="1" x14ac:dyDescent="0.25">
      <c r="D26" s="46" t="str">
        <v/>
      </c>
      <c r="E26" s="46">
        <v>0</v>
      </c>
      <c r="F26" s="46">
        <v>0</v>
      </c>
      <c r="G26" s="46">
        <v>0</v>
      </c>
      <c r="H26" s="46">
        <v>0</v>
      </c>
      <c r="I26" s="46">
        <v>0</v>
      </c>
      <c r="J26" s="46">
        <v>0</v>
      </c>
    </row>
    <row r="27" spans="1:11" ht="20" customHeight="1" x14ac:dyDescent="0.25">
      <c r="D27" s="46" t="str">
        <v/>
      </c>
      <c r="E27" s="46">
        <v>0</v>
      </c>
      <c r="F27" s="46">
        <v>0</v>
      </c>
      <c r="G27" s="46">
        <v>0</v>
      </c>
      <c r="H27" s="46">
        <v>0</v>
      </c>
      <c r="I27" s="46">
        <v>0</v>
      </c>
      <c r="J27" s="46">
        <v>0</v>
      </c>
    </row>
    <row r="28" spans="1:11" ht="20" customHeight="1" x14ac:dyDescent="0.25">
      <c r="D28" s="46" t="str">
        <v/>
      </c>
      <c r="E28" s="46">
        <v>0</v>
      </c>
      <c r="F28" s="46">
        <v>0</v>
      </c>
      <c r="G28" s="46">
        <v>0</v>
      </c>
      <c r="H28" s="46">
        <v>0</v>
      </c>
      <c r="I28" s="46">
        <v>0</v>
      </c>
      <c r="J28" s="46">
        <v>0</v>
      </c>
    </row>
    <row r="29" spans="1:11" ht="20" customHeight="1" x14ac:dyDescent="0.25"/>
    <row r="30" spans="1:11" ht="20" customHeight="1" x14ac:dyDescent="0.25">
      <c r="D30" s="83" t="s">
        <v>132</v>
      </c>
    </row>
    <row r="31" spans="1:11" ht="20" customHeight="1" x14ac:dyDescent="0.25">
      <c r="D31" s="82" t="s">
        <v>133</v>
      </c>
    </row>
    <row r="32" spans="1:11" ht="20" customHeight="1" x14ac:dyDescent="0.25">
      <c r="D32" s="45" t="s">
        <v>134</v>
      </c>
      <c r="E32" s="45" t="s">
        <v>135</v>
      </c>
    </row>
    <row r="33" spans="4:6" ht="20" customHeight="1" x14ac:dyDescent="0.25">
      <c r="D33" s="46" t="str">
        <f>'Constants - Rice cultivation'!D39</f>
        <v>Straw incorporated shortly (&lt;30 days) before cultivation</v>
      </c>
      <c r="E33" s="46">
        <f>'Constants - Rice cultivation'!E39</f>
        <v>1</v>
      </c>
      <c r="F33" s="2" t="str">
        <f>G18</f>
        <v>fraction</v>
      </c>
    </row>
    <row r="34" spans="4:6" ht="20" customHeight="1" x14ac:dyDescent="0.25">
      <c r="D34" s="46" t="str">
        <f>'Constants - Rice cultivation'!D40</f>
        <v>Straw incorporated long (&gt;30 days) before cultivation</v>
      </c>
      <c r="E34" s="46">
        <f>'Constants - Rice cultivation'!E40</f>
        <v>0.19</v>
      </c>
    </row>
    <row r="35" spans="4:6" ht="20" customHeight="1" x14ac:dyDescent="0.25">
      <c r="D35" s="46" t="str">
        <f>'Constants - Rice cultivation'!D41</f>
        <v>Compost</v>
      </c>
      <c r="E35" s="46">
        <f>'Constants - Rice cultivation'!E41</f>
        <v>0.17</v>
      </c>
    </row>
    <row r="36" spans="4:6" ht="20" customHeight="1" x14ac:dyDescent="0.25">
      <c r="D36" s="46" t="str">
        <f>'Constants - Rice cultivation'!D42</f>
        <v>Farm yard manure</v>
      </c>
      <c r="E36" s="46">
        <f>'Constants - Rice cultivation'!E42</f>
        <v>0.21</v>
      </c>
    </row>
    <row r="37" spans="4:6" ht="20" customHeight="1" x14ac:dyDescent="0.25">
      <c r="D37" s="46" t="str">
        <f>'Constants - Rice cultivation'!D43</f>
        <v>Green manure</v>
      </c>
      <c r="E37" s="46">
        <f>'Constants - Rice cultivation'!E43</f>
        <v>0.45</v>
      </c>
    </row>
    <row r="38" spans="4:6" ht="20" customHeight="1" x14ac:dyDescent="0.25">
      <c r="D38" s="46" t="str">
        <f>'Constants - Rice cultivation'!D44</f>
        <v>Inorganic fertiliser</v>
      </c>
      <c r="E38" s="46">
        <f>'Constants - Rice cultivation'!E44</f>
        <v>1</v>
      </c>
    </row>
    <row r="39" spans="4:6" ht="20" customHeight="1" x14ac:dyDescent="0.25"/>
    <row r="40" spans="4:6" ht="20" customHeight="1" x14ac:dyDescent="0.25">
      <c r="D40" s="83" t="s">
        <v>129</v>
      </c>
    </row>
    <row r="41" spans="4:6" ht="20" customHeight="1" x14ac:dyDescent="0.25">
      <c r="D41" s="82" t="s">
        <v>137</v>
      </c>
    </row>
    <row r="42" spans="4:6" ht="20" customHeight="1" x14ac:dyDescent="0.25">
      <c r="D42" s="45" t="s">
        <v>130</v>
      </c>
      <c r="E42" s="45" t="s">
        <v>138</v>
      </c>
    </row>
    <row r="43" spans="4:6" ht="20" customHeight="1" x14ac:dyDescent="0.25">
      <c r="D43" s="46" t="str" cm="1">
        <f t="array" ref="D43:D47">IFERROR(INDEX(Table_Input_AmendmentBlends[Amendment mix name], _xlfn.SEQUENCE(5)), "")</f>
        <v>Mix 1</v>
      </c>
      <c r="E43" s="46" cm="1">
        <f t="array" ref="E43">RiceCultivation_Equations.VEERG_7_1_1_1__3_OrganicAmendmentsScalingFactorVariation(E24, $E$33, F24, $E$34, G24, $E$35,H24,$E$36, I24,$E$37,J24,$E$38)</f>
        <v>2.3450162437672319</v>
      </c>
    </row>
    <row r="44" spans="4:6" ht="20" customHeight="1" x14ac:dyDescent="0.25">
      <c r="D44" s="46" t="str">
        <v>Mix 2</v>
      </c>
      <c r="E44" s="46" cm="1">
        <f t="array" ref="E44">RiceCultivation_Equations.VEERG_7_1_1_1__3_OrganicAmendmentsScalingFactorVariation(E25, $E$33, F25, $E$34, G25, $E$35,H25,$E$36, I25,$E$37,J25,$E$38)</f>
        <v>2.1982259075210928</v>
      </c>
    </row>
    <row r="45" spans="4:6" ht="20" customHeight="1" x14ac:dyDescent="0.25">
      <c r="D45" s="46" t="str">
        <v/>
      </c>
      <c r="E45" s="46" cm="1">
        <f t="array" ref="E45">RiceCultivation_Equations.VEERG_7_1_1_1__3_OrganicAmendmentsScalingFactorVariation(E26, $E$33, F26, $E$34, G26, $E$35,H26,$E$36, I26,$E$37,J26,$E$38)</f>
        <v>1</v>
      </c>
    </row>
    <row r="46" spans="4:6" ht="20" customHeight="1" x14ac:dyDescent="0.25">
      <c r="D46" s="46" t="str">
        <v/>
      </c>
      <c r="E46" s="46" cm="1">
        <f t="array" ref="E46">RiceCultivation_Equations.VEERG_7_1_1_1__3_OrganicAmendmentsScalingFactorVariation(E27, $E$33, F27, $E$34, G27, $E$35,H27,$E$36, I27,$E$37,J27,$E$38)</f>
        <v>1</v>
      </c>
    </row>
    <row r="47" spans="4:6" ht="20" customHeight="1" x14ac:dyDescent="0.25">
      <c r="D47" s="46" t="str">
        <v/>
      </c>
      <c r="E47" s="46" cm="1">
        <f t="array" ref="E47">RiceCultivation_Equations.VEERG_7_1_1_1__3_OrganicAmendmentsScalingFactorVariation(E28, $E$33, F28, $E$34, G28, $E$35,H28,$E$36, I28,$E$37,J28,$E$38)</f>
        <v>1</v>
      </c>
    </row>
    <row r="48" spans="4:6" ht="20" customHeight="1" x14ac:dyDescent="0.25"/>
    <row r="49" spans="3:12" ht="20" customHeight="1" x14ac:dyDescent="0.25"/>
    <row r="50" spans="3:12" ht="20" customHeight="1" x14ac:dyDescent="0.25">
      <c r="C50" s="41"/>
      <c r="D50" s="41"/>
      <c r="E50" s="41"/>
      <c r="F50" s="41"/>
      <c r="G50" s="41"/>
      <c r="H50" s="41"/>
      <c r="I50" s="41"/>
      <c r="J50" s="41"/>
      <c r="K50" s="41"/>
      <c r="L50" s="41"/>
    </row>
    <row r="51" spans="3:12" ht="20" customHeight="1" x14ac:dyDescent="0.25">
      <c r="D51" s="6" t="str" cm="1">
        <f t="array" ref="D51">RiceCultivation_Equations.VEERG_7_1_1_1__2_EmissionFactorForRiceCultivation_Title()</f>
        <v>Emission factor for rice cultivation</v>
      </c>
    </row>
    <row r="52" spans="3:12" ht="20" customHeight="1" x14ac:dyDescent="0.25">
      <c r="D52" s="5" t="str" cm="1">
        <f t="array" ref="D52">RiceCultivation_Equations.VEERG_7_1_1_1__2_EmissionFactorForRiceCultivation_Source()</f>
        <v>VEERG 2026: 7.1.1.1, Equation (2)</v>
      </c>
    </row>
    <row r="53" spans="3:12" ht="20" customHeight="1" x14ac:dyDescent="0.25">
      <c r="D53" s="13" t="s">
        <v>13</v>
      </c>
      <c r="E53" s="13" t="str" cm="1">
        <f t="array" aca="1" ref="E53" ca="1">Common_InputFunctions.Utility_DisplayFunctionName(K70)</f>
        <v>=RiceCultivation_Equations.VEERG_7_1_1_1__2_EmissionFactorForRiceCultivation</v>
      </c>
    </row>
    <row r="54" spans="3:12" ht="20" customHeight="1" x14ac:dyDescent="0.25"/>
    <row r="55" spans="3:12" ht="20" customHeight="1" x14ac:dyDescent="0.25"/>
    <row r="56" spans="3:12" ht="20" customHeight="1" x14ac:dyDescent="0.25">
      <c r="D56" s="47" t="s">
        <v>16</v>
      </c>
      <c r="E56" s="1" t="str" cm="1">
        <f t="array" ref="E56">RiceCultivation_Equations.VEERG_7_1_1_1__2_EmissionFactorForRiceCultivation_Variable()</f>
        <v>EF_ricewpo</v>
      </c>
    </row>
    <row r="57" spans="3:12" ht="20" customHeight="1" x14ac:dyDescent="0.25">
      <c r="D57" s="47" t="s">
        <v>8</v>
      </c>
      <c r="E57" s="48" t="str" cm="1">
        <f t="array" ref="E57">RiceCultivation_Equations.VEERG_7_1_1_1__2_EmissionFactorForRiceCultivation_Unit()</f>
        <v>kg CH4/ha/day</v>
      </c>
    </row>
    <row r="58" spans="3:12" ht="20" customHeight="1" x14ac:dyDescent="0.25"/>
    <row r="59" spans="3:12" ht="20" customHeight="1" x14ac:dyDescent="0.25">
      <c r="D59" s="106" t="str" cm="1">
        <f t="array" ref="D59:E65">_xlfn.CHOOSECOLS(RiceCultivation_Equations.VEERG_7_1_1_1__2_EmissionFactorForRiceCultivation_Arguments(),1,2)</f>
        <v>EF_c</v>
      </c>
      <c r="E59" s="108" t="str">
        <v>baseline emission factor for continuously flooded fields without organic amendments</v>
      </c>
      <c r="F59" s="109"/>
      <c r="G59" s="107"/>
      <c r="H59" s="106" t="str" cm="1">
        <f t="array" ref="H59:I65">_xlfn.CHOOSECOLS(RiceCultivation_Equations.VEERG_7_1_1_1__2_EmissionFactorForRiceCultivation_Arguments(),3,4)</f>
        <v>kg CH4/ha/day</v>
      </c>
      <c r="I59" s="100" t="str">
        <v>Constant</v>
      </c>
      <c r="J59" s="106">
        <f>SourceData_RiceCultivation_BaselineEF_Data</f>
        <v>1.19</v>
      </c>
    </row>
    <row r="60" spans="3:12" ht="20" customHeight="1" x14ac:dyDescent="0.25">
      <c r="D60" s="106" t="str">
        <v>SF_w</v>
      </c>
      <c r="E60" s="108" t="str">
        <v>scaling factor for water regime during the growing season</v>
      </c>
      <c r="F60" s="109"/>
      <c r="G60" s="107"/>
      <c r="H60" s="106" t="str">
        <v>fraction</v>
      </c>
      <c r="I60" s="100" t="str">
        <v>Constant</v>
      </c>
      <c r="J60" s="105" t="str" cm="1">
        <f t="array" aca="1" ref="J60" ca="1">HYPERLINK(Common_InputFunctions.Utility_SourceHyperlink($D$67), $D$67)</f>
        <v>Table_EF_rice_w_p_o</v>
      </c>
    </row>
    <row r="61" spans="3:12" ht="20" customHeight="1" x14ac:dyDescent="0.25">
      <c r="D61" s="106" t="str">
        <v>SF_p</v>
      </c>
      <c r="E61" s="108" t="str">
        <v>scaling factor for water regime in the pre-season</v>
      </c>
      <c r="F61" s="109"/>
      <c r="G61" s="107"/>
      <c r="H61" s="106" t="str">
        <v>fraction</v>
      </c>
      <c r="I61" s="100" t="str">
        <v>Constant</v>
      </c>
      <c r="J61" s="105" t="str" cm="1">
        <f t="array" aca="1" ref="J61" ca="1">HYPERLINK(Common_InputFunctions.Utility_SourceHyperlink($D$67), $D$67)</f>
        <v>Table_EF_rice_w_p_o</v>
      </c>
    </row>
    <row r="62" spans="3:12" ht="20" customHeight="1" x14ac:dyDescent="0.25">
      <c r="D62" s="106" t="str">
        <v>SF_o</v>
      </c>
      <c r="E62" s="108" t="str">
        <v>scaling factor for type and amount of organic amendments</v>
      </c>
      <c r="F62" s="109"/>
      <c r="G62" s="107"/>
      <c r="H62" s="106" t="str">
        <v>fraction</v>
      </c>
      <c r="I62" s="100" t="str">
        <v>Calculated from 7.1.1.1, (3)</v>
      </c>
      <c r="J62" s="105" t="str" cm="1">
        <f t="array" aca="1" ref="J62" ca="1">HYPERLINK(Common_InputFunctions.Utility_SourceHyperlink($D$67), $D$67)</f>
        <v>Table_EF_rice_w_p_o</v>
      </c>
    </row>
    <row r="63" spans="3:12" ht="20" customHeight="1" x14ac:dyDescent="0.25">
      <c r="D63" s="106" t="str">
        <v>w</v>
      </c>
      <c r="E63" s="108" t="str">
        <v>water regime during growing season</v>
      </c>
      <c r="F63" s="109"/>
      <c r="G63" s="107"/>
      <c r="H63" s="106" t="str">
        <v/>
      </c>
      <c r="I63" s="101" t="str">
        <v>Input</v>
      </c>
      <c r="J63" s="105" t="str" cm="1">
        <f t="array" aca="1" ref="J63" ca="1">HYPERLINK(Common_InputFunctions.Utility_SourceHyperlink($D$67), $D$67)</f>
        <v>Table_EF_rice_w_p_o</v>
      </c>
      <c r="L63" s="21"/>
    </row>
    <row r="64" spans="3:12" ht="20" customHeight="1" x14ac:dyDescent="0.25">
      <c r="D64" s="106" t="str">
        <v>p</v>
      </c>
      <c r="E64" s="108" t="str">
        <v>pre-season water regime</v>
      </c>
      <c r="F64" s="109"/>
      <c r="G64" s="107"/>
      <c r="H64" s="106" t="str">
        <v/>
      </c>
      <c r="I64" s="101" t="str">
        <v>Input</v>
      </c>
      <c r="J64" s="105" t="str" cm="1">
        <f t="array" aca="1" ref="J64" ca="1">HYPERLINK(Common_InputFunctions.Utility_SourceHyperlink($D$67), $D$67)</f>
        <v>Table_EF_rice_w_p_o</v>
      </c>
      <c r="L64" s="21"/>
    </row>
    <row r="65" spans="3:12" ht="20" customHeight="1" x14ac:dyDescent="0.25">
      <c r="D65" s="106" t="str">
        <v>o</v>
      </c>
      <c r="E65" s="108" t="str">
        <v>organic amendment</v>
      </c>
      <c r="F65" s="109"/>
      <c r="G65" s="107"/>
      <c r="H65" s="106" t="str">
        <v/>
      </c>
      <c r="I65" s="101" t="str">
        <v>Input</v>
      </c>
      <c r="J65" s="105" t="str" cm="1">
        <f t="array" aca="1" ref="J65" ca="1">HYPERLINK(Common_InputFunctions.Utility_SourceHyperlink($D$67), $D$67)</f>
        <v>Table_EF_rice_w_p_o</v>
      </c>
    </row>
    <row r="66" spans="3:12" ht="20" customHeight="1" x14ac:dyDescent="0.25"/>
    <row r="67" spans="3:12" ht="20" customHeight="1" x14ac:dyDescent="0.25">
      <c r="D67" s="83" t="s">
        <v>156</v>
      </c>
    </row>
    <row r="68" spans="3:12" ht="20" customHeight="1" x14ac:dyDescent="0.25">
      <c r="D68" s="82" t="s">
        <v>157</v>
      </c>
    </row>
    <row r="69" spans="3:12" ht="20" customHeight="1" x14ac:dyDescent="0.25">
      <c r="D69" s="99" t="s">
        <v>139</v>
      </c>
      <c r="E69" s="99" t="s">
        <v>110</v>
      </c>
      <c r="F69" s="99" t="s">
        <v>111</v>
      </c>
      <c r="G69" s="99" t="s">
        <v>130</v>
      </c>
      <c r="H69" s="45" t="s">
        <v>138</v>
      </c>
      <c r="I69" s="45" t="s">
        <v>126</v>
      </c>
      <c r="J69" s="45" t="s">
        <v>124</v>
      </c>
      <c r="K69" s="45" t="s">
        <v>154</v>
      </c>
    </row>
    <row r="70" spans="3:12" ht="20" customHeight="1" x14ac:dyDescent="0.25">
      <c r="D70" s="46" t="str" cm="1">
        <f t="array" ref="D70:D74">IFERROR(INDEX(Table_Input_Regimes[Regime name], _xlfn.SEQUENCE(5)), "")</f>
        <v>Regime 1</v>
      </c>
      <c r="E70" s="46" t="str" cm="1">
        <f t="array" ref="E70:E74">IFERROR(INDEX(Table_Input_Regimes[Pre-cultivation water regime (select)], _xlfn.SEQUENCE(5)), "")</f>
        <v>Non flooded pre-season &lt;180 days</v>
      </c>
      <c r="F70" s="46" t="str" cm="1">
        <f t="array" ref="F70:F74">IFERROR(INDEX(Table_Input_Regimes[Water regime sub-type (select)], _xlfn.SEQUENCE(5)), "")</f>
        <v>Drought prone</v>
      </c>
      <c r="G70" s="46" t="str" cm="1">
        <f t="array" ref="G70:G74">IFERROR(INDEX(Table_Input_Regimes[Amendment blend (select)], _xlfn.SEQUENCE(5)), "")</f>
        <v>Mix 1</v>
      </c>
      <c r="H70" s="46" cm="1">
        <f t="array" ref="H70">Common_InputFunctions.Utility_LookupValueInTableNumber(G70,$D$43:$D$47,$E$43:$E$47)</f>
        <v>2.3450162437672319</v>
      </c>
      <c r="I70" s="46" cm="1">
        <f t="array" ref="I70">Common_InputFunctions.Utility_LookupValueInTableNumber(E70,Table_SourceData_WaterScalingFactorPreSeason[Water regime prior to cultivation],Table_SourceData_WaterScalingFactorPreSeason[SFp])</f>
        <v>1</v>
      </c>
      <c r="J70" s="46" cm="1">
        <f t="array" ref="J70">Common_InputFunctions.Utility_LookupValueInTableNumber(F70,Table_SourceData_WaterScalingFactorGrowingSeason[Water regime sub-type],Table_SourceData_WaterScalingFactorGrowingSeason[SFw])</f>
        <v>0.16</v>
      </c>
      <c r="K70" s="46" cm="1">
        <f t="array" ref="K70">RiceCultivation_Equations.VEERG_7_1_1_1__2_EmissionFactorForRiceCultivation($J$59,J70,I70,H70)</f>
        <v>0.44649109281328092</v>
      </c>
    </row>
    <row r="71" spans="3:12" ht="20" customHeight="1" x14ac:dyDescent="0.25">
      <c r="D71" s="46" t="str">
        <v>Regime 2</v>
      </c>
      <c r="E71" s="46" t="str">
        <v>Flooded pre-season &gt;30 days</v>
      </c>
      <c r="F71" s="46" t="str">
        <v>Single drainage period</v>
      </c>
      <c r="G71" s="46" t="str">
        <v>Mix 2</v>
      </c>
      <c r="H71" s="46" cm="1">
        <f t="array" ref="H71">Common_InputFunctions.Utility_LookupValueInTableNumber(G71,$D$43:$D$47,$E$43:$E$47)</f>
        <v>2.1982259075210928</v>
      </c>
      <c r="I71" s="46" cm="1">
        <f t="array" ref="I71">Common_InputFunctions.Utility_LookupValueInTableNumber(E71,Table_SourceData_WaterScalingFactorPreSeason[Water regime prior to cultivation],Table_SourceData_WaterScalingFactorPreSeason[SFp])</f>
        <v>2.41</v>
      </c>
      <c r="J71" s="46" cm="1">
        <f t="array" ref="J71">Common_InputFunctions.Utility_LookupValueInTableNumber(F71,Table_SourceData_WaterScalingFactorGrowingSeason[Water regime sub-type],Table_SourceData_WaterScalingFactorGrowingSeason[SFw])</f>
        <v>0.71</v>
      </c>
      <c r="K71" s="46" cm="1">
        <f t="array" ref="K71">RiceCultivation_Equations.VEERG_7_1_1_1__2_EmissionFactorForRiceCultivation($J$59,J71,I71,H71)</f>
        <v>4.4760473769276166</v>
      </c>
    </row>
    <row r="72" spans="3:12" ht="20" customHeight="1" x14ac:dyDescent="0.25">
      <c r="D72" s="46" t="str">
        <v/>
      </c>
      <c r="E72" s="46" t="str">
        <v/>
      </c>
      <c r="F72" s="46" t="str">
        <v/>
      </c>
      <c r="G72" s="46" t="str">
        <v/>
      </c>
      <c r="H72" s="46" cm="1">
        <f t="array" ref="H72">Common_InputFunctions.Utility_LookupValueInTableNumber(G72,$D$43:$D$47,$E$43:$E$47)</f>
        <v>1</v>
      </c>
      <c r="I72" s="46" cm="1">
        <f t="array" ref="I72">Common_InputFunctions.Utility_LookupValueInTableNumber(E72,Table_SourceData_WaterScalingFactorPreSeason[Water regime prior to cultivation],Table_SourceData_WaterScalingFactorPreSeason[SFp])</f>
        <v>0</v>
      </c>
      <c r="J72" s="46" cm="1">
        <f t="array" ref="J72">Common_InputFunctions.Utility_LookupValueInTableNumber(F72,Table_SourceData_WaterScalingFactorGrowingSeason[Water regime sub-type],Table_SourceData_WaterScalingFactorGrowingSeason[SFw])</f>
        <v>0</v>
      </c>
      <c r="K72" s="46" cm="1">
        <f t="array" ref="K72">RiceCultivation_Equations.VEERG_7_1_1_1__2_EmissionFactorForRiceCultivation($J$59,J72,I72,H72)</f>
        <v>0</v>
      </c>
    </row>
    <row r="73" spans="3:12" ht="20" customHeight="1" x14ac:dyDescent="0.25">
      <c r="D73" s="46" t="str">
        <v/>
      </c>
      <c r="E73" s="46" t="str">
        <v/>
      </c>
      <c r="F73" s="46" t="str">
        <v/>
      </c>
      <c r="G73" s="46" t="str">
        <v/>
      </c>
      <c r="H73" s="46" cm="1">
        <f t="array" ref="H73">Common_InputFunctions.Utility_LookupValueInTableNumber(G73,$D$43:$D$47,$E$43:$E$47)</f>
        <v>1</v>
      </c>
      <c r="I73" s="46" cm="1">
        <f t="array" ref="I73">Common_InputFunctions.Utility_LookupValueInTableNumber(E73,Table_SourceData_WaterScalingFactorPreSeason[Water regime prior to cultivation],Table_SourceData_WaterScalingFactorPreSeason[SFp])</f>
        <v>0</v>
      </c>
      <c r="J73" s="46" cm="1">
        <f t="array" ref="J73">Common_InputFunctions.Utility_LookupValueInTableNumber(F73,Table_SourceData_WaterScalingFactorGrowingSeason[Water regime sub-type],Table_SourceData_WaterScalingFactorGrowingSeason[SFw])</f>
        <v>0</v>
      </c>
      <c r="K73" s="46" cm="1">
        <f t="array" ref="K73">RiceCultivation_Equations.VEERG_7_1_1_1__2_EmissionFactorForRiceCultivation($J$59,J73,I73,H73)</f>
        <v>0</v>
      </c>
    </row>
    <row r="74" spans="3:12" ht="20" customHeight="1" x14ac:dyDescent="0.25">
      <c r="D74" s="46" t="str">
        <v/>
      </c>
      <c r="E74" s="46" t="str">
        <v/>
      </c>
      <c r="F74" s="46" t="str">
        <v/>
      </c>
      <c r="G74" s="46" t="str">
        <v/>
      </c>
      <c r="H74" s="46" cm="1">
        <f t="array" ref="H74">Common_InputFunctions.Utility_LookupValueInTableNumber(G74,$D$43:$D$47,$E$43:$E$47)</f>
        <v>1</v>
      </c>
      <c r="I74" s="46" cm="1">
        <f t="array" ref="I74">Common_InputFunctions.Utility_LookupValueInTableNumber(E74,Table_SourceData_WaterScalingFactorPreSeason[Water regime prior to cultivation],Table_SourceData_WaterScalingFactorPreSeason[SFp])</f>
        <v>0</v>
      </c>
      <c r="J74" s="46" cm="1">
        <f t="array" ref="J74">Common_InputFunctions.Utility_LookupValueInTableNumber(F74,Table_SourceData_WaterScalingFactorGrowingSeason[Water regime sub-type],Table_SourceData_WaterScalingFactorGrowingSeason[SFw])</f>
        <v>0</v>
      </c>
      <c r="K74" s="46" cm="1">
        <f t="array" ref="K74">RiceCultivation_Equations.VEERG_7_1_1_1__2_EmissionFactorForRiceCultivation($J$59,J74,I74,H74)</f>
        <v>0</v>
      </c>
    </row>
    <row r="75" spans="3:12" ht="20" customHeight="1" x14ac:dyDescent="0.25"/>
    <row r="76" spans="3:12" ht="20" customHeight="1" x14ac:dyDescent="0.25"/>
    <row r="77" spans="3:12" ht="20" customHeight="1" x14ac:dyDescent="0.25">
      <c r="C77" s="41"/>
      <c r="D77" s="41"/>
      <c r="E77" s="41"/>
      <c r="F77" s="41"/>
      <c r="G77" s="41"/>
      <c r="H77" s="41"/>
      <c r="I77" s="41"/>
      <c r="J77" s="41"/>
      <c r="K77" s="41"/>
      <c r="L77" s="41"/>
    </row>
    <row r="78" spans="3:12" ht="20" customHeight="1" x14ac:dyDescent="0.25">
      <c r="D78" s="6" t="str" cm="1">
        <f t="array" ref="D78">RiceCultivation_Equations.VEERG_7_1_1_1__1_MethaneEmissionsFromRiceCultivation_Title()</f>
        <v>Methane emissions from rice cultivation</v>
      </c>
    </row>
    <row r="79" spans="3:12" ht="20" customHeight="1" x14ac:dyDescent="0.25">
      <c r="D79" s="5" t="str" cm="1">
        <f t="array" ref="D79">RiceCultivation_Equations.VEERG_7_1_1_1__1_MethaneEmissionsFromRiceCultivation_Source()</f>
        <v>VEERG 2026: 7.1.1.1, Equation (1)</v>
      </c>
    </row>
    <row r="80" spans="3:12" ht="20" customHeight="1" x14ac:dyDescent="0.25">
      <c r="D80" s="49" t="str" cm="1">
        <f t="array" ref="D80">RiceCultivation_Equations.VEERG_7_1_1_1__1_MethaneEmissionsFromRiceCultivation_Variation()</f>
        <v>Added 'number of seasons' variable as per VEERG description in 7.2.1 'Where there is more than one cropping season per year, Arice,wpo shall be scaled accordingly'</v>
      </c>
    </row>
    <row r="81" spans="4:10" ht="20" customHeight="1" x14ac:dyDescent="0.25">
      <c r="D81" s="13" t="s">
        <v>13</v>
      </c>
      <c r="E81" s="13" t="str" cm="1">
        <f t="array" aca="1" ref="E81" ca="1">Common_InputFunctions.Utility_DisplayFunctionName(G96)</f>
        <v>=RiceCultivation_Equations.VEERG_7_1_1_1__1_MethaneEmissionsFromRiceCultivation</v>
      </c>
    </row>
    <row r="82" spans="4:10" ht="20" customHeight="1" x14ac:dyDescent="0.25"/>
    <row r="83" spans="4:10" ht="20" customHeight="1" x14ac:dyDescent="0.25"/>
    <row r="84" spans="4:10" ht="20" customHeight="1" x14ac:dyDescent="0.25"/>
    <row r="85" spans="4:10" ht="20" customHeight="1" x14ac:dyDescent="0.25">
      <c r="D85" s="47" t="s">
        <v>16</v>
      </c>
      <c r="E85" s="1" t="str" cm="1">
        <f t="array" ref="E85">RiceCultivation_Equations.VEERG_7_1_1_1__1_MethaneEmissionsFromRiceCultivation_Variable()</f>
        <v>E_rice</v>
      </c>
    </row>
    <row r="86" spans="4:10" ht="20" customHeight="1" x14ac:dyDescent="0.25">
      <c r="D86" s="47" t="s">
        <v>8</v>
      </c>
      <c r="E86" s="48" t="str" cm="1">
        <f t="array" ref="E86">RiceCultivation_Equations.VEERG_7_1_1_1__1_MethaneEmissionsFromRiceCultivation_Unit()</f>
        <v>t CH4</v>
      </c>
    </row>
    <row r="87" spans="4:10" ht="20" customHeight="1" x14ac:dyDescent="0.25"/>
    <row r="88" spans="4:10" ht="20" customHeight="1" x14ac:dyDescent="0.25">
      <c r="D88" s="106" t="str" cm="1">
        <f t="array" ref="D88:E91">_xlfn.CHOOSECOLS(RiceCultivation_Equations.VEERG_7_1_1_1__1_MethaneEmissionsFromRiceCultivation_Arguments(),1,2)</f>
        <v>A_ricewpo</v>
      </c>
      <c r="E88" s="108" t="str">
        <v>annual area of rice cultivation under water regime w, pre-season water regime p, and organic amendment condition o</v>
      </c>
      <c r="F88" s="109"/>
      <c r="G88" s="107"/>
      <c r="H88" s="106" t="str" cm="1">
        <f t="array" ref="H88:I91">_xlfn.CHOOSECOLS(RiceCultivation_Equations.VEERG_7_1_1_1__1_MethaneEmissionsFromRiceCultivation_Arguments(),3,4)</f>
        <v>ha</v>
      </c>
      <c r="I88" s="101" t="str">
        <v>Input</v>
      </c>
      <c r="J88" s="105" t="str" cm="1">
        <f t="array" aca="1" ref="J88" ca="1">HYPERLINK(Common_InputFunctions.Utility_SourceHyperlink($D$93), $D$93)</f>
        <v>Table_E_rice</v>
      </c>
    </row>
    <row r="89" spans="4:10" ht="20" customHeight="1" x14ac:dyDescent="0.25">
      <c r="D89" s="106" t="str">
        <v>EF_ricewpo</v>
      </c>
      <c r="E89" s="108" t="str">
        <v>emission factor for rice cultivation under conditions w, p, and o</v>
      </c>
      <c r="F89" s="109"/>
      <c r="G89" s="107"/>
      <c r="H89" s="106" t="str">
        <v>kg CH4/ha/day</v>
      </c>
      <c r="I89" s="100" t="str">
        <v>Calculated from 7.1.1.1, (2)</v>
      </c>
      <c r="J89" s="105" t="str" cm="1">
        <f t="array" aca="1" ref="J89" ca="1">HYPERLINK(Common_InputFunctions.Utility_SourceHyperlink($D$67),$D$67)</f>
        <v>Table_EF_rice_w_p_o</v>
      </c>
    </row>
    <row r="90" spans="4:10" ht="20" customHeight="1" x14ac:dyDescent="0.25">
      <c r="D90" s="106" t="str">
        <v>t_ricewpo</v>
      </c>
      <c r="E90" s="108" t="str">
        <v>cultivation period for rice under conditions w, p, and o</v>
      </c>
      <c r="F90" s="109"/>
      <c r="G90" s="107"/>
      <c r="H90" s="106" t="str">
        <v>days</v>
      </c>
      <c r="I90" s="101" t="str">
        <v>Input</v>
      </c>
      <c r="J90" s="105" t="str" cm="1">
        <f t="array" aca="1" ref="J90" ca="1">HYPERLINK(Common_InputFunctions.Utility_SourceHyperlink($D$93), $D$93)</f>
        <v>Table_E_rice</v>
      </c>
    </row>
    <row r="91" spans="4:10" ht="20" customHeight="1" x14ac:dyDescent="0.25">
      <c r="D91" s="106" t="str">
        <v>s</v>
      </c>
      <c r="E91" s="108" t="str">
        <v>number of cropping seasons in reporting period managed this way</v>
      </c>
      <c r="F91" s="109"/>
      <c r="G91" s="107"/>
      <c r="H91" s="106" t="str">
        <v>seasons</v>
      </c>
      <c r="I91" s="101" t="str">
        <v>Input</v>
      </c>
      <c r="J91" s="106">
        <f>X_Cell_NumberGorwingSeasons</f>
        <v>2</v>
      </c>
    </row>
    <row r="92" spans="4:10" ht="20" customHeight="1" x14ac:dyDescent="0.25"/>
    <row r="93" spans="4:10" ht="20" customHeight="1" x14ac:dyDescent="0.25">
      <c r="D93" s="83" t="s">
        <v>162</v>
      </c>
    </row>
    <row r="94" spans="4:10" ht="20" customHeight="1" x14ac:dyDescent="0.25">
      <c r="D94" s="82" t="s">
        <v>163</v>
      </c>
    </row>
    <row r="95" spans="4:10" ht="20" customHeight="1" x14ac:dyDescent="0.25">
      <c r="D95" s="99" t="s">
        <v>139</v>
      </c>
      <c r="E95" s="99" t="s">
        <v>161</v>
      </c>
      <c r="F95" s="99" t="s">
        <v>167</v>
      </c>
      <c r="G95" s="45" t="s">
        <v>159</v>
      </c>
    </row>
    <row r="96" spans="4:10" ht="20" customHeight="1" x14ac:dyDescent="0.25">
      <c r="D96" s="46" t="str" cm="1">
        <f t="array" ref="D96:D100">IFERROR(INDEX(Table_Input_Regimes[Regime name], _xlfn.SEQUENCE(5)), "")</f>
        <v>Regime 1</v>
      </c>
      <c r="E96" s="46" cm="1">
        <f t="array" ref="E96:E100">IFERROR(INDEX(Table_Input_Regimes[Area under cultivation (hectares)]*J91, _xlfn.SEQUENCE(5)), 0)</f>
        <v>200</v>
      </c>
      <c r="F96" s="46" cm="1">
        <f t="array" ref="F96:F100">IFERROR(INDEX(Table_Input_Regimes[Cultivation period (days)], _xlfn.SEQUENCE(5)), 0)</f>
        <v>100</v>
      </c>
      <c r="G96" s="46" cm="1">
        <f t="array" ref="G96">RiceCultivation_Equations.VEERG_7_1_1_1__1_MethaneEmissionsFromRiceCultivation(E96,K70,F96)</f>
        <v>8.9298218562656189</v>
      </c>
      <c r="H96" s="2" t="str">
        <f>E86</f>
        <v>t CH4</v>
      </c>
    </row>
    <row r="97" spans="4:12" ht="20" customHeight="1" x14ac:dyDescent="0.25">
      <c r="D97" s="46" t="str">
        <v>Regime 2</v>
      </c>
      <c r="E97" s="46">
        <v>200</v>
      </c>
      <c r="F97" s="46">
        <v>100</v>
      </c>
      <c r="G97" s="46" cm="1">
        <f t="array" ref="G97">RiceCultivation_Equations.VEERG_7_1_1_1__1_MethaneEmissionsFromRiceCultivation(E97,K71,F97)</f>
        <v>89.520947538552321</v>
      </c>
    </row>
    <row r="98" spans="4:12" ht="20" customHeight="1" x14ac:dyDescent="0.25">
      <c r="D98" s="46" t="str">
        <v/>
      </c>
      <c r="E98" s="46">
        <v>0</v>
      </c>
      <c r="F98" s="46">
        <v>0</v>
      </c>
      <c r="G98" s="46" cm="1">
        <f t="array" ref="G98">RiceCultivation_Equations.VEERG_7_1_1_1__1_MethaneEmissionsFromRiceCultivation(E98,K72,F98)</f>
        <v>0</v>
      </c>
    </row>
    <row r="99" spans="4:12" ht="20" customHeight="1" x14ac:dyDescent="0.25">
      <c r="D99" s="46" t="str">
        <v/>
      </c>
      <c r="E99" s="46">
        <v>0</v>
      </c>
      <c r="F99" s="46">
        <v>0</v>
      </c>
      <c r="G99" s="46" cm="1">
        <f t="array" ref="G99">RiceCultivation_Equations.VEERG_7_1_1_1__1_MethaneEmissionsFromRiceCultivation(E99,K73,F99)</f>
        <v>0</v>
      </c>
    </row>
    <row r="100" spans="4:12" ht="20" customHeight="1" x14ac:dyDescent="0.25">
      <c r="D100" s="46" t="str">
        <v/>
      </c>
      <c r="E100" s="46">
        <v>0</v>
      </c>
      <c r="F100" s="46">
        <v>0</v>
      </c>
      <c r="G100" s="46" cm="1">
        <f t="array" ref="G100">RiceCultivation_Equations.VEERG_7_1_1_1__1_MethaneEmissionsFromRiceCultivation(E100,K74,F100)</f>
        <v>0</v>
      </c>
    </row>
    <row r="101" spans="4:12" ht="20" customHeight="1" x14ac:dyDescent="0.25"/>
    <row r="102" spans="4:12" ht="20" customHeight="1" x14ac:dyDescent="0.25">
      <c r="D102" s="84" t="s">
        <v>87</v>
      </c>
      <c r="E102" s="85">
        <f>SUM(G96:G100)</f>
        <v>98.450769394817939</v>
      </c>
      <c r="F102" s="86" t="str">
        <f>E86</f>
        <v>t CH4</v>
      </c>
    </row>
    <row r="103" spans="4:12" ht="20" customHeight="1" x14ac:dyDescent="0.25"/>
    <row r="104" spans="4:12" ht="20" customHeight="1" x14ac:dyDescent="0.25">
      <c r="D104" s="50" t="str" cm="1">
        <f t="array" ref="D104:E105">Common_Equations.Common_ConvertCH4ToCO2e_Arguments()</f>
        <v>ECH4</v>
      </c>
      <c r="E104" s="51" t="str">
        <v>Methane emissions (t CH4)</v>
      </c>
      <c r="F104" s="87"/>
      <c r="G104" s="46">
        <f>VEERG_7_1_1_1__1_MethaneEmissionsFromRiceCultivation_Result_Method1</f>
        <v>98.450769394817939</v>
      </c>
    </row>
    <row r="105" spans="4:12" ht="20" customHeight="1" x14ac:dyDescent="0.25">
      <c r="D105" s="50" t="str">
        <v>GWPCH4</v>
      </c>
      <c r="E105" s="51" t="str">
        <v>Global warming potential for methane (t CO2-e / t CH4)</v>
      </c>
      <c r="F105" s="87"/>
      <c r="G105" s="46">
        <f>Common_InputFunctions.Utility_LookupValueInTableNumber("CH4",Table_GWPData[Gas],Table_GWPData[CO2-e factor])</f>
        <v>28</v>
      </c>
    </row>
    <row r="106" spans="4:12" ht="20" customHeight="1" x14ac:dyDescent="0.25"/>
    <row r="107" spans="4:12" ht="20" customHeight="1" x14ac:dyDescent="0.25">
      <c r="D107" s="41" t="s">
        <v>59</v>
      </c>
      <c r="E107" s="41" cm="1">
        <f t="array" ref="E107">Common_Equations.Common_ConvertN2OToCO2e(G104,G105)</f>
        <v>2756.6215430549023</v>
      </c>
      <c r="F107" s="88" t="str" cm="1">
        <f t="array" ref="F107">Common_Equations.Common_ConvertN2OToCO2e_Unit()</f>
        <v>t CO2e</v>
      </c>
    </row>
    <row r="108" spans="4:12" ht="20" customHeight="1" x14ac:dyDescent="0.25"/>
    <row r="109" spans="4:12" ht="20" customHeight="1" x14ac:dyDescent="0.25">
      <c r="D109" s="21"/>
      <c r="E109" s="21"/>
      <c r="F109" s="21"/>
      <c r="G109" s="21"/>
      <c r="H109" s="21"/>
    </row>
    <row r="110" spans="4:12" ht="20" customHeight="1" x14ac:dyDescent="0.25"/>
    <row r="111" spans="4:12" ht="20" customHeight="1" x14ac:dyDescent="0.25"/>
    <row r="112" spans="4:12" ht="20" customHeight="1" x14ac:dyDescent="0.25">
      <c r="H112" s="21"/>
      <c r="L112" s="21"/>
    </row>
    <row r="113" spans="4:12" ht="20" customHeight="1" x14ac:dyDescent="0.25">
      <c r="L113" s="21"/>
    </row>
    <row r="114" spans="4:12" ht="20" customHeight="1" x14ac:dyDescent="0.25">
      <c r="H114" s="21"/>
      <c r="L114" s="21"/>
    </row>
    <row r="115" spans="4:12" ht="20" customHeight="1" x14ac:dyDescent="0.25">
      <c r="H115" s="21"/>
      <c r="L115" s="21"/>
    </row>
    <row r="116" spans="4:12" ht="20" customHeight="1" x14ac:dyDescent="0.25">
      <c r="D116" s="21"/>
      <c r="E116" s="21"/>
      <c r="F116" s="94"/>
      <c r="G116" s="21"/>
      <c r="H116" s="21"/>
      <c r="I116" s="21"/>
      <c r="J116" s="21"/>
      <c r="K116" s="21"/>
      <c r="L116" s="21"/>
    </row>
    <row r="117" spans="4:12" ht="20" customHeight="1" x14ac:dyDescent="0.25">
      <c r="L117" s="21"/>
    </row>
    <row r="118" spans="4:12" ht="20" customHeight="1" x14ac:dyDescent="0.25"/>
    <row r="119" spans="4:12" ht="20" customHeight="1" x14ac:dyDescent="0.25"/>
    <row r="120" spans="4:12" ht="20" customHeight="1" x14ac:dyDescent="0.25"/>
    <row r="121" spans="4:12" ht="20" customHeight="1" x14ac:dyDescent="0.25"/>
    <row r="122" spans="4:12" ht="20" customHeight="1" x14ac:dyDescent="0.25"/>
    <row r="123" spans="4:12" ht="20" customHeight="1" x14ac:dyDescent="0.25"/>
    <row r="124" spans="4:12" ht="20" customHeight="1" x14ac:dyDescent="0.25"/>
    <row r="125" spans="4:12" ht="20" customHeight="1" x14ac:dyDescent="0.25"/>
    <row r="126" spans="4:12" ht="20" customHeight="1" x14ac:dyDescent="0.25"/>
    <row r="127" spans="4:12" ht="20" customHeight="1" x14ac:dyDescent="0.25"/>
    <row r="128" spans="4:12"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row r="184" ht="20" customHeight="1" x14ac:dyDescent="0.25"/>
    <row r="185" ht="20" customHeight="1" x14ac:dyDescent="0.25"/>
    <row r="186" ht="20" customHeight="1" x14ac:dyDescent="0.25"/>
    <row r="187" ht="20" customHeight="1" x14ac:dyDescent="0.25"/>
    <row r="188" ht="20" customHeight="1" x14ac:dyDescent="0.25"/>
    <row r="189" ht="20" customHeight="1" x14ac:dyDescent="0.25"/>
    <row r="190" ht="20" customHeight="1" x14ac:dyDescent="0.25"/>
    <row r="191" ht="20" customHeight="1" x14ac:dyDescent="0.25"/>
    <row r="192"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21"/>
    </row>
    <row r="342" spans="8:8" x14ac:dyDescent="0.25" ht="20" customHeight="1">
      <c r="H342" s="21"/>
    </row>
  </sheetData>
  <dataValidations disablePrompts="1" count="1">
    <dataValidation operator="equal" allowBlank="1" showInputMessage="1" showErrorMessage="1" sqref="P172:U172 Q150:T150 E269 P166:U166 Q143:U144 E228 Q167:U167 G132 I129:K133 F134:K134 F129:F132 H128:H132 G129 F148:K148 I149:K149 F150:K150 T149:U149" xr:uid="{AF7BB680-B75F-4AE8-AA2D-EDF03FCB10D8}"/>
  </dataValidations>
  <pageMargins left="0.7" right="0.7" top="0.75" bottom="0.75" header="0.3" footer="0.3"/>
  <pageSetup paperSize="9" orientation="portrait" r:id="rId1"/>
  <ignoredErrors>
    <ignoredError sqref="I18"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sheetPr>
    <tabColor theme="2" tint="-0.499984740745262"/>
  </sheetPr>
  <dimension ref="A1:AI165"/>
  <sheetViews>
    <sheetView showGridLines="0" zoomScaleNormal="100" workbookViewId="0">
      <selection activeCell="A19" sqref="A19"/>
    </sheetView>
  </sheetViews>
  <sheetFormatPr defaultRowHeight="20" x14ac:dyDescent="0.25" customHeight="1"/>
  <cols>
    <col min="1" max="1" width="30.7109375" customWidth="1"/>
    <col min="2" max="2" width="4.7109375" customWidth="1"/>
    <col min="3" max="3" width="4.7109375" style="1" customWidth="1"/>
    <col min="4" max="4" width="34.28515625" style="1" customWidth="1"/>
    <col min="5" max="5" width="25" style="1" customWidth="1"/>
    <col min="6"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56" t="e" vm="1">
        <v>#VALUE!</v>
      </c>
      <c r="C1" s="8" t="s">
        <v>123</v>
      </c>
      <c r="AG1"/>
      <c r="AH1"/>
      <c r="AI1"/>
    </row>
    <row r="2" spans="1:35" s="9" customFormat="1" ht="20" customHeight="1" x14ac:dyDescent="0.25">
      <c r="A2"/>
      <c r="AG2"/>
      <c r="AH2"/>
      <c r="AI2"/>
    </row>
    <row r="3" spans="1:35" ht="20"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 customHeight="1" x14ac:dyDescent="0.25">
      <c r="A4" s="17" t="str">
        <f>HYPERLINK("#'Overview'!A1", "Overview")</f>
        <v>Overview</v>
      </c>
    </row>
    <row r="5" spans="1:35" ht="20" customHeight="1" x14ac:dyDescent="0.25">
      <c r="A5" s="17" t="str">
        <f>HYPERLINK("#'Results'!A1", "Results")</f>
        <v>Results</v>
      </c>
      <c r="D5" s="6" t="str" cm="1">
        <f t="array" ref="D5">RiceCultivation_SourceData.SourceData_RiceCultivation_WaterScalingFactorGrowingSeason_Title()</f>
        <v>Scaling factor based on the water regime employed during the growing season cultivation period</v>
      </c>
    </row>
    <row r="6" spans="1:35" ht="20" customHeight="1" x14ac:dyDescent="0.25">
      <c r="D6" s="5" t="str" cm="1">
        <f t="array" ref="D6">RiceCultivation_SourceData.SourceData_RiceCultivation_WaterScalingFactorGrowingSeason_Source()</f>
        <v>VEERG 2026: Table A.2.3.1</v>
      </c>
    </row>
    <row r="7" spans="1:35" ht="20" customHeight="1" x14ac:dyDescent="0.25">
      <c r="D7" s="1" t="str" cm="1">
        <f t="array" ref="D7">RiceCultivation_SourceData.SourceData_RiceCultivation_WaterScalingFactorGrowingSeason_Variable()</f>
        <v>SFw</v>
      </c>
      <c r="AG7" s="1"/>
      <c r="AH7" s="1"/>
      <c r="AI7" s="1"/>
    </row>
    <row r="8" spans="1:35" ht="20" customHeight="1" x14ac:dyDescent="0.25">
      <c r="A8" s="19" t="s">
        <v>0</v>
      </c>
      <c r="D8" s="48" t="str" cm="1">
        <f t="array" ref="D8">RiceCultivation_SourceData.SourceData_RiceCultivation_WaterScalingFactorGrowingSeason_Unit()</f>
        <v>fraction</v>
      </c>
      <c r="H8" s="1" t="s">
        <v>143</v>
      </c>
      <c r="J8" s="1" t="s">
        <v>144</v>
      </c>
      <c r="L8" s="1" t="s">
        <v>145</v>
      </c>
      <c r="AG8" s="1"/>
      <c r="AH8" s="1"/>
      <c r="AI8" s="1"/>
    </row>
    <row r="9" spans="1:35" ht="20" customHeight="1" x14ac:dyDescent="0.25">
      <c r="A9" s="17" t="str">
        <f>HYPERLINK("#'Input - Site'!A1", "Site")</f>
        <v>Site</v>
      </c>
      <c r="D9" s="34" t="s">
        <v>108</v>
      </c>
      <c r="E9" s="34" t="s">
        <v>111</v>
      </c>
      <c r="F9" s="34" t="s">
        <v>124</v>
      </c>
      <c r="H9" s="34" t="s">
        <v>146</v>
      </c>
      <c r="J9" s="34" t="s">
        <v>146</v>
      </c>
      <c r="L9" s="34" t="s">
        <v>146</v>
      </c>
      <c r="AG9" s="1"/>
      <c r="AH9" s="1"/>
      <c r="AI9" s="1"/>
    </row>
    <row r="10" spans="1:35" ht="20" customHeight="1" x14ac:dyDescent="0.25">
      <c r="A10" s="17" t="str">
        <f>HYPERLINK("#'Input - Rice'!A1", "Rice")</f>
        <v>Rice</v>
      </c>
      <c r="D10" s="34" t="str" cm="1">
        <f t="array" ref="D10">Common_InputFunctions.Utility_DisplayArrayInTable(RiceCultivation_SourceData.SourceData_RiceCultivation_WaterScalingFactorGrowingSeason_Data(),Table_SourceData_WaterScalingFactorGrowingSeason[[#Headers],[Water regime type]],0)</f>
        <v>Upland</v>
      </c>
      <c r="E10" s="34" t="str" cm="1">
        <f t="array" ref="E10">Common_InputFunctions.Utility_DisplayArrayInTable(RiceCultivation_SourceData.SourceData_RiceCultivation_WaterScalingFactorGrowingSeason_Data(),Table_SourceData_WaterScalingFactorGrowingSeason[[#Headers],[Water regime type]],0)</f>
        <v>Paddy rotation</v>
      </c>
      <c r="F10" s="34" cm="1">
        <f t="array" ref="F10">Common_InputFunctions.Utility_DisplayArrayInTable(RiceCultivation_SourceData.SourceData_RiceCultivation_WaterScalingFactorGrowingSeason_Data(),Table_SourceData_WaterScalingFactorGrowingSeason[[#Headers],[Water regime type]],0)</f>
        <v>0</v>
      </c>
      <c r="H10" s="34" t="str">
        <f>E10</f>
        <v>Paddy rotation</v>
      </c>
      <c r="J10" s="34" t="str">
        <f>E12</f>
        <v>Continuously flooded</v>
      </c>
      <c r="L10" s="34" t="str">
        <f>E15</f>
        <v>Regular rainfed</v>
      </c>
      <c r="AG10" s="1"/>
      <c r="AH10" s="1"/>
      <c r="AI10" s="1"/>
    </row>
    <row r="11" spans="1:35" ht="20" customHeight="1" x14ac:dyDescent="0.25">
      <c r="D11" s="1" t="str" cm="1">
        <f t="array" ref="D11">Common_InputFunctions.Utility_DisplayArrayInTable(RiceCultivation_SourceData.SourceData_RiceCultivation_WaterScalingFactorGrowingSeason_Data(),Table_SourceData_WaterScalingFactorGrowingSeason[[#Headers],[Water regime type]],0)</f>
        <v>Upland</v>
      </c>
      <c r="E11" s="34" t="str" cm="1">
        <f t="array" ref="E11">Common_InputFunctions.Utility_DisplayArrayInTable(RiceCultivation_SourceData.SourceData_RiceCultivation_WaterScalingFactorGrowingSeason_Data(),Table_SourceData_WaterScalingFactorGrowingSeason[[#Headers],[Water regime type]],0)</f>
        <v>Fallow without flooding in previous year</v>
      </c>
      <c r="F11" s="34" cm="1">
        <f t="array" ref="F11">Common_InputFunctions.Utility_DisplayArrayInTable(RiceCultivation_SourceData.SourceData_RiceCultivation_WaterScalingFactorGrowingSeason_Data(),Table_SourceData_WaterScalingFactorGrowingSeason[[#Headers],[Water regime type]],0)</f>
        <v>0</v>
      </c>
      <c r="H11" s="34" t="str">
        <f>E11</f>
        <v>Fallow without flooding in previous year</v>
      </c>
      <c r="J11" s="34" t="str">
        <f>E13</f>
        <v>Single drainage period</v>
      </c>
      <c r="L11" s="34" t="str">
        <f>E16</f>
        <v>Drought prone</v>
      </c>
    </row>
    <row r="12" spans="1:35" ht="20" customHeight="1" x14ac:dyDescent="0.25">
      <c r="D12" s="1" t="str" cm="1">
        <f t="array" ref="D12">Common_InputFunctions.Utility_DisplayArrayInTable(RiceCultivation_SourceData.SourceData_RiceCultivation_WaterScalingFactorGrowingSeason_Data(),Table_SourceData_WaterScalingFactorGrowingSeason[[#Headers],[Water regime type]],0)</f>
        <v>Irrigated</v>
      </c>
      <c r="E12" s="34" t="str" cm="1">
        <f t="array" ref="E12">Common_InputFunctions.Utility_DisplayArrayInTable(RiceCultivation_SourceData.SourceData_RiceCultivation_WaterScalingFactorGrowingSeason_Data(),Table_SourceData_WaterScalingFactorGrowingSeason[[#Headers],[Water regime type]],0)</f>
        <v>Continuously flooded</v>
      </c>
      <c r="F12" s="34" cm="1">
        <f t="array" ref="F12">Common_InputFunctions.Utility_DisplayArrayInTable(RiceCultivation_SourceData.SourceData_RiceCultivation_WaterScalingFactorGrowingSeason_Data(),Table_SourceData_WaterScalingFactorGrowingSeason[[#Headers],[Water regime type]],0)</f>
        <v>1</v>
      </c>
      <c r="J12" s="34" t="str">
        <f>E14</f>
        <v>Multiple drainage periods</v>
      </c>
      <c r="L12" s="34" t="str">
        <f>E17</f>
        <v>Deep water</v>
      </c>
    </row>
    <row r="13" spans="1:35" ht="20" customHeight="1" x14ac:dyDescent="0.25">
      <c r="A13" s="18" t="s">
        <v>51</v>
      </c>
      <c r="D13" s="1" t="str" cm="1">
        <f t="array" ref="D13">Common_InputFunctions.Utility_DisplayArrayInTable(RiceCultivation_SourceData.SourceData_RiceCultivation_WaterScalingFactorGrowingSeason_Data(),Table_SourceData_WaterScalingFactorGrowingSeason[[#Headers],[Water regime type]],0)</f>
        <v>Irrigated</v>
      </c>
      <c r="E13" s="34" t="str" cm="1">
        <f t="array" ref="E13">Common_InputFunctions.Utility_DisplayArrayInTable(RiceCultivation_SourceData.SourceData_RiceCultivation_WaterScalingFactorGrowingSeason_Data(),Table_SourceData_WaterScalingFactorGrowingSeason[[#Headers],[Water regime type]],0)</f>
        <v>Single drainage period</v>
      </c>
      <c r="F13" s="34" cm="1">
        <f t="array" ref="F13">Common_InputFunctions.Utility_DisplayArrayInTable(RiceCultivation_SourceData.SourceData_RiceCultivation_WaterScalingFactorGrowingSeason_Data(),Table_SourceData_WaterScalingFactorGrowingSeason[[#Headers],[Water regime type]],0)</f>
        <v>0.71</v>
      </c>
    </row>
    <row r="14" spans="1:35" ht="20" customHeight="1" x14ac:dyDescent="0.25">
      <c r="A14" s="17" t="str">
        <f>HYPERLINK("#'7.1.1-2 Rice cultivation'!A1", "7.1.1-2 Rice cultivation")</f>
        <v>7.1.1-2 Rice cultivation</v>
      </c>
      <c r="D14" s="1" t="str" cm="1">
        <f t="array" ref="D14">Common_InputFunctions.Utility_DisplayArrayInTable(RiceCultivation_SourceData.SourceData_RiceCultivation_WaterScalingFactorGrowingSeason_Data(),Table_SourceData_WaterScalingFactorGrowingSeason[[#Headers],[Water regime type]],0)</f>
        <v>Irrigated</v>
      </c>
      <c r="E14" s="34" t="str" cm="1">
        <f t="array" ref="E14">Common_InputFunctions.Utility_DisplayArrayInTable(RiceCultivation_SourceData.SourceData_RiceCultivation_WaterScalingFactorGrowingSeason_Data(),Table_SourceData_WaterScalingFactorGrowingSeason[[#Headers],[Water regime type]],0)</f>
        <v>Multiple drainage periods</v>
      </c>
      <c r="F14" s="34" cm="1">
        <f t="array" ref="F14">Common_InputFunctions.Utility_DisplayArrayInTable(RiceCultivation_SourceData.SourceData_RiceCultivation_WaterScalingFactorGrowingSeason_Data(),Table_SourceData_WaterScalingFactorGrowingSeason[[#Headers],[Water regime type]],0)</f>
        <v>0.55000000000000004</v>
      </c>
    </row>
    <row r="15" spans="1:35" ht="20" customHeight="1" x14ac:dyDescent="0.25">
      <c r="D15" s="1" t="str" cm="1">
        <f t="array" ref="D15">Common_InputFunctions.Utility_DisplayArrayInTable(RiceCultivation_SourceData.SourceData_RiceCultivation_WaterScalingFactorGrowingSeason_Data(),Table_SourceData_WaterScalingFactorGrowingSeason[[#Headers],[Water regime type]],0)</f>
        <v>Rainfed and deep water</v>
      </c>
      <c r="E15" s="34" t="str" cm="1">
        <f t="array" ref="E15">Common_InputFunctions.Utility_DisplayArrayInTable(RiceCultivation_SourceData.SourceData_RiceCultivation_WaterScalingFactorGrowingSeason_Data(),Table_SourceData_WaterScalingFactorGrowingSeason[[#Headers],[Water regime type]],0)</f>
        <v>Regular rainfed</v>
      </c>
      <c r="F15" s="34" cm="1">
        <f t="array" ref="F15">Common_InputFunctions.Utility_DisplayArrayInTable(RiceCultivation_SourceData.SourceData_RiceCultivation_WaterScalingFactorGrowingSeason_Data(),Table_SourceData_WaterScalingFactorGrowingSeason[[#Headers],[Water regime type]],0)</f>
        <v>0.54</v>
      </c>
    </row>
    <row r="16" spans="1:35" ht="20" customHeight="1" x14ac:dyDescent="0.25">
      <c r="D16" s="1" t="str" cm="1">
        <f t="array" ref="D16">Common_InputFunctions.Utility_DisplayArrayInTable(RiceCultivation_SourceData.SourceData_RiceCultivation_WaterScalingFactorGrowingSeason_Data(),Table_SourceData_WaterScalingFactorGrowingSeason[[#Headers],[Water regime type]],0)</f>
        <v>Rainfed and deep water</v>
      </c>
      <c r="E16" s="34" t="str" cm="1">
        <f t="array" ref="E16">Common_InputFunctions.Utility_DisplayArrayInTable(RiceCultivation_SourceData.SourceData_RiceCultivation_WaterScalingFactorGrowingSeason_Data(),Table_SourceData_WaterScalingFactorGrowingSeason[[#Headers],[Water regime type]],0)</f>
        <v>Drought prone</v>
      </c>
      <c r="F16" s="34" cm="1">
        <f t="array" ref="F16">Common_InputFunctions.Utility_DisplayArrayInTable(RiceCultivation_SourceData.SourceData_RiceCultivation_WaterScalingFactorGrowingSeason_Data(),Table_SourceData_WaterScalingFactorGrowingSeason[[#Headers],[Water regime type]],0)</f>
        <v>0.16</v>
      </c>
    </row>
    <row r="17" spans="1:6" ht="20" customHeight="1" x14ac:dyDescent="0.25">
      <c r="A17" s="118" t="s">
        <v>1</v>
      </c>
      <c r="D17" s="1" t="str" cm="1">
        <f t="array" ref="D17">Common_InputFunctions.Utility_DisplayArrayInTable(RiceCultivation_SourceData.SourceData_RiceCultivation_WaterScalingFactorGrowingSeason_Data(),Table_SourceData_WaterScalingFactorGrowingSeason[[#Headers],[Water regime type]],0)</f>
        <v>Rainfed and deep water</v>
      </c>
      <c r="E17" s="34" t="str" cm="1">
        <f t="array" ref="E17">Common_InputFunctions.Utility_DisplayArrayInTable(RiceCultivation_SourceData.SourceData_RiceCultivation_WaterScalingFactorGrowingSeason_Data(),Table_SourceData_WaterScalingFactorGrowingSeason[[#Headers],[Water regime type]],0)</f>
        <v>Deep water</v>
      </c>
      <c r="F17" s="34" cm="1">
        <f t="array" ref="F17">Common_InputFunctions.Utility_DisplayArrayInTable(RiceCultivation_SourceData.SourceData_RiceCultivation_WaterScalingFactorGrowingSeason_Data(),Table_SourceData_WaterScalingFactorGrowingSeason[[#Headers],[Water regime type]],0)</f>
        <v>0.06</v>
      </c>
    </row>
    <row r="18" spans="1:6" ht="20" customHeight="1" x14ac:dyDescent="0.25">
      <c r="A18" s="117" t="str">
        <f>HYPERLINK("#'Constants - Rice cultivation'!A1", "Constants - Rice cultivation")</f>
        <v>Constants - Rice cultivation</v>
      </c>
    </row>
    <row r="19" spans="1:6" ht="20" customHeight="1" x14ac:dyDescent="0.25">
      <c r="A19" s="17" t="str">
        <f>HYPERLINK("#'Constants - Common'!A1", "Constants - Common")</f>
        <v>Constants - Common</v>
      </c>
    </row>
    <row r="20" spans="1:6" ht="20" customHeight="1" x14ac:dyDescent="0.25">
      <c r="D20" s="6" t="str" cm="1">
        <f t="array" ref="D20">RiceCultivation_SourceData.SourceData_RiceCultivation_WaterScalingFactorPreSeason_Title()</f>
        <v>Scaling factor based on the water regime employed in the pre - season before the growing period</v>
      </c>
    </row>
    <row r="21" spans="1:6" ht="20" customHeight="1" x14ac:dyDescent="0.25">
      <c r="D21" s="5" t="str" cm="1">
        <f t="array" ref="D21">RiceCultivation_SourceData.SourceData_RiceCultivation_WaterScalingFactorPreSeason_Source()</f>
        <v>VEERG 2026: Table A.2.3.2</v>
      </c>
    </row>
    <row r="22" spans="1:6" ht="20" customHeight="1" x14ac:dyDescent="0.25">
      <c r="D22" s="1" t="str" cm="1">
        <f t="array" ref="D22">RiceCultivation_SourceData.SourceData_RiceCultivation_WaterScalingFactorPreSeason_Variable()</f>
        <v>SFp</v>
      </c>
    </row>
    <row r="23" spans="1:6" ht="20" customHeight="1" x14ac:dyDescent="0.25">
      <c r="D23" s="48" t="str" cm="1">
        <f t="array" ref="D23">RiceCultivation_SourceData.SourceData_RiceCultivation_WaterScalingFactorPreSeason_Unit()</f>
        <v>fraction</v>
      </c>
    </row>
    <row r="24" spans="1:6" ht="20" customHeight="1" x14ac:dyDescent="0.25">
      <c r="D24" s="34" t="s">
        <v>125</v>
      </c>
      <c r="E24" s="34" t="s">
        <v>126</v>
      </c>
    </row>
    <row r="25" spans="1:6" ht="20" customHeight="1" x14ac:dyDescent="0.25">
      <c r="D25" s="34" t="str" cm="1">
        <f t="array" ref="D25">Common_InputFunctions.Utility_DisplayArrayInTable(RiceCultivation_SourceData.SourceData_RiceCultivation_WaterScalingFactorPreSeason_Data(),Table_SourceData_WaterScalingFactorPreSeason[[#Headers],[Water regime prior to cultivation]], 0)</f>
        <v>Non flooded pre-season &lt;180 days</v>
      </c>
      <c r="E25" s="34" cm="1">
        <f t="array" ref="E25">Common_InputFunctions.Utility_DisplayArrayInTable(RiceCultivation_SourceData.SourceData_RiceCultivation_WaterScalingFactorPreSeason_Data(),Table_SourceData_WaterScalingFactorPreSeason[[#Headers],[Water regime prior to cultivation]], 0)</f>
        <v>1</v>
      </c>
    </row>
    <row r="26" spans="1:6" ht="20" customHeight="1" x14ac:dyDescent="0.25">
      <c r="D26" s="1" t="str" cm="1">
        <f t="array" ref="D26">Common_InputFunctions.Utility_DisplayArrayInTable(RiceCultivation_SourceData.SourceData_RiceCultivation_WaterScalingFactorPreSeason_Data(),Table_SourceData_WaterScalingFactorPreSeason[[#Headers],[Water regime prior to cultivation]], 0)</f>
        <v>Non flooded pre-season &gt;180 days</v>
      </c>
      <c r="E26" s="34" cm="1">
        <f t="array" ref="E26">Common_InputFunctions.Utility_DisplayArrayInTable(RiceCultivation_SourceData.SourceData_RiceCultivation_WaterScalingFactorPreSeason_Data(),Table_SourceData_WaterScalingFactorPreSeason[[#Headers],[Water regime prior to cultivation]], 0)</f>
        <v>0.89</v>
      </c>
    </row>
    <row r="27" spans="1:6" ht="20" customHeight="1" x14ac:dyDescent="0.25">
      <c r="D27" s="1" t="str" cm="1">
        <f t="array" ref="D27">Common_InputFunctions.Utility_DisplayArrayInTable(RiceCultivation_SourceData.SourceData_RiceCultivation_WaterScalingFactorPreSeason_Data(),Table_SourceData_WaterScalingFactorPreSeason[[#Headers],[Water regime prior to cultivation]], 0)</f>
        <v>Flooded pre-season &gt;30 days</v>
      </c>
      <c r="E27" s="34" cm="1">
        <f t="array" ref="E27">Common_InputFunctions.Utility_DisplayArrayInTable(RiceCultivation_SourceData.SourceData_RiceCultivation_WaterScalingFactorPreSeason_Data(),Table_SourceData_WaterScalingFactorPreSeason[[#Headers],[Water regime prior to cultivation]], 0)</f>
        <v>2.41</v>
      </c>
    </row>
    <row r="28" spans="1:6" ht="20" customHeight="1" x14ac:dyDescent="0.25">
      <c r="D28" s="1" t="str" cm="1">
        <f t="array" ref="D28">Common_InputFunctions.Utility_DisplayArrayInTable(RiceCultivation_SourceData.SourceData_RiceCultivation_WaterScalingFactorPreSeason_Data(),Table_SourceData_WaterScalingFactorPreSeason[[#Headers],[Water regime prior to cultivation]], 0)</f>
        <v>Non-flooded pre-season &gt;365 days</v>
      </c>
      <c r="E28" s="34" cm="1">
        <f t="array" ref="E28">Common_InputFunctions.Utility_DisplayArrayInTable(RiceCultivation_SourceData.SourceData_RiceCultivation_WaterScalingFactorPreSeason_Data(),Table_SourceData_WaterScalingFactorPreSeason[[#Headers],[Water regime prior to cultivation]], 0)</f>
        <v>0.59</v>
      </c>
    </row>
    <row r="29" spans="1:6" ht="20" customHeight="1" x14ac:dyDescent="0.25"/>
    <row r="30" spans="1:6" ht="20" customHeight="1" x14ac:dyDescent="0.25"/>
    <row r="31" spans="1:6" ht="20" customHeight="1" x14ac:dyDescent="0.25">
      <c r="D31" s="6" t="str" cm="1">
        <f t="array" ref="D31">RiceCultivation_SourceData.SourceData_RiceCultivation_OrganicAmendmentConversionFactor_Title()</f>
        <v>Conversion factor for organic amendment i</v>
      </c>
    </row>
    <row r="32" spans="1:6" ht="20" customHeight="1" x14ac:dyDescent="0.25">
      <c r="D32" s="5" t="str" cm="1">
        <f t="array" ref="D32">RiceCultivation_SourceData.SourceData_RiceCultivation_OrganicAmendmentConversionFactor_Source()</f>
        <v>VEERG 2026: Table A.2.3.3</v>
      </c>
    </row>
    <row r="33" spans="4:5" ht="20" customHeight="1" x14ac:dyDescent="0.25">
      <c r="D33" s="49" t="str" cm="1">
        <f t="array" ref="D33:D35">RiceCultivation_SourceData.SourceData_RiceCultivation_OrganicAmendmentConversionFactor_Variation()</f>
        <v>VARIATION ON SOURCE:</v>
      </c>
    </row>
    <row r="34" spans="4:5" ht="20" customHeight="1" x14ac:dyDescent="0.25">
      <c r="D34" s="49" t="str">
        <v>Included inorganic fertiliser as amendment as per VEERG equation description:</v>
      </c>
    </row>
    <row r="35" spans="4:5" ht="20" customHeight="1" x14ac:dyDescent="0.25">
      <c r="D35" s="49" t="str">
        <v>Where inorganic fertiliser is applied to the rice fields rather than organic amendments, SF_o is set to 1.</v>
      </c>
    </row>
    <row r="36" spans="4:5" ht="20" customHeight="1" x14ac:dyDescent="0.25">
      <c r="D36" s="1" t="str" cm="1">
        <f t="array" ref="D36">RiceCultivation_SourceData.SourceData_RiceCultivation_OrganicAmendmentConversionFactor_Variable()</f>
        <v>CFOAi</v>
      </c>
    </row>
    <row r="37" spans="4:5" ht="20" customHeight="1" x14ac:dyDescent="0.25">
      <c r="D37" s="48" t="str" cm="1">
        <f t="array" ref="D37">RiceCultivation_SourceData.SourceData_RiceCultivation_OrganicAmendmentConversionFactor_Unit()</f>
        <v>fraction</v>
      </c>
    </row>
    <row r="38" spans="4:5" ht="20" customHeight="1" x14ac:dyDescent="0.25">
      <c r="D38" s="34" t="s">
        <v>127</v>
      </c>
      <c r="E38" s="34" t="s">
        <v>128</v>
      </c>
    </row>
    <row r="39" spans="4:5" ht="20" customHeight="1" x14ac:dyDescent="0.25">
      <c r="D39" s="34" t="str" cm="1">
        <f t="array" ref="D39">Common_InputFunctions.Utility_DisplayArrayInTable(RiceCultivation_SourceData.SourceData_RiceCultivation_OrganicAmendmentConversionFactor_Data(),Table15[[#Headers],[Organic amendment i]],0)</f>
        <v>Straw incorporated shortly (&lt;30 days) before cultivation</v>
      </c>
      <c r="E39" s="34" cm="1">
        <f t="array" ref="E39">Common_InputFunctions.Utility_DisplayArrayInTable(RiceCultivation_SourceData.SourceData_RiceCultivation_OrganicAmendmentConversionFactor_Data(),Table15[[#Headers],[Organic amendment i]],0)</f>
        <v>1</v>
      </c>
    </row>
    <row r="40" spans="4:5" ht="20" customHeight="1" x14ac:dyDescent="0.25">
      <c r="D40" s="1" t="str" cm="1">
        <f t="array" ref="D40">Common_InputFunctions.Utility_DisplayArrayInTable(RiceCultivation_SourceData.SourceData_RiceCultivation_OrganicAmendmentConversionFactor_Data(),Table15[[#Headers],[Organic amendment i]],0)</f>
        <v>Straw incorporated long (&gt;30 days) before cultivation</v>
      </c>
      <c r="E40" s="34" cm="1">
        <f t="array" ref="E40">Common_InputFunctions.Utility_DisplayArrayInTable(RiceCultivation_SourceData.SourceData_RiceCultivation_OrganicAmendmentConversionFactor_Data(),Table15[[#Headers],[Organic amendment i]],0)</f>
        <v>0.19</v>
      </c>
    </row>
    <row r="41" spans="4:5" ht="20" customHeight="1" x14ac:dyDescent="0.25">
      <c r="D41" s="1" t="str" cm="1">
        <f t="array" ref="D41">Common_InputFunctions.Utility_DisplayArrayInTable(RiceCultivation_SourceData.SourceData_RiceCultivation_OrganicAmendmentConversionFactor_Data(),Table15[[#Headers],[Organic amendment i]],0)</f>
        <v>Compost</v>
      </c>
      <c r="E41" s="34" cm="1">
        <f t="array" ref="E41">Common_InputFunctions.Utility_DisplayArrayInTable(RiceCultivation_SourceData.SourceData_RiceCultivation_OrganicAmendmentConversionFactor_Data(),Table15[[#Headers],[Organic amendment i]],0)</f>
        <v>0.17</v>
      </c>
    </row>
    <row r="42" spans="4:5" ht="20" customHeight="1" x14ac:dyDescent="0.25">
      <c r="D42" s="1" t="str" cm="1">
        <f t="array" ref="D42">Common_InputFunctions.Utility_DisplayArrayInTable(RiceCultivation_SourceData.SourceData_RiceCultivation_OrganicAmendmentConversionFactor_Data(),Table15[[#Headers],[Organic amendment i]],0)</f>
        <v>Farm yard manure</v>
      </c>
      <c r="E42" s="34" cm="1">
        <f t="array" ref="E42">Common_InputFunctions.Utility_DisplayArrayInTable(RiceCultivation_SourceData.SourceData_RiceCultivation_OrganicAmendmentConversionFactor_Data(),Table15[[#Headers],[Organic amendment i]],0)</f>
        <v>0.21</v>
      </c>
    </row>
    <row r="43" spans="4:5" ht="20" customHeight="1" x14ac:dyDescent="0.25">
      <c r="D43" s="1" t="str" cm="1">
        <f t="array" ref="D43">Common_InputFunctions.Utility_DisplayArrayInTable(RiceCultivation_SourceData.SourceData_RiceCultivation_OrganicAmendmentConversionFactor_Data(),Table15[[#Headers],[Organic amendment i]],0)</f>
        <v>Green manure</v>
      </c>
      <c r="E43" s="34" cm="1">
        <f t="array" ref="E43">Common_InputFunctions.Utility_DisplayArrayInTable(RiceCultivation_SourceData.SourceData_RiceCultivation_OrganicAmendmentConversionFactor_Data(),Table15[[#Headers],[Organic amendment i]],0)</f>
        <v>0.45</v>
      </c>
    </row>
    <row r="44" spans="4:5" ht="20" customHeight="1" x14ac:dyDescent="0.25">
      <c r="D44" s="1" t="str" cm="1">
        <f t="array" ref="D44">Common_InputFunctions.Utility_DisplayArrayInTable(RiceCultivation_SourceData.SourceData_RiceCultivation_OrganicAmendmentConversionFactor_Data(),Table15[[#Headers],[Organic amendment i]],0)</f>
        <v>Inorganic fertiliser</v>
      </c>
      <c r="E44" s="34" cm="1">
        <f t="array" ref="E44">Common_InputFunctions.Utility_DisplayArrayInTable(RiceCultivation_SourceData.SourceData_RiceCultivation_OrganicAmendmentConversionFactor_Data(),Table15[[#Headers],[Organic amendment i]],0)</f>
        <v>1</v>
      </c>
    </row>
    <row r="45" spans="4:5" ht="20" customHeight="1" x14ac:dyDescent="0.25"/>
    <row r="46" spans="4:5" ht="20" customHeight="1" x14ac:dyDescent="0.25"/>
    <row r="47" spans="4:5" ht="20" customHeight="1" x14ac:dyDescent="0.25">
      <c r="D47" s="6" t="str" cm="1">
        <f t="array" ref="D47">RiceCultivation_SourceData.SourceData_RiceCultivation_BaselineEF_Title()</f>
        <v>Baseline emission factor for continuously flooded fields without organic amendments</v>
      </c>
    </row>
    <row r="48" spans="4:5" ht="20" customHeight="1" x14ac:dyDescent="0.25">
      <c r="D48" s="5" t="str" cm="1">
        <f t="array" ref="D48">RiceCultivation_SourceData.SourceData_RiceCultivation_BaselineEF_Source()</f>
        <v>VEERG 2026: 7.2.3 Constant Parameters</v>
      </c>
    </row>
    <row r="49" spans="4:6" ht="20" customHeight="1" x14ac:dyDescent="0.25">
      <c r="D49" s="47" t="str" cm="1">
        <f t="array" ref="D49">RiceCultivation_SourceData.SourceData_RiceCultivation_BaselineEF_Variable()</f>
        <v>EFc</v>
      </c>
      <c r="E49" s="1" cm="1">
        <f t="array" ref="E49">RiceCultivation_SourceData.SourceData_RiceCultivation_BaselineEF_Data()</f>
        <v>1.19</v>
      </c>
      <c r="F49" s="48" t="str" cm="1">
        <f t="array" ref="F49">RiceCultivation_SourceData.SourceData_RiceCultivation_BaselineEF_Unit()</f>
        <v>kg CH4 / ha / day</v>
      </c>
    </row>
    <row r="50" spans="4:6" ht="20" customHeight="1" x14ac:dyDescent="0.25"/>
    <row r="51" spans="4:6" ht="20" customHeight="1" x14ac:dyDescent="0.25"/>
    <row r="52" spans="4:6" ht="20" customHeight="1" x14ac:dyDescent="0.25"/>
    <row r="53" spans="4:6" ht="20" customHeight="1" x14ac:dyDescent="0.25"/>
    <row r="54" spans="4:6" ht="20" customHeight="1" x14ac:dyDescent="0.25"/>
    <row r="55" spans="4:6" ht="20" customHeight="1" x14ac:dyDescent="0.25"/>
    <row r="56" spans="4:6" ht="20" customHeight="1" x14ac:dyDescent="0.25"/>
    <row r="57" spans="4:6" ht="20" customHeight="1" x14ac:dyDescent="0.25"/>
    <row r="58" spans="4:6" ht="20" customHeight="1" x14ac:dyDescent="0.25"/>
    <row r="59" spans="4:6" ht="20" customHeight="1" x14ac:dyDescent="0.25"/>
    <row r="60" spans="4:6" ht="20" customHeight="1" x14ac:dyDescent="0.25"/>
    <row r="61" spans="4:6" ht="20" customHeight="1" x14ac:dyDescent="0.25"/>
    <row r="62" spans="4:6" ht="20" customHeight="1" x14ac:dyDescent="0.25"/>
    <row r="63" spans="4:6" ht="20" customHeight="1" x14ac:dyDescent="0.25"/>
    <row r="64" spans="4:6"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honeticPr fontId="23"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3FBC-4DFE-4756-91A7-5BA7C1B51405}">
  <sheetPr>
    <tabColor theme="2" tint="-0.499984740745262"/>
  </sheetPr>
  <dimension ref="A1:BY297"/>
  <sheetViews>
    <sheetView showGridLines="0" topLeftCell="A239" zoomScaleNormal="100" workbookViewId="0">
      <selection activeCell="I279" sqref="I279"/>
    </sheetView>
  </sheetViews>
  <sheetFormatPr defaultColWidth="9.140625" defaultRowHeight="20" x14ac:dyDescent="0.25" customHeight="1"/>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52</v>
      </c>
    </row>
    <row r="2" spans="1:65" s="9" customFormat="1" ht="20" customHeight="1" x14ac:dyDescent="0.25">
      <c r="A2"/>
    </row>
    <row r="3" spans="1:65" ht="20"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 customHeight="1" x14ac:dyDescent="0.25">
      <c r="A4"/>
      <c r="BM4" s="3"/>
    </row>
    <row r="5" spans="1:65" ht="20" customHeight="1" x14ac:dyDescent="0.25">
      <c r="A5"/>
      <c r="D5" s="6" t="str" cm="1">
        <f t="array" ref="D5">Common_SourceData.Common_SourceData_AustralianStatesTerritories_Title()</f>
        <v>Australian states and territories</v>
      </c>
      <c r="BM5" s="3"/>
    </row>
    <row r="6" spans="1:65" ht="20" customHeight="1" x14ac:dyDescent="0.25">
      <c r="A6" s="118" t="s">
        <v>1</v>
      </c>
      <c r="D6" s="34" t="s">
        <v>9</v>
      </c>
      <c r="E6" s="34" t="s">
        <v>10</v>
      </c>
      <c r="F6" s="34" t="s">
        <v>11</v>
      </c>
    </row>
    <row r="7" spans="1:65" ht="20" customHeight="1" x14ac:dyDescent="0.25">
      <c r="A7" s="117" t="str">
        <f>HYPERLINK("#'Constants - Common'!A1", "Constants - Common")</f>
        <v>Constants - Common</v>
      </c>
      <c r="D7" s="34" t="str" cm="1">
        <f t="array" ref="D7">Common_InputFunctions.Utility_DisplayArrayInTable(Common_SourceData.Common_SourceData_AustralianStatesTerritories_Data(),Table_AustralianStates[[#Headers],[State/Territory]],0)</f>
        <v>New South Wales</v>
      </c>
      <c r="E7" s="34" t="str" cm="1">
        <f t="array" ref="E7">Common_InputFunctions.Utility_DisplayArrayInTable(Common_SourceData.Common_SourceData_AustralianStatesTerritories_Data(),Table_AustralianStates[[#Headers],[State/Territory]],0)</f>
        <v>New South Wales</v>
      </c>
      <c r="F7" s="34" t="str" cm="1">
        <f t="array" ref="F7">Common_InputFunctions.Utility_DisplayArrayInTable(Common_SourceData.Common_SourceData_AustralianStatesTerritories_Data(),Table_AustralianStates[[#Headers],[State/Territory]],0)</f>
        <v>NSW</v>
      </c>
    </row>
    <row r="8" spans="1:65" ht="20" customHeight="1" x14ac:dyDescent="0.25">
      <c r="A8" s="17" t="str">
        <f>HYPERLINK("#'Acknowledgements'!A1", "Acknowledgements")</f>
        <v>Acknowledgements</v>
      </c>
      <c r="D8" s="34" t="str" cm="1">
        <f t="array" ref="D8">Common_InputFunctions.Utility_DisplayArrayInTable(Common_SourceData.Common_SourceData_AustralianStatesTerritories_Data(),Table_AustralianStates[[#Headers],[State/Territory]],0)</f>
        <v>Australian Capital Territory</v>
      </c>
      <c r="E8" s="34" t="str" cm="1">
        <f t="array" ref="E8">Common_InputFunctions.Utility_DisplayArrayInTable(Common_SourceData.Common_SourceData_AustralianStatesTerritories_Data(),Table_AustralianStates[[#Headers],[State/Territory]],0)</f>
        <v>ACT</v>
      </c>
      <c r="F8" s="34" t="str" cm="1">
        <f t="array" ref="F8">Common_InputFunctions.Utility_DisplayArrayInTable(Common_SourceData.Common_SourceData_AustralianStatesTerritories_Data(),Table_AustralianStates[[#Headers],[State/Territory]],0)</f>
        <v>ACT</v>
      </c>
    </row>
    <row r="9" spans="1:65" ht="20" customHeight="1" x14ac:dyDescent="0.25">
      <c r="A9"/>
      <c r="D9" s="34" t="str" cm="1">
        <f t="array" ref="D9">Common_InputFunctions.Utility_DisplayArrayInTable(Common_SourceData.Common_SourceData_AustralianStatesTerritories_Data(),Table_AustralianStates[[#Headers],[State/Territory]],0)</f>
        <v>Victoria</v>
      </c>
      <c r="E9" s="34" t="str" cm="1">
        <f t="array" ref="E9">Common_InputFunctions.Utility_DisplayArrayInTable(Common_SourceData.Common_SourceData_AustralianStatesTerritories_Data(),Table_AustralianStates[[#Headers],[State/Territory]],0)</f>
        <v>Victoria</v>
      </c>
      <c r="F9" s="34" t="str" cm="1">
        <f t="array" ref="F9">Common_InputFunctions.Utility_DisplayArrayInTable(Common_SourceData.Common_SourceData_AustralianStatesTerritories_Data(),Table_AustralianStates[[#Headers],[State/Territory]],0)</f>
        <v>VIC</v>
      </c>
    </row>
    <row r="10" spans="1:65" ht="20" customHeight="1" x14ac:dyDescent="0.25">
      <c r="A10"/>
      <c r="D10" s="34" t="str" cm="1">
        <f t="array" ref="D10">Common_InputFunctions.Utility_DisplayArrayInTable(Common_SourceData.Common_SourceData_AustralianStatesTerritories_Data(),Table_AustralianStates[[#Headers],[State/Territory]],0)</f>
        <v>Queensland</v>
      </c>
      <c r="E10" s="34" t="str" cm="1">
        <f t="array" ref="E10">Common_InputFunctions.Utility_DisplayArrayInTable(Common_SourceData.Common_SourceData_AustralianStatesTerritories_Data(),Table_AustralianStates[[#Headers],[State/Territory]],0)</f>
        <v>Queensland</v>
      </c>
      <c r="F10" s="34" t="str" cm="1">
        <f t="array" ref="F10">Common_InputFunctions.Utility_DisplayArrayInTable(Common_SourceData.Common_SourceData_AustralianStatesTerritories_Data(),Table_AustralianStates[[#Headers],[State/Territory]],0)</f>
        <v>QLD</v>
      </c>
    </row>
    <row r="11" spans="1:65" ht="20" customHeight="1" x14ac:dyDescent="0.25">
      <c r="A11"/>
      <c r="D11" s="34" t="str" cm="1">
        <f t="array" ref="D11">Common_InputFunctions.Utility_DisplayArrayInTable(Common_SourceData.Common_SourceData_AustralianStatesTerritories_Data(),Table_AustralianStates[[#Headers],[State/Territory]],0)</f>
        <v>South Australia</v>
      </c>
      <c r="E11" s="34" t="str" cm="1">
        <f t="array" ref="E11">Common_InputFunctions.Utility_DisplayArrayInTable(Common_SourceData.Common_SourceData_AustralianStatesTerritories_Data(),Table_AustralianStates[[#Headers],[State/Territory]],0)</f>
        <v>South Australia</v>
      </c>
      <c r="F11" s="34" t="str" cm="1">
        <f t="array" ref="F11">Common_InputFunctions.Utility_DisplayArrayInTable(Common_SourceData.Common_SourceData_AustralianStatesTerritories_Data(),Table_AustralianStates[[#Headers],[State/Territory]],0)</f>
        <v>SA</v>
      </c>
      <c r="BM11" s="3"/>
    </row>
    <row r="12" spans="1:65" ht="20" customHeight="1" x14ac:dyDescent="0.25">
      <c r="A12"/>
      <c r="D12" s="34" t="str" cm="1">
        <f t="array" ref="D12">Common_InputFunctions.Utility_DisplayArrayInTable(Common_SourceData.Common_SourceData_AustralianStatesTerritories_Data(),Table_AustralianStates[[#Headers],[State/Territory]],0)</f>
        <v>Western Australia</v>
      </c>
      <c r="E12" s="34" t="str" cm="1">
        <f t="array" ref="E12">Common_InputFunctions.Utility_DisplayArrayInTable(Common_SourceData.Common_SourceData_AustralianStatesTerritories_Data(),Table_AustralianStates[[#Headers],[State/Territory]],0)</f>
        <v>Western Australia</v>
      </c>
      <c r="F12" s="34" t="str" cm="1">
        <f t="array" ref="F12">Common_InputFunctions.Utility_DisplayArrayInTable(Common_SourceData.Common_SourceData_AustralianStatesTerritories_Data(),Table_AustralianStates[[#Headers],[State/Territory]],0)</f>
        <v>WA</v>
      </c>
      <c r="BM12" s="3"/>
    </row>
    <row r="13" spans="1:65" ht="20" customHeight="1" x14ac:dyDescent="0.25">
      <c r="A13"/>
      <c r="D13" s="34" t="str" cm="1">
        <f t="array" ref="D13">Common_InputFunctions.Utility_DisplayArrayInTable(Common_SourceData.Common_SourceData_AustralianStatesTerritories_Data(),Table_AustralianStates[[#Headers],[State/Territory]],0)</f>
        <v>Tasmania</v>
      </c>
      <c r="E13" s="34" t="str" cm="1">
        <f t="array" ref="E13">Common_InputFunctions.Utility_DisplayArrayInTable(Common_SourceData.Common_SourceData_AustralianStatesTerritories_Data(),Table_AustralianStates[[#Headers],[State/Territory]],0)</f>
        <v>Tasmania</v>
      </c>
      <c r="F13" s="34" t="str" cm="1">
        <f t="array" ref="F13">Common_InputFunctions.Utility_DisplayArrayInTable(Common_SourceData.Common_SourceData_AustralianStatesTerritories_Data(),Table_AustralianStates[[#Headers],[State/Territory]],0)</f>
        <v>TAS</v>
      </c>
    </row>
    <row r="14" spans="1:65" ht="20" customHeight="1" x14ac:dyDescent="0.25">
      <c r="A14"/>
      <c r="D14" s="34" t="str" cm="1">
        <f t="array" ref="D14">Common_InputFunctions.Utility_DisplayArrayInTable(Common_SourceData.Common_SourceData_AustralianStatesTerritories_Data(),Table_AustralianStates[[#Headers],[State/Territory]],0)</f>
        <v>Northern Territory</v>
      </c>
      <c r="E14" s="34" t="str" cm="1">
        <f t="array" ref="E14">Common_InputFunctions.Utility_DisplayArrayInTable(Common_SourceData.Common_SourceData_AustralianStatesTerritories_Data(),Table_AustralianStates[[#Headers],[State/Territory]],0)</f>
        <v>Northern Territory</v>
      </c>
      <c r="F14" s="34"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6" t="str" cm="1">
        <f t="array" ref="D18">Common_SourceData.Common_SourceData_WASA4Areas_Title()</f>
        <v>ABS Statistcal Areas Level 4 - Western Australia</v>
      </c>
    </row>
    <row r="19" spans="1:4" ht="20" customHeight="1" x14ac:dyDescent="0.25">
      <c r="A19"/>
      <c r="D19" s="5" t="str" cm="1">
        <f t="array" ref="D19">Common_SourceData.Common_SourceData_WASA4Areas_Source()</f>
        <v>Australian Bureau of Statistics (ABS) - Statistical Areas Level 2 - 2021 - Shapefile</v>
      </c>
    </row>
    <row r="20" spans="1:4" ht="20" customHeight="1" x14ac:dyDescent="0.25">
      <c r="A20"/>
      <c r="D20" s="34" t="s">
        <v>12</v>
      </c>
    </row>
    <row r="21" spans="1:4" ht="20" customHeight="1" x14ac:dyDescent="0.25">
      <c r="A21"/>
      <c r="D21" s="34" t="str" cm="1">
        <f t="array" ref="D21">Common_InputFunctions.Utility_DisplayArrayInTable(Common_SourceData.Common_SourceData_WASA4Areas_Data(), Table_WASA4Areas[[#Headers],[SA 4 Name]], 0)</f>
        <v>Bunbury</v>
      </c>
    </row>
    <row r="22" spans="1:4" ht="20" customHeight="1" x14ac:dyDescent="0.25">
      <c r="A22"/>
      <c r="D22" s="34" t="str" cm="1">
        <f t="array" ref="D22">Common_InputFunctions.Utility_DisplayArrayInTable(Common_SourceData.Common_SourceData_WASA4Areas_Data(), Table_WASA4Areas[[#Headers],[SA 4 Name]], 0)</f>
        <v>Mandurah</v>
      </c>
    </row>
    <row r="23" spans="1:4" ht="20" customHeight="1" x14ac:dyDescent="0.25">
      <c r="A23"/>
      <c r="D23" s="34" t="str" cm="1">
        <f t="array" ref="D23">Common_InputFunctions.Utility_DisplayArrayInTable(Common_SourceData.Common_SourceData_WASA4Areas_Data(), Table_WASA4Areas[[#Headers],[SA 4 Name]], 0)</f>
        <v>Perth - Inner</v>
      </c>
    </row>
    <row r="24" spans="1:4" ht="20" customHeight="1" x14ac:dyDescent="0.25">
      <c r="A24"/>
      <c r="D24" s="34" t="str" cm="1">
        <f t="array" ref="D24">Common_InputFunctions.Utility_DisplayArrayInTable(Common_SourceData.Common_SourceData_WASA4Areas_Data(), Table_WASA4Areas[[#Headers],[SA 4 Name]], 0)</f>
        <v>Perth - North East</v>
      </c>
    </row>
    <row r="25" spans="1:4" ht="20" customHeight="1" x14ac:dyDescent="0.25">
      <c r="A25"/>
      <c r="D25" s="34" t="str" cm="1">
        <f t="array" ref="D25">Common_InputFunctions.Utility_DisplayArrayInTable(Common_SourceData.Common_SourceData_WASA4Areas_Data(), Table_WASA4Areas[[#Headers],[SA 4 Name]], 0)</f>
        <v>Perth - North West</v>
      </c>
    </row>
    <row r="26" spans="1:4" ht="20" customHeight="1" x14ac:dyDescent="0.25">
      <c r="A26"/>
      <c r="D26" s="34" t="str" cm="1">
        <f t="array" ref="D26">Common_InputFunctions.Utility_DisplayArrayInTable(Common_SourceData.Common_SourceData_WASA4Areas_Data(), Table_WASA4Areas[[#Headers],[SA 4 Name]], 0)</f>
        <v>Perth - South East</v>
      </c>
    </row>
    <row r="27" spans="1:4" ht="20" customHeight="1" x14ac:dyDescent="0.25">
      <c r="A27"/>
      <c r="D27" s="34" t="str" cm="1">
        <f t="array" ref="D27">Common_InputFunctions.Utility_DisplayArrayInTable(Common_SourceData.Common_SourceData_WASA4Areas_Data(), Table_WASA4Areas[[#Headers],[SA 4 Name]], 0)</f>
        <v>Perth - South West</v>
      </c>
    </row>
    <row r="28" spans="1:4" ht="20" customHeight="1" x14ac:dyDescent="0.25">
      <c r="A28"/>
      <c r="D28" s="34" t="str" cm="1">
        <f t="array" ref="D28">Common_InputFunctions.Utility_DisplayArrayInTable(Common_SourceData.Common_SourceData_WASA4Areas_Data(), Table_WASA4Areas[[#Headers],[SA 4 Name]], 0)</f>
        <v>Western Australia - Wheat Belt</v>
      </c>
    </row>
    <row r="29" spans="1:4" ht="20" customHeight="1" x14ac:dyDescent="0.25">
      <c r="A29"/>
      <c r="D29" s="34" t="str" cm="1">
        <f t="array" ref="D29">Common_InputFunctions.Utility_DisplayArrayInTable(Common_SourceData.Common_SourceData_WASA4Areas_Data(), Table_WASA4Areas[[#Headers],[SA 4 Name]], 0)</f>
        <v>Western Australia - Outback (North)</v>
      </c>
    </row>
    <row r="30" spans="1:4" ht="20" customHeight="1" x14ac:dyDescent="0.25">
      <c r="A30"/>
      <c r="D30" s="34"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6" t="str" cm="1">
        <f t="array" ref="D34">Common_SourceData.Common_SourceData_GWP_Title()</f>
        <v>Global warming potential for greenhouse gases</v>
      </c>
    </row>
    <row r="35" spans="1:8" ht="20" customHeight="1" x14ac:dyDescent="0.25">
      <c r="A35"/>
      <c r="D35" s="5" t="str" cm="1">
        <f t="array" ref="D35">Common_SourceData.Common_SourceData_GWP_Source()</f>
        <v>XXXXXXX</v>
      </c>
    </row>
    <row r="36" spans="1:8" ht="20" customHeight="1" x14ac:dyDescent="0.25">
      <c r="A36"/>
      <c r="D36" s="34" t="s">
        <v>14</v>
      </c>
      <c r="E36" s="34" t="s">
        <v>15</v>
      </c>
    </row>
    <row r="37" spans="1:8" ht="20" customHeight="1" x14ac:dyDescent="0.25">
      <c r="A37"/>
      <c r="D37" s="34" t="str" cm="1">
        <f t="array" ref="D37">Common_InputFunctions.Utility_DisplayArrayInTable(Common_SourceData.Common_SourceData_GWP_Data(), Table_GWPData[[#Headers],[Gas]], 0)</f>
        <v>CO2</v>
      </c>
      <c r="E37" s="34" cm="1">
        <f t="array" ref="E37">Common_InputFunctions.Utility_DisplayArrayInTable(Common_SourceData.Common_SourceData_GWP_Data(), Table_GWPData[[#Headers],[Gas]], 0)</f>
        <v>1</v>
      </c>
    </row>
    <row r="38" spans="1:8" ht="20" customHeight="1" x14ac:dyDescent="0.25">
      <c r="A38"/>
      <c r="D38" s="34" t="str" cm="1">
        <f t="array" ref="D38">Common_InputFunctions.Utility_DisplayArrayInTable(Common_SourceData.Common_SourceData_GWP_Data(), Table_GWPData[[#Headers],[Gas]], 0)</f>
        <v>CH4</v>
      </c>
      <c r="E38" s="34" cm="1">
        <f t="array" ref="E38">Common_InputFunctions.Utility_DisplayArrayInTable(Common_SourceData.Common_SourceData_GWP_Data(), Table_GWPData[[#Headers],[Gas]], 0)</f>
        <v>28</v>
      </c>
    </row>
    <row r="39" spans="1:8" ht="20" customHeight="1" x14ac:dyDescent="0.25">
      <c r="A39"/>
      <c r="D39" s="34" t="str" cm="1">
        <f t="array" ref="D39">Common_InputFunctions.Utility_DisplayArrayInTable(Common_SourceData.Common_SourceData_GWP_Data(), Table_GWPData[[#Headers],[Gas]], 0)</f>
        <v>N2O</v>
      </c>
      <c r="E39" s="34" cm="1">
        <f t="array" ref="E39">Common_InputFunctions.Utility_DisplayArrayInTable(Common_SourceData.Common_SourceData_GWP_Data(), Table_GWPData[[#Headers],[Gas]], 0)</f>
        <v>265</v>
      </c>
    </row>
    <row r="40" spans="1:8" ht="20" customHeight="1" x14ac:dyDescent="0.25">
      <c r="A40"/>
      <c r="D40" s="34" t="str" cm="1">
        <f t="array" ref="D40">Common_InputFunctions.Utility_DisplayArrayInTable(Common_SourceData.Common_SourceData_GWP_Data(), Table_GWPData[[#Headers],[Gas]], 0)</f>
        <v>CF4</v>
      </c>
      <c r="E40" s="34" cm="1">
        <f t="array" ref="E40">Common_InputFunctions.Utility_DisplayArrayInTable(Common_SourceData.Common_SourceData_GWP_Data(), Table_GWPData[[#Headers],[Gas]], 0)</f>
        <v>6630</v>
      </c>
    </row>
    <row r="41" spans="1:8" ht="20" customHeight="1" x14ac:dyDescent="0.25">
      <c r="A41"/>
      <c r="D41" s="34" t="str" cm="1">
        <f t="array" ref="D41">Common_InputFunctions.Utility_DisplayArrayInTable(Common_SourceData.Common_SourceData_GWP_Data(), Table_GWPData[[#Headers],[Gas]], 0)</f>
        <v>C2F6</v>
      </c>
      <c r="E41" s="34" cm="1">
        <f t="array" ref="E41">Common_InputFunctions.Utility_DisplayArrayInTable(Common_SourceData.Common_SourceData_GWP_Data(), Table_GWPData[[#Headers],[Gas]], 0)</f>
        <v>12200</v>
      </c>
    </row>
    <row r="42" spans="1:8" ht="20" customHeight="1" x14ac:dyDescent="0.25">
      <c r="A42"/>
      <c r="D42" s="34" t="str" cm="1">
        <f t="array" ref="D42">Common_InputFunctions.Utility_DisplayArrayInTable(Common_SourceData.Common_SourceData_GWP_Data(), Table_GWPData[[#Headers],[Gas]], 0)</f>
        <v>SF6</v>
      </c>
      <c r="E42" s="34" cm="1">
        <f t="array" ref="E42">Common_InputFunctions.Utility_DisplayArrayInTable(Common_SourceData.Common_SourceData_GWP_Data(), Table_GWPData[[#Headers],[Gas]], 0)</f>
        <v>22800</v>
      </c>
    </row>
    <row r="43" spans="1:8" ht="20" customHeight="1" x14ac:dyDescent="0.25">
      <c r="A43"/>
      <c r="D43" s="34" t="str" cm="1">
        <f t="array" ref="D43">Common_InputFunctions.Utility_DisplayArrayInTable(Common_SourceData.Common_SourceData_GWP_Data(), Table_GWPData[[#Headers],[Gas]], 0)</f>
        <v>NF3</v>
      </c>
      <c r="E43" s="34"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6" t="str" cm="1">
        <f t="array" ref="D45">Common_SourceData.Common_SourceData_ConvertGasElementalToMolecular_Title()</f>
        <v>Factor to convert elemental mass of gas to molecular mass</v>
      </c>
    </row>
    <row r="46" spans="1:8" ht="20" customHeight="1" x14ac:dyDescent="0.25">
      <c r="A46"/>
      <c r="D46" s="5" t="str" cm="1">
        <f t="array" ref="D46">Common_SourceData.Common_SourceData_ConvertGasElementalToMolecular_Source()</f>
        <v>XXXXXXX</v>
      </c>
    </row>
    <row r="47" spans="1:8" ht="20" customHeight="1" x14ac:dyDescent="0.25">
      <c r="A47"/>
      <c r="D47" s="34" t="s">
        <v>14</v>
      </c>
      <c r="E47" s="34" t="s">
        <v>17</v>
      </c>
      <c r="F47" s="34" t="s">
        <v>18</v>
      </c>
      <c r="G47" s="34" t="s">
        <v>19</v>
      </c>
      <c r="H47" s="34" t="s">
        <v>20</v>
      </c>
    </row>
    <row r="48" spans="1:8" ht="20" customHeight="1" x14ac:dyDescent="0.25">
      <c r="A48"/>
      <c r="D48" s="34" t="str" cm="1">
        <f t="array" ref="D48">Common_InputFunctions.Utility_DisplayArrayInTable(Common_SourceData.Common_SourceData_ConvertGasElementalToMolecular_Data(),Table_GasToMolecularConversionFactor[[#Headers],[Gas]], 0)</f>
        <v>CO2</v>
      </c>
      <c r="E48" s="34" t="str" cm="1">
        <f t="array" ref="E48">Common_InputFunctions.Utility_DisplayArrayInTable(Common_SourceData.Common_SourceData_ConvertGasElementalToMolecular_Data(),Table_GasToMolecularConversionFactor[[#Headers],[Gas]], 0)</f>
        <v>44/12</v>
      </c>
      <c r="F48" s="34" cm="1">
        <f t="array" ref="F48">Common_InputFunctions.Utility_DisplayArrayInTable(Common_SourceData.Common_SourceData_ConvertGasElementalToMolecular_Data(),Table_GasToMolecularConversionFactor[[#Headers],[Gas]], 0)</f>
        <v>44</v>
      </c>
      <c r="G48" s="34" cm="1">
        <f t="array" ref="G48">Common_InputFunctions.Utility_DisplayArrayInTable(Common_SourceData.Common_SourceData_ConvertGasElementalToMolecular_Data(),Table_GasToMolecularConversionFactor[[#Headers],[Gas]], 0)</f>
        <v>12</v>
      </c>
      <c r="H48" s="34">
        <f>Table_GasToMolecularConversionFactor[[#This Row],[Conversion factor 1]]/Table_GasToMolecularConversionFactor[[#This Row],[Conversion factor 2]]</f>
        <v>3.6666666666666665</v>
      </c>
    </row>
    <row r="49" spans="1:8" ht="20" customHeight="1" x14ac:dyDescent="0.25">
      <c r="A49"/>
      <c r="D49" s="34" t="str" cm="1">
        <f t="array" ref="D49">Common_InputFunctions.Utility_DisplayArrayInTable(Common_SourceData.Common_SourceData_ConvertGasElementalToMolecular_Data(),Table_GasToMolecularConversionFactor[[#Headers],[Gas]], 0)</f>
        <v>CH4</v>
      </c>
      <c r="E49" s="34" t="str" cm="1">
        <f t="array" ref="E49">Common_InputFunctions.Utility_DisplayArrayInTable(Common_SourceData.Common_SourceData_ConvertGasElementalToMolecular_Data(),Table_GasToMolecularConversionFactor[[#Headers],[Gas]], 0)</f>
        <v>16/12</v>
      </c>
      <c r="F49" s="34" cm="1">
        <f t="array" ref="F49">Common_InputFunctions.Utility_DisplayArrayInTable(Common_SourceData.Common_SourceData_ConvertGasElementalToMolecular_Data(),Table_GasToMolecularConversionFactor[[#Headers],[Gas]], 0)</f>
        <v>16</v>
      </c>
      <c r="G49" s="34" cm="1">
        <f t="array" ref="G49">Common_InputFunctions.Utility_DisplayArrayInTable(Common_SourceData.Common_SourceData_ConvertGasElementalToMolecular_Data(),Table_GasToMolecularConversionFactor[[#Headers],[Gas]], 0)</f>
        <v>12</v>
      </c>
      <c r="H49" s="34">
        <f>Table_GasToMolecularConversionFactor[[#This Row],[Conversion factor 1]]/Table_GasToMolecularConversionFactor[[#This Row],[Conversion factor 2]]</f>
        <v>1.3333333333333333</v>
      </c>
    </row>
    <row r="50" spans="1:8" ht="20" customHeight="1" x14ac:dyDescent="0.25">
      <c r="A50"/>
      <c r="D50" s="34" t="str" cm="1">
        <f t="array" ref="D50">Common_InputFunctions.Utility_DisplayArrayInTable(Common_SourceData.Common_SourceData_ConvertGasElementalToMolecular_Data(),Table_GasToMolecularConversionFactor[[#Headers],[Gas]], 0)</f>
        <v>N2O</v>
      </c>
      <c r="E50" s="34" t="str" cm="1">
        <f t="array" ref="E50">Common_InputFunctions.Utility_DisplayArrayInTable(Common_SourceData.Common_SourceData_ConvertGasElementalToMolecular_Data(),Table_GasToMolecularConversionFactor[[#Headers],[Gas]], 0)</f>
        <v>44/28</v>
      </c>
      <c r="F50" s="34" cm="1">
        <f t="array" ref="F50">Common_InputFunctions.Utility_DisplayArrayInTable(Common_SourceData.Common_SourceData_ConvertGasElementalToMolecular_Data(),Table_GasToMolecularConversionFactor[[#Headers],[Gas]], 0)</f>
        <v>44</v>
      </c>
      <c r="G50" s="34" cm="1">
        <f t="array" ref="G50">Common_InputFunctions.Utility_DisplayArrayInTable(Common_SourceData.Common_SourceData_ConvertGasElementalToMolecular_Data(),Table_GasToMolecularConversionFactor[[#Headers],[Gas]], 0)</f>
        <v>28</v>
      </c>
      <c r="H50" s="34">
        <f>Table_GasToMolecularConversionFactor[[#This Row],[Conversion factor 1]]/Table_GasToMolecularConversionFactor[[#This Row],[Conversion factor 2]]</f>
        <v>1.5714285714285714</v>
      </c>
    </row>
    <row r="51" spans="1:8" ht="20" customHeight="1" x14ac:dyDescent="0.25">
      <c r="A51"/>
      <c r="D51" s="34" t="str" cm="1">
        <f t="array" ref="D51">Common_InputFunctions.Utility_DisplayArrayInTable(Common_SourceData.Common_SourceData_ConvertGasElementalToMolecular_Data(),Table_GasToMolecularConversionFactor[[#Headers],[Gas]], 0)</f>
        <v>Nox</v>
      </c>
      <c r="E51" s="34" t="str" cm="1">
        <f t="array" ref="E51">Common_InputFunctions.Utility_DisplayArrayInTable(Common_SourceData.Common_SourceData_ConvertGasElementalToMolecular_Data(),Table_GasToMolecularConversionFactor[[#Headers],[Gas]], 0)</f>
        <v>46/14</v>
      </c>
      <c r="F51" s="34" cm="1">
        <f t="array" ref="F51">Common_InputFunctions.Utility_DisplayArrayInTable(Common_SourceData.Common_SourceData_ConvertGasElementalToMolecular_Data(),Table_GasToMolecularConversionFactor[[#Headers],[Gas]], 0)</f>
        <v>46</v>
      </c>
      <c r="G51" s="34" cm="1">
        <f t="array" ref="G51">Common_InputFunctions.Utility_DisplayArrayInTable(Common_SourceData.Common_SourceData_ConvertGasElementalToMolecular_Data(),Table_GasToMolecularConversionFactor[[#Headers],[Gas]], 0)</f>
        <v>14</v>
      </c>
      <c r="H51" s="34">
        <f>Table_GasToMolecularConversionFactor[[#This Row],[Conversion factor 1]]/Table_GasToMolecularConversionFactor[[#This Row],[Conversion factor 2]]</f>
        <v>3.2857142857142856</v>
      </c>
    </row>
    <row r="52" spans="1:8" ht="20" customHeight="1" x14ac:dyDescent="0.25">
      <c r="A52"/>
      <c r="D52" s="34" t="str" cm="1">
        <f t="array" ref="D52">Common_InputFunctions.Utility_DisplayArrayInTable(Common_SourceData.Common_SourceData_ConvertGasElementalToMolecular_Data(),Table_GasToMolecularConversionFactor[[#Headers],[Gas]], 0)</f>
        <v>CO</v>
      </c>
      <c r="E52" s="34" t="str" cm="1">
        <f t="array" ref="E52">Common_InputFunctions.Utility_DisplayArrayInTable(Common_SourceData.Common_SourceData_ConvertGasElementalToMolecular_Data(),Table_GasToMolecularConversionFactor[[#Headers],[Gas]], 0)</f>
        <v>28/12</v>
      </c>
      <c r="F52" s="34" cm="1">
        <f t="array" ref="F52">Common_InputFunctions.Utility_DisplayArrayInTable(Common_SourceData.Common_SourceData_ConvertGasElementalToMolecular_Data(),Table_GasToMolecularConversionFactor[[#Headers],[Gas]], 0)</f>
        <v>28</v>
      </c>
      <c r="G52" s="34" cm="1">
        <f t="array" ref="G52">Common_InputFunctions.Utility_DisplayArrayInTable(Common_SourceData.Common_SourceData_ConvertGasElementalToMolecular_Data(),Table_GasToMolecularConversionFactor[[#Headers],[Gas]], 0)</f>
        <v>12</v>
      </c>
      <c r="H52" s="34">
        <f>Table_GasToMolecularConversionFactor[[#This Row],[Conversion factor 1]]/Table_GasToMolecularConversionFactor[[#This Row],[Conversion factor 2]]</f>
        <v>2.3333333333333335</v>
      </c>
    </row>
    <row r="53" spans="1:8" ht="20" customHeight="1" x14ac:dyDescent="0.25">
      <c r="A53"/>
      <c r="D53" s="34" t="str" cm="1">
        <f t="array" ref="D53">Common_InputFunctions.Utility_DisplayArrayInTable(Common_SourceData.Common_SourceData_ConvertGasElementalToMolecular_Data(),Table_GasToMolecularConversionFactor[[#Headers],[Gas]], 0)</f>
        <v>CO2 Lime</v>
      </c>
      <c r="E53" s="34" t="str" cm="1">
        <f t="array" ref="E53">Common_InputFunctions.Utility_DisplayArrayInTable(Common_SourceData.Common_SourceData_ConvertGasElementalToMolecular_Data(),Table_GasToMolecularConversionFactor[[#Headers],[Gas]], 0)</f>
        <v>44/12</v>
      </c>
      <c r="F53" s="34" cm="1">
        <f t="array" ref="F53">Common_InputFunctions.Utility_DisplayArrayInTable(Common_SourceData.Common_SourceData_ConvertGasElementalToMolecular_Data(),Table_GasToMolecularConversionFactor[[#Headers],[Gas]], 0)</f>
        <v>44</v>
      </c>
      <c r="G53" s="34" cm="1">
        <f t="array" ref="G53">Common_InputFunctions.Utility_DisplayArrayInTable(Common_SourceData.Common_SourceData_ConvertGasElementalToMolecular_Data(),Table_GasToMolecularConversionFactor[[#Headers],[Gas]], 0)</f>
        <v>12</v>
      </c>
      <c r="H53" s="34">
        <f>Table_GasToMolecularConversionFactor[[#This Row],[Conversion factor 1]]/Table_GasToMolecularConversionFactor[[#This Row],[Conversion factor 2]]</f>
        <v>3.6666666666666665</v>
      </c>
    </row>
    <row r="54" spans="1:8" ht="20" customHeight="1" x14ac:dyDescent="0.25">
      <c r="A54"/>
      <c r="D54" s="34" t="str" cm="1">
        <f t="array" ref="D54">Common_InputFunctions.Utility_DisplayArrayInTable(Common_SourceData.Common_SourceData_ConvertGasElementalToMolecular_Data(),Table_GasToMolecularConversionFactor[[#Headers],[Gas]], 0)</f>
        <v>NMVOC</v>
      </c>
      <c r="E54" s="34" t="str" cm="1">
        <f t="array" ref="E54">Common_InputFunctions.Utility_DisplayArrayInTable(Common_SourceData.Common_SourceData_ConvertGasElementalToMolecular_Data(),Table_GasToMolecularConversionFactor[[#Headers],[Gas]], 0)</f>
        <v>14/12</v>
      </c>
      <c r="F54" s="34" cm="1">
        <f t="array" ref="F54">Common_InputFunctions.Utility_DisplayArrayInTable(Common_SourceData.Common_SourceData_ConvertGasElementalToMolecular_Data(),Table_GasToMolecularConversionFactor[[#Headers],[Gas]], 0)</f>
        <v>14</v>
      </c>
      <c r="G54" s="34" cm="1">
        <f t="array" ref="G54">Common_InputFunctions.Utility_DisplayArrayInTable(Common_SourceData.Common_SourceData_ConvertGasElementalToMolecular_Data(),Table_GasToMolecularConversionFactor[[#Headers],[Gas]], 0)</f>
        <v>12</v>
      </c>
      <c r="H54" s="34">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6" t="str" cm="1">
        <f t="array" ref="D57">Common_SourceData.Common_SourceData_WetAndDryZones_Title()</f>
        <v>VEERG Australian wet and dry zones</v>
      </c>
    </row>
    <row r="58" spans="1:8" ht="20" customHeight="1" x14ac:dyDescent="0.25">
      <c r="A58"/>
      <c r="D58" s="5" t="str" cm="1">
        <f t="array" ref="D58">Common_SourceData.Common_SourceData_WetAndDryZones_Source()</f>
        <v>VEERG 2026: Table 1.2: Translating climate zones to wet and dry zones</v>
      </c>
    </row>
    <row r="59" spans="1:8" ht="20" customHeight="1" x14ac:dyDescent="0.25">
      <c r="A59"/>
      <c r="D59" s="49" t="str" cm="1">
        <f t="array" ref="D59:D61">"⚠️" &amp; Common_SourceData.Common_SourceData_WetAndDryZones_Variation()</f>
        <v>⚠️VARIATION OF SOURCE DATA:</v>
      </c>
    </row>
    <row r="60" spans="1:8" ht="20" customHeight="1" x14ac:dyDescent="0.25">
      <c r="A60"/>
      <c r="D60" s="49" t="str">
        <v>⚠️Added warm / cool temperate moist / dry - low frost and high temp classes to accommodate climate scenarios excluded by VEERG criteria.</v>
      </c>
    </row>
    <row r="61" spans="1:8" ht="20" customHeight="1" x14ac:dyDescent="0.25">
      <c r="A61"/>
      <c r="D61" s="49" t="str">
        <v>⚠️Fixed typo - Changed 'Fry' to 'Dry'.</v>
      </c>
    </row>
    <row r="62" spans="1:8" ht="20" customHeight="1" x14ac:dyDescent="0.25">
      <c r="A62"/>
    </row>
    <row r="63" spans="1:8" ht="20" customHeight="1" x14ac:dyDescent="0.25">
      <c r="A63"/>
      <c r="D63" s="34" t="s">
        <v>5</v>
      </c>
      <c r="E63" s="34" t="s">
        <v>34</v>
      </c>
    </row>
    <row r="64" spans="1:8" ht="20" customHeight="1" x14ac:dyDescent="0.25">
      <c r="A64"/>
      <c r="D64" s="34" t="str" cm="1">
        <f t="array" ref="D64">Common_InputFunctions.Utility_DisplayArrayInTable(Common_SourceData.Common_SourceData_WetAndDryZones_Data(), Table_SourceData_WetDryZones[[#Headers],[Climate zone]], 0)</f>
        <v>Tropical montane</v>
      </c>
      <c r="E64" s="34" t="str" cm="1">
        <f t="array" ref="E64">Common_InputFunctions.Utility_DisplayArrayInTable(Common_SourceData.Common_SourceData_WetAndDryZones_Data(), Table_SourceData_WetDryZones[[#Headers],[Climate zone]], 0)</f>
        <v>Wet climate zone</v>
      </c>
    </row>
    <row r="65" spans="1:5" ht="20" customHeight="1" x14ac:dyDescent="0.25">
      <c r="A65"/>
      <c r="D65" s="34" t="str" cm="1">
        <f t="array" ref="D65">Common_InputFunctions.Utility_DisplayArrayInTable(Common_SourceData.Common_SourceData_WetAndDryZones_Data(), Table_SourceData_WetDryZones[[#Headers],[Climate zone]], 0)</f>
        <v>Tropical wet</v>
      </c>
      <c r="E65" s="34" t="str" cm="1">
        <f t="array" ref="E65">Common_InputFunctions.Utility_DisplayArrayInTable(Common_SourceData.Common_SourceData_WetAndDryZones_Data(), Table_SourceData_WetDryZones[[#Headers],[Climate zone]], 0)</f>
        <v>Wet climate zone</v>
      </c>
    </row>
    <row r="66" spans="1:5" ht="20" customHeight="1" x14ac:dyDescent="0.25">
      <c r="A66"/>
      <c r="D66" s="34" t="str" cm="1">
        <f t="array" ref="D66">Common_InputFunctions.Utility_DisplayArrayInTable(Common_SourceData.Common_SourceData_WetAndDryZones_Data(), Table_SourceData_WetDryZones[[#Headers],[Climate zone]], 0)</f>
        <v>Tropical moist</v>
      </c>
      <c r="E66" s="34" t="str" cm="1">
        <f t="array" ref="E66">Common_InputFunctions.Utility_DisplayArrayInTable(Common_SourceData.Common_SourceData_WetAndDryZones_Data(), Table_SourceData_WetDryZones[[#Headers],[Climate zone]], 0)</f>
        <v>Wet climate zone</v>
      </c>
    </row>
    <row r="67" spans="1:5" ht="20" customHeight="1" x14ac:dyDescent="0.25">
      <c r="A67"/>
      <c r="D67" s="34" t="str" cm="1">
        <f t="array" ref="D67">Common_InputFunctions.Utility_DisplayArrayInTable(Common_SourceData.Common_SourceData_WetAndDryZones_Data(), Table_SourceData_WetDryZones[[#Headers],[Climate zone]], 0)</f>
        <v>Tropical dry</v>
      </c>
      <c r="E67" s="34" t="str" cm="1">
        <f t="array" ref="E67">Common_InputFunctions.Utility_DisplayArrayInTable(Common_SourceData.Common_SourceData_WetAndDryZones_Data(), Table_SourceData_WetDryZones[[#Headers],[Climate zone]], 0)</f>
        <v>Dry climate zone</v>
      </c>
    </row>
    <row r="68" spans="1:5" ht="20" customHeight="1" x14ac:dyDescent="0.25">
      <c r="A68"/>
      <c r="D68" s="34" t="str" cm="1">
        <f t="array" ref="D68">Common_InputFunctions.Utility_DisplayArrayInTable(Common_SourceData.Common_SourceData_WetAndDryZones_Data(), Table_SourceData_WetDryZones[[#Headers],[Climate zone]], 0)</f>
        <v>Warm temperate moist</v>
      </c>
      <c r="E68" s="34" t="str" cm="1">
        <f t="array" ref="E68">Common_InputFunctions.Utility_DisplayArrayInTable(Common_SourceData.Common_SourceData_WetAndDryZones_Data(), Table_SourceData_WetDryZones[[#Headers],[Climate zone]], 0)</f>
        <v>Wet climate zone</v>
      </c>
    </row>
    <row r="69" spans="1:5" ht="20" customHeight="1" x14ac:dyDescent="0.25">
      <c r="A69"/>
      <c r="D69" s="34" t="str" cm="1">
        <f t="array" ref="D69">Common_InputFunctions.Utility_DisplayArrayInTable(Common_SourceData.Common_SourceData_WetAndDryZones_Data(), Table_SourceData_WetDryZones[[#Headers],[Climate zone]], 0)</f>
        <v>Warm temperate dry</v>
      </c>
      <c r="E69" s="34" t="str" cm="1">
        <f t="array" ref="E69">Common_InputFunctions.Utility_DisplayArrayInTable(Common_SourceData.Common_SourceData_WetAndDryZones_Data(), Table_SourceData_WetDryZones[[#Headers],[Climate zone]], 0)</f>
        <v>Dry climate zone</v>
      </c>
    </row>
    <row r="70" spans="1:5" ht="20" customHeight="1" x14ac:dyDescent="0.25">
      <c r="A70"/>
      <c r="D70" s="34" t="str" cm="1">
        <f t="array" ref="D70">Common_InputFunctions.Utility_DisplayArrayInTable(Common_SourceData.Common_SourceData_WetAndDryZones_Data(), Table_SourceData_WetDryZones[[#Headers],[Climate zone]], 0)</f>
        <v>Cool temperate moist</v>
      </c>
      <c r="E70" s="34" t="str" cm="1">
        <f t="array" ref="E70">Common_InputFunctions.Utility_DisplayArrayInTable(Common_SourceData.Common_SourceData_WetAndDryZones_Data(), Table_SourceData_WetDryZones[[#Headers],[Climate zone]], 0)</f>
        <v>Wet climate zone</v>
      </c>
    </row>
    <row r="71" spans="1:5" ht="20" customHeight="1" x14ac:dyDescent="0.25">
      <c r="A71"/>
      <c r="D71" s="34" t="str" cm="1">
        <f t="array" ref="D71">Common_InputFunctions.Utility_DisplayArrayInTable(Common_SourceData.Common_SourceData_WetAndDryZones_Data(), Table_SourceData_WetDryZones[[#Headers],[Climate zone]], 0)</f>
        <v>Cool temperate dry</v>
      </c>
      <c r="E71" s="34" t="str" cm="1">
        <f t="array" ref="E71">Common_InputFunctions.Utility_DisplayArrayInTable(Common_SourceData.Common_SourceData_WetAndDryZones_Data(), Table_SourceData_WetDryZones[[#Headers],[Climate zone]], 0)</f>
        <v>Dry climate zone</v>
      </c>
    </row>
    <row r="72" spans="1:5" ht="20" customHeight="1" x14ac:dyDescent="0.25">
      <c r="A72"/>
      <c r="D72" s="34" t="str" cm="1">
        <f t="array" ref="D72">Common_InputFunctions.Utility_DisplayArrayInTable(Common_SourceData.Common_SourceData_WetAndDryZones_Data(), Table_SourceData_WetDryZones[[#Headers],[Climate zone]], 0)</f>
        <v>Warm temperate moist - low frost</v>
      </c>
      <c r="E72" s="34" t="str" cm="1">
        <f t="array" ref="E72">Common_InputFunctions.Utility_DisplayArrayInTable(Common_SourceData.Common_SourceData_WetAndDryZones_Data(), Table_SourceData_WetDryZones[[#Headers],[Climate zone]], 0)</f>
        <v>Wet climate zone</v>
      </c>
    </row>
    <row r="73" spans="1:5" ht="20" customHeight="1" x14ac:dyDescent="0.25">
      <c r="A73"/>
      <c r="D73" s="34" t="str" cm="1">
        <f t="array" ref="D73">Common_InputFunctions.Utility_DisplayArrayInTable(Common_SourceData.Common_SourceData_WetAndDryZones_Data(), Table_SourceData_WetDryZones[[#Headers],[Climate zone]], 0)</f>
        <v>Warm temperate dry - low frost</v>
      </c>
      <c r="E73" s="34" t="str" cm="1">
        <f t="array" ref="E73">Common_InputFunctions.Utility_DisplayArrayInTable(Common_SourceData.Common_SourceData_WetAndDryZones_Data(), Table_SourceData_WetDryZones[[#Headers],[Climate zone]], 0)</f>
        <v>Dry climate zone</v>
      </c>
    </row>
    <row r="74" spans="1:5" ht="20" customHeight="1" x14ac:dyDescent="0.25">
      <c r="A74"/>
      <c r="D74" s="34" t="str" cm="1">
        <f t="array" ref="D74">Common_InputFunctions.Utility_DisplayArrayInTable(Common_SourceData.Common_SourceData_WetAndDryZones_Data(), Table_SourceData_WetDryZones[[#Headers],[Climate zone]], 0)</f>
        <v>Warm temperate moist - high temp</v>
      </c>
      <c r="E74" s="34" t="str" cm="1">
        <f t="array" ref="E74">Common_InputFunctions.Utility_DisplayArrayInTable(Common_SourceData.Common_SourceData_WetAndDryZones_Data(), Table_SourceData_WetDryZones[[#Headers],[Climate zone]], 0)</f>
        <v>Wet climate zone</v>
      </c>
    </row>
    <row r="75" spans="1:5" ht="20" customHeight="1" x14ac:dyDescent="0.25">
      <c r="A75"/>
      <c r="D75" s="34" t="str" cm="1">
        <f t="array" ref="D75">Common_InputFunctions.Utility_DisplayArrayInTable(Common_SourceData.Common_SourceData_WetAndDryZones_Data(), Table_SourceData_WetDryZones[[#Headers],[Climate zone]], 0)</f>
        <v>Warm temperate dry - high temp</v>
      </c>
      <c r="E75" s="34" t="str" cm="1">
        <f t="array" ref="E75">Common_InputFunctions.Utility_DisplayArrayInTable(Common_SourceData.Common_SourceData_WetAndDryZones_Data(), Table_SourceData_WetDryZones[[#Headers],[Climate zone]], 0)</f>
        <v>Dry climate zone</v>
      </c>
    </row>
    <row r="76" spans="1:5" ht="20" customHeight="1" x14ac:dyDescent="0.25">
      <c r="A76"/>
      <c r="D76" s="34" t="str" cm="1">
        <f t="array" ref="D76">Common_InputFunctions.Utility_DisplayArrayInTable(Common_SourceData.Common_SourceData_WetAndDryZones_Data(), Table_SourceData_WetDryZones[[#Headers],[Climate zone]], 0)</f>
        <v>Cool temperate moist - low frost</v>
      </c>
      <c r="E76" s="34" t="str" cm="1">
        <f t="array" ref="E76">Common_InputFunctions.Utility_DisplayArrayInTable(Common_SourceData.Common_SourceData_WetAndDryZones_Data(), Table_SourceData_WetDryZones[[#Headers],[Climate zone]], 0)</f>
        <v>Wet climate zone</v>
      </c>
    </row>
    <row r="77" spans="1:5" ht="20" customHeight="1" x14ac:dyDescent="0.25">
      <c r="A77"/>
      <c r="D77" s="34" t="str" cm="1">
        <f t="array" ref="D77">Common_InputFunctions.Utility_DisplayArrayInTable(Common_SourceData.Common_SourceData_WetAndDryZones_Data(), Table_SourceData_WetDryZones[[#Headers],[Climate zone]], 0)</f>
        <v>Cool temperate dry - low frost</v>
      </c>
      <c r="E77" s="34"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6" t="str" cm="1">
        <f t="array" ref="D81">Common_SourceData.Common_SourceData_ClimateZones_Title()</f>
        <v>VEERG Australian climate zones</v>
      </c>
    </row>
    <row r="82" spans="1:20" ht="20" customHeight="1" x14ac:dyDescent="0.25">
      <c r="A82"/>
      <c r="D82" s="5" t="str" cm="1">
        <f t="array" ref="D82">Common_SourceData.Common_SourceData_ClimateZones_Source()</f>
        <v>VEERG 2026: Table 1.3: Climate and Rainfall zone classifications and definitions</v>
      </c>
    </row>
    <row r="83" spans="1:20" ht="20" customHeight="1" x14ac:dyDescent="0.25">
      <c r="A83"/>
      <c r="D83" s="49" t="str" cm="1">
        <f t="array" ref="D83:D87">"⚠️" &amp; Common_SourceData.Common_SourceData_ClimateZones_Variation()</f>
        <v>⚠️VARIATION OF SOURCE DATA:</v>
      </c>
    </row>
    <row r="84" spans="1:20" ht="20" customHeight="1" x14ac:dyDescent="0.25">
      <c r="A84"/>
      <c r="D84" s="49" t="str">
        <v>⚠️Added warm / cool temperate moist / dry - low frost and high temp classes to accommodate climate scenarios excluded by VEERG criteria.</v>
      </c>
    </row>
    <row r="85" spans="1:20" ht="20" customHeight="1" x14ac:dyDescent="0.25">
      <c r="A85"/>
      <c r="D85" s="49" t="str">
        <v>⚠️Fixed typo in MAT value for warm temperate dry - changed 10 to 11.</v>
      </c>
    </row>
    <row r="86" spans="1:20" ht="20" customHeight="1" x14ac:dyDescent="0.25">
      <c r="A86"/>
      <c r="D86" s="49" t="str">
        <v>⚠️Added min and max columns for MAT, MAP, frost days per year, elevation, MAP:PET to calculate zones from real climate data.</v>
      </c>
    </row>
    <row r="87" spans="1:20" ht="20" customHeight="1" x14ac:dyDescent="0.25">
      <c r="A87"/>
      <c r="D87" s="49" t="str">
        <v>⚠️GAF accepts rainfall as a proxy for precipitation.</v>
      </c>
    </row>
    <row r="88" spans="1:20" ht="20" customHeight="1" x14ac:dyDescent="0.25">
      <c r="A88"/>
    </row>
    <row r="89" spans="1:20" ht="20" customHeight="1" x14ac:dyDescent="0.25">
      <c r="A89"/>
      <c r="D89" s="34" t="s">
        <v>5</v>
      </c>
      <c r="E89" s="34" t="s">
        <v>22</v>
      </c>
      <c r="F89" s="34" t="s">
        <v>23</v>
      </c>
      <c r="G89" s="34" t="s">
        <v>24</v>
      </c>
      <c r="H89" s="34" t="s">
        <v>25</v>
      </c>
      <c r="I89" s="34" t="s">
        <v>26</v>
      </c>
      <c r="J89" s="34" t="s">
        <v>27</v>
      </c>
      <c r="K89" s="34" t="s">
        <v>28</v>
      </c>
      <c r="L89" s="34" t="s">
        <v>29</v>
      </c>
      <c r="M89" s="34" t="s">
        <v>30</v>
      </c>
      <c r="N89" s="34" t="s">
        <v>31</v>
      </c>
      <c r="O89" s="34" t="s">
        <v>35</v>
      </c>
      <c r="P89" s="34" t="s">
        <v>32</v>
      </c>
      <c r="Q89" s="34" t="s">
        <v>36</v>
      </c>
      <c r="R89" s="34" t="s">
        <v>33</v>
      </c>
      <c r="S89" s="34" t="s">
        <v>37</v>
      </c>
      <c r="T89" s="34"/>
    </row>
    <row r="90" spans="1:20" ht="20" customHeight="1" x14ac:dyDescent="0.25">
      <c r="A90"/>
      <c r="D90" s="34" t="str" cm="1">
        <f t="array" ref="D90">Common_InputFunctions.Utility_DisplayArrayInTable(Common_SourceData.Common_SourceData_ClimateZones_Data(), Table_SourceData_ClimateZones[[#Headers],[Climate zone]], 0)</f>
        <v>Tropical montane</v>
      </c>
      <c r="E90" s="34" t="str" cm="1">
        <f t="array" ref="E90">Common_InputFunctions.Utility_DisplayArrayInTable(Common_SourceData.Common_SourceData_ClimateZones_Data(), Table_SourceData_ClimateZones[[#Headers],[Climate zone]], 0)</f>
        <v>&gt; 18 C</v>
      </c>
      <c r="F90" s="34" t="str" cm="1">
        <f t="array" ref="F90">Common_InputFunctions.Utility_DisplayArrayInTable(Common_SourceData.Common_SourceData_ClimateZones_Data(), Table_SourceData_ClimateZones[[#Headers],[Climate zone]], 0)</f>
        <v>Any</v>
      </c>
      <c r="G90" s="34" t="str" cm="1">
        <f t="array" ref="G90">Common_InputFunctions.Utility_DisplayArrayInTable(Common_SourceData.Common_SourceData_ClimateZones_Data(), Table_SourceData_ClimateZones[[#Headers],[Climate zone]], 0)</f>
        <v>≤ 7</v>
      </c>
      <c r="H90" s="34" t="str" cm="1">
        <f t="array" ref="H90">Common_InputFunctions.Utility_DisplayArrayInTable(Common_SourceData.Common_SourceData_ClimateZones_Data(), Table_SourceData_ClimateZones[[#Headers],[Climate zone]], 0)</f>
        <v>&gt; 1000 m</v>
      </c>
      <c r="I90" s="34" t="str" cm="1">
        <f t="array" ref="I90">Common_InputFunctions.Utility_DisplayArrayInTable(Common_SourceData.Common_SourceData_ClimateZones_Data(), Table_SourceData_ClimateZones[[#Headers],[Climate zone]], 0)</f>
        <v>Any</v>
      </c>
      <c r="J90" s="34" cm="1">
        <f t="array" ref="J90">Common_InputFunctions.Utility_DisplayArrayInTable(Common_SourceData.Common_SourceData_ClimateZones_Data(), Table_SourceData_ClimateZones[[#Headers],[Climate zone]], 0)</f>
        <v>18.001000000000001</v>
      </c>
      <c r="K90" s="34" cm="1">
        <f t="array" ref="K90">Common_InputFunctions.Utility_DisplayArrayInTable(Common_SourceData.Common_SourceData_ClimateZones_Data(), Table_SourceData_ClimateZones[[#Headers],[Climate zone]], 0)</f>
        <v>999999</v>
      </c>
      <c r="L90" s="34" cm="1">
        <f t="array" ref="L90">Common_InputFunctions.Utility_DisplayArrayInTable(Common_SourceData.Common_SourceData_ClimateZones_Data(), Table_SourceData_ClimateZones[[#Headers],[Climate zone]], 0)</f>
        <v>-999999</v>
      </c>
      <c r="M90" s="34" cm="1">
        <f t="array" ref="M90">Common_InputFunctions.Utility_DisplayArrayInTable(Common_SourceData.Common_SourceData_ClimateZones_Data(), Table_SourceData_ClimateZones[[#Headers],[Climate zone]], 0)</f>
        <v>999999</v>
      </c>
      <c r="N90" s="34" cm="1">
        <f t="array" ref="N90">Common_InputFunctions.Utility_DisplayArrayInTable(Common_SourceData.Common_SourceData_ClimateZones_Data(), Table_SourceData_ClimateZones[[#Headers],[Climate zone]], 0)</f>
        <v>-999999</v>
      </c>
      <c r="O90" s="34" cm="1">
        <f t="array" ref="O90">Common_InputFunctions.Utility_DisplayArrayInTable(Common_SourceData.Common_SourceData_ClimateZones_Data(), Table_SourceData_ClimateZones[[#Headers],[Climate zone]], 0)</f>
        <v>7</v>
      </c>
      <c r="P90" s="34" cm="1">
        <f t="array" ref="P90">Common_InputFunctions.Utility_DisplayArrayInTable(Common_SourceData.Common_SourceData_ClimateZones_Data(), Table_SourceData_ClimateZones[[#Headers],[Climate zone]], 0)</f>
        <v>1000</v>
      </c>
      <c r="Q90" s="34" cm="1">
        <f t="array" ref="Q90">Common_InputFunctions.Utility_DisplayArrayInTable(Common_SourceData.Common_SourceData_ClimateZones_Data(), Table_SourceData_ClimateZones[[#Headers],[Climate zone]], 0)</f>
        <v>999999</v>
      </c>
      <c r="R90" s="34" cm="1">
        <f t="array" ref="R90">Common_InputFunctions.Utility_DisplayArrayInTable(Common_SourceData.Common_SourceData_ClimateZones_Data(), Table_SourceData_ClimateZones[[#Headers],[Climate zone]], 0)</f>
        <v>-999999</v>
      </c>
      <c r="S90" s="34" cm="1">
        <f t="array" ref="S90">Common_InputFunctions.Utility_DisplayArrayInTable(Common_SourceData.Common_SourceData_ClimateZones_Data(), Table_SourceData_ClimateZones[[#Headers],[Climate zone]], 0)</f>
        <v>999999</v>
      </c>
      <c r="T90" s="34"/>
    </row>
    <row r="91" spans="1:20" ht="20" customHeight="1" x14ac:dyDescent="0.25">
      <c r="A91"/>
      <c r="D91" s="34" t="str" cm="1">
        <f t="array" ref="D91">Common_InputFunctions.Utility_DisplayArrayInTable(Common_SourceData.Common_SourceData_ClimateZones_Data(), Table_SourceData_ClimateZones[[#Headers],[Climate zone]], 0)</f>
        <v>Tropical wet</v>
      </c>
      <c r="E91" s="34" t="str" cm="1">
        <f t="array" ref="E91">Common_InputFunctions.Utility_DisplayArrayInTable(Common_SourceData.Common_SourceData_ClimateZones_Data(), Table_SourceData_ClimateZones[[#Headers],[Climate zone]], 0)</f>
        <v>&gt; 18 C</v>
      </c>
      <c r="F91" s="34" t="str" cm="1">
        <f t="array" ref="F91">Common_InputFunctions.Utility_DisplayArrayInTable(Common_SourceData.Common_SourceData_ClimateZones_Data(), Table_SourceData_ClimateZones[[#Headers],[Climate zone]], 0)</f>
        <v>&gt; 2000 mm</v>
      </c>
      <c r="G91" s="34" t="str" cm="1">
        <f t="array" ref="G91">Common_InputFunctions.Utility_DisplayArrayInTable(Common_SourceData.Common_SourceData_ClimateZones_Data(), Table_SourceData_ClimateZones[[#Headers],[Climate zone]], 0)</f>
        <v>≤ 7</v>
      </c>
      <c r="H91" s="34" t="str" cm="1">
        <f t="array" ref="H91">Common_InputFunctions.Utility_DisplayArrayInTable(Common_SourceData.Common_SourceData_ClimateZones_Data(), Table_SourceData_ClimateZones[[#Headers],[Climate zone]], 0)</f>
        <v>≤ 1000 m</v>
      </c>
      <c r="I91" s="34" t="str" cm="1">
        <f t="array" ref="I91">Common_InputFunctions.Utility_DisplayArrayInTable(Common_SourceData.Common_SourceData_ClimateZones_Data(), Table_SourceData_ClimateZones[[#Headers],[Climate zone]], 0)</f>
        <v>Any</v>
      </c>
      <c r="J91" s="34" cm="1">
        <f t="array" ref="J91">Common_InputFunctions.Utility_DisplayArrayInTable(Common_SourceData.Common_SourceData_ClimateZones_Data(), Table_SourceData_ClimateZones[[#Headers],[Climate zone]], 0)</f>
        <v>18.001000000000001</v>
      </c>
      <c r="K91" s="34" cm="1">
        <f t="array" ref="K91">Common_InputFunctions.Utility_DisplayArrayInTable(Common_SourceData.Common_SourceData_ClimateZones_Data(), Table_SourceData_ClimateZones[[#Headers],[Climate zone]], 0)</f>
        <v>999999</v>
      </c>
      <c r="L91" s="34" cm="1">
        <f t="array" ref="L91">Common_InputFunctions.Utility_DisplayArrayInTable(Common_SourceData.Common_SourceData_ClimateZones_Data(), Table_SourceData_ClimateZones[[#Headers],[Climate zone]], 0)</f>
        <v>2000.001</v>
      </c>
      <c r="M91" s="34" cm="1">
        <f t="array" ref="M91">Common_InputFunctions.Utility_DisplayArrayInTable(Common_SourceData.Common_SourceData_ClimateZones_Data(), Table_SourceData_ClimateZones[[#Headers],[Climate zone]], 0)</f>
        <v>999999</v>
      </c>
      <c r="N91" s="34" cm="1">
        <f t="array" ref="N91">Common_InputFunctions.Utility_DisplayArrayInTable(Common_SourceData.Common_SourceData_ClimateZones_Data(), Table_SourceData_ClimateZones[[#Headers],[Climate zone]], 0)</f>
        <v>-999999</v>
      </c>
      <c r="O91" s="34" cm="1">
        <f t="array" ref="O91">Common_InputFunctions.Utility_DisplayArrayInTable(Common_SourceData.Common_SourceData_ClimateZones_Data(), Table_SourceData_ClimateZones[[#Headers],[Climate zone]], 0)</f>
        <v>7</v>
      </c>
      <c r="P91" s="34" cm="1">
        <f t="array" ref="P91">Common_InputFunctions.Utility_DisplayArrayInTable(Common_SourceData.Common_SourceData_ClimateZones_Data(), Table_SourceData_ClimateZones[[#Headers],[Climate zone]], 0)</f>
        <v>-999999</v>
      </c>
      <c r="Q91" s="34" cm="1">
        <f t="array" ref="Q91">Common_InputFunctions.Utility_DisplayArrayInTable(Common_SourceData.Common_SourceData_ClimateZones_Data(), Table_SourceData_ClimateZones[[#Headers],[Climate zone]], 0)</f>
        <v>999.99900000000002</v>
      </c>
      <c r="R91" s="34" cm="1">
        <f t="array" ref="R91">Common_InputFunctions.Utility_DisplayArrayInTable(Common_SourceData.Common_SourceData_ClimateZones_Data(), Table_SourceData_ClimateZones[[#Headers],[Climate zone]], 0)</f>
        <v>-999999</v>
      </c>
      <c r="S91" s="34" cm="1">
        <f t="array" ref="S91">Common_InputFunctions.Utility_DisplayArrayInTable(Common_SourceData.Common_SourceData_ClimateZones_Data(), Table_SourceData_ClimateZones[[#Headers],[Climate zone]], 0)</f>
        <v>999999</v>
      </c>
      <c r="T91" s="34"/>
    </row>
    <row r="92" spans="1:20" ht="20" customHeight="1" x14ac:dyDescent="0.25">
      <c r="A92"/>
      <c r="D92" s="34" t="str" cm="1">
        <f t="array" ref="D92">Common_InputFunctions.Utility_DisplayArrayInTable(Common_SourceData.Common_SourceData_ClimateZones_Data(), Table_SourceData_ClimateZones[[#Headers],[Climate zone]], 0)</f>
        <v>Tropical moist</v>
      </c>
      <c r="E92" s="34" t="str" cm="1">
        <f t="array" ref="E92">Common_InputFunctions.Utility_DisplayArrayInTable(Common_SourceData.Common_SourceData_ClimateZones_Data(), Table_SourceData_ClimateZones[[#Headers],[Climate zone]], 0)</f>
        <v>&gt; 18 C</v>
      </c>
      <c r="F92" s="34" t="str" cm="1">
        <f t="array" ref="F92">Common_InputFunctions.Utility_DisplayArrayInTable(Common_SourceData.Common_SourceData_ClimateZones_Data(), Table_SourceData_ClimateZones[[#Headers],[Climate zone]], 0)</f>
        <v>&gt; 1000 mm - ≤ 2000 mm</v>
      </c>
      <c r="G92" s="34" t="str" cm="1">
        <f t="array" ref="G92">Common_InputFunctions.Utility_DisplayArrayInTable(Common_SourceData.Common_SourceData_ClimateZones_Data(), Table_SourceData_ClimateZones[[#Headers],[Climate zone]], 0)</f>
        <v>≤ 7</v>
      </c>
      <c r="H92" s="34" t="str" cm="1">
        <f t="array" ref="H92">Common_InputFunctions.Utility_DisplayArrayInTable(Common_SourceData.Common_SourceData_ClimateZones_Data(), Table_SourceData_ClimateZones[[#Headers],[Climate zone]], 0)</f>
        <v>≤ 1000 m</v>
      </c>
      <c r="I92" s="34" t="str" cm="1">
        <f t="array" ref="I92">Common_InputFunctions.Utility_DisplayArrayInTable(Common_SourceData.Common_SourceData_ClimateZones_Data(), Table_SourceData_ClimateZones[[#Headers],[Climate zone]], 0)</f>
        <v>Any</v>
      </c>
      <c r="J92" s="34" cm="1">
        <f t="array" ref="J92">Common_InputFunctions.Utility_DisplayArrayInTable(Common_SourceData.Common_SourceData_ClimateZones_Data(), Table_SourceData_ClimateZones[[#Headers],[Climate zone]], 0)</f>
        <v>18.001000000000001</v>
      </c>
      <c r="K92" s="34" cm="1">
        <f t="array" ref="K92">Common_InputFunctions.Utility_DisplayArrayInTable(Common_SourceData.Common_SourceData_ClimateZones_Data(), Table_SourceData_ClimateZones[[#Headers],[Climate zone]], 0)</f>
        <v>999999</v>
      </c>
      <c r="L92" s="34" cm="1">
        <f t="array" ref="L92">Common_InputFunctions.Utility_DisplayArrayInTable(Common_SourceData.Common_SourceData_ClimateZones_Data(), Table_SourceData_ClimateZones[[#Headers],[Climate zone]], 0)</f>
        <v>1000.001</v>
      </c>
      <c r="M92" s="34" cm="1">
        <f t="array" ref="M92">Common_InputFunctions.Utility_DisplayArrayInTable(Common_SourceData.Common_SourceData_ClimateZones_Data(), Table_SourceData_ClimateZones[[#Headers],[Climate zone]], 0)</f>
        <v>2000</v>
      </c>
      <c r="N92" s="34" cm="1">
        <f t="array" ref="N92">Common_InputFunctions.Utility_DisplayArrayInTable(Common_SourceData.Common_SourceData_ClimateZones_Data(), Table_SourceData_ClimateZones[[#Headers],[Climate zone]], 0)</f>
        <v>-999999</v>
      </c>
      <c r="O92" s="34" cm="1">
        <f t="array" ref="O92">Common_InputFunctions.Utility_DisplayArrayInTable(Common_SourceData.Common_SourceData_ClimateZones_Data(), Table_SourceData_ClimateZones[[#Headers],[Climate zone]], 0)</f>
        <v>7</v>
      </c>
      <c r="P92" s="34" cm="1">
        <f t="array" ref="P92">Common_InputFunctions.Utility_DisplayArrayInTable(Common_SourceData.Common_SourceData_ClimateZones_Data(), Table_SourceData_ClimateZones[[#Headers],[Climate zone]], 0)</f>
        <v>-999999</v>
      </c>
      <c r="Q92" s="34" cm="1">
        <f t="array" ref="Q92">Common_InputFunctions.Utility_DisplayArrayInTable(Common_SourceData.Common_SourceData_ClimateZones_Data(), Table_SourceData_ClimateZones[[#Headers],[Climate zone]], 0)</f>
        <v>999.99900000000002</v>
      </c>
      <c r="R92" s="34" cm="1">
        <f t="array" ref="R92">Common_InputFunctions.Utility_DisplayArrayInTable(Common_SourceData.Common_SourceData_ClimateZones_Data(), Table_SourceData_ClimateZones[[#Headers],[Climate zone]], 0)</f>
        <v>-999999</v>
      </c>
      <c r="S92" s="34" cm="1">
        <f t="array" ref="S92">Common_InputFunctions.Utility_DisplayArrayInTable(Common_SourceData.Common_SourceData_ClimateZones_Data(), Table_SourceData_ClimateZones[[#Headers],[Climate zone]], 0)</f>
        <v>999999</v>
      </c>
      <c r="T92" s="34"/>
    </row>
    <row r="93" spans="1:20" ht="20" customHeight="1" x14ac:dyDescent="0.25">
      <c r="A93"/>
      <c r="D93" s="34" t="str" cm="1">
        <f t="array" ref="D93">Common_InputFunctions.Utility_DisplayArrayInTable(Common_SourceData.Common_SourceData_ClimateZones_Data(), Table_SourceData_ClimateZones[[#Headers],[Climate zone]], 0)</f>
        <v>Tropical dry</v>
      </c>
      <c r="E93" s="34" t="str" cm="1">
        <f t="array" ref="E93">Common_InputFunctions.Utility_DisplayArrayInTable(Common_SourceData.Common_SourceData_ClimateZones_Data(), Table_SourceData_ClimateZones[[#Headers],[Climate zone]], 0)</f>
        <v>&gt; 18 C</v>
      </c>
      <c r="F93" s="34" t="str" cm="1">
        <f t="array" ref="F93">Common_InputFunctions.Utility_DisplayArrayInTable(Common_SourceData.Common_SourceData_ClimateZones_Data(), Table_SourceData_ClimateZones[[#Headers],[Climate zone]], 0)</f>
        <v>≤ 1000 mm</v>
      </c>
      <c r="G93" s="34" t="str" cm="1">
        <f t="array" ref="G93">Common_InputFunctions.Utility_DisplayArrayInTable(Common_SourceData.Common_SourceData_ClimateZones_Data(), Table_SourceData_ClimateZones[[#Headers],[Climate zone]], 0)</f>
        <v>≤ 7</v>
      </c>
      <c r="H93" s="34" t="str" cm="1">
        <f t="array" ref="H93">Common_InputFunctions.Utility_DisplayArrayInTable(Common_SourceData.Common_SourceData_ClimateZones_Data(), Table_SourceData_ClimateZones[[#Headers],[Climate zone]], 0)</f>
        <v>≤ 1000 m</v>
      </c>
      <c r="I93" s="34" t="str" cm="1">
        <f t="array" ref="I93">Common_InputFunctions.Utility_DisplayArrayInTable(Common_SourceData.Common_SourceData_ClimateZones_Data(), Table_SourceData_ClimateZones[[#Headers],[Climate zone]], 0)</f>
        <v>Any</v>
      </c>
      <c r="J93" s="34" cm="1">
        <f t="array" ref="J93">Common_InputFunctions.Utility_DisplayArrayInTable(Common_SourceData.Common_SourceData_ClimateZones_Data(), Table_SourceData_ClimateZones[[#Headers],[Climate zone]], 0)</f>
        <v>18.001000000000001</v>
      </c>
      <c r="K93" s="34" cm="1">
        <f t="array" ref="K93">Common_InputFunctions.Utility_DisplayArrayInTable(Common_SourceData.Common_SourceData_ClimateZones_Data(), Table_SourceData_ClimateZones[[#Headers],[Climate zone]], 0)</f>
        <v>999999</v>
      </c>
      <c r="L93" s="34" cm="1">
        <f t="array" ref="L93">Common_InputFunctions.Utility_DisplayArrayInTable(Common_SourceData.Common_SourceData_ClimateZones_Data(), Table_SourceData_ClimateZones[[#Headers],[Climate zone]], 0)</f>
        <v>-999999</v>
      </c>
      <c r="M93" s="34" cm="1">
        <f t="array" ref="M93">Common_InputFunctions.Utility_DisplayArrayInTable(Common_SourceData.Common_SourceData_ClimateZones_Data(), Table_SourceData_ClimateZones[[#Headers],[Climate zone]], 0)</f>
        <v>1000</v>
      </c>
      <c r="N93" s="34" cm="1">
        <f t="array" ref="N93">Common_InputFunctions.Utility_DisplayArrayInTable(Common_SourceData.Common_SourceData_ClimateZones_Data(), Table_SourceData_ClimateZones[[#Headers],[Climate zone]], 0)</f>
        <v>-999999</v>
      </c>
      <c r="O93" s="34" cm="1">
        <f t="array" ref="O93">Common_InputFunctions.Utility_DisplayArrayInTable(Common_SourceData.Common_SourceData_ClimateZones_Data(), Table_SourceData_ClimateZones[[#Headers],[Climate zone]], 0)</f>
        <v>7</v>
      </c>
      <c r="P93" s="34" cm="1">
        <f t="array" ref="P93">Common_InputFunctions.Utility_DisplayArrayInTable(Common_SourceData.Common_SourceData_ClimateZones_Data(), Table_SourceData_ClimateZones[[#Headers],[Climate zone]], 0)</f>
        <v>-999999</v>
      </c>
      <c r="Q93" s="34" cm="1">
        <f t="array" ref="Q93">Common_InputFunctions.Utility_DisplayArrayInTable(Common_SourceData.Common_SourceData_ClimateZones_Data(), Table_SourceData_ClimateZones[[#Headers],[Climate zone]], 0)</f>
        <v>999.99900000000002</v>
      </c>
      <c r="R93" s="34" cm="1">
        <f t="array" ref="R93">Common_InputFunctions.Utility_DisplayArrayInTable(Common_SourceData.Common_SourceData_ClimateZones_Data(), Table_SourceData_ClimateZones[[#Headers],[Climate zone]], 0)</f>
        <v>-999999</v>
      </c>
      <c r="S93" s="34" cm="1">
        <f t="array" ref="S93">Common_InputFunctions.Utility_DisplayArrayInTable(Common_SourceData.Common_SourceData_ClimateZones_Data(), Table_SourceData_ClimateZones[[#Headers],[Climate zone]], 0)</f>
        <v>999999</v>
      </c>
      <c r="T93" s="34"/>
    </row>
    <row r="94" spans="1:20" ht="20" customHeight="1" x14ac:dyDescent="0.25">
      <c r="A94"/>
      <c r="D94" s="34" t="str" cm="1">
        <f t="array" ref="D94">Common_InputFunctions.Utility_DisplayArrayInTable(Common_SourceData.Common_SourceData_ClimateZones_Data(), Table_SourceData_ClimateZones[[#Headers],[Climate zone]], 0)</f>
        <v>Warm temperate moist</v>
      </c>
      <c r="E94" s="34" t="str" cm="1">
        <f t="array" ref="E94">Common_InputFunctions.Utility_DisplayArrayInTable(Common_SourceData.Common_SourceData_ClimateZones_Data(), Table_SourceData_ClimateZones[[#Headers],[Climate zone]], 0)</f>
        <v>&gt; 10 C</v>
      </c>
      <c r="F94" s="34" t="str" cm="1">
        <f t="array" ref="F94">Common_InputFunctions.Utility_DisplayArrayInTable(Common_SourceData.Common_SourceData_ClimateZones_Data(), Table_SourceData_ClimateZones[[#Headers],[Climate zone]], 0)</f>
        <v>Any</v>
      </c>
      <c r="G94" s="34" t="str" cm="1">
        <f t="array" ref="G94">Common_InputFunctions.Utility_DisplayArrayInTable(Common_SourceData.Common_SourceData_ClimateZones_Data(), Table_SourceData_ClimateZones[[#Headers],[Climate zone]], 0)</f>
        <v>Any</v>
      </c>
      <c r="H94" s="34" t="str" cm="1">
        <f t="array" ref="H94">Common_InputFunctions.Utility_DisplayArrayInTable(Common_SourceData.Common_SourceData_ClimateZones_Data(), Table_SourceData_ClimateZones[[#Headers],[Climate zone]], 0)</f>
        <v>Any</v>
      </c>
      <c r="I94" s="34" t="str" cm="1">
        <f t="array" ref="I94">Common_InputFunctions.Utility_DisplayArrayInTable(Common_SourceData.Common_SourceData_ClimateZones_Data(), Table_SourceData_ClimateZones[[#Headers],[Climate zone]], 0)</f>
        <v>&gt; 1</v>
      </c>
      <c r="J94" s="34" cm="1">
        <f t="array" ref="J94">Common_InputFunctions.Utility_DisplayArrayInTable(Common_SourceData.Common_SourceData_ClimateZones_Data(), Table_SourceData_ClimateZones[[#Headers],[Climate zone]], 0)</f>
        <v>10.000999999999999</v>
      </c>
      <c r="K94" s="34" cm="1">
        <f t="array" ref="K94">Common_InputFunctions.Utility_DisplayArrayInTable(Common_SourceData.Common_SourceData_ClimateZones_Data(), Table_SourceData_ClimateZones[[#Headers],[Climate zone]], 0)</f>
        <v>999999</v>
      </c>
      <c r="L94" s="34" cm="1">
        <f t="array" ref="L94">Common_InputFunctions.Utility_DisplayArrayInTable(Common_SourceData.Common_SourceData_ClimateZones_Data(), Table_SourceData_ClimateZones[[#Headers],[Climate zone]], 0)</f>
        <v>-999999</v>
      </c>
      <c r="M94" s="34" cm="1">
        <f t="array" ref="M94">Common_InputFunctions.Utility_DisplayArrayInTable(Common_SourceData.Common_SourceData_ClimateZones_Data(), Table_SourceData_ClimateZones[[#Headers],[Climate zone]], 0)</f>
        <v>999999</v>
      </c>
      <c r="N94" s="34" cm="1">
        <f t="array" ref="N94">Common_InputFunctions.Utility_DisplayArrayInTable(Common_SourceData.Common_SourceData_ClimateZones_Data(), Table_SourceData_ClimateZones[[#Headers],[Climate zone]], 0)</f>
        <v>-999999</v>
      </c>
      <c r="O94" s="34" cm="1">
        <f t="array" ref="O94">Common_InputFunctions.Utility_DisplayArrayInTable(Common_SourceData.Common_SourceData_ClimateZones_Data(), Table_SourceData_ClimateZones[[#Headers],[Climate zone]], 0)</f>
        <v>999999</v>
      </c>
      <c r="P94" s="34" cm="1">
        <f t="array" ref="P94">Common_InputFunctions.Utility_DisplayArrayInTable(Common_SourceData.Common_SourceData_ClimateZones_Data(), Table_SourceData_ClimateZones[[#Headers],[Climate zone]], 0)</f>
        <v>-999999</v>
      </c>
      <c r="Q94" s="34" cm="1">
        <f t="array" ref="Q94">Common_InputFunctions.Utility_DisplayArrayInTable(Common_SourceData.Common_SourceData_ClimateZones_Data(), Table_SourceData_ClimateZones[[#Headers],[Climate zone]], 0)</f>
        <v>999999</v>
      </c>
      <c r="R94" s="34" cm="1">
        <f t="array" ref="R94">Common_InputFunctions.Utility_DisplayArrayInTable(Common_SourceData.Common_SourceData_ClimateZones_Data(), Table_SourceData_ClimateZones[[#Headers],[Climate zone]], 0)</f>
        <v>1.0009999999999999</v>
      </c>
      <c r="S94" s="34" cm="1">
        <f t="array" ref="S94">Common_InputFunctions.Utility_DisplayArrayInTable(Common_SourceData.Common_SourceData_ClimateZones_Data(), Table_SourceData_ClimateZones[[#Headers],[Climate zone]], 0)</f>
        <v>999999</v>
      </c>
      <c r="T94" s="34"/>
    </row>
    <row r="95" spans="1:20" ht="20" customHeight="1" x14ac:dyDescent="0.25">
      <c r="A95"/>
      <c r="D95" s="34" t="str" cm="1">
        <f t="array" ref="D95">Common_InputFunctions.Utility_DisplayArrayInTable(Common_SourceData.Common_SourceData_ClimateZones_Data(), Table_SourceData_ClimateZones[[#Headers],[Climate zone]], 0)</f>
        <v>Warm temperate dry</v>
      </c>
      <c r="E95" s="34" t="str" cm="1">
        <f t="array" ref="E95">Common_InputFunctions.Utility_DisplayArrayInTable(Common_SourceData.Common_SourceData_ClimateZones_Data(), Table_SourceData_ClimateZones[[#Headers],[Climate zone]], 0)</f>
        <v>&gt; 10 C</v>
      </c>
      <c r="F95" s="34" t="str" cm="1">
        <f t="array" ref="F95">Common_InputFunctions.Utility_DisplayArrayInTable(Common_SourceData.Common_SourceData_ClimateZones_Data(), Table_SourceData_ClimateZones[[#Headers],[Climate zone]], 0)</f>
        <v>Any</v>
      </c>
      <c r="G95" s="34" t="str" cm="1">
        <f t="array" ref="G95">Common_InputFunctions.Utility_DisplayArrayInTable(Common_SourceData.Common_SourceData_ClimateZones_Data(), Table_SourceData_ClimateZones[[#Headers],[Climate zone]], 0)</f>
        <v>Any</v>
      </c>
      <c r="H95" s="34" t="str" cm="1">
        <f t="array" ref="H95">Common_InputFunctions.Utility_DisplayArrayInTable(Common_SourceData.Common_SourceData_ClimateZones_Data(), Table_SourceData_ClimateZones[[#Headers],[Climate zone]], 0)</f>
        <v>Any</v>
      </c>
      <c r="I95" s="34" t="str" cm="1">
        <f t="array" ref="I95">Common_InputFunctions.Utility_DisplayArrayInTable(Common_SourceData.Common_SourceData_ClimateZones_Data(), Table_SourceData_ClimateZones[[#Headers],[Climate zone]], 0)</f>
        <v>≤ 1</v>
      </c>
      <c r="J95" s="34" cm="1">
        <f t="array" ref="J95">Common_InputFunctions.Utility_DisplayArrayInTable(Common_SourceData.Common_SourceData_ClimateZones_Data(), Table_SourceData_ClimateZones[[#Headers],[Climate zone]], 0)</f>
        <v>10.000999999999999</v>
      </c>
      <c r="K95" s="34" cm="1">
        <f t="array" ref="K95">Common_InputFunctions.Utility_DisplayArrayInTable(Common_SourceData.Common_SourceData_ClimateZones_Data(), Table_SourceData_ClimateZones[[#Headers],[Climate zone]], 0)</f>
        <v>999999</v>
      </c>
      <c r="L95" s="34" cm="1">
        <f t="array" ref="L95">Common_InputFunctions.Utility_DisplayArrayInTable(Common_SourceData.Common_SourceData_ClimateZones_Data(), Table_SourceData_ClimateZones[[#Headers],[Climate zone]], 0)</f>
        <v>-999999</v>
      </c>
      <c r="M95" s="34" cm="1">
        <f t="array" ref="M95">Common_InputFunctions.Utility_DisplayArrayInTable(Common_SourceData.Common_SourceData_ClimateZones_Data(), Table_SourceData_ClimateZones[[#Headers],[Climate zone]], 0)</f>
        <v>999999</v>
      </c>
      <c r="N95" s="34" cm="1">
        <f t="array" ref="N95">Common_InputFunctions.Utility_DisplayArrayInTable(Common_SourceData.Common_SourceData_ClimateZones_Data(), Table_SourceData_ClimateZones[[#Headers],[Climate zone]], 0)</f>
        <v>-999999</v>
      </c>
      <c r="O95" s="34" cm="1">
        <f t="array" ref="O95">Common_InputFunctions.Utility_DisplayArrayInTable(Common_SourceData.Common_SourceData_ClimateZones_Data(), Table_SourceData_ClimateZones[[#Headers],[Climate zone]], 0)</f>
        <v>999999</v>
      </c>
      <c r="P95" s="34" cm="1">
        <f t="array" ref="P95">Common_InputFunctions.Utility_DisplayArrayInTable(Common_SourceData.Common_SourceData_ClimateZones_Data(), Table_SourceData_ClimateZones[[#Headers],[Climate zone]], 0)</f>
        <v>-999999</v>
      </c>
      <c r="Q95" s="34" cm="1">
        <f t="array" ref="Q95">Common_InputFunctions.Utility_DisplayArrayInTable(Common_SourceData.Common_SourceData_ClimateZones_Data(), Table_SourceData_ClimateZones[[#Headers],[Climate zone]], 0)</f>
        <v>999999</v>
      </c>
      <c r="R95" s="34" cm="1">
        <f t="array" ref="R95">Common_InputFunctions.Utility_DisplayArrayInTable(Common_SourceData.Common_SourceData_ClimateZones_Data(), Table_SourceData_ClimateZones[[#Headers],[Climate zone]], 0)</f>
        <v>-999999</v>
      </c>
      <c r="S95" s="34" cm="1">
        <f t="array" ref="S95">Common_InputFunctions.Utility_DisplayArrayInTable(Common_SourceData.Common_SourceData_ClimateZones_Data(), Table_SourceData_ClimateZones[[#Headers],[Climate zone]], 0)</f>
        <v>1</v>
      </c>
      <c r="T95" s="34"/>
    </row>
    <row r="96" spans="1:20" ht="20" customHeight="1" x14ac:dyDescent="0.25">
      <c r="A96"/>
      <c r="D96" s="34" t="str" cm="1">
        <f t="array" ref="D96">Common_InputFunctions.Utility_DisplayArrayInTable(Common_SourceData.Common_SourceData_ClimateZones_Data(), Table_SourceData_ClimateZones[[#Headers],[Climate zone]], 0)</f>
        <v>Cool temperate moist</v>
      </c>
      <c r="E96" s="34" t="str" cm="1">
        <f t="array" ref="E96">Common_InputFunctions.Utility_DisplayArrayInTable(Common_SourceData.Common_SourceData_ClimateZones_Data(), Table_SourceData_ClimateZones[[#Headers],[Climate zone]], 0)</f>
        <v>&gt; 0 C - ≤ 10 C</v>
      </c>
      <c r="F96" s="34" t="str" cm="1">
        <f t="array" ref="F96">Common_InputFunctions.Utility_DisplayArrayInTable(Common_SourceData.Common_SourceData_ClimateZones_Data(), Table_SourceData_ClimateZones[[#Headers],[Climate zone]], 0)</f>
        <v>Any</v>
      </c>
      <c r="G96" s="34" t="str" cm="1">
        <f t="array" ref="G96">Common_InputFunctions.Utility_DisplayArrayInTable(Common_SourceData.Common_SourceData_ClimateZones_Data(), Table_SourceData_ClimateZones[[#Headers],[Climate zone]], 0)</f>
        <v>Any</v>
      </c>
      <c r="H96" s="34" t="str" cm="1">
        <f t="array" ref="H96">Common_InputFunctions.Utility_DisplayArrayInTable(Common_SourceData.Common_SourceData_ClimateZones_Data(), Table_SourceData_ClimateZones[[#Headers],[Climate zone]], 0)</f>
        <v>Any</v>
      </c>
      <c r="I96" s="34" t="str" cm="1">
        <f t="array" ref="I96">Common_InputFunctions.Utility_DisplayArrayInTable(Common_SourceData.Common_SourceData_ClimateZones_Data(), Table_SourceData_ClimateZones[[#Headers],[Climate zone]], 0)</f>
        <v>&gt; 1</v>
      </c>
      <c r="J96" s="34" cm="1">
        <f t="array" ref="J96">Common_InputFunctions.Utility_DisplayArrayInTable(Common_SourceData.Common_SourceData_ClimateZones_Data(), Table_SourceData_ClimateZones[[#Headers],[Climate zone]], 0)</f>
        <v>-999999</v>
      </c>
      <c r="K96" s="34" cm="1">
        <f t="array" ref="K96">Common_InputFunctions.Utility_DisplayArrayInTable(Common_SourceData.Common_SourceData_ClimateZones_Data(), Table_SourceData_ClimateZones[[#Headers],[Climate zone]], 0)</f>
        <v>10</v>
      </c>
      <c r="L96" s="34" cm="1">
        <f t="array" ref="L96">Common_InputFunctions.Utility_DisplayArrayInTable(Common_SourceData.Common_SourceData_ClimateZones_Data(), Table_SourceData_ClimateZones[[#Headers],[Climate zone]], 0)</f>
        <v>-999999</v>
      </c>
      <c r="M96" s="34" cm="1">
        <f t="array" ref="M96">Common_InputFunctions.Utility_DisplayArrayInTable(Common_SourceData.Common_SourceData_ClimateZones_Data(), Table_SourceData_ClimateZones[[#Headers],[Climate zone]], 0)</f>
        <v>999999</v>
      </c>
      <c r="N96" s="34" cm="1">
        <f t="array" ref="N96">Common_InputFunctions.Utility_DisplayArrayInTable(Common_SourceData.Common_SourceData_ClimateZones_Data(), Table_SourceData_ClimateZones[[#Headers],[Climate zone]], 0)</f>
        <v>-999999</v>
      </c>
      <c r="O96" s="34" cm="1">
        <f t="array" ref="O96">Common_InputFunctions.Utility_DisplayArrayInTable(Common_SourceData.Common_SourceData_ClimateZones_Data(), Table_SourceData_ClimateZones[[#Headers],[Climate zone]], 0)</f>
        <v>999999</v>
      </c>
      <c r="P96" s="34" cm="1">
        <f t="array" ref="P96">Common_InputFunctions.Utility_DisplayArrayInTable(Common_SourceData.Common_SourceData_ClimateZones_Data(), Table_SourceData_ClimateZones[[#Headers],[Climate zone]], 0)</f>
        <v>-999999</v>
      </c>
      <c r="Q96" s="34" cm="1">
        <f t="array" ref="Q96">Common_InputFunctions.Utility_DisplayArrayInTable(Common_SourceData.Common_SourceData_ClimateZones_Data(), Table_SourceData_ClimateZones[[#Headers],[Climate zone]], 0)</f>
        <v>999999</v>
      </c>
      <c r="R96" s="34" cm="1">
        <f t="array" ref="R96">Common_InputFunctions.Utility_DisplayArrayInTable(Common_SourceData.Common_SourceData_ClimateZones_Data(), Table_SourceData_ClimateZones[[#Headers],[Climate zone]], 0)</f>
        <v>1.0009999999999999</v>
      </c>
      <c r="S96" s="34" cm="1">
        <f t="array" ref="S96">Common_InputFunctions.Utility_DisplayArrayInTable(Common_SourceData.Common_SourceData_ClimateZones_Data(), Table_SourceData_ClimateZones[[#Headers],[Climate zone]], 0)</f>
        <v>999999</v>
      </c>
      <c r="T96" s="34"/>
    </row>
    <row r="97" spans="1:20" ht="20" customHeight="1" x14ac:dyDescent="0.25">
      <c r="A97"/>
      <c r="D97" s="34" t="str" cm="1">
        <f t="array" ref="D97">Common_InputFunctions.Utility_DisplayArrayInTable(Common_SourceData.Common_SourceData_ClimateZones_Data(), Table_SourceData_ClimateZones[[#Headers],[Climate zone]], 0)</f>
        <v>Cool temperate dry</v>
      </c>
      <c r="E97" s="34" t="str" cm="1">
        <f t="array" ref="E97">Common_InputFunctions.Utility_DisplayArrayInTable(Common_SourceData.Common_SourceData_ClimateZones_Data(), Table_SourceData_ClimateZones[[#Headers],[Climate zone]], 0)</f>
        <v>&gt; 0 C - ≤ 10 C</v>
      </c>
      <c r="F97" s="34" t="str" cm="1">
        <f t="array" ref="F97">Common_InputFunctions.Utility_DisplayArrayInTable(Common_SourceData.Common_SourceData_ClimateZones_Data(), Table_SourceData_ClimateZones[[#Headers],[Climate zone]], 0)</f>
        <v>Any</v>
      </c>
      <c r="G97" s="34" t="str" cm="1">
        <f t="array" ref="G97">Common_InputFunctions.Utility_DisplayArrayInTable(Common_SourceData.Common_SourceData_ClimateZones_Data(), Table_SourceData_ClimateZones[[#Headers],[Climate zone]], 0)</f>
        <v>Any</v>
      </c>
      <c r="H97" s="34" t="str" cm="1">
        <f t="array" ref="H97">Common_InputFunctions.Utility_DisplayArrayInTable(Common_SourceData.Common_SourceData_ClimateZones_Data(), Table_SourceData_ClimateZones[[#Headers],[Climate zone]], 0)</f>
        <v>Any</v>
      </c>
      <c r="I97" s="34" t="str" cm="1">
        <f t="array" ref="I97">Common_InputFunctions.Utility_DisplayArrayInTable(Common_SourceData.Common_SourceData_ClimateZones_Data(), Table_SourceData_ClimateZones[[#Headers],[Climate zone]], 0)</f>
        <v>≤ 1</v>
      </c>
      <c r="J97" s="34" cm="1">
        <f t="array" ref="J97">Common_InputFunctions.Utility_DisplayArrayInTable(Common_SourceData.Common_SourceData_ClimateZones_Data(), Table_SourceData_ClimateZones[[#Headers],[Climate zone]], 0)</f>
        <v>-999999</v>
      </c>
      <c r="K97" s="34" cm="1">
        <f t="array" ref="K97">Common_InputFunctions.Utility_DisplayArrayInTable(Common_SourceData.Common_SourceData_ClimateZones_Data(), Table_SourceData_ClimateZones[[#Headers],[Climate zone]], 0)</f>
        <v>10</v>
      </c>
      <c r="L97" s="34" cm="1">
        <f t="array" ref="L97">Common_InputFunctions.Utility_DisplayArrayInTable(Common_SourceData.Common_SourceData_ClimateZones_Data(), Table_SourceData_ClimateZones[[#Headers],[Climate zone]], 0)</f>
        <v>-999999</v>
      </c>
      <c r="M97" s="34" cm="1">
        <f t="array" ref="M97">Common_InputFunctions.Utility_DisplayArrayInTable(Common_SourceData.Common_SourceData_ClimateZones_Data(), Table_SourceData_ClimateZones[[#Headers],[Climate zone]], 0)</f>
        <v>999999</v>
      </c>
      <c r="N97" s="34" cm="1">
        <f t="array" ref="N97">Common_InputFunctions.Utility_DisplayArrayInTable(Common_SourceData.Common_SourceData_ClimateZones_Data(), Table_SourceData_ClimateZones[[#Headers],[Climate zone]], 0)</f>
        <v>-999999</v>
      </c>
      <c r="O97" s="34" cm="1">
        <f t="array" ref="O97">Common_InputFunctions.Utility_DisplayArrayInTable(Common_SourceData.Common_SourceData_ClimateZones_Data(), Table_SourceData_ClimateZones[[#Headers],[Climate zone]], 0)</f>
        <v>999999</v>
      </c>
      <c r="P97" s="34" cm="1">
        <f t="array" ref="P97">Common_InputFunctions.Utility_DisplayArrayInTable(Common_SourceData.Common_SourceData_ClimateZones_Data(), Table_SourceData_ClimateZones[[#Headers],[Climate zone]], 0)</f>
        <v>-999999</v>
      </c>
      <c r="Q97" s="34" cm="1">
        <f t="array" ref="Q97">Common_InputFunctions.Utility_DisplayArrayInTable(Common_SourceData.Common_SourceData_ClimateZones_Data(), Table_SourceData_ClimateZones[[#Headers],[Climate zone]], 0)</f>
        <v>999999</v>
      </c>
      <c r="R97" s="34" cm="1">
        <f t="array" ref="R97">Common_InputFunctions.Utility_DisplayArrayInTable(Common_SourceData.Common_SourceData_ClimateZones_Data(), Table_SourceData_ClimateZones[[#Headers],[Climate zone]], 0)</f>
        <v>-999999</v>
      </c>
      <c r="S97" s="34" cm="1">
        <f t="array" ref="S97">Common_InputFunctions.Utility_DisplayArrayInTable(Common_SourceData.Common_SourceData_ClimateZones_Data(), Table_SourceData_ClimateZones[[#Headers],[Climate zone]], 0)</f>
        <v>1</v>
      </c>
      <c r="T97" s="34"/>
    </row>
    <row r="98" spans="1:20" ht="20" customHeight="1" x14ac:dyDescent="0.25">
      <c r="A98"/>
    </row>
    <row r="99" spans="1:20" ht="20" customHeight="1" x14ac:dyDescent="0.25">
      <c r="A99"/>
      <c r="D99" s="48" t="str" cm="1">
        <f t="array" ref="D99:D102">Common_SourceData.Common_SourceData_ClimateZones_Appendices()</f>
        <v>Note:</v>
      </c>
    </row>
    <row r="100" spans="1:20" ht="20" customHeight="1" x14ac:dyDescent="0.25">
      <c r="A100"/>
      <c r="D100" s="48" t="str">
        <v>MAT = mean annual temperature</v>
      </c>
    </row>
    <row r="101" spans="1:20" ht="20" customHeight="1" x14ac:dyDescent="0.25">
      <c r="A101"/>
      <c r="D101" s="48" t="str">
        <v>MAP = mean annual precipitation</v>
      </c>
    </row>
    <row r="102" spans="1:20" ht="20" customHeight="1" x14ac:dyDescent="0.25">
      <c r="A102"/>
      <c r="D102" s="48" t="str">
        <v>PET = potential evapotranspiration</v>
      </c>
    </row>
    <row r="103" spans="1:20" ht="20" customHeight="1" x14ac:dyDescent="0.25">
      <c r="A103"/>
      <c r="D103" s="48"/>
    </row>
    <row r="104" spans="1:20" ht="20" customHeight="1" x14ac:dyDescent="0.25">
      <c r="A104"/>
    </row>
    <row r="105" spans="1:20" ht="20" customHeight="1" x14ac:dyDescent="0.25">
      <c r="A105"/>
      <c r="D105" s="6" t="str" cm="1">
        <f t="array" ref="D105">Common_SourceData.Common_SourceData_TemperatureZones_Title()</f>
        <v>VEERG Australian temperature zones</v>
      </c>
    </row>
    <row r="106" spans="1:20" ht="20" customHeight="1" x14ac:dyDescent="0.25">
      <c r="A106"/>
      <c r="D106" s="5" t="str" cm="1">
        <f t="array" ref="D106">Common_SourceData.Common_SourceData_TemperatureZones_Source()</f>
        <v>VEERG 2026: Table 1.3: Climate and Rainfall zone classifications and definitions</v>
      </c>
    </row>
    <row r="107" spans="1:20" ht="20" customHeight="1" x14ac:dyDescent="0.25">
      <c r="A107"/>
      <c r="D107" s="49"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34" t="s">
        <v>39</v>
      </c>
      <c r="E109" s="34" t="s">
        <v>22</v>
      </c>
      <c r="F109" s="34" t="s">
        <v>40</v>
      </c>
      <c r="G109" s="34" t="s">
        <v>41</v>
      </c>
    </row>
    <row r="110" spans="1:20" ht="20" customHeight="1" x14ac:dyDescent="0.25">
      <c r="A110"/>
      <c r="D110" s="34" t="str" cm="1">
        <f t="array" ref="D110">Common_InputFunctions.Utility_DisplayArrayInTable(Common_SourceData.Common_SourceData_TemperatureZones_Data(),Table_SourceData_TemperatureZones[[#Headers],[Temperature Zone]],0)</f>
        <v>Warm</v>
      </c>
      <c r="E110" s="34" t="str" cm="1">
        <f t="array" ref="E110">Common_InputFunctions.Utility_DisplayArrayInTable(Common_SourceData.Common_SourceData_TemperatureZones_Data(),Table_SourceData_TemperatureZones[[#Headers],[Temperature Zone]],0)</f>
        <v>≥ 26 C</v>
      </c>
      <c r="F110" s="34" cm="1">
        <f t="array" ref="F110">Common_InputFunctions.Utility_DisplayArrayInTable(Common_SourceData.Common_SourceData_TemperatureZones_Data(),Table_SourceData_TemperatureZones[[#Headers],[Temperature Zone]],0)</f>
        <v>26</v>
      </c>
      <c r="G110" s="34" cm="1">
        <f t="array" ref="G110">Common_InputFunctions.Utility_DisplayArrayInTable(Common_SourceData.Common_SourceData_TemperatureZones_Data(),Table_SourceData_TemperatureZones[[#Headers],[Temperature Zone]],0)</f>
        <v>999999</v>
      </c>
    </row>
    <row r="111" spans="1:20" ht="20" customHeight="1" x14ac:dyDescent="0.25">
      <c r="A111"/>
      <c r="D111" s="34" t="str" cm="1">
        <f t="array" ref="D111">Common_InputFunctions.Utility_DisplayArrayInTable(Common_SourceData.Common_SourceData_TemperatureZones_Data(),Table_SourceData_TemperatureZones[[#Headers],[Temperature Zone]],0)</f>
        <v>Temperate</v>
      </c>
      <c r="E111" s="34" t="str" cm="1">
        <f t="array" ref="E111">Common_InputFunctions.Utility_DisplayArrayInTable(Common_SourceData.Common_SourceData_TemperatureZones_Data(),Table_SourceData_TemperatureZones[[#Headers],[Temperature Zone]],0)</f>
        <v>15 - 25 C</v>
      </c>
      <c r="F111" s="34" cm="1">
        <f t="array" ref="F111">Common_InputFunctions.Utility_DisplayArrayInTable(Common_SourceData.Common_SourceData_TemperatureZones_Data(),Table_SourceData_TemperatureZones[[#Headers],[Temperature Zone]],0)</f>
        <v>15</v>
      </c>
      <c r="G111" s="34"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34" t="str" cm="1">
        <f t="array" ref="D112">Common_InputFunctions.Utility_DisplayArrayInTable(Common_SourceData.Common_SourceData_TemperatureZones_Data(),Table_SourceData_TemperatureZones[[#Headers],[Temperature Zone]],0)</f>
        <v>Cool</v>
      </c>
      <c r="E112" s="34" t="str" cm="1">
        <f t="array" ref="E112">Common_InputFunctions.Utility_DisplayArrayInTable(Common_SourceData.Common_SourceData_TemperatureZones_Data(),Table_SourceData_TemperatureZones[[#Headers],[Temperature Zone]],0)</f>
        <v>≤ 14 C</v>
      </c>
      <c r="F112" s="34" cm="1">
        <f t="array" ref="F112">Common_InputFunctions.Utility_DisplayArrayInTable(Common_SourceData.Common_SourceData_TemperatureZones_Data(),Table_SourceData_TemperatureZones[[#Headers],[Temperature Zone]],0)</f>
        <v>-999999</v>
      </c>
      <c r="G112" s="34"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6" t="str" cm="1">
        <f t="array" ref="D115">Common_SourceData.Common_SourceData_RainfallZones_Title()</f>
        <v>VEERG Australian rainfall zones</v>
      </c>
      <c r="BN115" s="7"/>
    </row>
    <row r="116" spans="1:66" ht="20" customHeight="1" x14ac:dyDescent="0.25">
      <c r="A116"/>
      <c r="D116" s="5" t="str" cm="1">
        <f t="array" ref="D116">Common_SourceData.Common_SourceData_RainfallZones_Source()</f>
        <v>VEERG 2026: Table 1.3: Climate and Rainfall zone classifications and definitions</v>
      </c>
      <c r="BN116" s="7"/>
    </row>
    <row r="117" spans="1:66" ht="20" customHeight="1" x14ac:dyDescent="0.25">
      <c r="A117"/>
      <c r="D117" s="49" t="str" cm="1">
        <f t="array" ref="D117">"⚠️" &amp; Common_SourceData.Common_SourceData_RainfallZones_Variation()</f>
        <v>⚠️VARIATION OF SOURCE DATA: Added extra Rainfall min and Rainfall max columns to calculate zone from real rainfall data.</v>
      </c>
      <c r="BN117" s="7"/>
    </row>
    <row r="118" spans="1:66" ht="20" customHeight="1" x14ac:dyDescent="0.25">
      <c r="A118"/>
      <c r="BN118" s="7"/>
    </row>
    <row r="119" spans="1:66" ht="20" customHeight="1" x14ac:dyDescent="0.25">
      <c r="A119"/>
      <c r="D119" s="34" t="s">
        <v>42</v>
      </c>
      <c r="E119" s="34" t="s">
        <v>43</v>
      </c>
      <c r="F119" s="34" t="s">
        <v>29</v>
      </c>
      <c r="G119" s="34" t="s">
        <v>30</v>
      </c>
      <c r="BN119" s="7"/>
    </row>
    <row r="120" spans="1:66" ht="20" customHeight="1" x14ac:dyDescent="0.25">
      <c r="A120"/>
      <c r="D120" s="34" t="str" cm="1">
        <f t="array" ref="D120">Common_InputFunctions.Utility_DisplayArrayInTable(Common_SourceData.Common_SourceData_RainfallZones_Data(),Table_SourceData_RainfallZones[[#Headers],[Rainfall Zone]],0)</f>
        <v>High rainfall</v>
      </c>
      <c r="E120" s="34" t="str" cm="1">
        <f t="array" ref="E120">Common_InputFunctions.Utility_DisplayArrayInTable(Common_SourceData.Common_SourceData_RainfallZones_Data(),Table_SourceData_RainfallZones[[#Headers],[Rainfall Zone]],0)</f>
        <v>Annual rainfall &gt; 600mm</v>
      </c>
      <c r="F120" s="34" cm="1">
        <f t="array" ref="F120">Common_InputFunctions.Utility_DisplayArrayInTable(Common_SourceData.Common_SourceData_RainfallZones_Data(),Table_SourceData_RainfallZones[[#Headers],[Rainfall Zone]],0)</f>
        <v>600.00099999999998</v>
      </c>
      <c r="G120" s="34" cm="1">
        <f t="array" ref="G120">Common_InputFunctions.Utility_DisplayArrayInTable(Common_SourceData.Common_SourceData_RainfallZones_Data(),Table_SourceData_RainfallZones[[#Headers],[Rainfall Zone]],0)</f>
        <v>999999</v>
      </c>
      <c r="BN120" s="7"/>
    </row>
    <row r="121" spans="1:66" ht="20" customHeight="1" x14ac:dyDescent="0.25">
      <c r="A121"/>
      <c r="D121" s="34" t="str" cm="1">
        <f t="array" ref="D121">Common_InputFunctions.Utility_DisplayArrayInTable(Common_SourceData.Common_SourceData_RainfallZones_Data(),Table_SourceData_RainfallZones[[#Headers],[Rainfall Zone]],0)</f>
        <v>Low rainfall</v>
      </c>
      <c r="E121" s="34" t="str" cm="1">
        <f t="array" ref="E121">Common_InputFunctions.Utility_DisplayArrayInTable(Common_SourceData.Common_SourceData_RainfallZones_Data(),Table_SourceData_RainfallZones[[#Headers],[Rainfall Zone]],0)</f>
        <v>Annual rainfall ≤ 600mm</v>
      </c>
      <c r="F121" s="34" cm="1">
        <f t="array" ref="F121">Common_InputFunctions.Utility_DisplayArrayInTable(Common_SourceData.Common_SourceData_RainfallZones_Data(),Table_SourceData_RainfallZones[[#Headers],[Rainfall Zone]],0)</f>
        <v>-999999</v>
      </c>
      <c r="G121" s="34" cm="1">
        <f t="array" ref="G121">Common_InputFunctions.Utility_DisplayArrayInTable(Common_SourceData.Common_SourceData_RainfallZones_Data(),Table_SourceData_RainfallZones[[#Headers],[Rainfall Zone]],0)</f>
        <v>600</v>
      </c>
      <c r="BN121" s="7"/>
    </row>
    <row r="122" spans="1:66" ht="20" customHeight="1" x14ac:dyDescent="0.25">
      <c r="A122"/>
      <c r="BN122" s="7"/>
    </row>
    <row r="123" spans="1:66" ht="20" customHeight="1" x14ac:dyDescent="0.25">
      <c r="A123"/>
    </row>
    <row r="124" spans="1:66" ht="20" customHeight="1" x14ac:dyDescent="0.25">
      <c r="A124"/>
      <c r="D124" s="6" t="str" cm="1">
        <f t="array" ref="D124">Common_SourceData.Common_SourceData_LeachingZones_Title()</f>
        <v>VEERG Australian leaching zones</v>
      </c>
    </row>
    <row r="125" spans="1:66" ht="20" customHeight="1" x14ac:dyDescent="0.25">
      <c r="A125"/>
      <c r="D125" s="5"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34" t="s">
        <v>44</v>
      </c>
      <c r="E127" s="34" t="s">
        <v>45</v>
      </c>
    </row>
    <row r="128" spans="1:66" ht="20" customHeight="1" x14ac:dyDescent="0.25">
      <c r="A128"/>
      <c r="D128" s="34" t="str" cm="1">
        <f t="array" ref="D128">Common_InputFunctions.Utility_DisplayArrayInTable(Common_SourceData.Common_SourceData_LeachingZones_Data(), Table_SourceData_LeachingZones[[#Headers],[Leaching Zone]], 0)</f>
        <v>Leaching occurs</v>
      </c>
      <c r="E128" s="34"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34" t="str" cm="1">
        <f t="array" ref="D129">Common_InputFunctions.Utility_DisplayArrayInTable(Common_SourceData.Common_SourceData_LeachingZones_Data(), Table_SourceData_LeachingZones[[#Headers],[Leaching Zone]], 0)</f>
        <v>Leaching does not occur</v>
      </c>
      <c r="E129" s="34"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6" t="str" cm="1">
        <f t="array" ref="D132">Common_SourceData.Common_SourceData_FracWET_Title()</f>
        <v>Fraction of N that is available for leaching and runoff</v>
      </c>
      <c r="E132" s="21"/>
    </row>
    <row r="133" spans="1:77" ht="20" customHeight="1" x14ac:dyDescent="0.25">
      <c r="A133"/>
      <c r="D133" s="5" t="str" cm="1">
        <f t="array" ref="D133">Common_SourceData.Common_SourceData_FracWET_Source()</f>
        <v>VEERG 2026:5.5.2.3 Constant Parameters</v>
      </c>
      <c r="E133" s="21"/>
    </row>
    <row r="134" spans="1:77" ht="20" customHeight="1" x14ac:dyDescent="0.25">
      <c r="A134"/>
      <c r="D134" t="s">
        <v>55</v>
      </c>
      <c r="E134" t="s">
        <v>56</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34"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7"/>
      <c r="BO138" s="7"/>
      <c r="BP138" s="7"/>
      <c r="BQ138" s="7"/>
      <c r="BR138" s="7"/>
      <c r="BS138" s="7"/>
      <c r="BT138" s="7"/>
      <c r="BU138" s="7"/>
      <c r="BV138" s="7"/>
      <c r="BW138" s="7"/>
      <c r="BX138" s="7"/>
      <c r="BY138" s="7"/>
    </row>
    <row r="139" spans="1:77" ht="20"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 customHeight="1" x14ac:dyDescent="0.25">
      <c r="A141"/>
      <c r="D141" s="49"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 customHeight="1" x14ac:dyDescent="0.25">
      <c r="A142"/>
      <c r="D142" s="34" t="s">
        <v>71</v>
      </c>
      <c r="E142" s="34" t="s">
        <v>56</v>
      </c>
      <c r="BN142" s="7"/>
    </row>
    <row r="143" spans="1:77" ht="20" customHeight="1" x14ac:dyDescent="0.25">
      <c r="A143"/>
      <c r="D143" s="34" t="str" cm="1">
        <f t="array" ref="D143">Common_InputFunctions.Utility_DisplayArrayInTable(Common_SourceData.Common_SourceData_FracWETIrrigation_Data(), Table_SourceData_FracWETIrrigation[[#Headers],[Irrigation type i]], 0)</f>
        <v>Not irrigated</v>
      </c>
      <c r="E143" s="34" cm="1">
        <f t="array" ref="E143">Common_InputFunctions.Utility_DisplayArrayInTable(Common_SourceData.Common_SourceData_FracWETIrrigation_Data(), Table_SourceData_FracWETIrrigation[[#Headers],[Irrigation type i]], 0)</f>
        <v>0</v>
      </c>
      <c r="BN143" s="7"/>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34" cm="1">
        <f t="array" ref="E144">Common_InputFunctions.Utility_DisplayArrayInTable(Common_SourceData.Common_SourceData_FracWETIrrigation_Data(), Table_SourceData_FracWETIrrigation[[#Headers],[Irrigation type i]], 0)</f>
        <v>0</v>
      </c>
      <c r="BN144" s="7"/>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4" cm="1">
        <f t="array" ref="E145">Common_InputFunctions.Utility_DisplayArrayInTable(Common_SourceData.Common_SourceData_FracWETIrrigation_Data(), Table_SourceData_FracWETIrrigation[[#Headers],[Irrigation type i]], 0)</f>
        <v>1</v>
      </c>
      <c r="BN145" s="7"/>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34" cm="1">
        <f t="array" ref="E146">Common_InputFunctions.Utility_DisplayArrayInTable(Common_SourceData.Common_SourceData_FracWETIrrigation_Data(), Table_SourceData_FracWETIrrigation[[#Headers],[Irrigation type i]], 0)</f>
        <v>1</v>
      </c>
      <c r="BN146" s="7"/>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34" cm="1">
        <f t="array" ref="E147">Common_InputFunctions.Utility_DisplayArrayInTable(Common_SourceData.Common_SourceData_FracWETIrrigation_Data(), Table_SourceData_FracWETIrrigation[[#Headers],[Irrigation type i]], 0)</f>
        <v>1</v>
      </c>
      <c r="BN147" s="7"/>
    </row>
    <row r="148" spans="1:66" ht="20" customHeight="1" x14ac:dyDescent="0.25">
      <c r="A148"/>
      <c r="BN148" s="7"/>
    </row>
    <row r="149" spans="1:66" ht="20" customHeight="1" x14ac:dyDescent="0.25">
      <c r="A149"/>
      <c r="BN149" s="7"/>
    </row>
    <row r="150" spans="1:66" ht="20" customHeight="1" x14ac:dyDescent="0.25">
      <c r="A150"/>
      <c r="D150" s="6" t="str" cm="1">
        <f t="array" ref="D150">Common_SourceData.Common_SourceData_DataScores_Scope3_Title()</f>
        <v>Australian data scores for scope 3</v>
      </c>
      <c r="BN150" s="7"/>
    </row>
    <row r="151" spans="1:66" ht="20" customHeight="1" x14ac:dyDescent="0.25">
      <c r="A151"/>
      <c r="D151" s="5" t="str" cm="1">
        <f t="array" ref="D151">Common_SourceData.Common_SourceData_DataScores_Scope3_Source()</f>
        <v>VEERG 2026: XXXXXXXX</v>
      </c>
      <c r="BN151" s="7"/>
    </row>
    <row r="152" spans="1:66" ht="20" customHeight="1" x14ac:dyDescent="0.25">
      <c r="A152"/>
      <c r="BN152" s="7"/>
    </row>
    <row r="153" spans="1:66" ht="20" customHeight="1" x14ac:dyDescent="0.25">
      <c r="A153"/>
      <c r="D153" s="34" t="s">
        <v>46</v>
      </c>
      <c r="E153" s="34" t="s">
        <v>47</v>
      </c>
      <c r="BC153" s="3"/>
      <c r="BD153" s="3"/>
      <c r="BE153" s="3"/>
      <c r="BF153" s="3"/>
      <c r="BG153" s="3"/>
      <c r="BH153" s="3"/>
      <c r="BI153" s="3"/>
      <c r="BJ153" s="3"/>
      <c r="BK153" s="3"/>
      <c r="BL153" s="3"/>
      <c r="BM153" s="3"/>
    </row>
    <row r="154" spans="1:66" ht="20" customHeight="1" x14ac:dyDescent="0.25">
      <c r="A154"/>
      <c r="D154" s="34" t="str" cm="1">
        <f t="array" ref="D154">Common_InputFunctions.Utility_DisplayArrayInTable(Common_SourceData.Common_SourceData_DataScores_Scope3_Data(), Table_SourceData_DataScores_Scope3[[#Headers],[Data source]], 0)</f>
        <v>International scope 3 database</v>
      </c>
      <c r="E154" s="34"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 customHeight="1" x14ac:dyDescent="0.25">
      <c r="A155"/>
      <c r="D155" s="34" t="str" cm="1">
        <f t="array" ref="D155">Common_InputFunctions.Utility_DisplayArrayInTable(Common_SourceData.Common_SourceData_DataScores_Scope3_Data(), Table_SourceData_DataScores_Scope3[[#Headers],[Data source]], 0)</f>
        <v>Australian scope 3 database</v>
      </c>
      <c r="E155" s="34"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 customHeight="1" x14ac:dyDescent="0.25">
      <c r="A156"/>
      <c r="D156" s="34" t="str" cm="1">
        <f t="array" ref="D156">Common_InputFunctions.Utility_DisplayArrayInTable(Common_SourceData.Common_SourceData_DataScores_Scope3_Data(), Table_SourceData_DataScores_Scope3[[#Headers],[Data source]], 0)</f>
        <v>State or regional scope 3 database</v>
      </c>
      <c r="E156" s="34" cm="1">
        <f t="array" ref="E156">Common_InputFunctions.Utility_DisplayArrayInTable(Common_SourceData.Common_SourceData_DataScores_Scope3_Data(), Table_SourceData_DataScores_Scope3[[#Headers],[Data source]], 0)</f>
        <v>3</v>
      </c>
    </row>
    <row r="157" spans="1:66" ht="20" customHeight="1" x14ac:dyDescent="0.25">
      <c r="A157"/>
      <c r="D157" s="34" t="str" cm="1">
        <f t="array" ref="D157">Common_InputFunctions.Utility_DisplayArrayInTable(Common_SourceData.Common_SourceData_DataScores_Scope3_Data(), Table_SourceData_DataScores_Scope3[[#Headers],[Data source]], 0)</f>
        <v>Emissions intensity calculated from approved method</v>
      </c>
      <c r="E157" s="34" cm="1">
        <f t="array" ref="E157">Common_InputFunctions.Utility_DisplayArrayInTable(Common_SourceData.Common_SourceData_DataScores_Scope3_Data(), Table_SourceData_DataScores_Scope3[[#Headers],[Data source]], 0)</f>
        <v>4</v>
      </c>
    </row>
    <row r="158" spans="1:66" ht="20" customHeight="1" x14ac:dyDescent="0.25">
      <c r="A158"/>
      <c r="D158" s="34" t="str" cm="1">
        <f t="array" ref="D158">Common_InputFunctions.Utility_DisplayArrayInTable(Common_SourceData.Common_SourceData_DataScores_Scope3_Data(), Table_SourceData_DataScores_Scope3[[#Headers],[Data source]], 0)</f>
        <v>Verified credential matching ISO14067</v>
      </c>
      <c r="E158" s="34"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6" t="str" cm="1">
        <f t="array" ref="D161">Common_SourceData.Common_SourceData_FracLEACH_Title()</f>
        <v>Fraction of N that is available for leaching and runoff</v>
      </c>
      <c r="E161" s="21"/>
    </row>
    <row r="162" spans="4:68" ht="20" customHeight="1" x14ac:dyDescent="0.25">
      <c r="D162" s="5" t="str" cm="1">
        <f t="array" ref="D162">Common_SourceData.Common_SourceData_FracLEACH_Source()</f>
        <v>VEERG 2026:5.5.2.3 Constant Parameters</v>
      </c>
      <c r="E162" s="21"/>
    </row>
    <row r="163" spans="4:68" ht="20" customHeight="1" x14ac:dyDescent="0.25">
      <c r="D163" s="5" t="str" cm="1">
        <f t="array" ref="D163">Common_SourceData.Common_SourceData_FracLEACH_NIRReference()</f>
        <v>National Inventory Report Volume 1: Leaching and runoff (3.D.b.2)</v>
      </c>
      <c r="E163" s="21"/>
    </row>
    <row r="164" spans="4:68" ht="20" customHeight="1" x14ac:dyDescent="0.25">
      <c r="D164" s="21" t="str" cm="1">
        <f t="array" ref="D164:E164">Common_SourceData.Common_SourceData_FracLEACH_Data()</f>
        <v>FracLEACH</v>
      </c>
      <c r="E164" s="21">
        <v>0.24</v>
      </c>
    </row>
    <row r="165" spans="4:68" ht="20" customHeight="1" x14ac:dyDescent="0.25">
      <c r="BN165" s="7"/>
      <c r="BO165" s="7"/>
      <c r="BP165" s="7"/>
    </row>
    <row r="166" spans="4:68" ht="20" customHeight="1" x14ac:dyDescent="0.25">
      <c r="BN166" s="7"/>
      <c r="BO166" s="7"/>
      <c r="BP166" s="7"/>
    </row>
    <row r="167" spans="4:68" ht="20" customHeight="1" x14ac:dyDescent="0.25">
      <c r="D167" s="6" t="str" cm="1">
        <f t="array" ref="D167">Common_SourceData.Common_SourceData_EFleach_Title()</f>
        <v>Emission factor for nitrogen leaching and runoff</v>
      </c>
      <c r="BN167" s="7"/>
      <c r="BO167" s="7"/>
      <c r="BP167" s="7"/>
    </row>
    <row r="168" spans="4:68" ht="20" customHeight="1" x14ac:dyDescent="0.25">
      <c r="D168" s="5" t="str" cm="1">
        <f t="array" ref="D168">Common_SourceData.Common_SourceData_EFleach_Source()</f>
        <v>VEERG 2026:5.5.2.3 Constant Parameters</v>
      </c>
      <c r="BN168" s="7"/>
      <c r="BO168" s="7"/>
      <c r="BP168" s="7"/>
    </row>
    <row r="169" spans="4:68" ht="20" customHeight="1" x14ac:dyDescent="0.25">
      <c r="D169" s="5" t="str" cm="1">
        <f t="array" ref="D169">Common_SourceData.Common_SourceData_EFleach_NIRReference()</f>
        <v>National Inventory Report Volume 1: Equation 3.D.B_10</v>
      </c>
      <c r="BN169" s="7"/>
      <c r="BO169" s="7"/>
      <c r="BP169" s="7"/>
    </row>
    <row r="170" spans="4:68" ht="20" customHeight="1" x14ac:dyDescent="0.25">
      <c r="D170" s="1" t="str" cm="1">
        <f t="array" ref="D170:E170">Common_SourceData.Common_SourceData_EFleach_Data()</f>
        <v>EFleach</v>
      </c>
      <c r="E170" s="1">
        <v>1.0999999999999999E-2</v>
      </c>
      <c r="BN170" s="7"/>
      <c r="BO170" s="7"/>
      <c r="BP170" s="7"/>
    </row>
    <row r="171" spans="4:68" ht="20" customHeight="1" x14ac:dyDescent="0.25">
      <c r="BN171" s="7"/>
      <c r="BO171" s="7"/>
      <c r="BP171" s="7"/>
    </row>
    <row r="172" spans="4:68" ht="20" customHeight="1" x14ac:dyDescent="0.25">
      <c r="BN172" s="7"/>
      <c r="BO172" s="7"/>
      <c r="BP172" s="7"/>
    </row>
    <row r="173" spans="4:68" ht="20" customHeight="1" x14ac:dyDescent="0.25">
      <c r="D173" s="6" t="str" cm="1">
        <f t="array" ref="D173">Common_SourceData.Common_SourceData_DensityOfMethane_Title()</f>
        <v>p = density of methane</v>
      </c>
      <c r="BN173" s="7"/>
      <c r="BO173" s="7"/>
      <c r="BP173" s="7"/>
    </row>
    <row r="174" spans="4:68" ht="20" customHeight="1" x14ac:dyDescent="0.25">
      <c r="D174" s="5" t="str" cm="1">
        <f t="array" ref="D174">Common_SourceData.Common_SourceData_DensityOfMethane_Source()</f>
        <v>National Inventory Report 2023 Volume 1: Equations 3.B.1a_2, 3.B.1c_2, 3.B.3_1, 3.B.4g_2</v>
      </c>
      <c r="BN174" s="7"/>
      <c r="BO174" s="7"/>
      <c r="BP174" s="7"/>
    </row>
    <row r="175" spans="4:68" ht="20" customHeight="1" x14ac:dyDescent="0.25">
      <c r="D175" s="1" cm="1">
        <f t="array" ref="D175">Common_SourceData.Common_SourceData_DensityOfMethane_Data()</f>
        <v>0.6784</v>
      </c>
      <c r="E175" s="48" t="str" cm="1">
        <f t="array" ref="E175">Common_SourceData.Common_SourceData_DensityOfMethane_Unit()</f>
        <v>kg/m3</v>
      </c>
      <c r="BN175" s="7"/>
      <c r="BO175" s="7"/>
      <c r="BP175" s="7"/>
    </row>
    <row r="176" spans="4:68" ht="20" customHeight="1" x14ac:dyDescent="0.25">
      <c r="BN176" s="7"/>
      <c r="BO176" s="7"/>
      <c r="BP176" s="7"/>
    </row>
    <row r="177" spans="4:68" ht="20" customHeight="1" x14ac:dyDescent="0.25">
      <c r="BN177" s="7"/>
      <c r="BO177" s="7"/>
      <c r="BP177" s="7"/>
    </row>
    <row r="178" spans="4:68" ht="20" customHeight="1" x14ac:dyDescent="0.25">
      <c r="D178" s="6" t="str" cm="1">
        <f t="array" ref="D178">Common_SourceData.Common_SourceData_EFN2O_Title()</f>
        <v>Nitrous oxide emission factors for inorganic fertiliser application</v>
      </c>
      <c r="BN178" s="7"/>
      <c r="BO178" s="7"/>
      <c r="BP178" s="7"/>
    </row>
    <row r="179" spans="4:68" ht="20" customHeight="1" x14ac:dyDescent="0.25">
      <c r="D179" s="5" t="str" cm="1">
        <f t="array" ref="D179">Common_SourceData.Common_SourceData_EFN2O_Source()</f>
        <v>VEERG 2026: Table A.2.2.1</v>
      </c>
      <c r="BN179" s="7"/>
      <c r="BO179" s="7"/>
      <c r="BP179" s="7"/>
    </row>
    <row r="180" spans="4:68" ht="20" customHeight="1" x14ac:dyDescent="0.25">
      <c r="D180" s="48" t="str" cm="1">
        <f t="array" ref="D180">Common_SourceData.Common_SourceData_EFN2O_Unit()</f>
        <v>(kg N2O-N / kg N</v>
      </c>
    </row>
    <row r="181" spans="4:68" ht="20" customHeight="1" x14ac:dyDescent="0.25">
      <c r="D181" s="49" t="str" cm="1">
        <f t="array" ref="D181:D185">Common_SourceData.Common_SourceData_EFN2O_Variation()</f>
        <v>VARIATION OF SOURCE DATA:</v>
      </c>
    </row>
    <row r="182" spans="4:68" ht="20" customHeight="1" x14ac:dyDescent="0.25">
      <c r="D182" s="49" t="str">
        <v>Removed duplicate 'Aquaculture' row.</v>
      </c>
    </row>
    <row r="183" spans="4:68" ht="20" customHeight="1" x14ac:dyDescent="0.25">
      <c r="D183" s="49" t="str">
        <v>Removed asterisks to aid lookup.</v>
      </c>
    </row>
    <row r="184" spans="4:68" ht="20" customHeight="1" x14ac:dyDescent="0.25">
      <c r="D184" s="49" t="str">
        <v>Added 'production system only', 'rainfall zone' and 'irrigation method' columns to aid lookup.</v>
      </c>
    </row>
    <row r="185" spans="4:68" ht="20" customHeight="1" x14ac:dyDescent="0.25">
      <c r="D185" s="49" t="str">
        <v>Duplicated 'non-irrigated pasture' row with same EF for low and high rainfall zones to aid lookup.</v>
      </c>
    </row>
    <row r="186" spans="4:68" ht="20" customHeight="1" x14ac:dyDescent="0.25">
      <c r="D186" s="34" t="s">
        <v>63</v>
      </c>
      <c r="E186" s="34" t="s">
        <v>64</v>
      </c>
      <c r="F186" s="34" t="s">
        <v>65</v>
      </c>
      <c r="G186" s="34" t="s">
        <v>66</v>
      </c>
      <c r="H186" s="34" t="s">
        <v>21</v>
      </c>
    </row>
    <row r="187" spans="4:68" ht="20" customHeight="1" x14ac:dyDescent="0.25">
      <c r="D187" s="34" t="str" cm="1">
        <f t="array" ref="D187">Common_InputFunctions.Utility_DisplayArrayInTable(Common_SourceData.Common_SourceData_EFN2O_Data(), Table_SourceData_Common_EFN2O[[#Headers],[Production system j]], 0)</f>
        <v>Irrigated pasture</v>
      </c>
      <c r="E187" s="34" cm="1">
        <f t="array" ref="E187">Common_InputFunctions.Utility_DisplayArrayInTable(Common_SourceData.Common_SourceData_EFN2O_Data(), Table_SourceData_Common_EFN2O[[#Headers],[Production system j]], 0)</f>
        <v>5.8999999999999999E-3</v>
      </c>
      <c r="F187" s="34" t="str" cm="1">
        <f t="array" ref="F187">Common_InputFunctions.Utility_DisplayArrayInTable(Common_SourceData.Common_SourceData_EFN2O_Data(), Table_SourceData_Common_EFN2O[[#Headers],[Production system j]], 0)</f>
        <v>Pasture</v>
      </c>
      <c r="G187" s="34" t="str" cm="1">
        <f t="array" ref="G187">Common_InputFunctions.Utility_DisplayArrayInTable(Common_SourceData.Common_SourceData_EFN2O_Data(), Table_SourceData_Common_EFN2O[[#Headers],[Production system j]], 0)</f>
        <v>Any</v>
      </c>
      <c r="H187" s="34" t="str" cm="1">
        <f t="array" ref="H187">Common_InputFunctions.Utility_DisplayArrayInTable(Common_SourceData.Common_SourceData_EFN2O_Data(), Table_SourceData_Common_EFN2O[[#Headers],[Production system j]], 0)</f>
        <v>Any</v>
      </c>
    </row>
    <row r="188" spans="4:68" ht="20" customHeight="1" x14ac:dyDescent="0.25">
      <c r="D188" s="34" t="str" cm="1">
        <f t="array" ref="D188">Common_InputFunctions.Utility_DisplayArrayInTable(Common_SourceData.Common_SourceData_EFN2O_Data(), Table_SourceData_Common_EFN2O[[#Headers],[Production system j]], 0)</f>
        <v>Irrigated crop</v>
      </c>
      <c r="E188" s="34" cm="1">
        <f t="array" ref="E188">Common_InputFunctions.Utility_DisplayArrayInTable(Common_SourceData.Common_SourceData_EFN2O_Data(), Table_SourceData_Common_EFN2O[[#Headers],[Production system j]], 0)</f>
        <v>7.0000000000000001E-3</v>
      </c>
      <c r="F188" s="34" t="str" cm="1">
        <f t="array" ref="F188">Common_InputFunctions.Utility_DisplayArrayInTable(Common_SourceData.Common_SourceData_EFN2O_Data(), Table_SourceData_Common_EFN2O[[#Headers],[Production system j]], 0)</f>
        <v>Crop</v>
      </c>
      <c r="G188" s="34" t="str" cm="1">
        <f t="array" ref="G188">Common_InputFunctions.Utility_DisplayArrayInTable(Common_SourceData.Common_SourceData_EFN2O_Data(), Table_SourceData_Common_EFN2O[[#Headers],[Production system j]], 0)</f>
        <v>Any</v>
      </c>
      <c r="H188" s="34" t="str" cm="1">
        <f t="array" ref="H188">Common_InputFunctions.Utility_DisplayArrayInTable(Common_SourceData.Common_SourceData_EFN2O_Data(), Table_SourceData_Common_EFN2O[[#Headers],[Production system j]], 0)</f>
        <v>Any</v>
      </c>
    </row>
    <row r="189" spans="4:68" ht="20" customHeight="1" x14ac:dyDescent="0.25">
      <c r="D189" s="34" t="str" cm="1">
        <f t="array" ref="D189">Common_InputFunctions.Utility_DisplayArrayInTable(Common_SourceData.Common_SourceData_EFN2O_Data(), Table_SourceData_Common_EFN2O[[#Headers],[Production system j]], 0)</f>
        <v>Non-irrigated pasture</v>
      </c>
      <c r="E189" s="34" cm="1">
        <f t="array" ref="E189">Common_InputFunctions.Utility_DisplayArrayInTable(Common_SourceData.Common_SourceData_EFN2O_Data(), Table_SourceData_Common_EFN2O[[#Headers],[Production system j]], 0)</f>
        <v>1.8E-3</v>
      </c>
      <c r="F189" s="34" t="str" cm="1">
        <f t="array" ref="F189">Common_InputFunctions.Utility_DisplayArrayInTable(Common_SourceData.Common_SourceData_EFN2O_Data(), Table_SourceData_Common_EFN2O[[#Headers],[Production system j]], 0)</f>
        <v>Pasture</v>
      </c>
      <c r="G189" s="34" t="str" cm="1">
        <f t="array" ref="G189">Common_InputFunctions.Utility_DisplayArrayInTable(Common_SourceData.Common_SourceData_EFN2O_Data(), Table_SourceData_Common_EFN2O[[#Headers],[Production system j]], 0)</f>
        <v>Not irrigated</v>
      </c>
      <c r="H189" s="34" t="str" cm="1">
        <f t="array" ref="H189">Common_InputFunctions.Utility_DisplayArrayInTable(Common_SourceData.Common_SourceData_EFN2O_Data(), Table_SourceData_Common_EFN2O[[#Headers],[Production system j]], 0)</f>
        <v>Low rainfall</v>
      </c>
    </row>
    <row r="190" spans="4:68" ht="20" customHeight="1" x14ac:dyDescent="0.25">
      <c r="D190" s="34" t="str" cm="1">
        <f t="array" ref="D190">Common_InputFunctions.Utility_DisplayArrayInTable(Common_SourceData.Common_SourceData_EFN2O_Data(), Table_SourceData_Common_EFN2O[[#Headers],[Production system j]], 0)</f>
        <v>Non-irrigated pasture</v>
      </c>
      <c r="E190" s="34" cm="1">
        <f t="array" ref="E190">Common_InputFunctions.Utility_DisplayArrayInTable(Common_SourceData.Common_SourceData_EFN2O_Data(), Table_SourceData_Common_EFN2O[[#Headers],[Production system j]], 0)</f>
        <v>1.8E-3</v>
      </c>
      <c r="F190" s="34" t="str" cm="1">
        <f t="array" ref="F190">Common_InputFunctions.Utility_DisplayArrayInTable(Common_SourceData.Common_SourceData_EFN2O_Data(), Table_SourceData_Common_EFN2O[[#Headers],[Production system j]], 0)</f>
        <v>Pasture</v>
      </c>
      <c r="G190" s="34" t="str" cm="1">
        <f t="array" ref="G190">Common_InputFunctions.Utility_DisplayArrayInTable(Common_SourceData.Common_SourceData_EFN2O_Data(), Table_SourceData_Common_EFN2O[[#Headers],[Production system j]], 0)</f>
        <v>Not irrigated</v>
      </c>
      <c r="H190" s="34" t="str" cm="1">
        <f t="array" ref="H190">Common_InputFunctions.Utility_DisplayArrayInTable(Common_SourceData.Common_SourceData_EFN2O_Data(), Table_SourceData_Common_EFN2O[[#Headers],[Production system j]], 0)</f>
        <v>High rainfall</v>
      </c>
    </row>
    <row r="191" spans="4:68" ht="20" customHeight="1" x14ac:dyDescent="0.25">
      <c r="D191" s="34" t="str" cm="1">
        <f t="array" ref="D191">Common_InputFunctions.Utility_DisplayArrayInTable(Common_SourceData.Common_SourceData_EFN2O_Data(), Table_SourceData_Common_EFN2O[[#Headers],[Production system j]], 0)</f>
        <v>Non-irrigated crop (low rainfall)</v>
      </c>
      <c r="E191" s="34" cm="1">
        <f t="array" ref="E191">Common_InputFunctions.Utility_DisplayArrayInTable(Common_SourceData.Common_SourceData_EFN2O_Data(), Table_SourceData_Common_EFN2O[[#Headers],[Production system j]], 0)</f>
        <v>2.8999999999999998E-3</v>
      </c>
      <c r="F191" s="34" t="str" cm="1">
        <f t="array" ref="F191">Common_InputFunctions.Utility_DisplayArrayInTable(Common_SourceData.Common_SourceData_EFN2O_Data(), Table_SourceData_Common_EFN2O[[#Headers],[Production system j]], 0)</f>
        <v>Crop</v>
      </c>
      <c r="G191" s="34" t="str" cm="1">
        <f t="array" ref="G191">Common_InputFunctions.Utility_DisplayArrayInTable(Common_SourceData.Common_SourceData_EFN2O_Data(), Table_SourceData_Common_EFN2O[[#Headers],[Production system j]], 0)</f>
        <v>Not irrigated</v>
      </c>
      <c r="H191" s="34" t="str" cm="1">
        <f t="array" ref="H191">Common_InputFunctions.Utility_DisplayArrayInTable(Common_SourceData.Common_SourceData_EFN2O_Data(), Table_SourceData_Common_EFN2O[[#Headers],[Production system j]], 0)</f>
        <v>Low rainfall</v>
      </c>
    </row>
    <row r="192" spans="4:68" ht="20" customHeight="1" x14ac:dyDescent="0.25">
      <c r="D192" s="34" t="str" cm="1">
        <f t="array" ref="D192">Common_InputFunctions.Utility_DisplayArrayInTable(Common_SourceData.Common_SourceData_EFN2O_Data(), Table_SourceData_Common_EFN2O[[#Headers],[Production system j]], 0)</f>
        <v>Non-irrigated crop (high rainfall)</v>
      </c>
      <c r="E192" s="34" cm="1">
        <f t="array" ref="E192">Common_InputFunctions.Utility_DisplayArrayInTable(Common_SourceData.Common_SourceData_EFN2O_Data(), Table_SourceData_Common_EFN2O[[#Headers],[Production system j]], 0)</f>
        <v>8.0000000000000002E-3</v>
      </c>
      <c r="F192" s="34" t="str" cm="1">
        <f t="array" ref="F192">Common_InputFunctions.Utility_DisplayArrayInTable(Common_SourceData.Common_SourceData_EFN2O_Data(), Table_SourceData_Common_EFN2O[[#Headers],[Production system j]], 0)</f>
        <v>Crop</v>
      </c>
      <c r="G192" s="34" t="str" cm="1">
        <f t="array" ref="G192">Common_InputFunctions.Utility_DisplayArrayInTable(Common_SourceData.Common_SourceData_EFN2O_Data(), Table_SourceData_Common_EFN2O[[#Headers],[Production system j]], 0)</f>
        <v>Not irrigated</v>
      </c>
      <c r="H192" s="34" t="str" cm="1">
        <f t="array" ref="H192">Common_InputFunctions.Utility_DisplayArrayInTable(Common_SourceData.Common_SourceData_EFN2O_Data(), Table_SourceData_Common_EFN2O[[#Headers],[Production system j]], 0)</f>
        <v>High rainfall</v>
      </c>
    </row>
    <row r="193" spans="4:8" ht="20" customHeight="1" x14ac:dyDescent="0.25">
      <c r="D193" s="34" t="str" cm="1">
        <f t="array" ref="D193">Common_InputFunctions.Utility_DisplayArrayInTable(Common_SourceData.Common_SourceData_EFN2O_Data(), Table_SourceData_Common_EFN2O[[#Headers],[Production system j]], 0)</f>
        <v>Sugar</v>
      </c>
      <c r="E193" s="34" cm="1">
        <f t="array" ref="E193">Common_InputFunctions.Utility_DisplayArrayInTable(Common_SourceData.Common_SourceData_EFN2O_Data(), Table_SourceData_Common_EFN2O[[#Headers],[Production system j]], 0)</f>
        <v>1.9900000000000001E-2</v>
      </c>
      <c r="F193" s="34" t="str" cm="1">
        <f t="array" ref="F193">Common_InputFunctions.Utility_DisplayArrayInTable(Common_SourceData.Common_SourceData_EFN2O_Data(), Table_SourceData_Common_EFN2O[[#Headers],[Production system j]], 0)</f>
        <v>Sugar</v>
      </c>
      <c r="G193" s="34" t="str" cm="1">
        <f t="array" ref="G193">Common_InputFunctions.Utility_DisplayArrayInTable(Common_SourceData.Common_SourceData_EFN2O_Data(), Table_SourceData_Common_EFN2O[[#Headers],[Production system j]], 0)</f>
        <v>Any</v>
      </c>
      <c r="H193" s="34" t="str" cm="1">
        <f t="array" ref="H193">Common_InputFunctions.Utility_DisplayArrayInTable(Common_SourceData.Common_SourceData_EFN2O_Data(), Table_SourceData_Common_EFN2O[[#Headers],[Production system j]], 0)</f>
        <v>Any</v>
      </c>
    </row>
    <row r="194" spans="4:8" ht="20" customHeight="1" x14ac:dyDescent="0.25">
      <c r="D194" s="34" t="str" cm="1">
        <f t="array" ref="D194">Common_InputFunctions.Utility_DisplayArrayInTable(Common_SourceData.Common_SourceData_EFN2O_Data(), Table_SourceData_Common_EFN2O[[#Headers],[Production system j]], 0)</f>
        <v>Cotton</v>
      </c>
      <c r="E194" s="34" cm="1">
        <f t="array" ref="E194">Common_InputFunctions.Utility_DisplayArrayInTable(Common_SourceData.Common_SourceData_EFN2O_Data(), Table_SourceData_Common_EFN2O[[#Headers],[Production system j]], 0)</f>
        <v>5.3E-3</v>
      </c>
      <c r="F194" s="34" t="str" cm="1">
        <f t="array" ref="F194">Common_InputFunctions.Utility_DisplayArrayInTable(Common_SourceData.Common_SourceData_EFN2O_Data(), Table_SourceData_Common_EFN2O[[#Headers],[Production system j]], 0)</f>
        <v>Cotton</v>
      </c>
      <c r="G194" s="34" t="str" cm="1">
        <f t="array" ref="G194">Common_InputFunctions.Utility_DisplayArrayInTable(Common_SourceData.Common_SourceData_EFN2O_Data(), Table_SourceData_Common_EFN2O[[#Headers],[Production system j]], 0)</f>
        <v>Any</v>
      </c>
      <c r="H194" s="34" t="str" cm="1">
        <f t="array" ref="H194">Common_InputFunctions.Utility_DisplayArrayInTable(Common_SourceData.Common_SourceData_EFN2O_Data(), Table_SourceData_Common_EFN2O[[#Headers],[Production system j]], 0)</f>
        <v>Any</v>
      </c>
    </row>
    <row r="195" spans="4:8" ht="20" customHeight="1" x14ac:dyDescent="0.25">
      <c r="D195" s="34" t="str" cm="1">
        <f t="array" ref="D195">Common_InputFunctions.Utility_DisplayArrayInTable(Common_SourceData.Common_SourceData_EFN2O_Data(), Table_SourceData_Common_EFN2O[[#Headers],[Production system j]], 0)</f>
        <v>Horticultural crops</v>
      </c>
      <c r="E195" s="34" cm="1">
        <f t="array" ref="E195">Common_InputFunctions.Utility_DisplayArrayInTable(Common_SourceData.Common_SourceData_EFN2O_Data(), Table_SourceData_Common_EFN2O[[#Headers],[Production system j]], 0)</f>
        <v>6.4000000000000003E-3</v>
      </c>
      <c r="F195" s="34" t="str" cm="1">
        <f t="array" ref="F195">Common_InputFunctions.Utility_DisplayArrayInTable(Common_SourceData.Common_SourceData_EFN2O_Data(), Table_SourceData_Common_EFN2O[[#Headers],[Production system j]], 0)</f>
        <v>Horticultural crops</v>
      </c>
      <c r="G195" s="34" t="str" cm="1">
        <f t="array" ref="G195">Common_InputFunctions.Utility_DisplayArrayInTable(Common_SourceData.Common_SourceData_EFN2O_Data(), Table_SourceData_Common_EFN2O[[#Headers],[Production system j]], 0)</f>
        <v>Any</v>
      </c>
      <c r="H195" s="34" t="str" cm="1">
        <f t="array" ref="H195">Common_InputFunctions.Utility_DisplayArrayInTable(Common_SourceData.Common_SourceData_EFN2O_Data(), Table_SourceData_Common_EFN2O[[#Headers],[Production system j]], 0)</f>
        <v>Any</v>
      </c>
    </row>
    <row r="196" spans="4:8" ht="20" customHeight="1" x14ac:dyDescent="0.25">
      <c r="D196" s="34" t="str" cm="1">
        <f t="array" ref="D196">Common_InputFunctions.Utility_DisplayArrayInTable(Common_SourceData.Common_SourceData_EFN2O_Data(), Table_SourceData_Common_EFN2O[[#Headers],[Production system j]], 0)</f>
        <v>Rice (continuous flooding)</v>
      </c>
      <c r="E196" s="34" cm="1">
        <f t="array" ref="E196">Common_InputFunctions.Utility_DisplayArrayInTable(Common_SourceData.Common_SourceData_EFN2O_Data(), Table_SourceData_Common_EFN2O[[#Headers],[Production system j]], 0)</f>
        <v>3.0000000000000001E-3</v>
      </c>
      <c r="F196" s="34" t="str" cm="1">
        <f t="array" ref="F196">Common_InputFunctions.Utility_DisplayArrayInTable(Common_SourceData.Common_SourceData_EFN2O_Data(), Table_SourceData_Common_EFN2O[[#Headers],[Production system j]], 0)</f>
        <v>Rice</v>
      </c>
      <c r="G196" s="34" t="str" cm="1">
        <f t="array" ref="G196">Common_InputFunctions.Utility_DisplayArrayInTable(Common_SourceData.Common_SourceData_EFN2O_Data(), Table_SourceData_Common_EFN2O[[#Headers],[Production system j]], 0)</f>
        <v>Continuous flooding</v>
      </c>
      <c r="H196" s="34" t="str" cm="1">
        <f t="array" ref="H196">Common_InputFunctions.Utility_DisplayArrayInTable(Common_SourceData.Common_SourceData_EFN2O_Data(), Table_SourceData_Common_EFN2O[[#Headers],[Production system j]], 0)</f>
        <v>Any</v>
      </c>
    </row>
    <row r="197" spans="4:8" x14ac:dyDescent="0.25" ht="20" customHeight="1">
      <c r="D197" s="34" t="str" cm="1">
        <f t="array" ref="D197">Common_InputFunctions.Utility_DisplayArrayInTable(Common_SourceData.Common_SourceData_EFN2O_Data(), Table_SourceData_Common_EFN2O[[#Headers],[Production system j]], 0)</f>
        <v>Rice (single and multiple drainage, or alternate wetting and drying)</v>
      </c>
      <c r="E197" s="34" cm="1">
        <f t="array" ref="E197">Common_InputFunctions.Utility_DisplayArrayInTable(Common_SourceData.Common_SourceData_EFN2O_Data(), Table_SourceData_Common_EFN2O[[#Headers],[Production system j]], 0)</f>
        <v>5.0000000000000001E-3</v>
      </c>
      <c r="F197" s="34" t="str" cm="1">
        <f t="array" ref="F197">Common_InputFunctions.Utility_DisplayArrayInTable(Common_SourceData.Common_SourceData_EFN2O_Data(), Table_SourceData_Common_EFN2O[[#Headers],[Production system j]], 0)</f>
        <v>Rice</v>
      </c>
      <c r="G197" s="34" t="str" cm="1">
        <f t="array" ref="G197">Common_InputFunctions.Utility_DisplayArrayInTable(Common_SourceData.Common_SourceData_EFN2O_Data(), Table_SourceData_Common_EFN2O[[#Headers],[Production system j]], 0)</f>
        <v>Single and multiple drainage, or alternate wetting and drying</v>
      </c>
      <c r="H197" s="34" t="str" cm="1">
        <f t="array" ref="H197">Common_InputFunctions.Utility_DisplayArrayInTable(Common_SourceData.Common_SourceData_EFN2O_Data(), Table_SourceData_Common_EFN2O[[#Headers],[Production system j]], 0)</f>
        <v>Any</v>
      </c>
    </row>
    <row r="198" spans="4:8" x14ac:dyDescent="0.25" ht="20" customHeight="1">
      <c r="D198" s="34" t="str" cm="1">
        <f t="array" ref="D198">Common_InputFunctions.Utility_DisplayArrayInTable(Common_SourceData.Common_SourceData_EFN2O_Data(), Table_SourceData_Common_EFN2O[[#Headers],[Production system j]], 0)</f>
        <v>Aquaculture</v>
      </c>
      <c r="E198" s="34" cm="1">
        <f t="array" ref="E198">Common_InputFunctions.Utility_DisplayArrayInTable(Common_SourceData.Common_SourceData_EFN2O_Data(), Table_SourceData_Common_EFN2O[[#Headers],[Production system j]], 0)</f>
        <v>2.5999999999999999E-3</v>
      </c>
      <c r="F198" s="34" t="str" cm="1">
        <f t="array" ref="F198">Common_InputFunctions.Utility_DisplayArrayInTable(Common_SourceData.Common_SourceData_EFN2O_Data(), Table_SourceData_Common_EFN2O[[#Headers],[Production system j]], 0)</f>
        <v>Aquaculture</v>
      </c>
      <c r="G198" s="34" t="str" cm="1">
        <f t="array" ref="G198">Common_InputFunctions.Utility_DisplayArrayInTable(Common_SourceData.Common_SourceData_EFN2O_Data(), Table_SourceData_Common_EFN2O[[#Headers],[Production system j]], 0)</f>
        <v>Any</v>
      </c>
      <c r="H198" s="34" t="str" cm="1">
        <f t="array" ref="H198">Common_InputFunctions.Utility_DisplayArrayInTable(Common_SourceData.Common_SourceData_EFN2O_Data(), Table_SourceData_Common_EFN2O[[#Headers],[Production system j]], 0)</f>
        <v>Any</v>
      </c>
    </row>
    <row r="199" spans="4:8" x14ac:dyDescent="0.25" ht="20" customHeight="1">
      <c r="D199" s="34" t="str" cm="1">
        <f t="array" ref="D199">Common_InputFunctions.Utility_DisplayArrayInTable(Common_SourceData.Common_SourceData_EFN2O_Data(), Table_SourceData_Common_EFN2O[[#Headers],[Production system j]], 0)</f>
        <v>Forestry</v>
      </c>
      <c r="E199" s="34" cm="1">
        <f t="array" ref="E199">Common_InputFunctions.Utility_DisplayArrayInTable(Common_SourceData.Common_SourceData_EFN2O_Data(), Table_SourceData_Common_EFN2O[[#Headers],[Production system j]], 0)</f>
        <v>1.8E-3</v>
      </c>
      <c r="F199" s="34" t="str" cm="1">
        <f t="array" ref="F199">Common_InputFunctions.Utility_DisplayArrayInTable(Common_SourceData.Common_SourceData_EFN2O_Data(), Table_SourceData_Common_EFN2O[[#Headers],[Production system j]], 0)</f>
        <v>Forestry</v>
      </c>
      <c r="G199" s="34" t="str" cm="1">
        <f t="array" ref="G199">Common_InputFunctions.Utility_DisplayArrayInTable(Common_SourceData.Common_SourceData_EFN2O_Data(), Table_SourceData_Common_EFN2O[[#Headers],[Production system j]], 0)</f>
        <v>Any</v>
      </c>
      <c r="H199" s="34" t="str" cm="1">
        <f t="array" ref="H199">Common_InputFunctions.Utility_DisplayArrayInTable(Common_SourceData.Common_SourceData_EFN2O_Data(), Table_SourceData_Common_EFN2O[[#Headers],[Production system j]], 0)</f>
        <v>Any</v>
      </c>
    </row>
    <row r="202" spans="4:8" ht="20" x14ac:dyDescent="0.25" customHeight="1">
      <c r="D202" s="6" t="str" cm="1">
        <f t="array" ref="D202">Common_SourceData.Common_SourceData_EFPastureRangeAndPaddock_Title()</f>
        <v>Emission factor for urine and dung deposited on pasture, range or paddock</v>
      </c>
    </row>
    <row r="203" spans="4:8" x14ac:dyDescent="0.25" ht="20" customHeight="1">
      <c r="D203" s="5" t="str" cm="1">
        <f t="array" ref="D203">Common_SourceData.Common_SourceData_EFPastureRangeAndPaddock_Source()</f>
        <v>VEERG 2026: Table A.2.2.2</v>
      </c>
    </row>
    <row r="204" spans="4:8" x14ac:dyDescent="0.25" ht="20" customHeight="1">
      <c r="D204" s="49" t="str" cm="1">
        <f t="array" ref="D204">Common_SourceData.Common_SourceData_EFPastureRangeAndPaddock_Variation()</f>
        <v>VARIATION FROM SOURCE DATA: Changed 'Dry climate zones' to singular 'Dry climate zone' to aid lookup.</v>
      </c>
    </row>
    <row r="205" spans="4:8" x14ac:dyDescent="0.25" ht="20" customHeight="1">
      <c r="D205" s="48" t="str" cm="1">
        <f t="array" ref="D205">Common_SourceData.Common_SourceData_EFPastureRangeAndPaddock_Unit()</f>
        <v>kg N2O - N / kg N</v>
      </c>
    </row>
    <row r="206" spans="4:8" x14ac:dyDescent="0.25" ht="20" customHeight="1">
      <c r="D206" s="34" t="s">
        <v>5</v>
      </c>
      <c r="E206" s="34" t="s">
        <v>73</v>
      </c>
    </row>
    <row r="207" spans="4:8" x14ac:dyDescent="0.25" ht="20" customHeight="1">
      <c r="D207" s="34" t="str" cm="1">
        <f t="array" ref="D207">Common_InputFunctions.Utility_DisplayArrayInTable(Common_SourceData.Common_SourceData_EFPastureRangeAndPaddock_Data(), Table_SourceData_EFPastureRangeAndPaddock[[#Headers],[Climate zone]], 0)</f>
        <v>Wet climate zone</v>
      </c>
      <c r="E207" s="34"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34"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34" t="s">
        <v>70</v>
      </c>
      <c r="E212" s="34" t="s">
        <v>78</v>
      </c>
    </row>
    <row r="213" spans="4:5" x14ac:dyDescent="0.25" ht="20" customHeight="1">
      <c r="D213" s="34" t="str" cm="1">
        <f t="array" ref="D213">Common_InputFunctions.Utility_DisplayArrayInTable(Common_SourceData.Common_SourceData_MonthsToSeasons_Data(), Table_SourceData_Common_MonthToSeason[[#Headers],[Month]], 0)</f>
        <v>January</v>
      </c>
      <c r="E213" s="34"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34"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34"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34"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34"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34"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34"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34"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34"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34"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34"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34" t="str" cm="1">
        <f t="array" ref="E224">Common_InputFunctions.Utility_DisplayArrayInTable(Common_SourceData.Common_SourceData_MonthsToSeasons_Data(), Table_SourceData_Common_MonthToSeason[[#Headers],[Month]], 0)</f>
        <v>Summer</v>
      </c>
    </row>
    <row r="227" spans="4:19" ht="20" x14ac:dyDescent="0.25" customHeight="1">
      <c r="D227" s="6" t="str" cm="1">
        <f t="array" ref="D227">Common_SourceData.Common_SourceData_MCFTemperatureZone_Title()</f>
        <v>Manure Management – Methane conversion factor per temperature zone (fraction) (MCFim)</v>
      </c>
    </row>
    <row r="228" spans="4:19" x14ac:dyDescent="0.25" ht="20" customHeight="1">
      <c r="D228" s="5" t="str" cm="1">
        <f t="array" ref="D228">Common_SourceData.Common_SourceData_MCFTemperatureZone_Source()</f>
        <v>VEERG 2026: Table A.1.8.1</v>
      </c>
    </row>
    <row r="229" spans="4:19" x14ac:dyDescent="0.25" ht="20" customHeight="1">
      <c r="D229" s="4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34" t="s">
        <v>38</v>
      </c>
      <c r="E231" s="34" t="s">
        <v>88</v>
      </c>
      <c r="F231" s="33" t="s">
        <v>89</v>
      </c>
      <c r="G231" s="34" t="s">
        <v>83</v>
      </c>
      <c r="H231" s="34" t="s">
        <v>90</v>
      </c>
      <c r="I231" s="34" t="s">
        <v>91</v>
      </c>
      <c r="J231" s="34" t="s">
        <v>82</v>
      </c>
      <c r="K231" s="34" t="s">
        <v>81</v>
      </c>
      <c r="L231" s="34" t="s">
        <v>92</v>
      </c>
      <c r="M231" s="34" t="s">
        <v>93</v>
      </c>
      <c r="N231" s="34" t="s">
        <v>80</v>
      </c>
      <c r="O231" s="34" t="s">
        <v>94</v>
      </c>
      <c r="P231" s="34" t="s">
        <v>85</v>
      </c>
      <c r="Q231" s="34" t="s">
        <v>86</v>
      </c>
      <c r="R231" s="34" t="s">
        <v>84</v>
      </c>
      <c r="S231" s="34" t="s">
        <v>95</v>
      </c>
    </row>
    <row r="232" spans="4:19" x14ac:dyDescent="0.25" ht="20" customHeight="1">
      <c r="D232" s="34" t="str" cm="1">
        <f t="array" ref="D232">Common_InputFunctions.Utility_DisplayArrayInTable(Common_SourceData.Common_SourceData_MCFTemperatureZone_Data(),Table_SourceData_Common_MCFTemperatureZone[[#Headers],[Temperature zone]],0)</f>
        <v>Cool</v>
      </c>
      <c r="E232" s="34" t="str" cm="1">
        <f t="array" ref="E232">Common_InputFunctions.Utility_DisplayArrayInTable(Common_SourceData.Common_SourceData_MCFTemperatureZone_Data(),Table_SourceData_Common_MCFTemperatureZone[[#Headers],[Temperature zone]],0)</f>
        <v>≤10</v>
      </c>
      <c r="F232" s="34" cm="1">
        <f t="array" ref="F232">Common_InputFunctions.Utility_DisplayArrayInTable(Common_SourceData.Common_SourceData_MCFTemperatureZone_Data(),Table_SourceData_Common_MCFTemperatureZone[[#Headers],[Temperature zone]],0)</f>
        <v>0.66</v>
      </c>
      <c r="G232" s="34" cm="1">
        <f t="array" ref="G232">Common_InputFunctions.Utility_DisplayArrayInTable(Common_SourceData.Common_SourceData_MCFTemperatureZone_Data(),Table_SourceData_Common_MCFTemperatureZone[[#Headers],[Temperature zone]],0)</f>
        <v>0.1</v>
      </c>
      <c r="H232" s="34" cm="1">
        <f t="array" ref="H232">Common_InputFunctions.Utility_DisplayArrayInTable(Common_SourceData.Common_SourceData_MCFTemperatureZone_Data(),Table_SourceData_Common_MCFTemperatureZone[[#Headers],[Temperature zone]],0)</f>
        <v>0.1</v>
      </c>
      <c r="I232" s="34" cm="1">
        <f t="array" ref="I232">Common_InputFunctions.Utility_DisplayArrayInTable(Common_SourceData.Common_SourceData_MCFTemperatureZone_Data(),Table_SourceData_Common_MCFTemperatureZone[[#Headers],[Temperature zone]],0)</f>
        <v>1E-3</v>
      </c>
      <c r="J232" s="34" cm="1">
        <f t="array" ref="J232">Common_InputFunctions.Utility_DisplayArrayInTable(Common_SourceData.Common_SourceData_MCFTemperatureZone_Data(),Table_SourceData_Common_MCFTemperatureZone[[#Headers],[Temperature zone]],0)</f>
        <v>5.0000000000000001E-3</v>
      </c>
      <c r="K232" s="34" cm="1">
        <f t="array" ref="K232">Common_InputFunctions.Utility_DisplayArrayInTable(Common_SourceData.Common_SourceData_MCFTemperatureZone_Data(),Table_SourceData_Common_MCFTemperatureZone[[#Headers],[Temperature zone]],0)</f>
        <v>0.02</v>
      </c>
      <c r="L232" s="34" cm="1">
        <f t="array" ref="L232">Common_InputFunctions.Utility_DisplayArrayInTable(Common_SourceData.Common_SourceData_MCFTemperatureZone_Data(),Table_SourceData_Common_MCFTemperatureZone[[#Headers],[Temperature zone]],0)</f>
        <v>0.03</v>
      </c>
      <c r="M232" s="34" cm="1">
        <f t="array" ref="M232">Common_InputFunctions.Utility_DisplayArrayInTable(Common_SourceData.Common_SourceData_MCFTemperatureZone_Data(),Table_SourceData_Common_MCFTemperatureZone[[#Headers],[Temperature zone]],0)</f>
        <v>0.04</v>
      </c>
      <c r="N232" s="34" cm="1">
        <f t="array" ref="N232">Common_InputFunctions.Utility_DisplayArrayInTable(Common_SourceData.Common_SourceData_MCFTemperatureZone_Data(),Table_SourceData_Common_MCFTemperatureZone[[#Headers],[Temperature zone]],0)</f>
        <v>1.4999999999999999E-2</v>
      </c>
      <c r="O232" s="34" cm="1">
        <f t="array" ref="O232">Common_InputFunctions.Utility_DisplayArrayInTable(Common_SourceData.Common_SourceData_MCFTemperatureZone_Data(),Table_SourceData_Common_MCFTemperatureZone[[#Headers],[Temperature zone]],0)</f>
        <v>1.4999999999999999E-2</v>
      </c>
      <c r="P232" s="34" cm="1">
        <f t="array" ref="P232">Common_InputFunctions.Utility_DisplayArrayInTable(Common_SourceData.Common_SourceData_MCFTemperatureZone_Data(),Table_SourceData_Common_MCFTemperatureZone[[#Headers],[Temperature zone]],0)</f>
        <v>0</v>
      </c>
      <c r="Q232" s="34" cm="1">
        <f t="array" ref="Q232">Common_InputFunctions.Utility_DisplayArrayInTable(Common_SourceData.Common_SourceData_MCFTemperatureZone_Data(),Table_SourceData_Common_MCFTemperatureZone[[#Headers],[Temperature zone]],0)</f>
        <v>0</v>
      </c>
      <c r="R232" s="34" cm="1">
        <f t="array" ref="R232">Common_InputFunctions.Utility_DisplayArrayInTable(Common_SourceData.Common_SourceData_MCFTemperatureZone_Data(),Table_SourceData_Common_MCFTemperatureZone[[#Headers],[Temperature zone]],0)</f>
        <v>4.7000000000000002E-3</v>
      </c>
      <c r="S232" s="34"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34" cm="1">
        <f t="array" ref="E233">Common_InputFunctions.Utility_DisplayArrayInTable(Common_SourceData.Common_SourceData_MCFTemperatureZone_Data(),Table_SourceData_Common_MCFTemperatureZone[[#Headers],[Temperature zone]],0)</f>
        <v>11</v>
      </c>
      <c r="F233" s="34" cm="1">
        <f t="array" ref="F233">Common_InputFunctions.Utility_DisplayArrayInTable(Common_SourceData.Common_SourceData_MCFTemperatureZone_Data(),Table_SourceData_Common_MCFTemperatureZone[[#Headers],[Temperature zone]],0)</f>
        <v>0.68</v>
      </c>
      <c r="G233" s="34" cm="1">
        <f t="array" ref="G233">Common_InputFunctions.Utility_DisplayArrayInTable(Common_SourceData.Common_SourceData_MCFTemperatureZone_Data(),Table_SourceData_Common_MCFTemperatureZone[[#Headers],[Temperature zone]],0)</f>
        <v>0.1</v>
      </c>
      <c r="H233" s="34" cm="1">
        <f t="array" ref="H233">Common_InputFunctions.Utility_DisplayArrayInTable(Common_SourceData.Common_SourceData_MCFTemperatureZone_Data(),Table_SourceData_Common_MCFTemperatureZone[[#Headers],[Temperature zone]],0)</f>
        <v>0.11</v>
      </c>
      <c r="I233" s="34" cm="1">
        <f t="array" ref="I233">Common_InputFunctions.Utility_DisplayArrayInTable(Common_SourceData.Common_SourceData_MCFTemperatureZone_Data(),Table_SourceData_Common_MCFTemperatureZone[[#Headers],[Temperature zone]],0)</f>
        <v>1E-3</v>
      </c>
      <c r="J233" s="34" cm="1">
        <f t="array" ref="J233">Common_InputFunctions.Utility_DisplayArrayInTable(Common_SourceData.Common_SourceData_MCFTemperatureZone_Data(),Table_SourceData_Common_MCFTemperatureZone[[#Headers],[Temperature zone]],0)</f>
        <v>5.0000000000000001E-3</v>
      </c>
      <c r="K233" s="34" cm="1">
        <f t="array" ref="K233">Common_InputFunctions.Utility_DisplayArrayInTable(Common_SourceData.Common_SourceData_MCFTemperatureZone_Data(),Table_SourceData_Common_MCFTemperatureZone[[#Headers],[Temperature zone]],0)</f>
        <v>0.02</v>
      </c>
      <c r="L233" s="34" cm="1">
        <f t="array" ref="L233">Common_InputFunctions.Utility_DisplayArrayInTable(Common_SourceData.Common_SourceData_MCFTemperatureZone_Data(),Table_SourceData_Common_MCFTemperatureZone[[#Headers],[Temperature zone]],0)</f>
        <v>0.03</v>
      </c>
      <c r="M233" s="34" cm="1">
        <f t="array" ref="M233">Common_InputFunctions.Utility_DisplayArrayInTable(Common_SourceData.Common_SourceData_MCFTemperatureZone_Data(),Table_SourceData_Common_MCFTemperatureZone[[#Headers],[Temperature zone]],0)</f>
        <v>0.04</v>
      </c>
      <c r="N233" s="34" cm="1">
        <f t="array" ref="N233">Common_InputFunctions.Utility_DisplayArrayInTable(Common_SourceData.Common_SourceData_MCFTemperatureZone_Data(),Table_SourceData_Common_MCFTemperatureZone[[#Headers],[Temperature zone]],0)</f>
        <v>1.4999999999999999E-2</v>
      </c>
      <c r="O233" s="34" cm="1">
        <f t="array" ref="O233">Common_InputFunctions.Utility_DisplayArrayInTable(Common_SourceData.Common_SourceData_MCFTemperatureZone_Data(),Table_SourceData_Common_MCFTemperatureZone[[#Headers],[Temperature zone]],0)</f>
        <v>1.4999999999999999E-2</v>
      </c>
      <c r="P233" s="34" cm="1">
        <f t="array" ref="P233">Common_InputFunctions.Utility_DisplayArrayInTable(Common_SourceData.Common_SourceData_MCFTemperatureZone_Data(),Table_SourceData_Common_MCFTemperatureZone[[#Headers],[Temperature zone]],0)</f>
        <v>0</v>
      </c>
      <c r="Q233" s="34" cm="1">
        <f t="array" ref="Q233">Common_InputFunctions.Utility_DisplayArrayInTable(Common_SourceData.Common_SourceData_MCFTemperatureZone_Data(),Table_SourceData_Common_MCFTemperatureZone[[#Headers],[Temperature zone]],0)</f>
        <v>0</v>
      </c>
      <c r="R233" s="34" cm="1">
        <f t="array" ref="R233">Common_InputFunctions.Utility_DisplayArrayInTable(Common_SourceData.Common_SourceData_MCFTemperatureZone_Data(),Table_SourceData_Common_MCFTemperatureZone[[#Headers],[Temperature zone]],0)</f>
        <v>4.7000000000000002E-3</v>
      </c>
      <c r="S233" s="34"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34" cm="1">
        <f t="array" ref="E234">Common_InputFunctions.Utility_DisplayArrayInTable(Common_SourceData.Common_SourceData_MCFTemperatureZone_Data(),Table_SourceData_Common_MCFTemperatureZone[[#Headers],[Temperature zone]],0)</f>
        <v>12</v>
      </c>
      <c r="F234" s="34" cm="1">
        <f t="array" ref="F234">Common_InputFunctions.Utility_DisplayArrayInTable(Common_SourceData.Common_SourceData_MCFTemperatureZone_Data(),Table_SourceData_Common_MCFTemperatureZone[[#Headers],[Temperature zone]],0)</f>
        <v>0.7</v>
      </c>
      <c r="G234" s="34" cm="1">
        <f t="array" ref="G234">Common_InputFunctions.Utility_DisplayArrayInTable(Common_SourceData.Common_SourceData_MCFTemperatureZone_Data(),Table_SourceData_Common_MCFTemperatureZone[[#Headers],[Temperature zone]],0)</f>
        <v>0.1</v>
      </c>
      <c r="H234" s="34" cm="1">
        <f t="array" ref="H234">Common_InputFunctions.Utility_DisplayArrayInTable(Common_SourceData.Common_SourceData_MCFTemperatureZone_Data(),Table_SourceData_Common_MCFTemperatureZone[[#Headers],[Temperature zone]],0)</f>
        <v>0.13</v>
      </c>
      <c r="I234" s="34" cm="1">
        <f t="array" ref="I234">Common_InputFunctions.Utility_DisplayArrayInTable(Common_SourceData.Common_SourceData_MCFTemperatureZone_Data(),Table_SourceData_Common_MCFTemperatureZone[[#Headers],[Temperature zone]],0)</f>
        <v>1E-3</v>
      </c>
      <c r="J234" s="34" cm="1">
        <f t="array" ref="J234">Common_InputFunctions.Utility_DisplayArrayInTable(Common_SourceData.Common_SourceData_MCFTemperatureZone_Data(),Table_SourceData_Common_MCFTemperatureZone[[#Headers],[Temperature zone]],0)</f>
        <v>5.0000000000000001E-3</v>
      </c>
      <c r="K234" s="34" cm="1">
        <f t="array" ref="K234">Common_InputFunctions.Utility_DisplayArrayInTable(Common_SourceData.Common_SourceData_MCFTemperatureZone_Data(),Table_SourceData_Common_MCFTemperatureZone[[#Headers],[Temperature zone]],0)</f>
        <v>0.02</v>
      </c>
      <c r="L234" s="34" cm="1">
        <f t="array" ref="L234">Common_InputFunctions.Utility_DisplayArrayInTable(Common_SourceData.Common_SourceData_MCFTemperatureZone_Data(),Table_SourceData_Common_MCFTemperatureZone[[#Headers],[Temperature zone]],0)</f>
        <v>0.03</v>
      </c>
      <c r="M234" s="34" cm="1">
        <f t="array" ref="M234">Common_InputFunctions.Utility_DisplayArrayInTable(Common_SourceData.Common_SourceData_MCFTemperatureZone_Data(),Table_SourceData_Common_MCFTemperatureZone[[#Headers],[Temperature zone]],0)</f>
        <v>0.04</v>
      </c>
      <c r="N234" s="34" cm="1">
        <f t="array" ref="N234">Common_InputFunctions.Utility_DisplayArrayInTable(Common_SourceData.Common_SourceData_MCFTemperatureZone_Data(),Table_SourceData_Common_MCFTemperatureZone[[#Headers],[Temperature zone]],0)</f>
        <v>1.4999999999999999E-2</v>
      </c>
      <c r="O234" s="34" cm="1">
        <f t="array" ref="O234">Common_InputFunctions.Utility_DisplayArrayInTable(Common_SourceData.Common_SourceData_MCFTemperatureZone_Data(),Table_SourceData_Common_MCFTemperatureZone[[#Headers],[Temperature zone]],0)</f>
        <v>1.4999999999999999E-2</v>
      </c>
      <c r="P234" s="34" cm="1">
        <f t="array" ref="P234">Common_InputFunctions.Utility_DisplayArrayInTable(Common_SourceData.Common_SourceData_MCFTemperatureZone_Data(),Table_SourceData_Common_MCFTemperatureZone[[#Headers],[Temperature zone]],0)</f>
        <v>0</v>
      </c>
      <c r="Q234" s="34" cm="1">
        <f t="array" ref="Q234">Common_InputFunctions.Utility_DisplayArrayInTable(Common_SourceData.Common_SourceData_MCFTemperatureZone_Data(),Table_SourceData_Common_MCFTemperatureZone[[#Headers],[Temperature zone]],0)</f>
        <v>0</v>
      </c>
      <c r="R234" s="34" cm="1">
        <f t="array" ref="R234">Common_InputFunctions.Utility_DisplayArrayInTable(Common_SourceData.Common_SourceData_MCFTemperatureZone_Data(),Table_SourceData_Common_MCFTemperatureZone[[#Headers],[Temperature zone]],0)</f>
        <v>4.7000000000000002E-3</v>
      </c>
      <c r="S234" s="34"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34" cm="1">
        <f t="array" ref="E235">Common_InputFunctions.Utility_DisplayArrayInTable(Common_SourceData.Common_SourceData_MCFTemperatureZone_Data(),Table_SourceData_Common_MCFTemperatureZone[[#Headers],[Temperature zone]],0)</f>
        <v>13</v>
      </c>
      <c r="F235" s="34" cm="1">
        <f t="array" ref="F235">Common_InputFunctions.Utility_DisplayArrayInTable(Common_SourceData.Common_SourceData_MCFTemperatureZone_Data(),Table_SourceData_Common_MCFTemperatureZone[[#Headers],[Temperature zone]],0)</f>
        <v>0.71</v>
      </c>
      <c r="G235" s="34" cm="1">
        <f t="array" ref="G235">Common_InputFunctions.Utility_DisplayArrayInTable(Common_SourceData.Common_SourceData_MCFTemperatureZone_Data(),Table_SourceData_Common_MCFTemperatureZone[[#Headers],[Temperature zone]],0)</f>
        <v>0.1</v>
      </c>
      <c r="H235" s="34" cm="1">
        <f t="array" ref="H235">Common_InputFunctions.Utility_DisplayArrayInTable(Common_SourceData.Common_SourceData_MCFTemperatureZone_Data(),Table_SourceData_Common_MCFTemperatureZone[[#Headers],[Temperature zone]],0)</f>
        <v>0.14000000000000001</v>
      </c>
      <c r="I235" s="34" cm="1">
        <f t="array" ref="I235">Common_InputFunctions.Utility_DisplayArrayInTable(Common_SourceData.Common_SourceData_MCFTemperatureZone_Data(),Table_SourceData_Common_MCFTemperatureZone[[#Headers],[Temperature zone]],0)</f>
        <v>1E-3</v>
      </c>
      <c r="J235" s="34" cm="1">
        <f t="array" ref="J235">Common_InputFunctions.Utility_DisplayArrayInTable(Common_SourceData.Common_SourceData_MCFTemperatureZone_Data(),Table_SourceData_Common_MCFTemperatureZone[[#Headers],[Temperature zone]],0)</f>
        <v>5.0000000000000001E-3</v>
      </c>
      <c r="K235" s="34" cm="1">
        <f t="array" ref="K235">Common_InputFunctions.Utility_DisplayArrayInTable(Common_SourceData.Common_SourceData_MCFTemperatureZone_Data(),Table_SourceData_Common_MCFTemperatureZone[[#Headers],[Temperature zone]],0)</f>
        <v>0.02</v>
      </c>
      <c r="L235" s="34" cm="1">
        <f t="array" ref="L235">Common_InputFunctions.Utility_DisplayArrayInTable(Common_SourceData.Common_SourceData_MCFTemperatureZone_Data(),Table_SourceData_Common_MCFTemperatureZone[[#Headers],[Temperature zone]],0)</f>
        <v>0.03</v>
      </c>
      <c r="M235" s="34" cm="1">
        <f t="array" ref="M235">Common_InputFunctions.Utility_DisplayArrayInTable(Common_SourceData.Common_SourceData_MCFTemperatureZone_Data(),Table_SourceData_Common_MCFTemperatureZone[[#Headers],[Temperature zone]],0)</f>
        <v>0.04</v>
      </c>
      <c r="N235" s="34" cm="1">
        <f t="array" ref="N235">Common_InputFunctions.Utility_DisplayArrayInTable(Common_SourceData.Common_SourceData_MCFTemperatureZone_Data(),Table_SourceData_Common_MCFTemperatureZone[[#Headers],[Temperature zone]],0)</f>
        <v>1.4999999999999999E-2</v>
      </c>
      <c r="O235" s="34" cm="1">
        <f t="array" ref="O235">Common_InputFunctions.Utility_DisplayArrayInTable(Common_SourceData.Common_SourceData_MCFTemperatureZone_Data(),Table_SourceData_Common_MCFTemperatureZone[[#Headers],[Temperature zone]],0)</f>
        <v>1.4999999999999999E-2</v>
      </c>
      <c r="P235" s="34" cm="1">
        <f t="array" ref="P235">Common_InputFunctions.Utility_DisplayArrayInTable(Common_SourceData.Common_SourceData_MCFTemperatureZone_Data(),Table_SourceData_Common_MCFTemperatureZone[[#Headers],[Temperature zone]],0)</f>
        <v>0</v>
      </c>
      <c r="Q235" s="34" cm="1">
        <f t="array" ref="Q235">Common_InputFunctions.Utility_DisplayArrayInTable(Common_SourceData.Common_SourceData_MCFTemperatureZone_Data(),Table_SourceData_Common_MCFTemperatureZone[[#Headers],[Temperature zone]],0)</f>
        <v>0</v>
      </c>
      <c r="R235" s="34" cm="1">
        <f t="array" ref="R235">Common_InputFunctions.Utility_DisplayArrayInTable(Common_SourceData.Common_SourceData_MCFTemperatureZone_Data(),Table_SourceData_Common_MCFTemperatureZone[[#Headers],[Temperature zone]],0)</f>
        <v>4.7000000000000002E-3</v>
      </c>
      <c r="S235" s="34"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34" cm="1">
        <f t="array" ref="E236">Common_InputFunctions.Utility_DisplayArrayInTable(Common_SourceData.Common_SourceData_MCFTemperatureZone_Data(),Table_SourceData_Common_MCFTemperatureZone[[#Headers],[Temperature zone]],0)</f>
        <v>14</v>
      </c>
      <c r="F236" s="34" cm="1">
        <f t="array" ref="F236">Common_InputFunctions.Utility_DisplayArrayInTable(Common_SourceData.Common_SourceData_MCFTemperatureZone_Data(),Table_SourceData_Common_MCFTemperatureZone[[#Headers],[Temperature zone]],0)</f>
        <v>0.73</v>
      </c>
      <c r="G236" s="34" cm="1">
        <f t="array" ref="G236">Common_InputFunctions.Utility_DisplayArrayInTable(Common_SourceData.Common_SourceData_MCFTemperatureZone_Data(),Table_SourceData_Common_MCFTemperatureZone[[#Headers],[Temperature zone]],0)</f>
        <v>0.1</v>
      </c>
      <c r="H236" s="34" cm="1">
        <f t="array" ref="H236">Common_InputFunctions.Utility_DisplayArrayInTable(Common_SourceData.Common_SourceData_MCFTemperatureZone_Data(),Table_SourceData_Common_MCFTemperatureZone[[#Headers],[Temperature zone]],0)</f>
        <v>0.15</v>
      </c>
      <c r="I236" s="34" cm="1">
        <f t="array" ref="I236">Common_InputFunctions.Utility_DisplayArrayInTable(Common_SourceData.Common_SourceData_MCFTemperatureZone_Data(),Table_SourceData_Common_MCFTemperatureZone[[#Headers],[Temperature zone]],0)</f>
        <v>1E-3</v>
      </c>
      <c r="J236" s="34" cm="1">
        <f t="array" ref="J236">Common_InputFunctions.Utility_DisplayArrayInTable(Common_SourceData.Common_SourceData_MCFTemperatureZone_Data(),Table_SourceData_Common_MCFTemperatureZone[[#Headers],[Temperature zone]],0)</f>
        <v>5.0000000000000001E-3</v>
      </c>
      <c r="K236" s="34" cm="1">
        <f t="array" ref="K236">Common_InputFunctions.Utility_DisplayArrayInTable(Common_SourceData.Common_SourceData_MCFTemperatureZone_Data(),Table_SourceData_Common_MCFTemperatureZone[[#Headers],[Temperature zone]],0)</f>
        <v>0.02</v>
      </c>
      <c r="L236" s="34" cm="1">
        <f t="array" ref="L236">Common_InputFunctions.Utility_DisplayArrayInTable(Common_SourceData.Common_SourceData_MCFTemperatureZone_Data(),Table_SourceData_Common_MCFTemperatureZone[[#Headers],[Temperature zone]],0)</f>
        <v>0.03</v>
      </c>
      <c r="M236" s="34" cm="1">
        <f t="array" ref="M236">Common_InputFunctions.Utility_DisplayArrayInTable(Common_SourceData.Common_SourceData_MCFTemperatureZone_Data(),Table_SourceData_Common_MCFTemperatureZone[[#Headers],[Temperature zone]],0)</f>
        <v>0.04</v>
      </c>
      <c r="N236" s="34" cm="1">
        <f t="array" ref="N236">Common_InputFunctions.Utility_DisplayArrayInTable(Common_SourceData.Common_SourceData_MCFTemperatureZone_Data(),Table_SourceData_Common_MCFTemperatureZone[[#Headers],[Temperature zone]],0)</f>
        <v>1.4999999999999999E-2</v>
      </c>
      <c r="O236" s="34" cm="1">
        <f t="array" ref="O236">Common_InputFunctions.Utility_DisplayArrayInTable(Common_SourceData.Common_SourceData_MCFTemperatureZone_Data(),Table_SourceData_Common_MCFTemperatureZone[[#Headers],[Temperature zone]],0)</f>
        <v>1.4999999999999999E-2</v>
      </c>
      <c r="P236" s="34" cm="1">
        <f t="array" ref="P236">Common_InputFunctions.Utility_DisplayArrayInTable(Common_SourceData.Common_SourceData_MCFTemperatureZone_Data(),Table_SourceData_Common_MCFTemperatureZone[[#Headers],[Temperature zone]],0)</f>
        <v>0</v>
      </c>
      <c r="Q236" s="34" cm="1">
        <f t="array" ref="Q236">Common_InputFunctions.Utility_DisplayArrayInTable(Common_SourceData.Common_SourceData_MCFTemperatureZone_Data(),Table_SourceData_Common_MCFTemperatureZone[[#Headers],[Temperature zone]],0)</f>
        <v>0</v>
      </c>
      <c r="R236" s="34" cm="1">
        <f t="array" ref="R236">Common_InputFunctions.Utility_DisplayArrayInTable(Common_SourceData.Common_SourceData_MCFTemperatureZone_Data(),Table_SourceData_Common_MCFTemperatureZone[[#Headers],[Temperature zone]],0)</f>
        <v>4.7000000000000002E-3</v>
      </c>
      <c r="S236" s="34"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34" cm="1">
        <f t="array" ref="E237">Common_InputFunctions.Utility_DisplayArrayInTable(Common_SourceData.Common_SourceData_MCFTemperatureZone_Data(),Table_SourceData_Common_MCFTemperatureZone[[#Headers],[Temperature zone]],0)</f>
        <v>15</v>
      </c>
      <c r="F237" s="34" cm="1">
        <f t="array" ref="F237">Common_InputFunctions.Utility_DisplayArrayInTable(Common_SourceData.Common_SourceData_MCFTemperatureZone_Data(),Table_SourceData_Common_MCFTemperatureZone[[#Headers],[Temperature zone]],0)</f>
        <v>0.74</v>
      </c>
      <c r="G237" s="34" cm="1">
        <f t="array" ref="G237">Common_InputFunctions.Utility_DisplayArrayInTable(Common_SourceData.Common_SourceData_MCFTemperatureZone_Data(),Table_SourceData_Common_MCFTemperatureZone[[#Headers],[Temperature zone]],0)</f>
        <v>0.1</v>
      </c>
      <c r="H237" s="34" cm="1">
        <f t="array" ref="H237">Common_InputFunctions.Utility_DisplayArrayInTable(Common_SourceData.Common_SourceData_MCFTemperatureZone_Data(),Table_SourceData_Common_MCFTemperatureZone[[#Headers],[Temperature zone]],0)</f>
        <v>0.17</v>
      </c>
      <c r="I237" s="34" cm="1">
        <f t="array" ref="I237">Common_InputFunctions.Utility_DisplayArrayInTable(Common_SourceData.Common_SourceData_MCFTemperatureZone_Data(),Table_SourceData_Common_MCFTemperatureZone[[#Headers],[Temperature zone]],0)</f>
        <v>5.0000000000000001E-3</v>
      </c>
      <c r="J237" s="34" cm="1">
        <f t="array" ref="J237">Common_InputFunctions.Utility_DisplayArrayInTable(Common_SourceData.Common_SourceData_MCFTemperatureZone_Data(),Table_SourceData_Common_MCFTemperatureZone[[#Headers],[Temperature zone]],0)</f>
        <v>0.01</v>
      </c>
      <c r="K237" s="34" cm="1">
        <f t="array" ref="K237">Common_InputFunctions.Utility_DisplayArrayInTable(Common_SourceData.Common_SourceData_MCFTemperatureZone_Data(),Table_SourceData_Common_MCFTemperatureZone[[#Headers],[Temperature zone]],0)</f>
        <v>0.02</v>
      </c>
      <c r="L237" s="34" cm="1">
        <f t="array" ref="L237">Common_InputFunctions.Utility_DisplayArrayInTable(Common_SourceData.Common_SourceData_MCFTemperatureZone_Data(),Table_SourceData_Common_MCFTemperatureZone[[#Headers],[Temperature zone]],0)</f>
        <v>0.03</v>
      </c>
      <c r="M237" s="34" cm="1">
        <f t="array" ref="M237">Common_InputFunctions.Utility_DisplayArrayInTable(Common_SourceData.Common_SourceData_MCFTemperatureZone_Data(),Table_SourceData_Common_MCFTemperatureZone[[#Headers],[Temperature zone]],0)</f>
        <v>0.04</v>
      </c>
      <c r="N237" s="34" cm="1">
        <f t="array" ref="N237">Common_InputFunctions.Utility_DisplayArrayInTable(Common_SourceData.Common_SourceData_MCFTemperatureZone_Data(),Table_SourceData_Common_MCFTemperatureZone[[#Headers],[Temperature zone]],0)</f>
        <v>1.4999999999999999E-2</v>
      </c>
      <c r="O237" s="34" cm="1">
        <f t="array" ref="O237">Common_InputFunctions.Utility_DisplayArrayInTable(Common_SourceData.Common_SourceData_MCFTemperatureZone_Data(),Table_SourceData_Common_MCFTemperatureZone[[#Headers],[Temperature zone]],0)</f>
        <v>1.4999999999999999E-2</v>
      </c>
      <c r="P237" s="34" cm="1">
        <f t="array" ref="P237">Common_InputFunctions.Utility_DisplayArrayInTable(Common_SourceData.Common_SourceData_MCFTemperatureZone_Data(),Table_SourceData_Common_MCFTemperatureZone[[#Headers],[Temperature zone]],0)</f>
        <v>0</v>
      </c>
      <c r="Q237" s="34" cm="1">
        <f t="array" ref="Q237">Common_InputFunctions.Utility_DisplayArrayInTable(Common_SourceData.Common_SourceData_MCFTemperatureZone_Data(),Table_SourceData_Common_MCFTemperatureZone[[#Headers],[Temperature zone]],0)</f>
        <v>0</v>
      </c>
      <c r="R237" s="34" cm="1">
        <f t="array" ref="R237">Common_InputFunctions.Utility_DisplayArrayInTable(Common_SourceData.Common_SourceData_MCFTemperatureZone_Data(),Table_SourceData_Common_MCFTemperatureZone[[#Headers],[Temperature zone]],0)</f>
        <v>4.7000000000000002E-3</v>
      </c>
      <c r="S237" s="34"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34" cm="1">
        <f t="array" ref="E238">Common_InputFunctions.Utility_DisplayArrayInTable(Common_SourceData.Common_SourceData_MCFTemperatureZone_Data(),Table_SourceData_Common_MCFTemperatureZone[[#Headers],[Temperature zone]],0)</f>
        <v>16</v>
      </c>
      <c r="F238" s="34" cm="1">
        <f t="array" ref="F238">Common_InputFunctions.Utility_DisplayArrayInTable(Common_SourceData.Common_SourceData_MCFTemperatureZone_Data(),Table_SourceData_Common_MCFTemperatureZone[[#Headers],[Temperature zone]],0)</f>
        <v>0.75</v>
      </c>
      <c r="G238" s="34" cm="1">
        <f t="array" ref="G238">Common_InputFunctions.Utility_DisplayArrayInTable(Common_SourceData.Common_SourceData_MCFTemperatureZone_Data(),Table_SourceData_Common_MCFTemperatureZone[[#Headers],[Temperature zone]],0)</f>
        <v>0.1</v>
      </c>
      <c r="H238" s="34" cm="1">
        <f t="array" ref="H238">Common_InputFunctions.Utility_DisplayArrayInTable(Common_SourceData.Common_SourceData_MCFTemperatureZone_Data(),Table_SourceData_Common_MCFTemperatureZone[[#Headers],[Temperature zone]],0)</f>
        <v>0.18</v>
      </c>
      <c r="I238" s="34" cm="1">
        <f t="array" ref="I238">Common_InputFunctions.Utility_DisplayArrayInTable(Common_SourceData.Common_SourceData_MCFTemperatureZone_Data(),Table_SourceData_Common_MCFTemperatureZone[[#Headers],[Temperature zone]],0)</f>
        <v>5.0000000000000001E-3</v>
      </c>
      <c r="J238" s="34" cm="1">
        <f t="array" ref="J238">Common_InputFunctions.Utility_DisplayArrayInTable(Common_SourceData.Common_SourceData_MCFTemperatureZone_Data(),Table_SourceData_Common_MCFTemperatureZone[[#Headers],[Temperature zone]],0)</f>
        <v>0.01</v>
      </c>
      <c r="K238" s="34" cm="1">
        <f t="array" ref="K238">Common_InputFunctions.Utility_DisplayArrayInTable(Common_SourceData.Common_SourceData_MCFTemperatureZone_Data(),Table_SourceData_Common_MCFTemperatureZone[[#Headers],[Temperature zone]],0)</f>
        <v>0.02</v>
      </c>
      <c r="L238" s="34" cm="1">
        <f t="array" ref="L238">Common_InputFunctions.Utility_DisplayArrayInTable(Common_SourceData.Common_SourceData_MCFTemperatureZone_Data(),Table_SourceData_Common_MCFTemperatureZone[[#Headers],[Temperature zone]],0)</f>
        <v>0.03</v>
      </c>
      <c r="M238" s="34" cm="1">
        <f t="array" ref="M238">Common_InputFunctions.Utility_DisplayArrayInTable(Common_SourceData.Common_SourceData_MCFTemperatureZone_Data(),Table_SourceData_Common_MCFTemperatureZone[[#Headers],[Temperature zone]],0)</f>
        <v>0.04</v>
      </c>
      <c r="N238" s="34" cm="1">
        <f t="array" ref="N238">Common_InputFunctions.Utility_DisplayArrayInTable(Common_SourceData.Common_SourceData_MCFTemperatureZone_Data(),Table_SourceData_Common_MCFTemperatureZone[[#Headers],[Temperature zone]],0)</f>
        <v>1.4999999999999999E-2</v>
      </c>
      <c r="O238" s="34" cm="1">
        <f t="array" ref="O238">Common_InputFunctions.Utility_DisplayArrayInTable(Common_SourceData.Common_SourceData_MCFTemperatureZone_Data(),Table_SourceData_Common_MCFTemperatureZone[[#Headers],[Temperature zone]],0)</f>
        <v>1.4999999999999999E-2</v>
      </c>
      <c r="P238" s="34" cm="1">
        <f t="array" ref="P238">Common_InputFunctions.Utility_DisplayArrayInTable(Common_SourceData.Common_SourceData_MCFTemperatureZone_Data(),Table_SourceData_Common_MCFTemperatureZone[[#Headers],[Temperature zone]],0)</f>
        <v>0</v>
      </c>
      <c r="Q238" s="34" cm="1">
        <f t="array" ref="Q238">Common_InputFunctions.Utility_DisplayArrayInTable(Common_SourceData.Common_SourceData_MCFTemperatureZone_Data(),Table_SourceData_Common_MCFTemperatureZone[[#Headers],[Temperature zone]],0)</f>
        <v>0</v>
      </c>
      <c r="R238" s="34" cm="1">
        <f t="array" ref="R238">Common_InputFunctions.Utility_DisplayArrayInTable(Common_SourceData.Common_SourceData_MCFTemperatureZone_Data(),Table_SourceData_Common_MCFTemperatureZone[[#Headers],[Temperature zone]],0)</f>
        <v>4.7000000000000002E-3</v>
      </c>
      <c r="S238" s="34"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34" cm="1">
        <f t="array" ref="E239">Common_InputFunctions.Utility_DisplayArrayInTable(Common_SourceData.Common_SourceData_MCFTemperatureZone_Data(),Table_SourceData_Common_MCFTemperatureZone[[#Headers],[Temperature zone]],0)</f>
        <v>17</v>
      </c>
      <c r="F239" s="34" cm="1">
        <f t="array" ref="F239">Common_InputFunctions.Utility_DisplayArrayInTable(Common_SourceData.Common_SourceData_MCFTemperatureZone_Data(),Table_SourceData_Common_MCFTemperatureZone[[#Headers],[Temperature zone]],0)</f>
        <v>0.76</v>
      </c>
      <c r="G239" s="34" cm="1">
        <f t="array" ref="G239">Common_InputFunctions.Utility_DisplayArrayInTable(Common_SourceData.Common_SourceData_MCFTemperatureZone_Data(),Table_SourceData_Common_MCFTemperatureZone[[#Headers],[Temperature zone]],0)</f>
        <v>0.1</v>
      </c>
      <c r="H239" s="34" cm="1">
        <f t="array" ref="H239">Common_InputFunctions.Utility_DisplayArrayInTable(Common_SourceData.Common_SourceData_MCFTemperatureZone_Data(),Table_SourceData_Common_MCFTemperatureZone[[#Headers],[Temperature zone]],0)</f>
        <v>0.2</v>
      </c>
      <c r="I239" s="34" cm="1">
        <f t="array" ref="I239">Common_InputFunctions.Utility_DisplayArrayInTable(Common_SourceData.Common_SourceData_MCFTemperatureZone_Data(),Table_SourceData_Common_MCFTemperatureZone[[#Headers],[Temperature zone]],0)</f>
        <v>5.0000000000000001E-3</v>
      </c>
      <c r="J239" s="34" cm="1">
        <f t="array" ref="J239">Common_InputFunctions.Utility_DisplayArrayInTable(Common_SourceData.Common_SourceData_MCFTemperatureZone_Data(),Table_SourceData_Common_MCFTemperatureZone[[#Headers],[Temperature zone]],0)</f>
        <v>0.01</v>
      </c>
      <c r="K239" s="34" cm="1">
        <f t="array" ref="K239">Common_InputFunctions.Utility_DisplayArrayInTable(Common_SourceData.Common_SourceData_MCFTemperatureZone_Data(),Table_SourceData_Common_MCFTemperatureZone[[#Headers],[Temperature zone]],0)</f>
        <v>0.02</v>
      </c>
      <c r="L239" s="34" cm="1">
        <f t="array" ref="L239">Common_InputFunctions.Utility_DisplayArrayInTable(Common_SourceData.Common_SourceData_MCFTemperatureZone_Data(),Table_SourceData_Common_MCFTemperatureZone[[#Headers],[Temperature zone]],0)</f>
        <v>0.03</v>
      </c>
      <c r="M239" s="34" cm="1">
        <f t="array" ref="M239">Common_InputFunctions.Utility_DisplayArrayInTable(Common_SourceData.Common_SourceData_MCFTemperatureZone_Data(),Table_SourceData_Common_MCFTemperatureZone[[#Headers],[Temperature zone]],0)</f>
        <v>0.04</v>
      </c>
      <c r="N239" s="34" cm="1">
        <f t="array" ref="N239">Common_InputFunctions.Utility_DisplayArrayInTable(Common_SourceData.Common_SourceData_MCFTemperatureZone_Data(),Table_SourceData_Common_MCFTemperatureZone[[#Headers],[Temperature zone]],0)</f>
        <v>1.4999999999999999E-2</v>
      </c>
      <c r="O239" s="34" cm="1">
        <f t="array" ref="O239">Common_InputFunctions.Utility_DisplayArrayInTable(Common_SourceData.Common_SourceData_MCFTemperatureZone_Data(),Table_SourceData_Common_MCFTemperatureZone[[#Headers],[Temperature zone]],0)</f>
        <v>1.4999999999999999E-2</v>
      </c>
      <c r="P239" s="34" cm="1">
        <f t="array" ref="P239">Common_InputFunctions.Utility_DisplayArrayInTable(Common_SourceData.Common_SourceData_MCFTemperatureZone_Data(),Table_SourceData_Common_MCFTemperatureZone[[#Headers],[Temperature zone]],0)</f>
        <v>0</v>
      </c>
      <c r="Q239" s="34" cm="1">
        <f t="array" ref="Q239">Common_InputFunctions.Utility_DisplayArrayInTable(Common_SourceData.Common_SourceData_MCFTemperatureZone_Data(),Table_SourceData_Common_MCFTemperatureZone[[#Headers],[Temperature zone]],0)</f>
        <v>0</v>
      </c>
      <c r="R239" s="34" cm="1">
        <f t="array" ref="R239">Common_InputFunctions.Utility_DisplayArrayInTable(Common_SourceData.Common_SourceData_MCFTemperatureZone_Data(),Table_SourceData_Common_MCFTemperatureZone[[#Headers],[Temperature zone]],0)</f>
        <v>4.7000000000000002E-3</v>
      </c>
      <c r="S239" s="34"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34" cm="1">
        <f t="array" ref="E240">Common_InputFunctions.Utility_DisplayArrayInTable(Common_SourceData.Common_SourceData_MCFTemperatureZone_Data(),Table_SourceData_Common_MCFTemperatureZone[[#Headers],[Temperature zone]],0)</f>
        <v>18</v>
      </c>
      <c r="F240" s="34" cm="1">
        <f t="array" ref="F240">Common_InputFunctions.Utility_DisplayArrayInTable(Common_SourceData.Common_SourceData_MCFTemperatureZone_Data(),Table_SourceData_Common_MCFTemperatureZone[[#Headers],[Temperature zone]],0)</f>
        <v>0.77</v>
      </c>
      <c r="G240" s="34" cm="1">
        <f t="array" ref="G240">Common_InputFunctions.Utility_DisplayArrayInTable(Common_SourceData.Common_SourceData_MCFTemperatureZone_Data(),Table_SourceData_Common_MCFTemperatureZone[[#Headers],[Temperature zone]],0)</f>
        <v>0.1</v>
      </c>
      <c r="H240" s="34" cm="1">
        <f t="array" ref="H240">Common_InputFunctions.Utility_DisplayArrayInTable(Common_SourceData.Common_SourceData_MCFTemperatureZone_Data(),Table_SourceData_Common_MCFTemperatureZone[[#Headers],[Temperature zone]],0)</f>
        <v>0.22</v>
      </c>
      <c r="I240" s="34" cm="1">
        <f t="array" ref="I240">Common_InputFunctions.Utility_DisplayArrayInTable(Common_SourceData.Common_SourceData_MCFTemperatureZone_Data(),Table_SourceData_Common_MCFTemperatureZone[[#Headers],[Temperature zone]],0)</f>
        <v>5.0000000000000001E-3</v>
      </c>
      <c r="J240" s="34" cm="1">
        <f t="array" ref="J240">Common_InputFunctions.Utility_DisplayArrayInTable(Common_SourceData.Common_SourceData_MCFTemperatureZone_Data(),Table_SourceData_Common_MCFTemperatureZone[[#Headers],[Temperature zone]],0)</f>
        <v>0.01</v>
      </c>
      <c r="K240" s="34" cm="1">
        <f t="array" ref="K240">Common_InputFunctions.Utility_DisplayArrayInTable(Common_SourceData.Common_SourceData_MCFTemperatureZone_Data(),Table_SourceData_Common_MCFTemperatureZone[[#Headers],[Temperature zone]],0)</f>
        <v>0.02</v>
      </c>
      <c r="L240" s="34" cm="1">
        <f t="array" ref="L240">Common_InputFunctions.Utility_DisplayArrayInTable(Common_SourceData.Common_SourceData_MCFTemperatureZone_Data(),Table_SourceData_Common_MCFTemperatureZone[[#Headers],[Temperature zone]],0)</f>
        <v>0.03</v>
      </c>
      <c r="M240" s="34" cm="1">
        <f t="array" ref="M240">Common_InputFunctions.Utility_DisplayArrayInTable(Common_SourceData.Common_SourceData_MCFTemperatureZone_Data(),Table_SourceData_Common_MCFTemperatureZone[[#Headers],[Temperature zone]],0)</f>
        <v>0.04</v>
      </c>
      <c r="N240" s="34" cm="1">
        <f t="array" ref="N240">Common_InputFunctions.Utility_DisplayArrayInTable(Common_SourceData.Common_SourceData_MCFTemperatureZone_Data(),Table_SourceData_Common_MCFTemperatureZone[[#Headers],[Temperature zone]],0)</f>
        <v>1.4999999999999999E-2</v>
      </c>
      <c r="O240" s="34" cm="1">
        <f t="array" ref="O240">Common_InputFunctions.Utility_DisplayArrayInTable(Common_SourceData.Common_SourceData_MCFTemperatureZone_Data(),Table_SourceData_Common_MCFTemperatureZone[[#Headers],[Temperature zone]],0)</f>
        <v>1.4999999999999999E-2</v>
      </c>
      <c r="P240" s="34" cm="1">
        <f t="array" ref="P240">Common_InputFunctions.Utility_DisplayArrayInTable(Common_SourceData.Common_SourceData_MCFTemperatureZone_Data(),Table_SourceData_Common_MCFTemperatureZone[[#Headers],[Temperature zone]],0)</f>
        <v>0</v>
      </c>
      <c r="Q240" s="34" cm="1">
        <f t="array" ref="Q240">Common_InputFunctions.Utility_DisplayArrayInTable(Common_SourceData.Common_SourceData_MCFTemperatureZone_Data(),Table_SourceData_Common_MCFTemperatureZone[[#Headers],[Temperature zone]],0)</f>
        <v>0</v>
      </c>
      <c r="R240" s="34" cm="1">
        <f t="array" ref="R240">Common_InputFunctions.Utility_DisplayArrayInTable(Common_SourceData.Common_SourceData_MCFTemperatureZone_Data(),Table_SourceData_Common_MCFTemperatureZone[[#Headers],[Temperature zone]],0)</f>
        <v>4.7000000000000002E-3</v>
      </c>
      <c r="S240" s="34"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34" cm="1">
        <f t="array" ref="E241">Common_InputFunctions.Utility_DisplayArrayInTable(Common_SourceData.Common_SourceData_MCFTemperatureZone_Data(),Table_SourceData_Common_MCFTemperatureZone[[#Headers],[Temperature zone]],0)</f>
        <v>19</v>
      </c>
      <c r="F241" s="34" cm="1">
        <f t="array" ref="F241">Common_InputFunctions.Utility_DisplayArrayInTable(Common_SourceData.Common_SourceData_MCFTemperatureZone_Data(),Table_SourceData_Common_MCFTemperatureZone[[#Headers],[Temperature zone]],0)</f>
        <v>0.77</v>
      </c>
      <c r="G241" s="34" cm="1">
        <f t="array" ref="G241">Common_InputFunctions.Utility_DisplayArrayInTable(Common_SourceData.Common_SourceData_MCFTemperatureZone_Data(),Table_SourceData_Common_MCFTemperatureZone[[#Headers],[Temperature zone]],0)</f>
        <v>0.1</v>
      </c>
      <c r="H241" s="34" cm="1">
        <f t="array" ref="H241">Common_InputFunctions.Utility_DisplayArrayInTable(Common_SourceData.Common_SourceData_MCFTemperatureZone_Data(),Table_SourceData_Common_MCFTemperatureZone[[#Headers],[Temperature zone]],0)</f>
        <v>0.24</v>
      </c>
      <c r="I241" s="34" cm="1">
        <f t="array" ref="I241">Common_InputFunctions.Utility_DisplayArrayInTable(Common_SourceData.Common_SourceData_MCFTemperatureZone_Data(),Table_SourceData_Common_MCFTemperatureZone[[#Headers],[Temperature zone]],0)</f>
        <v>5.0000000000000001E-3</v>
      </c>
      <c r="J241" s="34" cm="1">
        <f t="array" ref="J241">Common_InputFunctions.Utility_DisplayArrayInTable(Common_SourceData.Common_SourceData_MCFTemperatureZone_Data(),Table_SourceData_Common_MCFTemperatureZone[[#Headers],[Temperature zone]],0)</f>
        <v>0.01</v>
      </c>
      <c r="K241" s="34" cm="1">
        <f t="array" ref="K241">Common_InputFunctions.Utility_DisplayArrayInTable(Common_SourceData.Common_SourceData_MCFTemperatureZone_Data(),Table_SourceData_Common_MCFTemperatureZone[[#Headers],[Temperature zone]],0)</f>
        <v>0.02</v>
      </c>
      <c r="L241" s="34" cm="1">
        <f t="array" ref="L241">Common_InputFunctions.Utility_DisplayArrayInTable(Common_SourceData.Common_SourceData_MCFTemperatureZone_Data(),Table_SourceData_Common_MCFTemperatureZone[[#Headers],[Temperature zone]],0)</f>
        <v>0.03</v>
      </c>
      <c r="M241" s="34" cm="1">
        <f t="array" ref="M241">Common_InputFunctions.Utility_DisplayArrayInTable(Common_SourceData.Common_SourceData_MCFTemperatureZone_Data(),Table_SourceData_Common_MCFTemperatureZone[[#Headers],[Temperature zone]],0)</f>
        <v>0.04</v>
      </c>
      <c r="N241" s="34" cm="1">
        <f t="array" ref="N241">Common_InputFunctions.Utility_DisplayArrayInTable(Common_SourceData.Common_SourceData_MCFTemperatureZone_Data(),Table_SourceData_Common_MCFTemperatureZone[[#Headers],[Temperature zone]],0)</f>
        <v>1.4999999999999999E-2</v>
      </c>
      <c r="O241" s="34" cm="1">
        <f t="array" ref="O241">Common_InputFunctions.Utility_DisplayArrayInTable(Common_SourceData.Common_SourceData_MCFTemperatureZone_Data(),Table_SourceData_Common_MCFTemperatureZone[[#Headers],[Temperature zone]],0)</f>
        <v>1.4999999999999999E-2</v>
      </c>
      <c r="P241" s="34" cm="1">
        <f t="array" ref="P241">Common_InputFunctions.Utility_DisplayArrayInTable(Common_SourceData.Common_SourceData_MCFTemperatureZone_Data(),Table_SourceData_Common_MCFTemperatureZone[[#Headers],[Temperature zone]],0)</f>
        <v>0</v>
      </c>
      <c r="Q241" s="34" cm="1">
        <f t="array" ref="Q241">Common_InputFunctions.Utility_DisplayArrayInTable(Common_SourceData.Common_SourceData_MCFTemperatureZone_Data(),Table_SourceData_Common_MCFTemperatureZone[[#Headers],[Temperature zone]],0)</f>
        <v>0</v>
      </c>
      <c r="R241" s="34" cm="1">
        <f t="array" ref="R241">Common_InputFunctions.Utility_DisplayArrayInTable(Common_SourceData.Common_SourceData_MCFTemperatureZone_Data(),Table_SourceData_Common_MCFTemperatureZone[[#Headers],[Temperature zone]],0)</f>
        <v>4.7000000000000002E-3</v>
      </c>
      <c r="S241" s="34"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34" cm="1">
        <f t="array" ref="E242">Common_InputFunctions.Utility_DisplayArrayInTable(Common_SourceData.Common_SourceData_MCFTemperatureZone_Data(),Table_SourceData_Common_MCFTemperatureZone[[#Headers],[Temperature zone]],0)</f>
        <v>20</v>
      </c>
      <c r="F242" s="34" cm="1">
        <f t="array" ref="F242">Common_InputFunctions.Utility_DisplayArrayInTable(Common_SourceData.Common_SourceData_MCFTemperatureZone_Data(),Table_SourceData_Common_MCFTemperatureZone[[#Headers],[Temperature zone]],0)</f>
        <v>0.78</v>
      </c>
      <c r="G242" s="34" cm="1">
        <f t="array" ref="G242">Common_InputFunctions.Utility_DisplayArrayInTable(Common_SourceData.Common_SourceData_MCFTemperatureZone_Data(),Table_SourceData_Common_MCFTemperatureZone[[#Headers],[Temperature zone]],0)</f>
        <v>0.1</v>
      </c>
      <c r="H242" s="34" cm="1">
        <f t="array" ref="H242">Common_InputFunctions.Utility_DisplayArrayInTable(Common_SourceData.Common_SourceData_MCFTemperatureZone_Data(),Table_SourceData_Common_MCFTemperatureZone[[#Headers],[Temperature zone]],0)</f>
        <v>0.26</v>
      </c>
      <c r="I242" s="34" cm="1">
        <f t="array" ref="I242">Common_InputFunctions.Utility_DisplayArrayInTable(Common_SourceData.Common_SourceData_MCFTemperatureZone_Data(),Table_SourceData_Common_MCFTemperatureZone[[#Headers],[Temperature zone]],0)</f>
        <v>5.0000000000000001E-3</v>
      </c>
      <c r="J242" s="34" cm="1">
        <f t="array" ref="J242">Common_InputFunctions.Utility_DisplayArrayInTable(Common_SourceData.Common_SourceData_MCFTemperatureZone_Data(),Table_SourceData_Common_MCFTemperatureZone[[#Headers],[Temperature zone]],0)</f>
        <v>0.01</v>
      </c>
      <c r="K242" s="34" cm="1">
        <f t="array" ref="K242">Common_InputFunctions.Utility_DisplayArrayInTable(Common_SourceData.Common_SourceData_MCFTemperatureZone_Data(),Table_SourceData_Common_MCFTemperatureZone[[#Headers],[Temperature zone]],0)</f>
        <v>0.02</v>
      </c>
      <c r="L242" s="34" cm="1">
        <f t="array" ref="L242">Common_InputFunctions.Utility_DisplayArrayInTable(Common_SourceData.Common_SourceData_MCFTemperatureZone_Data(),Table_SourceData_Common_MCFTemperatureZone[[#Headers],[Temperature zone]],0)</f>
        <v>0.03</v>
      </c>
      <c r="M242" s="34" cm="1">
        <f t="array" ref="M242">Common_InputFunctions.Utility_DisplayArrayInTable(Common_SourceData.Common_SourceData_MCFTemperatureZone_Data(),Table_SourceData_Common_MCFTemperatureZone[[#Headers],[Temperature zone]],0)</f>
        <v>0.04</v>
      </c>
      <c r="N242" s="34" cm="1">
        <f t="array" ref="N242">Common_InputFunctions.Utility_DisplayArrayInTable(Common_SourceData.Common_SourceData_MCFTemperatureZone_Data(),Table_SourceData_Common_MCFTemperatureZone[[#Headers],[Temperature zone]],0)</f>
        <v>1.4999999999999999E-2</v>
      </c>
      <c r="O242" s="34" cm="1">
        <f t="array" ref="O242">Common_InputFunctions.Utility_DisplayArrayInTable(Common_SourceData.Common_SourceData_MCFTemperatureZone_Data(),Table_SourceData_Common_MCFTemperatureZone[[#Headers],[Temperature zone]],0)</f>
        <v>1.4999999999999999E-2</v>
      </c>
      <c r="P242" s="34" cm="1">
        <f t="array" ref="P242">Common_InputFunctions.Utility_DisplayArrayInTable(Common_SourceData.Common_SourceData_MCFTemperatureZone_Data(),Table_SourceData_Common_MCFTemperatureZone[[#Headers],[Temperature zone]],0)</f>
        <v>0</v>
      </c>
      <c r="Q242" s="34" cm="1">
        <f t="array" ref="Q242">Common_InputFunctions.Utility_DisplayArrayInTable(Common_SourceData.Common_SourceData_MCFTemperatureZone_Data(),Table_SourceData_Common_MCFTemperatureZone[[#Headers],[Temperature zone]],0)</f>
        <v>0</v>
      </c>
      <c r="R242" s="34" cm="1">
        <f t="array" ref="R242">Common_InputFunctions.Utility_DisplayArrayInTable(Common_SourceData.Common_SourceData_MCFTemperatureZone_Data(),Table_SourceData_Common_MCFTemperatureZone[[#Headers],[Temperature zone]],0)</f>
        <v>4.7000000000000002E-3</v>
      </c>
      <c r="S242" s="34"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34" cm="1">
        <f t="array" ref="E243">Common_InputFunctions.Utility_DisplayArrayInTable(Common_SourceData.Common_SourceData_MCFTemperatureZone_Data(),Table_SourceData_Common_MCFTemperatureZone[[#Headers],[Temperature zone]],0)</f>
        <v>21</v>
      </c>
      <c r="F243" s="34" cm="1">
        <f t="array" ref="F243">Common_InputFunctions.Utility_DisplayArrayInTable(Common_SourceData.Common_SourceData_MCFTemperatureZone_Data(),Table_SourceData_Common_MCFTemperatureZone[[#Headers],[Temperature zone]],0)</f>
        <v>0.78</v>
      </c>
      <c r="G243" s="34" cm="1">
        <f t="array" ref="G243">Common_InputFunctions.Utility_DisplayArrayInTable(Common_SourceData.Common_SourceData_MCFTemperatureZone_Data(),Table_SourceData_Common_MCFTemperatureZone[[#Headers],[Temperature zone]],0)</f>
        <v>0.1</v>
      </c>
      <c r="H243" s="34" cm="1">
        <f t="array" ref="H243">Common_InputFunctions.Utility_DisplayArrayInTable(Common_SourceData.Common_SourceData_MCFTemperatureZone_Data(),Table_SourceData_Common_MCFTemperatureZone[[#Headers],[Temperature zone]],0)</f>
        <v>0.28999999999999998</v>
      </c>
      <c r="I243" s="34" cm="1">
        <f t="array" ref="I243">Common_InputFunctions.Utility_DisplayArrayInTable(Common_SourceData.Common_SourceData_MCFTemperatureZone_Data(),Table_SourceData_Common_MCFTemperatureZone[[#Headers],[Temperature zone]],0)</f>
        <v>5.0000000000000001E-3</v>
      </c>
      <c r="J243" s="34" cm="1">
        <f t="array" ref="J243">Common_InputFunctions.Utility_DisplayArrayInTable(Common_SourceData.Common_SourceData_MCFTemperatureZone_Data(),Table_SourceData_Common_MCFTemperatureZone[[#Headers],[Temperature zone]],0)</f>
        <v>0.01</v>
      </c>
      <c r="K243" s="34" cm="1">
        <f t="array" ref="K243">Common_InputFunctions.Utility_DisplayArrayInTable(Common_SourceData.Common_SourceData_MCFTemperatureZone_Data(),Table_SourceData_Common_MCFTemperatureZone[[#Headers],[Temperature zone]],0)</f>
        <v>0.02</v>
      </c>
      <c r="L243" s="34" cm="1">
        <f t="array" ref="L243">Common_InputFunctions.Utility_DisplayArrayInTable(Common_SourceData.Common_SourceData_MCFTemperatureZone_Data(),Table_SourceData_Common_MCFTemperatureZone[[#Headers],[Temperature zone]],0)</f>
        <v>0.03</v>
      </c>
      <c r="M243" s="34" cm="1">
        <f t="array" ref="M243">Common_InputFunctions.Utility_DisplayArrayInTable(Common_SourceData.Common_SourceData_MCFTemperatureZone_Data(),Table_SourceData_Common_MCFTemperatureZone[[#Headers],[Temperature zone]],0)</f>
        <v>0.04</v>
      </c>
      <c r="N243" s="34" cm="1">
        <f t="array" ref="N243">Common_InputFunctions.Utility_DisplayArrayInTable(Common_SourceData.Common_SourceData_MCFTemperatureZone_Data(),Table_SourceData_Common_MCFTemperatureZone[[#Headers],[Temperature zone]],0)</f>
        <v>1.4999999999999999E-2</v>
      </c>
      <c r="O243" s="34" cm="1">
        <f t="array" ref="O243">Common_InputFunctions.Utility_DisplayArrayInTable(Common_SourceData.Common_SourceData_MCFTemperatureZone_Data(),Table_SourceData_Common_MCFTemperatureZone[[#Headers],[Temperature zone]],0)</f>
        <v>1.4999999999999999E-2</v>
      </c>
      <c r="P243" s="34" cm="1">
        <f t="array" ref="P243">Common_InputFunctions.Utility_DisplayArrayInTable(Common_SourceData.Common_SourceData_MCFTemperatureZone_Data(),Table_SourceData_Common_MCFTemperatureZone[[#Headers],[Temperature zone]],0)</f>
        <v>0</v>
      </c>
      <c r="Q243" s="34" cm="1">
        <f t="array" ref="Q243">Common_InputFunctions.Utility_DisplayArrayInTable(Common_SourceData.Common_SourceData_MCFTemperatureZone_Data(),Table_SourceData_Common_MCFTemperatureZone[[#Headers],[Temperature zone]],0)</f>
        <v>0</v>
      </c>
      <c r="R243" s="34" cm="1">
        <f t="array" ref="R243">Common_InputFunctions.Utility_DisplayArrayInTable(Common_SourceData.Common_SourceData_MCFTemperatureZone_Data(),Table_SourceData_Common_MCFTemperatureZone[[#Headers],[Temperature zone]],0)</f>
        <v>4.7000000000000002E-3</v>
      </c>
      <c r="S243" s="34"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34" cm="1">
        <f t="array" ref="E244">Common_InputFunctions.Utility_DisplayArrayInTable(Common_SourceData.Common_SourceData_MCFTemperatureZone_Data(),Table_SourceData_Common_MCFTemperatureZone[[#Headers],[Temperature zone]],0)</f>
        <v>22</v>
      </c>
      <c r="F244" s="34" cm="1">
        <f t="array" ref="F244">Common_InputFunctions.Utility_DisplayArrayInTable(Common_SourceData.Common_SourceData_MCFTemperatureZone_Data(),Table_SourceData_Common_MCFTemperatureZone[[#Headers],[Temperature zone]],0)</f>
        <v>0.78</v>
      </c>
      <c r="G244" s="34" cm="1">
        <f t="array" ref="G244">Common_InputFunctions.Utility_DisplayArrayInTable(Common_SourceData.Common_SourceData_MCFTemperatureZone_Data(),Table_SourceData_Common_MCFTemperatureZone[[#Headers],[Temperature zone]],0)</f>
        <v>0.1</v>
      </c>
      <c r="H244" s="34" cm="1">
        <f t="array" ref="H244">Common_InputFunctions.Utility_DisplayArrayInTable(Common_SourceData.Common_SourceData_MCFTemperatureZone_Data(),Table_SourceData_Common_MCFTemperatureZone[[#Headers],[Temperature zone]],0)</f>
        <v>0.31</v>
      </c>
      <c r="I244" s="34" cm="1">
        <f t="array" ref="I244">Common_InputFunctions.Utility_DisplayArrayInTable(Common_SourceData.Common_SourceData_MCFTemperatureZone_Data(),Table_SourceData_Common_MCFTemperatureZone[[#Headers],[Temperature zone]],0)</f>
        <v>5.0000000000000001E-3</v>
      </c>
      <c r="J244" s="34" cm="1">
        <f t="array" ref="J244">Common_InputFunctions.Utility_DisplayArrayInTable(Common_SourceData.Common_SourceData_MCFTemperatureZone_Data(),Table_SourceData_Common_MCFTemperatureZone[[#Headers],[Temperature zone]],0)</f>
        <v>0.01</v>
      </c>
      <c r="K244" s="34" cm="1">
        <f t="array" ref="K244">Common_InputFunctions.Utility_DisplayArrayInTable(Common_SourceData.Common_SourceData_MCFTemperatureZone_Data(),Table_SourceData_Common_MCFTemperatureZone[[#Headers],[Temperature zone]],0)</f>
        <v>0.02</v>
      </c>
      <c r="L244" s="34" cm="1">
        <f t="array" ref="L244">Common_InputFunctions.Utility_DisplayArrayInTable(Common_SourceData.Common_SourceData_MCFTemperatureZone_Data(),Table_SourceData_Common_MCFTemperatureZone[[#Headers],[Temperature zone]],0)</f>
        <v>0.03</v>
      </c>
      <c r="M244" s="34" cm="1">
        <f t="array" ref="M244">Common_InputFunctions.Utility_DisplayArrayInTable(Common_SourceData.Common_SourceData_MCFTemperatureZone_Data(),Table_SourceData_Common_MCFTemperatureZone[[#Headers],[Temperature zone]],0)</f>
        <v>0.04</v>
      </c>
      <c r="N244" s="34" cm="1">
        <f t="array" ref="N244">Common_InputFunctions.Utility_DisplayArrayInTable(Common_SourceData.Common_SourceData_MCFTemperatureZone_Data(),Table_SourceData_Common_MCFTemperatureZone[[#Headers],[Temperature zone]],0)</f>
        <v>1.4999999999999999E-2</v>
      </c>
      <c r="O244" s="34" cm="1">
        <f t="array" ref="O244">Common_InputFunctions.Utility_DisplayArrayInTable(Common_SourceData.Common_SourceData_MCFTemperatureZone_Data(),Table_SourceData_Common_MCFTemperatureZone[[#Headers],[Temperature zone]],0)</f>
        <v>1.4999999999999999E-2</v>
      </c>
      <c r="P244" s="34" cm="1">
        <f t="array" ref="P244">Common_InputFunctions.Utility_DisplayArrayInTable(Common_SourceData.Common_SourceData_MCFTemperatureZone_Data(),Table_SourceData_Common_MCFTemperatureZone[[#Headers],[Temperature zone]],0)</f>
        <v>0</v>
      </c>
      <c r="Q244" s="34" cm="1">
        <f t="array" ref="Q244">Common_InputFunctions.Utility_DisplayArrayInTable(Common_SourceData.Common_SourceData_MCFTemperatureZone_Data(),Table_SourceData_Common_MCFTemperatureZone[[#Headers],[Temperature zone]],0)</f>
        <v>0</v>
      </c>
      <c r="R244" s="34" cm="1">
        <f t="array" ref="R244">Common_InputFunctions.Utility_DisplayArrayInTable(Common_SourceData.Common_SourceData_MCFTemperatureZone_Data(),Table_SourceData_Common_MCFTemperatureZone[[#Headers],[Temperature zone]],0)</f>
        <v>4.7000000000000002E-3</v>
      </c>
      <c r="S244" s="34"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34" cm="1">
        <f t="array" ref="E245">Common_InputFunctions.Utility_DisplayArrayInTable(Common_SourceData.Common_SourceData_MCFTemperatureZone_Data(),Table_SourceData_Common_MCFTemperatureZone[[#Headers],[Temperature zone]],0)</f>
        <v>23</v>
      </c>
      <c r="F245" s="34" cm="1">
        <f t="array" ref="F245">Common_InputFunctions.Utility_DisplayArrayInTable(Common_SourceData.Common_SourceData_MCFTemperatureZone_Data(),Table_SourceData_Common_MCFTemperatureZone[[#Headers],[Temperature zone]],0)</f>
        <v>0.79</v>
      </c>
      <c r="G245" s="34" cm="1">
        <f t="array" ref="G245">Common_InputFunctions.Utility_DisplayArrayInTable(Common_SourceData.Common_SourceData_MCFTemperatureZone_Data(),Table_SourceData_Common_MCFTemperatureZone[[#Headers],[Temperature zone]],0)</f>
        <v>0.1</v>
      </c>
      <c r="H245" s="34" cm="1">
        <f t="array" ref="H245">Common_InputFunctions.Utility_DisplayArrayInTable(Common_SourceData.Common_SourceData_MCFTemperatureZone_Data(),Table_SourceData_Common_MCFTemperatureZone[[#Headers],[Temperature zone]],0)</f>
        <v>0.34</v>
      </c>
      <c r="I245" s="34" cm="1">
        <f t="array" ref="I245">Common_InputFunctions.Utility_DisplayArrayInTable(Common_SourceData.Common_SourceData_MCFTemperatureZone_Data(),Table_SourceData_Common_MCFTemperatureZone[[#Headers],[Temperature zone]],0)</f>
        <v>5.0000000000000001E-3</v>
      </c>
      <c r="J245" s="34" cm="1">
        <f t="array" ref="J245">Common_InputFunctions.Utility_DisplayArrayInTable(Common_SourceData.Common_SourceData_MCFTemperatureZone_Data(),Table_SourceData_Common_MCFTemperatureZone[[#Headers],[Temperature zone]],0)</f>
        <v>0.01</v>
      </c>
      <c r="K245" s="34" cm="1">
        <f t="array" ref="K245">Common_InputFunctions.Utility_DisplayArrayInTable(Common_SourceData.Common_SourceData_MCFTemperatureZone_Data(),Table_SourceData_Common_MCFTemperatureZone[[#Headers],[Temperature zone]],0)</f>
        <v>0.02</v>
      </c>
      <c r="L245" s="34" cm="1">
        <f t="array" ref="L245">Common_InputFunctions.Utility_DisplayArrayInTable(Common_SourceData.Common_SourceData_MCFTemperatureZone_Data(),Table_SourceData_Common_MCFTemperatureZone[[#Headers],[Temperature zone]],0)</f>
        <v>0.03</v>
      </c>
      <c r="M245" s="34" cm="1">
        <f t="array" ref="M245">Common_InputFunctions.Utility_DisplayArrayInTable(Common_SourceData.Common_SourceData_MCFTemperatureZone_Data(),Table_SourceData_Common_MCFTemperatureZone[[#Headers],[Temperature zone]],0)</f>
        <v>0.04</v>
      </c>
      <c r="N245" s="34" cm="1">
        <f t="array" ref="N245">Common_InputFunctions.Utility_DisplayArrayInTable(Common_SourceData.Common_SourceData_MCFTemperatureZone_Data(),Table_SourceData_Common_MCFTemperatureZone[[#Headers],[Temperature zone]],0)</f>
        <v>1.4999999999999999E-2</v>
      </c>
      <c r="O245" s="34" cm="1">
        <f t="array" ref="O245">Common_InputFunctions.Utility_DisplayArrayInTable(Common_SourceData.Common_SourceData_MCFTemperatureZone_Data(),Table_SourceData_Common_MCFTemperatureZone[[#Headers],[Temperature zone]],0)</f>
        <v>1.4999999999999999E-2</v>
      </c>
      <c r="P245" s="34" cm="1">
        <f t="array" ref="P245">Common_InputFunctions.Utility_DisplayArrayInTable(Common_SourceData.Common_SourceData_MCFTemperatureZone_Data(),Table_SourceData_Common_MCFTemperatureZone[[#Headers],[Temperature zone]],0)</f>
        <v>0</v>
      </c>
      <c r="Q245" s="34" cm="1">
        <f t="array" ref="Q245">Common_InputFunctions.Utility_DisplayArrayInTable(Common_SourceData.Common_SourceData_MCFTemperatureZone_Data(),Table_SourceData_Common_MCFTemperatureZone[[#Headers],[Temperature zone]],0)</f>
        <v>0</v>
      </c>
      <c r="R245" s="34" cm="1">
        <f t="array" ref="R245">Common_InputFunctions.Utility_DisplayArrayInTable(Common_SourceData.Common_SourceData_MCFTemperatureZone_Data(),Table_SourceData_Common_MCFTemperatureZone[[#Headers],[Temperature zone]],0)</f>
        <v>4.7000000000000002E-3</v>
      </c>
      <c r="S245" s="34"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34" cm="1">
        <f t="array" ref="E246">Common_InputFunctions.Utility_DisplayArrayInTable(Common_SourceData.Common_SourceData_MCFTemperatureZone_Data(),Table_SourceData_Common_MCFTemperatureZone[[#Headers],[Temperature zone]],0)</f>
        <v>24</v>
      </c>
      <c r="F246" s="34" cm="1">
        <f t="array" ref="F246">Common_InputFunctions.Utility_DisplayArrayInTable(Common_SourceData.Common_SourceData_MCFTemperatureZone_Data(),Table_SourceData_Common_MCFTemperatureZone[[#Headers],[Temperature zone]],0)</f>
        <v>0.79</v>
      </c>
      <c r="G246" s="34" cm="1">
        <f t="array" ref="G246">Common_InputFunctions.Utility_DisplayArrayInTable(Common_SourceData.Common_SourceData_MCFTemperatureZone_Data(),Table_SourceData_Common_MCFTemperatureZone[[#Headers],[Temperature zone]],0)</f>
        <v>0.1</v>
      </c>
      <c r="H246" s="34" cm="1">
        <f t="array" ref="H246">Common_InputFunctions.Utility_DisplayArrayInTable(Common_SourceData.Common_SourceData_MCFTemperatureZone_Data(),Table_SourceData_Common_MCFTemperatureZone[[#Headers],[Temperature zone]],0)</f>
        <v>0.37</v>
      </c>
      <c r="I246" s="34" cm="1">
        <f t="array" ref="I246">Common_InputFunctions.Utility_DisplayArrayInTable(Common_SourceData.Common_SourceData_MCFTemperatureZone_Data(),Table_SourceData_Common_MCFTemperatureZone[[#Headers],[Temperature zone]],0)</f>
        <v>5.0000000000000001E-3</v>
      </c>
      <c r="J246" s="34" cm="1">
        <f t="array" ref="J246">Common_InputFunctions.Utility_DisplayArrayInTable(Common_SourceData.Common_SourceData_MCFTemperatureZone_Data(),Table_SourceData_Common_MCFTemperatureZone[[#Headers],[Temperature zone]],0)</f>
        <v>0.01</v>
      </c>
      <c r="K246" s="34" cm="1">
        <f t="array" ref="K246">Common_InputFunctions.Utility_DisplayArrayInTable(Common_SourceData.Common_SourceData_MCFTemperatureZone_Data(),Table_SourceData_Common_MCFTemperatureZone[[#Headers],[Temperature zone]],0)</f>
        <v>0.02</v>
      </c>
      <c r="L246" s="34" cm="1">
        <f t="array" ref="L246">Common_InputFunctions.Utility_DisplayArrayInTable(Common_SourceData.Common_SourceData_MCFTemperatureZone_Data(),Table_SourceData_Common_MCFTemperatureZone[[#Headers],[Temperature zone]],0)</f>
        <v>0.03</v>
      </c>
      <c r="M246" s="34" cm="1">
        <f t="array" ref="M246">Common_InputFunctions.Utility_DisplayArrayInTable(Common_SourceData.Common_SourceData_MCFTemperatureZone_Data(),Table_SourceData_Common_MCFTemperatureZone[[#Headers],[Temperature zone]],0)</f>
        <v>0.04</v>
      </c>
      <c r="N246" s="34" cm="1">
        <f t="array" ref="N246">Common_InputFunctions.Utility_DisplayArrayInTable(Common_SourceData.Common_SourceData_MCFTemperatureZone_Data(),Table_SourceData_Common_MCFTemperatureZone[[#Headers],[Temperature zone]],0)</f>
        <v>1.4999999999999999E-2</v>
      </c>
      <c r="O246" s="34" cm="1">
        <f t="array" ref="O246">Common_InputFunctions.Utility_DisplayArrayInTable(Common_SourceData.Common_SourceData_MCFTemperatureZone_Data(),Table_SourceData_Common_MCFTemperatureZone[[#Headers],[Temperature zone]],0)</f>
        <v>1.4999999999999999E-2</v>
      </c>
      <c r="P246" s="34" cm="1">
        <f t="array" ref="P246">Common_InputFunctions.Utility_DisplayArrayInTable(Common_SourceData.Common_SourceData_MCFTemperatureZone_Data(),Table_SourceData_Common_MCFTemperatureZone[[#Headers],[Temperature zone]],0)</f>
        <v>0</v>
      </c>
      <c r="Q246" s="34" cm="1">
        <f t="array" ref="Q246">Common_InputFunctions.Utility_DisplayArrayInTable(Common_SourceData.Common_SourceData_MCFTemperatureZone_Data(),Table_SourceData_Common_MCFTemperatureZone[[#Headers],[Temperature zone]],0)</f>
        <v>0</v>
      </c>
      <c r="R246" s="34" cm="1">
        <f t="array" ref="R246">Common_InputFunctions.Utility_DisplayArrayInTable(Common_SourceData.Common_SourceData_MCFTemperatureZone_Data(),Table_SourceData_Common_MCFTemperatureZone[[#Headers],[Temperature zone]],0)</f>
        <v>4.7000000000000002E-3</v>
      </c>
      <c r="S246" s="34"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34" cm="1">
        <f t="array" ref="E247">Common_InputFunctions.Utility_DisplayArrayInTable(Common_SourceData.Common_SourceData_MCFTemperatureZone_Data(),Table_SourceData_Common_MCFTemperatureZone[[#Headers],[Temperature zone]],0)</f>
        <v>25</v>
      </c>
      <c r="F247" s="34" cm="1">
        <f t="array" ref="F247">Common_InputFunctions.Utility_DisplayArrayInTable(Common_SourceData.Common_SourceData_MCFTemperatureZone_Data(),Table_SourceData_Common_MCFTemperatureZone[[#Headers],[Temperature zone]],0)</f>
        <v>0.79</v>
      </c>
      <c r="G247" s="34" cm="1">
        <f t="array" ref="G247">Common_InputFunctions.Utility_DisplayArrayInTable(Common_SourceData.Common_SourceData_MCFTemperatureZone_Data(),Table_SourceData_Common_MCFTemperatureZone[[#Headers],[Temperature zone]],0)</f>
        <v>0.1</v>
      </c>
      <c r="H247" s="34" cm="1">
        <f t="array" ref="H247">Common_InputFunctions.Utility_DisplayArrayInTable(Common_SourceData.Common_SourceData_MCFTemperatureZone_Data(),Table_SourceData_Common_MCFTemperatureZone[[#Headers],[Temperature zone]],0)</f>
        <v>0.41</v>
      </c>
      <c r="I247" s="34" cm="1">
        <f t="array" ref="I247">Common_InputFunctions.Utility_DisplayArrayInTable(Common_SourceData.Common_SourceData_MCFTemperatureZone_Data(),Table_SourceData_Common_MCFTemperatureZone[[#Headers],[Temperature zone]],0)</f>
        <v>5.0000000000000001E-3</v>
      </c>
      <c r="J247" s="34" cm="1">
        <f t="array" ref="J247">Common_InputFunctions.Utility_DisplayArrayInTable(Common_SourceData.Common_SourceData_MCFTemperatureZone_Data(),Table_SourceData_Common_MCFTemperatureZone[[#Headers],[Temperature zone]],0)</f>
        <v>0.01</v>
      </c>
      <c r="K247" s="34" cm="1">
        <f t="array" ref="K247">Common_InputFunctions.Utility_DisplayArrayInTable(Common_SourceData.Common_SourceData_MCFTemperatureZone_Data(),Table_SourceData_Common_MCFTemperatureZone[[#Headers],[Temperature zone]],0)</f>
        <v>0.02</v>
      </c>
      <c r="L247" s="34" cm="1">
        <f t="array" ref="L247">Common_InputFunctions.Utility_DisplayArrayInTable(Common_SourceData.Common_SourceData_MCFTemperatureZone_Data(),Table_SourceData_Common_MCFTemperatureZone[[#Headers],[Temperature zone]],0)</f>
        <v>0.03</v>
      </c>
      <c r="M247" s="34" cm="1">
        <f t="array" ref="M247">Common_InputFunctions.Utility_DisplayArrayInTable(Common_SourceData.Common_SourceData_MCFTemperatureZone_Data(),Table_SourceData_Common_MCFTemperatureZone[[#Headers],[Temperature zone]],0)</f>
        <v>0.04</v>
      </c>
      <c r="N247" s="34" cm="1">
        <f t="array" ref="N247">Common_InputFunctions.Utility_DisplayArrayInTable(Common_SourceData.Common_SourceData_MCFTemperatureZone_Data(),Table_SourceData_Common_MCFTemperatureZone[[#Headers],[Temperature zone]],0)</f>
        <v>1.4999999999999999E-2</v>
      </c>
      <c r="O247" s="34" cm="1">
        <f t="array" ref="O247">Common_InputFunctions.Utility_DisplayArrayInTable(Common_SourceData.Common_SourceData_MCFTemperatureZone_Data(),Table_SourceData_Common_MCFTemperatureZone[[#Headers],[Temperature zone]],0)</f>
        <v>1.4999999999999999E-2</v>
      </c>
      <c r="P247" s="34" cm="1">
        <f t="array" ref="P247">Common_InputFunctions.Utility_DisplayArrayInTable(Common_SourceData.Common_SourceData_MCFTemperatureZone_Data(),Table_SourceData_Common_MCFTemperatureZone[[#Headers],[Temperature zone]],0)</f>
        <v>0</v>
      </c>
      <c r="Q247" s="34" cm="1">
        <f t="array" ref="Q247">Common_InputFunctions.Utility_DisplayArrayInTable(Common_SourceData.Common_SourceData_MCFTemperatureZone_Data(),Table_SourceData_Common_MCFTemperatureZone[[#Headers],[Temperature zone]],0)</f>
        <v>0</v>
      </c>
      <c r="R247" s="34" cm="1">
        <f t="array" ref="R247">Common_InputFunctions.Utility_DisplayArrayInTable(Common_SourceData.Common_SourceData_MCFTemperatureZone_Data(),Table_SourceData_Common_MCFTemperatureZone[[#Headers],[Temperature zone]],0)</f>
        <v>4.7000000000000002E-3</v>
      </c>
      <c r="S247" s="34"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34" cm="1">
        <f t="array" ref="E248">Common_InputFunctions.Utility_DisplayArrayInTable(Common_SourceData.Common_SourceData_MCFTemperatureZone_Data(),Table_SourceData_Common_MCFTemperatureZone[[#Headers],[Temperature zone]],0)</f>
        <v>26</v>
      </c>
      <c r="F248" s="34" cm="1">
        <f t="array" ref="F248">Common_InputFunctions.Utility_DisplayArrayInTable(Common_SourceData.Common_SourceData_MCFTemperatureZone_Data(),Table_SourceData_Common_MCFTemperatureZone[[#Headers],[Temperature zone]],0)</f>
        <v>0.79</v>
      </c>
      <c r="G248" s="34" cm="1">
        <f t="array" ref="G248">Common_InputFunctions.Utility_DisplayArrayInTable(Common_SourceData.Common_SourceData_MCFTemperatureZone_Data(),Table_SourceData_Common_MCFTemperatureZone[[#Headers],[Temperature zone]],0)</f>
        <v>0.1</v>
      </c>
      <c r="H248" s="34" cm="1">
        <f t="array" ref="H248">Common_InputFunctions.Utility_DisplayArrayInTable(Common_SourceData.Common_SourceData_MCFTemperatureZone_Data(),Table_SourceData_Common_MCFTemperatureZone[[#Headers],[Temperature zone]],0)</f>
        <v>0.44</v>
      </c>
      <c r="I248" s="34" cm="1">
        <f t="array" ref="I248">Common_InputFunctions.Utility_DisplayArrayInTable(Common_SourceData.Common_SourceData_MCFTemperatureZone_Data(),Table_SourceData_Common_MCFTemperatureZone[[#Headers],[Temperature zone]],0)</f>
        <v>0.01</v>
      </c>
      <c r="J248" s="34" cm="1">
        <f t="array" ref="J248">Common_InputFunctions.Utility_DisplayArrayInTable(Common_SourceData.Common_SourceData_MCFTemperatureZone_Data(),Table_SourceData_Common_MCFTemperatureZone[[#Headers],[Temperature zone]],0)</f>
        <v>1.4999999999999999E-2</v>
      </c>
      <c r="K248" s="34" cm="1">
        <f t="array" ref="K248">Common_InputFunctions.Utility_DisplayArrayInTable(Common_SourceData.Common_SourceData_MCFTemperatureZone_Data(),Table_SourceData_Common_MCFTemperatureZone[[#Headers],[Temperature zone]],0)</f>
        <v>0.02</v>
      </c>
      <c r="L248" s="34" cm="1">
        <f t="array" ref="L248">Common_InputFunctions.Utility_DisplayArrayInTable(Common_SourceData.Common_SourceData_MCFTemperatureZone_Data(),Table_SourceData_Common_MCFTemperatureZone[[#Headers],[Temperature zone]],0)</f>
        <v>0.03</v>
      </c>
      <c r="M248" s="34" cm="1">
        <f t="array" ref="M248">Common_InputFunctions.Utility_DisplayArrayInTable(Common_SourceData.Common_SourceData_MCFTemperatureZone_Data(),Table_SourceData_Common_MCFTemperatureZone[[#Headers],[Temperature zone]],0)</f>
        <v>0.04</v>
      </c>
      <c r="N248" s="34" cm="1">
        <f t="array" ref="N248">Common_InputFunctions.Utility_DisplayArrayInTable(Common_SourceData.Common_SourceData_MCFTemperatureZone_Data(),Table_SourceData_Common_MCFTemperatureZone[[#Headers],[Temperature zone]],0)</f>
        <v>1.4999999999999999E-2</v>
      </c>
      <c r="O248" s="34" cm="1">
        <f t="array" ref="O248">Common_InputFunctions.Utility_DisplayArrayInTable(Common_SourceData.Common_SourceData_MCFTemperatureZone_Data(),Table_SourceData_Common_MCFTemperatureZone[[#Headers],[Temperature zone]],0)</f>
        <v>1.4999999999999999E-2</v>
      </c>
      <c r="P248" s="34" cm="1">
        <f t="array" ref="P248">Common_InputFunctions.Utility_DisplayArrayInTable(Common_SourceData.Common_SourceData_MCFTemperatureZone_Data(),Table_SourceData_Common_MCFTemperatureZone[[#Headers],[Temperature zone]],0)</f>
        <v>0</v>
      </c>
      <c r="Q248" s="34" cm="1">
        <f t="array" ref="Q248">Common_InputFunctions.Utility_DisplayArrayInTable(Common_SourceData.Common_SourceData_MCFTemperatureZone_Data(),Table_SourceData_Common_MCFTemperatureZone[[#Headers],[Temperature zone]],0)</f>
        <v>0</v>
      </c>
      <c r="R248" s="34" cm="1">
        <f t="array" ref="R248">Common_InputFunctions.Utility_DisplayArrayInTable(Common_SourceData.Common_SourceData_MCFTemperatureZone_Data(),Table_SourceData_Common_MCFTemperatureZone[[#Headers],[Temperature zone]],0)</f>
        <v>4.7000000000000002E-3</v>
      </c>
      <c r="S248" s="34"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34" cm="1">
        <f t="array" ref="E249">Common_InputFunctions.Utility_DisplayArrayInTable(Common_SourceData.Common_SourceData_MCFTemperatureZone_Data(),Table_SourceData_Common_MCFTemperatureZone[[#Headers],[Temperature zone]],0)</f>
        <v>27</v>
      </c>
      <c r="F249" s="34" cm="1">
        <f t="array" ref="F249">Common_InputFunctions.Utility_DisplayArrayInTable(Common_SourceData.Common_SourceData_MCFTemperatureZone_Data(),Table_SourceData_Common_MCFTemperatureZone[[#Headers],[Temperature zone]],0)</f>
        <v>0.8</v>
      </c>
      <c r="G249" s="34" cm="1">
        <f t="array" ref="G249">Common_InputFunctions.Utility_DisplayArrayInTable(Common_SourceData.Common_SourceData_MCFTemperatureZone_Data(),Table_SourceData_Common_MCFTemperatureZone[[#Headers],[Temperature zone]],0)</f>
        <v>0.1</v>
      </c>
      <c r="H249" s="34" cm="1">
        <f t="array" ref="H249">Common_InputFunctions.Utility_DisplayArrayInTable(Common_SourceData.Common_SourceData_MCFTemperatureZone_Data(),Table_SourceData_Common_MCFTemperatureZone[[#Headers],[Temperature zone]],0)</f>
        <v>0.48</v>
      </c>
      <c r="I249" s="34" cm="1">
        <f t="array" ref="I249">Common_InputFunctions.Utility_DisplayArrayInTable(Common_SourceData.Common_SourceData_MCFTemperatureZone_Data(),Table_SourceData_Common_MCFTemperatureZone[[#Headers],[Temperature zone]],0)</f>
        <v>0.01</v>
      </c>
      <c r="J249" s="34" cm="1">
        <f t="array" ref="J249">Common_InputFunctions.Utility_DisplayArrayInTable(Common_SourceData.Common_SourceData_MCFTemperatureZone_Data(),Table_SourceData_Common_MCFTemperatureZone[[#Headers],[Temperature zone]],0)</f>
        <v>1.4999999999999999E-2</v>
      </c>
      <c r="K249" s="34" cm="1">
        <f t="array" ref="K249">Common_InputFunctions.Utility_DisplayArrayInTable(Common_SourceData.Common_SourceData_MCFTemperatureZone_Data(),Table_SourceData_Common_MCFTemperatureZone[[#Headers],[Temperature zone]],0)</f>
        <v>0.02</v>
      </c>
      <c r="L249" s="34" cm="1">
        <f t="array" ref="L249">Common_InputFunctions.Utility_DisplayArrayInTable(Common_SourceData.Common_SourceData_MCFTemperatureZone_Data(),Table_SourceData_Common_MCFTemperatureZone[[#Headers],[Temperature zone]],0)</f>
        <v>0.03</v>
      </c>
      <c r="M249" s="34" cm="1">
        <f t="array" ref="M249">Common_InputFunctions.Utility_DisplayArrayInTable(Common_SourceData.Common_SourceData_MCFTemperatureZone_Data(),Table_SourceData_Common_MCFTemperatureZone[[#Headers],[Temperature zone]],0)</f>
        <v>0.04</v>
      </c>
      <c r="N249" s="34" cm="1">
        <f t="array" ref="N249">Common_InputFunctions.Utility_DisplayArrayInTable(Common_SourceData.Common_SourceData_MCFTemperatureZone_Data(),Table_SourceData_Common_MCFTemperatureZone[[#Headers],[Temperature zone]],0)</f>
        <v>1.4999999999999999E-2</v>
      </c>
      <c r="O249" s="34" cm="1">
        <f t="array" ref="O249">Common_InputFunctions.Utility_DisplayArrayInTable(Common_SourceData.Common_SourceData_MCFTemperatureZone_Data(),Table_SourceData_Common_MCFTemperatureZone[[#Headers],[Temperature zone]],0)</f>
        <v>1.4999999999999999E-2</v>
      </c>
      <c r="P249" s="34" cm="1">
        <f t="array" ref="P249">Common_InputFunctions.Utility_DisplayArrayInTable(Common_SourceData.Common_SourceData_MCFTemperatureZone_Data(),Table_SourceData_Common_MCFTemperatureZone[[#Headers],[Temperature zone]],0)</f>
        <v>0</v>
      </c>
      <c r="Q249" s="34" cm="1">
        <f t="array" ref="Q249">Common_InputFunctions.Utility_DisplayArrayInTable(Common_SourceData.Common_SourceData_MCFTemperatureZone_Data(),Table_SourceData_Common_MCFTemperatureZone[[#Headers],[Temperature zone]],0)</f>
        <v>0</v>
      </c>
      <c r="R249" s="34" cm="1">
        <f t="array" ref="R249">Common_InputFunctions.Utility_DisplayArrayInTable(Common_SourceData.Common_SourceData_MCFTemperatureZone_Data(),Table_SourceData_Common_MCFTemperatureZone[[#Headers],[Temperature zone]],0)</f>
        <v>4.7000000000000002E-3</v>
      </c>
      <c r="S249" s="34"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34" t="str" cm="1">
        <f t="array" ref="E250">Common_InputFunctions.Utility_DisplayArrayInTable(Common_SourceData.Common_SourceData_MCFTemperatureZone_Data(),Table_SourceData_Common_MCFTemperatureZone[[#Headers],[Temperature zone]],0)</f>
        <v>≥28</v>
      </c>
      <c r="F250" s="34" cm="1">
        <f t="array" ref="F250">Common_InputFunctions.Utility_DisplayArrayInTable(Common_SourceData.Common_SourceData_MCFTemperatureZone_Data(),Table_SourceData_Common_MCFTemperatureZone[[#Headers],[Temperature zone]],0)</f>
        <v>0.8</v>
      </c>
      <c r="G250" s="34" cm="1">
        <f t="array" ref="G250">Common_InputFunctions.Utility_DisplayArrayInTable(Common_SourceData.Common_SourceData_MCFTemperatureZone_Data(),Table_SourceData_Common_MCFTemperatureZone[[#Headers],[Temperature zone]],0)</f>
        <v>0.1</v>
      </c>
      <c r="H250" s="34" cm="1">
        <f t="array" ref="H250">Common_InputFunctions.Utility_DisplayArrayInTable(Common_SourceData.Common_SourceData_MCFTemperatureZone_Data(),Table_SourceData_Common_MCFTemperatureZone[[#Headers],[Temperature zone]],0)</f>
        <v>0.5</v>
      </c>
      <c r="I250" s="34" cm="1">
        <f t="array" ref="I250">Common_InputFunctions.Utility_DisplayArrayInTable(Common_SourceData.Common_SourceData_MCFTemperatureZone_Data(),Table_SourceData_Common_MCFTemperatureZone[[#Headers],[Temperature zone]],0)</f>
        <v>0.01</v>
      </c>
      <c r="J250" s="34" cm="1">
        <f t="array" ref="J250">Common_InputFunctions.Utility_DisplayArrayInTable(Common_SourceData.Common_SourceData_MCFTemperatureZone_Data(),Table_SourceData_Common_MCFTemperatureZone[[#Headers],[Temperature zone]],0)</f>
        <v>1.4999999999999999E-2</v>
      </c>
      <c r="K250" s="34" cm="1">
        <f t="array" ref="K250">Common_InputFunctions.Utility_DisplayArrayInTable(Common_SourceData.Common_SourceData_MCFTemperatureZone_Data(),Table_SourceData_Common_MCFTemperatureZone[[#Headers],[Temperature zone]],0)</f>
        <v>0.02</v>
      </c>
      <c r="L250" s="34" cm="1">
        <f t="array" ref="L250">Common_InputFunctions.Utility_DisplayArrayInTable(Common_SourceData.Common_SourceData_MCFTemperatureZone_Data(),Table_SourceData_Common_MCFTemperatureZone[[#Headers],[Temperature zone]],0)</f>
        <v>0.03</v>
      </c>
      <c r="M250" s="34" cm="1">
        <f t="array" ref="M250">Common_InputFunctions.Utility_DisplayArrayInTable(Common_SourceData.Common_SourceData_MCFTemperatureZone_Data(),Table_SourceData_Common_MCFTemperatureZone[[#Headers],[Temperature zone]],0)</f>
        <v>0.04</v>
      </c>
      <c r="N250" s="34" cm="1">
        <f t="array" ref="N250">Common_InputFunctions.Utility_DisplayArrayInTable(Common_SourceData.Common_SourceData_MCFTemperatureZone_Data(),Table_SourceData_Common_MCFTemperatureZone[[#Headers],[Temperature zone]],0)</f>
        <v>1.4999999999999999E-2</v>
      </c>
      <c r="O250" s="34" cm="1">
        <f t="array" ref="O250">Common_InputFunctions.Utility_DisplayArrayInTable(Common_SourceData.Common_SourceData_MCFTemperatureZone_Data(),Table_SourceData_Common_MCFTemperatureZone[[#Headers],[Temperature zone]],0)</f>
        <v>1.4999999999999999E-2</v>
      </c>
      <c r="P250" s="34" cm="1">
        <f t="array" ref="P250">Common_InputFunctions.Utility_DisplayArrayInTable(Common_SourceData.Common_SourceData_MCFTemperatureZone_Data(),Table_SourceData_Common_MCFTemperatureZone[[#Headers],[Temperature zone]],0)</f>
        <v>0</v>
      </c>
      <c r="Q250" s="34" cm="1">
        <f t="array" ref="Q250">Common_InputFunctions.Utility_DisplayArrayInTable(Common_SourceData.Common_SourceData_MCFTemperatureZone_Data(),Table_SourceData_Common_MCFTemperatureZone[[#Headers],[Temperature zone]],0)</f>
        <v>0</v>
      </c>
      <c r="R250" s="34" cm="1">
        <f t="array" ref="R250">Common_InputFunctions.Utility_DisplayArrayInTable(Common_SourceData.Common_SourceData_MCFTemperatureZone_Data(),Table_SourceData_Common_MCFTemperatureZone[[#Headers],[Temperature zone]],0)</f>
        <v>4.7000000000000002E-3</v>
      </c>
      <c r="S250" s="34" cm="1">
        <f t="array" ref="S250">Common_InputFunctions.Utility_DisplayArrayInTable(Common_SourceData.Common_SourceData_MCFTemperatureZone_Data(),Table_SourceData_Common_MCFTemperatureZone[[#Headers],[Temperature zone]],0)</f>
        <v>28</v>
      </c>
    </row>
    <row r="253" spans="4:19" ht="20" x14ac:dyDescent="0.25" customHeight="1">
      <c r="D253" s="6" t="str" cm="1">
        <f t="array" ref="D253">Common_SourceData.Common_SourceData_EFOrganicFertiliserAndCropResidues_Title()</f>
        <v>Emission factor for organic fertiliser and crop residues returned to the soil</v>
      </c>
    </row>
    <row r="254" spans="4:19" x14ac:dyDescent="0.25" ht="20" customHeight="1">
      <c r="D254" s="5"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48" t="str" cm="1">
        <f t="array" ref="D256">Common_SourceData.Common_SourceData_EFOrganicFertiliserAndCropResidues_Unit()</f>
        <v>kg N2O - N / kg N</v>
      </c>
    </row>
    <row r="257" spans="4:6" x14ac:dyDescent="0.25" ht="20" customHeight="1">
      <c r="D257" s="34" t="s">
        <v>96</v>
      </c>
      <c r="E257" s="34" t="s">
        <v>97</v>
      </c>
    </row>
    <row r="258" spans="4:6" x14ac:dyDescent="0.25" ht="20" customHeight="1">
      <c r="D258" s="34" t="str" cm="1">
        <f t="array" ref="D258">Common_InputFunctions.Utility_DisplayArrayInTable(Common_SourceData.Common_SourceData_EFOrganicFertiliserAndCropResidues_Data(), Table_SourceData_Common_EFOrganicFertCropResidues[[#Headers],[Climate Zone]], 0)</f>
        <v>Wet climate zone</v>
      </c>
      <c r="E258" s="34"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34"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6" t="s">
        <v>171</v>
      </c>
    </row>
    <row r="264" spans="4:6" x14ac:dyDescent="0.25" ht="20" customHeight="1">
      <c r="D264" s="1" t="s">
        <v>172</v>
      </c>
    </row>
    <row r="265" spans="4:6" x14ac:dyDescent="0.25" ht="20" customHeight="1">
      <c r="D265" s="34" t="s">
        <v>173</v>
      </c>
      <c r="E265" s="34" t="s">
        <v>174</v>
      </c>
      <c r="F265" s="34" t="s">
        <v>175</v>
      </c>
    </row>
    <row r="266" spans="4:6" x14ac:dyDescent="0.25" ht="20" customHeight="1">
      <c r="D266" s="34" t="s">
        <v>176</v>
      </c>
      <c r="E266" s="34" t="s">
        <v>177</v>
      </c>
      <c r="F266" s="34">
        <v>5</v>
      </c>
    </row>
    <row r="267" spans="4:6" x14ac:dyDescent="0.25" ht="20" customHeight="1">
      <c r="D267" s="34" t="s">
        <v>178</v>
      </c>
      <c r="E267" s="34" t="s">
        <v>179</v>
      </c>
      <c r="F267" s="34">
        <v>4</v>
      </c>
    </row>
    <row r="268" spans="4:6" x14ac:dyDescent="0.25" ht="20" customHeight="1">
      <c r="D268" s="34" t="s">
        <v>180</v>
      </c>
      <c r="E268" s="34" t="s">
        <v>181</v>
      </c>
      <c r="F268" s="34">
        <v>3</v>
      </c>
    </row>
    <row r="269" spans="4:6" x14ac:dyDescent="0.25" ht="20" customHeight="1">
      <c r="D269" s="34" t="s">
        <v>182</v>
      </c>
      <c r="E269" s="34" t="s">
        <v>183</v>
      </c>
      <c r="F269" s="34">
        <v>2</v>
      </c>
    </row>
    <row r="270" spans="4:6" x14ac:dyDescent="0.25" ht="20" customHeight="1">
      <c r="D270" s="34" t="s">
        <v>184</v>
      </c>
      <c r="E270" s="34" t="s">
        <v>185</v>
      </c>
      <c r="F270" s="34">
        <v>1</v>
      </c>
    </row>
    <row r="273" spans="4:6" x14ac:dyDescent="0.25" ht="20" customHeight="1">
      <c r="D273" s="1" t="s">
        <v>186</v>
      </c>
    </row>
    <row r="274" spans="4:6" x14ac:dyDescent="0.25" ht="20" customHeight="1">
      <c r="D274" s="34" t="s">
        <v>173</v>
      </c>
      <c r="E274" s="34" t="s">
        <v>174</v>
      </c>
      <c r="F274" s="34" t="s">
        <v>175</v>
      </c>
    </row>
    <row r="275" spans="4:6" x14ac:dyDescent="0.25" ht="20" customHeight="1">
      <c r="D275" s="34" t="s">
        <v>187</v>
      </c>
      <c r="E275" s="34" t="s">
        <v>188</v>
      </c>
      <c r="F275" s="34">
        <v>5</v>
      </c>
    </row>
    <row r="276" spans="4:6" x14ac:dyDescent="0.25" ht="20" customHeight="1">
      <c r="D276" s="34" t="s">
        <v>189</v>
      </c>
      <c r="E276" s="34" t="s">
        <v>190</v>
      </c>
      <c r="F276" s="34">
        <v>4</v>
      </c>
    </row>
    <row r="277" spans="4:6" x14ac:dyDescent="0.25" ht="20" customHeight="1">
      <c r="D277" s="34" t="s">
        <v>191</v>
      </c>
      <c r="E277" s="34" t="s">
        <v>192</v>
      </c>
      <c r="F277" s="34">
        <v>3</v>
      </c>
    </row>
    <row r="278" spans="4:6" x14ac:dyDescent="0.25" ht="20" customHeight="1">
      <c r="D278" s="34" t="s">
        <v>193</v>
      </c>
      <c r="E278" s="34" t="s">
        <v>194</v>
      </c>
      <c r="F278" s="34">
        <v>2</v>
      </c>
    </row>
    <row r="279" spans="4:6" x14ac:dyDescent="0.25" ht="20" customHeight="1">
      <c r="D279" s="34" t="s">
        <v>195</v>
      </c>
      <c r="E279" s="34" t="s">
        <v>196</v>
      </c>
      <c r="F279" s="34">
        <v>1</v>
      </c>
    </row>
    <row r="282" spans="4:6" x14ac:dyDescent="0.25" ht="20" customHeight="1">
      <c r="D282" s="1" t="s">
        <v>197</v>
      </c>
    </row>
    <row r="283" spans="4:6" x14ac:dyDescent="0.25" ht="20" customHeight="1">
      <c r="D283" s="34" t="s">
        <v>173</v>
      </c>
      <c r="E283" s="34" t="s">
        <v>174</v>
      </c>
      <c r="F283" s="34" t="s">
        <v>175</v>
      </c>
    </row>
    <row r="284" spans="4:6" x14ac:dyDescent="0.25" ht="20" customHeight="1">
      <c r="D284" s="34" t="s">
        <v>198</v>
      </c>
      <c r="E284" s="34" t="s">
        <v>199</v>
      </c>
      <c r="F284" s="34">
        <v>5</v>
      </c>
    </row>
    <row r="285" spans="4:6" x14ac:dyDescent="0.25" ht="20" customHeight="1">
      <c r="D285" s="34" t="s">
        <v>200</v>
      </c>
      <c r="E285" s="34" t="s">
        <v>201</v>
      </c>
      <c r="F285" s="34">
        <v>4</v>
      </c>
    </row>
    <row r="286" spans="4:6" x14ac:dyDescent="0.25" ht="20" customHeight="1">
      <c r="D286" s="34" t="s">
        <v>202</v>
      </c>
      <c r="E286" s="34" t="s">
        <v>203</v>
      </c>
      <c r="F286" s="34">
        <v>3</v>
      </c>
    </row>
    <row r="287" spans="4:6" x14ac:dyDescent="0.25" ht="20" customHeight="1">
      <c r="D287" s="34" t="s">
        <v>204</v>
      </c>
      <c r="E287" s="34" t="s">
        <v>205</v>
      </c>
      <c r="F287" s="34">
        <v>2</v>
      </c>
    </row>
    <row r="288" spans="4:6" x14ac:dyDescent="0.25" ht="20" customHeight="1">
      <c r="D288" s="34" t="s">
        <v>206</v>
      </c>
      <c r="E288" s="34" t="s">
        <v>207</v>
      </c>
      <c r="F288" s="34">
        <v>1</v>
      </c>
    </row>
    <row r="291" spans="4:6" x14ac:dyDescent="0.25" ht="20" customHeight="1">
      <c r="D291" s="1" t="s">
        <v>208</v>
      </c>
    </row>
    <row r="292" spans="4:6" x14ac:dyDescent="0.25" ht="20" customHeight="1">
      <c r="D292" s="34" t="s">
        <v>173</v>
      </c>
      <c r="E292" s="34" t="s">
        <v>174</v>
      </c>
      <c r="F292" s="34" t="s">
        <v>175</v>
      </c>
    </row>
    <row r="293" spans="4:6" x14ac:dyDescent="0.25" ht="20" customHeight="1">
      <c r="D293" s="34" t="s">
        <v>209</v>
      </c>
      <c r="E293" s="34" t="s">
        <v>210</v>
      </c>
      <c r="F293" s="34">
        <v>5</v>
      </c>
    </row>
    <row r="294" spans="4:6" x14ac:dyDescent="0.25" ht="20" customHeight="1">
      <c r="D294" s="34" t="s">
        <v>211</v>
      </c>
      <c r="E294" s="34" t="s">
        <v>212</v>
      </c>
      <c r="F294" s="34">
        <v>4</v>
      </c>
    </row>
    <row r="295" spans="4:6" x14ac:dyDescent="0.25" ht="20" customHeight="1">
      <c r="D295" s="34" t="s">
        <v>213</v>
      </c>
      <c r="E295" s="34" t="s">
        <v>214</v>
      </c>
      <c r="F295" s="34">
        <v>3</v>
      </c>
    </row>
    <row r="296" spans="4:6" x14ac:dyDescent="0.25" ht="20" customHeight="1">
      <c r="D296" s="34" t="s">
        <v>215</v>
      </c>
      <c r="E296" s="34" t="s">
        <v>216</v>
      </c>
      <c r="F296" s="34">
        <v>2</v>
      </c>
    </row>
    <row r="297" spans="4:6" x14ac:dyDescent="0.25" ht="20" customHeight="1">
      <c r="D297" s="34" t="s">
        <v>217</v>
      </c>
      <c r="E297" s="34" t="s">
        <v>218</v>
      </c>
      <c r="F297" s="34">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SAGkAYwBlAEMAdQBsAHQAaQB2AGEAdABpAG8AbgBfAFMAbwB1AHIAYwBlAEQAYQB0AGEAIgAsACIAdABlAHgAdAAiADoAIgBcAG4ALwAqACAAXABuAC0ALQAtAC0ALQAtAC0ALQAtAC0ALQAtAC0ALQAtAC0ALQAtAC0ALQAtAC0ALQAtAC0ALQAtAC0ALQAtAC0ALQAtAC0ALQAtAC0ALQBcAG4AUwBvAHUAcgBjAGUARABhAHQAYQBfAFIAaQBjAGUAQwB1AGwAdABpAHYAYQB0AGkAbwBuAF8AVwBhAHQAZQByAFMAYwBhAGwAaQBuAGcARgBhAGMAdABvAHIARwByAG8AdwBpAG4AZwBTAGUAYQBzAG8AbgBcAG4ALQAtAC0ALQAtAC0ALQAtAC0ALQAtAC0ALQAtAC0ALQAtAC0ALQAtAC0ALQAtAC0ALQAtAC0ALQAtAC0ALQAtAC0ALQAtAC0ALQAtAFwAbgAqAC8AXABuAFwAbgBTAG8AdQByAGMAZQBEAGEAdABhAF8AUgBpAGMAZQBDAHUAbAB0AGkAdgBhAHQAaQBvAG4AXwBXAGEAdABlAHIAUwBjAGEAbABpAG4AZwBGAGEAYwB0AG8AcgBHAHIAbwB3AGkAbgBnAFMAZQBhAHMAbwBuAF8AVABpAHQAbABlAFwAbgAgACAAPQBMAEEATQBCAEQAQQAoAFwAIgBTAGMAYQBsAGkAbgBnACAAZgBhAGMAdABvAHIAIABiAGEAcwBlAGQAIABvAG4AIAB0AGgAZQAgAHcAYQB0AGUAcgAgAHIAZQBnAGkAbQBlACAAZQBtAHAAbABvAHkAZQBkACAAZAB1AHIAaQBuAGcAIAB0AGgAZQAgAGcAcgBvAHcAaQBuAGcAIABzAGUAYQBzAG8AbgAgAGMAdQBsAHQAaQB2AGEAdABpAG8AbgAgAHAAZQByAGkAbwBkAFwAIgApADsAXABuAFwAbgBTAG8AdQByAGMAZQBEAGEAdABhAF8AUgBpAGMAZQBDAHUAbAB0AGkAdgBhAHQAaQBvAG4AXwBXAGEAdABlAHIAUwBjAGEAbABpAG4AZwBGAGEAYwB0AG8AcgBHAHIAbwB3AGkAbgBnAFMAZQBhAHMAbwBuAF8AVgBhAHIAaQBhAGIAbABlAFwAbgAgACAAPQBMAEEATQBCAEQAQQAoAFwAIgBTAEYAdwBcACIAKQA7AFwAbgBcAG4AUwBvAHUAcgBjAGUARABhAHQAYQBfAFIAaQBjAGUAQwB1AGwAdABpAHYAYQB0AGkAbwBuAF8AVwBhAHQAZQByAFMAYwBhAGwAaQBuAGcARgBhAGMAdABvAHIARwByAG8AdwBpAG4AZwBTAGUAYQBzAG8AbgBfAFUAbgBpAHQAXABuACAAIAA9AEwAQQBNAEIARABBACgAXAAiAGYAcgBhAGMAdABpAG8AbgBcACIAKQA7AFwAbgBcAG4AUwBvAHUAcgBjAGUARABhAHQAYQBfAFIAaQBjAGUAQwB1AGwAdABpAHYAYQB0AGkAbwBuAF8AVwBhAHQAZQByAFMAYwBhAGwAaQBuAGcARgBhAGMAdABvAHIARwByAG8AdwBpAG4AZwBTAGUAYQBzAG8AbgBfAFMAbwB1AHIAYwBlAFwAbgAgACAAPQBMAEEATQBCAEQAQQAoAFwAIgBWAEUARQBSAEcAIAAyADAAMgA2ADoAIABUAGEAYgBsAGUAIABBAC4AMgAuADMALgAxAFwAIgApADsAXABuAFwAbgBTAG8AdQByAGMAZQBEAGEAdABhAF8AUgBpAGMAZQBDAHUAbAB0AGkAdgBhAHQAaQBvAG4AXwBXAGEAdABlAHIAUwBjAGEAbABpAG4AZwBGAGEAYwB0AG8AcgBHAHIAbwB3AGkAbgBnAFMAZQBhAHMAbwBuAF8AVgBhAHIAaQBhAHQAaQBvAG4AXABuACAAIAA9AEwAQQBNAEIARABBACgAXAAiAFwAIgApADsAXABuAFwAbgBTAG8AdQByAGMAZQBEAGEAdABhAF8AUgBpAGMAZQBDAHUAbAB0AGkAdgBhAHQAaQBvAG4AXwBXAGEAdABlAHIAUwBjAGEAbABpAG4AZwBGAGEAYwB0AG8AcgBHAHIAbwB3AGkAbgBnAFMAZQBhAHMAbwBuAF8ARABhAHQAYQBcAG4AIAAgAD0ATABBAE0AQgBEAEEAKABcAG4AIAAgACAAIABNAEEASwBFAEEAUgBSAEEAWQAoADkALAAgADMALAAgAFwAbgAgACAAIAAgACAAIABMAEEATQBCAEQAQQAoAHIALABjACwAIABcAG4AIAAgACAAIAAgACAAIAAgAEkATgBEAEUAWAAoAHsAXABuACAAIAAgACAAIAAgACAAIAAgACAAXAAiAFcAYQB0AGUAcgAgAHIAZQBnAGkAbQBlACAAdAB5AHAAZQBcACIALAAgAFwAIgBXAGEAdABlAHIAIAByAGUAZwBpAG0AZQAgAHMAdQBiACAALQAgAHQAeQBwAGUAXAAiACwAIABcACIAUwBGAHcAXAAiADsAXABuACAAIAAgACAAIAAgACAAIAAgACAAXAAiAFUAcABsAGEAbgBkAFwAIgAsACAAXAAiAFAAYQBkAGQAeQAgAHIAbwB0AGEAdABpAG8AbgBcACIALAAgADAAOwBcAG4AIAAgACAAIAAgACAAIAAgACAAIABcACIAVQBwAGwAYQBuAGQAXAAiACwAIABcACIARgBhAGwAbABvAHcAIAB3AGkAdABoAG8AdQB0ACAAZgBsAG8AbwBkAGkAbgBnACAAaQBuACAAcAByAGUAdgBpAG8AdQBzACAAeQBlAGEAcgBcACIALAAgADAAOwBcAG4AIAAgACAAIAAgACAAIAAgACAAIABcACIASQByAHIAaQBnAGEAdABlAGQAXAAiACwAIABcACIAQwBvAG4AdABpAG4AdQBvAHUAcwBsAHkAIABmAGwAbwBvAGQAZQBkAFwAIgAsACAAMQA7AFwAbgAgACAAIAAgACAAIAAgACAAIAAgAFwAIgBJAHIAcgBpAGcAYQB0AGUAZABcACIALAAgAFwAIgBTAGkAbgBnAGwAZQAgAGQAcgBhAGkAbgBhAGcAZQAgAHAAZQByAGkAbwBkAFwAIgAsACAAMAAuADcAMQA7AFwAbgAgACAAIAAgACAAIAAgACAAIAAgAFwAIgBJAHIAcgBpAGcAYQB0AGUAZABcACIALAAgAFwAIgBNAHUAbAB0AGkAcABsAGUAIABkAHIAYQBpAG4AYQBnAGUAIABwAGUAcgBpAG8AZABzAFwAIgAsACAAMAAuADUANQA7AFwAbgAgACAAIAAgACAAIAAgACAAIAAgAFwAIgBSAGEAaQBuAGYAZQBkACAAYQBuAGQAIABkAGUAZQBwACAAdwBhAHQAZQByAFwAIgAsACAAXAAiAFIAZQBnAHUAbABhAHIAIAByAGEAaQBuAGYAZQBkAFwAIgAsACAAMAAuADUANAA7AFwAbgAgACAAIAAgACAAIAAgACAAIAAgAFwAIgBSAGEAaQBuAGYAZQBkACAAYQBuAGQAIABkAGUAZQBwACAAdwBhAHQAZQByAFwAIgAsACAAXAAiAEQAcgBvAHUAZwBoAHQAIABwAHIAbwBuAGUAXAAiACwAIAAwAC4AMQA2ADsAXABuACAAIAAgACAAIAAgACAAIAAgACAAXAAiAFIAYQBpAG4AZgBlAGQAIABhAG4AZAAgAGQAZQBlAHAAIAB3AGEAdABlAHIAXAAiACwAIABcACIARABlAGUAcAAgAHcAYQB0AGUAcgBcACIALAAgADAALgAwADYAXABuACAAIAAgACAAIAAgACAAIAB9ACwAIAByACwAIABjACkAXABuACAAIAAgACAAIAAgACkAXABuACAAIAAgACAAKQBcAG4AIAAgACkAOwBcAG4AXABuAFwAbgBcAG4ALwAqACAAXABuAC0ALQAtAC0ALQAtAC0ALQAtAC0ALQAtAC0ALQAtAC0ALQAtAC0ALQAtAC0ALQAtAC0ALQAtAC0ALQAtAC0ALQAtAC0ALQAtAC0ALQBcAG4AUwBvAHUAcgBjAGUARABhAHQAYQBfAFIAaQBjAGUAQwB1AGwAdABpAHYAYQB0AGkAbwBuAF8AVwBhAHQAZQByAFMAYwBhAGwAaQBuAGcARgBhAGMAdABvAHIAUAByAGUAUwBlAGEAcwBvAG4AXABuAC0ALQAtAC0ALQAtAC0ALQAtAC0ALQAtAC0ALQAtAC0ALQAtAC0ALQAtAC0ALQAtAC0ALQAtAC0ALQAtAC0ALQAtAC0ALQAtAC0ALQBcAG4AKgAvAFwAbgBcAG4AUwBvAHUAcgBjAGUARABhAHQAYQBfAFIAaQBjAGUAQwB1AGwAdABpAHYAYQB0AGkAbwBuAF8AVwBhAHQAZQByAFMAYwBhAGwAaQBuAGcARgBhAGMAdABvAHIAUAByAGUAUwBlAGEAcwBvAG4AXwBUAGkAdABsAGUAXABuACAAIAA9AEwAQQBNAEIARABBACgAXAAiAFMAYwBhAGwAaQBuAGcAIABmAGEAYwB0AG8AcgAgAGIAYQBzAGUAZAAgAG8AbgAgAHQAaABlACAAdwBhAHQAZQByACAAcgBlAGcAaQBtAGUAIABlAG0AcABsAG8AeQBlAGQAIABpAG4AIAB0AGgAZQAgAHAAcgBlACAALQAgAHMAZQBhAHMAbwBuACAAYgBlAGYAbwByAGUAIAB0AGgAZQAgAGcAcgBvAHcAaQBuAGcAIABwAGUAcgBpAG8AZABcACIAKQA7AFwAbgBcAG4AUwBvAHUAcgBjAGUARABhAHQAYQBfAFIAaQBjAGUAQwB1AGwAdABpAHYAYQB0AGkAbwBuAF8AVwBhAHQAZQByAFMAYwBhAGwAaQBuAGcARgBhAGMAdABvAHIAUAByAGUAUwBlAGEAcwBvAG4AXwBWAGEAcgBpAGEAYgBsAGUAXABuACAAIAA9AEwAQQBNAEIARABBACgAXAAiAFMARgBwAFwAIgApADsAXABuAFwAbgBTAG8AdQByAGMAZQBEAGEAdABhAF8AUgBpAGMAZQBDAHUAbAB0AGkAdgBhAHQAaQBvAG4AXwBXAGEAdABlAHIAUwBjAGEAbABpAG4AZwBGAGEAYwB0AG8AcgBQAHIAZQBTAGUAYQBzAG8AbgBfAFUAbgBpAHQAXABuACAAIAA9AEwAQQBNAEIARABBACgAXAAiAGYAcgBhAGMAdABpAG8AbgBcACIAKQA7AFwAbgBcAG4AUwBvAHUAcgBjAGUARABhAHQAYQBfAFIAaQBjAGUAQwB1AGwAdABpAHYAYQB0AGkAbwBuAF8AVwBhAHQAZQByAFMAYwBhAGwAaQBuAGcARgBhAGMAdABvAHIAUAByAGUAUwBlAGEAcwBvAG4AXwBTAG8AdQByAGMAZQBcAG4AIAAgAD0ATABBAE0AQgBEAEEAKABcACIAVgBFAEUAUgBHACAAMgAwADIANgA6ACAAVABhAGIAbABlACAAQQAuADIALgAzAC4AMgBcACIAKQA7AFwAbgBcAG4AUwBvAHUAcgBjAGUARABhAHQAYQBfAFIAaQBjAGUAQwB1AGwAdABpAHYAYQB0AGkAbwBuAF8AVwBhAHQAZQByAFMAYwBhAGwAaQBuAGcARgBhAGMAdABvAHIAUAByAGUAUwBlAGEAcwBvAG4AXwBWAGEAcgBpAGEAdABpAG8AbgBcAG4AIAAgAD0ATABBAE0AQgBEAEEAKABcACIAXAAiACkAOwBcAG4AXABuAFMAbwB1AHIAYwBlAEQAYQB0AGEAXwBSAGkAYwBlAEMAdQBsAHQAaQB2AGEAdABpAG8AbgBfAFcAYQB0AGUAcgBTAGMAYQBsAGkAbgBnAEYAYQBjAHQAbwByAFAAcgBlAFMAZQBhAHMAbwBuAF8ARABhAHQAYQBcAG4AIAAgAD0ATABBAE0AQgBEAEEAKABcAG4AIAAgACAAIABNAEEASwBFAEEAUgBSAEEAWQAoADUALAAgADIALAAgAFwAbgAgACAAIAAgACAAIABMAEEATQBCAEQAQQAoAHIALABjACwAIABcAG4AIAAgACAAIAAgACAAIAAgAEkATgBEAEUAWAAoAHsAXABuACAAIAAgACAAIAAgACAAIAAgACAAXAAiAFcAYQB0AGUAcgAgAHIAZQBnAGkAbQBlACAAcAByAGkAbwByACAAdABvACAAYwB1AGwAdABpAHYAYQB0AGkAbwBuACAAcABlAHIAaQBvAGQAIABwAFwAIgAsACAAXAAiAFMARgBwAFwAIgA7AFwAbgAgACAAIAAgACAAIAAgACAAIAAgAFwAIgBOAG8AbgAgAGYAbABvAG8AZABlAGQAIABwAHIAZQAtAHMAZQBhAHMAbwBuACAAXAB1ADAAMAAzAGMAMQA4ADAAIABkAGEAeQBzAFwAIgAsACAAMQA7AFwAbgAgACAAIAAgACAAIAAgACAAIAAgAFwAIgBOAG8AbgAgAGYAbABvAG8AZABlAGQAIABwAHIAZQAtAHMAZQBhAHMAbwBuACAAXAB1ADAAMAAzAGUAMQA4ADAAIABkAGEAeQBzAFwAIgAsACAAMAAuADgAOQA7AFwAbgAgACAAIAAgACAAIAAgACAAIAAgAFwAIgBGAGwAbwBvAGQAZQBkACAAcAByAGUALQBzAGUAYQBzAG8AbgAgAFwAdQAwADAAMwBlADMAMAAgAGQAYQB5AHMAXAAiACwAIAAyAC4ANAAxADsAXABuACAAIAAgACAAIAAgACAAIAAgACAAXAAiAE4AbwBuAC0AZgBsAG8AbwBkAGUAZAAgAHAAcgBlAC0AcwBlAGEAcwBvAG4AIABcAHUAMAAwADMAZQAzADYANQAgAGQAYQB5AHMAXAAiACwAIAAwAC4ANQA5AFwAbgAgACAAIAAgACAAIAAgACAAfQAsACAAcgAsACAAYwApAFwAbgAgACAAIAAgACAAIAApAFwAbgAgACAAIAAgACkAXABuACAAIAApADsAXABuAFwAbgBcAG4ALwAqACAAXABuAC0ALQAtAC0ALQAtAC0ALQAtAC0ALQAtAC0ALQAtAC0ALQAtAC0ALQAtAC0ALQAtAC0ALQAtAC0ALQAtAC0ALQAtAC0ALQAtAC0ALQBcAG4AUwBvAHUAcgBjAGUARABhAHQAYQBfAFIAaQBjAGUAQwB1AGwAdABpAHYAYQB0AGkAbwBuAF8ATwByAGcAYQBuAGkAYwBBAG0AZQBuAGQAbQBlAG4AdABDAG8AbgB2AGUAcgBzAGkAbwBuAEYAYQBjAHQAbwByAFwAbgAtAC0ALQAtAC0ALQAtAC0ALQAtAC0ALQAtAC0ALQAtAC0ALQAtAC0ALQAtAC0ALQAtAC0ALQAtAC0ALQAtAC0ALQAtAC0ALQAtAC0AXABuACoALwBcAG4AXABuAFMAbwB1AHIAYwBlAEQAYQB0AGEAXwBSAGkAYwBlAEMAdQBsAHQAaQB2AGEAdABpAG8AbgBfAE8AcgBnAGEAbgBpAGMAQQBtAGUAbgBkAG0AZQBuAHQAQwBvAG4AdgBlAHIAcwBpAG8AbgBGAGEAYwB0AG8AcgBfAFQAaQB0AGwAZQBcAG4AIAAgAD0ATABBAE0AQgBEAEEAKABcACIAQwBvAG4AdgBlAHIAcwBpAG8AbgAgAGYAYQBjAHQAbwByACAAZgBvAHIAIABvAHIAZwBhAG4AaQBjACAAYQBtAGUAbgBkAG0AZQBuAHQAIABpAFwAIgApADsAXABuAFwAbgBTAG8AdQByAGMAZQBEAGEAdABhAF8AUgBpAGMAZQBDAHUAbAB0AGkAdgBhAHQAaQBvAG4AXwBPAHIAZwBhAG4AaQBjAEEAbQBlAG4AZABtAGUAbgB0AEMAbwBuAHYAZQByAHMAaQBvAG4ARgBhAGMAdABvAHIAXwBWAGEAcgBpAGEAYgBsAGUAXABuACAAIAA9AEwAQQBNAEIARABBACgAXAAiAEMARgBPAEEAaQBcACIAKQA7AFwAbgBcAG4AUwBvAHUAcgBjAGUARABhAHQAYQBfAFIAaQBjAGUAQwB1AGwAdABpAHYAYQB0AGkAbwBuAF8ATwByAGcAYQBuAGkAYwBBAG0AZQBuAGQAbQBlAG4AdABDAG8AbgB2AGUAcgBzAGkAbwBuAEYAYQBjAHQAbwByAF8AVQBuAGkAdABcAG4AIAAgAD0ATABBAE0AQgBEAEEAKABcACIAZgByAGEAYwB0AGkAbwBuAFwAIgApADsAXABuAFwAbgBTAG8AdQByAGMAZQBEAGEAdABhAF8AUgBpAGMAZQBDAHUAbAB0AGkAdgBhAHQAaQBvAG4AXwBPAHIAZwBhAG4AaQBjAEEAbQBlAG4AZABtAGUAbgB0AEMAbwBuAHYAZQByAHMAaQBvAG4ARgBhAGMAdABvAHIAXwBTAG8AdQByAGMAZQBcAG4AIAAgAD0ATABBAE0AQgBEAEEAKABcACIAVgBFAEUAUgBHACAAMgAwADIANgA6ACAAVABhAGIAbABlACAAQQAuADIALgAzAC4AMwBcACIAKQA7AFwAbgBcAG4AUwBvAHUAcgBjAGUARABhAHQAYQBfAFIAaQBjAGUAQwB1AGwAdABpAHYAYQB0AGkAbwBuAF8ATwByAGcAYQBuAGkAYwBBAG0AZQBuAGQAbQBlAG4AdABDAG8AbgB2AGUAcgBzAGkAbwBuAEYAYQBjAHQAbwByAF8AVgBhAHIAaQBhAHQAaQBvAG4AXABu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SQBuAGMAbAB1AGQAZQBkACAAaQBuAG8AcgBnAGEAbgBpAGMAIABmAGUAcgB0AGkAbABpAHMAZQByACAAYQBzACAAYQBtAGUAbgBkAG0AZQBuAHQAIABhAHMAIABwAGUAcgAgAFYARQBFAFIARwAgAGUAcQB1AGEAdABpAG8AbgAgAGQAZQBzAGMAcgBpAHAAdABpAG8AbgA6AFwAIgA7AFwAbgAgACAAIAAgACAAIAAgACAAIAAgAFwAIgBXAGgAZQByAGUAIABpAG4AbwByAGcAYQBuAGkAYwAgAGYAZQByAHQAaQBsAGkAcwBlAHIAIABpAHMAIABhAHAAcABsAGkAZQBkACAAdABvACAAdABoAGUAIAByAGkAYwBlACAAZgBpAGUAbABkAHMAIAByAGEAdABoAGUAcgAgAHQAaABhAG4AIABvAHIAZwBhAG4AaQBjACAAYQBtAGUAbgBkAG0AZQBuAHQAcwAsACAAUwBGAF8AbwAgAGkAcwAgAHMAZQB0ACAAdABvACAAMQAuAFwAIgBcAG4AIAAgACAAIAAgACAAIAAgAH0ALAAgAHIALAAgAGMAKQBcAG4AIAAgACAAIAAgACAAKQBcAG4AIAAgACAAIAApAFwAbgAgACAAKQA7AFwAbgBcAG4AUwBvAHUAcgBjAGUARABhAHQAYQBfAFIAaQBjAGUAQwB1AGwAdABpAHYAYQB0AGkAbwBuAF8ATwByAGcAYQBuAGkAYwBBAG0AZQBuAGQAbQBlAG4AdABDAG8AbgB2AGUAcgBzAGkAbwBuAEYAYQBjAHQAbwByAF8ARABhAHQAYQBcAG4AIAAgAD0ATABBAE0AQgBEAEEAKABcAG4AIAAgACAAIABNAEEASwBFAEEAUgBSAEEAWQAoADcALAAgADIALAAgAFwAbgAgACAAIAAgACAAIABMAEEATQBCAEQAQQAoAHIALABjACwAIABcAG4AIAAgACAAIAAgACAAIAAgAEkATgBEAEUAWAAoAHsAXABuACAAIAAgACAAIAAgACAAIAAgACAAXAAiAE8AcgBnAGEAbgBpAGMAIABhAG0AZQBuAGQAbQBlAG4AdAAgAGkAXAAiACwAIABcACIAQwBGAE8AQQBpAFwAIgA7AFwAbgAgACAAIAAgACAAIAAgACAAIAAgAFwAIgBTAHQAcgBhAHcAIABpAG4AYwBvAHIAcABvAHIAYQB0AGUAZAAgAHMAaABvAHIAdABsAHkAIAAoAFwAdQAwADAAMwBjADMAMAAgAGQAYQB5AHMAKQAgAGIAZQBmAG8AcgBlACAAYwB1AGwAdABpAHYAYQB0AGkAbwBuAFwAIgAsACAAMQAuADAAMAA7AFwAbgAgACAAIAAgACAAIAAgACAAIAAgAFwAIgBTAHQAcgBhAHcAIABpAG4AYwBvAHIAcABvAHIAYQB0AGUAZAAgAGwAbwBuAGcAIAAoAFwAdQAwADAAMwBlADMAMAAgAGQAYQB5AHMAKQAgAGIAZQBmAG8AcgBlACAAYwB1AGwAdABpAHYAYQB0AGkAbwBuAFwAIgAsACAAMAAuADEAOQA7AFwAbgAgACAAIAAgACAAIAAgACAAIAAgAFwAIgBDAG8AbQBwAG8AcwB0AFwAIgAsACAAMAAuADEANwA7AFwAbgAgACAAIAAgACAAIAAgACAAIAAgAFwAIgBGAGEAcgBtACAAeQBhAHIAZAAgAG0AYQBuAHUAcgBlAFwAIgAsACAAMAAuADIAMQA7AFwAbgAgACAAIAAgACAAIAAgACAAIAAgAFwAIgBHAHIAZQBlAG4AIABtAGEAbgB1AHIAZQBcACIALAAgADAALgA0ADUAOwBcAG4AIAAgACAAIAAgACAAIAAgACAAIABcACIASQBuAG8AcgBnAGEAbgBpAGMAIABmAGUAcgB0AGkAbABpAHMAZQByAFwAIgAsACAAMQBcAG4AIAAgACAAIAAgACAAIAAgAH0ALAAgAHIALAAgAGMAKQBcAG4AIAAgACAAIAAgACAAKQBcAG4AIAAgACAAIAApAFwAbgAgACAAKQA7AFwAbgBcAG4AXABuAC8AKgAgAFwAbgAtAC0ALQAtAC0ALQAtAC0ALQAtAC0ALQAtAC0ALQAtAC0ALQAtAC0ALQAtAC0ALQAtAC0ALQAtAC0ALQAtAC0ALQAtAC0ALQAtAC0AXABuAFMAbwB1AHIAYwBlAEQAYQB0AGEAXwBSAGkAYwBlAEMAdQBsAHQAaQB2AGEAdABpAG8AbgBfAEIAYQBzAGUAbABpAG4AZQBFAEYAXABuAC0ALQAtAC0ALQAtAC0ALQAtAC0ALQAtAC0ALQAtAC0ALQAtAC0ALQAtAC0ALQAtAC0ALQAtAC0ALQAtAC0ALQAtAC0ALQAtAC0ALQBcAG4AKgAvAFwAbgBcAG4AUwBvAHUAcgBjAGUARABhAHQAYQBfAFIAaQBjAGUAQwB1AGwAdABpAHYAYQB0AGkAbwBuAF8AQgBhAHMAZQBsAGkAbgBlAEUARgBfAFQAaQB0AGwAZQBcAG4AIAAgAD0ATABBAE0AQgBEAEEAKABcACIAQgBhAHMAZQBsAGkAbgBlACAAZQBtAGkAcwBzAGkAbwBuACAAZgBhAGMAdABvAHIAIABmAG8AcgAgAGMAbwBuAHQAaQBuAHUAbwB1AHMAbAB5ACAAZgBsAG8AbwBkAGUAZAAgAGYAaQBlAGwAZABzACAAdwBpAHQAaABvAHUAdAAgAG8AcgBnAGEAbgBpAGMAIABhAG0AZQBuAGQAbQBlAG4AdABzAFwAIgApADsAXABuAFwAbgBTAG8AdQByAGMAZQBEAGEAdABhAF8AUgBpAGMAZQBDAHUAbAB0AGkAdgBhAHQAaQBvAG4AXwBCAGEAcwBlAGwAaQBuAGUARQBGAF8AVgBhAHIAaQBhAGIAbABlAFwAbgAgACAAPQBMAEEATQBCAEQAQQAoAFwAIgBFAEYAYwBcACIAKQA7AFwAbgBcAG4AUwBvAHUAcgBjAGUARABhAHQAYQBfAFIAaQBjAGUAQwB1AGwAdABpAHYAYQB0AGkAbwBuAF8AQgBhAHMAZQBsAGkAbgBlAEUARgBfAFUAbgBpAHQAXABuACAAIAA9AEwAQQBNAEIARABBACgAXAAiAGsAZwAgAEMASAA0ACAALwAgAGgAYQAgAC8AIABkAGEAeQBcACIAKQA7AFwAbgBcAG4AUwBvAHUAcgBjAGUARABhAHQAYQBfAFIAaQBjAGUAQwB1AGwAdABpAHYAYQB0AGkAbwBuAF8AQgBhAHMAZQBsAGkAbgBlAEUARgBfAFMAbwB1AHIAYwBlAFwAbgAgACAAPQBMAEEATQBCAEQAQQAoAFwAIgBWAEUARQBSAEcAIAAyADAAMgA2ADoAIAA3AC4AMgAuADMAIABDAG8AbgBzAHQAYQBuAHQAIABQAGEAcgBhAG0AZQB0AGUAcgBzAFwAIgApADsAXABuAFwAbgBTAG8AdQByAGMAZQBEAGEAdABhAF8AUgBpAGMAZQBDAHUAbAB0AGkAdgBhAHQAaQBvAG4AXwBCAGEAcwBlAGwAaQBuAGUARQBGAF8AVgBhAHIAaQBhAHQAaQBvAG4AXABuACAAIAA9AEwAQQBNAEIARABBACgAXAAiAFwAIgApADsAXABuAFwAbgBTAG8AdQByAGMAZQBEAGEAdABhAF8AUgBpAGMAZQBDAHUAbAB0AGkAdgBhAHQAaQBvAG4AXwBCAGEAcwBlAGwAaQBuAGUARQBGAF8ARABhAHQAYQBcAG4AIAAgAD0ATABBAE0AQgBEAEEAKAAxAC4AMQA5ACkAOwAiAH0ALAB7ACIAcABhAHQAaAAiADoAIgAvAHAAcgBvAGoAZQBjAHQAcwAvAFIAaQBjAGUAQwB1AGwAdABpAHYAY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cALgAxADoAIABSAGkAYwBlACAAQwB1AGwAdABpAHYAYQB0AGkAbwBuAFwAbgA9AD0APQA9AD0APQA9AD0APQA9AD0APQA9AD0APQA9AD0APQA9AD0APQA9AD0APQA9AD0APQA9AD0APQA9AD0APQA9AD0APQA9AD0APQA9AD0APQA9AD0APQA9AD0APQA9AD0APQA9AD0APQA9AD0APQA9AD0APQA9AD0APQA9AD0APQA9AD0APQA9AD0APQA9AD0APQA9AFwAbgA3AC4AMQAuADEALgAxACAATQBlAHQAaABvAGQAIAAxACAALQAgAFIAaQBjAGUAIABDAHUAbAB0AGkAdgBhAHQAaQBvAG4AIABDAEgANA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wBfADEAXwAxAF8AMQBfAF8AMQBfAE0AZQB0AGgAYQBuAGUARQBtAGkAcwBzAGkAbwBuAHMARgByAG8AbQBSAGkAYwBlAEMAdQBsAHQAaQB2AGEAdABpAG8AbgBcAG4ATQBlAHQAaABhAG4AZQAgAGUAbQBpAHMAcwBpAG8AbgBzACAAZgByAG8AbQAgAHIAaQBjAGUAIABjAHUAbAB0AGkAdgBhAHQAaQBvAG4AXABuAEUAXwByAGkAYwBlAFwAbgB0ACAAQwBIADQAXABuAEUAXwB7AHIAaQBjAGUAfQA9AFwAXABzAHUAbQBfAHcAXABcAHMAdQBtAF8AcABcAFwAcwB1AG0AXwBvACgAQQBfAHsAcgBpAGMAZQAsAHcAcABvAH0AXABcAHQAaQBtAGUAcwAgAEUARgBfAHsAcgBpAGMAZQAsAHcAcABvAH0AXABcAHQAaQBtAGUAcwAgAHQAXwB7AHIAaQBjAGUALAB3AHAAbwB9ACkAXABcAHQAaQBtAGUAcwAgADEAMABeAHsALQAzAH0AXABuAEEAXwByAGkAYwBlAHcAcABvACAAPQAgAGEAbgBuAHUAYQBsACAAYQByAGUAYQAgAG8AZgAgAHIAaQBjAGUAIABjAHUAbAB0AGkAdgBhAHQAaQBvAG4AIAB1AG4AZABlAHIAIAB3AGEAdABlAHIAIAByAGUAZwBpAG0AZQAgAHcALAAgAHAAcgBlAC0AcwBlAGEAcwBvAG4AIAB3AGEAdABlAHIAIAByAGUAZwBpAG0AZQAgAHAALAAgAGEAbgBkACAAbwByAGcAYQBuAGkAYwAgAGEAbQBlAG4AZABtAGUAbgB0ACAAYwBvAG4AZABpAHQAaQBvAG4AIABvACAAKABoAGEAKQBcAG4ARQBGAF8AcgBpAGMAZQB3AHAAbwAgAD0AIABlAG0AaQBzAHMAaQBvAG4AIABmAGEAYwB0AG8AcgAgAGYAbwByACAAcgBpAGMAZQAgAGMAdQBsAHQAaQB2AGEAdABpAG8AbgAgAHUAbgBkAGUAcgAgAGMAbwBuAGQAaQB0AGkAbwBuAHMAIAB3ACwAIABwACwAIABhAG4AZAAgAG8AIAAoAGsAZwAgAEMASAA0AC8AaABhAC8AZABhAHkAKQBcAG4AdABfAHIAaQBjAGUAdwBwAG8AIAA9ACAAYwB1AGwAdABpAHYAYQB0AGkAbwBuACAAcABlAHIAaQBvAGQAIABmAG8AcgAgAHIAaQBjAGUAIAB1AG4AZABlAHIAIABjAG8AbgBkAGkAdABpAG8AbgBzACAAdwAsACAAcAAsACAAYQBuAGQAIABvACAAKABkAGEAeQBzACkAXABuAC0ALQAtAC0ALQAtAC0ALQAtAC0ALQAtAC0ALQAtAC0ALQAtAC0ALQAtAC0ALQAtAC0ALQAtAC0ALQAtAC0ALQAtAC0ALQAtAC0ALQBcAG4AKgAvAFwAbgBcAG4AVgBFAEUAUgBHAF8ANwBfADEAXwAxAF8AMQBfAF8AMQBfAE0AZQB0AGgAYQBuAGUARQBtAGkAcwBzAGkAbwBuAHMARgByAG8AbQBSAGkAYwBlAEMAdQBsAHQAaQB2AGEAdABpAG8AbgBcAG4AIAAgAD0ATABBAE0AQgBEAEEAKABcAG4AIAAgACAAIABBAF8AcgBpAGMAZQB3AHAAbwAsACAARQBGAF8AcgBpAGMAZQB3AHAAbwAsACAAdABfAHIAaQBjAGUAdwBwAG8ALABcAG4AIAAgACAAIABTAFUATQAoAEEAXwByAGkAYwBlAHcAcABvACAAKgAgAEUARgBfAHIAaQBjAGUAdwBwAG8AIAAqACAAdABfAHIAaQBjAGUAdwBwAG8AKQAgACoAIAAxADAAIABeACAALQAzAFwAbgAgACAAKQA7AFwAbgBcAG4AVgBFAEUAUgBHAF8ANwBfADEAXwAxAF8AMQBfAF8AMQBfAE0AZQB0AGgAYQBuAGUARQBtAGkAcwBzAGkAbwBuAHMARgByAG8AbQBSAGkAYwBlAEMAdQBsAHQAaQB2AGEAdABpAG8AbgBfAFQAaQB0AGwAZQBcAG4AIAAgAD0ATABBAE0AQgBEAEEAKABcACIATQBlAHQAaABhAG4AZQAgAGUAbQBpAHMAcwBpAG8AbgBzACAAZgByAG8AbQAgAHIAaQBjAGUAIABjAHUAbAB0AGkAdgBhAHQAaQBvAG4AXAAiACkAOwBcAG4AXABuAFYARQBFAFIARwBfADcAXwAxAF8AMQBfADEAXwBfADEAXwBNAGUAdABoAGEAbgBlAEUAbQBpAHMAcwBpAG8AbgBzAEYAcgBvAG0AUgBpAGMAZQBDAHUAbAB0AGkAdgBhAHQAaQBvAG4AXwBWAGEAcgBpAGEAYgBsAGUAXABuACAAIAA9AEwAQQBNAEIARABBACgAXAAiAEUAXwByAGkAYwBlAFwAIgApADsAXABuAFwAbgBWAEUARQBSAEcAXwA3AF8AMQBfADEAXwAxAF8AXwAxAF8ATQBlAHQAaABhAG4AZQBFAG0AaQBzAHMAaQBvAG4AcwBGAHIAbwBtAFIAaQBjAGUAQwB1AGwAdABpAHYAYQB0AGkAbwBuAF8AVQBuAGkAdABcAG4AIAAgAD0ATABBAE0AQgBEAEEAKABcACIAdAAgAEMASAA0AFwAIgApADsAXABuAFwAbgBWAEUARQBSAEcAXwA3AF8AMQBfADEAXwAxAF8AXwAxAF8ATQBlAHQAaABhAG4AZQBFAG0AaQBzAHMAaQBvAG4AcwBGAHIAbwBtAFIAaQBjAGUAQwB1AGwAdABpAHYAYQB0AGkAbwBuAF8AUwBvAHUAcgBjAGUAXABuACAAIAA9AEwAQQBNAEIARABBACgAXAAiAFYARQBFAFIARwAgADIAMAAyADYAOgAgADcALgAxAC4AMQAuADEALAAgAEUAcQB1AGEAdABpAG8AbgAgACgAMQApAFwAIgApADsAXABuAFwAbgBWAEUARQBSAEcAXwA3AF8AMQBfADEAXwAxAF8AXwAxAF8ATQBlAHQAaABhAG4AZQBFAG0AaQBzAHMAaQBvAG4AcwBGAHIAbwBtAFIAaQBjAGUAQwB1AGwAdABpAHYAYQB0AGkAbwBuAF8ATgBJAFIAUgBlAGYAZQByAGUAbgBjAGUAXABuACAAIAA9AEwAQQBNAEIARABBACgAXAAiAFwAIgApADsAXABuAFwAbgBWAEUARQBSAEcAXwA3AF8AMQBfADEAXwAxAF8AXwAxAF8ATQBlAHQAaABhAG4AZQBFAG0AaQBzAHMAaQBvAG4AcwBGAHIAbwBtAFIAaQBjAGUAQwB1AGwAdABpAHYAYQB0AGkAbwBuAF8ATABhAHQAZQB4AEUAcQB1AGEAdABpAG8AbgBcAG4AIAAgAD0ATABBAE0AQgBEAEEAKABcACIARQBfAHsAcgBpAGMAZQB9AD0AXABcAHMAdQBtAF8AdwBcAFwAcwB1AG0AXwBwAFwAXABzAHUAbQBfAG8AKABBAF8AewByAGkAYwBlACwAdwBwAG8AfQBcAFwAdABpAG0AZQBzACAARQBGAF8AewByAGkAYwBlACwAdwBwAG8AfQBcAFwAdABpAG0AZQBzACAAdABfAHsAcgBpAGMAZQAsAHcAcABvAH0AKQBcAFwAdABpAG0AZQBzACAAMQAwAF4AewAtADMAfQBcACIAKQA7AFwAbgBcAG4AVgBFAEUAUgBHAF8ANwBfADEAXwAxAF8AMQBfAF8AMQBfAE0AZQB0AGgAYQBuAGUARQBtAGkAcwBzAGkAbwBuAHMARgByAG8AbQBSAGkAYwBlAEMAdQBsAHQAaQB2AGEAdABpAG8AbgBfAEEAcgBnAHUAbQBlAG4AdABzAFwAbgAgACAAPQBMAEEATQBCAEQAQQAoAFwAbgAgACAAIAAgAE0AQQBLAEUAQQBSAFIAQQBZACgANAAsACAANAAsAFwAbgAgACAAIAAgACAAIABMAEEATQBCAEQAQQAoAHIALABjACwAXABuACAAIAAgACAAIAAgACAAIABJAE4ARABFAFgAKAB7AFwAbgAgACAAIAAgACAAIAAgACAAIAAgAFwAIgBBAF8AcgBpAGMAZQB3AHAAbwBcACIALAAgAFwAIgBhAG4AbgB1AGEAbAAgAGEAcgBlAGEAIABvAGYAIAByAGkAYwBlACAAYwB1AGwAdABpAHYAYQB0AGkAbwBuACAAdQBuAGQAZQByACAAdwBhAHQAZQByACAAcgBlAGcAaQBtAGUAIAB3ACwAIABwAHIAZQAtAHMAZQBhAHMAbwBuACAAdwBhAHQAZQByACAAcgBlAGcAaQBtAGUAIABwACwAIABhAG4AZAAgAG8AcgBnAGEAbgBpAGMAIABhAG0AZQBuAGQAbQBlAG4AdAAgAGMAbwBuAGQAaQB0AGkAbwBuACAAbwBcACIALAAgAFwAIgBoAGEAXAAiACwAIABcACIASQBuAHAAdQB0AFwAIgA7AFwAbgAgACAAIAAgACAAIAAgACAAIAAgAFwAIgBFAEYAXwByAGkAYwBlAHcAcABvAFwAIgAsACAAXAAiAGUAbQBpAHMAcwBpAG8AbgAgAGYAYQBjAHQAbwByACAAZgBvAHIAIAByAGkAYwBlACAAYwB1AGwAdABpAHYAYQB0AGkAbwBuACAAdQBuAGQAZQByACAAYwBvAG4AZABpAHQAaQBvAG4AcwAgAHcALAAgAHAALAAgAGEAbgBkACAAbwBcACIALAAgAFwAIgBrAGcAIABDAEgANAAvAGgAYQAvAGQAYQB5AFwAIgAsACAAXAAiAEMAYQBsAGMAdQBsAGEAdABlAGQAIABmAHIAbwBtACAANwAuADEALgAxAC4AMQAsACAAKAAyACkAXAAiADsAXABuACAAIAAgACAAIAAgACAAIAAgACAAXAAiAHQAXwByAGkAYwBlAHcAcABvAFwAIgAsACAAXAAiAGMAdQBsAHQAaQB2AGEAdABpAG8AbgAgAHAAZQByAGkAbwBkACAAZgBvAHIAIAByAGkAYwBlACAAdQBuAGQAZQByACAAYwBvAG4AZABpAHQAaQBvAG4AcwAgAHcALAAgAHAALAAgAGEAbgBkACAAbwBcACIALAAgAFwAIgBkAGEAeQBzAFwAIgAsACAAXAAiAEkAbgBwAHUAdABcACIAOwBcAG4AIAAgACAAIAAgACAAIAAgACAAIABcACIAcwBcACIALAAgAFwAIgBuAHUAbQBiAGUAcgAgAG8AZgAgAGMAcgBvAHAAcABpAG4AZwAgAHMAZQBhAHMAbwBuAHMAIABpAG4AIAByAGUAcABvAHIAdABpAG4AZwAgAHAAZQByAGkAbwBkACAAbQBhAG4AYQBnAGUAZAAgAHQAaABpAHMAIAB3AGEAeQBcACIALAAgAFwAIgBzAGUAYQBzAG8AbgBzAFwAIgAsACAAXAAiAEkAbgBwAHUAdABcACIAXABuACAAIAAgACAAIAAgACAAIAB9ACwAIAByACwAIABjACkAXABuACAAIAAgACAAIAAgACkAXABuACAAIAAgACAAKQBcAG4AIAAgACkAOwBcAG4AXABuAFYARQBFAFIARwBfADcAXwAxAF8AMQBfADEAXwBfADEAXwBNAGUAdABoAGEAbgBlAEUAbQBpAHMAcwBpAG8AbgBzAEYAcgBvAG0AUgBpAGMAZQBDAHUAbAB0AGkAdgBhAHQAaQBvAG4AXwBWAGEAcgBpAGEAdABpAG8AbgBcAG4AIAAgAD0ATABBAE0AQgBEAEEAKABcACIAQQBkAGQAZQBkACAAXAB1ADAAMAAyADcAbgB1AG0AYgBlAHIAIABvAGYAIABzAGUAYQBzAG8AbgBzAFwAdQAwADAAMgA3ACAAdgBhAHIAaQBhAGIAbABlACAAYQBzACAAcABlAHIAIABWAEUARQBSAEcAIABkAGUAcwBjAHIAaQBwAHQAaQBvAG4AIABpAG4AIAA3AC4AMgAuADEAIABcAHUAMAAwADIANwBXAGgAZQByAGUAIAB0AGgAZQByAGUAIABpAHMAIABtAG8AcgBlACAAdABoAGEAbgAgAG8AbgBlACAAYwByAG8AcABwAGkAbgBnACAAcwBlAGEAcwBvAG4AIABwAGUAcgAgAHkAZQBhAHIALAAgAEEAcgBpAGMAZQAsAHcAcABvACAAcwBoAGEAbABsACAAYgBlACAAcwBjAGEAbABlAGQAIABhAGMAYwBvAHIAZABpAG4AZwBsAHkAXAB1ADAAMAAyADcAXAAiACkAOwBcAG4AXABuAC8AKgBcAG4ALQAtAC0ALQAtAC0ALQAtAC0ALQAtAC0ALQAtAC0ALQAtAC0ALQAtAC0ALQAtAC0ALQAtAC0ALQAtAC0ALQAtAC0ALQAtAC0ALQAtAFwAbgBWAEUARQBSAEcAXwA3AF8AMQBfADEAXwAxAF8AXwAyAF8ARQBtAGkAcwBzAGkAbwBuAEYAYQBjAHQAbwByAEYAbwByAFIAaQBjAGUAQwB1AGwAdABpAHYAYQB0AGkAbwBuAFwAbgBFAG0AaQBzAHMAaQBvAG4AIABmAGEAYwB0AG8AcgAgAGYAbwByACAAcgBpAGMAZQAgAGMAdQBsAHQAaQB2AGEAdABpAG8AbgBcAG4ARQBGAF8AcgBpAGMAZQB3AHAAbwBcAG4AawBnACAAQwBIADQALwBoAGEALwBkAGEAeQBcAG4ARQBGAF8AewByAGkAYwBlACwAdwBwAG8AfQA9AEUARgBfAGMAXABcAHQAaQBtAGUAcwAgAFMARgBfAHcAXABcAHQAaQBtAGUAcwAgAFMARgBfAHAAXABcAHQAaQBtAGUAcwAgAFMARgBfAG8AXABuAEUARgBfAGMAIAA9ACAAYgBhAHMAZQBsAGkAbgBlACAAZQBtAGkAcwBzAGkAbwBuACAAZgBhAGMAdABvAHIAIABmAG8AcgAgAGMAbwBuAHQAaQBuAHUAbwB1AHMAbAB5ACAAZgBsAG8AbwBkAGUAZAAgAGYAaQBlAGwAZABzACAAdwBpAHQAaABvAHUAdAAgAG8AcgBnAGEAbgBpAGMAIABhAG0AZQBuAGQAbQBlAG4AdABzACAAKABrAGcAIABDAEgANAAvAGgAYQAvAGQAYQB5ACkAXABuAFMARgBfAHcAIAA9ACAAcwBjAGEAbABpAG4AZwAgAGYAYQBjAHQAbwByACAAZgBvAHIAIAB3AGEAdABlAHIAIAByAGUAZwBpAG0AZQAgAGQAdQByAGkAbgBnACAAdABoAGUAIABnAHIAbwB3AGkAbgBnACAAcwBlAGEAcwBvAG4AXABuAFMARgBfAHAAIAA9ACAAcwBjAGEAbABpAG4AZwAgAGYAYQBjAHQAbwByACAAZgBvAHIAIAB3AGEAdABlAHIAIAByAGUAZwBpAG0AZQAgAGkAbgAgAHQAaABlACAAcAByAGUALQBzAGUAYQBzAG8AbgBcAG4AUwBGAF8AbwAgAD0AIABzAGMAYQBsAGkAbgBnACAAZgBhAGMAdABvAHIAIABmAG8AcgAgAHQAeQBwAGUAIABhAG4AZAAgAGEAbQBvAHUAbgB0ACAAbwBmACAAbwByAGcAYQBuAGkAYwAgAGEAbQBlAG4AZABtAGUAbgB0AHMAIAAoAHMAZQB0ACAAdABvACAAMQAgAGYAbwByACAAaQBuAG8AcgBnAGEAbgBpAGMAIABmAGUAcgB0AGkAbABpAHMAZQByACAAdQBzAGUAKQBcAG4ALQAtAC0ALQAtAC0ALQAtAC0ALQAtAC0ALQAtAC0ALQAtAC0ALQAtAC0ALQAtAC0ALQAtAC0ALQAtAC0ALQAtAC0ALQAtAC0ALQAtAFwAbgAqAC8AXABuAFwAbgBWAEUARQBSAEcAXwA3AF8AMQBfADEAXwAxAF8AXwAyAF8ARQBtAGkAcwBzAGkAbwBuAEYAYQBjAHQAbwByAEYAbwByAFIAaQBjAGUAQwB1AGwAdABpAHYAYQB0AGkAbwBuAFwAbgAgACAAPQBMAEEATQBCAEQAQQAoAFwAbgAgACAAIAAgAEUARgBfAGMALAAgAFMARgBfAHcALAAgAFMARgBfAHAALAAgAFMARgBfAG8ALABcAG4AIAAgACAAIABFAEYAXwBjACAAKgAgAFMARgBfAHcAIAAqACAAUwBGAF8AcAAgACoAIABTAEYAXwBvAFwAbgAgACAAKQA7AFwAbgBcAG4AVgBFAEUAUgBHAF8ANwBfADEAXwAxAF8AMQBfAF8AMgBfAEUAbQBpAHMAcwBpAG8AbgBGAGEAYwB0AG8AcgBGAG8AcgBSAGkAYwBlAEMAdQBsAHQAaQB2AGEAdABpAG8AbgBfAFQAaQB0AGwAZQBcAG4AIAAgAD0ATABBAE0AQgBEAEEAKABcACIARQBtAGkAcwBzAGkAbwBuACAAZgBhAGMAdABvAHIAIABmAG8AcgAgAHIAaQBjAGUAIABjAHUAbAB0AGkAdgBhAHQAaQBvAG4AXAAiACkAOwBcAG4AXABuAFYARQBFAFIARwBfADcAXwAxAF8AMQBfADEAXwBfADIAXwBFAG0AaQBzAHMAaQBvAG4ARgBhAGMAdABvAHIARgBvAHIAUgBpAGMAZQBDAHUAbAB0AGkAdgBhAHQAaQBvAG4AXwBWAGEAcgBpAGEAYgBsAGUAXABuACAAIAA9AEwAQQBNAEIARABBACgAXAAiAEUARgBfAHIAaQBjAGUAdwBwAG8AXAAiACkAOwBcAG4AXABuAFYARQBFAFIARwBfADcAXwAxAF8AMQBfADEAXwBfADIAXwBFAG0AaQBzAHMAaQBvAG4ARgBhAGMAdABvAHIARgBvAHIAUgBpAGMAZQBDAHUAbAB0AGkAdgBhAHQAaQBvAG4AXwBVAG4AaQB0AFwAbgAgACAAPQBMAEEATQBCAEQAQQAoAFwAIgBrAGcAIABDAEgANAAvAGgAYQAvAGQAYQB5AFwAIgApADsAXABuAFwAbgBWAEUARQBSAEcAXwA3AF8AMQBfADEAXwAxAF8AXwAyAF8ARQBtAGkAcwBzAGkAbwBuAEYAYQBjAHQAbwByAEYAbwByAFIAaQBjAGUAQwB1AGwAdABpAHYAYQB0AGkAbwBuAF8AUwBvAHUAcgBjAGUAXABuACAAIAA9AEwAQQBNAEIARABBACgAXAAiAFYARQBFAFIARwAgADIAMAAyADYAOgAgADcALgAxAC4AMQAuADEALAAgAEUAcQB1AGEAdABpAG8AbgAgACgAMgApAFwAIgApADsAXABuAFwAbgBWAEUARQBSAEcAXwA3AF8AMQBfADEAXwAxAF8AXwAyAF8ARQBtAGkAcwBzAGkAbwBuAEYAYQBjAHQAbwByAEYAbwByAFIAaQBjAGUAQwB1AGwAdABpAHYAYQB0AGkAbwBuAF8ATgBJAFIAUgBlAGYAZQByAGUAbgBjAGUAXABuACAAIAA9AEwAQQBNAEIARABBACgAXAAiAFwAIgApADsAXABuAFwAbgBWAEUARQBSAEcAXwA3AF8AMQBfADEAXwAxAF8AXwAyAF8ARQBtAGkAcwBzAGkAbwBuAEYAYQBjAHQAbwByAEYAbwByAFIAaQBjAGUAQwB1AGwAdABpAHYAYQB0AGkAbwBuAF8ATABhAHQAZQB4AEUAcQB1AGEAdABpAG8AbgBcAG4AIAAgAD0ATABBAE0AQgBEAEEAKABcACIARQBGAF8AewByAGkAYwBlACwAdwBwAG8AfQA9AEUARgBfAGMAXABcAHQAaQBtAGUAcwAgAFMARgBfAHcAXABcAHQAaQBtAGUAcwAgAFMARgBfAHAAXABcAHQAaQBtAGUAcwAgAFMARgBfAG8AXAAiACkAOwBcAG4AXABuAFYARQBFAFIARwBfADcAXwAxAF8AMQBfADEAXwBfADIAXwBFAG0AaQBzAHMAaQBvAG4ARgBhAGMAdABvAHIARgBvAHIAUgBpAGMAZQBDAHUAbAB0AGkAdgBhAHQAaQBvAG4AXwBBAHIAZwB1AG0AZQBuAHQAcwBcAG4AIAAgAD0ATABBAE0AQgBEAEEAKABcAG4AIAAgACAAIABNAEEASwBFAEEAUgBSAEEAWQAoADcALAAgADQALABcAG4AIAAgACAAIAAgACAATABBAE0AQgBEAEEAKAByACwAYwAsAFwAbgAgACAAIAAgACAAIAAgACAASQBOAEQARQBYACgAewBcAG4AIAAgACAAIAAgACAAIAAgACAAIABcACIARQBGAF8AYwBcACIALAAgAFwAIgBiAGEAcwBlAGwAaQBuAGUAIABlAG0AaQBzAHMAaQBvAG4AIABmAGEAYwB0AG8AcgAgAGYAbwByACAAYwBvAG4AdABpAG4AdQBvAHUAcwBsAHkAIABmAGwAbwBvAGQAZQBkACAAZgBpAGUAbABkAHMAIAB3AGkAdABoAG8AdQB0ACAAbwByAGcAYQBuAGkAYwAgAGEAbQBlAG4AZABtAGUAbgB0AHMAXAAiACwAIABcACIAawBnACAAQwBIADQALwBoAGEALwBkAGEAeQBcACIALAAgAFwAIgBDAG8AbgBzAHQAYQBuAHQAXAAiADsAXABuACAAIAAgACAAIAAgACAAIAAgACAAXAAiAFMARgBfAHcAXAAiACwAIABcACIAcwBjAGEAbABpAG4AZwAgAGYAYQBjAHQAbwByACAAZgBvAHIAIAB3AGEAdABlAHIAIAByAGUAZwBpAG0AZQAgAGQAdQByAGkAbgBnACAAdABoAGUAIABnAHIAbwB3AGkAbgBnACAAcwBlAGEAcwBvAG4AXAAiACwAIABcACIAZgByAGEAYwB0AGkAbwBuAFwAIgAsACAAXAAiAEMAbwBuAHMAdABhAG4AdABcACIAOwBcAG4AIAAgACAAIAAgACAAIAAgACAAIABcACIAUwBGAF8AcABcACIALAAgAFwAIgBzAGMAYQBsAGkAbgBnACAAZgBhAGMAdABvAHIAIABmAG8AcgAgAHcAYQB0AGUAcgAgAHIAZQBnAGkAbQBlACAAaQBuACAAdABoAGUAIABwAHIAZQAtAHMAZQBhAHMAbwBuAFwAIgAsACAAXAAiAGYAcgBhAGMAdABpAG8AbgBcACIALAAgAFwAIgBDAG8AbgBzAHQAYQBuAHQAXAAiADsAXABuACAAIAAgACAAIAAgACAAIAAgACAAXAAiAFMARgBfAG8AXAAiACwAIABcACIAcwBjAGEAbABpAG4AZwAgAGYAYQBjAHQAbwByACAAZgBvAHIAIAB0AHkAcABlACAAYQBuAGQAIABhAG0AbwB1AG4AdAAgAG8AZgAgAG8AcgBnAGEAbgBpAGMAIABhAG0AZQBuAGQAbQBlAG4AdABzAFwAIgAsACAAXAAiAGYAcgBhAGMAdABpAG8AbgBcACIALAAgAFwAIgBDAGEAbABjAHUAbABhAHQAZQBkACAAZgByAG8AbQAgADcALgAxAC4AMQAuADEALAAgACgAMwApAFwAIgA7AFwAbgAgACAAIAAgACAAIAAgACAAIAAgAFwAIgB3AFwAIgAsACAAXAAiAHcAYQB0AGUAcgAgAHIAZQBnAGkAbQBlACAAZAB1AHIAaQBuAGcAIABnAHIAbwB3AGkAbgBnACAAcwBlAGEAcwBvAG4AXAAiACwAIABcACIAXAAiACwAIABcACIASQBuAHAAdQB0AFwAIgA7AFwAbgAgACAAIAAgACAAIAAgACAAIAAgAFwAIgBwAFwAIgAsACAAXAAiAHAAcgBlAC0AcwBlAGEAcwBvAG4AIAB3AGEAdABlAHIAIAByAGUAZwBpAG0AZQBcACIALAAgAFwAIgBcACIALAAgAFwAIgBJAG4AcAB1AHQAXAAiADsAXABuACAAIAAgACAAIAAgACAAIAAgACAAXAAiAG8AXAAiACwAIABcACIAbwByAGcAYQBuAGkAYwAgAGEAbQBlAG4AZABtAGUAbgB0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3AF8AMQBfADEAXwAxAF8AXwAzAF8ATwByAGcAYQBuAGkAYwBBAG0AZQBuAGQAbQBlAG4AdABzAFMAYwBhAGwAaQBuAGcARgBhAGMAdABvAHIAXABuAE8AcgBnAGEAbgBpAGMAIABhAG0AZQBuAGQAbQBlAG4AdABzACAAcwBjAGEAbABpAG4AZwAgAGYAYQBjAHQAbwByAFwAbgBTAEYAXwBvAFwAbgBkAGkAbQBlAG4AcwBpAG8AbgBsAGUAcwBzAFwAbgBTAEYAXwBvAD0AKAAxACsAXABcAHMAdQBtAF8AbwAoAFIATwBBAF8AbwBcAFwAdABpAG0AZQBzACAAQwBGAE8AQQBfAG8AKQApAF4AewAwAC4ANQA5AH0AXABuAFIATwBBAF8AbwAgAD0AIABhAHAAcABsAGkAYwBhAHQAaQBvAG4AIAByAGEAdABlACAAbwBmACAAbwByAGcAYQBuAGkAYwAgAGEAbQBlAG4AZABtAGUAbgB0ACAAbwAgACgAdABvAG4AbgBlAHMALwBoAGEAKQBcAG4AQwBGAE8AQQBfAG8AIAA9ACAAYwBvAG4AdgBlAHIAcwBpAG8AbgAgAGYAYQBjAHQAbwByACAAbwBmACAAbwByAGcAYQBuAGkAYwAgAGEAbQBlAG4AZABtAGUAbgB0ACAAbwBcAG4ALQAtAC0ALQAtAC0ALQAtAC0ALQAtAC0ALQAtAC0ALQAtAC0ALQAtAC0ALQAtAC0ALQAtAC0ALQAtAC0ALQAtAC0ALQAtAC0ALQAtAFwAbgAqAC8AXABuAFwAbgBWAEUARQBSAEcAXwA3AF8AMQBfADEAXwAxAF8AXwAzAF8ATwByAGcAYQBuAGkAYwBBAG0AZQBuAGQAbQBlAG4AdABzAFMAYwBhAGwAaQBuAGcARgBhAGMAdABvAHIAXABuACAAIAA9AEwAQQBNAEIARABBACgAXABuACAAIAAgACAAUgBPAEEAXwBvACwAIABDAEYATwBBAF8AbwAsAFwAbgAgACAAIAAgACgAMQAgACsAIABTAFUATQAoAFIATwBBAF8AbwAgACoAIABDAEYATwBBAF8AbwApACkAIABeACAAMAAuADUAOQBcAG4AIAAgACkAOwBcAG4AXABuAFYARQBFAFIARwBfADcAXwAxAF8AMQBfADEAXwBfADMAXwBPAHIAZwBhAG4AaQBjAEEAbQBlAG4AZABtAGUAbgB0AHMAUwBjAGEAbABpAG4AZwBGAGEAYwB0AG8AcgBWAGEAcgBpAGEAdABpAG8AbgBcAG4AIAAgAD0ATABBAE0AQgBEAEEAKABcAG4AIAAgACAAIABSAE8AQQBfAG8AMQAsACAAQwBGAE8AQQBfAG8AMQAsACAAUgBPAEEAXwBvADIALAAgAEMARgBPAEEAXwBvADIALAAgAFIATwBBAF8AbwAzACwAIABDAEYATwBBAF8AbwAzACwAIABSAE8AQQBfAG8ANAAsACAAQwBGAE8AQQBfAG8ANAAsACAAUgBPAEEAXwBvADUALAAgAEMARgBPAEEAXwBvADUALAAgAFIATwBBAF8AbwA2ACwAIABDAEYATwBBAF8AbwA2ACwAXABuACAAIAAgACAAKAAxACAAKwAgACgAKABSAE8AQQBfAG8AMQAgACoAIABDAEYATwBBAF8AbwAxACkAIAArACAAKABSAE8AQQBfAG8AMgAgACoAIABDAEYATwBBAF8AbwAyACkAIAArACAAKABSAE8AQQBfAG8AMwAgACoAIABDAEYATwBBAF8AbwAzACkAKwAgACgAUgBPAEEAXwBvADQAIAAqACAAQwBGAE8AQQBfAG8ANAApACAAKwAgACgAUgBPAEEAXwBvADUAIAAqACAAQwBGAE8AQQBfAG8ANQApACAAKwAgACgAUgBPAEEAXwBvADYAIAAqACAAQwBGAE8AQQBfAG8ANgApACkAKQAgAF4AIAAwAC4ANQA5AFwAbgAgACAAKQA7AFwAbgBcAG4AVgBFAEUAUgBHAF8ANwBfADEAXwAxAF8AMQBfAF8AMwBfAE8AcgBnAGEAbgBpAGMAQQBtAGUAbgBkAG0AZQBuAHQAcwBTAGMAYQBsAGkAbgBnAEYAYQBjAHQAbwByAF8AVABpAHQAbABlAFwAbgAgACAAPQBMAEEATQBCAEQAQQAoAFwAIgBPAHIAZwBhAG4AaQBjACAAYQBtAGUAbgBkAG0AZQBuAHQAcwAgAHMAYwBhAGwAaQBuAGcAIABmAGEAYwB0AG8AcgBcACIAKQA7AFwAbgBcAG4AVgBFAEUAUgBHAF8ANwBfADEAXwAxAF8AMQBfAF8AMwBfAE8AcgBnAGEAbgBpAGMAQQBtAGUAbgBkAG0AZQBuAHQAcwBTAGMAYQBsAGkAbgBnAEYAYQBjAHQAbwByAF8AVgBhAHIAaQBhAGIAbABlAFwAbgAgACAAPQBMAEEATQBCAEQAQQAoAFwAIgBTAEYAXwBvAFwAIgApADsAXABuAFwAbgBWAEUARQBSAEcAXwA3AF8AMQBfADEAXwAxAF8AXwAzAF8ATwByAGcAYQBuAGkAYwBBAG0AZQBuAGQAbQBlAG4AdABzAFMAYwBhAGwAaQBuAGcARgBhAGMAdABvAHIAXwBVAG4AaQB0AFwAbgAgACAAPQBMAEEATQBCAEQAQQAoAFwAIgBkAGkAbQBlAG4AcwBpAG8AbgBsAGUAcwBzAFwAIgApADsAXABuAFwAbgBWAEUARQBSAEcAXwA3AF8AMQBfADEAXwAxAF8AXwAzAF8ATwByAGcAYQBuAGkAYwBBAG0AZQBuAGQAbQBlAG4AdABzAFMAYwBhAGwAaQBuAGcARgBhAGMAdABvAHIAXwBTAG8AdQByAGMAZQBcAG4AIAAgAD0ATABBAE0AQgBEAEEAKABcACIAVgBFAEUAUgBHACAAMgAwADIANgA6ACAANwAuADEALgAxAC4AMQAsACAARQBxAHUAYQB0AGkAbwBuACAAKAAzACkAXAAiACkAOwBcAG4AXABuAFYARQBFAFIARwBfADcAXwAxAF8AMQBfADEAXwBfADMAXwBPAHIAZwBhAG4AaQBjAEEAbQBlAG4AZABtAGUAbgB0AHMAUwBjAGEAbABpAG4AZwBGAGEAYwB0AG8AcgBfAE4ASQBSAFIAZQBmAGUAcgBlAG4AYwBlAFwAbgAgACAAPQBMAEEATQBCAEQAQQAoAFwAIgBcACIAKQA7AFwAbgBcAG4AVgBFAEUAUgBHAF8ANwBfADEAXwAxAF8AMQBfAF8AMwBfAE8AcgBnAGEAbgBpAGMAQQBtAGUAbgBkAG0AZQBuAHQAcwBTAGMAYQBsAGkAbgBnAEYAYQBjAHQAbwByAF8ATABhAHQAZQB4AEUAcQB1AGEAdABpAG8AbgBcAG4AIAAgAD0ATABBAE0AQgBEAEEAKABcACIAUwBGAF8AbwA9ACgAMQArAFwAXABzAHUAbQBfAG8AUgBPAEEAXwBvAFwAXAB0AGkAbQBlAHMAIABDAEYATwBBAF8AbwApAF4AewAwAC4ANQA5AH0AXAAiACkAOwBcAG4AXABuAFYARQBFAFIARwBfADcAXwAxAF8AMQBfADEAXwBfADMAXwBPAHIAZwBhAG4AaQBjAEEAbQBlAG4AZABtAGUAbgB0AHMAUwBjAGEAbABpAG4AZwBGAGEAYwB0AG8AcgBfAEwAYQB0AGUAeABFAHEAdQBhAHQAaQBvAG4AVgBhAHIAaQBhAHQAaQBvAG4AXABuACAAIAA9AEwAQQBNAEIARABBACgAXAAiAFMARgBfAG8APQAoADEAKwAgACgAKABSAE8AQQBfAG8AMQBcAFwAdABpAG0AZQBzACAAQwBGAE8AQQBfAG8AMQApACAAKwAgACgAUgBPAEEAXwBvADIAXABcAHQAaQBtAGUAcwAgAEMARgBPAEEAXwBvADIAKQAgACsAIAAoAFIATwBBAF8AbwAzAFwAXAB0AGkAbQBlAHMAIABDAEYATwBBAF8AbwAzACkAIAArACAAKABSAE8AQQBfAG8ANABcAFwAdABpAG0AZQBzACAAQwBGAE8AQQBfAG8ANAApACAAKwAgACgAUgBPAEEAXwBvADUAXABcAHQAaQBtAGUAcwAgAEMARgBPAEEAXwBvADUAKQAgACsAIAAoAFIATwBBAF8AbwA2AFwAXAB0AGkAbQBlAHMAIABDAEYATwBBAF8AbwA2ACkAKQBeAHsAMAAuADUAOQB9AFwAIgApADsAXABuAFwAbgBWAEUARQBSAEcAXwA3AF8AMQBfADEAXwAxAF8AXwAzAF8ATwByAGcAYQBuAGkAYwBBAG0AZQBuAGQAbQBlAG4AdABzAFMAYwBhAGwAaQBuAGcARgBhAGMAdABvAHIAXwBBAHIAZwB1AG0AZQBuAHQAcwBcAG4AIAAgAD0ATABBAE0AQgBEAEEAKABcAG4AIAAgACAAIABNAEEASwBFAEEAUgBSAEEAWQAoADMALAAgADQALABcAG4AIAAgACAAIAAgACAATABBAE0AQgBEAEEAKAByACwAYwAsAFwAbgAgACAAIAAgACAAIAAgACAASQBOAEQARQBYACgAewBcAG4AIAAgACAAIAAgACAAIAAgACAAIABcACIAUgBPAEEAXwBvAFwAIgAsACAAXAAiAGEAcABwAGwAaQBjAGEAdABpAG8AbgAgAHIAYQB0AGUAIABvAGYAIABvAHIAZwBhAG4AaQBjACAAYQBtAGUAbgBkAG0AZQBuAHQAIABvAFwAIgAsACAAXAAiAHQAbwBuAG4AZQBzAC8AaABhAFwAIgAsACAAXAAiAEkAbgBwAHUAdABcACIAOwBcAG4AIAAgACAAIAAgACAAIAAgACAAIABcACIAQwBGAE8AQQBfAG8AXAAiACwAIABcACIAYwBvAG4AdgBlAHIAcwBpAG8AbgAgAGYAYQBjAHQAbwByACAAbwBmACAAbwByAGcAYQBuAGkAYwAgAGEAbQBlAG4AZABtAGUAbgB0ACAAbwBcACIALAAgAFwAIgBmAHIAYQBjAHQAaQBvAG4AXAAiACwAIABcACIAQwBvAG4AcwB0AGEAbgB0AFwAIgA7AFwAbgAgACAAIAAgACAAIAAgACAAIAAgAFwAIgBvAFwAIgAsACAAXAAiAG8AcgBnAGEAbgBpAGMAIABhAG0AZQBuAGQAbQBlAG4AdAAgAHQAeQBwAGUAXAAiACwAIABcACIAXAAiACwAIABcACIASQBuAHAAdQB0AFwAIgBcAG4AIAAgACAAIAAgACAAIAAgAH0ALAAgAHIALAAgAGMAKQBcAG4AIAAgACAAIAAgACAAKQBcAG4AIAAgACAAIAApAFwAbgAgACAAKQA7AFwAbgBcAG4AVgBFAEUAUgBHAF8ANwBfADEAXwAxAF8AMQBfAF8AMwBfAE8AcgBnAGEAbgBpAGMAQQBtAGUAbgBkAG0AZQBuAHQAcwBTAGMAYQBsAGkAbgBnAEYAYQBjAHQAbwByAF8AVgBhAHIAaQBhAHQAaQBvAG4AXABuACAAIAA9AEwAQQBNAEIARABBACgAXABuACAAIAAgACAATQBBAEsARQBBAFIAUgBBAFkAKAA0ACwAIAAxACwAXABuACAAIAAgACAAIAAgAEwAQQBNAEIARABBACgAcgAsAGMALABcAG4AIAAgACAAIAAgACAAIAAgAEkATgBEAEUAWAAoAHsAXABuACAAIAAgACAAIAAgACAAIAAgACAAXAAiAFYAQQBSAEkAQQBUAEkATwBOACAATwBOACAAUwBPAFUAUgBDAEUAOgBcACIAOwBcAG4AIAAgACAAIAAgACAAIAAgACAAIABcACIASQBuAGMAbAB1AGQAZQBkACAAaQBuAG8AcgBnAGEAbgBpAGMAIABmAGUAcgB0AGkAbABpAHMAZQByACAAYQBzACAAYQBtAGUAbgBkAG0AZQBuAHQAIABhAHMAIABwAGUAcgAgAFYARQBFAFIARwAgAGUAcQB1AGEAdABpAG8AbgAgAGQAZQBzAGMAcgBpAHAAdABpAG8AbgA6AFwAIgA7AFwAbgAgACAAIAAgACAAIAAgACAAIAAgAFwAIgBXAGgAZQByAGUAIABpAG4AbwByAGcAYQBuAGkAYwAgAGYAZQByAHQAaQBsAGkAcwBlAHIAIABpAHMAIABhAHAAcABsAGkAZQBkACAAdABvACAAdABoAGUAIAByAGkAYwBlACAAZgBpAGUAbABkAHMAIAByAGEAdABoAGUAcgAgAHQAaABhAG4AIABvAHIAZwBhAG4AaQBjACAAYQBtAGUAbgBkAG0AZQBuAHQAcwAsACAAUwBGAF8AbwAgAGkAcwAgAHMAZQB0ACAAdABvACAAMQAuAFwAIgA7AFwAbgAgACAAIAAgACAAIAAgACAAIAAgAFwAIgBEAGUAYwBsAGEAcgBlAGQAIABlAGEAYwBoACAAYQBtAGUAbgBkAG0AZQBuAHQAIABzAGUAcABhAHIAYQB0AGUAbAB5ACAAdABvACAAYQBsAGwAbwB3ACAAcwB1AG0AbQBpAG4AZwAgAGkAbgAgAEUAeABjAGUAbAAgAGkAbgAgAG8AbgBlACAAZQBxAHUAYQB0AGkAbwBu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UgBpAGMAZQBDAHUAbAB0AGkAdgBhAHQAaQBvAG4AXwBTAG8AdQByAGMAZQBEAGEAdABhAC4AUwBvAHUAcgBjAGUARABhAHQAYQBfAFIAaQBjAGUAQwB1AGwAdABpAHYAYQB0AGkAbwBuAF8AVwBhAHQAZQByAFMAYwBhAGwAaQBuAGcARgBhAGMAdABvAHIARwByAG8AdwBpAG4AZwBTAGUAYQBzAG8AbgBfAFQAaQB0AGwAZQAiACwAIgBSAGkAYwBlAEMAdQBsAHQAaQB2AGEAdABpAG8AbgBfAFMAbwB1AHIAYwBlAEQAYQB0AGEALgBTAG8AdQByAGMAZQBEAGEAdABhAF8AUgBpAGMAZQBDAHUAbAB0AGkAdgBhAHQAaQBvAG4AXwBXAGEAdABlAHIAUwBjAGEAbABpAG4AZwBGAGEAYwB0AG8AcgBHAHIAbwB3AGkAbgBnAFMAZQBhAHMAbwBuAF8AVgBhAHIAaQBhAGIAbABlACIALAAiAFIAaQBjAGUAQwB1AGwAdABpAHYAYQB0AGkAbwBuAF8AUwBvAHUAcgBjAGUARABhAHQAYQAuAFMAbwB1AHIAYwBlAEQAYQB0AGEAXwBSAGkAYwBlAEMAdQBsAHQAaQB2AGEAdABpAG8AbgBfAFcAYQB0AGUAcgBTAGMAYQBsAGkAbgBnAEYAYQBjAHQAbwByAEcAcgBvAHcAaQBuAGcAUwBlAGEAcwBvAG4AXwBVAG4AaQB0ACIALAAiAFIAaQBjAGUAQwB1AGwAdABpAHYAYQB0AGkAbwBuAF8AUwBvAHUAcgBjAGUARABhAHQAYQAuAFMAbwB1AHIAYwBlAEQAYQB0AGEAXwBSAGkAYwBlAEMAdQBsAHQAaQB2AGEAdABpAG8AbgBfAFcAYQB0AGUAcgBTAGMAYQBsAGkAbgBnAEYAYQBjAHQAbwByAEcAcgBvAHcAaQBuAGcAUwBlAGEAcwBvAG4AXwBTAG8AdQByAGMAZQAiACwAIgBSAGkAYwBlAEMAdQBsAHQAaQB2AGEAdABpAG8AbgBfAFMAbwB1AHIAYwBlAEQAYQB0AGEALgBTAG8AdQByAGMAZQBEAGEAdABhAF8AUgBpAGMAZQBDAHUAbAB0AGkAdgBhAHQAaQBvAG4AXwBXAGEAdABlAHIAUwBjAGEAbABpAG4AZwBGAGEAYwB0AG8AcgBHAHIAbwB3AGkAbgBnAFMAZQBhAHMAbwBuAF8AVgBhAHIAaQBhAHQAaQBvAG4AIgAsACIAUgBpAGMAZQBDAHUAbAB0AGkAdgBhAHQAaQBvAG4AXwBTAG8AdQByAGMAZQBEAGEAdABhAC4AUwBvAHUAcgBjAGUARABhAHQAYQBfAFIAaQBjAGUAQwB1AGwAdABpAHYAYQB0AGkAbwBuAF8AVwBhAHQAZQByAFMAYwBhAGwAaQBuAGcARgBhAGMAdABvAHIARwByAG8AdwBpAG4AZwBTAGUAYQBzAG8AbgBfAEQAYQB0AGEAIgAsACIAUgBpAGMAZQBDAHUAbAB0AGkAdgBhAHQAaQBvAG4AXwBTAG8AdQByAGMAZQBEAGEAdABhAC4AUwBvAHUAcgBjAGUARABhAHQAYQBfAFIAaQBjAGUAQwB1AGwAdABpAHYAYQB0AGkAbwBuAF8AVwBhAHQAZQByAFMAYwBhAGwAaQBuAGcARgBhAGMAdABvAHIAUAByAGUAUwBlAGEAcwBvAG4AXwBUAGkAdABsAGUAIgAsACIAUgBpAGMAZQBDAHUAbAB0AGkAdgBhAHQAaQBvAG4AXwBTAG8AdQByAGMAZQBEAGEAdABhAC4AUwBvAHUAcgBjAGUARABhAHQAYQBfAFIAaQBjAGUAQwB1AGwAdABpAHYAYQB0AGkAbwBuAF8AVwBhAHQAZQByAFMAYwBhAGwAaQBuAGcARgBhAGMAdABvAHIAUAByAGUAUwBlAGEAcwBvAG4AXwBWAGEAcgBpAGEAYgBsAGUAIgAsACIAUgBpAGMAZQBDAHUAbAB0AGkAdgBhAHQAaQBvAG4AXwBTAG8AdQByAGMAZQBEAGEAdABhAC4AUwBvAHUAcgBjAGUARABhAHQAYQBfAFIAaQBjAGUAQwB1AGwAdABpAHYAYQB0AGkAbwBuAF8AVwBhAHQAZQByAFMAYwBhAGwAaQBuAGcARgBhAGMAdABvAHIAUAByAGUAUwBlAGEAcwBvAG4AXwBVAG4AaQB0ACIALAAiAFIAaQBjAGUAQwB1AGwAdABpAHYAYQB0AGkAbwBuAF8AUwBvAHUAcgBjAGUARABhAHQAYQAuAFMAbwB1AHIAYwBlAEQAYQB0AGEAXwBSAGkAYwBlAEMAdQBsAHQAaQB2AGEAdABpAG8AbgBfAFcAYQB0AGUAcgBTAGMAYQBsAGkAbgBnAEYAYQBjAHQAbwByAFAAcgBlAFMAZQBhAHMAbwBuAF8AUwBvAHUAcgBjAGUAIgAsACIAUgBpAGMAZQBDAHUAbAB0AGkAdgBhAHQAaQBvAG4AXwBTAG8AdQByAGMAZQBEAGEAdABhAC4AUwBvAHUAcgBjAGUARABhAHQAYQBfAFIAaQBjAGUAQwB1AGwAdABpAHYAYQB0AGkAbwBuAF8AVwBhAHQAZQByAFMAYwBhAGwAaQBuAGcARgBhAGMAdABvAHIAUAByAGUAUwBlAGEAcwBvAG4AXwBWAGEAcgBpAGEAdABpAG8AbgAiACwAIgBSAGkAYwBlAEMAdQBsAHQAaQB2AGEAdABpAG8AbgBfAFMAbwB1AHIAYwBlAEQAYQB0AGEALgBTAG8AdQByAGMAZQBEAGEAdABhAF8AUgBpAGMAZQBDAHUAbAB0AGkAdgBhAHQAaQBvAG4AXwBXAGEAdABlAHIAUwBjAGEAbABpAG4AZwBGAGEAYwB0AG8AcgBQAHIAZQBTAGUAYQBzAG8AbgBfAEQAYQB0AGEAIgAsACIAUgBpAGMAZQBDAHUAbAB0AGkAdgBhAHQAaQBvAG4AXwBTAG8AdQByAGMAZQBEAGEAdABhAC4AUwBvAHUAcgBjAGUARABhAHQAYQBfAFIAaQBjAGUAQwB1AGwAdABpAHYAYQB0AGkAbwBuAF8ATwByAGcAYQBuAGkAYwBBAG0AZQBuAGQAbQBlAG4AdABDAG8AbgB2AGUAcgBzAGkAbwBuAEYAYQBjAHQAbwByAF8AVABpAHQAbABlACIALAAiAFIAaQBjAGUAQwB1AGwAdABpAHYAYQB0AGkAbwBuAF8AUwBvAHUAcgBjAGUARABhAHQAYQAuAFMAbwB1AHIAYwBlAEQAYQB0AGEAXwBSAGkAYwBlAEMAdQBsAHQAaQB2AGEAdABpAG8AbgBfAE8AcgBnAGEAbgBpAGMAQQBtAGUAbgBkAG0AZQBuAHQAQwBvAG4AdgBlAHIAcwBpAG8AbgBGAGEAYwB0AG8AcgBfAFYAYQByAGkAYQBiAGwAZQAiACwAIgBSAGkAYwBlAEMAdQBsAHQAaQB2AGEAdABpAG8AbgBfAFMAbwB1AHIAYwBlAEQAYQB0AGEALgBTAG8AdQByAGMAZQBEAGEAdABhAF8AUgBpAGMAZQBDAHUAbAB0AGkAdgBhAHQAaQBvAG4AXwBPAHIAZwBhAG4AaQBjAEEAbQBlAG4AZABtAGUAbgB0AEMAbwBuAHYAZQByAHMAaQBvAG4ARgBhAGMAdABvAHIAXwBVAG4AaQB0ACIALAAiAFIAaQBjAGUAQwB1AGwAdABpAHYAYQB0AGkAbwBuAF8AUwBvAHUAcgBjAGUARABhAHQAYQAuAFMAbwB1AHIAYwBlAEQAYQB0AGEAXwBSAGkAYwBlAEMAdQBsAHQAaQB2AGEAdABpAG8AbgBfAE8AcgBnAGEAbgBpAGMAQQBtAGUAbgBkAG0AZQBuAHQAQwBvAG4AdgBlAHIAcwBpAG8AbgBGAGEAYwB0AG8AcgBfAFMAbwB1AHIAYwBlACIALAAiAFIAaQBjAGUAQwB1AGwAdABpAHYAYQB0AGkAbwBuAF8AUwBvAHUAcgBjAGUARABhAHQAYQAuAFMAbwB1AHIAYwBlAEQAYQB0AGEAXwBSAGkAYwBlAEMAdQBsAHQAaQB2AGEAdABpAG8AbgBfAE8AcgBnAGEAbgBpAGMAQQBtAGUAbgBkAG0AZQBuAHQAQwBvAG4AdgBlAHIAcwBpAG8AbgBGAGEAYwB0AG8AcgBfAFYAYQByAGkAYQB0AGkAbwBuACIALAAiAFIAaQBjAGUAQwB1AGwAdABpAHYAYQB0AGkAbwBuAF8AUwBvAHUAcgBjAGUARABhAHQAYQAuAFMAbwB1AHIAYwBlAEQAYQB0AGEAXwBSAGkAYwBlAEMAdQBsAHQAaQB2AGEAdABpAG8AbgBfAE8AcgBnAGEAbgBpAGMAQQBtAGUAbgBkAG0AZQBuAHQAQwBvAG4AdgBlAHIAcwBpAG8AbgBGAGEAYwB0AG8AcgBfAEQAYQB0AGEAIgAsACIAUgBpAGMAZQBDAHUAbAB0AGkAdgBhAHQAaQBvAG4AXwBTAG8AdQByAGMAZQBEAGEAdABhAC4AUwBvAHUAcgBjAGUARABhAHQAYQBfAFIAaQBjAGUAQwB1AGwAdABpAHYAYQB0AGkAbwBuAF8AQgBhAHMAZQBsAGkAbgBlAEUARgBfAFQAaQB0AGwAZQAiACwAIgBSAGkAYwBlAEMAdQBsAHQAaQB2AGEAdABpAG8AbgBfAFMAbwB1AHIAYwBlAEQAYQB0AGEALgBTAG8AdQByAGMAZQBEAGEAdABhAF8AUgBpAGMAZQBDAHUAbAB0AGkAdgBhAHQAaQBvAG4AXwBCAGEAcwBlAGwAaQBuAGUARQBGAF8AVgBhAHIAaQBhAGIAbABlACIALAAiAFIAaQBjAGUAQwB1AGwAdABpAHYAYQB0AGkAbwBuAF8AUwBvAHUAcgBjAGUARABhAHQAYQAuAFMAbwB1AHIAYwBlAEQAYQB0AGEAXwBSAGkAYwBlAEMAdQBsAHQAaQB2AGEAdABpAG8AbgBfAEIAYQBzAGUAbABpAG4AZQBFAEYAXwBVAG4AaQB0ACIALAAiAFIAaQBjAGUAQwB1AGwAdABpAHYAYQB0AGkAbwBuAF8AUwBvAHUAcgBjAGUARABhAHQAYQAuAFMAbwB1AHIAYwBlAEQAYQB0AGEAXwBSAGkAYwBlAEMAdQBsAHQAaQB2AGEAdABpAG8AbgBfAEIAYQBzAGUAbABpAG4AZQBFAEYAXwBTAG8AdQByAGMAZQAiACwAIgBSAGkAYwBlAEMAdQBsAHQAaQB2AGEAdABpAG8AbgBfAFMAbwB1AHIAYwBlAEQAYQB0AGEALgBTAG8AdQByAGMAZQBEAGEAdABhAF8AUgBpAGMAZQBDAHUAbAB0AGkAdgBhAHQAaQBvAG4AXwBCAGEAcwBlAGwAaQBuAGUARQBGAF8AVgBhAHIAaQBhAHQAaQBvAG4AIgAsACIAUgBpAGMAZQBDAHUAbAB0AGkAdgBhAHQAaQBvAG4AXwBTAG8AdQByAGMAZQBEAGEAdABhAC4AUwBvAHUAcgBjAGUARABhAHQAYQBfAFIAaQBjAGUAQwB1AGwAdABpAHYAYQB0AGkAbwBuAF8AQgBhAHMAZQBsAGkAbgBlAEUARgBfAEQAYQB0AGEAIgAsACIAUgBpAGMAZQBDAHUAbAB0AGkAdgBhAHQAaQBvAG4AXwBFAHEAdQBhAHQAaQBvAG4AcwAuAFYARQBFAFIARwBfADcAXwAxAF8AMQBfADEAXwBfADEAXwBNAGUAdABoAGEAbgBlAEUAbQBpAHMAcwBpAG8AbgBzAEYAcgBvAG0AUgBpAGMAZQBDAHUAbAB0AGkAdgBhAHQAaQBvAG4AIgAsACIAUgBpAGMAZQBDAHUAbAB0AGkAdgBhAHQAaQBvAG4AXwBFAHEAdQBhAHQAaQBvAG4AcwAuAFYARQBFAFIARwBfADcAXwAxAF8AMQBfADEAXwBfADEAXwBNAGUAdABoAGEAbgBlAEUAbQBpAHMAcwBpAG8AbgBzAEYAcgBvAG0AUgBpAGMAZQBDAHUAbAB0AGkAdgBhAHQAaQBvAG4AXwBUAGkAdABsAGUAIgAsACIAUgBpAGMAZQBDAHUAbAB0AGkAdgBhAHQAaQBvAG4AXwBFAHEAdQBhAHQAaQBvAG4AcwAuAFYARQBFAFIARwBfADcAXwAxAF8AMQBfADEAXwBfADEAXwBNAGUAdABoAGEAbgBlAEUAbQBpAHMAcwBpAG8AbgBzAEYAcgBvAG0AUgBpAGMAZQBDAHUAbAB0AGkAdgBhAHQAaQBvAG4AXwBWAGEAcgBpAGEAYgBsAGUAIgAsACIAUgBpAGMAZQBDAHUAbAB0AGkAdgBhAHQAaQBvAG4AXwBFAHEAdQBhAHQAaQBvAG4AcwAuAFYARQBFAFIARwBfADcAXwAxAF8AMQBfADEAXwBfADEAXwBNAGUAdABoAGEAbgBlAEUAbQBpAHMAcwBpAG8AbgBzAEYAcgBvAG0AUgBpAGMAZQBDAHUAbAB0AGkAdgBhAHQAaQBvAG4AXwBVAG4AaQB0ACIALAAiAFIAaQBjAGUAQwB1AGwAdABpAHYAYQB0AGkAbwBuAF8ARQBxAHUAYQB0AGkAbwBuAHMALgBWAEUARQBSAEcAXwA3AF8AMQBfADEAXwAxAF8AXwAxAF8ATQBlAHQAaABhAG4AZQBFAG0AaQBzAHMAaQBvAG4AcwBGAHIAbwBtAFIAaQBjAGUAQwB1AGwAdABpAHYAYQB0AGkAbwBuAF8AUwBvAHUAcgBjAGUAIgAsACIAUgBpAGMAZQBDAHUAbAB0AGkAdgBhAHQAaQBvAG4AXwBFAHEAdQBhAHQAaQBvAG4AcwAuAFYARQBFAFIARwBfADcAXwAxAF8AMQBfADEAXwBfADEAXwBNAGUAdABoAGEAbgBlAEUAbQBpAHMAcwBpAG8AbgBzAEYAcgBvAG0AUgBpAGMAZQBDAHUAbAB0AGkAdgBhAHQAaQBvAG4AXwBOAEkAUgBSAGUAZgBlAHIAZQBuAGMAZQAiACwAIgBSAGkAYwBlAEMAdQBsAHQAaQB2AGEAdABpAG8AbgBfAEUAcQB1AGEAdABpAG8AbgBzAC4AVgBFAEUAUgBHAF8ANwBfADEAXwAxAF8AMQBfAF8AMQBfAE0AZQB0AGgAYQBuAGUARQBtAGkAcwBzAGkAbwBuAHMARgByAG8AbQBSAGkAYwBlAEMAdQBsAHQAaQB2AGEAdABpAG8AbgBfAEwAYQB0AGUAeABFAHEAdQBhAHQAaQBvAG4AIgAsACIAUgBpAGMAZQBDAHUAbAB0AGkAdgBhAHQAaQBvAG4AXwBFAHEAdQBhAHQAaQBvAG4AcwAuAFYARQBFAFIARwBfADcAXwAxAF8AMQBfADEAXwBfADEAXwBNAGUAdABoAGEAbgBlAEUAbQBpAHMAcwBpAG8AbgBzAEYAcgBvAG0AUgBpAGMAZQBDAHUAbAB0AGkAdgBhAHQAaQBvAG4AXwBBAHIAZwB1AG0AZQBuAHQAcwAiACwAIgBSAGkAYwBlAEMAdQBsAHQAaQB2AGEAdABpAG8AbgBfAEUAcQB1AGEAdABpAG8AbgBzAC4AVgBFAEUAUgBHAF8ANwBfADEAXwAxAF8AMQBfAF8AMQBfAE0AZQB0AGgAYQBuAGUARQBtAGkAcwBzAGkAbwBuAHMARgByAG8AbQBSAGkAYwBlAEMAdQBsAHQAaQB2AGEAdABpAG8AbgBfAFYAYQByAGkAYQB0AGkAbwBuACIALAAiAFIAaQBjAGUAQwB1AGwAdABpAHYAYQB0AGkAbwBuAF8ARQBxAHUAYQB0AGkAbwBuAHMALgBWAEUARQBSAEcAXwA3AF8AMQBfADEAXwAxAF8AXwAyAF8ARQBtAGkAcwBzAGkAbwBuAEYAYQBjAHQAbwByAEYAbwByAFIAaQBjAGUAQwB1AGwAdABpAHYAYQB0AGkAbwBuACIALAAiAFIAaQBjAGUAQwB1AGwAdABpAHYAYQB0AGkAbwBuAF8ARQBxAHUAYQB0AGkAbwBuAHMALgBWAEUARQBSAEcAXwA3AF8AMQBfADEAXwAxAF8AXwAyAF8ARQBtAGkAcwBzAGkAbwBuAEYAYQBjAHQAbwByAEYAbwByAFIAaQBjAGUAQwB1AGwAdABpAHYAYQB0AGkAbwBuAF8AVABpAHQAbABlACIALAAiAFIAaQBjAGUAQwB1AGwAdABpAHYAYQB0AGkAbwBuAF8ARQBxAHUAYQB0AGkAbwBuAHMALgBWAEUARQBSAEcAXwA3AF8AMQBfADEAXwAxAF8AXwAyAF8ARQBtAGkAcwBzAGkAbwBuAEYAYQBjAHQAbwByAEYAbwByAFIAaQBjAGUAQwB1AGwAdABpAHYAYQB0AGkAbwBuAF8AVgBhAHIAaQBhAGIAbABlACIALAAiAFIAaQBjAGUAQwB1AGwAdABpAHYAYQB0AGkAbwBuAF8ARQBxAHUAYQB0AGkAbwBuAHMALgBWAEUARQBSAEcAXwA3AF8AMQBfADEAXwAxAF8AXwAyAF8ARQBtAGkAcwBzAGkAbwBuAEYAYQBjAHQAbwByAEYAbwByAFIAaQBjAGUAQwB1AGwAdABpAHYAYQB0AGkAbwBuAF8AVQBuAGkAdAAiACwAIgBSAGkAYwBlAEMAdQBsAHQAaQB2AGEAdABpAG8AbgBfAEUAcQB1AGEAdABpAG8AbgBzAC4AVgBFAEUAUgBHAF8ANwBfADEAXwAxAF8AMQBfAF8AMgBfAEUAbQBpAHMAcwBpAG8AbgBGAGEAYwB0AG8AcgBGAG8AcgBSAGkAYwBlAEMAdQBsAHQAaQB2AGEAdABpAG8AbgBfAFMAbwB1AHIAYwBlACIALAAiAFIAaQBjAGUAQwB1AGwAdABpAHYAYQB0AGkAbwBuAF8ARQBxAHUAYQB0AGkAbwBuAHMALgBWAEUARQBSAEcAXwA3AF8AMQBfADEAXwAxAF8AXwAyAF8ARQBtAGkAcwBzAGkAbwBuAEYAYQBjAHQAbwByAEYAbwByAFIAaQBjAGUAQwB1AGwAdABpAHYAYQB0AGkAbwBuAF8ATgBJAFIAUgBlAGYAZQByAGUAbgBjAGUAIgAsACIAUgBpAGMAZQBDAHUAbAB0AGkAdgBhAHQAaQBvAG4AXwBFAHEAdQBhAHQAaQBvAG4AcwAuAFYARQBFAFIARwBfADcAXwAxAF8AMQBfADEAXwBfADIAXwBFAG0AaQBzAHMAaQBvAG4ARgBhAGMAdABvAHIARgBvAHIAUgBpAGMAZQBDAHUAbAB0AGkAdgBhAHQAaQBvAG4AXwBMAGEAdABlAHgARQBxAHUAYQB0AGkAbwBuACIALAAiAFIAaQBjAGUAQwB1AGwAdABpAHYAYQB0AGkAbwBuAF8ARQBxAHUAYQB0AGkAbwBuAHMALgBWAEUARQBSAEcAXwA3AF8AMQBfADEAXwAxAF8AXwAyAF8ARQBtAGkAcwBzAGkAbwBuAEYAYQBjAHQAbwByAEYAbwByAFIAaQBjAGUAQwB1AGwAdABpAHYAYQB0AGkAbwBuAF8AQQByAGcAdQBtAGUAbgB0AHMAIgAsACIAUgBpAGMAZQBDAHUAbAB0AGkAdgBhAHQAaQBvAG4AXwBFAHEAdQBhAHQAaQBvAG4AcwAuAFYARQBFAFIARwBfADcAXwAxAF8AMQBfADEAXwBfADMAXwBPAHIAZwBhAG4AaQBjAEEAbQBlAG4AZABtAGUAbgB0AHMAUwBjAGEAbABpAG4AZwBGAGEAYwB0AG8AcgAiACwAIgBSAGkAYwBlAEMAdQBsAHQAaQB2AGEAdABpAG8AbgBfAEUAcQB1AGEAdABpAG8AbgBzAC4AVgBFAEUAUgBHAF8ANwBfADEAXwAxAF8AMQBfAF8AMwBfAE8AcgBnAGEAbgBpAGMAQQBtAGUAbgBkAG0AZQBuAHQAcwBTAGMAYQBsAGkAbgBnAEYAYQBjAHQAbwByAFYAYQByAGkAYQB0AGkAbwBuACIALAAiAFIAaQBjAGUAQwB1AGwAdABpAHYAYQB0AGkAbwBuAF8ARQBxAHUAYQB0AGkAbwBuAHMALgBWAEUARQBSAEcAXwA3AF8AMQBfADEAXwAxAF8AXwAzAF8ATwByAGcAYQBuAGkAYwBBAG0AZQBuAGQAbQBlAG4AdABzAFMAYwBhAGwAaQBuAGcARgBhAGMAdABvAHIAXwBUAGkAdABsAGUAIgAsACIAUgBpAGMAZQBDAHUAbAB0AGkAdgBhAHQAaQBvAG4AXwBFAHEAdQBhAHQAaQBvAG4AcwAuAFYARQBFAFIARwBfADcAXwAxAF8AMQBfADEAXwBfADMAXwBPAHIAZwBhAG4AaQBjAEEAbQBlAG4AZABtAGUAbgB0AHMAUwBjAGEAbABpAG4AZwBGAGEAYwB0AG8AcgBfAFYAYQByAGkAYQBiAGwAZQAiACwAIgBSAGkAYwBlAEMAdQBsAHQAaQB2AGEAdABpAG8AbgBfAEUAcQB1AGEAdABpAG8AbgBzAC4AVgBFAEUAUgBHAF8ANwBfADEAXwAxAF8AMQBfAF8AMwBfAE8AcgBnAGEAbgBpAGMAQQBtAGUAbgBkAG0AZQBuAHQAcwBTAGMAYQBsAGkAbgBnAEYAYQBjAHQAbwByAF8AVQBuAGkAdAAiACwAIgBSAGkAYwBlAEMAdQBsAHQAaQB2AGEAdABpAG8AbgBfAEUAcQB1AGEAdABpAG8AbgBzAC4AVgBFAEUAUgBHAF8ANwBfADEAXwAxAF8AMQBfAF8AMwBfAE8AcgBnAGEAbgBpAGMAQQBtAGUAbgBkAG0AZQBuAHQAcwBTAGMAYQBsAGkAbgBnAEYAYQBjAHQAbwByAF8AUwBvAHUAcgBjAGUAIgAsACIAUgBpAGMAZQBDAHUAbAB0AGkAdgBhAHQAaQBvAG4AXwBFAHEAdQBhAHQAaQBvAG4AcwAuAFYARQBFAFIARwBfADcAXwAxAF8AMQBfADEAXwBfADMAXwBPAHIAZwBhAG4AaQBjAEEAbQBlAG4AZABtAGUAbgB0AHMAUwBjAGEAbABpAG4AZwBGAGEAYwB0AG8AcgBfAE4ASQBSAFIAZQBmAGUAcgBlAG4AYwBlACIALAAiAFIAaQBjAGUAQwB1AGwAdABpAHYAYQB0AGkAbwBuAF8ARQBxAHUAYQB0AGkAbwBuAHMALgBWAEUARQBSAEcAXwA3AF8AMQBfADEAXwAxAF8AXwAzAF8ATwByAGcAYQBuAGkAYwBBAG0AZQBuAGQAbQBlAG4AdABzAFMAYwBhAGwAaQBuAGcARgBhAGMAdABvAHIAXwBMAGEAdABlAHgARQBxAHUAYQB0AGkAbwBuACIALAAiAFIAaQBjAGUAQwB1AGwAdABpAHYAYQB0AGkAbwBuAF8ARQBxAHUAYQB0AGkAbwBuAHMALgBWAEUARQBSAEcAXwA3AF8AMQBfADEAXwAxAF8AXwAzAF8ATwByAGcAYQBuAGkAYwBBAG0AZQBuAGQAbQBlAG4AdABzAFMAYwBhAGwAaQBuAGcARgBhAGMAdABvAHIAXwBMAGEAdABlAHgARQBxAHUAYQB0AGkAbwBuAFYAYQByAGkAYQB0AGkAbwBuACIALAAiAFIAaQBjAGUAQwB1AGwAdABpAHYAYQB0AGkAbwBuAF8ARQBxAHUAYQB0AGkAbwBuAHMALgBWAEUARQBSAEcAXwA3AF8AMQBfADEAXwAxAF8AXwAzAF8ATwByAGcAYQBuAGkAYwBBAG0AZQBuAGQAbQBlAG4AdABzAFMAYwBhAGwAaQBuAGcARgBhAGMAdABvAHIAXwBBAHIAZwB1AG0AZQBuAHQAcwAiACwAIgBSAGkAYwBlAEMAdQBsAHQAaQB2AGEAdABpAG8AbgBfAEUAcQB1AGEAdABpAG8AbgBzAC4AVgBFAEUAUgBHAF8ANwBfADEAXwAxAF8AMQBfAF8AMwBfAE8AcgBnAGEAbgBpAGMAQQBtAGUAbgBkAG0AZQBuAHQAcwBTAGMAYQBsAGkAbgBnAEYAYQBjAHQAbwBy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Home</vt:lpstr>
      <vt:lpstr>Overview</vt:lpstr>
      <vt:lpstr>Results</vt:lpstr>
      <vt:lpstr>Input - Site</vt:lpstr>
      <vt:lpstr>Input - Rice</vt:lpstr>
      <vt:lpstr>7.1.1-2 Rice cultivation</vt:lpstr>
      <vt:lpstr>Constants - Rice cultivation</vt:lpstr>
      <vt:lpstr>Constants - Common</vt:lpstr>
      <vt:lpstr>Common_SourceData_DensityOfMethane_Data</vt:lpstr>
      <vt:lpstr>SourceData_RiceCultivation_BaselineEF_Data</vt:lpstr>
      <vt:lpstr>Table_CFOA_o</vt:lpstr>
      <vt:lpstr>Table_E_rice</vt:lpstr>
      <vt:lpstr>Table_EF_rice_w_p_o</vt:lpstr>
      <vt:lpstr>Table_ROA_o</vt:lpstr>
      <vt:lpstr>Table_SF_o</vt:lpstr>
      <vt:lpstr>VEERG_7_1_1_1__1_MethaneEmissionsFromRiceCultivation_Result_Method1</vt:lpstr>
      <vt:lpstr>X_Cell_NumberGorwingSeasons</vt:lpstr>
      <vt:lpstr>X_Cell_Site_EndDate</vt:lpstr>
      <vt:lpstr>X_Cell_Site_FarmName</vt:lpstr>
      <vt:lpstr>X_Cell_Site_ReportingEntityName</vt:lpstr>
      <vt:lpstr>X_Cell_Site_StartDate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2026-08-14T00:03:07Z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2026-09-02T17:27:13; rename=True resize=True scope=all</vt:lpwstr>
  </property>
</Properties>
</file>