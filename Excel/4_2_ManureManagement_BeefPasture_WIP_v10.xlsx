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1E60331-93BE-4203-B551-629B20FCB9F1}" xr6:coauthVersionLast="47" xr6:coauthVersionMax="47" xr10:uidLastSave="{00000000-0000-0000-0000-000000000000}"/>
  <bookViews>
    <workbookView xWindow="2340" yWindow="1890" windowWidth="36060" windowHeight="19710" activeTab="4"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10"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8" i="70" l="1"/>
  <c r="E25" i="69"/>
  <c r="X274" i="69"/>
  <c r="X273" i="69"/>
  <c r="X272" i="69"/>
  <c r="X271" i="69"/>
  <c r="X270" i="69"/>
  <c r="X269" i="69"/>
  <c r="X268" i="69"/>
  <c r="X267" i="69"/>
  <c r="X266" i="69"/>
  <c r="X265" i="69"/>
  <c r="X264" i="69"/>
  <c r="X263" i="69"/>
  <c r="X262" i="69"/>
  <c r="X261" i="69"/>
  <c r="X260" i="69"/>
  <c r="X259" i="69"/>
  <c r="X258" i="69"/>
  <c r="X257" i="69"/>
  <c r="X256" i="69"/>
  <c r="X255" i="69"/>
  <c r="X254" i="69"/>
  <c r="X253" i="69"/>
  <c r="X252" i="69"/>
  <c r="X251" i="69"/>
  <c r="X200" i="69"/>
  <c r="X199" i="69"/>
  <c r="X198" i="69"/>
  <c r="X197" i="69"/>
  <c r="X196" i="69"/>
  <c r="X195" i="69"/>
  <c r="X194" i="69"/>
  <c r="X193" i="69"/>
  <c r="X192" i="69"/>
  <c r="X191" i="69"/>
  <c r="X190" i="69"/>
  <c r="X189" i="69"/>
  <c r="X188" i="69"/>
  <c r="X187" i="69"/>
  <c r="X186" i="69"/>
  <c r="X185" i="69"/>
  <c r="X184" i="69"/>
  <c r="X183" i="69"/>
  <c r="X182" i="69"/>
  <c r="X181" i="69"/>
  <c r="X180" i="69"/>
  <c r="X179" i="69"/>
  <c r="X178" i="69"/>
  <c r="X177" i="69"/>
  <c r="W142" i="69"/>
  <c r="W141" i="69"/>
  <c r="W140" i="69"/>
  <c r="W139" i="69"/>
  <c r="W138" i="69"/>
  <c r="W137" i="69"/>
  <c r="W136" i="69"/>
  <c r="W135" i="69"/>
  <c r="W134" i="69"/>
  <c r="W133" i="69"/>
  <c r="W132" i="69"/>
  <c r="W131" i="69"/>
  <c r="N20" i="70"/>
  <c r="M20" i="70"/>
  <c r="L20" i="70"/>
  <c r="K20" i="70"/>
  <c r="J20" i="70"/>
  <c r="I20" i="70"/>
  <c r="H20" i="70"/>
  <c r="G20" i="70"/>
  <c r="F20" i="70"/>
  <c r="E20" i="70"/>
  <c r="N19" i="70"/>
  <c r="M19" i="70"/>
  <c r="L19" i="70"/>
  <c r="K19" i="70"/>
  <c r="J19" i="70"/>
  <c r="I19" i="70"/>
  <c r="H19" i="70"/>
  <c r="G19" i="70"/>
  <c r="F19" i="70"/>
  <c r="E19" i="70"/>
  <c r="N18" i="70"/>
  <c r="M18" i="70"/>
  <c r="L18" i="70"/>
  <c r="K18" i="70"/>
  <c r="J18" i="70"/>
  <c r="I18" i="70"/>
  <c r="H18" i="70"/>
  <c r="G18" i="70"/>
  <c r="F18" i="70"/>
  <c r="E18" i="70"/>
  <c r="N17" i="70"/>
  <c r="M17" i="70"/>
  <c r="L17" i="70"/>
  <c r="K17" i="70"/>
  <c r="J17" i="70"/>
  <c r="I17" i="70"/>
  <c r="H17" i="70"/>
  <c r="G17" i="70"/>
  <c r="F17" i="70"/>
  <c r="E17" i="70"/>
  <c r="A8" i="72"/>
  <c r="A7" i="72"/>
  <c r="A3" i="72"/>
  <c r="D9" i="79"/>
  <c r="D8" i="79"/>
  <c r="I33" i="98"/>
  <c r="P39" i="98"/>
  <c r="G39" i="98"/>
  <c r="I34" i="98"/>
  <c r="I14" i="98"/>
  <c r="Q38" i="97"/>
  <c r="G38" i="97"/>
  <c r="I30" i="97"/>
  <c r="I29" i="97"/>
  <c r="X270" i="76"/>
  <c r="G232" i="76"/>
  <c r="H226" i="76"/>
  <c r="H225" i="76"/>
  <c r="M28" i="76"/>
  <c r="L28" i="76"/>
  <c r="K28" i="76"/>
  <c r="J28" i="76"/>
  <c r="I28" i="76"/>
  <c r="H28" i="76"/>
  <c r="G28" i="76"/>
  <c r="F28" i="76"/>
  <c r="E28" i="76"/>
  <c r="D28" i="76"/>
  <c r="Z279" i="69"/>
  <c r="G247" i="69"/>
  <c r="X172" i="69"/>
  <c r="X171" i="69"/>
  <c r="E172" i="69"/>
  <c r="E171" i="69"/>
  <c r="E153" i="70"/>
  <c r="E152"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0" i="70"/>
  <c r="M130" i="70"/>
  <c r="L130" i="70"/>
  <c r="K130" i="70"/>
  <c r="J130" i="70"/>
  <c r="I130" i="70"/>
  <c r="H130" i="70"/>
  <c r="G130" i="70"/>
  <c r="F130" i="70"/>
  <c r="E130" i="70"/>
  <c r="N129" i="70"/>
  <c r="M129" i="70"/>
  <c r="L129" i="70"/>
  <c r="K129" i="70"/>
  <c r="J129" i="70"/>
  <c r="I129" i="70"/>
  <c r="H129" i="70"/>
  <c r="G129" i="70"/>
  <c r="F129" i="70"/>
  <c r="E129" i="70"/>
  <c r="N128" i="70"/>
  <c r="M128" i="70"/>
  <c r="L128" i="70"/>
  <c r="K128" i="70"/>
  <c r="J128" i="70"/>
  <c r="I128" i="70"/>
  <c r="H128" i="70"/>
  <c r="G128" i="70"/>
  <c r="F128" i="70"/>
  <c r="E128" i="70"/>
  <c r="N127" i="70"/>
  <c r="M127" i="70"/>
  <c r="L127" i="70"/>
  <c r="K127" i="70"/>
  <c r="J127" i="70"/>
  <c r="I127" i="70"/>
  <c r="H127" i="70"/>
  <c r="G127" i="70"/>
  <c r="F127" i="70"/>
  <c r="E127" i="70"/>
  <c r="N122" i="70"/>
  <c r="M122" i="70"/>
  <c r="L122" i="70"/>
  <c r="K122" i="70"/>
  <c r="J122" i="70"/>
  <c r="I122" i="70"/>
  <c r="H122" i="70"/>
  <c r="G122" i="70"/>
  <c r="F122" i="70"/>
  <c r="E122" i="70"/>
  <c r="N121" i="70"/>
  <c r="M121" i="70"/>
  <c r="L121" i="70"/>
  <c r="K121" i="70"/>
  <c r="J121" i="70"/>
  <c r="I121" i="70"/>
  <c r="H121" i="70"/>
  <c r="G121" i="70"/>
  <c r="F121" i="70"/>
  <c r="E121" i="70"/>
  <c r="N120" i="70"/>
  <c r="M120" i="70"/>
  <c r="L120" i="70"/>
  <c r="K120" i="70"/>
  <c r="J120" i="70"/>
  <c r="I120" i="70"/>
  <c r="H120" i="70"/>
  <c r="G120" i="70"/>
  <c r="F120" i="70"/>
  <c r="E120" i="70"/>
  <c r="N119" i="70"/>
  <c r="M119" i="70"/>
  <c r="L119" i="70"/>
  <c r="K119" i="70"/>
  <c r="J119" i="70"/>
  <c r="I119" i="70"/>
  <c r="H119" i="70"/>
  <c r="G119" i="70"/>
  <c r="F119" i="70"/>
  <c r="E119" i="70"/>
  <c r="N118" i="70"/>
  <c r="M118" i="70"/>
  <c r="L118" i="70"/>
  <c r="K118" i="70"/>
  <c r="J118" i="70"/>
  <c r="I118" i="70"/>
  <c r="H118" i="70"/>
  <c r="G118" i="70"/>
  <c r="F118" i="70"/>
  <c r="E118" i="70"/>
  <c r="N117" i="70"/>
  <c r="M117" i="70"/>
  <c r="L117" i="70"/>
  <c r="K117" i="70"/>
  <c r="J117" i="70"/>
  <c r="I117" i="70"/>
  <c r="H117" i="70"/>
  <c r="G117" i="70"/>
  <c r="F117" i="70"/>
  <c r="E117" i="70"/>
  <c r="N116" i="70"/>
  <c r="M116" i="70"/>
  <c r="L116" i="70"/>
  <c r="K116" i="70"/>
  <c r="J116" i="70"/>
  <c r="I116" i="70"/>
  <c r="H116" i="70"/>
  <c r="G116" i="70"/>
  <c r="F116" i="70"/>
  <c r="E116" i="70"/>
  <c r="N115" i="70"/>
  <c r="M115" i="70"/>
  <c r="L115" i="70"/>
  <c r="K115" i="70"/>
  <c r="J115" i="70"/>
  <c r="I115" i="70"/>
  <c r="H115" i="70"/>
  <c r="G115" i="70"/>
  <c r="F115" i="70"/>
  <c r="E115" i="70"/>
  <c r="N114" i="70"/>
  <c r="M114" i="70"/>
  <c r="L114" i="70"/>
  <c r="K114" i="70"/>
  <c r="J114" i="70"/>
  <c r="I114" i="70"/>
  <c r="H114" i="70"/>
  <c r="G114" i="70"/>
  <c r="F114" i="70"/>
  <c r="E114" i="70"/>
  <c r="N113" i="70"/>
  <c r="M113" i="70"/>
  <c r="L113" i="70"/>
  <c r="K113" i="70"/>
  <c r="J113" i="70"/>
  <c r="I113" i="70"/>
  <c r="H113" i="70"/>
  <c r="G113" i="70"/>
  <c r="F113" i="70"/>
  <c r="E113" i="70"/>
  <c r="N112" i="70"/>
  <c r="M112" i="70"/>
  <c r="L112" i="70"/>
  <c r="K112" i="70"/>
  <c r="J112" i="70"/>
  <c r="I112" i="70"/>
  <c r="H112" i="70"/>
  <c r="G112" i="70"/>
  <c r="F112" i="70"/>
  <c r="E112" i="70"/>
  <c r="N111" i="70"/>
  <c r="M111" i="70"/>
  <c r="L111" i="70"/>
  <c r="K111" i="70"/>
  <c r="J111" i="70"/>
  <c r="I111" i="70"/>
  <c r="H111" i="70"/>
  <c r="G111" i="70"/>
  <c r="F111" i="70"/>
  <c r="E111" i="70"/>
  <c r="N108" i="70"/>
  <c r="M108" i="70"/>
  <c r="L108" i="70"/>
  <c r="K108" i="70"/>
  <c r="J108" i="70"/>
  <c r="I108" i="70"/>
  <c r="H108" i="70"/>
  <c r="G108" i="70"/>
  <c r="F108" i="70"/>
  <c r="E108" i="70"/>
  <c r="N107" i="70"/>
  <c r="M107" i="70"/>
  <c r="L107" i="70"/>
  <c r="K107" i="70"/>
  <c r="J107" i="70"/>
  <c r="I107" i="70"/>
  <c r="H107" i="70"/>
  <c r="G107" i="70"/>
  <c r="F107" i="70"/>
  <c r="E107" i="70"/>
  <c r="N106" i="70"/>
  <c r="M106" i="70"/>
  <c r="L106" i="70"/>
  <c r="K106" i="70"/>
  <c r="J106" i="70"/>
  <c r="I106" i="70"/>
  <c r="H106" i="70"/>
  <c r="G106" i="70"/>
  <c r="F106" i="70"/>
  <c r="E106" i="70"/>
  <c r="N105" i="70"/>
  <c r="M105" i="70"/>
  <c r="L105" i="70"/>
  <c r="K105" i="70"/>
  <c r="J105" i="70"/>
  <c r="I105" i="70"/>
  <c r="H105" i="70"/>
  <c r="G105" i="70"/>
  <c r="F105" i="70"/>
  <c r="E105"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33" i="15"/>
  <c r="E32" i="15"/>
  <c r="E31" i="15"/>
  <c r="E30" i="15"/>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c r="D107" i="110" a="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A8" i="110"/>
  <c r="F7" i="110" a="1"/>
  <c r="F7" i="110" s="1"/>
  <c r="E7" i="110" a="1"/>
  <c r="E7" i="110" s="1"/>
  <c r="D7" i="110" a="1"/>
  <c r="D7" i="110" s="1"/>
  <c r="A7" i="110"/>
  <c r="D5" i="110" a="1"/>
  <c r="D5" i="110" s="1"/>
  <c r="A3" i="110"/>
  <c r="A8" i="71"/>
  <c r="A7" i="71"/>
  <c r="A3" i="71"/>
  <c r="E29" i="15"/>
  <c r="E13" i="15"/>
  <c r="A24" i="74"/>
  <c r="A23" i="74"/>
  <c r="A22" i="74"/>
  <c r="A21" i="74"/>
  <c r="A20" i="74"/>
  <c r="A16" i="74"/>
  <c r="A15" i="74"/>
  <c r="A14" i="74"/>
  <c r="A13" i="74"/>
  <c r="A9" i="74"/>
  <c r="A8" i="74"/>
  <c r="A4" i="74"/>
  <c r="A3" i="74"/>
  <c r="A24" i="43"/>
  <c r="A23" i="43"/>
  <c r="A22" i="43"/>
  <c r="A21" i="43"/>
  <c r="A20" i="43"/>
  <c r="A16" i="43"/>
  <c r="A15" i="43"/>
  <c r="A14" i="43"/>
  <c r="A13" i="43"/>
  <c r="A9" i="43"/>
  <c r="A8" i="43"/>
  <c r="A4" i="43"/>
  <c r="A3" i="43"/>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E218" i="76"/>
  <c r="E22" i="97"/>
  <c r="E26" i="98"/>
  <c r="H49" i="110" l="1"/>
  <c r="H53" i="110"/>
  <c r="H51" i="110"/>
  <c r="H54" i="110"/>
  <c r="H48" i="110"/>
  <c r="H52" i="110"/>
  <c r="H50" i="110"/>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144" i="70" l="1"/>
  <c r="D143" i="70"/>
  <c r="D142" i="70"/>
  <c r="D141" i="70"/>
  <c r="D140" i="70"/>
  <c r="D139" i="70"/>
  <c r="D138" i="70"/>
  <c r="D137" i="70"/>
  <c r="D136" i="70"/>
  <c r="D135" i="70"/>
  <c r="D134" i="70"/>
  <c r="D133" i="70"/>
  <c r="D122" i="70"/>
  <c r="D121" i="70"/>
  <c r="D120" i="70"/>
  <c r="D119" i="70"/>
  <c r="D118" i="70"/>
  <c r="D117" i="70"/>
  <c r="D116" i="70"/>
  <c r="D115" i="70"/>
  <c r="D114" i="70"/>
  <c r="D113" i="70"/>
  <c r="D112"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I158" i="69" l="1"/>
  <c r="J181" i="70"/>
  <c r="J180" i="70"/>
  <c r="J179" i="70"/>
  <c r="J178" i="70"/>
  <c r="K180" i="70"/>
  <c r="K179" i="70"/>
  <c r="K178" i="70"/>
  <c r="K181" i="70"/>
  <c r="M171" i="70"/>
  <c r="M170" i="70"/>
  <c r="M169" i="70"/>
  <c r="M168" i="70"/>
  <c r="L171" i="70"/>
  <c r="L170" i="70"/>
  <c r="L168" i="70"/>
  <c r="L169" i="70"/>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I33" i="97"/>
  <c r="L178" i="70"/>
  <c r="L180" i="70"/>
  <c r="L179" i="70"/>
  <c r="M178" i="70"/>
  <c r="N178" i="70" s="1"/>
  <c r="L181" i="70"/>
  <c r="M181" i="70"/>
  <c r="M180" i="70"/>
  <c r="M179" i="70"/>
  <c r="W172" i="69"/>
  <c r="W171" i="69"/>
  <c r="O178" i="70" l="1"/>
  <c r="N181" i="70"/>
  <c r="O181" i="70" s="1"/>
  <c r="N179" i="70"/>
  <c r="O179" i="70" s="1"/>
  <c r="N180" i="70"/>
  <c r="O180" i="70" s="1"/>
  <c r="G87" i="76"/>
  <c r="F87" i="76"/>
  <c r="E87" i="76"/>
  <c r="D87" i="76"/>
  <c r="F185" i="70"/>
  <c r="Y22" i="69" s="1"/>
  <c r="E185" i="70"/>
  <c r="V92" i="76" s="1"/>
  <c r="G185" i="70"/>
  <c r="Z22" i="69" s="1"/>
  <c r="D182" i="70"/>
  <c r="E178" i="70"/>
  <c r="D184" i="70" s="1"/>
  <c r="U93" i="76" s="1"/>
  <c r="E177" i="70"/>
  <c r="D183" i="70" s="1"/>
  <c r="D6" i="69" a="1"/>
  <c r="D6" i="69" s="1"/>
  <c r="I148" i="76"/>
  <c r="U92" i="76" l="1"/>
  <c r="V109" i="76" s="1" a="1"/>
  <c r="V109" i="76" s="1"/>
  <c r="W22" i="69"/>
  <c r="X92" i="76"/>
  <c r="D185"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O20" i="98"/>
  <c r="E7" i="98"/>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D422" i="79" a="1"/>
  <c r="D422" i="79" s="1"/>
  <c r="I110" i="69" s="1"/>
  <c r="D421" i="79" a="1"/>
  <c r="D421" i="79" s="1"/>
  <c r="D420" i="79" a="1"/>
  <c r="D420" i="79" s="1"/>
  <c r="D419" i="79" a="1"/>
  <c r="D419" i="79" s="1"/>
  <c r="D418" i="79" a="1"/>
  <c r="D418" i="79" s="1"/>
  <c r="E178" i="76" a="1"/>
  <c r="E136" i="76" a="1"/>
  <c r="E42" i="76" a="1"/>
  <c r="E7" i="76" a="1"/>
  <c r="E206" i="69" a="1"/>
  <c r="E148" i="69" a="1"/>
  <c r="E39" i="69" a="1"/>
  <c r="E104" i="76" a="1"/>
  <c r="E101" i="69" a="1"/>
  <c r="E98" i="76" l="1" a="1"/>
  <c r="E98" i="76" s="1"/>
  <c r="E95" i="76" a="1"/>
  <c r="E95" i="76" s="1"/>
  <c r="E96" i="76" a="1"/>
  <c r="E96" i="76" s="1"/>
  <c r="F96" i="76" s="1" a="1"/>
  <c r="F96" i="76" s="1"/>
  <c r="E97" i="76" a="1"/>
  <c r="E97" i="76" s="1"/>
  <c r="F97" i="76" s="1" a="1"/>
  <c r="F97" i="76" s="1"/>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5" i="69" l="1"/>
  <c r="E166"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64" i="76" l="1"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E229" i="76" s="1"/>
  <c r="G231" i="76" s="1"/>
  <c r="F177" i="69" a="1"/>
  <c r="F177" i="69" s="1"/>
  <c r="F235" i="69" s="1" a="1"/>
  <c r="F235" i="69" s="1"/>
  <c r="F181" i="69" a="1"/>
  <c r="F181"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239" i="69" l="1" a="1"/>
  <c r="F239" i="69" s="1"/>
  <c r="E244" i="69" s="1"/>
  <c r="G246" i="69" s="1"/>
  <c r="J13" i="97"/>
  <c r="E16" i="97" s="1" a="1"/>
  <c r="E16" i="97" s="1"/>
  <c r="I28" i="97" s="1"/>
  <c r="E35" i="97" s="1" a="1"/>
  <c r="E35" i="97" s="1"/>
  <c r="I13" i="98"/>
  <c r="E20" i="98" s="1" a="1"/>
  <c r="E20" i="98" s="1"/>
  <c r="I32" i="98" s="1"/>
  <c r="E36" i="98" s="1" a="1"/>
  <c r="E36" i="98"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8" i="13"/>
  <c r="E10" i="13" l="1"/>
  <c r="G38" i="98"/>
  <c r="E41" i="98" s="1" a="1"/>
  <c r="E41" i="98" s="1"/>
  <c r="H10" i="13" s="1"/>
  <c r="E9" i="13"/>
  <c r="G37" i="97"/>
  <c r="E40" i="97" s="1" a="1"/>
  <c r="E40" i="97" s="1"/>
  <c r="H9" i="13" s="1"/>
  <c r="E249" i="69" a="1"/>
  <c r="E249" i="69" s="1"/>
  <c r="H7" i="13" s="1"/>
  <c r="E7" i="13"/>
  <c r="X276" i="69"/>
  <c r="Z278" i="69" s="1"/>
  <c r="V261" i="76"/>
  <c r="V267" i="76" s="1"/>
  <c r="X269" i="76" s="1"/>
  <c r="E234" i="76" a="1"/>
  <c r="E234" i="76" s="1"/>
  <c r="H8" i="13" s="1"/>
  <c r="T13" i="97" l="1"/>
  <c r="O16" i="97" s="1" a="1"/>
  <c r="O16" i="97" s="1"/>
  <c r="S28" i="97" s="1"/>
  <c r="O35" i="97" s="1" a="1"/>
  <c r="O35" i="97" s="1"/>
  <c r="R13" i="98"/>
  <c r="N20" i="98" s="1" a="1"/>
  <c r="N20" i="98" s="1"/>
  <c r="R32" i="98" s="1"/>
  <c r="N36" i="98" s="1" a="1"/>
  <c r="N36" i="98" s="1"/>
  <c r="X281" i="69" a="1"/>
  <c r="X281" i="69" s="1"/>
  <c r="I7" i="13" s="1"/>
  <c r="F7" i="13"/>
  <c r="F8" i="13"/>
  <c r="H11" i="13"/>
  <c r="F10" i="13" l="1"/>
  <c r="P38" i="98"/>
  <c r="N41" i="98" s="1" a="1"/>
  <c r="N41" i="98" s="1"/>
  <c r="I10" i="13" s="1"/>
  <c r="F9" i="13"/>
  <c r="Q37" i="97"/>
  <c r="O40" i="97" s="1" a="1"/>
  <c r="O40" i="97" s="1"/>
  <c r="I9" i="13" s="1"/>
  <c r="V272" i="76"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<sst xmlns="http://schemas.openxmlformats.org/spreadsheetml/2006/main" count="1990" uniqueCount="438">
  <si>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</si>
  <si>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</si>
  <si>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</si>
  <si>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</si>
  <si>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</si>
  <si>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</si>
  <si>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</si>
  <si>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</si>
  <si>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</si>
  <si>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</si>
  <si>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</si>
  <si>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</si>
  <si>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</si>
  <si>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</si>
  <si>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</si>
  <si>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</si>
  <si>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</si>
  <si>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</si>
  <si>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</si>
  <si>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</si>
  <si>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</si>
  <si>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</si>
  <si>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</si>
  <si>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</si>
  <si>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</si>
  <si>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</si>
  <si>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</si>
  <si>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</si>
  <si>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</si>
  <si>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</si>
  <si>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</si>
  <si>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</si>
  <si>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</si>
  <si>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</si>
  <si>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</si>
  <si>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</si>
  <si>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</si>
  <si>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</si>
  <si>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</si>
  <si>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</si>
  <si>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</si>
  <si>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</si>
  <si>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</si>
  <si>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</si>
  <si>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</si>
  <si>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</si>
  <si>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</si>
  <si>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</si>
  <si>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</si>
  <si>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</si>
  <si>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</si>
  <si>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</si>
  <si>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</si>
  <si>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</si>
  <si>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</si>
  <si>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</si>
  <si>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</si>
  <si>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</si>
  <si>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</si>
  <si>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</si>
  <si>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</si>
  <si>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</si>
  <si>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</si>
  <si>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</si>
  <si>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</si>
  <si>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</si>
  <si>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</si>
  <si>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</si>
  <si>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</si>
  <si>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</si>
  <si>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</si>
  <si>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</si>
  <si>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</si>
  <si>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</si>
  <si>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</si>
  <si>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</si>
  <si>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</si>
  <si>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</si>
  <si>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</si>
  <si>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</si>
  <si>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</si>
  <si>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</si>
  <si>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</si>
  <si>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</si>
  <si>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</si>
  <si>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</si>
  <si>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</si>
  <si>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</si>
  <si>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</si>
  <si>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</si>
  <si>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</si>
  <si>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</si>
  <si>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</si>
  <si>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0"/>
        <color rgb="FF183C1B"/>
        <rFont val="Arial"/>
        <family val="1"/>
      </rPr>
      <t>im</t>
    </r>
  </si>
  <si>
    <t>Fraction</t>
  </si>
  <si>
    <t>Herd movement</t>
  </si>
  <si>
    <t>head</t>
  </si>
  <si>
    <t>Head</t>
  </si>
  <si>
    <r>
      <t>E</t>
    </r>
    <r>
      <rPr>
        <vertAlign val="subscript"/>
        <sz val="10"/>
        <color theme="1" tint="0.24994659260841701"/>
        <rFont val="Arial"/>
        <family val="1"/>
      </rPr>
      <t>CO2e</t>
    </r>
  </si>
  <si>
    <t>Crude protein</t>
  </si>
  <si>
    <t>M1_Table_CP_j</t>
  </si>
  <si>
    <t>M2_Table_CP_j</t>
  </si>
  <si>
    <t>Method 1</t>
  </si>
  <si>
    <t>Method 2</t>
  </si>
  <si>
    <r>
      <t>E</t>
    </r>
    <r>
      <rPr>
        <b/>
        <vertAlign val="subscript"/>
        <sz val="14"/>
        <color theme="1" tint="0.24994659260841701"/>
        <rFont val="Arial"/>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</si>
  <si>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</si>
  <si>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</si>
  <si>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</si>
  <si>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</si>
  <si>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</si>
  <si>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</si>
  <si>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</si>
  <si>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</si>
  <si>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</si>
  <si>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</si>
  <si>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</si>
  <si>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</si>
  <si>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</si>
  <si>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</si>
  <si>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</si>
  <si>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</si>
  <si>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</si>
  <si>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</si>
  <si>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</si>
  <si>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</si>
  <si>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</si>
  <si>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</si>
  <si>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</si>
  <si>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</si>
  <si>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</si>
  <si>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</si>
  <si>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</si>
  <si>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</si>
  <si>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</si>
  <si>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</si>
  <si>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</si>
  <si>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</si>
  <si>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</si>
  <si>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</si>
  <si>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</si>
  <si>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</si>
  <si>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</si>
  <si>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</si>
  <si>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</si>
  <si>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</si>
  <si>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</si>
  <si>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</si>
  <si>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</si>
  <si>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</si>
  <si>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</si>
  <si>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0"/>
        <color theme="1" tint="0.24994659260841701"/>
        <rFont val="Arial"/>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</si>
  <si>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</si>
  <si>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</si>
  <si>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</si>
  <si>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</si>
  <si>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</si>
  <si>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</si>
  <si>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</si>
  <si>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</si>
  <si>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</si>
  <si>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</si>
  <si>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</si>
  <si>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</si>
  <si>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</si>
  <si>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</si>
  <si>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</si>
  <si>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</si>
  <si>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</si>
  <si>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</si>
  <si>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</si>
  <si>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</si>
  <si>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</si>
  <si>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</si>
  <si>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</si>
  <si>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</si>
  <si>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</si>
  <si>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</si>
  <si>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</si>
  <si>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</si>
  <si>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</si>
  <si>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</si>
  <si>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</si>
  <si>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</si>
  <si>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</si>
  <si>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</si>
  <si>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</si>
  <si>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</si>
  <si>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</si>
  <si>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</si>
  <si>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</si>
  <si>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</si>
  <si>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</si>
  <si>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</si>
  <si>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</si>
  <si>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</si>
  <si>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</si>
  <si>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</si>
  <si>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</si>
  <si>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</si>
  <si>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</si>
  <si>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</si>
  <si>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</si>
  <si>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</si>
  <si>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</si>
  <si>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</si>
  <si>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</si>
  <si>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</si>
  <si>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</si>
  <si>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</si>
  <si>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</si>
  <si>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</si>
  <si>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</si>
  <si>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</si>
  <si>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</si>
  <si>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</si>
  <si>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</si>
  <si>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</si>
  <si>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</si>
  <si>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</si>
  <si>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</si>
  <si>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</si>
  <si>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</si>
  <si>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</si>
  <si>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</si>
  <si>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</si>
  <si>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</si>
  <si>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</si>
  <si>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</si>
  <si>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</si>
  <si>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</si>
  <si>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</si>
  <si>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</si>
  <si>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</si>
  <si>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</si>
  <si>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</si>
  <si>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</si>
  <si>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</si>
  <si>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</si>
  <si>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</si>
  <si>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</si>
  <si>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</si>
  <si>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</si>
  <si>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</si>
  <si>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</si>
  <si>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</si>
  <si>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</si>
  <si>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</si>
  <si>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</si>
  <si>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</si>
  <si>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</si>
  <si>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</si>
  <si>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</si>
  <si>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</si>
  <si>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</si>
  <si>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</si>
  <si>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</si>
  <si>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</si>
  <si>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</si>
  <si>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</si>
  <si>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</si>
  <si>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</si>
  <si>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</si>
  <si>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</si>
  <si>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</si>
  <si>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</si>
  <si>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</si>
  <si>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</si>
  <si>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</si>
  <si>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</si>
  <si>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</si>
  <si>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</si>
  <si>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</si>
  <si>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</si>
  <si>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</si>
  <si>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</si>
  <si>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</si>
  <si>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</si>
  <si>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</si>
  <si>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</si>
  <si>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</si>
  <si>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</si>
  <si>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</si>
  <si>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</si>
  <si>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</si>
  <si>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</si>
  <si>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</si>
  <si>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</si>
  <si>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</si>
  <si>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</si>
  <si>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</si>
  <si>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</si>
  <si>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</si>
  <si>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</si>
  <si>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</si>
  <si>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</si>
  <si>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4"/>
        <color theme="1" tint="0.24994659260841701"/>
        <rFont val="Arial"/>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</si>
  <si>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</si>
  <si>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</si>
  <si>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</si>
  <si>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</si>
  <si>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</si>
  <si>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</si>
  <si>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</si>
  <si>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</si>
  <si>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</si>
  <si>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</si>
  <si>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</si>
  <si>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</si>
  <si>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</si>
  <si>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</si>
  <si>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</si>
  <si>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</si>
  <si>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</si>
  <si>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0"/>
        <color theme="1" tint="0.24994659260841701"/>
        <rFont val="Arial"/>
        <family val="1"/>
      </rPr>
      <t>vol</t>
    </r>
  </si>
  <si>
    <t>Where did the livestock spend most of their time grazing?</t>
  </si>
  <si>
    <t>Pasture beefcrop or pasture production systems</t>
  </si>
  <si>
    <r>
      <t>E</t>
    </r>
    <r>
      <rPr>
        <b/>
        <vertAlign val="subscript"/>
        <sz val="10"/>
        <color theme="1" tint="0.24994659260841701"/>
        <rFont val="Arial"/>
        <family val="1"/>
      </rPr>
      <t>N2O,ad</t>
    </r>
  </si>
  <si>
    <r>
      <t>M</t>
    </r>
    <r>
      <rPr>
        <b/>
        <vertAlign val="subscript"/>
        <sz val="10"/>
        <color theme="1" tint="0.24994659260841701"/>
        <rFont val="Arial"/>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</si>
  <si>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</si>
  <si>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</si>
  <si>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</si>
  <si>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</si>
  <si>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</si>
  <si>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</si>
  <si>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</si>
  <si>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</si>
  <si>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</si>
  <si>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</si>
  <si>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</si>
  <si>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</si>
  <si>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</si>
  <si>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</si>
  <si>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0"/>
        <color rgb="FF183C1B"/>
        <rFont val="Arial"/>
        <family val="1"/>
      </rPr>
      <t>jk=4,5</t>
    </r>
  </si>
  <si>
    <t>Calving month 2</t>
  </si>
  <si>
    <t>Calving month 3</t>
  </si>
  <si>
    <t>August 2024</t>
  </si>
  <si>
    <t>EntericMethane_PastureBeef_Equations.VEERG_3_2_1_1__4_AdditionalIntakeForMilkProduction</t>
  </si>
  <si>
    <r>
      <t>DMP</t>
    </r>
    <r>
      <rPr>
        <b/>
        <vertAlign val="subscript"/>
        <sz val="10"/>
        <color rgb="FF183C1B"/>
        <rFont val="Arial"/>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</si>
  <si>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</si>
  <si>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</si>
  <si>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</si>
  <si>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</si>
  <si>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</si>
  <si>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</si>
  <si>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</si>
  <si>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</si>
  <si>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</si>
  <si>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</si>
  <si>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</si>
  <si>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</si>
  <si>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</si>
  <si>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</si>
  <si>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</si>
  <si>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</si>
  <si>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Australia</t>
  </si>
  <si>
    <t>Climate Zone</t>
  </si>
  <si>
    <t>EFNi &amp; EFN2Oi</t>
  </si>
  <si>
    <t>Methane conversion factor (Method 1)</t>
  </si>
  <si>
    <t>M2_Table_MCF_i_m</t>
  </si>
  <si>
    <t>Methane conversion factor (Method 2)</t>
  </si>
  <si>
    <t>M2_Table_MC_j_k_1-3-6</t>
  </si>
  <si>
    <t>M2_Table_MP_j_k-4-5</t>
  </si>
  <si>
    <t>Table_LivestockClasses_Beefcattle</t>
  </si>
  <si>
    <t>Livestock class</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</si>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</sst>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0"/>
      <color theme="1"/>
      <name val="Arial"/>
      <family val="2"/>
    </font>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b/>
      <vertAlign val="subscript"/>
      <sz val="10"/>
      <color theme="1" tint="0.24994659260841701"/>
      <name val="Arial"/>
      <family val="1"/>
    </font>
    <font>
      <b/>
      <sz val="18"/>
      <color theme="4" tint="-0.249977111117893"/>
      <name val="Arial"/>
      <family val="1"/>
    </font>
    <font>
      <u/>
      <sz val="9"/>
      <color theme="1" tint="0.34998626667073579"/>
      <name val="Arial"/>
      <family val="1"/>
    </font>
    <font>
      <i/>
      <sz val="9"/>
      <color theme="6" tint="-0.499984740745262"/>
      <name val="Arial"/>
      <family val="1"/>
    </font>
    <font>
      <i/>
      <sz val="9"/>
      <color theme="5" tint="-0.499984740745262"/>
      <name val="Arial"/>
      <family val="1"/>
    </font>
    <font>
      <b/>
      <sz val="12"/>
      <color theme="1" tint="0.24994659260841701"/>
      <name val="Arial"/>
      <family val="1"/>
    </font>
    <font>
      <b/>
      <vertAlign val="subscript"/>
      <sz val="12"/>
      <color theme="1" tint="0.24994659260841701"/>
      <name val="Arial"/>
      <family val="1"/>
    </font>
    <font>
      <sz val="9"/>
      <color rgb="FF404040"/>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30">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xf numFmtId="0" fontId="19" fillId="0" borderId="0" xfId="34"/>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𝑗𝑘𝑙</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𝑉𝑆_𝑗𝑘𝑙=(𝐼_𝑗𝑘𝑙×(1−𝐷𝑀𝐷_𝑗𝑘𝑙 )+(0.04×𝐼_𝑗𝑘𝑙 ))×(1−𝐴)</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𝑀_𝑗𝑘𝑙𝑚=𝑉𝑆_𝑗𝑘𝑙×𝐵_𝑜×𝑀𝑀𝑆_𝑚×𝑀𝐶𝐹_𝑖𝑚×𝜌</a:t>
              </a:r>
              <a:endParaRPr lang="en-AU" sz="10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𝐸_𝐶𝐻4=∑8_𝑗▒∑8_𝑘▒∑8_𝑙▒∑8_𝑚▒(𝑁_𝑗𝑘𝑙×𝑀_𝑗𝑘𝑙𝑚×𝐷_𝑗 ) ×10^(−3)</a:t>
              </a:r>
              <a:endParaRPr lang="en-AU" sz="10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𝑎𝑓𝑡𝑒𝑟</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e>
                        </m:d>
                      </m:e>
                    </m:d>
                  </m:oMath>
                </m:oMathPara>
              </a14:m>
              <a:endParaRPr lang="en-AU" sz="10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num>
                      <m:den>
                        <m:r>
                          <a:rPr lang="en-AU" sz="1000" i="1">
                            <a:latin typeface="Cambria Math" panose="02040503050406030204" pitchFamily="18" charset="0"/>
                          </a:rPr>
                          <m:t>𝑆𝑅</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𝑘</m:t>
                            </m:r>
                          </m:sub>
                        </m:sSub>
                      </m:den>
                    </m:f>
                  </m:oMath>
                </m:oMathPara>
              </a14:m>
              <a:endParaRPr lang="en-AU" sz="10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𝑍_𝑗𝑘𝑙=𝑊_𝑗𝑘𝑙/(𝑆𝑅𝑊_𝑘 )</a:t>
              </a:r>
              <a:endParaRPr lang="en-AU" sz="10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den>
                    </m:f>
                  </m:oMath>
                </m:oMathPara>
              </a14:m>
              <a:endParaRPr lang="en-AU" sz="10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𝐿_𝑗𝑘𝑙=𝐼_𝑗𝑘𝑙/(1.185+0.00454×𝑊_𝑗𝑘𝑙−0.0000026×𝑊_𝑗𝑘𝑙^2 )^2 </a:t>
              </a:r>
              <a:endParaRPr lang="en-AU" sz="10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oMath>
                </m:oMathPara>
              </a14:m>
              <a:endParaRPr lang="en-AU" sz="10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𝑀𝑃_(𝑗𝑘=5)=𝐿𝐶_(𝑗𝑘=5)×𝐷𝑀𝑃_(𝑗𝑘=5)</a:t>
              </a:r>
              <a:endParaRPr lang="en-AU" sz="10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÷6.38</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d>
                                          <m:dPr>
                                            <m:ctrlPr>
                                              <a:rPr lang="en-AU" sz="1000" i="1">
                                                <a:latin typeface="Cambria Math" panose="02040503050406030204" pitchFamily="18" charset="0"/>
                                              </a:rPr>
                                            </m:ctrlPr>
                                          </m:dPr>
                                          <m:e>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−0.4</m:t>
                                                </m:r>
                                              </m:e>
                                            </m:d>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r>
                              <a:rPr lang="en-AU" sz="1000" i="1">
                                <a:latin typeface="Cambria Math" panose="02040503050406030204" pitchFamily="18" charset="0"/>
                              </a:rPr>
                              <m:t>×0.92</m:t>
                            </m:r>
                          </m:e>
                        </m:d>
                      </m:e>
                    </m:d>
                    <m:r>
                      <a:rPr lang="en-AU" sz="1000" i="1">
                        <a:latin typeface="Cambria Math" panose="02040503050406030204" pitchFamily="18" charset="0"/>
                      </a:rPr>
                      <m:t>÷6.25</m:t>
                    </m:r>
                  </m:oMath>
                </m:oMathPara>
              </a14:m>
              <a:endParaRPr lang="en-AU" sz="10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𝑁𝑅_𝑗𝑘𝑙=(0.032×𝑀𝑃_(𝑗𝑘=5)÷6.38)+{{0.212−0.008×(𝐿_𝑗𝑘𝑙−2)−[(0.140−0.008×(𝐿_𝑗𝑘𝑙−2))/(1+𝑒^((−6×(𝑍_𝑗𝑘𝑙−0.4)) ) )]}×(𝐿𝑊𝐺_𝑗𝑘𝑙×0.92)}÷6.25</a:t>
              </a:r>
              <a:endParaRPr lang="en-AU" sz="10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=1,3,6</m:t>
                            </m:r>
                          </m:sub>
                        </m:sSub>
                        <m:r>
                          <a:rPr lang="en-AU" sz="1000" i="1">
                            <a:latin typeface="Cambria Math" panose="02040503050406030204" pitchFamily="18" charset="0"/>
                          </a:rPr>
                          <m:t>÷6.38</m:t>
                        </m:r>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0.75</m:t>
                                </m:r>
                              </m:sup>
                            </m:sSubSup>
                          </m:e>
                        </m:d>
                        <m:r>
                          <a:rPr lang="en-AU" sz="1000" i="1">
                            <a:latin typeface="Cambria Math" panose="02040503050406030204" pitchFamily="18" charset="0"/>
                          </a:rPr>
                          <m:t>÷6.25</m:t>
                        </m:r>
                      </m:e>
                    </m:d>
                  </m:oMath>
                </m:oMathPara>
              </a14:m>
              <a:endParaRPr lang="en-AU" sz="10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𝑁𝐸_𝑗𝑘𝑙=(𝐼_𝑗𝑘𝑙×𝐶𝑃_𝑗÷6.25)+(0.032×𝑀𝐶_(𝑗𝑘=1,3,6)÷6.38)−𝑁𝑅_𝑗𝑘𝑙−[(1.1×10^(−4)×𝑊_𝑗𝑘𝑙^0.75 )÷6.25]</a:t>
              </a:r>
              <a:endParaRPr lang="en-AU" sz="10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oMath>
                </m:oMathPara>
              </a14:m>
              <a:endParaRPr lang="en-AU" sz="10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𝐴𝐸=∑_𝑗▒∑_𝑘▒∑_𝑙▒(𝑁_𝑗𝑘𝑙×𝑁𝐸_𝑗𝑘𝑙×𝐷_𝑗 ) </a:t>
              </a:r>
              <a:endParaRPr lang="en-AU" sz="10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67"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66"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7506DB7-7B12-4E00-8B1A-FEEA2CF105E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15B120D-3997-4E4D-97B8-4D02B3356030}" name="State/Territory">
      <calculatedColumnFormula array="1">Common_InputFunctions.Utility_DisplayArrayInTable(Common_SourceData.Common_SourceData_AustralianStatesTerritories_Data(),Table_AustralianStates[[#Headers],[State/Territory]],0)</calculatedColumnFormula>
    </tableColumn>
    <tableColumn id="2" xr3:uid="{7CD4314B-3415-43A5-926F-375E1CAB4532}" name="Common Name">
      <calculatedColumnFormula array="1">Common_InputFunctions.Utility_DisplayArrayInTable(Common_SourceData.Common_SourceData_AustralianStatesTerritories_Data(),Table_AustralianStates[[#Headers],[State/Territory]],0)</calculatedColumnFormula>
    </tableColumn>
    <tableColumn id="3" xr3:uid="{DD1E1CC8-CA34-43D3-81B8-7EB70841BC6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180E8B1-598F-4ECE-AE0E-2F1B1EDF857A}" name="Table_WASA4Areas" displayName="Table_WASA4Areas" ref="D20:D30" totalsRowShown="0">
  <autoFilter ref="D20:D30" xr:uid="{5FA81339-C6C8-4D36-BEEA-6C4AEDD9E676}">
    <filterColumn colId="0" hiddenButton="1"/>
  </autoFilter>
  <tableColumns count="1">
    <tableColumn id="1" xr3:uid="{ADE4FE7E-F82D-4123-92AD-50B2125968C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87BBB48-3AEC-4F89-BE71-BBA766E0A897}" name="Table_GWPData" displayName="Table_GWPData" ref="D36:E43" totalsRowShown="0">
  <autoFilter ref="D36:E43" xr:uid="{B8E87A66-3E41-4AD3-925D-01EE21B43D7A}">
    <filterColumn colId="0" hiddenButton="1"/>
    <filterColumn colId="1" hiddenButton="1"/>
  </autoFilter>
  <tableColumns count="2">
    <tableColumn id="1" xr3:uid="{64A65ED8-D3EB-4679-804E-9075226AB969}" name="Gas">
      <calculatedColumnFormula array="1">Common_InputFunctions.Utility_DisplayArrayInTable(Common_SourceData.Common_SourceData_GWP_Data(), Table_GWPData[[#Headers],[Gas]], 0)</calculatedColumnFormula>
    </tableColumn>
    <tableColumn id="2" xr3:uid="{9B965DA4-B592-49B7-AD23-8909DCE9E89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28AB8F-E382-497F-A62E-199BED32E41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CD1F413-E24B-4CE1-B875-A1ADB2BA435D}" name="Gas">
      <calculatedColumnFormula array="1">Common_InputFunctions.Utility_DisplayArrayInTable(Common_SourceData.Common_SourceData_ConvertGasElementalToMolecular_Data(),Table_GasToMolecularConversionFactor[[#Headers],[Gas]], 0)</calculatedColumnFormula>
    </tableColumn>
    <tableColumn id="5" xr3:uid="{6F75182A-DB9A-494E-BB2D-0B80B8338771}" name="Conversion factor">
      <calculatedColumnFormula array="1">Common_InputFunctions.Utility_DisplayArrayInTable(Common_SourceData.Common_SourceData_ConvertGasElementalToMolecular_Data(),Table_GasToMolecularConversionFactor[[#Headers],[Gas]], 0)</calculatedColumnFormula>
    </tableColumn>
    <tableColumn id="2" xr3:uid="{D1B0328D-88AC-46E9-B848-ABC77EBD0FA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F9E94F4-C231-478C-978A-A4361781406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E1C09F8-9868-418A-B971-D4CE612A70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1055A8-5AFA-47D5-BE73-8580FFC0EFA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E02002-B8C0-43B3-839A-FED366CCB4B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62CCD60-EA4D-4127-9DDC-EFFCC7D2C292}" name="MA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3" xr3:uid="{633AD09C-8E41-4BAE-93C1-EF37B919B11B}" name="MA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4" xr3:uid="{E113D6C1-7620-4F81-B577-753FAE064EDC}" name="Frost days per year"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5" xr3:uid="{400E68D9-1131-4D03-A09F-A23F79D9201C}" name="Elevation"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6" xr3:uid="{538D34F6-8591-42EA-8A88-0DF1DECC35EE}" name="MAP:PET"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7" xr3:uid="{694AE756-C92C-47FC-AB52-35FB1045801B}" name="Min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8" xr3:uid="{2BB2C973-AD74-42D4-A70C-381DD08D110F}" name="Max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9" xr3:uid="{811A489D-ED73-44B1-92D9-14AFD7D6998F}" name="Min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0" xr3:uid="{9A7334D3-40AD-44E6-91F3-C6E825B55C80}" name="Max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1" xr3:uid="{20D9D845-D8C7-4A2A-B711-A0D018DEE100}" name="Min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5" xr3:uid="{CE595CDA-9DC9-42C6-904E-1D2027B39147}" name="Max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2" xr3:uid="{BAA62C8C-14B3-460A-8E8E-C6F2FAB8EEBB}" name="Min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6" xr3:uid="{DB29D7FB-2433-4650-98BB-86836A743D70}" name="Max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3" xr3:uid="{636E6529-B758-41D1-8AAF-4672170E379E}" name="Min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7" xr3:uid="{60D8F6F3-B8B4-4031-869A-9EF299FC40FE}" name="Max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B476A93-028A-47B6-B7B3-53C0174DC09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400B75B-0337-488C-81AA-F2A92B512B0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5B292C-702B-4019-865C-918F2ACD9D83}" name="Wet or Dry Zone" totalsRowDxfId="4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CBDE073-EC06-49F7-9205-A6FF51F2155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B13C7B5-66A4-40A7-B02A-5F2BED50AF40}" name="Temperature Zone">
      <calculatedColumnFormula array="1">Common_InputFunctions.Utility_DisplayArrayInTable(Common_SourceData.Common_SourceData_TemperatureZones_Data(),Table_SourceData_TemperatureZones[[#Headers],[Temperature Zone]],0)</calculatedColumnFormula>
    </tableColumn>
    <tableColumn id="2" xr3:uid="{B1ACE393-E712-4538-B69B-98BC8ACFABFE}" name="MAT">
      <calculatedColumnFormula array="1">Common_InputFunctions.Utility_DisplayArrayInTable(Common_SourceData.Common_SourceData_TemperatureZones_Data(),Table_SourceData_TemperatureZones[[#Headers],[Temperature Zone]],0)</calculatedColumnFormula>
    </tableColumn>
    <tableColumn id="3" xr3:uid="{18CF38AB-1549-4B23-8A1E-0D61EFBE8DF7}" name="Min MAT">
      <calculatedColumnFormula array="1">Common_InputFunctions.Utility_DisplayArrayInTable(Common_SourceData.Common_SourceData_TemperatureZones_Data(),Table_SourceData_TemperatureZones[[#Headers],[Temperature Zone]],0)</calculatedColumnFormula>
    </tableColumn>
    <tableColumn id="4" xr3:uid="{4F187A4F-4C27-4EDE-81BE-615997DB26F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4C41619-81BE-459A-B85C-3B5E3680AE3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24778D8-0C61-47D1-ABD8-A91973E85B7F}" name="Rainfall Zone">
      <calculatedColumnFormula array="1">Common_InputFunctions.Utility_DisplayArrayInTable(Common_SourceData.Common_SourceData_RainfallZones_Data(),Table_SourceData_RainfallZones[[#Headers],[Rainfall Zone]],0)</calculatedColumnFormula>
    </tableColumn>
    <tableColumn id="2" xr3:uid="{971F1AEB-4209-47FE-9832-8AF331598AEA}" name="Annual rainfall">
      <calculatedColumnFormula array="1">Common_InputFunctions.Utility_DisplayArrayInTable(Common_SourceData.Common_SourceData_RainfallZones_Data(),Table_SourceData_RainfallZones[[#Headers],[Rainfall Zone]],0)</calculatedColumnFormula>
    </tableColumn>
    <tableColumn id="3" xr3:uid="{C386917B-7461-43F3-88E8-5522B9F7F9FA}" name="Min rainfall">
      <calculatedColumnFormula array="1">Common_InputFunctions.Utility_DisplayArrayInTable(Common_SourceData.Common_SourceData_RainfallZones_Data(),Table_SourceData_RainfallZones[[#Headers],[Rainfall Zone]],0)</calculatedColumnFormula>
    </tableColumn>
    <tableColumn id="4" xr3:uid="{08026432-395F-470F-8E20-9B60893CE4C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4E00A03-8995-49D0-84EB-D1E4C050DFE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6E91617-DBB3-4AE2-A98F-DFC260262D8E}" name="Leaching Zone">
      <calculatedColumnFormula array="1">Common_InputFunctions.Utility_DisplayArrayInTable(Common_SourceData.Common_SourceData_LeachingZones_Data(), Table_SourceData_LeachingZones[[#Headers],[Leaching Zone]], 0)</calculatedColumnFormula>
    </tableColumn>
    <tableColumn id="2" xr3:uid="{D7A37EA5-1C8C-4B2B-8C2D-B1647BCCEE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76D6EE9-B42F-4C8C-A3E1-6F49E6B93D3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8EC177D-48DB-48E0-8F79-5253AE8507BD}" name="Data source">
      <calculatedColumnFormula array="1">Common_InputFunctions.Utility_DisplayArrayInTable(Common_SourceData.Common_SourceData_DataScores_Scope3_Data(), Table_SourceData_DataScores_Scope3[[#Headers],[Data source]], 0)</calculatedColumnFormula>
    </tableColumn>
    <tableColumn id="2" xr3:uid="{3A30E3BC-91C9-4538-BE55-3647E12E0D2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A105C5F-7998-4C73-B15E-15DD30457E67}" name="Table_SourceData_FracWET" displayName="Table_SourceData_FracWET" ref="D134:E136" totalsRowShown="0">
  <autoFilter ref="D134:E136" xr:uid="{308E99BE-FE1F-47A4-B2CA-97217277C4E9}">
    <filterColumn colId="0" hiddenButton="1"/>
    <filterColumn colId="1" hiddenButton="1"/>
  </autoFilter>
  <tableColumns count="2">
    <tableColumn id="1" xr3:uid="{30EF89DC-3232-429D-B800-8120993FA5D1}" name="Is in leaching zone">
      <calculatedColumnFormula array="1">Common_InputFunctions.Utility_DisplayArrayInTable(Common_SourceData.Common_SourceData_FracWET_Data(),Table_SourceData_FracWET[[#Headers],[Is in leaching zone]],0)</calculatedColumnFormula>
    </tableColumn>
    <tableColumn id="2" xr3:uid="{E222496D-4F52-4CA2-B702-20F4FC599881}" name="FracWET" dataDxfId="4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7E1A906-6F1D-481F-BAFE-E56F0545214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DE94C2A-7DA9-4A8A-A5C2-376EE914E2F9}" name="Production system j">
      <calculatedColumnFormula array="1">Common_InputFunctions.Utility_DisplayArrayInTable(Common_SourceData.Common_SourceData_EFN2O_Data(), Table_SourceData_Common_EFN2O[[#Headers],[Production system j]], 0)</calculatedColumnFormula>
    </tableColumn>
    <tableColumn id="2" xr3:uid="{B378E3E8-88E5-4D49-8D58-19BE3F7280F3}" name="EFN2O">
      <calculatedColumnFormula array="1">Common_InputFunctions.Utility_DisplayArrayInTable(Common_SourceData.Common_SourceData_EFN2O_Data(), Table_SourceData_Common_EFN2O[[#Headers],[Production system j]], 0)</calculatedColumnFormula>
    </tableColumn>
    <tableColumn id="3" xr3:uid="{435F1E2C-03BA-48DD-B118-3987D3805A76}" name="Production system only">
      <calculatedColumnFormula array="1">Common_InputFunctions.Utility_DisplayArrayInTable(Common_SourceData.Common_SourceData_EFN2O_Data(), Table_SourceData_Common_EFN2O[[#Headers],[Production system j]], 0)</calculatedColumnFormula>
    </tableColumn>
    <tableColumn id="4" xr3:uid="{14F8B29E-D5B0-4D20-835F-15EE0A1B80C8}" name="Irrigation method">
      <calculatedColumnFormula array="1">Common_InputFunctions.Utility_DisplayArrayInTable(Common_SourceData.Common_SourceData_EFN2O_Data(), Table_SourceData_Common_EFN2O[[#Headers],[Production system j]], 0)</calculatedColumnFormula>
    </tableColumn>
    <tableColumn id="5" xr3:uid="{009FFD4D-9065-4F21-94E2-40B213A7E8B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1F12B1-AC9F-49BB-8D6C-C480FD61FCC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B22BDDF-75F6-4899-ACE5-526F8F25F5AF}" name="Irrigation type i">
      <calculatedColumnFormula array="1">Common_InputFunctions.Utility_DisplayArrayInTable(Common_SourceData.Common_SourceData_FracWETIrrigation_Data(), Table_SourceData_FracWETIrrigation[[#Headers],[Irrigation type i]], 0)</calculatedColumnFormula>
    </tableColumn>
    <tableColumn id="2" xr3:uid="{095FDFD4-57E1-4D27-9D12-570728F2770D}" name="FracWET" dataDxfId="4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5849913-A975-4058-A066-211BD20752D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1237940-6072-471F-8956-AE1C76E0476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F25D4-60A7-40B9-B6EA-2D123A45BC9B}" name="EFPRP" dataDxfId="4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3A1912A-B3BF-4693-B546-77C60AEAD58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103B27F-96BC-4919-A9DA-CD876EC72C45}" name="Month">
      <calculatedColumnFormula array="1">Common_InputFunctions.Utility_DisplayArrayInTable(Common_SourceData.Common_SourceData_MonthsToSeasons_Data(), Table_SourceData_Common_MonthToSeason[[#Headers],[Month]], 0)</calculatedColumnFormula>
    </tableColumn>
    <tableColumn id="2" xr3:uid="{B28C24D1-22CA-4306-99D0-1A24AA662B81}" name="Season" dataDxfId="4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AFC8DC0-DBEB-43E0-9CB0-6AE767DF324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9567E8A-8324-4279-B76C-4A54D3D6DB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295FE6A-5975-4537-BF77-F1975C2BA958}" name="MAT (ºC)"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D83CD55-F19B-470A-B72D-DFF9A61F131D}" name="Anaerobic lagoon"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8B9C20C-BCD7-4E5B-9E9B-8C7B417C9AC1}" name="Digester / covered lagoon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4488A92-8358-41B9-9C06-4FF575D2EB56}" name="Liquid system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7116448-6082-4AF0-934A-145E036B993F}" name="Daily spread"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CA9435D-A6DB-4FD6-AC07-C40F8037A7B1}" name="Composting (passive windrow)"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998DB42-C184-4E49-BD39-94F356DA75A7}" name="Solid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FC700E4-D957-4AE7-A1B6-E3BC61528C91}" name="Pit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B12BD81-E415-40E0-B49C-F5342ED8D2CB}" name="Deep litter"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86E0030-AA98-4D41-AC60-56473CE5BBCA}" name="Poultry manure with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BD58975-47A9-4506-A7C9-5D50AA1C35A2}" name="Poultry manure without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BC25A12-2F6D-4043-B5F5-B60BB1F4B978}" name="Direct process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9FF84F7-5796-488A-9417-47702B6E3EC1}" name="Direct applicati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07DE403-2DB0-459F-838D-AE0207DC19EF}" name="Pasture range and paddock"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1E3C577-A499-4110-BD43-BD682C04854E}" name="MAT ra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2BDCF78-05D5-41AE-B6A6-01A73993D3E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767DD22-2BAA-4CEC-B662-47A0AA14285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43561A7-08E6-4A44-84F0-30E7C85C6FD8}" name="EFNi &amp; EFN2Oi" dataDxfId="2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90A3508-4851-4616-8997-A90DED38A57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B24B3899-9D34-42A9-BB3B-AD8B91A6E241}" name="Description" dataDxfId="25" dataCellStyle="Content normal"/>
    <tableColumn id="1" xr3:uid="{DB709C49-6094-41EF-8EE7-59DE5240F4BA}" name="ID"/>
    <tableColumn id="3" xr3:uid="{B9B59130-8286-43CB-9EC4-006A56BE30DA}" name="Score"/>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1490E23-2E90-40AC-B613-A5CBC6BFAB60}"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0559D61C-4139-452E-A193-5852137CA88C}" name="Description"/>
    <tableColumn id="2" xr3:uid="{47597991-CED9-4406-B8E8-54E88B2706C6}" name="ID"/>
    <tableColumn id="3" xr3:uid="{76234EB2-E34A-4016-B2DF-69A3AE8FA1BA}" name="Score"/>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6CC9C4B-E0B5-470B-9E18-CB0E4929A2A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00A444A-FECD-40A6-A88C-23A054338FF0}" name="Description"/>
    <tableColumn id="2" xr3:uid="{912E3E30-1FF6-46D0-AB36-EE82592C5102}" name="ID"/>
    <tableColumn id="3" xr3:uid="{264DD3A6-05FA-44AD-831A-70775F7C4F93}" name="Scor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DD9F64E5-D795-4F6C-B083-D1544382E282}"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89B254CE-A6A8-4865-B27D-1147DA1658BC}" name="Description"/>
    <tableColumn id="2" xr3:uid="{F8D7029A-4CE3-45F0-A752-E89CB07790C6}" name="ID"/>
    <tableColumn id="3" xr3:uid="{8592B8C2-4613-4952-A7AA-5F14D55D9124}" name="Score"/>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3" dataCellStyle="Content normal">
  <autoFilter ref="D43:E50" xr:uid="{995536B5-6CA5-4D7D-A704-9B6B595C2491}"/>
  <tableColumns count="2">
    <tableColumn id="1" xr3:uid="{E938630E-8222-4BE2-B52E-4473CFD04435}" name="Product"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0" dataCellStyle="Content normal">
  <autoFilter ref="D54:E55" xr:uid="{257D8456-031C-4EEF-A8C4-474F215C3208}"/>
  <tableColumns count="2">
    <tableColumn id="1" xr3:uid="{CCAB4FA5-3C71-4C85-9272-34B79637BA1B}" name="Product"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7" dataCellStyle="Content normal">
  <autoFilter ref="D59:E60" xr:uid="{71833C62-BA2B-4519-92E0-B189E393D12F}"/>
  <tableColumns count="2">
    <tableColumn id="1" xr3:uid="{BB13FB65-BFF1-4C4A-B3E1-18BD0F5BFCC3}" name="Product"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4" dataCellStyle="Content normal">
  <autoFilter ref="D64:E65" xr:uid="{65FF5EF6-2A75-4137-9345-8328E2DA8F9C}"/>
  <tableColumns count="2">
    <tableColumn id="1" xr3:uid="{FF50B2BD-E102-4982-AE25-F8D8E417E7A1}" name="Product"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printerSettings" Target="../printerSettings/printerSettings6.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0.xml"/><Relationship Id="rId7" Type="http://schemas.openxmlformats.org/officeDocument/2006/relationships/table" Target="../tables/table54.xml"/><Relationship Id="rId2" Type="http://schemas.openxmlformats.org/officeDocument/2006/relationships/table" Target="../tables/table49.xml"/><Relationship Id="rId1" Type="http://schemas.openxmlformats.org/officeDocument/2006/relationships/printerSettings" Target="../printerSettings/printerSettings7.bin"/><Relationship Id="rId6" Type="http://schemas.openxmlformats.org/officeDocument/2006/relationships/table" Target="../tables/table53.xml"/><Relationship Id="rId5" Type="http://schemas.openxmlformats.org/officeDocument/2006/relationships/table" Target="../tables/table52.xml"/><Relationship Id="rId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4" sqref="A24"/>
    </sheetView>
  </sheetViews>
  <sheetFormatPr defaultRowHeight="20" x14ac:dyDescent="0.25" customHeight="1"/>
  <sheetData>
    <row r="1" spans="1:1" x14ac:dyDescent="0.25" ht="30" customHeight="1">
      <c r="A1" t="s">
        <v>388</v>
      </c>
    </row>
    <row r="3" spans="1:1" x14ac:dyDescent="0.25" ht="20" customHeight="1">
      <c r="A3" s="129" t="str">
        <f>HYPERLINK("#'Home'!A1", "Home")</f>
        <v>Home</v>
      </c>
    </row>
    <row r="6" spans="1:1" x14ac:dyDescent="0.25" ht="20" customHeight="1">
      <c r="A6" s="125"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4" sqref="A24"/>
    </sheetView>
  </sheetViews>
  <sheetFormatPr defaultRowHeight="20" x14ac:dyDescent="0.25" customHeight="1"/>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24" t="str">
        <f>HYPERLINK("#'Results'!A1", "Results")</f>
        <v>Results</v>
      </c>
      <c r="C4" s="21"/>
      <c r="D4" s="6" t="s">
        <v>2</v>
      </c>
      <c r="E4" s="23"/>
      <c r="F4" s="23"/>
      <c r="G4" s="23"/>
      <c r="H4" s="6"/>
      <c r="I4" s="6"/>
      <c r="J4" s="6"/>
      <c r="K4" s="24"/>
    </row>
    <row r="5" spans="1:11" ht="20" customHeight="1" x14ac:dyDescent="0.3">
      <c r="C5" s="21"/>
      <c r="D5" s="25"/>
      <c r="E5" s="26"/>
      <c r="F5" s="26"/>
      <c r="G5" s="26"/>
      <c r="H5" s="23"/>
      <c r="I5" s="21"/>
      <c r="J5" s="21"/>
      <c r="K5" s="21"/>
    </row>
    <row r="6" spans="1:11" ht="20" customHeight="1" x14ac:dyDescent="0.25">
      <c r="C6" s="21"/>
      <c r="D6" s="109" t="s">
        <v>108</v>
      </c>
      <c r="E6" s="109" t="s">
        <v>151</v>
      </c>
      <c r="F6" s="109" t="s">
        <v>152</v>
      </c>
      <c r="G6" s="109" t="s">
        <v>121</v>
      </c>
      <c r="H6" s="109" t="s">
        <v>153</v>
      </c>
      <c r="I6" s="109" t="s">
        <v>154</v>
      </c>
      <c r="J6" s="109" t="s">
        <v>122</v>
      </c>
      <c r="K6" s="21"/>
    </row>
    <row r="7" spans="1:11" ht="20"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 customHeight="1" x14ac:dyDescent="0.3">
      <c r="C11" s="21"/>
      <c r="D11" s="28" t="s">
        <v>120</v>
      </c>
      <c r="E11" s="22"/>
      <c r="F11" s="22"/>
      <c r="G11" s="28"/>
      <c r="H11" s="108">
        <f ca="1">SUM(H7:H10)</f>
        <v>172.90746835937432</v>
      </c>
      <c r="I11" s="108">
        <f ca="1">SUM(I7:I10)</f>
        <v>168.44936378150695</v>
      </c>
      <c r="J11" s="99" t="s">
        <v>147</v>
      </c>
      <c r="K11" s="21"/>
    </row>
    <row r="12" spans="1:11" ht="20" customHeight="1" x14ac:dyDescent="0.25">
      <c r="A12" s="18" t="s">
        <v>72</v>
      </c>
      <c r="C12" s="21"/>
      <c r="D12" s="1"/>
      <c r="E12" s="1"/>
      <c r="F12" s="1"/>
      <c r="G12" s="23"/>
      <c r="H12" s="21"/>
      <c r="I12" s="1"/>
      <c r="J12" s="1"/>
      <c r="K12" s="21"/>
    </row>
    <row r="13" spans="1:11" ht="20" customHeight="1" x14ac:dyDescent="0.25">
      <c r="A13" s="17" t="str">
        <f>HYPERLINK("#'4.2.1.1-2 Methane'!A1", "4.2.1.1-2 Methane")</f>
        <v>4.2.1.1-2 Methane</v>
      </c>
      <c r="C13" s="21"/>
      <c r="D13" s="1"/>
      <c r="E13" s="1"/>
      <c r="F13" s="1"/>
      <c r="G13" s="1"/>
      <c r="H13" s="23"/>
      <c r="I13" s="21"/>
      <c r="J13" s="21"/>
      <c r="K13" s="21"/>
    </row>
    <row r="14" spans="1:11" ht="20" customHeight="1" x14ac:dyDescent="0.3">
      <c r="A14" s="17" t="str">
        <f>HYPERLINK("#'4.2.1.3-4 Soil direct N20'!A1", "4.2.1.3-4 Soil direct N20")</f>
        <v>4.2.1.3-4 Soil direct N20</v>
      </c>
      <c r="C14" s="21"/>
      <c r="D14" s="1"/>
      <c r="E14" s="1"/>
      <c r="F14" s="1"/>
      <c r="G14" s="1"/>
      <c r="H14" s="26"/>
      <c r="I14" s="21"/>
      <c r="J14" s="21"/>
      <c r="K14" s="21"/>
    </row>
    <row r="15" spans="1:11" ht="20" customHeight="1" x14ac:dyDescent="0.3">
      <c r="A15" s="17" t="str">
        <f>HYPERLINK("#'4.2.1.5-6 Soil Atmos Dep'!A1", "4.2.1.5-6 Soil Atmos Dep")</f>
        <v>4.2.1.5-6 Soil Atmos Dep</v>
      </c>
      <c r="C15" s="21"/>
      <c r="D15" s="1"/>
      <c r="E15" s="1"/>
      <c r="F15" s="1"/>
      <c r="G15" s="1"/>
      <c r="H15" s="26"/>
      <c r="I15" s="21"/>
      <c r="J15" s="21"/>
      <c r="K15" s="21"/>
    </row>
    <row r="16" spans="1:11" ht="20" customHeight="1" x14ac:dyDescent="0.3">
      <c r="A16" s="17" t="str">
        <f>HYPERLINK("#'4.2.1.7-8 Soil leach runoff'!A1", "4.2.1.7-8 Soil leach runoff")</f>
        <v>4.2.1.7-8 Soil leach runoff</v>
      </c>
      <c r="C16" s="21"/>
      <c r="D16" s="1"/>
      <c r="E16" s="1"/>
      <c r="F16" s="1"/>
      <c r="G16" s="1"/>
      <c r="H16" s="26"/>
      <c r="I16" s="21"/>
      <c r="J16" s="21"/>
      <c r="K16" s="21"/>
    </row>
    <row r="17" spans="1:11" ht="20" customHeight="1" x14ac:dyDescent="0.3">
      <c r="C17" s="21"/>
      <c r="D17" s="1"/>
      <c r="E17" s="1"/>
      <c r="F17" s="1"/>
      <c r="G17" s="1"/>
      <c r="H17" s="26"/>
      <c r="I17" s="21"/>
      <c r="J17" s="21"/>
      <c r="K17" s="21"/>
    </row>
    <row r="18" spans="1:11" ht="20" customHeight="1" x14ac:dyDescent="0.3">
      <c r="C18" s="21"/>
      <c r="D18" s="1"/>
      <c r="E18" s="1"/>
      <c r="F18" s="1"/>
      <c r="G18" s="1"/>
      <c r="H18" s="26"/>
      <c r="I18" s="21"/>
      <c r="J18" s="21"/>
      <c r="K18" s="21"/>
    </row>
    <row r="19" spans="1:11" ht="20" customHeight="1" x14ac:dyDescent="0.3">
      <c r="A19" s="125" t="s">
        <v>1</v>
      </c>
      <c r="C19" s="21"/>
      <c r="D19" s="1"/>
      <c r="E19" s="1"/>
      <c r="F19" s="1"/>
      <c r="G19" s="1"/>
      <c r="H19" s="26"/>
      <c r="I19" s="21"/>
      <c r="J19" s="21"/>
      <c r="K19" s="21"/>
    </row>
    <row r="20" spans="1:11" ht="20" customHeight="1" x14ac:dyDescent="0.3">
      <c r="A20" s="17" t="str">
        <f>HYPERLINK("#'Constants - Pasture Beef'!A1", "Constants - Pasture Beef")</f>
        <v>Constants - Pasture Beef</v>
      </c>
      <c r="C20" s="21"/>
      <c r="D20" s="1"/>
      <c r="E20" s="1"/>
      <c r="F20" s="1"/>
      <c r="G20" s="1"/>
      <c r="H20" s="26"/>
      <c r="I20" s="21"/>
      <c r="J20" s="21"/>
      <c r="K20" s="21"/>
    </row>
    <row r="21" spans="1:11" ht="20" customHeight="1" x14ac:dyDescent="0.3">
      <c r="A21" s="17" t="str">
        <f>HYPERLINK("#'Constants - Common'!A1", "Constants - Common")</f>
        <v>Constants - Common</v>
      </c>
      <c r="C21" s="21"/>
      <c r="D21" s="1"/>
      <c r="E21" s="1"/>
      <c r="F21" s="1"/>
      <c r="G21" s="1"/>
      <c r="H21" s="26"/>
      <c r="I21" s="21"/>
      <c r="J21" s="21"/>
      <c r="K21" s="21"/>
    </row>
    <row r="22" spans="1:11" ht="20" customHeight="1" x14ac:dyDescent="0.3">
      <c r="A22" s="17" t="str">
        <f>HYPERLINK("#'Constants - Common Livestock'!A1", "Constants - Common Livestock")</f>
        <v>Constants - Common Livestock</v>
      </c>
      <c r="C22" s="21"/>
      <c r="D22" s="1"/>
      <c r="E22" s="1"/>
      <c r="F22" s="1"/>
      <c r="G22" s="1"/>
      <c r="H22" s="26"/>
      <c r="I22" s="21"/>
      <c r="J22" s="21"/>
      <c r="K22" s="21"/>
    </row>
    <row r="23" spans="1:11" ht="20" customHeight="1" x14ac:dyDescent="0.3">
      <c r="A23" s="17" t="str">
        <f>HYPERLINK("#'Acknowledgements'!A1", "Acknowledgements")</f>
        <v>Acknowledgements</v>
      </c>
      <c r="C23" s="21"/>
      <c r="D23" s="1"/>
      <c r="E23" s="1"/>
      <c r="F23" s="1"/>
      <c r="G23" s="1"/>
      <c r="H23" s="26"/>
      <c r="I23" s="21"/>
      <c r="J23" s="21"/>
      <c r="K23" s="21"/>
    </row>
    <row r="24" spans="1:11" ht="20" customHeight="1" x14ac:dyDescent="0.3">
      <c r="A24" s="17" t="str">
        <f>HYPERLINK("#'Tab template'!A1", "Tab template")</f>
        <v>Tab template</v>
      </c>
      <c r="C24" s="21"/>
      <c r="D24" s="1"/>
      <c r="E24" s="1"/>
      <c r="F24" s="1"/>
      <c r="G24" s="1"/>
      <c r="H24" s="26"/>
      <c r="I24" s="21"/>
      <c r="J24" s="21"/>
      <c r="K24" s="21"/>
    </row>
    <row r="25" spans="1:11" ht="20" customHeight="1" x14ac:dyDescent="0.3">
      <c r="C25" s="21"/>
      <c r="D25" s="1"/>
      <c r="E25" s="1"/>
      <c r="F25" s="1"/>
      <c r="G25" s="1"/>
      <c r="H25" s="26"/>
      <c r="I25" s="21"/>
      <c r="J25" s="21"/>
      <c r="K25" s="21"/>
    </row>
    <row r="26" spans="1:11" ht="20" customHeight="1" x14ac:dyDescent="0.3">
      <c r="C26" s="21"/>
      <c r="D26" s="1"/>
      <c r="E26" s="1"/>
      <c r="F26" s="1"/>
      <c r="G26" s="1"/>
      <c r="H26" s="26"/>
      <c r="I26" s="21"/>
      <c r="J26" s="21"/>
      <c r="K26" s="21"/>
    </row>
    <row r="27" spans="1:11" ht="20" customHeight="1" x14ac:dyDescent="0.25">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105"/>
      <c r="J38" s="105"/>
      <c r="K38" s="21"/>
    </row>
    <row r="39" spans="3:11" ht="20" customHeight="1" x14ac:dyDescent="0.25">
      <c r="C39" s="21"/>
      <c r="D39" s="1"/>
      <c r="E39" s="1"/>
      <c r="F39" s="1"/>
      <c r="G39" s="1"/>
      <c r="H39" s="1"/>
      <c r="I39" s="105"/>
      <c r="J39" s="105"/>
      <c r="K39" s="21"/>
    </row>
    <row r="40" spans="3:11" ht="20" customHeight="1" x14ac:dyDescent="0.25">
      <c r="C40" s="21"/>
      <c r="D40" s="1"/>
      <c r="E40" s="1"/>
      <c r="F40" s="1"/>
      <c r="G40" s="1"/>
      <c r="H40" s="1"/>
      <c r="I40" s="105"/>
      <c r="J40" s="105"/>
      <c r="K40" s="21"/>
    </row>
    <row r="41" spans="3:11" ht="20" customHeight="1" x14ac:dyDescent="0.25">
      <c r="C41" s="21"/>
      <c r="D41" s="1"/>
      <c r="E41" s="1"/>
      <c r="F41" s="1"/>
      <c r="G41" s="1"/>
      <c r="H41" s="1"/>
      <c r="I41" s="105"/>
      <c r="J41" s="105"/>
      <c r="K41" s="21"/>
    </row>
    <row r="42" spans="3:11" ht="20" customHeight="1" x14ac:dyDescent="0.25">
      <c r="C42" s="21"/>
      <c r="D42" s="1"/>
      <c r="E42" s="1"/>
      <c r="F42" s="1"/>
      <c r="G42" s="1"/>
      <c r="H42" s="1"/>
      <c r="I42" s="105"/>
      <c r="J42" s="105"/>
      <c r="K42" s="21"/>
    </row>
    <row r="43" spans="3:11" ht="20" customHeight="1" x14ac:dyDescent="0.25">
      <c r="C43" s="21"/>
      <c r="D43" s="1"/>
      <c r="E43" s="1"/>
      <c r="F43" s="1"/>
      <c r="G43" s="1"/>
      <c r="H43" s="1"/>
      <c r="I43" s="105"/>
      <c r="J43" s="105"/>
      <c r="K43" s="21"/>
    </row>
    <row r="44" spans="3:11" ht="20" customHeight="1" x14ac:dyDescent="0.25">
      <c r="C44" s="21"/>
      <c r="D44" s="1"/>
      <c r="E44" s="1"/>
      <c r="F44" s="1"/>
      <c r="G44" s="1"/>
      <c r="H44" s="1"/>
      <c r="I44" s="105"/>
      <c r="J44" s="105"/>
      <c r="K44" s="21"/>
    </row>
    <row r="45" spans="3:11" ht="20" customHeight="1" x14ac:dyDescent="0.25">
      <c r="C45" s="21"/>
      <c r="D45" s="1"/>
      <c r="E45" s="1"/>
      <c r="F45" s="1"/>
      <c r="G45" s="1"/>
      <c r="H45" s="1"/>
      <c r="I45" s="105"/>
      <c r="J45" s="105"/>
      <c r="K45" s="21"/>
    </row>
    <row r="46" spans="3:11" ht="20" customHeight="1" x14ac:dyDescent="0.25">
      <c r="C46" s="21"/>
      <c r="D46" s="1"/>
      <c r="E46" s="1"/>
      <c r="F46" s="1"/>
      <c r="G46" s="1"/>
      <c r="H46" s="1"/>
      <c r="I46" s="105"/>
      <c r="J46" s="105"/>
      <c r="K46" s="21"/>
    </row>
    <row r="47" spans="3:11" ht="20" customHeight="1" x14ac:dyDescent="0.25">
      <c r="C47" s="21"/>
      <c r="D47" s="1"/>
      <c r="E47" s="1"/>
      <c r="F47" s="1"/>
      <c r="G47" s="1"/>
      <c r="H47" s="1"/>
      <c r="I47" s="105"/>
      <c r="J47" s="105"/>
      <c r="K47" s="21"/>
    </row>
    <row r="48" spans="3:11" ht="20" customHeight="1" x14ac:dyDescent="0.25">
      <c r="C48" s="21"/>
      <c r="D48" s="1"/>
      <c r="E48" s="1"/>
      <c r="F48" s="1"/>
      <c r="G48" s="1"/>
      <c r="H48" s="1"/>
      <c r="I48" s="105"/>
      <c r="J48" s="105"/>
      <c r="K48" s="21"/>
    </row>
    <row r="49" spans="3:11" ht="20" customHeight="1" x14ac:dyDescent="0.25">
      <c r="C49" s="21"/>
      <c r="D49" s="1"/>
      <c r="E49" s="1"/>
      <c r="F49" s="1"/>
      <c r="G49" s="1"/>
      <c r="H49" s="105"/>
      <c r="I49" s="105"/>
      <c r="J49" s="105"/>
      <c r="K49" s="21"/>
    </row>
    <row r="50" spans="3:11" ht="20" customHeight="1" x14ac:dyDescent="0.25">
      <c r="C50" s="21"/>
      <c r="D50" s="1"/>
      <c r="E50" s="1"/>
      <c r="F50" s="1"/>
      <c r="G50" s="1"/>
      <c r="H50" s="105"/>
      <c r="I50" s="105"/>
      <c r="J50" s="105"/>
      <c r="K50" s="21"/>
    </row>
    <row r="51" spans="3:11" ht="20" customHeight="1" x14ac:dyDescent="0.25">
      <c r="C51" s="21"/>
      <c r="D51" s="1"/>
      <c r="E51" s="1"/>
      <c r="F51" s="1"/>
      <c r="G51" s="1"/>
      <c r="H51" s="105"/>
      <c r="I51" s="105"/>
      <c r="J51" s="105"/>
      <c r="K51" s="21"/>
    </row>
    <row r="52" spans="3:11" ht="20" customHeight="1" x14ac:dyDescent="0.25">
      <c r="C52" s="21"/>
      <c r="D52" s="1"/>
      <c r="E52" s="1"/>
      <c r="F52" s="1"/>
      <c r="G52" s="1"/>
      <c r="H52" s="105"/>
      <c r="I52" s="105"/>
      <c r="J52" s="105"/>
      <c r="K52" s="21"/>
    </row>
    <row r="53" spans="3:11" ht="20" customHeight="1" x14ac:dyDescent="0.25">
      <c r="C53" s="21"/>
      <c r="D53" s="1"/>
      <c r="E53" s="1"/>
      <c r="F53" s="1"/>
      <c r="G53" s="1"/>
      <c r="H53" s="105"/>
      <c r="I53" s="105"/>
      <c r="J53" s="105"/>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HYPERLINK("#'Results'!A1", "Results")</f>
        <v>Results</v>
      </c>
      <c r="C4" s="64"/>
      <c r="D4" s="64"/>
      <c r="E4" s="64"/>
      <c r="F4" s="64"/>
      <c r="G4" s="64"/>
      <c r="H4" s="64"/>
      <c r="I4" s="64"/>
      <c r="J4" s="64"/>
      <c r="K4" s="64"/>
    </row>
    <row r="5" spans="1:24" ht="20" customHeight="1" x14ac:dyDescent="0.25">
      <c r="A5"/>
      <c r="D5" s="6" t="s">
        <v>12</v>
      </c>
      <c r="N5" s="39"/>
    </row>
    <row r="6" spans="1:24" ht="20" customHeight="1" x14ac:dyDescent="0.25">
      <c r="A6"/>
      <c r="D6" s="14"/>
      <c r="N6" s="40"/>
    </row>
    <row r="7" spans="1:24" ht="20" customHeight="1" x14ac:dyDescent="0.25">
      <c r="A7" s="19" t="s">
        <v>0</v>
      </c>
      <c r="D7" s="1" t="s">
        <v>4</v>
      </c>
      <c r="E7" s="32" t="s">
        <v>3</v>
      </c>
      <c r="F7" s="2"/>
    </row>
    <row r="8" spans="1:24" ht="20" customHeight="1" x14ac:dyDescent="0.25">
      <c r="A8" s="126" t="str">
        <f>HYPERLINK("#'Input - Site'!A1", "Site")</f>
        <v>Site</v>
      </c>
      <c r="D8" s="10" t="s">
        <v>70</v>
      </c>
      <c r="E8" s="32" t="s">
        <v>71</v>
      </c>
    </row>
    <row r="9" spans="1:24" ht="20" customHeight="1" x14ac:dyDescent="0.25">
      <c r="A9" s="17" t="str">
        <f>HYPERLINK("#'Input - Pasture Beef'!A1", "Pasture Beef")</f>
        <v>Pasture Beef</v>
      </c>
      <c r="N9" s="41"/>
    </row>
    <row r="10" spans="1:24" ht="20" customHeight="1" x14ac:dyDescent="0.25">
      <c r="A10"/>
      <c r="D10" s="89" t="s">
        <v>85</v>
      </c>
      <c r="E10" s="87"/>
      <c r="F10" s="90"/>
      <c r="G10" s="84"/>
      <c r="N10" s="41"/>
    </row>
    <row r="11" spans="1:24" ht="20" customHeight="1" x14ac:dyDescent="0.25">
      <c r="A11"/>
      <c r="N11" s="42"/>
    </row>
    <row r="12" spans="1:24" ht="20" customHeight="1" x14ac:dyDescent="0.25">
      <c r="A12" s="18" t="s">
        <v>72</v>
      </c>
      <c r="D12" s="10" t="s">
        <v>91</v>
      </c>
      <c r="E12" s="61">
        <v>45292</v>
      </c>
      <c r="F12" s="2" t="s">
        <v>68</v>
      </c>
    </row>
    <row r="13" spans="1:24" ht="20" customHeight="1" x14ac:dyDescent="0.25">
      <c r="A13" s="17" t="str">
        <f>HYPERLINK("#'4.2.1.1-2 Methane'!A1", "4.2.1.1-2 Methane")</f>
        <v>4.2.1.1-2 Methane</v>
      </c>
      <c r="D13" s="10" t="s">
        <v>92</v>
      </c>
      <c r="E13" s="65">
        <f>DATE(YEAR(X_Cell_Site_StartDate)+1,MONTH(X_Cell_Site_StartDate),DAY(X_Cell_Site_StartDate))-1</f>
        <v>45657</v>
      </c>
      <c r="F13" s="2" t="s">
        <v>14</v>
      </c>
      <c r="N13" s="37"/>
      <c r="O13" s="37"/>
    </row>
    <row r="14" spans="1:24" ht="20" customHeight="1" x14ac:dyDescent="0.25">
      <c r="A14" s="17" t="str">
        <f>HYPERLINK("#'4.2.1.3-4 Soil direct N20'!A1", "4.2.1.3-4 Soil direct N20")</f>
        <v>4.2.1.3-4 Soil direct N20</v>
      </c>
      <c r="N14" s="37"/>
      <c r="O14" s="37"/>
    </row>
    <row r="15" spans="1:24" ht="20" customHeight="1" x14ac:dyDescent="0.25">
      <c r="A15" s="17" t="str">
        <f>HYPERLINK("#'4.2.1.5-6 Soil Atmos Dep'!A1", "4.2.1.5-6 Soil Atmos Dep")</f>
        <v>4.2.1.5-6 Soil Atmos Dep</v>
      </c>
      <c r="N15" s="37"/>
      <c r="O15" s="37"/>
    </row>
    <row r="16" spans="1:24" ht="20" customHeight="1" x14ac:dyDescent="0.25">
      <c r="A16" s="17" t="str">
        <f>HYPERLINK("#'4.2.1.7-8 Soil leach runoff'!A1", "4.2.1.7-8 Soil leach runoff")</f>
        <v>4.2.1.7-8 Soil leach runoff</v>
      </c>
      <c r="D16" s="6" t="s">
        <v>11</v>
      </c>
      <c r="N16" s="37"/>
      <c r="O16" s="37"/>
    </row>
    <row r="17" spans="1:25" ht="20" customHeight="1" x14ac:dyDescent="0.25">
      <c r="A17"/>
    </row>
    <row r="18" spans="1:25" ht="20" customHeight="1" x14ac:dyDescent="0.25">
      <c r="A18"/>
      <c r="D18" s="91" t="s">
        <v>13</v>
      </c>
      <c r="E18" s="86"/>
      <c r="F18" s="86"/>
      <c r="G18" s="82"/>
    </row>
    <row r="19" spans="1:25" ht="20" customHeight="1" x14ac:dyDescent="0.25">
      <c r="A19" s="125" t="s">
        <v>1</v>
      </c>
      <c r="D19" s="88" t="s">
        <v>69</v>
      </c>
      <c r="E19" s="85"/>
      <c r="F19" s="85"/>
      <c r="G19" s="83"/>
      <c r="N19" s="39"/>
    </row>
    <row r="20" spans="1:25" ht="20" customHeight="1" x14ac:dyDescent="0.25">
      <c r="A20" s="17" t="str">
        <f>HYPERLINK("#'Constants - Pasture Beef'!A1", "Constants - Pasture Beef")</f>
        <v>Constants - Pasture Beef</v>
      </c>
      <c r="D20" s="1"/>
      <c r="E20" s="30"/>
      <c r="F20" s="2"/>
      <c r="N20" s="40"/>
    </row>
    <row r="21" spans="1:25" ht="20" customHeight="1" x14ac:dyDescent="0.25">
      <c r="A21" s="17" t="str">
        <f>HYPERLINK("#'Constants - Common'!A1", "Constants - Common")</f>
        <v>Constants - Common</v>
      </c>
      <c r="D21" s="1" t="s">
        <v>5</v>
      </c>
      <c r="E21" s="38" t="s">
        <v>212</v>
      </c>
      <c r="F21" s="2" t="s">
        <v>8</v>
      </c>
    </row>
    <row r="22" spans="1:25" ht="20" customHeight="1" x14ac:dyDescent="0.25">
      <c r="A22" s="17" t="str">
        <f>HYPERLINK("#'Constants - Common Livestock'!A1", "Constants - Common Livestock")</f>
        <v>Constants - Common Livestock</v>
      </c>
      <c r="D22" s="1" t="s">
        <v>23</v>
      </c>
      <c r="E22" s="38" t="s">
        <v>32</v>
      </c>
      <c r="F22" s="2" t="s">
        <v>8</v>
      </c>
      <c r="G22" s="1"/>
    </row>
    <row r="23" spans="1:25" ht="20" customHeight="1" x14ac:dyDescent="0.25">
      <c r="A23" s="17" t="str">
        <f>HYPERLINK("#'Acknowledgements'!A1", "Acknowledgements")</f>
        <v>Acknowledgements</v>
      </c>
      <c r="D23" s="1" t="s">
        <v>6</v>
      </c>
      <c r="E23" s="38" t="s">
        <v>90</v>
      </c>
      <c r="F23" s="2" t="s">
        <v>8</v>
      </c>
    </row>
    <row r="24" spans="1:25" ht="20" customHeight="1" x14ac:dyDescent="0.25">
      <c r="A24" s="17" t="str">
        <f>HYPERLINK("#'Tab template'!A1", "Tab template")</f>
        <v>Tab template</v>
      </c>
      <c r="D24" s="1" t="s">
        <v>37</v>
      </c>
      <c r="E24" s="32">
        <v>307.7</v>
      </c>
      <c r="F24" s="2" t="s">
        <v>51</v>
      </c>
    </row>
    <row r="25" spans="1:25" ht="20" customHeight="1" x14ac:dyDescent="0.25">
      <c r="A25"/>
      <c r="D25" s="1" t="s">
        <v>59</v>
      </c>
      <c r="E25" s="32">
        <v>18</v>
      </c>
      <c r="F25" s="2" t="s">
        <v>9</v>
      </c>
      <c r="N25" s="40"/>
    </row>
    <row r="26" spans="1:25" ht="20" customHeight="1" x14ac:dyDescent="0.25">
      <c r="A26"/>
      <c r="D26" s="1" t="s">
        <v>60</v>
      </c>
      <c r="E26" s="32">
        <v>601</v>
      </c>
      <c r="F26" s="2" t="s">
        <v>10</v>
      </c>
    </row>
    <row r="27" spans="1:25" ht="20" customHeight="1" x14ac:dyDescent="0.25">
      <c r="A27"/>
      <c r="D27" s="10" t="s">
        <v>61</v>
      </c>
      <c r="E27" s="32">
        <v>1326</v>
      </c>
      <c r="F27" s="2" t="s">
        <v>10</v>
      </c>
    </row>
    <row r="28" spans="1:25" ht="20" customHeight="1" x14ac:dyDescent="0.25">
      <c r="A28"/>
      <c r="D28" s="1" t="s">
        <v>62</v>
      </c>
      <c r="E28" s="32">
        <v>7</v>
      </c>
      <c r="F28" s="2" t="s">
        <v>52</v>
      </c>
    </row>
    <row r="29" spans="1:25" ht="20" customHeight="1" x14ac:dyDescent="0.25">
      <c r="A29"/>
      <c r="D29" s="10" t="s">
        <v>58</v>
      </c>
      <c r="E29" s="50">
        <f>X_Cell_Site_TotalRainfall/X_Cell_Site_PotentialEvapotranspiration</f>
        <v>0.45324283559577677</v>
      </c>
      <c r="F29" s="2"/>
    </row>
    <row r="30" spans="1:25" ht="20" customHeight="1" x14ac:dyDescent="0.25">
      <c r="A30"/>
      <c r="D30" s="10" t="s">
        <v>33</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 customHeight="1" x14ac:dyDescent="0.25">
      <c r="A32"/>
      <c r="D32" s="1" t="s">
        <v>87</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 customHeight="1" x14ac:dyDescent="0.25">
      <c r="A33"/>
      <c r="D33" s="1" t="s">
        <v>50</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 customHeight="1" x14ac:dyDescent="0.25">
      <c r="A34"/>
      <c r="J34" s="58"/>
      <c r="K34" s="69"/>
      <c r="L34" s="45"/>
      <c r="M34" s="45"/>
      <c r="N34" s="45"/>
      <c r="O34" s="45"/>
      <c r="P34" s="45"/>
      <c r="Q34" s="45"/>
      <c r="R34" s="45"/>
      <c r="S34" s="45"/>
      <c r="T34" s="45"/>
      <c r="U34" s="45"/>
      <c r="V34" s="45"/>
      <c r="W34" s="45"/>
      <c r="X34" s="45"/>
      <c r="Y34" s="45"/>
    </row>
    <row r="35" spans="1:25" ht="20" customHeight="1" x14ac:dyDescent="0.25">
      <c r="A35"/>
      <c r="J35" s="58"/>
      <c r="K35" s="69"/>
      <c r="L35" s="45"/>
      <c r="M35" s="45"/>
      <c r="N35" s="45"/>
      <c r="O35" s="45"/>
      <c r="P35" s="45"/>
      <c r="Q35" s="45"/>
      <c r="R35" s="45"/>
      <c r="S35" s="45"/>
      <c r="T35" s="45"/>
      <c r="U35" s="45"/>
      <c r="V35" s="45"/>
      <c r="W35" s="45"/>
      <c r="X35" s="45"/>
      <c r="Y35" s="45"/>
    </row>
    <row r="36" spans="1:25" ht="20"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73"/>
      <c r="E47" s="73"/>
      <c r="F47" s="73"/>
      <c r="G47" s="73"/>
      <c r="H47" s="73"/>
    </row>
    <row r="48" spans="1:25" ht="20" customHeight="1" x14ac:dyDescent="0.25">
      <c r="A48"/>
      <c r="D48" s="33"/>
      <c r="E48" s="33"/>
      <c r="F48" s="34"/>
      <c r="G48" s="34"/>
      <c r="H48" s="33"/>
    </row>
    <row r="49" spans="1:8" ht="20" customHeight="1" x14ac:dyDescent="0.25">
      <c r="A49"/>
      <c r="D49" s="33"/>
      <c r="E49" s="33"/>
      <c r="F49" s="34"/>
      <c r="G49" s="34"/>
      <c r="H49" s="33"/>
    </row>
    <row r="50" spans="1:8" ht="20" customHeight="1" x14ac:dyDescent="0.25">
      <c r="A50"/>
      <c r="D50" s="33"/>
      <c r="E50" s="33"/>
      <c r="F50" s="34"/>
      <c r="G50" s="34"/>
      <c r="H50" s="33"/>
    </row>
    <row r="51" spans="1:8" ht="20" customHeight="1" x14ac:dyDescent="0.25">
      <c r="A51"/>
      <c r="D51" s="74"/>
      <c r="E51" s="75"/>
      <c r="F51" s="75"/>
      <c r="G51" s="75"/>
      <c r="H51" s="76"/>
    </row>
    <row r="52" spans="1:8" ht="20" customHeight="1" x14ac:dyDescent="0.25">
      <c r="A52"/>
    </row>
    <row r="53" spans="1:8" ht="20" customHeight="1" x14ac:dyDescent="0.25">
      <c r="A53"/>
    </row>
    <row r="54" spans="1:8" ht="20" customHeight="1" x14ac:dyDescent="0.25">
      <c r="A54"/>
      <c r="G54" s="77"/>
    </row>
    <row r="55" spans="1:8" ht="20" customHeight="1" x14ac:dyDescent="0.25">
      <c r="A55"/>
      <c r="D55" s="6"/>
    </row>
    <row r="56" spans="1:8" ht="20" customHeight="1" x14ac:dyDescent="0.25">
      <c r="A56"/>
    </row>
    <row r="57" spans="1:8" ht="20" customHeight="1" x14ac:dyDescent="0.25">
      <c r="A57"/>
      <c r="D57" s="20"/>
      <c r="F57" s="78"/>
    </row>
    <row r="58" spans="1:8" ht="20" customHeight="1" x14ac:dyDescent="0.25">
      <c r="A58"/>
      <c r="D58" s="1"/>
      <c r="E58" s="79"/>
    </row>
    <row r="59" spans="1:8" ht="20" customHeight="1" x14ac:dyDescent="0.25">
      <c r="A59"/>
      <c r="D59" s="1"/>
      <c r="E59" s="79"/>
    </row>
    <row r="60" spans="1:8" ht="20" customHeight="1" x14ac:dyDescent="0.25">
      <c r="A60"/>
      <c r="D60" s="1"/>
      <c r="E60" s="80"/>
    </row>
    <row r="61" spans="1:8" ht="20" customHeight="1" x14ac:dyDescent="0.25">
      <c r="A61"/>
      <c r="D61" s="1"/>
    </row>
    <row r="62" spans="1:8" ht="20" customHeight="1" x14ac:dyDescent="0.25">
      <c r="A62"/>
    </row>
    <row r="63" spans="1:8" ht="20" customHeight="1" x14ac:dyDescent="0.25">
      <c r="A63"/>
      <c r="D63" s="20"/>
    </row>
    <row r="64" spans="1:8" ht="20" customHeight="1" x14ac:dyDescent="0.25">
      <c r="A64"/>
      <c r="D64" s="1"/>
      <c r="E64" s="79"/>
    </row>
    <row r="65" spans="1:9" ht="20" customHeight="1" x14ac:dyDescent="0.25">
      <c r="A65"/>
      <c r="D65" s="1"/>
      <c r="E65" s="79"/>
    </row>
    <row r="66" spans="1:9" ht="20" customHeight="1" x14ac:dyDescent="0.25">
      <c r="A66"/>
      <c r="D66" s="1"/>
      <c r="E66" s="80"/>
    </row>
    <row r="67" spans="1:9" ht="20" customHeight="1" x14ac:dyDescent="0.25">
      <c r="A67"/>
    </row>
    <row r="68" spans="1:9" ht="20" customHeight="1" x14ac:dyDescent="0.25">
      <c r="A68"/>
    </row>
    <row r="69" spans="1:9" ht="20" customHeight="1" x14ac:dyDescent="0.25">
      <c r="A69"/>
      <c r="D69" s="57"/>
      <c r="E69" s="57"/>
      <c r="F69" s="57"/>
      <c r="G69" s="57"/>
      <c r="H69" s="57"/>
      <c r="I69" s="57"/>
    </row>
    <row r="70" spans="1:9" ht="20" customHeight="1" x14ac:dyDescent="0.25">
      <c r="A70"/>
      <c r="D70" s="57"/>
      <c r="E70" s="57"/>
      <c r="F70" s="57"/>
      <c r="G70" s="57"/>
      <c r="H70" s="57"/>
      <c r="I70" s="57"/>
    </row>
    <row r="71" spans="1:9" ht="20" customHeight="1" x14ac:dyDescent="0.25">
      <c r="A71"/>
      <c r="D71" s="57"/>
      <c r="E71" s="57"/>
      <c r="F71" s="57"/>
      <c r="G71" s="57"/>
      <c r="H71" s="57"/>
      <c r="I71" s="57"/>
    </row>
    <row r="72" spans="1:9" ht="20" customHeight="1" x14ac:dyDescent="0.25">
      <c r="A72"/>
      <c r="D72" s="57"/>
      <c r="E72" s="57"/>
      <c r="F72" s="57"/>
      <c r="G72" s="57"/>
      <c r="H72" s="57"/>
      <c r="I72" s="57"/>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81"/>
    </row>
    <row r="79" spans="1:9" ht="20" customHeight="1" x14ac:dyDescent="0.25">
      <c r="A79"/>
      <c r="D79" s="81"/>
    </row>
    <row r="80" spans="1:9" ht="20" customHeight="1" x14ac:dyDescent="0.25">
      <c r="A80"/>
      <c r="D80" s="81"/>
    </row>
    <row r="81" spans="1:4" ht="20" customHeight="1" x14ac:dyDescent="0.25">
      <c r="A81"/>
      <c r="D81" s="81"/>
    </row>
    <row r="82" spans="1:4" ht="20" customHeight="1" x14ac:dyDescent="0.25">
      <c r="A82"/>
      <c r="D82" s="81"/>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34"/>
  <sheetViews>
    <sheetView showGridLines="0" topLeftCell="A151" zoomScaleNormal="100" workbookViewId="0">
      <selection activeCell="D171" sqref="D171"/>
    </sheetView>
  </sheetViews>
  <sheetFormatPr defaultRowHeight="20" x14ac:dyDescent="0.25" customHeight="1"/>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 customHeight="1" x14ac:dyDescent="0.25">
      <c r="A2"/>
      <c r="Q2" s="54"/>
      <c r="R2" s="54"/>
      <c r="S2" s="54"/>
      <c r="T2" s="54"/>
      <c r="U2" s="54"/>
      <c r="V2" s="54"/>
      <c r="W2" s="54"/>
      <c r="X2" s="54"/>
      <c r="Y2" s="54"/>
    </row>
    <row r="3" spans="1:25" ht="20" customHeight="1" x14ac:dyDescent="0.25">
      <c r="A3" s="17" t="str">
        <f>HYPERLINK("#'Home'!A1", "Home")</f>
        <v>Home</v>
      </c>
      <c r="C3" s="15"/>
      <c r="D3" s="15"/>
      <c r="E3" s="15"/>
      <c r="F3" s="15"/>
      <c r="G3" s="15"/>
      <c r="H3" s="15"/>
      <c r="I3" s="15"/>
      <c r="J3" s="15"/>
      <c r="K3" s="15"/>
      <c r="L3" s="15"/>
      <c r="M3" s="15"/>
      <c r="N3" s="15"/>
      <c r="O3" s="15"/>
      <c r="P3" s="15"/>
    </row>
    <row r="4" spans="1:25" ht="20" customHeight="1" x14ac:dyDescent="0.25">
      <c r="A4" s="17" t="str">
        <f>HYPERLINK("#'Results'!A1", "Results")</f>
        <v>Results</v>
      </c>
    </row>
    <row r="5" spans="1:25" ht="20" customHeight="1" x14ac:dyDescent="0.25">
      <c r="D5" s="6" t="s">
        <v>95</v>
      </c>
      <c r="P5" s="3"/>
      <c r="T5" s="7"/>
    </row>
    <row r="6" spans="1:25" ht="20" customHeight="1" x14ac:dyDescent="0.25">
      <c r="P6" s="3"/>
      <c r="T6" s="7"/>
    </row>
    <row r="7" spans="1:25" ht="20" customHeight="1" x14ac:dyDescent="0.25">
      <c r="A7" s="19" t="s">
        <v>0</v>
      </c>
      <c r="D7" s="1" t="s">
        <v>5</v>
      </c>
      <c r="E7" s="50" t="str">
        <f>X_Cell_Site_State</f>
        <v>Western Australia</v>
      </c>
      <c r="P7" s="3"/>
      <c r="T7" s="7"/>
    </row>
    <row r="8" spans="1:25" ht="20" customHeight="1" x14ac:dyDescent="0.25">
      <c r="A8" s="17" t="str">
        <f>HYPERLINK("#'Input - Site'!A1", "Site")</f>
        <v>Site</v>
      </c>
      <c r="D8" s="1" t="s">
        <v>198</v>
      </c>
      <c r="E8" s="38" t="s">
        <v>203</v>
      </c>
      <c r="F8" s="2" t="s">
        <v>8</v>
      </c>
      <c r="P8" s="3"/>
      <c r="T8" s="7"/>
    </row>
    <row r="9" spans="1:25" ht="20" customHeight="1" x14ac:dyDescent="0.25">
      <c r="A9" s="126" t="str">
        <f>HYPERLINK("#'Input - Pasture Beef'!A1", "Pasture Beef")</f>
        <v>Pasture Beef</v>
      </c>
      <c r="D9" s="1" t="s">
        <v>225</v>
      </c>
      <c r="E9" s="38" t="s">
        <v>233</v>
      </c>
      <c r="F9" s="2" t="s">
        <v>8</v>
      </c>
      <c r="T9" s="7"/>
    </row>
    <row r="10" spans="1:25" ht="20" customHeight="1" x14ac:dyDescent="0.25">
      <c r="T10" s="7"/>
    </row>
    <row r="11" spans="1:25" ht="20" customHeight="1" x14ac:dyDescent="0.25">
      <c r="T11" s="7"/>
    </row>
    <row r="12" spans="1:25" ht="20" customHeight="1" x14ac:dyDescent="0.25">
      <c r="A12" s="18" t="s">
        <v>72</v>
      </c>
      <c r="T12" s="7"/>
    </row>
    <row r="13" spans="1:25" ht="20" customHeight="1" x14ac:dyDescent="0.25">
      <c r="A13" s="17" t="str">
        <f>HYPERLINK("#'4.2.1.1-2 Methane'!A1", "4.2.1.1-2 Methane")</f>
        <v>4.2.1.1-2 Methane</v>
      </c>
      <c r="D13" s="89" t="s">
        <v>175</v>
      </c>
      <c r="E13" s="90"/>
      <c r="F13" s="90"/>
      <c r="G13" s="84"/>
      <c r="T13" s="37"/>
    </row>
    <row r="14" spans="1:25" ht="20" customHeight="1" x14ac:dyDescent="0.25">
      <c r="A14" s="17" t="str">
        <f>HYPERLINK("#'4.2.1.3-4 Soil direct N20'!A1", "4.2.1.3-4 Soil direct N20")</f>
        <v>4.2.1.3-4 Soil direct N20</v>
      </c>
      <c r="T14" s="37"/>
    </row>
    <row r="15" spans="1:25" ht="20" customHeight="1" x14ac:dyDescent="0.25">
      <c r="A15" s="17" t="str">
        <f>HYPERLINK("#'4.2.1.5-6 Soil Atmos Dep'!A1", "4.2.1.5-6 Soil Atmos Dep")</f>
        <v>4.2.1.5-6 Soil Atmos Dep</v>
      </c>
      <c r="D15" s="46" t="s">
        <v>172</v>
      </c>
      <c r="T15" s="37"/>
    </row>
    <row r="16" spans="1:25" ht="20"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 customHeight="1" x14ac:dyDescent="0.25">
      <c r="D17" s="1" t="s">
        <v>167</v>
      </c>
      <c r="E17" s="50">
        <f>91.25</f>
        <v>91.25</v>
      </c>
      <c r="F17" s="50">
        <f t="shared" ref="F17:N20" si="0">91.25</f>
        <v>91.25</v>
      </c>
      <c r="G17" s="50">
        <f t="shared" si="0"/>
        <v>91.25</v>
      </c>
      <c r="H17" s="50">
        <f t="shared" si="0"/>
        <v>91.25</v>
      </c>
      <c r="I17" s="50">
        <f t="shared" si="0"/>
        <v>91.25</v>
      </c>
      <c r="J17" s="50">
        <f t="shared" si="0"/>
        <v>91.25</v>
      </c>
      <c r="K17" s="50">
        <f t="shared" si="0"/>
        <v>91.25</v>
      </c>
      <c r="L17" s="50">
        <f t="shared" si="0"/>
        <v>91.25</v>
      </c>
      <c r="M17" s="50">
        <f t="shared" si="0"/>
        <v>91.25</v>
      </c>
      <c r="N17" s="50">
        <f t="shared" si="0"/>
        <v>91.25</v>
      </c>
      <c r="O17" s="2" t="s">
        <v>52</v>
      </c>
      <c r="T17" s="7"/>
    </row>
    <row r="18" spans="1:20" ht="20" customHeight="1" x14ac:dyDescent="0.25">
      <c r="D18" s="1" t="s">
        <v>168</v>
      </c>
      <c r="E18" s="50">
        <f t="shared" ref="E18:E20" si="1">91.25</f>
        <v>91.25</v>
      </c>
      <c r="F18" s="50">
        <f t="shared" si="0"/>
        <v>91.25</v>
      </c>
      <c r="G18" s="50">
        <f t="shared" si="0"/>
        <v>91.25</v>
      </c>
      <c r="H18" s="50">
        <f t="shared" si="0"/>
        <v>91.25</v>
      </c>
      <c r="I18" s="50">
        <f t="shared" si="0"/>
        <v>91.25</v>
      </c>
      <c r="J18" s="50">
        <f t="shared" si="0"/>
        <v>91.25</v>
      </c>
      <c r="K18" s="50">
        <f t="shared" si="0"/>
        <v>91.25</v>
      </c>
      <c r="L18" s="50">
        <f t="shared" si="0"/>
        <v>91.25</v>
      </c>
      <c r="M18" s="50">
        <f t="shared" si="0"/>
        <v>91.25</v>
      </c>
      <c r="N18" s="50">
        <f t="shared" si="0"/>
        <v>91.25</v>
      </c>
      <c r="O18" s="2" t="s">
        <v>52</v>
      </c>
      <c r="T18" s="7"/>
    </row>
    <row r="19" spans="1:20" ht="20" customHeight="1" x14ac:dyDescent="0.25">
      <c r="A19" s="125" t="s">
        <v>1</v>
      </c>
      <c r="D19" s="1" t="s">
        <v>169</v>
      </c>
      <c r="E19" s="50">
        <f t="shared" si="1"/>
        <v>91.25</v>
      </c>
      <c r="F19" s="50">
        <f t="shared" si="0"/>
        <v>91.25</v>
      </c>
      <c r="G19" s="50">
        <f t="shared" si="0"/>
        <v>91.25</v>
      </c>
      <c r="H19" s="50">
        <f t="shared" si="0"/>
        <v>91.25</v>
      </c>
      <c r="I19" s="50">
        <f t="shared" si="0"/>
        <v>91.25</v>
      </c>
      <c r="J19" s="50">
        <f t="shared" si="0"/>
        <v>91.25</v>
      </c>
      <c r="K19" s="50">
        <f t="shared" si="0"/>
        <v>91.25</v>
      </c>
      <c r="L19" s="50">
        <f t="shared" si="0"/>
        <v>91.25</v>
      </c>
      <c r="M19" s="50">
        <f t="shared" si="0"/>
        <v>91.25</v>
      </c>
      <c r="N19" s="50">
        <f t="shared" si="0"/>
        <v>91.25</v>
      </c>
      <c r="O19" s="2" t="s">
        <v>52</v>
      </c>
      <c r="T19" s="7"/>
    </row>
    <row r="20" spans="1:20" ht="20" customHeight="1" x14ac:dyDescent="0.25">
      <c r="A20" s="17" t="str">
        <f>HYPERLINK("#'Constants - Pasture Beef'!A1", "Constants - Pasture Beef")</f>
        <v>Constants - Pasture Beef</v>
      </c>
      <c r="D20" s="1" t="s">
        <v>170</v>
      </c>
      <c r="E20" s="50">
        <f t="shared" si="1"/>
        <v>91.25</v>
      </c>
      <c r="F20" s="50">
        <f t="shared" si="0"/>
        <v>91.25</v>
      </c>
      <c r="G20" s="50">
        <f t="shared" si="0"/>
        <v>91.25</v>
      </c>
      <c r="H20" s="50">
        <f t="shared" si="0"/>
        <v>91.25</v>
      </c>
      <c r="I20" s="50">
        <f t="shared" si="0"/>
        <v>91.25</v>
      </c>
      <c r="J20" s="50">
        <f t="shared" si="0"/>
        <v>91.25</v>
      </c>
      <c r="K20" s="50">
        <f t="shared" si="0"/>
        <v>91.25</v>
      </c>
      <c r="L20" s="50">
        <f t="shared" si="0"/>
        <v>91.25</v>
      </c>
      <c r="M20" s="50">
        <f t="shared" si="0"/>
        <v>91.25</v>
      </c>
      <c r="N20" s="50">
        <f t="shared" si="0"/>
        <v>91.25</v>
      </c>
      <c r="O20" s="2" t="s">
        <v>52</v>
      </c>
      <c r="T20" s="7"/>
    </row>
    <row r="21" spans="1:20" ht="20" customHeight="1" x14ac:dyDescent="0.25">
      <c r="A21" s="17" t="str">
        <f>HYPERLINK("#'Constants - Common'!A1", "Constants - Common")</f>
        <v>Constants - Common</v>
      </c>
      <c r="T21" s="7"/>
    </row>
    <row r="22" spans="1:20" ht="20"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 customHeight="1" x14ac:dyDescent="0.25">
      <c r="A23" s="17" t="str">
        <f>HYPERLINK("#'Acknowledgements'!A1", "Acknowledgements")</f>
        <v>Acknowledgements</v>
      </c>
      <c r="D23" s="1" t="str">
        <f>TEXT(X_Cell_Site_StartDate, "mmmm yyyy")</f>
        <v>January 2024</v>
      </c>
      <c r="E23" s="62">
        <f t="shared" ref="E23:N34" si="2">DAY(EOMONTH($D23,0))</f>
        <v>31</v>
      </c>
      <c r="F23" s="62">
        <f t="shared" si="2"/>
        <v>31</v>
      </c>
      <c r="G23" s="62">
        <f t="shared" si="2"/>
        <v>31</v>
      </c>
      <c r="H23" s="62">
        <f t="shared" si="2"/>
        <v>31</v>
      </c>
      <c r="I23" s="62">
        <f t="shared" si="2"/>
        <v>31</v>
      </c>
      <c r="J23" s="62">
        <f t="shared" si="2"/>
        <v>31</v>
      </c>
      <c r="K23" s="62">
        <f t="shared" si="2"/>
        <v>31</v>
      </c>
      <c r="L23" s="62">
        <f t="shared" si="2"/>
        <v>31</v>
      </c>
      <c r="M23" s="62">
        <f t="shared" si="2"/>
        <v>31</v>
      </c>
      <c r="N23" s="62">
        <f t="shared" si="2"/>
        <v>31</v>
      </c>
      <c r="O23" s="2" t="s">
        <v>52</v>
      </c>
      <c r="T23" s="7"/>
    </row>
    <row r="24" spans="1:20" ht="20" customHeight="1" x14ac:dyDescent="0.25">
      <c r="A24" s="17" t="str">
        <f>HYPERLINK("#'Tab template'!A1", "Tab template")</f>
        <v>Tab template</v>
      </c>
      <c r="D24" s="1" t="str">
        <f>TEXT(EDATE(X_Cell_Site_StartDate,1), "mmmm yyyy")</f>
        <v>February 2024</v>
      </c>
      <c r="E24" s="62">
        <f t="shared" si="2"/>
        <v>29</v>
      </c>
      <c r="F24" s="62">
        <f t="shared" si="2"/>
        <v>29</v>
      </c>
      <c r="G24" s="62">
        <f t="shared" si="2"/>
        <v>29</v>
      </c>
      <c r="H24" s="62">
        <f t="shared" si="2"/>
        <v>29</v>
      </c>
      <c r="I24" s="62">
        <f t="shared" si="2"/>
        <v>29</v>
      </c>
      <c r="J24" s="62">
        <f t="shared" si="2"/>
        <v>29</v>
      </c>
      <c r="K24" s="62">
        <f t="shared" si="2"/>
        <v>29</v>
      </c>
      <c r="L24" s="62">
        <f t="shared" si="2"/>
        <v>29</v>
      </c>
      <c r="M24" s="62">
        <f t="shared" si="2"/>
        <v>29</v>
      </c>
      <c r="N24" s="62">
        <f t="shared" si="2"/>
        <v>29</v>
      </c>
      <c r="O24" s="2" t="s">
        <v>52</v>
      </c>
      <c r="T24" s="7"/>
    </row>
    <row r="25" spans="1:20" ht="20" customHeight="1" x14ac:dyDescent="0.25">
      <c r="D25" s="1" t="str">
        <f>TEXT(EDATE(X_Cell_Site_StartDate,2), "mmmm yyyy")</f>
        <v>March 2024</v>
      </c>
      <c r="E25" s="62">
        <f t="shared" si="2"/>
        <v>31</v>
      </c>
      <c r="F25" s="62">
        <f t="shared" si="2"/>
        <v>31</v>
      </c>
      <c r="G25" s="62">
        <f t="shared" si="2"/>
        <v>31</v>
      </c>
      <c r="H25" s="62">
        <f t="shared" si="2"/>
        <v>31</v>
      </c>
      <c r="I25" s="62">
        <f t="shared" si="2"/>
        <v>31</v>
      </c>
      <c r="J25" s="62">
        <f t="shared" si="2"/>
        <v>31</v>
      </c>
      <c r="K25" s="62">
        <f t="shared" si="2"/>
        <v>31</v>
      </c>
      <c r="L25" s="62">
        <f t="shared" si="2"/>
        <v>31</v>
      </c>
      <c r="M25" s="62">
        <f t="shared" si="2"/>
        <v>31</v>
      </c>
      <c r="N25" s="62">
        <f t="shared" si="2"/>
        <v>31</v>
      </c>
      <c r="O25" s="2" t="s">
        <v>52</v>
      </c>
      <c r="T25" s="7"/>
    </row>
    <row r="26" spans="1:20" ht="20" customHeight="1" x14ac:dyDescent="0.25">
      <c r="D26" s="1" t="str">
        <f>TEXT(EDATE(X_Cell_Site_StartDate,3), "mmmm yyyy")</f>
        <v>April 2024</v>
      </c>
      <c r="E26" s="62">
        <f t="shared" si="2"/>
        <v>30</v>
      </c>
      <c r="F26" s="62">
        <f t="shared" si="2"/>
        <v>30</v>
      </c>
      <c r="G26" s="62">
        <f t="shared" si="2"/>
        <v>30</v>
      </c>
      <c r="H26" s="62">
        <f t="shared" si="2"/>
        <v>30</v>
      </c>
      <c r="I26" s="62">
        <f t="shared" si="2"/>
        <v>30</v>
      </c>
      <c r="J26" s="62">
        <f t="shared" si="2"/>
        <v>30</v>
      </c>
      <c r="K26" s="62">
        <f t="shared" si="2"/>
        <v>30</v>
      </c>
      <c r="L26" s="62">
        <f t="shared" si="2"/>
        <v>30</v>
      </c>
      <c r="M26" s="62">
        <f t="shared" si="2"/>
        <v>30</v>
      </c>
      <c r="N26" s="62">
        <f t="shared" si="2"/>
        <v>30</v>
      </c>
      <c r="O26" s="2" t="s">
        <v>52</v>
      </c>
      <c r="T26" s="7"/>
    </row>
    <row r="27" spans="1:20" ht="20" customHeight="1" x14ac:dyDescent="0.25">
      <c r="D27" s="1" t="str">
        <f>TEXT(EDATE(X_Cell_Site_StartDate,4), "mmmm yyyy")</f>
        <v>May 2024</v>
      </c>
      <c r="E27" s="62">
        <f t="shared" si="2"/>
        <v>31</v>
      </c>
      <c r="F27" s="62">
        <f t="shared" si="2"/>
        <v>31</v>
      </c>
      <c r="G27" s="62">
        <f t="shared" si="2"/>
        <v>31</v>
      </c>
      <c r="H27" s="62">
        <f t="shared" si="2"/>
        <v>31</v>
      </c>
      <c r="I27" s="62">
        <f t="shared" si="2"/>
        <v>31</v>
      </c>
      <c r="J27" s="62">
        <f t="shared" si="2"/>
        <v>31</v>
      </c>
      <c r="K27" s="62">
        <f t="shared" si="2"/>
        <v>31</v>
      </c>
      <c r="L27" s="62">
        <f t="shared" si="2"/>
        <v>31</v>
      </c>
      <c r="M27" s="62">
        <f t="shared" si="2"/>
        <v>31</v>
      </c>
      <c r="N27" s="62">
        <f t="shared" si="2"/>
        <v>31</v>
      </c>
      <c r="O27" s="2" t="s">
        <v>52</v>
      </c>
      <c r="T27" s="7"/>
    </row>
    <row r="28" spans="1:20" ht="20" customHeight="1" x14ac:dyDescent="0.25">
      <c r="D28" s="1" t="str">
        <f>TEXT(EDATE(X_Cell_Site_StartDate,5), "mmmm yyyy")</f>
        <v>June 2024</v>
      </c>
      <c r="E28" s="62">
        <f t="shared" si="2"/>
        <v>30</v>
      </c>
      <c r="F28" s="62">
        <f t="shared" si="2"/>
        <v>30</v>
      </c>
      <c r="G28" s="62">
        <f t="shared" si="2"/>
        <v>30</v>
      </c>
      <c r="H28" s="62">
        <f t="shared" si="2"/>
        <v>30</v>
      </c>
      <c r="I28" s="62">
        <f t="shared" si="2"/>
        <v>30</v>
      </c>
      <c r="J28" s="62">
        <f t="shared" si="2"/>
        <v>30</v>
      </c>
      <c r="K28" s="62">
        <f t="shared" si="2"/>
        <v>30</v>
      </c>
      <c r="L28" s="62">
        <f t="shared" si="2"/>
        <v>30</v>
      </c>
      <c r="M28" s="62">
        <f t="shared" si="2"/>
        <v>30</v>
      </c>
      <c r="N28" s="62">
        <f t="shared" si="2"/>
        <v>30</v>
      </c>
      <c r="O28" s="2" t="s">
        <v>52</v>
      </c>
      <c r="T28" s="7"/>
    </row>
    <row r="29" spans="1:20" ht="20" customHeight="1" x14ac:dyDescent="0.25">
      <c r="D29" s="1" t="str">
        <f>TEXT(EDATE(X_Cell_Site_StartDate,6), "mmmm yyyy")</f>
        <v>July 2024</v>
      </c>
      <c r="E29" s="62">
        <f t="shared" si="2"/>
        <v>31</v>
      </c>
      <c r="F29" s="62">
        <f t="shared" si="2"/>
        <v>31</v>
      </c>
      <c r="G29" s="62">
        <f t="shared" si="2"/>
        <v>31</v>
      </c>
      <c r="H29" s="62">
        <f t="shared" si="2"/>
        <v>31</v>
      </c>
      <c r="I29" s="62">
        <f t="shared" si="2"/>
        <v>31</v>
      </c>
      <c r="J29" s="62">
        <f t="shared" si="2"/>
        <v>31</v>
      </c>
      <c r="K29" s="62">
        <f t="shared" si="2"/>
        <v>31</v>
      </c>
      <c r="L29" s="62">
        <f t="shared" si="2"/>
        <v>31</v>
      </c>
      <c r="M29" s="62">
        <f t="shared" si="2"/>
        <v>31</v>
      </c>
      <c r="N29" s="62">
        <f t="shared" si="2"/>
        <v>31</v>
      </c>
      <c r="O29" s="2" t="s">
        <v>52</v>
      </c>
      <c r="T29" s="7"/>
    </row>
    <row r="30" spans="1:20" ht="20" customHeight="1" x14ac:dyDescent="0.25">
      <c r="D30" s="1" t="str">
        <f>TEXT(EDATE(X_Cell_Site_StartDate,7), "mmmm yyyy")</f>
        <v>August 2024</v>
      </c>
      <c r="E30" s="62">
        <f t="shared" si="2"/>
        <v>31</v>
      </c>
      <c r="F30" s="62">
        <f t="shared" si="2"/>
        <v>31</v>
      </c>
      <c r="G30" s="62">
        <f t="shared" si="2"/>
        <v>31</v>
      </c>
      <c r="H30" s="62">
        <f t="shared" si="2"/>
        <v>31</v>
      </c>
      <c r="I30" s="62">
        <f t="shared" si="2"/>
        <v>31</v>
      </c>
      <c r="J30" s="62">
        <f t="shared" si="2"/>
        <v>31</v>
      </c>
      <c r="K30" s="62">
        <f t="shared" si="2"/>
        <v>31</v>
      </c>
      <c r="L30" s="62">
        <f t="shared" si="2"/>
        <v>31</v>
      </c>
      <c r="M30" s="62">
        <f t="shared" si="2"/>
        <v>31</v>
      </c>
      <c r="N30" s="62">
        <f t="shared" si="2"/>
        <v>31</v>
      </c>
      <c r="O30" s="2" t="s">
        <v>52</v>
      </c>
      <c r="T30" s="7"/>
    </row>
    <row r="31" spans="1:20" ht="20" customHeight="1" x14ac:dyDescent="0.25">
      <c r="D31" s="1" t="str">
        <f>TEXT(EDATE(X_Cell_Site_StartDate,8), "mmmm yyyy")</f>
        <v>September 2024</v>
      </c>
      <c r="E31" s="62">
        <f t="shared" si="2"/>
        <v>30</v>
      </c>
      <c r="F31" s="62">
        <f t="shared" si="2"/>
        <v>30</v>
      </c>
      <c r="G31" s="62">
        <f t="shared" si="2"/>
        <v>30</v>
      </c>
      <c r="H31" s="62">
        <f t="shared" si="2"/>
        <v>30</v>
      </c>
      <c r="I31" s="62">
        <f t="shared" si="2"/>
        <v>30</v>
      </c>
      <c r="J31" s="62">
        <f t="shared" si="2"/>
        <v>30</v>
      </c>
      <c r="K31" s="62">
        <f t="shared" si="2"/>
        <v>30</v>
      </c>
      <c r="L31" s="62">
        <f t="shared" si="2"/>
        <v>30</v>
      </c>
      <c r="M31" s="62">
        <f t="shared" si="2"/>
        <v>30</v>
      </c>
      <c r="N31" s="62">
        <f t="shared" si="2"/>
        <v>30</v>
      </c>
      <c r="O31" s="2" t="s">
        <v>52</v>
      </c>
      <c r="T31" s="7"/>
    </row>
    <row r="32" spans="1:20" ht="20" customHeight="1" x14ac:dyDescent="0.25">
      <c r="D32" s="1" t="str">
        <f>TEXT(EDATE(X_Cell_Site_StartDate,9), "mmmm yyyy")</f>
        <v>October 2024</v>
      </c>
      <c r="E32" s="62">
        <f t="shared" si="2"/>
        <v>31</v>
      </c>
      <c r="F32" s="62">
        <f t="shared" si="2"/>
        <v>31</v>
      </c>
      <c r="G32" s="62">
        <f t="shared" si="2"/>
        <v>31</v>
      </c>
      <c r="H32" s="62">
        <f t="shared" si="2"/>
        <v>31</v>
      </c>
      <c r="I32" s="62">
        <f t="shared" si="2"/>
        <v>31</v>
      </c>
      <c r="J32" s="62">
        <f t="shared" si="2"/>
        <v>31</v>
      </c>
      <c r="K32" s="62">
        <f t="shared" si="2"/>
        <v>31</v>
      </c>
      <c r="L32" s="62">
        <f t="shared" si="2"/>
        <v>31</v>
      </c>
      <c r="M32" s="62">
        <f t="shared" si="2"/>
        <v>31</v>
      </c>
      <c r="N32" s="62">
        <f t="shared" si="2"/>
        <v>31</v>
      </c>
      <c r="O32" s="2" t="s">
        <v>52</v>
      </c>
      <c r="T32" s="7"/>
    </row>
    <row r="33" spans="4:20" ht="20" customHeight="1" x14ac:dyDescent="0.25">
      <c r="D33" s="1" t="str">
        <f>TEXT(EDATE(X_Cell_Site_StartDate,10), "mmmm yyyy")</f>
        <v>November 2024</v>
      </c>
      <c r="E33" s="62">
        <f t="shared" si="2"/>
        <v>30</v>
      </c>
      <c r="F33" s="62">
        <f t="shared" si="2"/>
        <v>30</v>
      </c>
      <c r="G33" s="62">
        <f t="shared" si="2"/>
        <v>30</v>
      </c>
      <c r="H33" s="62">
        <f t="shared" si="2"/>
        <v>30</v>
      </c>
      <c r="I33" s="62">
        <f t="shared" si="2"/>
        <v>30</v>
      </c>
      <c r="J33" s="62">
        <f t="shared" si="2"/>
        <v>30</v>
      </c>
      <c r="K33" s="62">
        <f t="shared" si="2"/>
        <v>30</v>
      </c>
      <c r="L33" s="62">
        <f t="shared" si="2"/>
        <v>30</v>
      </c>
      <c r="M33" s="62">
        <f t="shared" si="2"/>
        <v>30</v>
      </c>
      <c r="N33" s="62">
        <f t="shared" si="2"/>
        <v>30</v>
      </c>
      <c r="O33" s="2" t="s">
        <v>52</v>
      </c>
      <c r="T33" s="7"/>
    </row>
    <row r="34" spans="4:20" ht="20" customHeight="1" x14ac:dyDescent="0.25">
      <c r="D34" s="1" t="str">
        <f>TEXT(EDATE(X_Cell_Site_StartDate,11), "mmmm yyyy")</f>
        <v>December 2024</v>
      </c>
      <c r="E34" s="62">
        <f t="shared" si="2"/>
        <v>31</v>
      </c>
      <c r="F34" s="62">
        <f t="shared" si="2"/>
        <v>31</v>
      </c>
      <c r="G34" s="62">
        <f t="shared" si="2"/>
        <v>31</v>
      </c>
      <c r="H34" s="62">
        <f t="shared" si="2"/>
        <v>31</v>
      </c>
      <c r="I34" s="62">
        <f t="shared" si="2"/>
        <v>31</v>
      </c>
      <c r="J34" s="62">
        <f t="shared" si="2"/>
        <v>31</v>
      </c>
      <c r="K34" s="62">
        <f t="shared" si="2"/>
        <v>31</v>
      </c>
      <c r="L34" s="62">
        <f t="shared" si="2"/>
        <v>31</v>
      </c>
      <c r="M34" s="62">
        <f t="shared" si="2"/>
        <v>31</v>
      </c>
      <c r="N34" s="62">
        <f t="shared" si="2"/>
        <v>31</v>
      </c>
      <c r="O34" s="2" t="s">
        <v>52</v>
      </c>
      <c r="T34" s="7"/>
    </row>
    <row r="35" spans="4:20" ht="20" customHeight="1" x14ac:dyDescent="0.25">
      <c r="T35" s="7"/>
    </row>
    <row r="36" spans="4:20" ht="20" customHeight="1" x14ac:dyDescent="0.25">
      <c r="T36" s="7"/>
    </row>
    <row r="37" spans="4:20" ht="20" customHeight="1" x14ac:dyDescent="0.25">
      <c r="D37" s="46" t="s">
        <v>97</v>
      </c>
      <c r="T37" s="7"/>
    </row>
    <row r="38" spans="4:20" ht="20"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 customHeight="1" x14ac:dyDescent="0.25">
      <c r="O43" s="2"/>
      <c r="T43" s="7"/>
    </row>
    <row r="44" spans="4:20" ht="20"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 customHeight="1" x14ac:dyDescent="0.25">
      <c r="P57" s="3"/>
      <c r="T57" s="7"/>
    </row>
    <row r="58" spans="4:20" ht="20" customHeight="1" x14ac:dyDescent="0.25">
      <c r="P58" s="3"/>
      <c r="T58" s="7"/>
    </row>
    <row r="59" spans="4:20" ht="20" customHeight="1" x14ac:dyDescent="0.25">
      <c r="D59" s="46" t="s">
        <v>134</v>
      </c>
      <c r="P59" s="3"/>
      <c r="T59" s="7"/>
    </row>
    <row r="60" spans="4:20" ht="20"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 customHeight="1" x14ac:dyDescent="0.25">
      <c r="D61" s="1" t="s">
        <v>167</v>
      </c>
      <c r="E61" s="50">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 customHeight="1" x14ac:dyDescent="0.25">
      <c r="D62" s="1" t="s">
        <v>168</v>
      </c>
      <c r="E62" s="50">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 customHeight="1" x14ac:dyDescent="0.25">
      <c r="D63" s="1" t="s">
        <v>169</v>
      </c>
      <c r="E63" s="50">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 customHeight="1" x14ac:dyDescent="0.25">
      <c r="D64" s="1" t="s">
        <v>170</v>
      </c>
      <c r="E64" s="50">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 customHeight="1" x14ac:dyDescent="0.25">
      <c r="O65" s="2"/>
      <c r="P65" s="3"/>
      <c r="T65" s="7"/>
    </row>
    <row r="66" spans="4:20" ht="20"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 customHeight="1" x14ac:dyDescent="0.25">
      <c r="D67" s="1" t="str">
        <f>TEXT(X_Cell_Site_StartDate, "mmmm yyyy")</f>
        <v>January 2024</v>
      </c>
      <c r="E67" s="62">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 customHeight="1" x14ac:dyDescent="0.25">
      <c r="D68" s="1" t="str">
        <f>TEXT(EDATE(X_Cell_Site_StartDate,1), "mmmm yyyy")</f>
        <v>February 2024</v>
      </c>
      <c r="E68" s="62">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 customHeight="1" x14ac:dyDescent="0.25">
      <c r="D69" s="1" t="str">
        <f>TEXT(EDATE(X_Cell_Site_StartDate,2), "mmmm yyyy")</f>
        <v>March 2024</v>
      </c>
      <c r="E69" s="62">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 customHeight="1" x14ac:dyDescent="0.25">
      <c r="D70" s="1" t="str">
        <f>TEXT(EDATE(X_Cell_Site_StartDate,3), "mmmm yyyy")</f>
        <v>April 2024</v>
      </c>
      <c r="E70" s="62">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 customHeight="1" x14ac:dyDescent="0.25">
      <c r="D71" s="1" t="str">
        <f>TEXT(EDATE(X_Cell_Site_StartDate,4), "mmmm yyyy")</f>
        <v>May 2024</v>
      </c>
      <c r="E71" s="62">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 customHeight="1" x14ac:dyDescent="0.25">
      <c r="D72" s="1" t="str">
        <f>TEXT(EDATE(X_Cell_Site_StartDate,5), "mmmm yyyy")</f>
        <v>June 2024</v>
      </c>
      <c r="E72" s="62">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 customHeight="1" x14ac:dyDescent="0.25">
      <c r="D73" s="1" t="str">
        <f>TEXT(EDATE(X_Cell_Site_StartDate,6), "mmmm yyyy")</f>
        <v>July 2024</v>
      </c>
      <c r="E73" s="62">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 customHeight="1" x14ac:dyDescent="0.25">
      <c r="D74" s="1" t="str">
        <f>TEXT(EDATE(X_Cell_Site_StartDate,7), "mmmm yyyy")</f>
        <v>August 2024</v>
      </c>
      <c r="E74" s="62">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 customHeight="1" x14ac:dyDescent="0.25">
      <c r="D75" s="1" t="str">
        <f>TEXT(EDATE(X_Cell_Site_StartDate,8), "mmmm yyyy")</f>
        <v>September 2024</v>
      </c>
      <c r="E75" s="62">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 customHeight="1" x14ac:dyDescent="0.25">
      <c r="D76" s="1" t="str">
        <f>TEXT(EDATE(X_Cell_Site_StartDate,9), "mmmm yyyy")</f>
        <v>October 2024</v>
      </c>
      <c r="E76" s="62">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 customHeight="1" x14ac:dyDescent="0.25">
      <c r="D77" s="1" t="str">
        <f>TEXT(EDATE(X_Cell_Site_StartDate,10), "mmmm yyyy")</f>
        <v>November 2024</v>
      </c>
      <c r="E77" s="62">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 customHeight="1" x14ac:dyDescent="0.25">
      <c r="D78" s="1" t="str">
        <f>TEXT(EDATE(X_Cell_Site_StartDate,11), "mmmm yyyy")</f>
        <v>December 2024</v>
      </c>
      <c r="E78" s="62">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 customHeight="1" x14ac:dyDescent="0.25">
      <c r="T79" s="7"/>
    </row>
    <row r="80" spans="4:20" ht="20" customHeight="1" x14ac:dyDescent="0.25">
      <c r="T80" s="7"/>
    </row>
    <row r="81" spans="4:20" ht="20" customHeight="1" x14ac:dyDescent="0.25">
      <c r="D81" s="46" t="s">
        <v>171</v>
      </c>
      <c r="T81" s="7"/>
    </row>
    <row r="82" spans="4:20" ht="20"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 customHeight="1" x14ac:dyDescent="0.25">
      <c r="D83" s="1" t="s">
        <v>167</v>
      </c>
      <c r="E83" s="50">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 customHeight="1" x14ac:dyDescent="0.25">
      <c r="D84" s="1" t="s">
        <v>168</v>
      </c>
      <c r="E84" s="50">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 customHeight="1" x14ac:dyDescent="0.25">
      <c r="D85" s="1" t="s">
        <v>169</v>
      </c>
      <c r="E85" s="50">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 customHeight="1" x14ac:dyDescent="0.25">
      <c r="D86" s="1" t="s">
        <v>170</v>
      </c>
      <c r="E86" s="50">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 customHeight="1" x14ac:dyDescent="0.25">
      <c r="O87" s="2"/>
      <c r="T87" s="7"/>
    </row>
    <row r="88" spans="4:20" ht="20"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 customHeight="1" x14ac:dyDescent="0.25">
      <c r="D89" s="1" t="str">
        <f>TEXT(X_Cell_Site_StartDate, "mmmm yyyy")</f>
        <v>January 2024</v>
      </c>
      <c r="E89" s="62">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 customHeight="1" x14ac:dyDescent="0.25">
      <c r="D90" s="1" t="str">
        <f>TEXT(EDATE(X_Cell_Site_StartDate,1), "mmmm yyyy")</f>
        <v>February 2024</v>
      </c>
      <c r="E90" s="62">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 customHeight="1" x14ac:dyDescent="0.25">
      <c r="D91" s="1" t="str">
        <f>TEXT(EDATE(X_Cell_Site_StartDate,2), "mmmm yyyy")</f>
        <v>March 2024</v>
      </c>
      <c r="E91" s="62">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 customHeight="1" x14ac:dyDescent="0.25">
      <c r="D92" s="1" t="str">
        <f>TEXT(EDATE(X_Cell_Site_StartDate,3), "mmmm yyyy")</f>
        <v>April 2024</v>
      </c>
      <c r="E92" s="62">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 customHeight="1" x14ac:dyDescent="0.25">
      <c r="D93" s="1" t="str">
        <f>TEXT(EDATE(X_Cell_Site_StartDate,4), "mmmm yyyy")</f>
        <v>May 2024</v>
      </c>
      <c r="E93" s="62">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 customHeight="1" x14ac:dyDescent="0.25">
      <c r="D94" s="1" t="str">
        <f>TEXT(EDATE(X_Cell_Site_StartDate,5), "mmmm yyyy")</f>
        <v>June 2024</v>
      </c>
      <c r="E94" s="62">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 customHeight="1" x14ac:dyDescent="0.25">
      <c r="D95" s="1" t="str">
        <f>TEXT(EDATE(X_Cell_Site_StartDate,6), "mmmm yyyy")</f>
        <v>July 2024</v>
      </c>
      <c r="E95" s="62">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 customHeight="1" x14ac:dyDescent="0.25">
      <c r="D96" s="1" t="str">
        <f>TEXT(EDATE(X_Cell_Site_StartDate,7), "mmmm yyyy")</f>
        <v>August 2024</v>
      </c>
      <c r="E96" s="62">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 customHeight="1" x14ac:dyDescent="0.25">
      <c r="D97" s="1" t="str">
        <f>TEXT(EDATE(X_Cell_Site_StartDate,8), "mmmm yyyy")</f>
        <v>September 2024</v>
      </c>
      <c r="E97" s="62">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 customHeight="1" x14ac:dyDescent="0.25">
      <c r="D98" s="1" t="str">
        <f>TEXT(EDATE(X_Cell_Site_StartDate,9), "mmmm yyyy")</f>
        <v>October 2024</v>
      </c>
      <c r="E98" s="62">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 customHeight="1" x14ac:dyDescent="0.25">
      <c r="D99" s="1" t="str">
        <f>TEXT(EDATE(X_Cell_Site_StartDate,10), "mmmm yyyy")</f>
        <v>November 2024</v>
      </c>
      <c r="E99" s="62">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 customHeight="1" x14ac:dyDescent="0.25">
      <c r="D100" s="1" t="str">
        <f>TEXT(EDATE(X_Cell_Site_StartDate,11), "mmmm yyyy")</f>
        <v>December 2024</v>
      </c>
      <c r="E100" s="62">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 customHeight="1" x14ac:dyDescent="0.25">
      <c r="T101" s="7"/>
    </row>
    <row r="102" spans="4:20" ht="20" customHeight="1" x14ac:dyDescent="0.25">
      <c r="T102" s="7"/>
    </row>
    <row r="103" spans="4:20" ht="20" customHeight="1" x14ac:dyDescent="0.25">
      <c r="D103" s="46" t="s">
        <v>15</v>
      </c>
      <c r="K103" s="2"/>
      <c r="L103" s="2"/>
      <c r="M103" s="2"/>
      <c r="N103" s="2"/>
      <c r="O103" s="2"/>
      <c r="T103" s="7"/>
    </row>
    <row r="104" spans="4:20" ht="20" customHeight="1" x14ac:dyDescent="0.25">
      <c r="D104" s="60" t="s">
        <v>173</v>
      </c>
      <c r="E104" s="60" t="s">
        <v>125</v>
      </c>
      <c r="F104" s="60" t="s">
        <v>124</v>
      </c>
      <c r="G104" s="60" t="s">
        <v>159</v>
      </c>
      <c r="H104" s="60" t="s">
        <v>160</v>
      </c>
      <c r="I104" s="60" t="s">
        <v>161</v>
      </c>
      <c r="J104" s="60" t="s">
        <v>162</v>
      </c>
      <c r="K104" s="60" t="s">
        <v>163</v>
      </c>
      <c r="L104" s="60" t="s">
        <v>164</v>
      </c>
      <c r="M104" s="60" t="s">
        <v>165</v>
      </c>
      <c r="N104" s="60" t="s">
        <v>166</v>
      </c>
      <c r="T104" s="7"/>
    </row>
    <row r="105" spans="4:20" ht="20" customHeight="1" x14ac:dyDescent="0.25">
      <c r="D105" s="1" t="s">
        <v>167</v>
      </c>
      <c r="E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05" s="2" t="s">
        <v>135</v>
      </c>
      <c r="T105" s="7"/>
    </row>
    <row r="106" spans="4:20" ht="20" customHeight="1" x14ac:dyDescent="0.25">
      <c r="D106" s="1" t="s">
        <v>168</v>
      </c>
      <c r="E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06" s="2" t="s">
        <v>135</v>
      </c>
      <c r="T106" s="7"/>
    </row>
    <row r="107" spans="4:20" ht="20" customHeight="1" x14ac:dyDescent="0.25">
      <c r="D107" s="1" t="s">
        <v>169</v>
      </c>
      <c r="E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07" s="2" t="s">
        <v>135</v>
      </c>
    </row>
    <row r="108" spans="4:20" ht="20" customHeight="1" x14ac:dyDescent="0.25">
      <c r="D108" s="1" t="s">
        <v>170</v>
      </c>
      <c r="E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08" s="2" t="s">
        <v>135</v>
      </c>
    </row>
    <row r="109" spans="4:20" ht="20" customHeight="1" x14ac:dyDescent="0.25"/>
    <row r="110" spans="4:20" ht="20" customHeight="1" x14ac:dyDescent="0.25">
      <c r="D110" s="60" t="s">
        <v>174</v>
      </c>
      <c r="E110" s="60" t="s">
        <v>125</v>
      </c>
      <c r="F110" s="60" t="s">
        <v>124</v>
      </c>
      <c r="G110" s="60" t="s">
        <v>159</v>
      </c>
      <c r="H110" s="60" t="s">
        <v>160</v>
      </c>
      <c r="I110" s="60" t="s">
        <v>161</v>
      </c>
      <c r="J110" s="60" t="s">
        <v>162</v>
      </c>
      <c r="K110" s="60" t="s">
        <v>163</v>
      </c>
      <c r="L110" s="60" t="s">
        <v>164</v>
      </c>
      <c r="M110" s="60" t="s">
        <v>165</v>
      </c>
      <c r="N110" s="60" t="s">
        <v>166</v>
      </c>
    </row>
    <row r="111" spans="4:20" ht="20" customHeight="1" x14ac:dyDescent="0.25">
      <c r="D111" s="1" t="str">
        <f>TEXT(X_Cell_Site_StartDate, "mmmm yyyy")</f>
        <v>January 2024</v>
      </c>
      <c r="E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1" s="2" t="s">
        <v>135</v>
      </c>
    </row>
    <row r="112" spans="4:20" ht="20" customHeight="1" x14ac:dyDescent="0.25">
      <c r="D112" s="1" t="str">
        <f>TEXT(EDATE(X_Cell_Site_StartDate,1), "mmmm yyyy")</f>
        <v>February 2024</v>
      </c>
      <c r="E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2" s="2" t="s">
        <v>135</v>
      </c>
    </row>
    <row r="113" spans="4:15" ht="20" customHeight="1" x14ac:dyDescent="0.25">
      <c r="D113" s="1" t="str">
        <f>TEXT(EDATE(X_Cell_Site_StartDate,2), "mmmm yyyy")</f>
        <v>March 2024</v>
      </c>
      <c r="E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3" s="2" t="s">
        <v>135</v>
      </c>
    </row>
    <row r="114" spans="4:15" ht="20" customHeight="1" x14ac:dyDescent="0.25">
      <c r="D114" s="1" t="str">
        <f>TEXT(EDATE(X_Cell_Site_StartDate,3), "mmmm yyyy")</f>
        <v>April 2024</v>
      </c>
      <c r="E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4" s="2" t="s">
        <v>135</v>
      </c>
    </row>
    <row r="115" spans="4:15" ht="20" customHeight="1" x14ac:dyDescent="0.25">
      <c r="D115" s="1" t="str">
        <f>TEXT(EDATE(X_Cell_Site_StartDate,4), "mmmm yyyy")</f>
        <v>May 2024</v>
      </c>
      <c r="E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5" s="2" t="s">
        <v>135</v>
      </c>
    </row>
    <row r="116" spans="4:15" ht="20" customHeight="1" x14ac:dyDescent="0.25">
      <c r="D116" s="1" t="str">
        <f>TEXT(EDATE(X_Cell_Site_StartDate,5), "mmmm yyyy")</f>
        <v>June 2024</v>
      </c>
      <c r="E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6" s="2" t="s">
        <v>135</v>
      </c>
    </row>
    <row r="117" spans="4:15" ht="20" customHeight="1" x14ac:dyDescent="0.25">
      <c r="D117" s="1" t="str">
        <f>TEXT(EDATE(X_Cell_Site_StartDate,6), "mmmm yyyy")</f>
        <v>July 2024</v>
      </c>
      <c r="E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7" s="2" t="s">
        <v>135</v>
      </c>
    </row>
    <row r="118" spans="4:15" ht="20" customHeight="1" x14ac:dyDescent="0.25">
      <c r="D118" s="1" t="str">
        <f>TEXT(EDATE(X_Cell_Site_StartDate,7), "mmmm yyyy")</f>
        <v>August 2024</v>
      </c>
      <c r="E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8" s="2" t="s">
        <v>135</v>
      </c>
    </row>
    <row r="119" spans="4:15" ht="20" customHeight="1" x14ac:dyDescent="0.25">
      <c r="D119" s="1" t="str">
        <f>TEXT(EDATE(X_Cell_Site_StartDate,8), "mmmm yyyy")</f>
        <v>September 2024</v>
      </c>
      <c r="E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19" s="2" t="s">
        <v>135</v>
      </c>
    </row>
    <row r="120" spans="4:15" ht="20" customHeight="1" x14ac:dyDescent="0.25">
      <c r="D120" s="1" t="str">
        <f>TEXT(EDATE(X_Cell_Site_StartDate,9), "mmmm yyyy")</f>
        <v>October 2024</v>
      </c>
      <c r="E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0" s="2" t="s">
        <v>135</v>
      </c>
    </row>
    <row r="121" spans="4:15" ht="20" customHeight="1" x14ac:dyDescent="0.25">
      <c r="D121" s="1" t="str">
        <f>TEXT(EDATE(X_Cell_Site_StartDate,10), "mmmm yyyy")</f>
        <v>November 2024</v>
      </c>
      <c r="E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1" s="2" t="s">
        <v>135</v>
      </c>
    </row>
    <row r="122" spans="4:15" ht="20" customHeight="1" x14ac:dyDescent="0.25">
      <c r="D122" s="1" t="str">
        <f>TEXT(EDATE(X_Cell_Site_StartDate,11), "mmmm yyyy")</f>
        <v>December 2024</v>
      </c>
      <c r="E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22" s="2" t="s">
        <v>135</v>
      </c>
    </row>
    <row r="123" spans="4:15" ht="20" customHeight="1" x14ac:dyDescent="0.25"/>
    <row r="124" spans="4:15" ht="20" customHeight="1" x14ac:dyDescent="0.25"/>
    <row r="125" spans="4:15" ht="20" customHeight="1" x14ac:dyDescent="0.25">
      <c r="D125" s="46" t="s">
        <v>99</v>
      </c>
      <c r="K125" s="2"/>
      <c r="L125" s="2"/>
      <c r="M125" s="2"/>
      <c r="N125" s="2"/>
      <c r="O125" s="2"/>
    </row>
    <row r="126" spans="4:15" ht="20" customHeight="1" x14ac:dyDescent="0.25">
      <c r="D126" s="60" t="s">
        <v>173</v>
      </c>
      <c r="E126" s="60" t="s">
        <v>125</v>
      </c>
      <c r="F126" s="60" t="s">
        <v>124</v>
      </c>
      <c r="G126" s="60" t="s">
        <v>159</v>
      </c>
      <c r="H126" s="60" t="s">
        <v>160</v>
      </c>
      <c r="I126" s="60" t="s">
        <v>161</v>
      </c>
      <c r="J126" s="60" t="s">
        <v>162</v>
      </c>
      <c r="K126" s="60" t="s">
        <v>163</v>
      </c>
      <c r="L126" s="60" t="s">
        <v>164</v>
      </c>
      <c r="M126" s="60" t="s">
        <v>165</v>
      </c>
      <c r="N126" s="60" t="s">
        <v>166</v>
      </c>
    </row>
    <row r="127" spans="4:15" ht="20" customHeight="1" x14ac:dyDescent="0.25">
      <c r="D127" s="1" t="s">
        <v>167</v>
      </c>
      <c r="E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F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G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H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I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J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K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L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M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N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O127" s="2" t="s">
        <v>135</v>
      </c>
    </row>
    <row r="128" spans="4:15" ht="20" customHeight="1" x14ac:dyDescent="0.25">
      <c r="D128" s="1" t="s">
        <v>168</v>
      </c>
      <c r="E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F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G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H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I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J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K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L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M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N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O128" s="2" t="s">
        <v>135</v>
      </c>
    </row>
    <row r="129" spans="4:15" ht="20" customHeight="1" x14ac:dyDescent="0.25">
      <c r="D129" s="1" t="s">
        <v>169</v>
      </c>
      <c r="E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F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G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H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I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J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K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L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M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N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O129" s="2" t="s">
        <v>135</v>
      </c>
    </row>
    <row r="130" spans="4:15" ht="20" customHeight="1" x14ac:dyDescent="0.25">
      <c r="D130" s="1" t="s">
        <v>170</v>
      </c>
      <c r="E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F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G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H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I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J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K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L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M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N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O130" s="2" t="s">
        <v>135</v>
      </c>
    </row>
    <row r="131" spans="4:15" ht="20" customHeight="1" x14ac:dyDescent="0.25"/>
    <row r="132" spans="4:15" ht="20" customHeight="1" x14ac:dyDescent="0.25">
      <c r="D132" s="60" t="s">
        <v>174</v>
      </c>
      <c r="E132" s="60" t="s">
        <v>125</v>
      </c>
      <c r="F132" s="60" t="s">
        <v>124</v>
      </c>
      <c r="G132" s="60" t="s">
        <v>159</v>
      </c>
      <c r="H132" s="60" t="s">
        <v>160</v>
      </c>
      <c r="I132" s="60" t="s">
        <v>161</v>
      </c>
      <c r="J132" s="60" t="s">
        <v>162</v>
      </c>
      <c r="K132" s="60" t="s">
        <v>163</v>
      </c>
      <c r="L132" s="60" t="s">
        <v>164</v>
      </c>
      <c r="M132" s="60" t="s">
        <v>165</v>
      </c>
      <c r="N132" s="60" t="s">
        <v>166</v>
      </c>
    </row>
    <row r="133" spans="4:15" ht="20" customHeight="1" x14ac:dyDescent="0.25">
      <c r="D133" s="1" t="str">
        <f>TEXT(X_Cell_Site_StartDate, "mmmm yyyy")</f>
        <v>January 2024</v>
      </c>
      <c r="E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3" s="2" t="s">
        <v>135</v>
      </c>
    </row>
    <row r="134" spans="4:15" ht="20" customHeight="1" x14ac:dyDescent="0.25">
      <c r="D134" s="1" t="str">
        <f>TEXT(EDATE(X_Cell_Site_StartDate,1), "mmmm yyyy")</f>
        <v>February 2024</v>
      </c>
      <c r="E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4" s="2" t="s">
        <v>135</v>
      </c>
    </row>
    <row r="135" spans="4:15" ht="20" customHeight="1" x14ac:dyDescent="0.25">
      <c r="D135" s="1" t="str">
        <f>TEXT(EDATE(X_Cell_Site_StartDate,2), "mmmm yyyy")</f>
        <v>March 2024</v>
      </c>
      <c r="E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5" s="2" t="s">
        <v>135</v>
      </c>
    </row>
    <row r="136" spans="4:15" ht="20" customHeight="1" x14ac:dyDescent="0.25">
      <c r="D136" s="1" t="str">
        <f>TEXT(EDATE(X_Cell_Site_StartDate,3), "mmmm yyyy")</f>
        <v>April 2024</v>
      </c>
      <c r="E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6" s="2" t="s">
        <v>135</v>
      </c>
    </row>
    <row r="137" spans="4:15" ht="20" customHeight="1" x14ac:dyDescent="0.25">
      <c r="D137" s="1" t="str">
        <f>TEXT(EDATE(X_Cell_Site_StartDate,4), "mmmm yyyy")</f>
        <v>May 2024</v>
      </c>
      <c r="E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7" s="2" t="s">
        <v>135</v>
      </c>
    </row>
    <row r="138" spans="4:15" ht="20" customHeight="1" x14ac:dyDescent="0.25">
      <c r="D138" s="1" t="str">
        <f>TEXT(EDATE(X_Cell_Site_StartDate,5), "mmmm yyyy")</f>
        <v>June 2024</v>
      </c>
      <c r="E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8" s="2" t="s">
        <v>135</v>
      </c>
    </row>
    <row r="139" spans="4:15" ht="20" customHeight="1" x14ac:dyDescent="0.25">
      <c r="D139" s="1" t="str">
        <f>TEXT(EDATE(X_Cell_Site_StartDate,6), "mmmm yyyy")</f>
        <v>July 2024</v>
      </c>
      <c r="E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9" s="2" t="s">
        <v>135</v>
      </c>
    </row>
    <row r="140" spans="4:15" ht="20" customHeight="1" x14ac:dyDescent="0.25">
      <c r="D140" s="1" t="str">
        <f>TEXT(EDATE(X_Cell_Site_StartDate,7), "mmmm yyyy")</f>
        <v>August 2024</v>
      </c>
      <c r="E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0" s="2" t="s">
        <v>135</v>
      </c>
    </row>
    <row r="141" spans="4:15" ht="20" customHeight="1" x14ac:dyDescent="0.25">
      <c r="D141" s="1" t="str">
        <f>TEXT(EDATE(X_Cell_Site_StartDate,8), "mmmm yyyy")</f>
        <v>September 2024</v>
      </c>
      <c r="E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1" s="2" t="s">
        <v>135</v>
      </c>
    </row>
    <row r="142" spans="4:15" ht="20" customHeight="1" x14ac:dyDescent="0.25">
      <c r="D142" s="1" t="str">
        <f>TEXT(EDATE(X_Cell_Site_StartDate,9), "mmmm yyyy")</f>
        <v>October 2024</v>
      </c>
      <c r="E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2" s="2" t="s">
        <v>135</v>
      </c>
    </row>
    <row r="143" spans="4:15" ht="20" customHeight="1" x14ac:dyDescent="0.25">
      <c r="D143" s="1" t="str">
        <f>TEXT(EDATE(X_Cell_Site_StartDate,10), "mmmm yyyy")</f>
        <v>November 2024</v>
      </c>
      <c r="E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3" s="2" t="s">
        <v>135</v>
      </c>
    </row>
    <row r="144" spans="4:15" ht="20" customHeight="1" x14ac:dyDescent="0.25">
      <c r="D144" s="1" t="str">
        <f>TEXT(EDATE(X_Cell_Site_StartDate,11), "mmmm yyyy")</f>
        <v>December 2024</v>
      </c>
      <c r="E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44" s="2" t="s">
        <v>135</v>
      </c>
    </row>
    <row r="145" spans="4:15" ht="20" customHeight="1" x14ac:dyDescent="0.25">
      <c r="L145" s="2"/>
      <c r="M145" s="2"/>
      <c r="N145" s="2"/>
      <c r="O145" s="2"/>
    </row>
    <row r="146" spans="4:15" ht="20" customHeight="1" x14ac:dyDescent="0.25">
      <c r="L146" s="2"/>
      <c r="M146" s="2"/>
      <c r="N146" s="2"/>
      <c r="O146" s="2"/>
    </row>
    <row r="147" spans="4:15" ht="20" customHeight="1" x14ac:dyDescent="0.25">
      <c r="D147" s="46" t="s">
        <v>257</v>
      </c>
      <c r="L147" s="2"/>
      <c r="M147" s="2"/>
      <c r="N147" s="2"/>
      <c r="O147" s="2"/>
    </row>
    <row r="148" spans="4:15" ht="20" customHeight="1" x14ac:dyDescent="0.25"/>
    <row r="149" spans="4:15" ht="20" customHeight="1" x14ac:dyDescent="0.25">
      <c r="D149" s="1" t="s">
        <v>258</v>
      </c>
      <c r="E149" s="38" t="s">
        <v>133</v>
      </c>
      <c r="F149" s="2" t="s">
        <v>8</v>
      </c>
      <c r="L149" s="2"/>
      <c r="M149" s="2"/>
      <c r="N149" s="2"/>
      <c r="O149" s="2"/>
    </row>
    <row r="150" spans="4:15" ht="20" customHeight="1" x14ac:dyDescent="0.25"/>
    <row r="151" spans="4:15" ht="20" customHeight="1" x14ac:dyDescent="0.25">
      <c r="D151" s="60" t="s">
        <v>18</v>
      </c>
      <c r="E151" s="60" t="s">
        <v>259</v>
      </c>
      <c r="L151" s="2"/>
      <c r="M151" s="2"/>
      <c r="N151" s="2"/>
      <c r="O151" s="2"/>
    </row>
    <row r="152" spans="4:15" ht="20" customHeight="1" x14ac:dyDescent="0.25">
      <c r="D152" s="1" t="s">
        <v>132</v>
      </c>
      <c r="E152" s="113">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 t="s">
        <v>16</v>
      </c>
      <c r="L152" s="2"/>
      <c r="M152" s="2"/>
      <c r="N152" s="2"/>
      <c r="O152" s="2"/>
    </row>
    <row r="153" spans="4:15" ht="20" customHeight="1" x14ac:dyDescent="0.25">
      <c r="D153" s="1" t="s">
        <v>260</v>
      </c>
      <c r="E153" s="113">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 t="s">
        <v>16</v>
      </c>
      <c r="L153" s="2"/>
      <c r="M153" s="2"/>
      <c r="N153" s="2"/>
      <c r="O153" s="2"/>
    </row>
    <row r="154" spans="4:15" ht="20" customHeight="1" x14ac:dyDescent="0.25">
      <c r="L154" s="2"/>
      <c r="M154" s="2"/>
      <c r="N154" s="2"/>
      <c r="O154" s="2"/>
    </row>
    <row r="155" spans="4:15" ht="20" customHeight="1" x14ac:dyDescent="0.25"/>
    <row r="156" spans="4:15" ht="20" customHeight="1" x14ac:dyDescent="0.25">
      <c r="D156" s="1" t="s">
        <v>314</v>
      </c>
      <c r="E156" s="38" t="s">
        <v>318</v>
      </c>
      <c r="F156" s="2" t="s">
        <v>8</v>
      </c>
      <c r="L156" s="2"/>
      <c r="M156" s="2"/>
      <c r="N156" s="2"/>
      <c r="O156" s="2"/>
    </row>
    <row r="157" spans="4:15" ht="20" customHeight="1" x14ac:dyDescent="0.25">
      <c r="E157" s="38" t="s">
        <v>117</v>
      </c>
      <c r="F157" s="2" t="s">
        <v>8</v>
      </c>
    </row>
    <row r="158" spans="4:15" ht="20" customHeight="1" x14ac:dyDescent="0.25"/>
    <row r="159" spans="4:15" ht="20" customHeight="1" x14ac:dyDescent="0.25"/>
    <row r="160" spans="4:15" ht="20" customHeight="1" x14ac:dyDescent="0.25">
      <c r="D160" s="46" t="s">
        <v>223</v>
      </c>
      <c r="K160" s="2"/>
      <c r="L160" s="2"/>
      <c r="M160" s="2"/>
      <c r="N160" s="2"/>
      <c r="O160" s="2"/>
    </row>
    <row r="161" spans="4:15" ht="20" customHeight="1" x14ac:dyDescent="0.25">
      <c r="D161" s="60" t="s">
        <v>130</v>
      </c>
      <c r="E161" s="60"/>
      <c r="F161" s="60"/>
      <c r="G161" s="60"/>
    </row>
    <row r="162" spans="4:15" ht="20" customHeight="1" x14ac:dyDescent="0.25">
      <c r="D162" s="1" t="s">
        <v>240</v>
      </c>
      <c r="E162" s="38" t="s">
        <v>170</v>
      </c>
      <c r="F162" s="2" t="s">
        <v>8</v>
      </c>
    </row>
    <row r="163" spans="4:15" ht="20" customHeight="1" x14ac:dyDescent="0.25"/>
    <row r="164" spans="4:15" ht="20" customHeight="1" x14ac:dyDescent="0.25"/>
    <row r="165" spans="4:15" ht="20" customHeight="1" x14ac:dyDescent="0.25">
      <c r="K165" s="1" t="s">
        <v>347</v>
      </c>
    </row>
    <row r="166" spans="4:15" ht="20" customHeight="1" x14ac:dyDescent="0.25"/>
    <row r="167" spans="4:15" ht="20" customHeight="1" x14ac:dyDescent="0.25">
      <c r="E167" s="60" t="s">
        <v>343</v>
      </c>
      <c r="F167" s="60" t="s">
        <v>160</v>
      </c>
      <c r="G167" s="60" t="s">
        <v>161</v>
      </c>
      <c r="H167" s="60" t="s">
        <v>162</v>
      </c>
      <c r="L167" s="1" t="s">
        <v>159</v>
      </c>
      <c r="M167" s="1" t="s">
        <v>163</v>
      </c>
      <c r="N167" s="2"/>
      <c r="O167" s="2"/>
    </row>
    <row r="168" spans="4:15" ht="20" customHeight="1" x14ac:dyDescent="0.25">
      <c r="D168" s="1" t="str">
        <f>"Proportion of cows &gt; 1 years in calf in " &amp; E162</f>
        <v>Proportion of cows &gt; 1 years in calf in Winter</v>
      </c>
      <c r="E168" s="38" t="s">
        <v>342</v>
      </c>
      <c r="F168" s="44">
        <v>0.7</v>
      </c>
      <c r="G168" s="44">
        <v>0.5</v>
      </c>
      <c r="H168" s="44">
        <v>0.5</v>
      </c>
      <c r="I168" s="2" t="s">
        <v>16</v>
      </c>
      <c r="L168" s="50">
        <f>MAX(0, G42-G41)</f>
        <v>0</v>
      </c>
      <c r="M168" s="50">
        <f>MAX(0,K42-K41)</f>
        <v>0</v>
      </c>
      <c r="N168" s="2"/>
      <c r="O168" s="2"/>
    </row>
    <row r="169" spans="4:15" ht="20" customHeight="1" x14ac:dyDescent="0.25">
      <c r="D169" s="1" t="s">
        <v>167</v>
      </c>
      <c r="E169" s="38" t="s">
        <v>342</v>
      </c>
      <c r="F169" s="44">
        <v>0.1</v>
      </c>
      <c r="G169" s="44">
        <v>0.4</v>
      </c>
      <c r="H169" s="44">
        <v>0.4</v>
      </c>
      <c r="I169" s="2" t="s">
        <v>16</v>
      </c>
      <c r="L169" s="50">
        <f>MAX(0, G39-G42)</f>
        <v>0</v>
      </c>
      <c r="M169" s="50">
        <f>MAX(0,K39-K42)</f>
        <v>0</v>
      </c>
    </row>
    <row r="170" spans="4:15" ht="20" customHeight="1" x14ac:dyDescent="0.25">
      <c r="D170" s="1" t="s">
        <v>168</v>
      </c>
      <c r="E170" s="38" t="s">
        <v>342</v>
      </c>
      <c r="F170" s="44">
        <v>0.1</v>
      </c>
      <c r="G170" s="44">
        <v>0</v>
      </c>
      <c r="H170" s="44">
        <v>0</v>
      </c>
      <c r="I170" s="2" t="s">
        <v>16</v>
      </c>
      <c r="L170" s="50">
        <f>MAX(0, G40-G39)</f>
        <v>0</v>
      </c>
      <c r="M170" s="50">
        <f>MAX(0,K40-K39)</f>
        <v>0</v>
      </c>
    </row>
    <row r="171" spans="4:15" ht="20" customHeight="1" x14ac:dyDescent="0.25">
      <c r="D171" s="1" t="s">
        <v>169</v>
      </c>
      <c r="E171" s="38" t="s">
        <v>133</v>
      </c>
      <c r="F171" s="44">
        <v>0</v>
      </c>
      <c r="G171" s="44">
        <v>0</v>
      </c>
      <c r="H171" s="44">
        <v>0</v>
      </c>
      <c r="I171" s="2" t="s">
        <v>16</v>
      </c>
      <c r="L171" s="50">
        <f>MAX(0,G41-G40)</f>
        <v>0</v>
      </c>
      <c r="M171" s="50">
        <f>MAX(0,K41-K40)</f>
        <v>0</v>
      </c>
    </row>
    <row r="172" spans="4:15" ht="20" customHeight="1" x14ac:dyDescent="0.25">
      <c r="J172" s="1" t="s">
        <v>348</v>
      </c>
    </row>
    <row r="173" spans="4:15" ht="20" customHeight="1" x14ac:dyDescent="0.25"/>
    <row r="174" spans="4:15" ht="20" customHeight="1" x14ac:dyDescent="0.25"/>
    <row r="175" spans="4:15" ht="20" customHeight="1" x14ac:dyDescent="0.25">
      <c r="D175" s="60" t="s">
        <v>131</v>
      </c>
      <c r="E175" s="60"/>
      <c r="F175" s="60"/>
      <c r="G175" s="60"/>
      <c r="L175" s="123" t="s">
        <v>353</v>
      </c>
    </row>
    <row r="176" spans="4:15" ht="20" customHeight="1" x14ac:dyDescent="0.25">
      <c r="D176" s="1" t="s">
        <v>339</v>
      </c>
      <c r="E176" s="38" t="s">
        <v>335</v>
      </c>
      <c r="F176" s="2" t="s">
        <v>8</v>
      </c>
      <c r="J176" s="51" t="s">
        <v>125</v>
      </c>
    </row>
    <row r="177" spans="4:15" ht="20" customHeight="1" x14ac:dyDescent="0.25">
      <c r="D177" s="1" t="s">
        <v>333</v>
      </c>
      <c r="E177" s="50" t="str">
        <f>TEXT(EDATE(E176,1), "mmmm yyyy")</f>
        <v>September 2024</v>
      </c>
      <c r="J177" s="1" t="s">
        <v>97</v>
      </c>
      <c r="K177" s="1" t="s">
        <v>351</v>
      </c>
      <c r="L177" s="1" t="s">
        <v>348</v>
      </c>
      <c r="M177" s="1" t="s">
        <v>349</v>
      </c>
      <c r="N177" s="1" t="s">
        <v>350</v>
      </c>
      <c r="O177" s="1" t="s">
        <v>352</v>
      </c>
    </row>
    <row r="178" spans="4:15" ht="20" customHeight="1" x14ac:dyDescent="0.25">
      <c r="D178" s="1" t="s">
        <v>334</v>
      </c>
      <c r="E178" s="50" t="str">
        <f>TEXT(EDATE(E176,2), "mmmm yyyy")</f>
        <v>October 2024</v>
      </c>
      <c r="J178" s="50">
        <f>E39</f>
        <v>100</v>
      </c>
      <c r="K178" s="50">
        <f>MAX(0, E39-E42)</f>
        <v>0</v>
      </c>
      <c r="L178" s="1">
        <f>K178/J178</f>
        <v>0</v>
      </c>
      <c r="M178" s="1">
        <f>K181/J178</f>
        <v>0</v>
      </c>
      <c r="N178" s="2">
        <f>1-(L178+M178)</f>
        <v>1</v>
      </c>
      <c r="O178" s="51">
        <f>(L178*6)+(M178*4)+(N178*0)</f>
        <v>0</v>
      </c>
    </row>
    <row r="179" spans="4:15" ht="20" customHeight="1" x14ac:dyDescent="0.25">
      <c r="J179" s="50">
        <f>E40</f>
        <v>100</v>
      </c>
      <c r="K179" s="50">
        <f>MAX(0, E40-E39)</f>
        <v>0</v>
      </c>
      <c r="L179" s="1">
        <f>K179/J179</f>
        <v>0</v>
      </c>
      <c r="M179" s="1">
        <f>K178/J179</f>
        <v>0</v>
      </c>
      <c r="N179" s="2">
        <f>1-(L179+M179)</f>
        <v>1</v>
      </c>
      <c r="O179" s="51">
        <f t="shared" ref="O179:O181" si="3">(L179*6)+(M179*4)+(N179*0)</f>
        <v>0</v>
      </c>
    </row>
    <row r="180" spans="4:15" ht="20" customHeight="1" x14ac:dyDescent="0.25">
      <c r="J180" s="50">
        <f>E41</f>
        <v>100</v>
      </c>
      <c r="K180" s="50">
        <f>MAX(0,E41-E40)</f>
        <v>0</v>
      </c>
      <c r="L180" s="1">
        <f>K180/J180</f>
        <v>0</v>
      </c>
      <c r="M180" s="1">
        <f>K179/J180</f>
        <v>0</v>
      </c>
      <c r="N180" s="2">
        <f>1-(L180+M180)</f>
        <v>1</v>
      </c>
      <c r="O180" s="51">
        <f t="shared" si="3"/>
        <v>0</v>
      </c>
    </row>
    <row r="181" spans="4:15" ht="20" customHeight="1" x14ac:dyDescent="0.25">
      <c r="E181" s="60" t="s">
        <v>160</v>
      </c>
      <c r="F181" s="60" t="s">
        <v>161</v>
      </c>
      <c r="G181" s="60" t="s">
        <v>162</v>
      </c>
      <c r="J181" s="50">
        <f>E42</f>
        <v>100</v>
      </c>
      <c r="K181" s="50">
        <f>MAX(0, E42-E41)</f>
        <v>0</v>
      </c>
      <c r="L181" s="1">
        <f>K181/J181</f>
        <v>0</v>
      </c>
      <c r="M181" s="2">
        <f>K180/J181</f>
        <v>0</v>
      </c>
      <c r="N181" s="2">
        <f>1-(L181+M181)</f>
        <v>1</v>
      </c>
      <c r="O181" s="51">
        <f t="shared" si="3"/>
        <v>0</v>
      </c>
    </row>
    <row r="182" spans="4:15" ht="20" customHeight="1" x14ac:dyDescent="0.25">
      <c r="D182" s="1" t="str">
        <f>E176</f>
        <v>August 2024</v>
      </c>
      <c r="E182" s="44">
        <v>0.25</v>
      </c>
      <c r="F182" s="44">
        <v>0.25</v>
      </c>
      <c r="G182" s="44">
        <v>0.25</v>
      </c>
      <c r="H182" s="2" t="s">
        <v>16</v>
      </c>
      <c r="L182" s="2"/>
      <c r="M182" s="2"/>
      <c r="N182" s="2"/>
      <c r="O182" s="2"/>
    </row>
    <row r="183" spans="4:15" ht="20" customHeight="1" x14ac:dyDescent="0.25">
      <c r="D183" s="1" t="str">
        <f>E177</f>
        <v>September 2024</v>
      </c>
      <c r="E183" s="44">
        <v>0.25</v>
      </c>
      <c r="F183" s="44">
        <v>0.25</v>
      </c>
      <c r="G183" s="44">
        <v>0.25</v>
      </c>
      <c r="H183" s="2" t="s">
        <v>16</v>
      </c>
    </row>
    <row r="184" spans="4:15" ht="20" customHeight="1" x14ac:dyDescent="0.25">
      <c r="D184" s="1" t="str">
        <f>E178</f>
        <v>October 2024</v>
      </c>
      <c r="E184" s="44">
        <v>0.25</v>
      </c>
      <c r="F184" s="44">
        <v>0.25</v>
      </c>
      <c r="G184" s="44">
        <v>0.25</v>
      </c>
      <c r="H184" s="2" t="s">
        <v>16</v>
      </c>
    </row>
    <row r="185" spans="4:15" ht="20" customHeight="1" x14ac:dyDescent="0.25">
      <c r="D185" s="1" t="str">
        <f>"Proportion of cows &gt; 1 years in calf in " &amp; D182 &amp; " to " &amp; D184</f>
        <v>Proportion of cows &gt; 1 years in calf in August 2024 to October 2024</v>
      </c>
      <c r="E185" s="92">
        <f>SUM(E182:E184)</f>
        <v>0.75</v>
      </c>
      <c r="F185" s="92">
        <f>SUM(F182:F184)</f>
        <v>0.75</v>
      </c>
      <c r="G185" s="92">
        <f>SUM(G182:G184)</f>
        <v>0.75</v>
      </c>
      <c r="H185" s="2" t="s">
        <v>16</v>
      </c>
    </row>
    <row r="186" spans="4:15" ht="20" customHeight="1" x14ac:dyDescent="0.25"/>
    <row r="187" spans="4:15" ht="20" customHeight="1" x14ac:dyDescent="0.25"/>
    <row r="188" spans="4:15" ht="20" customHeight="1" x14ac:dyDescent="0.25"/>
    <row r="189" spans="4:15" ht="20" customHeight="1" x14ac:dyDescent="0.25"/>
    <row r="190" spans="4:15" ht="20" customHeight="1" x14ac:dyDescent="0.25"/>
    <row r="191" spans="4:15" ht="20" customHeight="1" x14ac:dyDescent="0.25"/>
    <row r="192" spans="4:15" ht="20" customHeight="1" x14ac:dyDescent="0.25"/>
    <row r="193" spans="11:27" ht="20" customHeight="1" x14ac:dyDescent="0.25"/>
    <row r="194" spans="11:27" ht="20" customHeight="1" x14ac:dyDescent="0.25"/>
    <row r="195" spans="11:27" ht="20" customHeight="1" x14ac:dyDescent="0.25">
      <c r="K195" s="2"/>
    </row>
    <row r="196" spans="11:27" ht="20" customHeight="1" x14ac:dyDescent="0.25"/>
    <row r="197" spans="11:27" ht="20" customHeight="1" x14ac:dyDescent="0.25"/>
    <row r="198" spans="11:27" ht="20" customHeight="1" x14ac:dyDescent="0.25"/>
    <row r="199" spans="11:27" ht="20" customHeight="1" x14ac:dyDescent="0.25"/>
    <row r="200" spans="11:27" ht="20" customHeight="1" x14ac:dyDescent="0.25"/>
    <row r="201" spans="11:27" ht="20" customHeight="1" x14ac:dyDescent="0.25"/>
    <row r="202" spans="11:27" ht="20" customHeight="1" x14ac:dyDescent="0.25"/>
    <row r="203" spans="11:27" ht="20" customHeight="1" x14ac:dyDescent="0.25"/>
    <row r="204" spans="11:27" ht="20" customHeight="1" x14ac:dyDescent="0.25"/>
    <row r="205" spans="11:27" ht="20" customHeight="1" x14ac:dyDescent="0.25">
      <c r="Z205" s="54"/>
    </row>
    <row r="206" spans="11:27" ht="20" customHeight="1" x14ac:dyDescent="0.25">
      <c r="Z206" s="54"/>
      <c r="AA206" s="54"/>
    </row>
    <row r="207" spans="11:27" ht="20" customHeight="1" x14ac:dyDescent="0.25">
      <c r="Z207" s="54"/>
      <c r="AA207" s="54"/>
    </row>
    <row r="208" spans="11:27" ht="20" customHeight="1" x14ac:dyDescent="0.25">
      <c r="Z208" s="54"/>
      <c r="AA208" s="54"/>
    </row>
    <row r="209" spans="26:27" ht="20" customHeight="1" x14ac:dyDescent="0.25">
      <c r="Z209" s="54"/>
      <c r="AA209" s="54"/>
    </row>
    <row r="210" spans="26:27" ht="20" customHeight="1" x14ac:dyDescent="0.25">
      <c r="Z210" s="54"/>
      <c r="AA210" s="54"/>
    </row>
    <row r="211" spans="26:27" ht="20" customHeight="1" x14ac:dyDescent="0.25">
      <c r="Z211" s="54"/>
      <c r="AA211" s="54"/>
    </row>
    <row r="212" spans="26:27" ht="20" customHeight="1" x14ac:dyDescent="0.25">
      <c r="Z212" s="54"/>
      <c r="AA212" s="54"/>
    </row>
    <row r="213" spans="26:27" ht="20" customHeight="1" x14ac:dyDescent="0.25">
      <c r="Z213" s="54"/>
      <c r="AA213" s="54"/>
    </row>
    <row r="214" spans="26:27" ht="20" customHeight="1" x14ac:dyDescent="0.25">
      <c r="Z214" s="54"/>
      <c r="AA214" s="54"/>
    </row>
    <row r="215" spans="26:27" ht="20" customHeight="1" x14ac:dyDescent="0.25">
      <c r="Z215" s="54"/>
      <c r="AA215" s="54"/>
    </row>
    <row r="216" spans="26:27" ht="20" customHeight="1" x14ac:dyDescent="0.25">
      <c r="Z216" s="54"/>
    </row>
    <row r="217" spans="26:27" ht="20" customHeight="1" x14ac:dyDescent="0.25"/>
    <row r="218" spans="26:27" ht="20" customHeight="1" x14ac:dyDescent="0.25"/>
    <row r="219" spans="26:27" ht="20" customHeight="1" x14ac:dyDescent="0.25"/>
    <row r="220" spans="26:27" ht="20" customHeight="1" x14ac:dyDescent="0.25"/>
    <row r="221" spans="26:27" ht="20" customHeight="1" x14ac:dyDescent="0.25"/>
    <row r="222" spans="26:27" ht="20" customHeight="1" x14ac:dyDescent="0.25"/>
    <row r="223" spans="26:27" ht="20" customHeight="1" x14ac:dyDescent="0.25"/>
    <row r="227" spans="11:15" x14ac:dyDescent="0.25" ht="20" customHeight="1">
      <c r="L227" s="2"/>
      <c r="M227" s="2"/>
      <c r="N227" s="2"/>
      <c r="O227" s="2"/>
    </row>
    <row r="228" spans="11:15" x14ac:dyDescent="0.25" ht="20" customHeight="1">
      <c r="K228" s="2"/>
      <c r="L228" s="2"/>
      <c r="M228" s="2"/>
      <c r="N228" s="2"/>
      <c r="O228" s="2"/>
    </row>
    <row r="229" spans="11:15" x14ac:dyDescent="0.25" ht="20" customHeight="1">
      <c r="L229" s="2"/>
      <c r="M229" s="2"/>
      <c r="N229" s="2"/>
      <c r="O229" s="2"/>
    </row>
    <row r="232" spans="11:15" x14ac:dyDescent="0.25" ht="20" customHeight="1">
      <c r="L232" s="2"/>
      <c r="M232" s="2"/>
      <c r="N232" s="2"/>
      <c r="O232" s="2"/>
    </row>
    <row r="233" spans="11:15" x14ac:dyDescent="0.25" ht="20" customHeight="1">
      <c r="K233" s="2"/>
      <c r="L233" s="2"/>
      <c r="M233" s="2"/>
      <c r="N233" s="2"/>
      <c r="O233" s="2"/>
    </row>
    <row r="234" spans="11:15" x14ac:dyDescent="0.25" ht="20" customHeight="1">
      <c r="L234" s="2"/>
      <c r="M234" s="2"/>
      <c r="N234" s="2"/>
      <c r="O234" s="2"/>
    </row>
    <row r="237" spans="11:15" x14ac:dyDescent="0.25" ht="20" customHeight="1">
      <c r="L237" s="2"/>
      <c r="M237" s="2"/>
      <c r="N237" s="2"/>
      <c r="O237" s="2"/>
    </row>
    <row r="238" spans="11:15" x14ac:dyDescent="0.25" ht="20" customHeight="1">
      <c r="K238" s="2"/>
      <c r="L238" s="2"/>
      <c r="M238" s="2"/>
      <c r="N238" s="2"/>
      <c r="O238" s="2"/>
    </row>
    <row r="239" spans="11:15" x14ac:dyDescent="0.25" ht="20" customHeight="1">
      <c r="K239" s="2"/>
      <c r="L239" s="2"/>
      <c r="M239" s="2"/>
      <c r="N239" s="2"/>
      <c r="O239" s="2"/>
    </row>
    <row r="240" spans="11:15" x14ac:dyDescent="0.25" ht="20" customHeight="1">
      <c r="K240" s="2"/>
    </row>
    <row r="241" spans="11:15" x14ac:dyDescent="0.25" ht="20" customHeight="1">
      <c r="K241" s="2"/>
    </row>
    <row r="242" spans="11:15" x14ac:dyDescent="0.25" ht="20" customHeight="1">
      <c r="K242" s="2"/>
      <c r="L242" s="2"/>
      <c r="M242" s="2"/>
      <c r="N242" s="2"/>
      <c r="O242" s="2"/>
    </row>
    <row r="243" spans="11:15" x14ac:dyDescent="0.25" ht="20" customHeight="1">
      <c r="L243" s="2"/>
      <c r="M243" s="2"/>
      <c r="N243" s="2"/>
      <c r="O243" s="2"/>
    </row>
    <row r="244" spans="11:15" x14ac:dyDescent="0.25" ht="20" customHeight="1">
      <c r="K244" s="2"/>
      <c r="L244" s="2"/>
      <c r="M244" s="2"/>
      <c r="N244" s="2"/>
      <c r="O244" s="2"/>
    </row>
    <row r="246" spans="11:15" x14ac:dyDescent="0.25" ht="20" customHeight="1">
      <c r="K246" s="2"/>
    </row>
    <row r="247" spans="11:15" x14ac:dyDescent="0.25" ht="20" customHeight="1">
      <c r="K247" s="2"/>
    </row>
    <row r="248" spans="11:15" x14ac:dyDescent="0.25" ht="20" customHeight="1">
      <c r="K248" s="2"/>
    </row>
    <row r="249" spans="11:15" x14ac:dyDescent="0.25" ht="20" customHeight="1">
      <c r="K249" s="2"/>
    </row>
    <row r="251" spans="11:15" x14ac:dyDescent="0.25" ht="20" customHeight="1">
      <c r="K251" s="2"/>
      <c r="L251" s="2"/>
      <c r="M251" s="2"/>
      <c r="N251" s="2"/>
      <c r="O251" s="2"/>
    </row>
    <row r="252" spans="11:15" x14ac:dyDescent="0.25" ht="20" customHeight="1">
      <c r="L252" s="2"/>
      <c r="M252" s="2"/>
      <c r="N252" s="2"/>
      <c r="O252" s="2"/>
    </row>
    <row r="253" spans="11:15" x14ac:dyDescent="0.25" ht="20" customHeight="1">
      <c r="L253" s="2"/>
      <c r="M253" s="2"/>
      <c r="N253" s="2"/>
      <c r="O253" s="2"/>
    </row>
    <row r="256" spans="11:15" x14ac:dyDescent="0.25" ht="20" customHeight="1">
      <c r="L256" s="2"/>
      <c r="M256" s="2"/>
      <c r="N256" s="2"/>
      <c r="O256" s="2"/>
    </row>
    <row r="257" spans="11:15" x14ac:dyDescent="0.25" ht="20" customHeight="1">
      <c r="K257" s="2"/>
      <c r="L257" s="2"/>
      <c r="M257" s="2"/>
      <c r="N257" s="2"/>
      <c r="O257" s="2"/>
    </row>
    <row r="258" spans="11:15" x14ac:dyDescent="0.25" ht="20" customHeight="1">
      <c r="L258" s="2"/>
      <c r="M258" s="2"/>
      <c r="N258" s="2"/>
      <c r="O258" s="2"/>
    </row>
    <row r="261" spans="11:15" x14ac:dyDescent="0.25" ht="20" customHeight="1">
      <c r="L261" s="2"/>
      <c r="M261" s="2"/>
      <c r="N261" s="2"/>
      <c r="O261" s="2"/>
    </row>
    <row r="262" spans="11:15" x14ac:dyDescent="0.25" ht="20" customHeight="1">
      <c r="K262" s="2"/>
      <c r="L262" s="2"/>
      <c r="M262" s="2"/>
      <c r="N262" s="2"/>
      <c r="O262" s="2"/>
    </row>
    <row r="263" spans="11:15" x14ac:dyDescent="0.25" ht="20" customHeight="1">
      <c r="L263" s="2"/>
      <c r="M263" s="2"/>
      <c r="N263" s="2"/>
      <c r="O263" s="2"/>
    </row>
    <row r="266" spans="11:15" x14ac:dyDescent="0.25" ht="20" customHeight="1">
      <c r="L266" s="2"/>
      <c r="M266" s="2"/>
      <c r="N266" s="2"/>
      <c r="O266" s="2"/>
    </row>
    <row r="267" spans="11:15" x14ac:dyDescent="0.25" ht="20" customHeight="1">
      <c r="K267" s="2"/>
      <c r="L267" s="2"/>
      <c r="M267" s="2"/>
      <c r="N267" s="2"/>
      <c r="O267" s="2"/>
    </row>
    <row r="268" spans="11:15" x14ac:dyDescent="0.25" ht="20" customHeight="1">
      <c r="L268" s="2"/>
      <c r="M268" s="2"/>
      <c r="N268" s="2"/>
      <c r="O268" s="2"/>
    </row>
    <row r="272" spans="11:15" x14ac:dyDescent="0.25" ht="20" customHeight="1">
      <c r="K272" s="2"/>
    </row>
    <row r="273" spans="11:11" x14ac:dyDescent="0.25" ht="20" customHeight="1">
      <c r="K273" s="2"/>
    </row>
    <row r="274" spans="11:11" x14ac:dyDescent="0.25" ht="20" customHeight="1">
      <c r="K274" s="2"/>
    </row>
    <row r="275" spans="11:11" x14ac:dyDescent="0.25" ht="20" customHeight="1">
      <c r="K275" s="2"/>
    </row>
    <row r="276" spans="11:11" x14ac:dyDescent="0.25" ht="20" customHeight="1">
      <c r="K276" s="2"/>
    </row>
    <row r="278" spans="11:11" x14ac:dyDescent="0.25" ht="20" customHeight="1">
      <c r="K278" s="2"/>
    </row>
    <row r="280" spans="11:11" x14ac:dyDescent="0.25" ht="20" customHeight="1">
      <c r="K280" s="2"/>
    </row>
    <row r="281" spans="11:11" x14ac:dyDescent="0.25" ht="20" customHeight="1">
      <c r="K281" s="2"/>
    </row>
    <row r="282" spans="11:11" x14ac:dyDescent="0.25" ht="20" customHeight="1">
      <c r="K282" s="2"/>
    </row>
    <row r="283" spans="11:11" x14ac:dyDescent="0.25" ht="20" customHeight="1">
      <c r="K283" s="2"/>
    </row>
    <row r="285" spans="11:11" x14ac:dyDescent="0.25" ht="20" customHeight="1">
      <c r="K285" s="2"/>
    </row>
    <row r="293" spans="11:11" x14ac:dyDescent="0.25" ht="20" customHeight="1">
      <c r="K293" s="2"/>
    </row>
    <row r="294" spans="11:11" x14ac:dyDescent="0.25" ht="20" customHeight="1">
      <c r="K294" s="2"/>
    </row>
    <row r="295" spans="11:11" x14ac:dyDescent="0.25" ht="20" customHeight="1">
      <c r="K295" s="2"/>
    </row>
    <row r="298" spans="11:11" x14ac:dyDescent="0.25" ht="20" customHeight="1">
      <c r="K298" s="2"/>
    </row>
    <row r="299" spans="11:11" x14ac:dyDescent="0.25" ht="20" customHeight="1">
      <c r="K299" s="2"/>
    </row>
    <row r="300" spans="11:11" x14ac:dyDescent="0.25" ht="20" customHeight="1">
      <c r="K300" s="2"/>
    </row>
    <row r="303" spans="11:11" x14ac:dyDescent="0.25" ht="20" customHeight="1">
      <c r="K303" s="2"/>
    </row>
    <row r="304" spans="11:11" x14ac:dyDescent="0.25" ht="20" customHeight="1">
      <c r="K304" s="2"/>
    </row>
    <row r="305" spans="11:11" x14ac:dyDescent="0.25" ht="20" customHeight="1">
      <c r="K305" s="2"/>
    </row>
    <row r="308" spans="11:11" x14ac:dyDescent="0.25" ht="20" customHeight="1">
      <c r="K308" s="2"/>
    </row>
    <row r="309" spans="11:11" x14ac:dyDescent="0.25" ht="20" customHeight="1">
      <c r="K309" s="2"/>
    </row>
    <row r="310" spans="11:11" x14ac:dyDescent="0.25" ht="20" customHeight="1">
      <c r="K310" s="2"/>
    </row>
    <row r="317" spans="11:11" x14ac:dyDescent="0.25" ht="20" customHeight="1">
      <c r="K317" s="2"/>
    </row>
    <row r="318" spans="11:11" x14ac:dyDescent="0.25" ht="20" customHeight="1">
      <c r="K318" s="2"/>
    </row>
    <row r="319" spans="11:11" x14ac:dyDescent="0.25" ht="20" customHeight="1">
      <c r="K319" s="2"/>
    </row>
    <row r="322" spans="4:11" x14ac:dyDescent="0.25" ht="20" customHeight="1">
      <c r="K322" s="2"/>
    </row>
    <row r="323" spans="4:11" x14ac:dyDescent="0.25" ht="20" customHeight="1">
      <c r="K323" s="2"/>
    </row>
    <row r="324" spans="4:11" x14ac:dyDescent="0.25" ht="20" customHeight="1">
      <c r="K324" s="2"/>
    </row>
    <row r="327" spans="4:11" x14ac:dyDescent="0.25" ht="20" customHeight="1">
      <c r="K327" s="2"/>
    </row>
    <row r="328" spans="4:11" x14ac:dyDescent="0.25" ht="20" customHeight="1">
      <c r="D328" s="100"/>
      <c r="K328" s="2"/>
    </row>
    <row r="329" spans="4:11" x14ac:dyDescent="0.25" ht="20" customHeight="1">
      <c r="K329" s="2"/>
    </row>
    <row r="332" spans="4:11" x14ac:dyDescent="0.25" ht="20" customHeight="1">
      <c r="K332" s="2"/>
    </row>
    <row r="333" spans="4:11" x14ac:dyDescent="0.25" ht="20" customHeight="1">
      <c r="K333" s="2"/>
    </row>
    <row r="334" spans="4:11" x14ac:dyDescent="0.25" ht="20" customHeight="1">
      <c r="K334" s="2"/>
    </row>
  </sheetData>
  <conditionalFormatting sqref="F189:F190">
    <cfRule type="cellIs" dxfId="11" priority="27" operator="lessThan">
      <formula>0</formula>
    </cfRule>
  </conditionalFormatting>
  <conditionalFormatting sqref="F194:F195">
    <cfRule type="cellIs" dxfId="10" priority="26" operator="lessThan">
      <formula>0</formula>
    </cfRule>
  </conditionalFormatting>
  <conditionalFormatting sqref="F227:F228">
    <cfRule type="cellIs" dxfId="9" priority="25" operator="lessThan">
      <formula>0</formula>
    </cfRule>
  </conditionalFormatting>
  <conditionalFormatting sqref="F251:F252">
    <cfRule type="cellIs" dxfId="8" priority="19" operator="lessThan">
      <formula>0</formula>
    </cfRule>
  </conditionalFormatting>
  <conditionalFormatting sqref="F256:F257">
    <cfRule type="cellIs" dxfId="7" priority="18" operator="lessThan">
      <formula>0</formula>
    </cfRule>
  </conditionalFormatting>
  <conditionalFormatting sqref="F261:F262">
    <cfRule type="cellIs" dxfId="6" priority="17" operator="lessThan">
      <formula>0</formula>
    </cfRule>
  </conditionalFormatting>
  <conditionalFormatting sqref="H181:K181">
    <cfRule type="cellIs" dxfId="5" priority="7"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4" priority="36" operator="lessThan">
      <formula>0</formula>
    </cfRule>
  </conditionalFormatting>
  <conditionalFormatting sqref="I125:O125">
    <cfRule type="cellIs" dxfId="3" priority="5" operator="lessThan">
      <formula>0</formula>
    </cfRule>
  </conditionalFormatting>
  <conditionalFormatting sqref="K180:K181">
    <cfRule type="cellIs" dxfId="2" priority="4" operator="lessThan">
      <formula>0</formula>
    </cfRule>
  </conditionalFormatting>
  <conditionalFormatting sqref="N178:N180">
    <cfRule type="cellIs" dxfId="1" priority="1" operator="lessThan">
      <formula>0</formula>
    </cfRule>
  </conditionalFormatting>
  <conditionalFormatting sqref="P43:R43">
    <cfRule type="cellIs" dxfId="0" priority="37" operator="lessThan">
      <formula>0</formula>
    </cfRule>
  </conditionalFormatting>
  <dataValidations count="9">
    <dataValidation type="list" allowBlank="1" showInputMessage="1" showErrorMessage="1" sqref="D244" xr:uid="{4E913AB3-F90B-4C35-BCE1-5DBB8FC05107}">
      <formula1>INDIRECT("Table_SourceData_PoultryMMSStage1[MMS]")</formula1>
    </dataValidation>
    <dataValidation type="list" allowBlank="1" showInputMessage="1" showErrorMessage="1" sqref="E188 E193 E226 E260 E255 E250 E149"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57" xr:uid="{964CB593-5D4D-4584-9033-0C54780AC43E}">
      <formula1>INDIRECT("Table_SourceData_PastureBeef_IrrigationMethods[Irrigation method]")</formula1>
    </dataValidation>
    <dataValidation type="list" allowBlank="1" showInputMessage="1" showErrorMessage="1" sqref="E156" xr:uid="{EB9B83E0-A891-43A7-9523-094EA6EFCDCF}">
      <formula1>INDIRECT("Table_SourceData_PastureBeef_CropProdSystems[Production system]")</formula1>
    </dataValidation>
    <dataValidation type="list" allowBlank="1" showInputMessage="1" showErrorMessage="1" sqref="E162" xr:uid="{F19D713C-D639-4E0B-97FE-4871A2D0DBE9}">
      <formula1>"Spring, Summer, Autumn, Winter"</formula1>
    </dataValidation>
    <dataValidation type="list" allowBlank="1" showInputMessage="1" showErrorMessage="1" sqref="E176" xr:uid="{201520A7-DD52-4880-9064-2B6F553814DB}">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AK281"/>
  <sheetViews>
    <sheetView showGridLines="0" tabSelected="1" zoomScaleNormal="100" workbookViewId="0">
      <selection activeCell="E26" sqref="E26"/>
    </sheetView>
  </sheetViews>
  <sheetFormatPr defaultRowHeight="20" x14ac:dyDescent="0.25" customHeight="1"/>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 customHeight="1" x14ac:dyDescent="0.25">
      <c r="A2"/>
    </row>
    <row r="3" spans="1:37" ht="20"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 customHeight="1" x14ac:dyDescent="0.25">
      <c r="A4" s="17" t="str">
        <f>HYPERLINK("#'Results'!A1", "Results")</f>
        <v>Results</v>
      </c>
    </row>
    <row r="5" spans="1:37" ht="20" customHeight="1" x14ac:dyDescent="0.25">
      <c r="D5" s="6" t="str" cm="1">
        <f t="array" ref="D5">EntericMethane_PastureBeef_Equations.VEERG_3_2_1_1__4_AdditionalIntakeForMilkProduction_Title()</f>
        <v>Additional intake for milk production in the season of calving and the season after calving</v>
      </c>
    </row>
    <row r="6" spans="1:37" ht="20" customHeight="1" x14ac:dyDescent="0.25">
      <c r="D6" s="5" t="str" cm="1">
        <f t="array" ref="D6">EntericMethane_PastureBeef_Equations.VEERG_3_2_1_1__4_AdditionalIntakeForMilkProduction_Source()</f>
        <v>VEERG 2026: 3.2.1.1, Equation (4)</v>
      </c>
    </row>
    <row r="7" spans="1:37" ht="20" customHeight="1" x14ac:dyDescent="0.25">
      <c r="A7" s="19" t="s">
        <v>0</v>
      </c>
      <c r="D7" s="13" t="s">
        <v>24</v>
      </c>
      <c r="E7" s="13" t="s">
        <v>336</v>
      </c>
    </row>
    <row r="8" spans="1:37" ht="20" customHeight="1" x14ac:dyDescent="0.25">
      <c r="A8" s="17" t="str">
        <f>HYPERLINK("#'Input - Site'!A1", "Site")</f>
        <v>Site</v>
      </c>
    </row>
    <row r="9" spans="1:37" ht="20" customHeight="1" x14ac:dyDescent="0.25">
      <c r="A9" s="17" t="str">
        <f>HYPERLINK("#'Input - Pasture Beef'!A1", "Pasture Beef")</f>
        <v>Pasture Beef</v>
      </c>
    </row>
    <row r="10" spans="1:37" ht="20" customHeight="1" x14ac:dyDescent="0.25">
      <c r="D10" s="51" t="s">
        <v>27</v>
      </c>
      <c r="E10" s="1" t="str" cm="1">
        <f t="array" ref="E10">EntericMethane_PastureBeef_Equations.VEERG_3_2_1_1__4_AdditionalIntakeForMilkProduction_Variable()</f>
        <v>MA_jk45</v>
      </c>
    </row>
    <row r="11" spans="1:37" ht="20" customHeight="1" x14ac:dyDescent="0.25">
      <c r="D11" s="51" t="s">
        <v>17</v>
      </c>
      <c r="E11" s="52" t="str" cm="1">
        <f t="array" ref="E11">EntericMethane_PastureBeef_Equations.VEERG_3_2_1_1__4_AdditionalIntakeForMilkProduction_Unit()</f>
        <v>fraction</v>
      </c>
    </row>
    <row r="12" spans="1:37" ht="20" customHeight="1" x14ac:dyDescent="0.25">
      <c r="A12" s="18" t="s">
        <v>72</v>
      </c>
    </row>
    <row r="13" spans="1:37" ht="20" customHeight="1" x14ac:dyDescent="0.25">
      <c r="A13" s="127"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 customHeight="1" x14ac:dyDescent="0.25"/>
    <row r="18" spans="1:36" ht="20" customHeight="1" x14ac:dyDescent="0.25"/>
    <row r="19" spans="1:36" ht="20" customHeight="1" x14ac:dyDescent="0.25">
      <c r="A19" s="125" t="s">
        <v>1</v>
      </c>
      <c r="D19" s="94" t="s">
        <v>224</v>
      </c>
      <c r="W19" s="94" t="s">
        <v>243</v>
      </c>
    </row>
    <row r="20" spans="1:36" ht="20" customHeight="1" x14ac:dyDescent="0.25">
      <c r="A20" s="17" t="str">
        <f>HYPERLINK("#'Constants - Pasture Beef'!A1", "Constants - Pasture Beef")</f>
        <v>Constants - Pasture Beef</v>
      </c>
      <c r="D20" s="93" t="s">
        <v>247</v>
      </c>
      <c r="W20" s="93" t="s">
        <v>244</v>
      </c>
    </row>
    <row r="21" spans="1:36" ht="20"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 customHeight="1" x14ac:dyDescent="0.25">
      <c r="A22" s="17" t="str">
        <f>HYPERLINK("#'Constants - Common Livestock'!A1", "Constants - Common Livestock")</f>
        <v>Constants - Common Livestock</v>
      </c>
      <c r="D22" s="50" t="s">
        <v>167</v>
      </c>
      <c r="E22" s="50" t="str">
        <f>'Input - Pasture Beef'!$E169</f>
        <v>Yes</v>
      </c>
      <c r="F22" s="50">
        <f>'Input - Pasture Beef'!$F169</f>
        <v>0.1</v>
      </c>
      <c r="G22" s="50">
        <f>'Input - Pasture Beef'!$G169</f>
        <v>0.4</v>
      </c>
      <c r="H22" s="50">
        <f>'Input - Pasture Beef'!$H169</f>
        <v>0.4</v>
      </c>
      <c r="I22" s="2" t="s">
        <v>94</v>
      </c>
      <c r="W22" s="50" t="str">
        <f>TEXT(EDATE('Input - Pasture Beef'!$D$182,0), "mmmm") &amp; ", " &amp; TEXT(EDATE('Input - Pasture Beef'!$D$183,0), "mmmm") &amp; ", " &amp; TEXT(EDATE('Input - Pasture Beef'!$D$184,0), "mmmm")</f>
        <v>August, September, October</v>
      </c>
      <c r="X22" s="50">
        <f>'Input - Pasture Beef'!$E$185</f>
        <v>0.75</v>
      </c>
      <c r="Y22" s="50">
        <f>'Input - Pasture Beef'!$F$185</f>
        <v>0.75</v>
      </c>
      <c r="Z22" s="50">
        <f>'Input - Pasture Beef'!$G$185</f>
        <v>0.75</v>
      </c>
      <c r="AA22" s="2" t="s">
        <v>94</v>
      </c>
    </row>
    <row r="23" spans="1:36" ht="20" customHeight="1" x14ac:dyDescent="0.25">
      <c r="A23" s="17" t="str">
        <f>HYPERLINK("#'Acknowledgements'!A1", "Acknowledgements")</f>
        <v>Acknowledgements</v>
      </c>
      <c r="D23" s="50" t="s">
        <v>168</v>
      </c>
      <c r="E23" s="50" t="str">
        <f>'Input - Pasture Beef'!$E170</f>
        <v>Yes</v>
      </c>
      <c r="F23" s="50">
        <f>'Input - Pasture Beef'!$F170</f>
        <v>0.1</v>
      </c>
      <c r="G23" s="50">
        <f>'Input - Pasture Beef'!$G170</f>
        <v>0</v>
      </c>
      <c r="H23" s="50">
        <f>'Input - Pasture Beef'!$H170</f>
        <v>0</v>
      </c>
      <c r="W23" s="50" t="str">
        <f>TEXT(EDATE('Input - Pasture Beef'!$D$184,1), "mmmm") &amp; ", " &amp; TEXT(EDATE('Input - Pasture Beef'!$D$184,2), "mmmm") &amp; ", " &amp; TEXT(EDATE('Input - Pasture Beef'!$D$184,3), "mmmm")</f>
        <v>November, December, January</v>
      </c>
      <c r="AA23" s="2"/>
    </row>
    <row r="24" spans="1:36" ht="20" customHeight="1" x14ac:dyDescent="0.25">
      <c r="A24" s="17" t="str">
        <f>HYPERLINK("#'Tab template'!A1", "Tab template")</f>
        <v>Tab template</v>
      </c>
      <c r="D24" s="50" t="s">
        <v>169</v>
      </c>
      <c r="E24" s="50" t="str">
        <f>'Input - Pasture Beef'!$E171</f>
        <v>No</v>
      </c>
      <c r="F24" s="50">
        <f>'Input - Pasture Beef'!$F171</f>
        <v>0</v>
      </c>
      <c r="G24" s="50">
        <f>'Input - Pasture Beef'!$G171</f>
        <v>0</v>
      </c>
      <c r="H24" s="50">
        <f>'Input - Pasture Beef'!$H171</f>
        <v>0</v>
      </c>
      <c r="AA24" s="2"/>
    </row>
    <row r="25" spans="1:36" ht="20" customHeight="1" x14ac:dyDescent="0.25">
      <c r="D25" s="50" t="s">
        <v>170</v>
      </c>
      <c r="E25" s="50" t="str">
        <f>'Input - Pasture Beef'!$E168</f>
        <v>Yes</v>
      </c>
      <c r="F25" s="50">
        <f>'Input - Pasture Beef'!$F$168</f>
        <v>0.7</v>
      </c>
      <c r="G25" s="50">
        <f>'Input - Pasture Beef'!$G$168</f>
        <v>0.5</v>
      </c>
      <c r="H25" s="50">
        <f>'Input - Pasture Beef'!$H$168</f>
        <v>0.5</v>
      </c>
      <c r="W25" s="94" t="s">
        <v>245</v>
      </c>
    </row>
    <row r="26" spans="1:36" ht="20" customHeight="1" x14ac:dyDescent="0.25">
      <c r="W26" s="93" t="s">
        <v>246</v>
      </c>
    </row>
    <row r="27" spans="1:36" ht="20"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 customHeight="1" x14ac:dyDescent="0.25">
      <c r="D30" s="50" t="s">
        <v>167</v>
      </c>
      <c r="E30" s="50" t="str">
        <f>IF('Input - Pasture Beef'!E169="Yes", "Calving season", "")</f>
        <v>Calving season</v>
      </c>
      <c r="F30" s="50" t="str">
        <f>IF('Input - Pasture Beef'!E168="Yes",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 customHeight="1" x14ac:dyDescent="0.25">
      <c r="D31" s="50" t="s">
        <v>168</v>
      </c>
      <c r="E31" s="50" t="str">
        <f>IF('Input - Pasture Beef'!E170="Yes", "Calving season", "")</f>
        <v>Calving season</v>
      </c>
      <c r="F31" s="50" t="str">
        <f>IF('Input - Pasture Beef'!E169="Yes",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 customHeight="1" x14ac:dyDescent="0.25">
      <c r="D32" s="50" t="s">
        <v>169</v>
      </c>
      <c r="E32" s="50" t="str">
        <f>IF('Input - Pasture Beef'!E171="Yes", "Calving season", "")</f>
        <v/>
      </c>
      <c r="F32" s="50" t="str">
        <f>IF('Input - Pasture Beef'!E170="Yes",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 customHeight="1" x14ac:dyDescent="0.25">
      <c r="D33" s="50" t="s">
        <v>170</v>
      </c>
      <c r="E33" s="50" t="str">
        <f>IF('Input - Pasture Beef'!E168="Yes", "Calving season", "")</f>
        <v>Calving season</v>
      </c>
      <c r="F33" s="50" t="str">
        <f>IF('Input - Pasture Beef'!E171="Yes",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 customHeight="1" x14ac:dyDescent="0.25"/>
    <row r="41" spans="3:36" ht="20" customHeight="1" x14ac:dyDescent="0.25">
      <c r="W41" s="94" t="s">
        <v>340</v>
      </c>
    </row>
    <row r="42" spans="3:36" ht="20" customHeight="1" x14ac:dyDescent="0.25">
      <c r="D42" s="51" t="s">
        <v>27</v>
      </c>
      <c r="E42" s="1" t="str" cm="1">
        <f t="array" ref="E42">EntericMethane_PastureBeef_Equations.VEERG_3_2_1_1__3_FeedIntakeForGrazingBeef_Variable()</f>
        <v>I_jkl</v>
      </c>
      <c r="W42" s="93" t="s">
        <v>249</v>
      </c>
    </row>
    <row r="43" spans="3:36" ht="20"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 customHeight="1" x14ac:dyDescent="0.25">
      <c r="AI56" s="2"/>
      <c r="AJ56" s="2"/>
    </row>
    <row r="57" spans="4:36" ht="20" customHeight="1" x14ac:dyDescent="0.25">
      <c r="W57" s="94" t="s">
        <v>250</v>
      </c>
      <c r="AI57" s="2"/>
      <c r="AJ57" s="2"/>
    </row>
    <row r="58" spans="4:36" ht="20" customHeight="1" x14ac:dyDescent="0.25">
      <c r="W58" s="93" t="s">
        <v>251</v>
      </c>
      <c r="AI58" s="2"/>
      <c r="AJ58" s="2"/>
    </row>
    <row r="59" spans="4:36" ht="20"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 customHeight="1" x14ac:dyDescent="0.25">
      <c r="AI72" s="2"/>
      <c r="AJ72" s="2"/>
    </row>
    <row r="73" spans="4:36" ht="20" customHeight="1" x14ac:dyDescent="0.25">
      <c r="W73" s="94" t="s">
        <v>252</v>
      </c>
      <c r="AI73" s="2"/>
      <c r="AJ73" s="2"/>
    </row>
    <row r="74" spans="4:36" ht="20" customHeight="1" x14ac:dyDescent="0.25">
      <c r="W74" s="93" t="s">
        <v>137</v>
      </c>
      <c r="AI74" s="2"/>
      <c r="AJ74" s="2"/>
    </row>
    <row r="75" spans="4:36" ht="20"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 customHeight="1" x14ac:dyDescent="0.25">
      <c r="AI88" s="2"/>
      <c r="AJ88" s="2"/>
    </row>
    <row r="89" spans="4:36" ht="20" customHeight="1" x14ac:dyDescent="0.25">
      <c r="AI89" s="2"/>
      <c r="AJ89" s="2"/>
    </row>
    <row r="90" spans="4:36" ht="20" customHeight="1" x14ac:dyDescent="0.25">
      <c r="AI90" s="2"/>
      <c r="AJ90" s="2"/>
    </row>
    <row r="91" spans="4:36" ht="20" customHeight="1" x14ac:dyDescent="0.25">
      <c r="AI91" s="2"/>
      <c r="AJ91" s="2"/>
    </row>
    <row r="92" spans="4:36" ht="20" customHeight="1" x14ac:dyDescent="0.25">
      <c r="AI92" s="2"/>
      <c r="AJ92" s="2"/>
    </row>
    <row r="93" spans="4:36" ht="20" customHeight="1" x14ac:dyDescent="0.25">
      <c r="AI93" s="2"/>
      <c r="AJ93" s="2"/>
    </row>
    <row r="94" spans="4:36" ht="20" customHeight="1" x14ac:dyDescent="0.25">
      <c r="AI94" s="2"/>
      <c r="AJ94" s="2"/>
    </row>
    <row r="95" spans="4:36" ht="20" customHeight="1" x14ac:dyDescent="0.25">
      <c r="AI95" s="2"/>
      <c r="AJ95" s="2"/>
    </row>
    <row r="96" spans="4:36" ht="20" customHeight="1" x14ac:dyDescent="0.25"/>
    <row r="97" spans="3:37" ht="20" customHeight="1" x14ac:dyDescent="0.25"/>
    <row r="98" spans="3:37" ht="20"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 customHeight="1" x14ac:dyDescent="0.25">
      <c r="D99" s="6" t="str" cm="1">
        <f t="array" ref="D99">MMS_PastureBeef_Methane_Equations.VEERG_4_2_1_1__3_VolatileSolidProductionFromGrazingBeef_Title()</f>
        <v>Volatile solid production from grazing beef</v>
      </c>
    </row>
    <row r="100" spans="3:37" ht="20" customHeight="1" x14ac:dyDescent="0.25">
      <c r="D100" s="5" t="str" cm="1">
        <f t="array" ref="D100">MMS_PastureBeef_Methane_Equations.VEERG_4_2_1_1__3_VolatileSolidProductionFromGrazingBeef_Source()</f>
        <v>VEERG 2026: 4.2.1.1, Equation (3)</v>
      </c>
    </row>
    <row r="101" spans="3:37" ht="20" customHeight="1" x14ac:dyDescent="0.25">
      <c r="D101" s="13" t="s">
        <v>24</v>
      </c>
      <c r="E101" s="13" t="str" cm="1">
        <f t="array" aca="1" ref="E101" ca="1">Common_InputFunctions.Utility_DisplayFunctionName($E$131)</f>
        <v>=MMS_PastureBeef_Methane_Equations.VEERG_4_2_1_1__3_VolatileSolidProductionFromGrazingBeef</v>
      </c>
    </row>
    <row r="102" spans="3:37" ht="20" customHeight="1" x14ac:dyDescent="0.25"/>
    <row r="103" spans="3:37" ht="20" customHeight="1" x14ac:dyDescent="0.25"/>
    <row r="104" spans="3:37" ht="20" customHeight="1" x14ac:dyDescent="0.25"/>
    <row r="105" spans="3:37" ht="20" customHeight="1" x14ac:dyDescent="0.25">
      <c r="D105" s="51" t="s">
        <v>27</v>
      </c>
      <c r="E105" s="1" t="str" cm="1">
        <f t="array" ref="E105">MMS_PastureBeef_Methane_Equations.VEERG_4_2_1_1__3_VolatileSolidProductionFromGrazingBeef_Variable()</f>
        <v>VS_jkl</v>
      </c>
    </row>
    <row r="106" spans="3:37" ht="20" customHeight="1" x14ac:dyDescent="0.25">
      <c r="D106" s="51" t="s">
        <v>17</v>
      </c>
      <c r="E106" s="52" t="str" cm="1">
        <f t="array" ref="E106">MMS_PastureBeef_Methane_Equations.VEERG_4_2_1_1__3_VolatileSolidProductionFromGrazingBeef_Unit()</f>
        <v>kg/head/day</v>
      </c>
    </row>
    <row r="107" spans="3:37" ht="20" customHeight="1" x14ac:dyDescent="0.25"/>
    <row r="108" spans="3:37" ht="20"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 customHeight="1" x14ac:dyDescent="0.25"/>
    <row r="112" spans="3:37" ht="20" customHeight="1" x14ac:dyDescent="0.25">
      <c r="D112" s="94" t="s">
        <v>253</v>
      </c>
      <c r="W112" s="94" t="s">
        <v>254</v>
      </c>
    </row>
    <row r="113" spans="4:36" ht="20" customHeight="1" x14ac:dyDescent="0.25">
      <c r="D113" s="93" t="s">
        <v>106</v>
      </c>
      <c r="W113" s="93" t="s">
        <v>136</v>
      </c>
    </row>
    <row r="114" spans="4:36" ht="20"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 customHeight="1" x14ac:dyDescent="0.25"/>
    <row r="128" spans="4:36" ht="20" customHeight="1" x14ac:dyDescent="0.25">
      <c r="D128" s="94" t="s">
        <v>255</v>
      </c>
      <c r="W128" s="94" t="s">
        <v>256</v>
      </c>
    </row>
    <row r="129" spans="4:36" ht="20" customHeight="1" x14ac:dyDescent="0.25">
      <c r="D129" s="93" t="s">
        <v>105</v>
      </c>
      <c r="W129" s="93" t="s">
        <v>107</v>
      </c>
    </row>
    <row r="130" spans="4:36" ht="20"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TEXT(X_Cell_Site_StartDate,"mmmm")</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TEXT(EDATE(X_Cell_Site_StartDate,1), "mmmm")</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TEXT(EDATE(X_Cell_Site_StartDate,2), "mmmm")</f>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TEXT(EDATE(X_Cell_Site_StartDate,3), "mmmm")</f>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 customHeight="1" x14ac:dyDescent="0.25">
      <c r="W135" s="50" t="str">
        <f>TEXT(EDATE(X_Cell_Site_StartDate,4), "mmmm")</f>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 customHeight="1" x14ac:dyDescent="0.25">
      <c r="W136" s="50" t="str">
        <f>TEXT(EDATE(X_Cell_Site_StartDate,5), "mmmm")</f>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 customHeight="1" x14ac:dyDescent="0.25">
      <c r="W137" s="50" t="str">
        <f>TEXT(EDATE(X_Cell_Site_StartDate,6), "mmmm")</f>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 customHeight="1" x14ac:dyDescent="0.25">
      <c r="W138" s="50" t="str">
        <f>TEXT(EDATE(X_Cell_Site_StartDate,7), "mmmm")</f>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 customHeight="1" x14ac:dyDescent="0.25">
      <c r="W139" s="50" t="str">
        <f>TEXT(EDATE(X_Cell_Site_StartDate,8), "mmmm")</f>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 customHeight="1" x14ac:dyDescent="0.25">
      <c r="W140" s="50" t="str">
        <f>TEXT(EDATE(X_Cell_Site_StartDate,9), "mmmm")</f>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 customHeight="1" x14ac:dyDescent="0.25">
      <c r="W141" s="50" t="str">
        <f>TEXT(EDATE(X_Cell_Site_StartDate,10), "mmmm")</f>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 customHeight="1" x14ac:dyDescent="0.25">
      <c r="W142" s="50" t="str">
        <f>TEXT(EDATE(X_Cell_Site_StartDate,11), "mmmm")</f>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 customHeight="1" x14ac:dyDescent="0.25"/>
    <row r="144" spans="4:36" ht="20" customHeight="1" x14ac:dyDescent="0.25"/>
    <row r="145" spans="3:37" ht="20"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 customHeight="1" x14ac:dyDescent="0.25">
      <c r="D146" s="6" t="str" cm="1">
        <f t="array" ref="D146">MMS_PastureBeef_Methane_Equations.VEERG_4_2_1_1__2_MethaneProductionFromManure_Title()</f>
        <v>Methane production from the manure of grazing beef cattle</v>
      </c>
    </row>
    <row r="147" spans="3:37" ht="20" customHeight="1" x14ac:dyDescent="0.25">
      <c r="D147" s="5" t="str" cm="1">
        <f t="array" ref="D147">MMS_PastureBeef_Methane_Equations.VEERG_4_2_1_1__2_MethaneProductionFromManure_Source()</f>
        <v>VEERG 2026: 4.2.1.1, Equation (2)</v>
      </c>
    </row>
    <row r="148" spans="3:37" ht="20" customHeight="1" x14ac:dyDescent="0.25">
      <c r="D148" s="13" t="s">
        <v>24</v>
      </c>
      <c r="E148" s="13" t="str" cm="1">
        <f t="array" aca="1" ref="E148" ca="1">Common_InputFunctions.Utility_DisplayFunctionName($F$177)</f>
        <v>=MMS_PastureBeef_Methane_Equations.VEERG_4_2_1_1__2_MethaneProductionFromManure</v>
      </c>
    </row>
    <row r="149" spans="3:37" ht="20" customHeight="1" x14ac:dyDescent="0.25"/>
    <row r="150" spans="3:37" ht="20" customHeight="1" x14ac:dyDescent="0.25"/>
    <row r="151" spans="3:37" ht="20" customHeight="1" x14ac:dyDescent="0.25">
      <c r="D151" s="51" t="s">
        <v>27</v>
      </c>
      <c r="E151" s="1" t="str" cm="1">
        <f t="array" ref="E151">MMS_PastureBeef_Methane_Equations.VEERG_4_2_1_1__2_MethaneProductionFromManure_Variable()</f>
        <v>M_jklm</v>
      </c>
    </row>
    <row r="152" spans="3:37" ht="20" customHeight="1" x14ac:dyDescent="0.25">
      <c r="D152" s="51" t="s">
        <v>17</v>
      </c>
      <c r="E152" s="52" t="str" cm="1">
        <f t="array" ref="E152">MMS_PastureBeef_Methane_Equations.VEERG_4_2_1_1__2_MethaneProductionFromManure_Unit()</f>
        <v>kg CH4/head/day</v>
      </c>
    </row>
    <row r="153" spans="3:37" ht="20" customHeight="1" x14ac:dyDescent="0.25"/>
    <row r="154" spans="3:37" ht="20"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 customHeight="1" x14ac:dyDescent="0.25">
      <c r="D160" s="115" t="str">
        <v>i</v>
      </c>
      <c r="E160" s="120" t="str">
        <v>region</v>
      </c>
      <c r="F160" s="119"/>
      <c r="G160" s="115" t="str">
        <v/>
      </c>
      <c r="H160" s="117" t="str">
        <v>Input</v>
      </c>
      <c r="I160" s="115" t="str">
        <f>X_Cell_PastureBeef_ProductionRegion</f>
        <v>South West</v>
      </c>
    </row>
    <row r="161" spans="4:34" ht="20" customHeight="1" x14ac:dyDescent="0.25"/>
    <row r="162" spans="4:34" ht="20" customHeight="1" x14ac:dyDescent="0.25">
      <c r="D162" s="94" t="s">
        <v>263</v>
      </c>
    </row>
    <row r="163" spans="4:34" ht="20" customHeight="1" x14ac:dyDescent="0.25">
      <c r="D163" s="93" t="s">
        <v>262</v>
      </c>
    </row>
    <row r="164" spans="4:34" ht="20" customHeight="1" x14ac:dyDescent="0.25">
      <c r="D164" s="49" t="s">
        <v>65</v>
      </c>
      <c r="E164" s="118" t="s">
        <v>341</v>
      </c>
      <c r="F164" s="2" t="s">
        <v>135</v>
      </c>
    </row>
    <row r="165" spans="4:34" ht="20" customHeight="1" x14ac:dyDescent="0.25">
      <c r="D165" s="50" t="str">
        <f>'Input - Pasture Beef'!$D$152</f>
        <v>Pasture range and paddock</v>
      </c>
      <c r="E165" s="50">
        <f>X_Cell_PastureBeef_CalculatedMMSPastureRangeAndPaddock</f>
        <v>0.99621999999999999</v>
      </c>
      <c r="F165" s="2" t="s">
        <v>135</v>
      </c>
    </row>
    <row r="166" spans="4:34" ht="20" customHeight="1" x14ac:dyDescent="0.25">
      <c r="D166" s="50" t="str">
        <f>'Input - Pasture Beef'!$D$153</f>
        <v>Anaerobic lagoon</v>
      </c>
      <c r="E166" s="50">
        <f>X_Cell_PastureBeef_CalculatedMMSAnaerobicLagoon</f>
        <v>3.7799999999999999E-3</v>
      </c>
    </row>
    <row r="167" spans="4:34" ht="20" customHeight="1" x14ac:dyDescent="0.25"/>
    <row r="168" spans="4:34" ht="20" customHeight="1" x14ac:dyDescent="0.25">
      <c r="D168" s="94" t="s">
        <v>139</v>
      </c>
      <c r="W168" s="94" t="s">
        <v>358</v>
      </c>
    </row>
    <row r="169" spans="4:34" ht="20" customHeight="1" x14ac:dyDescent="0.25">
      <c r="D169" s="93" t="s">
        <v>357</v>
      </c>
      <c r="W169" s="93" t="s">
        <v>359</v>
      </c>
    </row>
    <row r="170" spans="4:34" ht="20" customHeight="1" x14ac:dyDescent="0.25">
      <c r="D170" s="49" t="s">
        <v>65</v>
      </c>
      <c r="E170" s="49" t="s">
        <v>93</v>
      </c>
      <c r="W170" s="49" t="s">
        <v>65</v>
      </c>
      <c r="X170" s="49" t="s">
        <v>93</v>
      </c>
    </row>
    <row r="171" spans="4:34" ht="20" customHeight="1" x14ac:dyDescent="0.25">
      <c r="D171" s="50" t="str">
        <f>'Input - Pasture Beef'!$D$152</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Beef'!$D$152</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 customHeight="1" x14ac:dyDescent="0.25">
      <c r="D172" s="50" t="str">
        <f>'Input - Pasture Beef'!$D$153</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Beef'!$D$153</f>
        <v>Anaerobic lagoon</v>
      </c>
      <c r="X172" s="50">
        <f>Common_InputFunctions.Common_GetMCFTemperatureZone($AB$159, W172,Table_SourceData_Common_MCFTemperatureZone[MAT raw],Table_SourceData_Common_MCFTemperatureZone[#Headers],Table_SourceData_Common_MCFTemperatureZone[])</f>
        <v>0.77</v>
      </c>
    </row>
    <row r="173" spans="4:34" ht="20" customHeight="1" x14ac:dyDescent="0.25"/>
    <row r="174" spans="4:34" ht="20" customHeight="1" x14ac:dyDescent="0.25">
      <c r="D174" s="94" t="s">
        <v>264</v>
      </c>
      <c r="W174" s="94" t="s">
        <v>266</v>
      </c>
    </row>
    <row r="175" spans="4:34" ht="20" customHeight="1" x14ac:dyDescent="0.25">
      <c r="D175" s="93" t="s">
        <v>265</v>
      </c>
      <c r="W175" s="93" t="s">
        <v>267</v>
      </c>
    </row>
    <row r="176" spans="4:34" ht="20"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 customHeight="1" x14ac:dyDescent="0.25">
      <c r="D177" s="50" t="str">
        <f>'Input - Pasture Beef'!$D$152</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5">$E$152</f>
        <v>kg CH4/head/day</v>
      </c>
      <c r="Q177" s="2"/>
      <c r="R177" s="2"/>
      <c r="S177" s="2"/>
      <c r="W177" s="50" t="str">
        <f>'Input - Pasture Beef'!$D$152</f>
        <v>Pasture range and paddock</v>
      </c>
      <c r="X177" s="50" t="str">
        <f>TEXT(X_Cell_Site_StartDate,"mmmm")</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6">$E$152</f>
        <v>kg CH4/head/day</v>
      </c>
      <c r="AJ177" s="2"/>
    </row>
    <row r="178" spans="4:36" ht="20" customHeight="1" x14ac:dyDescent="0.25">
      <c r="D178" s="50" t="str">
        <f>'Input - Pasture Beef'!$D$152</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5"/>
        <v>kg CH4/head/day</v>
      </c>
      <c r="Q178" s="2"/>
      <c r="R178" s="2"/>
      <c r="S178" s="2"/>
      <c r="W178" s="50" t="str">
        <f>'Input - Pasture Beef'!$D$152</f>
        <v>Pasture range and paddock</v>
      </c>
      <c r="X178" s="50" t="str">
        <f>TEXT(EDATE(X_Cell_Site_StartDate,1), "mmmm")</f>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6"/>
        <v>kg CH4/head/day</v>
      </c>
      <c r="AJ178" s="2"/>
    </row>
    <row r="179" spans="4:36" ht="20" customHeight="1" x14ac:dyDescent="0.25">
      <c r="D179" s="50" t="str">
        <f>'Input - Pasture Beef'!$D$152</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5"/>
        <v>kg CH4/head/day</v>
      </c>
      <c r="Q179" s="2"/>
      <c r="R179" s="2"/>
      <c r="S179" s="2"/>
      <c r="W179" s="50" t="str">
        <f>'Input - Pasture Beef'!$D$152</f>
        <v>Pasture range and paddock</v>
      </c>
      <c r="X179" s="50" t="str">
        <f>TEXT(EDATE(X_Cell_Site_StartDate,2), "mmmm")</f>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6"/>
        <v>kg CH4/head/day</v>
      </c>
      <c r="AJ179" s="2"/>
    </row>
    <row r="180" spans="4:36" ht="20" customHeight="1" x14ac:dyDescent="0.25">
      <c r="D180" s="50" t="str">
        <f>'Input - Pasture Beef'!$D$152</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5"/>
        <v>kg CH4/head/day</v>
      </c>
      <c r="Q180" s="2"/>
      <c r="R180" s="2"/>
      <c r="S180" s="2"/>
      <c r="W180" s="50" t="str">
        <f>'Input - Pasture Beef'!$D$152</f>
        <v>Pasture range and paddock</v>
      </c>
      <c r="X180" s="50" t="str">
        <f>TEXT(EDATE(X_Cell_Site_StartDate,3), "mmmm")</f>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6"/>
        <v>kg CH4/head/day</v>
      </c>
      <c r="AJ180" s="2"/>
    </row>
    <row r="181" spans="4:36" ht="20" customHeight="1" x14ac:dyDescent="0.25">
      <c r="D181" s="50" t="str">
        <f>'Input - Pasture Beef'!$D$153</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5"/>
        <v>kg CH4/head/day</v>
      </c>
      <c r="Q181" s="2"/>
      <c r="R181" s="2"/>
      <c r="S181" s="2"/>
      <c r="W181" s="50" t="str">
        <f>'Input - Pasture Beef'!$D$152</f>
        <v>Pasture range and paddock</v>
      </c>
      <c r="X181" s="50" t="str">
        <f>TEXT(EDATE(X_Cell_Site_StartDate,4), "mmmm")</f>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6"/>
        <v>kg CH4/head/day</v>
      </c>
      <c r="AJ181" s="2"/>
    </row>
    <row r="182" spans="4:36" ht="20" customHeight="1" x14ac:dyDescent="0.25">
      <c r="D182" s="50" t="str">
        <f>'Input - Pasture Beef'!$D$153</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5"/>
        <v>kg CH4/head/day</v>
      </c>
      <c r="Q182" s="2"/>
      <c r="R182" s="2"/>
      <c r="S182" s="2"/>
      <c r="W182" s="50" t="str">
        <f>'Input - Pasture Beef'!$D$152</f>
        <v>Pasture range and paddock</v>
      </c>
      <c r="X182" s="50" t="str">
        <f>TEXT(EDATE(X_Cell_Site_StartDate,5), "mmmm")</f>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6"/>
        <v>kg CH4/head/day</v>
      </c>
      <c r="AJ182" s="2"/>
    </row>
    <row r="183" spans="4:36" ht="20" customHeight="1" x14ac:dyDescent="0.25">
      <c r="D183" s="50" t="str">
        <f>'Input - Pasture Beef'!$D$153</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5"/>
        <v>kg CH4/head/day</v>
      </c>
      <c r="Q183" s="2"/>
      <c r="R183" s="2"/>
      <c r="S183" s="2"/>
      <c r="W183" s="50" t="str">
        <f>'Input - Pasture Beef'!$D$152</f>
        <v>Pasture range and paddock</v>
      </c>
      <c r="X183" s="50" t="str">
        <f>TEXT(EDATE(X_Cell_Site_StartDate,6), "mmmm")</f>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6"/>
        <v>kg CH4/head/day</v>
      </c>
      <c r="AJ183" s="2"/>
    </row>
    <row r="184" spans="4:36" ht="20" customHeight="1" x14ac:dyDescent="0.25">
      <c r="D184" s="50" t="str">
        <f>'Input - Pasture Beef'!$D$153</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5"/>
        <v>kg CH4/head/day</v>
      </c>
      <c r="Q184" s="2"/>
      <c r="R184" s="2"/>
      <c r="S184" s="2"/>
      <c r="W184" s="50" t="str">
        <f>'Input - Pasture Beef'!$D$152</f>
        <v>Pasture range and paddock</v>
      </c>
      <c r="X184" s="50" t="str">
        <f>TEXT(EDATE(X_Cell_Site_StartDate,7), "mmmm")</f>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6"/>
        <v>kg CH4/head/day</v>
      </c>
      <c r="AJ184" s="2"/>
    </row>
    <row r="185" spans="4:36" ht="20" customHeight="1" x14ac:dyDescent="0.25">
      <c r="W185" s="50" t="str">
        <f>'Input - Pasture Beef'!$D$152</f>
        <v>Pasture range and paddock</v>
      </c>
      <c r="X185" s="50" t="str">
        <f>TEXT(EDATE(X_Cell_Site_StartDate,8), "mmmm")</f>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6"/>
        <v>kg CH4/head/day</v>
      </c>
      <c r="AJ185" s="2"/>
    </row>
    <row r="186" spans="4:36" ht="20" customHeight="1" x14ac:dyDescent="0.25">
      <c r="W186" s="50" t="str">
        <f>'Input - Pasture Beef'!$D$152</f>
        <v>Pasture range and paddock</v>
      </c>
      <c r="X186" s="50" t="str">
        <f>TEXT(EDATE(X_Cell_Site_StartDate,9), "mmmm")</f>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6"/>
        <v>kg CH4/head/day</v>
      </c>
      <c r="AJ186" s="2"/>
    </row>
    <row r="187" spans="4:36" ht="20" customHeight="1" x14ac:dyDescent="0.25">
      <c r="W187" s="50" t="str">
        <f>'Input - Pasture Beef'!$D$152</f>
        <v>Pasture range and paddock</v>
      </c>
      <c r="X187" s="50" t="str">
        <f>TEXT(EDATE(X_Cell_Site_StartDate,10), "mmmm")</f>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6"/>
        <v>kg CH4/head/day</v>
      </c>
      <c r="AJ187" s="2"/>
    </row>
    <row r="188" spans="4:36" ht="20" customHeight="1" x14ac:dyDescent="0.25">
      <c r="W188" s="50" t="str">
        <f>'Input - Pasture Beef'!$D$152</f>
        <v>Pasture range and paddock</v>
      </c>
      <c r="X188" s="50" t="str">
        <f>TEXT(EDATE(X_Cell_Site_StartDate,11), "mmmm")</f>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6"/>
        <v>kg CH4/head/day</v>
      </c>
      <c r="AJ188" s="2"/>
    </row>
    <row r="189" spans="4:36" ht="20" customHeight="1" x14ac:dyDescent="0.25">
      <c r="W189" s="50" t="str">
        <f>'Input - Pasture Beef'!$D$153</f>
        <v>Anaerobic lagoon</v>
      </c>
      <c r="X189" s="50" t="str">
        <f>TEXT(X_Cell_Site_StartDate,"mmmm")</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6"/>
        <v>kg CH4/head/day</v>
      </c>
      <c r="AJ189" s="2"/>
    </row>
    <row r="190" spans="4:36" ht="20" customHeight="1" x14ac:dyDescent="0.25">
      <c r="W190" s="50" t="str">
        <f>'Input - Pasture Beef'!$D$153</f>
        <v>Anaerobic lagoon</v>
      </c>
      <c r="X190" s="50" t="str">
        <f>TEXT(EDATE(X_Cell_Site_StartDate,1), "mmmm")</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6"/>
        <v>kg CH4/head/day</v>
      </c>
      <c r="AJ190" s="2"/>
    </row>
    <row r="191" spans="4:36" ht="20" customHeight="1" x14ac:dyDescent="0.25">
      <c r="W191" s="50" t="str">
        <f>'Input - Pasture Beef'!$D$153</f>
        <v>Anaerobic lagoon</v>
      </c>
      <c r="X191" s="50" t="str">
        <f>TEXT(EDATE(X_Cell_Site_StartDate,2), "mmmm")</f>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6"/>
        <v>kg CH4/head/day</v>
      </c>
      <c r="AJ191" s="2"/>
    </row>
    <row r="192" spans="4:36" ht="20" customHeight="1" x14ac:dyDescent="0.25">
      <c r="W192" s="50" t="str">
        <f>'Input - Pasture Beef'!$D$153</f>
        <v>Anaerobic lagoon</v>
      </c>
      <c r="X192" s="50" t="str">
        <f>TEXT(EDATE(X_Cell_Site_StartDate,3), "mmmm")</f>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6"/>
        <v>kg CH4/head/day</v>
      </c>
      <c r="AJ192" s="2"/>
    </row>
    <row r="193" spans="3:37" ht="20" customHeight="1" x14ac:dyDescent="0.25">
      <c r="W193" s="50" t="str">
        <f>'Input - Pasture Beef'!$D$153</f>
        <v>Anaerobic lagoon</v>
      </c>
      <c r="X193" s="50" t="str">
        <f>TEXT(EDATE(X_Cell_Site_StartDate,4), "mmmm")</f>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6"/>
        <v>kg CH4/head/day</v>
      </c>
      <c r="AJ193" s="2"/>
    </row>
    <row r="194" spans="3:37" ht="20" customHeight="1" x14ac:dyDescent="0.25">
      <c r="W194" s="50" t="str">
        <f>'Input - Pasture Beef'!$D$153</f>
        <v>Anaerobic lagoon</v>
      </c>
      <c r="X194" s="50" t="str">
        <f>TEXT(EDATE(X_Cell_Site_StartDate,5), "mmmm")</f>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6"/>
        <v>kg CH4/head/day</v>
      </c>
      <c r="AJ194" s="2"/>
    </row>
    <row r="195" spans="3:37" ht="20" customHeight="1" x14ac:dyDescent="0.25">
      <c r="W195" s="50" t="str">
        <f>'Input - Pasture Beef'!$D$153</f>
        <v>Anaerobic lagoon</v>
      </c>
      <c r="X195" s="50" t="str">
        <f>TEXT(EDATE(X_Cell_Site_StartDate,6), "mmmm")</f>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6"/>
        <v>kg CH4/head/day</v>
      </c>
      <c r="AJ195" s="2"/>
    </row>
    <row r="196" spans="3:37" ht="20" customHeight="1" x14ac:dyDescent="0.25">
      <c r="W196" s="50" t="str">
        <f>'Input - Pasture Beef'!$D$153</f>
        <v>Anaerobic lagoon</v>
      </c>
      <c r="X196" s="50" t="str">
        <f>TEXT(EDATE(X_Cell_Site_StartDate,7), "mmmm")</f>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6"/>
        <v>kg CH4/head/day</v>
      </c>
      <c r="AJ196" s="2"/>
    </row>
    <row r="197" spans="3:37" ht="20" customHeight="1" x14ac:dyDescent="0.25">
      <c r="W197" s="50" t="str">
        <f>'Input - Pasture Beef'!$D$153</f>
        <v>Anaerobic lagoon</v>
      </c>
      <c r="X197" s="50" t="str">
        <f>TEXT(EDATE(X_Cell_Site_StartDate,8), "mmmm")</f>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6"/>
        <v>kg CH4/head/day</v>
      </c>
      <c r="AJ197" s="2"/>
    </row>
    <row r="198" spans="3:37" ht="20" customHeight="1" x14ac:dyDescent="0.25">
      <c r="W198" s="50" t="str">
        <f>'Input - Pasture Beef'!$D$153</f>
        <v>Anaerobic lagoon</v>
      </c>
      <c r="X198" s="50" t="str">
        <f>TEXT(EDATE(X_Cell_Site_StartDate,9), "mmmm")</f>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6"/>
        <v>kg CH4/head/day</v>
      </c>
      <c r="AJ198" s="2"/>
    </row>
    <row r="199" spans="3:37" ht="20" customHeight="1" x14ac:dyDescent="0.25">
      <c r="W199" s="50" t="str">
        <f>'Input - Pasture Beef'!$D$153</f>
        <v>Anaerobic lagoon</v>
      </c>
      <c r="X199" s="50" t="str">
        <f>TEXT(EDATE(X_Cell_Site_StartDate,10), "mmmm")</f>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6"/>
        <v>kg CH4/head/day</v>
      </c>
      <c r="AJ199" s="2"/>
    </row>
    <row r="200" spans="3:37" ht="20" customHeight="1" x14ac:dyDescent="0.25">
      <c r="W200" s="50" t="str">
        <f>'Input - Pasture Beef'!$D$153</f>
        <v>Anaerobic lagoon</v>
      </c>
      <c r="X200" s="50" t="str">
        <f>TEXT(EDATE(X_Cell_Site_StartDate,11), "mmmm")</f>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6"/>
        <v>kg CH4/head/day</v>
      </c>
      <c r="AJ200" s="2"/>
    </row>
    <row r="201" spans="3:37" ht="20" customHeight="1" x14ac:dyDescent="0.25"/>
    <row r="202" spans="3:37" ht="20" customHeight="1" x14ac:dyDescent="0.25"/>
    <row r="203" spans="3:37" ht="20"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 customHeight="1" x14ac:dyDescent="0.25">
      <c r="D205" s="5" t="str" cm="1">
        <f t="array" ref="D205">MMS_PastureBeef_Methane_Equations.VEERG_4_2_1_1__1_TotalAnnualMethaneProductionFromManureManagement_Source()</f>
        <v>VEERG 2026: 4.2.1.1, Equation (1)</v>
      </c>
    </row>
    <row r="206" spans="3:37" ht="20"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 customHeight="1" x14ac:dyDescent="0.25"/>
    <row r="208" spans="3:37" ht="20" customHeight="1" x14ac:dyDescent="0.25"/>
    <row r="209" spans="4:34" ht="20" customHeight="1" x14ac:dyDescent="0.25">
      <c r="D209" s="51" t="s">
        <v>27</v>
      </c>
      <c r="E209" s="1" t="str" cm="1">
        <f t="array" ref="E209">MMS_PastureBeef_Methane_Equations.VEERG_4_2_1_1__1_TotalAnnualMethaneProductionFromManureManagement_Variable()</f>
        <v>E_CH4</v>
      </c>
    </row>
    <row r="210" spans="4:34" ht="20" customHeight="1" x14ac:dyDescent="0.25">
      <c r="D210" s="51" t="s">
        <v>17</v>
      </c>
      <c r="E210" s="52" t="str" cm="1">
        <f t="array" ref="E210">MMS_PastureBeef_Methane_Equations.VEERG_4_2_1_1__1_TotalAnnualMethaneProductionFromManureManagement_Unit()</f>
        <v>t CH4</v>
      </c>
    </row>
    <row r="211" spans="4:34" ht="20" customHeight="1" x14ac:dyDescent="0.25"/>
    <row r="212" spans="4:34" ht="20"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 customHeight="1" x14ac:dyDescent="0.25"/>
    <row r="216" spans="4:34" ht="20" customHeight="1" x14ac:dyDescent="0.25">
      <c r="D216" s="94" t="s">
        <v>268</v>
      </c>
      <c r="W216" s="94" t="s">
        <v>273</v>
      </c>
    </row>
    <row r="217" spans="4:34" ht="20" customHeight="1" x14ac:dyDescent="0.25">
      <c r="D217" s="93" t="s">
        <v>269</v>
      </c>
      <c r="W217" s="93" t="s">
        <v>274</v>
      </c>
    </row>
    <row r="218" spans="4:34" ht="20"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 customHeight="1" x14ac:dyDescent="0.25"/>
    <row r="232" spans="4:34" ht="20" customHeight="1" x14ac:dyDescent="0.25">
      <c r="D232" s="94" t="s">
        <v>141</v>
      </c>
      <c r="W232" s="94" t="s">
        <v>143</v>
      </c>
    </row>
    <row r="233" spans="4:34" ht="20" customHeight="1" x14ac:dyDescent="0.25">
      <c r="D233" s="93" t="s">
        <v>272</v>
      </c>
      <c r="W233" s="93" t="s">
        <v>275</v>
      </c>
    </row>
    <row r="234" spans="4:34" ht="20"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 customHeight="1" x14ac:dyDescent="0.25">
      <c r="D235" s="50" t="str">
        <f>'Input - Pasture Beef'!$D$152</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 customHeight="1" x14ac:dyDescent="0.25">
      <c r="D236" s="50" t="str">
        <f>'Input - Pasture Beef'!$D$152</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7">$E$210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 customHeight="1" x14ac:dyDescent="0.25">
      <c r="D237" s="50" t="str">
        <f>'Input - Pasture Beef'!$D$152</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7"/>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 customHeight="1" x14ac:dyDescent="0.25">
      <c r="D238" s="50" t="str">
        <f>'Input - Pasture Beef'!$D$152</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7"/>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 customHeight="1" x14ac:dyDescent="0.25">
      <c r="D239" s="50" t="str">
        <f>'Input - Pasture Beef'!$D$153</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7"/>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 customHeight="1" x14ac:dyDescent="0.25">
      <c r="D240" s="50" t="str">
        <f>'Input - Pasture Beef'!$D$153</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7"/>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 customHeight="1" x14ac:dyDescent="0.25">
      <c r="D241" s="50" t="str">
        <f>'Input - Pasture Beef'!$D$153</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7"/>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 customHeight="1" x14ac:dyDescent="0.25">
      <c r="D242" s="50" t="str">
        <f>'Input - Pasture Beef'!$D$153</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7"/>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 customHeight="1" x14ac:dyDescent="0.25">
      <c r="D246" s="55" t="str" cm="1">
        <f t="array" ref="D246:E247">Common_Equations.Common_ConvertCH4ToCO2e_Arguments()</f>
        <v>ECH4</v>
      </c>
      <c r="E246" s="56" t="str">
        <v>Methane emissions (t CH4)</v>
      </c>
      <c r="F246" s="98"/>
      <c r="G246" s="50">
        <f ca="1">VEERG_4_2_1_1__1_TotalAnnualMethaneProductionFromManureManagement_Result_Method1</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 customHeight="1" x14ac:dyDescent="0.25">
      <c r="W248" s="94" t="s">
        <v>276</v>
      </c>
    </row>
    <row r="249" spans="4:36" ht="20"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 customHeight="1" x14ac:dyDescent="0.25">
      <c r="W251" s="50" t="str">
        <f>'Input - Pasture Beef'!$D$152</f>
        <v>Pasture range and paddock</v>
      </c>
      <c r="X251" s="50" t="str">
        <f>TEXT(X_Cell_Site_StartDate,"mmmm")</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8">$E$210</f>
        <v>t CH4</v>
      </c>
      <c r="AJ251" s="2"/>
    </row>
    <row r="252" spans="4:36" ht="20" customHeight="1" x14ac:dyDescent="0.25">
      <c r="W252" s="50" t="str">
        <f>'Input - Pasture Beef'!$D$152</f>
        <v>Pasture range and paddock</v>
      </c>
      <c r="X252" s="50" t="str">
        <f>TEXT(EDATE(X_Cell_Site_StartDate,1), "mmmm")</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8"/>
        <v>t CH4</v>
      </c>
      <c r="AJ252" s="2"/>
    </row>
    <row r="253" spans="4:36" ht="20" customHeight="1" x14ac:dyDescent="0.25">
      <c r="W253" s="50" t="str">
        <f>'Input - Pasture Beef'!$D$152</f>
        <v>Pasture range and paddock</v>
      </c>
      <c r="X253" s="50" t="str">
        <f>TEXT(EDATE(X_Cell_Site_StartDate,2), "mmmm")</f>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8"/>
        <v>t CH4</v>
      </c>
      <c r="AJ253" s="2"/>
    </row>
    <row r="254" spans="4:36" ht="20" customHeight="1" x14ac:dyDescent="0.25">
      <c r="W254" s="50" t="str">
        <f>'Input - Pasture Beef'!$D$152</f>
        <v>Pasture range and paddock</v>
      </c>
      <c r="X254" s="50" t="str">
        <f>TEXT(EDATE(X_Cell_Site_StartDate,3), "mmmm")</f>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8"/>
        <v>t CH4</v>
      </c>
      <c r="AJ254" s="2"/>
    </row>
    <row r="255" spans="4:36" ht="20" customHeight="1" x14ac:dyDescent="0.25">
      <c r="W255" s="50" t="str">
        <f>'Input - Pasture Beef'!$D$152</f>
        <v>Pasture range and paddock</v>
      </c>
      <c r="X255" s="50" t="str">
        <f>TEXT(EDATE(X_Cell_Site_StartDate,4), "mmmm")</f>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8"/>
        <v>t CH4</v>
      </c>
      <c r="AJ255" s="2"/>
    </row>
    <row r="256" spans="4:36" ht="20" customHeight="1" x14ac:dyDescent="0.25">
      <c r="W256" s="50" t="str">
        <f>'Input - Pasture Beef'!$D$152</f>
        <v>Pasture range and paddock</v>
      </c>
      <c r="X256" s="50" t="str">
        <f>TEXT(EDATE(X_Cell_Site_StartDate,5), "mmmm")</f>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8"/>
        <v>t CH4</v>
      </c>
      <c r="AJ256" s="2"/>
    </row>
    <row r="257" spans="23:36" ht="20" customHeight="1" x14ac:dyDescent="0.25">
      <c r="W257" s="50" t="str">
        <f>'Input - Pasture Beef'!$D$152</f>
        <v>Pasture range and paddock</v>
      </c>
      <c r="X257" s="50" t="str">
        <f>TEXT(EDATE(X_Cell_Site_StartDate,6), "mmmm")</f>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8"/>
        <v>t CH4</v>
      </c>
      <c r="AJ257" s="2"/>
    </row>
    <row r="258" spans="23:36" ht="20" customHeight="1" x14ac:dyDescent="0.25">
      <c r="W258" s="50" t="str">
        <f>'Input - Pasture Beef'!$D$152</f>
        <v>Pasture range and paddock</v>
      </c>
      <c r="X258" s="50" t="str">
        <f>TEXT(EDATE(X_Cell_Site_StartDate,7), "mmmm")</f>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8"/>
        <v>t CH4</v>
      </c>
      <c r="AJ258" s="2"/>
    </row>
    <row r="259" spans="23:36" ht="20" customHeight="1" x14ac:dyDescent="0.25">
      <c r="W259" s="50" t="str">
        <f>'Input - Pasture Beef'!$D$152</f>
        <v>Pasture range and paddock</v>
      </c>
      <c r="X259" s="50" t="str">
        <f>TEXT(EDATE(X_Cell_Site_StartDate,8), "mmmm")</f>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8"/>
        <v>t CH4</v>
      </c>
      <c r="AJ259" s="2"/>
    </row>
    <row r="260" spans="23:36" ht="20" customHeight="1" x14ac:dyDescent="0.25">
      <c r="W260" s="50" t="str">
        <f>'Input - Pasture Beef'!$D$152</f>
        <v>Pasture range and paddock</v>
      </c>
      <c r="X260" s="50" t="str">
        <f>TEXT(EDATE(X_Cell_Site_StartDate,9), "mmmm")</f>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8"/>
        <v>t CH4</v>
      </c>
      <c r="AJ260" s="2"/>
    </row>
    <row r="261" spans="23:36" ht="20" customHeight="1" x14ac:dyDescent="0.25">
      <c r="W261" s="50" t="str">
        <f>'Input - Pasture Beef'!$D$152</f>
        <v>Pasture range and paddock</v>
      </c>
      <c r="X261" s="50" t="str">
        <f>TEXT(EDATE(X_Cell_Site_StartDate,10), "mmmm")</f>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8"/>
        <v>t CH4</v>
      </c>
      <c r="AJ261" s="2"/>
    </row>
    <row r="262" spans="23:36" ht="20" customHeight="1" x14ac:dyDescent="0.25">
      <c r="W262" s="50" t="str">
        <f>'Input - Pasture Beef'!$D$152</f>
        <v>Pasture range and paddock</v>
      </c>
      <c r="X262" s="50" t="str">
        <f>TEXT(EDATE(X_Cell_Site_StartDate,11), "mmmm")</f>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8"/>
        <v>t CH4</v>
      </c>
      <c r="AJ262" s="2"/>
    </row>
    <row r="263" spans="23:36" ht="20" customHeight="1" x14ac:dyDescent="0.25">
      <c r="W263" s="50" t="str">
        <f>'Input - Pasture Beef'!$D$153</f>
        <v>Anaerobic lagoon</v>
      </c>
      <c r="X263" s="50" t="str">
        <f>TEXT(X_Cell_Site_StartDate,"mmmm")</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8"/>
        <v>t CH4</v>
      </c>
      <c r="AJ263" s="2"/>
    </row>
    <row r="264" spans="23:36" ht="20" customHeight="1" x14ac:dyDescent="0.25">
      <c r="W264" s="50" t="str">
        <f>'Input - Pasture Beef'!$D$153</f>
        <v>Anaerobic lagoon</v>
      </c>
      <c r="X264" s="50" t="str">
        <f>TEXT(EDATE(X_Cell_Site_StartDate,1), "mmmm")</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8"/>
        <v>t CH4</v>
      </c>
      <c r="AJ264" s="2"/>
    </row>
    <row r="265" spans="23:36" ht="20" customHeight="1" x14ac:dyDescent="0.25">
      <c r="W265" s="50" t="str">
        <f>'Input - Pasture Beef'!$D$153</f>
        <v>Anaerobic lagoon</v>
      </c>
      <c r="X265" s="50" t="str">
        <f>TEXT(EDATE(X_Cell_Site_StartDate,2), "mmmm")</f>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8"/>
        <v>t CH4</v>
      </c>
      <c r="AJ265" s="2"/>
    </row>
    <row r="266" spans="23:36" ht="20" customHeight="1" x14ac:dyDescent="0.25">
      <c r="W266" s="50" t="str">
        <f>'Input - Pasture Beef'!$D$153</f>
        <v>Anaerobic lagoon</v>
      </c>
      <c r="X266" s="50" t="str">
        <f>TEXT(EDATE(X_Cell_Site_StartDate,3), "mmmm")</f>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8"/>
        <v>t CH4</v>
      </c>
      <c r="AJ266" s="2"/>
    </row>
    <row r="267" spans="23:36" ht="20" customHeight="1" x14ac:dyDescent="0.25">
      <c r="W267" s="50" t="str">
        <f>'Input - Pasture Beef'!$D$153</f>
        <v>Anaerobic lagoon</v>
      </c>
      <c r="X267" s="50" t="str">
        <f>TEXT(EDATE(X_Cell_Site_StartDate,4), "mmmm")</f>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8"/>
        <v>t CH4</v>
      </c>
      <c r="AJ267" s="2"/>
    </row>
    <row r="268" spans="23:36" ht="20" customHeight="1" x14ac:dyDescent="0.25">
      <c r="W268" s="50" t="str">
        <f>'Input - Pasture Beef'!$D$153</f>
        <v>Anaerobic lagoon</v>
      </c>
      <c r="X268" s="50" t="str">
        <f>TEXT(EDATE(X_Cell_Site_StartDate,5), "mmmm")</f>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8"/>
        <v>t CH4</v>
      </c>
      <c r="AJ268" s="2"/>
    </row>
    <row r="269" spans="23:36" ht="20" customHeight="1" x14ac:dyDescent="0.25">
      <c r="W269" s="50" t="str">
        <f>'Input - Pasture Beef'!$D$153</f>
        <v>Anaerobic lagoon</v>
      </c>
      <c r="X269" s="50" t="str">
        <f>TEXT(EDATE(X_Cell_Site_StartDate,6), "mmmm")</f>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8"/>
        <v>t CH4</v>
      </c>
      <c r="AJ269" s="2"/>
    </row>
    <row r="270" spans="23:36" ht="20" customHeight="1" x14ac:dyDescent="0.25">
      <c r="W270" s="50" t="str">
        <f>'Input - Pasture Beef'!$D$153</f>
        <v>Anaerobic lagoon</v>
      </c>
      <c r="X270" s="50" t="str">
        <f>TEXT(EDATE(X_Cell_Site_StartDate,7), "mmmm")</f>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8"/>
        <v>t CH4</v>
      </c>
      <c r="AJ270" s="2"/>
    </row>
    <row r="271" spans="23:36" ht="20" customHeight="1" x14ac:dyDescent="0.25">
      <c r="W271" s="50" t="str">
        <f>'Input - Pasture Beef'!$D$153</f>
        <v>Anaerobic lagoon</v>
      </c>
      <c r="X271" s="50" t="str">
        <f>TEXT(EDATE(X_Cell_Site_StartDate,8), "mmmm")</f>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8"/>
        <v>t CH4</v>
      </c>
      <c r="AJ271" s="2"/>
    </row>
    <row r="272" spans="23:36" x14ac:dyDescent="0.25" ht="20" customHeight="1">
      <c r="W272" s="50" t="str">
        <f>'Input - Pasture Beef'!$D$153</f>
        <v>Anaerobic lagoon</v>
      </c>
      <c r="X272" s="50" t="str">
        <f>TEXT(EDATE(X_Cell_Site_StartDate,9), "mmmm")</f>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8"/>
        <v>t CH4</v>
      </c>
      <c r="AJ272" s="2"/>
    </row>
    <row r="273" spans="23:36" x14ac:dyDescent="0.25" ht="20" customHeight="1">
      <c r="W273" s="50" t="str">
        <f>'Input - Pasture Beef'!$D$153</f>
        <v>Anaerobic lagoon</v>
      </c>
      <c r="X273" s="50" t="str">
        <f>TEXT(EDATE(X_Cell_Site_StartDate,10), "mmmm")</f>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8"/>
        <v>t CH4</v>
      </c>
      <c r="AJ273" s="2"/>
    </row>
    <row r="274" spans="23:36" x14ac:dyDescent="0.25" ht="20" customHeight="1">
      <c r="W274" s="50" t="str">
        <f>'Input - Pasture Beef'!$D$153</f>
        <v>Anaerobic lagoon</v>
      </c>
      <c r="X274" s="50" t="str">
        <f>TEXT(EDATE(X_Cell_Site_StartDate,11), "mmmm")</f>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8"/>
        <v>t CH4</v>
      </c>
      <c r="AJ274" s="2"/>
    </row>
    <row r="276" spans="23:36" ht="20" x14ac:dyDescent="0.25" customHeight="1">
      <c r="W276" s="95" t="s">
        <v>295</v>
      </c>
      <c r="X276" s="96">
        <f ca="1">SUM(Y251:AH274)</f>
        <v>0.89029635334910784</v>
      </c>
      <c r="Y276" s="97">
        <f ca="1">X242</f>
        <v>31</v>
      </c>
    </row>
    <row r="278" spans="23:36" x14ac:dyDescent="0.25" ht="20" customHeight="1">
      <c r="W278" s="55" t="str" cm="1">
        <f t="array" ref="W278:X279">Common_Equations.Common_ConvertCH4ToCO2e_Arguments()</f>
        <v>ECH4</v>
      </c>
      <c r="X278" s="56" t="str">
        <v>Methane emissions (t CH4)</v>
      </c>
      <c r="Y278" s="98"/>
      <c r="Z278" s="50">
        <f ca="1">VEERG_4_2_1_1__1_TotalAnnualMethaneProductionFromManureManagement_Result_Method2</f>
        <v>0.89029635334910784</v>
      </c>
    </row>
    <row r="279" spans="23:36" x14ac:dyDescent="0.25" ht="20" customHeight="1">
      <c r="W279" s="55" t="str">
        <v>GWPCH4</v>
      </c>
      <c r="X279" s="56" t="str">
        <v>Global warming potential for methane (t CO2-e / t CH4)</v>
      </c>
      <c r="Y279" s="98"/>
      <c r="Z279" s="50">
        <f>Common_InputFunctions.Utility_LookupValueInTableNumber("CH4",Table_GWPData[Gas],Table_GWPData[CO2-e factor])</f>
        <v>28</v>
      </c>
    </row>
    <row r="281" spans="23:36" ht="20" x14ac:dyDescent="0.25" customHeight="1">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AI291"/>
  <sheetViews>
    <sheetView showGridLines="0" zoomScaleNormal="100" workbookViewId="0">
      <selection activeCell="A15" sqref="A15"/>
    </sheetView>
  </sheetViews>
  <sheetFormatPr defaultRowHeight="20" x14ac:dyDescent="0.25" customHeight="1"/>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 customHeight="1" x14ac:dyDescent="0.25">
      <c r="A2"/>
    </row>
    <row r="3" spans="1:35" ht="20"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 customHeight="1" x14ac:dyDescent="0.25">
      <c r="A4" s="17" t="str">
        <f>HYPERLINK("#'Results'!A1", "Results")</f>
        <v>Results</v>
      </c>
    </row>
    <row r="5" spans="1:35" ht="20" customHeight="1" x14ac:dyDescent="0.25">
      <c r="D5" s="6" t="str" cm="1">
        <f t="array" ref="D5">MMS_PastureBeef_Soil_N2ODirect_Equations.VEERG_4_2_1_3__7_RelativeSize_Title()</f>
        <v>Relative size of the cattle</v>
      </c>
    </row>
    <row r="6" spans="1:35" ht="20" customHeight="1" x14ac:dyDescent="0.25">
      <c r="D6" s="5" t="str" cm="1">
        <f t="array" ref="D6">MMS_PastureBeef_Soil_N2ODirect_Equations.VEERG_4_2_1_3__7_RelativeSize_Source()</f>
        <v>VEERG 2026: 4.2.1.3, Equation (7)</v>
      </c>
    </row>
    <row r="7" spans="1:35" ht="20" customHeight="1" x14ac:dyDescent="0.25">
      <c r="A7" s="19" t="s">
        <v>0</v>
      </c>
      <c r="D7" s="13" t="s">
        <v>24</v>
      </c>
      <c r="E7" s="13" t="str" cm="1">
        <f t="array" aca="1" ref="E7" ca="1">Common_InputFunctions.Utility_DisplayFunctionName(E33)</f>
        <v>=MMS_PastureBeef_Soil_N2ODirect_Equations.VEERG_4_2_1_3__7_RelativeSize</v>
      </c>
    </row>
    <row r="8" spans="1:35" ht="20" customHeight="1" x14ac:dyDescent="0.25">
      <c r="A8" s="17" t="str">
        <f>HYPERLINK("#'Input - Site'!A1", "Site")</f>
        <v>Site</v>
      </c>
    </row>
    <row r="9" spans="1:35" ht="20" customHeight="1" x14ac:dyDescent="0.25">
      <c r="A9" s="17" t="str">
        <f>HYPERLINK("#'Input - Pasture Beef'!A1", "Pasture Beef")</f>
        <v>Pasture Beef</v>
      </c>
    </row>
    <row r="10" spans="1:35" ht="20" customHeight="1" x14ac:dyDescent="0.25">
      <c r="D10" s="51" t="s">
        <v>27</v>
      </c>
      <c r="E10" s="1" t="str" cm="1">
        <f t="array" ref="E10">MMS_PastureBeef_Soil_N2ODirect_Equations.VEERG_4_2_1_3__7_RelativeSize_Variable()</f>
        <v>Z_jkl</v>
      </c>
    </row>
    <row r="11" spans="1:35" ht="20" customHeight="1" x14ac:dyDescent="0.25">
      <c r="D11" s="51" t="s">
        <v>17</v>
      </c>
      <c r="E11" s="52" t="str" cm="1">
        <f t="array" ref="E11">MMS_PastureBeef_Soil_N2ODirect_Equations.VEERG_4_2_1_3__7_RelativeSize_Unit()</f>
        <v>ratio</v>
      </c>
    </row>
    <row r="12" spans="1:35" ht="20" customHeight="1" x14ac:dyDescent="0.25">
      <c r="A12" s="18" t="s">
        <v>72</v>
      </c>
    </row>
    <row r="13" spans="1:35" ht="20"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 customHeight="1" x14ac:dyDescent="0.25">
      <c r="A14" s="127"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 customHeight="1" x14ac:dyDescent="0.25">
      <c r="A16" s="17" t="str">
        <f>HYPERLINK("#'4.2.1.7-8 Soil leach runoff'!A1", "4.2.1.7-8 Soil leach runoff")</f>
        <v>4.2.1.7-8 Soil leach runoff</v>
      </c>
    </row>
    <row r="17" spans="1:34" ht="20" customHeight="1" x14ac:dyDescent="0.25">
      <c r="D17" s="94" t="s">
        <v>279</v>
      </c>
      <c r="U17" s="94" t="s">
        <v>248</v>
      </c>
    </row>
    <row r="18" spans="1:34" ht="20" customHeight="1" x14ac:dyDescent="0.25">
      <c r="D18" s="93" t="s">
        <v>238</v>
      </c>
      <c r="U18" s="93" t="s">
        <v>249</v>
      </c>
    </row>
    <row r="19" spans="1:34" ht="20" customHeight="1" x14ac:dyDescent="0.25">
      <c r="A19" s="125"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 customHeight="1" x14ac:dyDescent="0.25">
      <c r="T50" s="43"/>
      <c r="U50" s="43"/>
      <c r="V50" s="43"/>
      <c r="W50" s="43"/>
      <c r="X50" s="43"/>
      <c r="Y50" s="43"/>
      <c r="Z50" s="43"/>
      <c r="AA50" s="43"/>
      <c r="AB50" s="43"/>
      <c r="AC50" s="43"/>
      <c r="AD50" s="43"/>
      <c r="AE50" s="43"/>
      <c r="AF50" s="43"/>
      <c r="AG50" s="43"/>
      <c r="AH50" s="43"/>
      <c r="AI50" s="43"/>
    </row>
    <row r="51" spans="4:35" ht="20" customHeight="1" x14ac:dyDescent="0.25">
      <c r="D51" s="94" t="s">
        <v>239</v>
      </c>
      <c r="U51" s="6" t="str" cm="1">
        <f t="array" ref="U51">MMS_PastureBeef_Soil_N2ODirect_Equations.VEERG_4_2_1_3__6_IntakeRelativeToMaintenance_Title()</f>
        <v>Intake relative to that needed for maintenance</v>
      </c>
    </row>
    <row r="52" spans="4:35" ht="20" customHeight="1" x14ac:dyDescent="0.25">
      <c r="D52" s="93" t="s">
        <v>138</v>
      </c>
    </row>
    <row r="53" spans="4:35" ht="20"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 customHeight="1" x14ac:dyDescent="0.25">
      <c r="C68" s="43"/>
      <c r="D68" s="43"/>
      <c r="E68" s="43"/>
      <c r="F68" s="43"/>
      <c r="G68" s="43"/>
      <c r="H68" s="43"/>
      <c r="I68" s="43"/>
      <c r="J68" s="43"/>
      <c r="K68" s="43"/>
      <c r="L68" s="43"/>
      <c r="M68" s="43"/>
      <c r="N68" s="43"/>
      <c r="O68" s="43"/>
      <c r="P68" s="43"/>
      <c r="Q68" s="43"/>
      <c r="R68" s="43"/>
    </row>
    <row r="69" spans="3:34" ht="20"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 customHeight="1" x14ac:dyDescent="0.25">
      <c r="D70" s="5" t="str" cm="1">
        <f t="array" ref="D70">MMS_PastureBeef_Soil_N2ODirect_Equations.VEERG_4_2_1_3__5_MilkProductionForCalvingSeason_Source()</f>
        <v>VEERG 2026: 4.2.1.3, Equation (5)</v>
      </c>
      <c r="U70" s="93" t="s">
        <v>145</v>
      </c>
    </row>
    <row r="71" spans="3:34" ht="20"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 customHeight="1" x14ac:dyDescent="0.25">
      <c r="D84" s="94" t="s">
        <v>224</v>
      </c>
    </row>
    <row r="85" spans="4:35" ht="20" customHeight="1" x14ac:dyDescent="0.25">
      <c r="D85" s="93" t="s">
        <v>247</v>
      </c>
    </row>
    <row r="86" spans="4:35" ht="20"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 customHeight="1" x14ac:dyDescent="0.25">
      <c r="D87" s="50" t="str">
        <f>'Input - Pasture Beef'!$E$162</f>
        <v>Winter</v>
      </c>
      <c r="E87" s="50">
        <f>'Input - Pasture Beef'!$F$168</f>
        <v>0.7</v>
      </c>
      <c r="F87" s="50">
        <f>'Input - Pasture Beef'!$G$168</f>
        <v>0.5</v>
      </c>
      <c r="G87" s="50">
        <f>'Input - Pasture Beef'!$H$168</f>
        <v>0.5</v>
      </c>
      <c r="H87" s="2" t="s">
        <v>94</v>
      </c>
      <c r="U87" s="6" t="str" cm="1">
        <f t="array" ref="U87">MMS_PastureBeef_Soil_N2ODirect_Equations.VEERG_4_2_1_3__5_MilkProductionForCalvingSeason_Title()</f>
        <v>Milk production for the season of calving and season after calving</v>
      </c>
    </row>
    <row r="88" spans="4:35" ht="20" customHeight="1" x14ac:dyDescent="0.25"/>
    <row r="89" spans="4:35" ht="20" customHeight="1" x14ac:dyDescent="0.25">
      <c r="U89" s="94" t="s">
        <v>243</v>
      </c>
    </row>
    <row r="90" spans="4:35" ht="20" customHeight="1" x14ac:dyDescent="0.25">
      <c r="U90" s="93" t="s">
        <v>244</v>
      </c>
    </row>
    <row r="91" spans="4:35" ht="20" customHeight="1" x14ac:dyDescent="0.25">
      <c r="U91" s="49" t="s">
        <v>126</v>
      </c>
      <c r="V91" s="118" t="s">
        <v>160</v>
      </c>
      <c r="W91" s="118" t="s">
        <v>161</v>
      </c>
      <c r="X91" s="118" t="s">
        <v>162</v>
      </c>
    </row>
    <row r="92" spans="4:35" ht="20" customHeight="1" x14ac:dyDescent="0.25">
      <c r="D92" s="94" t="s">
        <v>287</v>
      </c>
      <c r="U92" s="50" t="str">
        <f>TEXT(EDATE('Input - Pasture Beef'!$D$182,0), "mmmm") &amp; ", " &amp; TEXT(EDATE('Input - Pasture Beef'!$D$183,0), "mmmm") &amp; ", " &amp; TEXT(EDATE('Input - Pasture Beef'!$D$184,0), "mmmm")</f>
        <v>August, September, October</v>
      </c>
      <c r="V92" s="50">
        <f>'Input - Pasture Beef'!$E$185</f>
        <v>0.75</v>
      </c>
      <c r="W92" s="50">
        <f>'Input - Pasture Beef'!$F$185</f>
        <v>0.75</v>
      </c>
      <c r="X92" s="50">
        <f>'Input - Pasture Beef'!$G$185</f>
        <v>0.75</v>
      </c>
      <c r="Y92" s="2" t="s">
        <v>94</v>
      </c>
    </row>
    <row r="93" spans="4:35" ht="20" customHeight="1" x14ac:dyDescent="0.25">
      <c r="D93" s="93" t="s">
        <v>129</v>
      </c>
      <c r="U93" s="50" t="str">
        <f>TEXT(EDATE('Input - Pasture Beef'!$D$184,1), "mmmm") &amp; ", " &amp; TEXT(EDATE('Input - Pasture Beef'!$D$184,2), "mmmm") &amp; ", " &amp; TEXT(EDATE('Input - Pasture Beef'!$D$184,3), "mmmm")</f>
        <v>November, December, January</v>
      </c>
      <c r="Y93" s="2"/>
    </row>
    <row r="94" spans="4:35" ht="20"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 customHeight="1" x14ac:dyDescent="0.25">
      <c r="U115" s="6" t="str" cm="1">
        <f t="array" ref="U115">MMS_PastureBeef_Soil_N2ODirect_Equations.VEERG_4_2_1_3__4_NitrogenRetainedByBody_Title()</f>
        <v>Amount of nitrogen retained by the body</v>
      </c>
    </row>
    <row r="116" spans="4:35" ht="20" customHeight="1" x14ac:dyDescent="0.25">
      <c r="D116" s="94" t="s">
        <v>236</v>
      </c>
    </row>
    <row r="117" spans="4:35" ht="20" customHeight="1" x14ac:dyDescent="0.25">
      <c r="D117" s="93" t="s">
        <v>237</v>
      </c>
      <c r="U117" s="94" t="s">
        <v>250</v>
      </c>
    </row>
    <row r="118" spans="4:35" ht="20"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 customHeight="1" x14ac:dyDescent="0.25"/>
    <row r="133" spans="3:34" ht="20" customHeight="1" x14ac:dyDescent="0.25">
      <c r="C133" s="43"/>
      <c r="D133" s="43"/>
      <c r="E133" s="43"/>
      <c r="F133" s="43"/>
      <c r="G133" s="43"/>
      <c r="H133" s="43"/>
      <c r="I133" s="43"/>
      <c r="J133" s="43"/>
      <c r="K133" s="43"/>
      <c r="L133" s="43"/>
      <c r="M133" s="43"/>
      <c r="N133" s="43"/>
      <c r="O133" s="43"/>
      <c r="P133" s="43"/>
      <c r="Q133" s="43"/>
      <c r="R133" s="43"/>
      <c r="U133" s="94" t="s">
        <v>302</v>
      </c>
    </row>
    <row r="134" spans="3:34" ht="20" customHeight="1" x14ac:dyDescent="0.25">
      <c r="D134" s="6" t="str" cm="1">
        <f t="array" ref="D134">MMS_PastureBeef_Soil_N2ODirect_Equations.VEERG_4_2_1_3__3_NitrogenExcreted_Title()</f>
        <v>Nitrogen excreted</v>
      </c>
      <c r="U134" s="93" t="s">
        <v>303</v>
      </c>
    </row>
    <row r="135" spans="3:34" ht="20"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 customHeight="1" x14ac:dyDescent="0.25">
      <c r="D148" s="115" t="str">
        <v>s</v>
      </c>
      <c r="E148" s="120" t="str">
        <v>Calving season</v>
      </c>
      <c r="F148" s="119"/>
      <c r="G148" s="115" t="str">
        <v/>
      </c>
      <c r="H148" s="117" t="str">
        <v>Input</v>
      </c>
      <c r="I148" s="55" t="str">
        <f>'Input - Pasture Beef'!$E$162</f>
        <v>Winter</v>
      </c>
    </row>
    <row r="149" spans="4:35" ht="20" customHeight="1" x14ac:dyDescent="0.25"/>
    <row r="150" spans="4:35" ht="20"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 customHeight="1" x14ac:dyDescent="0.25">
      <c r="D151" s="93" t="s">
        <v>305</v>
      </c>
      <c r="U151" s="6" t="str" cm="1">
        <f t="array" ref="U151">MMS_PastureBeef_Soil_N2ODirect_Equations.VEERG_4_2_1_3__3_NitrogenExcreted_Title()</f>
        <v>Nitrogen excreted</v>
      </c>
    </row>
    <row r="152" spans="4:35" ht="20"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 customHeight="1" x14ac:dyDescent="0.25"/>
    <row r="158" spans="4:35" ht="20" customHeight="1" x14ac:dyDescent="0.25">
      <c r="D158" s="94" t="s">
        <v>290</v>
      </c>
    </row>
    <row r="159" spans="4:35" ht="20" customHeight="1" x14ac:dyDescent="0.25">
      <c r="D159" s="93" t="s">
        <v>307</v>
      </c>
    </row>
    <row r="160" spans="4:35" ht="20"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 customHeight="1" x14ac:dyDescent="0.25">
      <c r="D177" s="5" t="str" cm="1">
        <f t="array" ref="D177">MMS_PastureBeef_Soil_N2ODirect_Equations.VEERG_4_2_1_3__2_TotalNitrogenExcretedToPastureRangeAndPaddock_Source()</f>
        <v>VEERG 2026: 4.2.1.3, Equation (2)</v>
      </c>
      <c r="U177" s="94" t="s">
        <v>360</v>
      </c>
      <c r="AH177" s="2"/>
    </row>
    <row r="178" spans="4:34" ht="20"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 customHeight="1" x14ac:dyDescent="0.25">
      <c r="U211" s="6" t="str" cm="1">
        <f t="array" ref="U211">MMS_PastureBeef_Soil_N2ODirect_Equations.VEERG_4_2_1_3__2_TotalNitrogenExcretedToPastureRangeAndPaddock_Title()</f>
        <v>Total nitrogen excreted to pasture, range and paddock</v>
      </c>
    </row>
    <row r="212" spans="3:35" ht="20" customHeight="1" x14ac:dyDescent="0.25">
      <c r="D212" s="107" t="s">
        <v>294</v>
      </c>
      <c r="E212" s="43">
        <f ca="1">SUM(E207:N210)</f>
        <v>60490.349382369524</v>
      </c>
      <c r="F212" s="99" t="str">
        <f>E182</f>
        <v>kg N</v>
      </c>
    </row>
    <row r="213" spans="3:35" ht="20" customHeight="1" x14ac:dyDescent="0.25">
      <c r="U213" s="94" t="s">
        <v>273</v>
      </c>
    </row>
    <row r="214" spans="3:35" ht="20" customHeight="1" x14ac:dyDescent="0.25">
      <c r="U214" s="93" t="s">
        <v>274</v>
      </c>
    </row>
    <row r="215" spans="3:35" ht="20"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 customHeight="1" x14ac:dyDescent="0.25">
      <c r="D218" s="13" t="s">
        <v>24</v>
      </c>
      <c r="E218" s="13" t="str">
        <f ca="1">Common_InputFunctions.Utility_DisplayFunctionName(VEERG_4_2_1_3__1_DirectNitrousOxideEmissionsOnPasture_Result_Method1)</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 customHeight="1" x14ac:dyDescent="0.25"/>
    <row r="229" spans="4:34" ht="20" customHeight="1" x14ac:dyDescent="0.25">
      <c r="D229" s="95" t="s">
        <v>104</v>
      </c>
      <c r="E229" s="96">
        <f ca="1">MMS_PastureBeef_Soil_N2ODirect_Equations.VEERG_4_2_1_3__1_DirectNitrousOxideEmissionsOnPasture(VEERG_4_2_1_3__2_TotalNitrogenExcretedToPastureRangeAndPaddock_Result_Method1,$H$225,$H$226)</f>
        <v>0.19011252663030423</v>
      </c>
      <c r="F229" s="97" t="str">
        <f>$E$222</f>
        <v>t N2O</v>
      </c>
      <c r="U229" s="94" t="s">
        <v>143</v>
      </c>
    </row>
    <row r="230" spans="4:34" ht="20" customHeight="1" x14ac:dyDescent="0.25">
      <c r="U230" s="93" t="s">
        <v>275</v>
      </c>
    </row>
    <row r="231" spans="4:34" ht="20" customHeight="1" x14ac:dyDescent="0.25">
      <c r="D231" s="55" t="str" cm="1">
        <f t="array" ref="D231:E232">Common_Equations.Common_ConvertN2OToCO2e_Arguments()</f>
        <v>EN2O</v>
      </c>
      <c r="E231" s="56" t="str">
        <v>Nitrous oxide emissions (t N2O)</v>
      </c>
      <c r="F231" s="98"/>
      <c r="G231" s="50">
        <f ca="1">VEERG_4_2_1_3__1_DirectNitrousOxideEmissionsOnPasture_Result_Method1</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 customHeight="1" x14ac:dyDescent="0.25"/>
    <row r="245" spans="21:34" ht="20" customHeight="1" x14ac:dyDescent="0.25">
      <c r="U245" s="94" t="s">
        <v>311</v>
      </c>
    </row>
    <row r="246" spans="21:34" ht="20" customHeight="1" x14ac:dyDescent="0.25">
      <c r="U246" s="93" t="s">
        <v>312</v>
      </c>
    </row>
    <row r="247" spans="21:34" ht="20"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 customHeight="1" x14ac:dyDescent="0.25"/>
    <row r="261" spans="20:35" ht="20" customHeight="1" x14ac:dyDescent="0.25">
      <c r="U261" s="107" t="s">
        <v>294</v>
      </c>
      <c r="V261" s="43">
        <f ca="1">SUM(V248:AE259)</f>
        <v>58623.490314488175</v>
      </c>
      <c r="W261" s="52" t="str">
        <f>$E$182</f>
        <v>kg N</v>
      </c>
    </row>
    <row r="262" spans="20:35" ht="20" customHeight="1" x14ac:dyDescent="0.25"/>
    <row r="263" spans="20:35" ht="20" customHeight="1" x14ac:dyDescent="0.25"/>
    <row r="264" spans="20:35" ht="20" customHeight="1" x14ac:dyDescent="0.25">
      <c r="T264" s="43"/>
      <c r="U264" s="43"/>
      <c r="V264" s="43"/>
      <c r="W264" s="43"/>
      <c r="X264" s="43"/>
      <c r="Y264" s="43"/>
      <c r="Z264" s="43"/>
      <c r="AA264" s="43"/>
      <c r="AB264" s="43"/>
      <c r="AC264" s="43"/>
      <c r="AD264" s="43"/>
      <c r="AE264" s="43"/>
      <c r="AF264" s="43"/>
      <c r="AG264" s="43"/>
      <c r="AH264" s="43"/>
      <c r="AI264" s="43"/>
    </row>
    <row r="265" spans="20:35" ht="20"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 customHeight="1" x14ac:dyDescent="0.25"/>
    <row r="267" spans="20:35" ht="20" customHeight="1" x14ac:dyDescent="0.25">
      <c r="U267" s="95" t="s">
        <v>104</v>
      </c>
      <c r="V267" s="96">
        <f ca="1">MMS_PastureBeef_Soil_N2ODirect_Equations.VEERG_4_2_1_3__1_DirectNitrousOxideEmissionsOnPasture(VEERG_4_2_1_3__2_TotalNitrogenExcretedToPastureRangeAndPaddock_Result_Method2,$H$225,$H$226)</f>
        <v>0.18424525527410571</v>
      </c>
      <c r="W267" s="97" t="str">
        <f>$E$222</f>
        <v>t N2O</v>
      </c>
    </row>
    <row r="268" spans="20:35" ht="20" customHeight="1" x14ac:dyDescent="0.25"/>
    <row r="269" spans="20:35" ht="20" customHeight="1" x14ac:dyDescent="0.25">
      <c r="U269" s="55" t="str" cm="1">
        <f t="array" ref="U269:V270">Common_Equations.Common_ConvertN2OToCO2e_Arguments()</f>
        <v>EN2O</v>
      </c>
      <c r="V269" s="56" t="str">
        <v>Nitrous oxide emissions (t N2O)</v>
      </c>
      <c r="W269" s="98"/>
      <c r="X269" s="50">
        <f ca="1">VEERG_4_2_1_3__1_DirectNitrousOxideEmissionsOnPasture_Result_Method2</f>
        <v>0.18424525527410571</v>
      </c>
    </row>
    <row r="270" spans="20:35" ht="20"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 customHeight="1" x14ac:dyDescent="0.25"/>
    <row r="272" spans="20:35" ht="20" customHeight="1" x14ac:dyDescent="0.25">
      <c r="U272" s="43" t="s">
        <v>98</v>
      </c>
      <c r="V272" s="43" cm="1">
        <f t="array" aca="1" ref="V272" ca="1">Common_Equations.Common_ConvertN2OToCO2e(X269,X270)</f>
        <v>48.824992647638012</v>
      </c>
      <c r="W272" s="99" t="str" cm="1">
        <f t="array" ref="W272">Common_Equations.Common_ConvertN2OToCO2e_Unit()</f>
        <v>t CO2e</v>
      </c>
    </row>
    <row r="273" ht="20" customHeight="1" x14ac:dyDescent="0.25"/>
    <row r="274" ht="20" customHeight="1" x14ac:dyDescent="0.25"/>
    <row r="275" ht="20" customHeight="1" x14ac:dyDescent="0.25"/>
    <row r="276" ht="20" customHeight="1" x14ac:dyDescent="0.25"/>
    <row r="277" ht="20" customHeight="1" x14ac:dyDescent="0.25"/>
    <row r="278" ht="20" customHeight="1" x14ac:dyDescent="0.25"/>
    <row r="279" ht="20" customHeight="1" x14ac:dyDescent="0.25"/>
    <row r="280" ht="20" customHeight="1" x14ac:dyDescent="0.25"/>
    <row r="281" ht="20" customHeight="1" x14ac:dyDescent="0.25"/>
    <row r="282" ht="20" customHeight="1" x14ac:dyDescent="0.25"/>
    <row r="283" ht="20" customHeight="1" x14ac:dyDescent="0.25"/>
    <row r="284" ht="20" customHeight="1" x14ac:dyDescent="0.25"/>
    <row r="285" ht="20" customHeight="1" x14ac:dyDescent="0.25"/>
    <row r="286" ht="20" customHeight="1" x14ac:dyDescent="0.25"/>
    <row r="287" ht="20" customHeight="1" x14ac:dyDescent="0.25"/>
    <row r="288" ht="20" customHeight="1" x14ac:dyDescent="0.25"/>
    <row r="289" ht="20" customHeight="1" x14ac:dyDescent="0.25"/>
    <row r="290" ht="20" customHeight="1" x14ac:dyDescent="0.25"/>
    <row r="291" ht="20"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V165"/>
  <sheetViews>
    <sheetView showGridLines="0" zoomScaleNormal="100" workbookViewId="0">
      <selection activeCell="A16" sqref="A16"/>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 customHeight="1" x14ac:dyDescent="0.25">
      <c r="A2"/>
    </row>
    <row r="3" spans="1:22" ht="20"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 customHeight="1" x14ac:dyDescent="0.25">
      <c r="A4" s="17" t="str">
        <f>HYPERLINK("#'Results'!A1", "Results")</f>
        <v>Results</v>
      </c>
    </row>
    <row r="5" spans="1:22" ht="20" customHeight="1" x14ac:dyDescent="0.25">
      <c r="D5" s="6" t="str" cm="1">
        <f t="array" ref="D5">MMS_PastureBeef_Soil_AtmosphericDeposition_Equations.VEERG_4_2_1_5__2_MassOfNitrogenVolatilisedOnPasture_Title()</f>
        <v>Mass of nitrogen volatilised</v>
      </c>
    </row>
    <row r="6" spans="1:22" ht="20" customHeight="1" x14ac:dyDescent="0.25">
      <c r="D6" s="5" t="str" cm="1">
        <f t="array" ref="D6">MMS_PastureBeef_Soil_AtmosphericDeposition_Equations.VEERG_4_2_1_5__2_MassOfNitrogenVolatilisedOnPasture_Source()</f>
        <v>VEERG 2026: 4.2.1.5, Equation (2)</v>
      </c>
    </row>
    <row r="7" spans="1:22" ht="20"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 customHeight="1" x14ac:dyDescent="0.25">
      <c r="A8" s="17" t="str">
        <f>HYPERLINK("#'Input - Site'!A1", "Site")</f>
        <v>Site</v>
      </c>
    </row>
    <row r="9" spans="1:22" ht="20" customHeight="1" x14ac:dyDescent="0.25">
      <c r="A9" s="17" t="str">
        <f>HYPERLINK("#'Input - Pasture Beef'!A1", "Pasture Beef")</f>
        <v>Pasture Beef</v>
      </c>
    </row>
    <row r="10" spans="1:22" ht="20" customHeight="1" x14ac:dyDescent="0.25">
      <c r="D10" s="51" t="s">
        <v>27</v>
      </c>
      <c r="E10" s="1" t="str" cm="1">
        <f t="array" ref="E10">MMS_PastureBeef_Soil_AtmosphericDeposition_Equations.VEERG_4_2_1_5__2_MassOfNitrogenVolatilisedOnPasture_Variable()</f>
        <v>M_vol</v>
      </c>
    </row>
    <row r="11" spans="1:22" ht="20" customHeight="1" x14ac:dyDescent="0.25">
      <c r="D11" s="51" t="s">
        <v>17</v>
      </c>
      <c r="E11" s="52" t="str" cm="1">
        <f t="array" ref="E11">MMS_PastureBeef_Soil_AtmosphericDeposition_Equations.VEERG_4_2_1_5__2_MassOfNitrogenVolatilisedOnPasture_Unit()</f>
        <v>kg N</v>
      </c>
    </row>
    <row r="12" spans="1:22" ht="20" customHeight="1" x14ac:dyDescent="0.25">
      <c r="A12" s="18" t="s">
        <v>72</v>
      </c>
    </row>
    <row r="13" spans="1:22" ht="20"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 customHeight="1" x14ac:dyDescent="0.25">
      <c r="A15" s="127" t="str">
        <f>HYPERLINK("#'4.2.1.5-6 Soil Atmos Dep'!A1", "4.2.1.5-6 Soil Atmos Dep")</f>
        <v>4.2.1.5-6 Soil Atmos Dep</v>
      </c>
    </row>
    <row r="16" spans="1:22" ht="20"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 customHeight="1" x14ac:dyDescent="0.25">
      <c r="L17" s="54"/>
    </row>
    <row r="18" spans="1:22" ht="20" customHeight="1" x14ac:dyDescent="0.25">
      <c r="L18" s="54"/>
    </row>
    <row r="19" spans="1:22" ht="20" customHeight="1" x14ac:dyDescent="0.25">
      <c r="A19" s="125" t="s">
        <v>1</v>
      </c>
      <c r="C19" s="43"/>
      <c r="D19" s="43"/>
      <c r="E19" s="43"/>
      <c r="F19" s="43"/>
      <c r="G19" s="43"/>
      <c r="H19" s="43"/>
      <c r="I19" s="43"/>
      <c r="J19" s="43"/>
      <c r="K19" s="43"/>
      <c r="L19" s="54"/>
      <c r="M19" s="43"/>
      <c r="N19" s="43"/>
      <c r="O19" s="43"/>
      <c r="P19" s="43"/>
      <c r="Q19" s="43"/>
      <c r="R19" s="43"/>
      <c r="S19" s="43"/>
      <c r="T19" s="43"/>
      <c r="U19" s="43"/>
      <c r="V19" s="43"/>
    </row>
    <row r="20" spans="1:22" ht="20"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 customHeight="1" x14ac:dyDescent="0.25">
      <c r="A22" s="17" t="str">
        <f>HYPERLINK("#'Constants - Common Livestock'!A1", "Constants - Common Livestock")</f>
        <v>Constants - Common Livestock</v>
      </c>
      <c r="D22" s="13" t="s">
        <v>24</v>
      </c>
      <c r="E22" s="1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 customHeight="1" x14ac:dyDescent="0.25">
      <c r="A23" s="17" t="str">
        <f>HYPERLINK("#'Acknowledgements'!A1", "Acknowledgements")</f>
        <v>Acknowledgements</v>
      </c>
    </row>
    <row r="24" spans="1:22" ht="20" customHeight="1" x14ac:dyDescent="0.25">
      <c r="A24" s="17" t="str">
        <f>HYPERLINK("#'Tab template'!A1", "Tab template")</f>
        <v>Tab template</v>
      </c>
    </row>
    <row r="25" spans="1:22" ht="20" customHeight="1" x14ac:dyDescent="0.25">
      <c r="D25" s="51" t="s">
        <v>27</v>
      </c>
      <c r="E25" s="1" t="str" cm="1">
        <f t="array" ref="E25">MMS_PastureBeef_Soil_AtmosphericDeposition_Equations.VEERG_4_2_1_5__1_AtmosphericDepositionEmissionsFromUrineAndDungOnPasture_Variable()</f>
        <v>E_N2Oad</v>
      </c>
    </row>
    <row r="26" spans="1:22" ht="20" customHeight="1" x14ac:dyDescent="0.25">
      <c r="D26" s="51" t="s">
        <v>17</v>
      </c>
      <c r="E26" s="52" t="str" cm="1">
        <f t="array" ref="E26">MMS_PastureBeef_Soil_AtmosphericDeposition_Equations.VEERG_4_2_1_5__1_AtmosphericDepositionEmissionsFromUrineAndDungOnPasture_Unit()</f>
        <v>t N2O</v>
      </c>
    </row>
    <row r="27" spans="1:22" ht="20" customHeight="1" x14ac:dyDescent="0.25"/>
    <row r="28" spans="1:22" ht="20"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 customHeight="1" x14ac:dyDescent="0.25"/>
    <row r="35" spans="4:19" ht="20"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 customHeight="1" x14ac:dyDescent="0.25"/>
    <row r="37" spans="4:19" ht="20" customHeight="1" x14ac:dyDescent="0.25">
      <c r="D37" s="55" t="str" cm="1">
        <f t="array" ref="D37:E38">Common_Equations.Common_ConvertN2OToCO2e_Arguments()</f>
        <v>EN2O</v>
      </c>
      <c r="E37" s="56" t="str">
        <v>Nitrous oxide emissions (t N2O)</v>
      </c>
      <c r="F37" s="98"/>
      <c r="G37" s="50">
        <f ca="1">VEERG_4_2_1_5__1_AtmosphericDepositionEmissionsFromUrineAndDungOnPasture_Result_Method1</f>
        <v>0.11777471024747345</v>
      </c>
      <c r="N37" s="55" t="str" cm="1">
        <f t="array" ref="N37:O38">Common_Equations.Common_ConvertN2OToCO2e_Arguments()</f>
        <v>EN2O</v>
      </c>
      <c r="O37" s="56" t="str">
        <v>Nitrous oxide emissions (t N2O)</v>
      </c>
      <c r="P37" s="98"/>
      <c r="Q37" s="50">
        <f ca="1">VEERG_4_2_1_5__1_AtmosphericDepositionEmissionsFromUrineAndDungOnPasture_Result_Method2</f>
        <v>0.11413993564230847</v>
      </c>
    </row>
    <row r="38" spans="4:19" ht="20"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 customHeight="1" x14ac:dyDescent="0.25"/>
    <row r="40" spans="4:19" ht="20"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 customHeight="1" x14ac:dyDescent="0.25"/>
    <row r="42" spans="4:19" ht="20" customHeight="1" x14ac:dyDescent="0.25"/>
    <row r="43" spans="4:19" ht="20" customHeight="1" x14ac:dyDescent="0.25"/>
    <row r="44" spans="4:19" ht="20" customHeight="1" x14ac:dyDescent="0.25"/>
    <row r="45" spans="4:19" ht="20" customHeight="1" x14ac:dyDescent="0.25"/>
    <row r="46" spans="4:19" ht="20" customHeight="1" x14ac:dyDescent="0.25"/>
    <row r="47" spans="4:19" ht="20" customHeight="1" x14ac:dyDescent="0.25"/>
    <row r="48" spans="4:19"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S165"/>
  <sheetViews>
    <sheetView showGridLines="0" zoomScaleNormal="100" workbookViewId="0"/>
  </sheetViews>
  <sheetFormatPr defaultRowHeight="20" x14ac:dyDescent="0.25" customHeight="1"/>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 customHeight="1" x14ac:dyDescent="0.25">
      <c r="A2"/>
    </row>
    <row r="3" spans="1:19" ht="20" customHeight="1" x14ac:dyDescent="0.25">
      <c r="A3" s="17" t="str">
        <f>HYPERLINK("#'Home'!A1", "Home")</f>
        <v>Home</v>
      </c>
      <c r="C3" s="4"/>
      <c r="D3" s="4" t="s">
        <v>102</v>
      </c>
      <c r="E3" s="4"/>
      <c r="F3" s="4"/>
      <c r="G3" s="4"/>
      <c r="H3" s="4"/>
      <c r="I3" s="4"/>
      <c r="J3" s="4"/>
      <c r="L3" s="4"/>
      <c r="M3" s="4" t="s">
        <v>103</v>
      </c>
      <c r="N3" s="4"/>
      <c r="O3" s="4"/>
      <c r="P3" s="4"/>
      <c r="Q3" s="4"/>
      <c r="R3" s="4"/>
      <c r="S3" s="4"/>
    </row>
    <row r="4" spans="1:19" ht="20" customHeight="1" x14ac:dyDescent="0.25">
      <c r="A4" s="17" t="str">
        <f>HYPERLINK("#'Results'!A1", "Results")</f>
        <v>Results</v>
      </c>
    </row>
    <row r="5" spans="1:19" ht="20" customHeight="1" x14ac:dyDescent="0.25">
      <c r="D5" s="6" t="str" cm="1">
        <f t="array" ref="D5">MMS_PastureBeef_Soil_LeachingAndRunoff.VEERG_4_2_1_7__2_MassOfNitrogenLostToLeachingAndRunoffOnPasture_Title()</f>
        <v>Mass of nitrogen lost to leaching and runoff</v>
      </c>
    </row>
    <row r="6" spans="1:19" ht="20" customHeight="1" x14ac:dyDescent="0.25">
      <c r="D6" s="5" t="str" cm="1">
        <f t="array" ref="D6">MMS_PastureBeef_Soil_LeachingAndRunoff.VEERG_4_2_1_7__2_MassOfNitrogenLostToLeachingAndRunoffOnPasture_Source()</f>
        <v>VEERG 2026: 4.2.1.7, Equation (2)</v>
      </c>
    </row>
    <row r="7" spans="1:19" ht="20"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 customHeight="1" x14ac:dyDescent="0.25">
      <c r="A8" s="17" t="str">
        <f>HYPERLINK("#'Input - Site'!A1", "Site")</f>
        <v>Site</v>
      </c>
    </row>
    <row r="9" spans="1:19" ht="20" customHeight="1" x14ac:dyDescent="0.25">
      <c r="A9" s="17" t="str">
        <f>HYPERLINK("#'Input - Pasture Beef'!A1", "Pasture Beef")</f>
        <v>Pasture Beef</v>
      </c>
    </row>
    <row r="10" spans="1:19" ht="20" customHeight="1" x14ac:dyDescent="0.25">
      <c r="D10" s="51" t="s">
        <v>27</v>
      </c>
      <c r="E10" s="1" t="str" cm="1">
        <f t="array" ref="E10">MMS_PastureBeef_Soil_LeachingAndRunoff.VEERG_4_2_1_7__2_MassOfNitrogenLostToLeachingAndRunoffOnPasture_Variable()</f>
        <v>M_leach</v>
      </c>
    </row>
    <row r="11" spans="1:19" ht="20" customHeight="1" x14ac:dyDescent="0.25">
      <c r="D11" s="51" t="s">
        <v>17</v>
      </c>
      <c r="E11" s="52" t="str" cm="1">
        <f t="array" ref="E11">MMS_PastureBeef_Soil_LeachingAndRunoff.VEERG_4_2_1_7__2_MassOfNitrogenLostToLeachingAndRunoffOnPasture_Unit()</f>
        <v>kg N</v>
      </c>
    </row>
    <row r="12" spans="1:19" ht="20" customHeight="1" x14ac:dyDescent="0.25">
      <c r="A12" s="18" t="s">
        <v>72</v>
      </c>
    </row>
    <row r="13" spans="1:19" ht="20"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Common_InputFunctions.CommonCropping_GetFracWET(I16,I18,Table_SourceData_FracWET[Is in leaching zone],Table_SourceData_FracWET[FracWET],Table_SourceData_FracWETIrrigation[Irrigation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 customHeight="1" x14ac:dyDescent="0.25">
      <c r="A16" s="127"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 customHeight="1" x14ac:dyDescent="0.25">
      <c r="A19" s="125" t="s">
        <v>1</v>
      </c>
    </row>
    <row r="20" spans="1:19" ht="20"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 customHeight="1" x14ac:dyDescent="0.25">
      <c r="A21" s="17" t="str">
        <f>HYPERLINK("#'Constants - Common'!A1", "Constants - Common")</f>
        <v>Constants - Common</v>
      </c>
      <c r="K21" s="54"/>
    </row>
    <row r="22" spans="1:19" ht="20" customHeight="1" x14ac:dyDescent="0.25">
      <c r="A22" s="17" t="str">
        <f>HYPERLINK("#'Constants - Common Livestock'!A1", "Constants - Common Livestock")</f>
        <v>Constants - Common Livestock</v>
      </c>
      <c r="K22" s="54"/>
    </row>
    <row r="23" spans="1:19" ht="20"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 customHeight="1" x14ac:dyDescent="0.25">
      <c r="D25" s="5" t="str" cm="1">
        <f t="array" ref="D25">MMS_PastureBeef_Soil_LeachingAndRunoff.VEERG_4_2_1_7__1_LeachingAndRunoffEmissionsFromUrineAndDungOnPasture_Source()</f>
        <v>VEERG 2026: 4.2.1.7, Equation (1)</v>
      </c>
    </row>
    <row r="26" spans="1:19" ht="20" customHeight="1" x14ac:dyDescent="0.25">
      <c r="D26" s="13" t="s">
        <v>24</v>
      </c>
      <c r="E26" s="1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 customHeight="1" x14ac:dyDescent="0.25"/>
    <row r="28" spans="1:19" ht="20" customHeight="1" x14ac:dyDescent="0.25"/>
    <row r="29" spans="1:19" ht="20" customHeight="1" x14ac:dyDescent="0.25">
      <c r="D29" s="51" t="s">
        <v>27</v>
      </c>
      <c r="E29" s="1" t="str" cm="1">
        <f t="array" ref="E29">MMS_PastureBeef_Soil_LeachingAndRunoff.VEERG_4_2_1_7__1_LeachingAndRunoffEmissionsFromUrineAndDungOnPasture_Variable()</f>
        <v>E_N2Oleach</v>
      </c>
    </row>
    <row r="30" spans="1:19" ht="20" customHeight="1" x14ac:dyDescent="0.25">
      <c r="D30" s="51" t="s">
        <v>17</v>
      </c>
      <c r="E30" s="52" t="str" cm="1">
        <f t="array" ref="E30">MMS_PastureBeef_Soil_LeachingAndRunoff.VEERG_4_2_1_7__1_LeachingAndRunoffEmissionsFromUrineAndDungOnPasture_Unit()</f>
        <v>t N2O</v>
      </c>
    </row>
    <row r="31" spans="1:19" ht="20" customHeight="1" x14ac:dyDescent="0.25"/>
    <row r="32" spans="1:19" ht="20"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 customHeight="1" x14ac:dyDescent="0.25"/>
    <row r="36" spans="4:18" ht="20"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 customHeight="1" x14ac:dyDescent="0.25"/>
    <row r="38" spans="4:18" ht="20" customHeight="1" x14ac:dyDescent="0.25">
      <c r="D38" s="55" t="str" cm="1">
        <f t="array" ref="D38:E39">Common_Equations.Common_ConvertN2OToCO2e_Arguments()</f>
        <v>EN2O</v>
      </c>
      <c r="E38" s="56" t="str">
        <v>Nitrous oxide emissions (t N2O)</v>
      </c>
      <c r="F38" s="98"/>
      <c r="G38" s="50">
        <f ca="1">VEERG_4_2_1_7__1_LeachingAndRunoffEmissionsFromUrineAndDungOnPasture_Result_Method1</f>
        <v>0.2509485351520015</v>
      </c>
      <c r="M38" s="55" t="str" cm="1">
        <f t="array" ref="M38:N39">Common_Equations.Common_ConvertN2OToCO2e_Arguments()</f>
        <v>EN2O</v>
      </c>
      <c r="N38" s="56" t="str">
        <v>Nitrous oxide emissions (t N2O)</v>
      </c>
      <c r="O38" s="98"/>
      <c r="P38" s="50">
        <f ca="1">VEERG_4_2_1_7__1_LeachingAndRunoffEmissionsFromUrineAndDungOnPasture_Result_Method2</f>
        <v>0.24320373696181949</v>
      </c>
    </row>
    <row r="39" spans="4:18" ht="20"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 customHeight="1" x14ac:dyDescent="0.25"/>
    <row r="41" spans="4:18" ht="20"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 customHeight="1" x14ac:dyDescent="0.25"/>
    <row r="43" spans="4:18" ht="20" customHeight="1" x14ac:dyDescent="0.25"/>
    <row r="44" spans="4:18" ht="20" customHeight="1" x14ac:dyDescent="0.25"/>
    <row r="45" spans="4:18" ht="20" customHeight="1" x14ac:dyDescent="0.25"/>
    <row r="46" spans="4:18" ht="20" customHeight="1" x14ac:dyDescent="0.25"/>
    <row r="47" spans="4:18" ht="20" customHeight="1" x14ac:dyDescent="0.25"/>
    <row r="48" spans="4:1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483"/>
  <sheetViews>
    <sheetView showGridLines="0" topLeftCell="A360" zoomScaleNormal="100" workbookViewId="0">
      <selection activeCell="A22" sqref="A22"/>
    </sheetView>
  </sheetViews>
  <sheetFormatPr defaultRowHeight="20" x14ac:dyDescent="0.25" customHeight="1"/>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HYPERLINK("#'Results'!A1", "Results")</f>
        <v>Results</v>
      </c>
      <c r="M4" s="21"/>
    </row>
    <row r="5" spans="1:21" ht="20" customHeight="1" x14ac:dyDescent="0.25">
      <c r="D5" s="6" t="s">
        <v>315</v>
      </c>
      <c r="G5" s="6" t="s">
        <v>114</v>
      </c>
      <c r="M5" s="1" t="s">
        <v>200</v>
      </c>
      <c r="O5" s="1" t="s">
        <v>201</v>
      </c>
      <c r="Q5" s="1" t="s">
        <v>202</v>
      </c>
      <c r="S5" s="1" t="s">
        <v>213</v>
      </c>
    </row>
    <row r="6" spans="1:21" ht="20" customHeight="1" x14ac:dyDescent="0.25">
      <c r="M6" s="1"/>
    </row>
    <row r="7" spans="1:21" ht="20" customHeight="1" x14ac:dyDescent="0.25">
      <c r="A7" s="19" t="s">
        <v>0</v>
      </c>
      <c r="D7" s="36" t="s">
        <v>113</v>
      </c>
      <c r="G7" s="36" t="s">
        <v>112</v>
      </c>
      <c r="M7" t="s">
        <v>177</v>
      </c>
      <c r="O7" s="36" t="s">
        <v>177</v>
      </c>
      <c r="Q7" s="36" t="s">
        <v>177</v>
      </c>
      <c r="S7" s="36" t="s">
        <v>177</v>
      </c>
    </row>
    <row r="8" spans="1:21" ht="20" customHeight="1" x14ac:dyDescent="0.25">
      <c r="A8" s="17" t="str">
        <f>HYPERLINK("#'Input - Site'!A1", "Site")</f>
        <v>Site</v>
      </c>
      <c r="D8" s="36" t="str">
        <f>'Constants - Common'!$F$187</f>
        <v>Pasture</v>
      </c>
      <c r="G8" s="36" t="s">
        <v>115</v>
      </c>
      <c r="M8" s="36" t="s">
        <v>203</v>
      </c>
      <c r="O8" s="36" t="s">
        <v>205</v>
      </c>
      <c r="Q8" s="36" t="s">
        <v>208</v>
      </c>
      <c r="S8" s="36" t="s">
        <v>196</v>
      </c>
    </row>
    <row r="9" spans="1:21" ht="20" customHeight="1" x14ac:dyDescent="0.25">
      <c r="A9" s="17" t="str">
        <f>HYPERLINK("#'Input - Pasture Beef'!A1", "Pasture Beef")</f>
        <v>Pasture Beef</v>
      </c>
      <c r="D9" s="1" t="str">
        <f>'Constants - Common'!$F$188</f>
        <v>Crop</v>
      </c>
      <c r="G9" s="36" t="s">
        <v>116</v>
      </c>
      <c r="M9" s="36" t="s">
        <v>204</v>
      </c>
      <c r="O9" s="36" t="s">
        <v>206</v>
      </c>
      <c r="Q9" s="36" t="s">
        <v>209</v>
      </c>
    </row>
    <row r="10" spans="1:21" ht="20" customHeight="1" x14ac:dyDescent="0.25">
      <c r="G10" s="1" t="s">
        <v>117</v>
      </c>
      <c r="M10" s="36" t="s">
        <v>199</v>
      </c>
      <c r="O10" s="36" t="s">
        <v>207</v>
      </c>
      <c r="Q10" s="36" t="s">
        <v>210</v>
      </c>
      <c r="S10" s="1" t="s">
        <v>214</v>
      </c>
    </row>
    <row r="11" spans="1:21" ht="20" customHeight="1" x14ac:dyDescent="0.25">
      <c r="G11" s="1" t="s">
        <v>118</v>
      </c>
      <c r="M11" s="1"/>
      <c r="Q11" s="36" t="s">
        <v>211</v>
      </c>
    </row>
    <row r="12" spans="1:21" ht="20" customHeight="1" x14ac:dyDescent="0.25">
      <c r="A12" s="18" t="s">
        <v>72</v>
      </c>
      <c r="G12" s="1" t="s">
        <v>119</v>
      </c>
      <c r="M12" s="1"/>
      <c r="S12" s="36" t="s">
        <v>177</v>
      </c>
    </row>
    <row r="13" spans="1:21" ht="20" customHeight="1" x14ac:dyDescent="0.25">
      <c r="A13" s="17" t="str">
        <f>HYPERLINK("#'4.2.1.1-2 Methane'!A1", "4.2.1.1-2 Methane")</f>
        <v>4.2.1.1-2 Methane</v>
      </c>
      <c r="M13" s="1"/>
      <c r="S13" s="36" t="s">
        <v>196</v>
      </c>
    </row>
    <row r="14" spans="1:21" ht="20"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 customHeight="1" x14ac:dyDescent="0.25">
      <c r="D17" s="52" t="str" cm="1">
        <f t="array" ref="D17">SourceData_PastureBeef.SourceData_PastureBeef_Liveweight_Unit()</f>
        <v>kg</v>
      </c>
      <c r="M17" s="1"/>
      <c r="O17" s="1" t="s">
        <v>362</v>
      </c>
      <c r="S17" s="36" t="s">
        <v>177</v>
      </c>
    </row>
    <row r="18" spans="1:19" ht="20" customHeight="1" x14ac:dyDescent="0.25">
      <c r="D18" s="36" t="s">
        <v>5</v>
      </c>
      <c r="E18" s="36" t="s">
        <v>177</v>
      </c>
      <c r="F18" s="36" t="s">
        <v>178</v>
      </c>
      <c r="G18" s="36" t="s">
        <v>179</v>
      </c>
      <c r="H18" s="36" t="s">
        <v>180</v>
      </c>
      <c r="I18" s="36" t="s">
        <v>181</v>
      </c>
      <c r="J18" s="36" t="s">
        <v>182</v>
      </c>
      <c r="K18" s="36" t="s">
        <v>183</v>
      </c>
      <c r="L18" s="36" t="s">
        <v>184</v>
      </c>
      <c r="M18" s="36" t="s">
        <v>185</v>
      </c>
      <c r="O18" s="36" t="s">
        <v>363</v>
      </c>
      <c r="S18" s="36" t="s">
        <v>196</v>
      </c>
    </row>
    <row r="19" spans="1:19" ht="20" customHeight="1" x14ac:dyDescent="0.25">
      <c r="A19" s="125"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 customHeight="1" x14ac:dyDescent="0.25">
      <c r="A20" s="128"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366</v>
      </c>
    </row>
    <row r="32" spans="1:19" ht="20"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373</v>
      </c>
    </row>
    <row r="33" spans="4:16" ht="20"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365</v>
      </c>
      <c r="P38" s="36" t="s">
        <v>84</v>
      </c>
    </row>
    <row r="39" spans="4:16" ht="20"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374</v>
      </c>
      <c r="P39" s="36" t="s">
        <v>84</v>
      </c>
    </row>
    <row r="40" spans="4:16" ht="20"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364</v>
      </c>
      <c r="P40" s="36" t="s">
        <v>84</v>
      </c>
    </row>
    <row r="41" spans="4:16" ht="20"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375</v>
      </c>
      <c r="P41" s="36" t="s">
        <v>79</v>
      </c>
    </row>
    <row r="42" spans="4:16" ht="20"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376</v>
      </c>
      <c r="P42" s="36" t="s">
        <v>79</v>
      </c>
    </row>
    <row r="43" spans="4:16" ht="20"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377</v>
      </c>
      <c r="P43" s="36" t="s">
        <v>79</v>
      </c>
    </row>
    <row r="44" spans="4:16" ht="20"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378</v>
      </c>
      <c r="P44" s="36" t="s">
        <v>80</v>
      </c>
    </row>
    <row r="45" spans="4:16" ht="20"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379</v>
      </c>
      <c r="P45" s="36" t="s">
        <v>80</v>
      </c>
    </row>
    <row r="46" spans="4:16" ht="20"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380</v>
      </c>
      <c r="P46" s="36" t="s">
        <v>80</v>
      </c>
    </row>
    <row r="47" spans="4:16" ht="20" customHeight="1" x14ac:dyDescent="0.25">
      <c r="M47" s="1"/>
      <c r="O47" s="36" t="s">
        <v>381</v>
      </c>
      <c r="P47" s="36" t="s">
        <v>80</v>
      </c>
    </row>
    <row r="48" spans="4:16" ht="20" customHeight="1" x14ac:dyDescent="0.25">
      <c r="M48" s="1"/>
      <c r="O48" s="1" t="s">
        <v>354</v>
      </c>
      <c r="P48" s="1" t="s">
        <v>354</v>
      </c>
    </row>
    <row r="49" spans="4:16" ht="20" customHeight="1" x14ac:dyDescent="0.25">
      <c r="D49" s="6" t="str" cm="1">
        <f t="array" ref="D49">SourceData_PastureBeef.SourceData_PastureBeef_LiveweightNTQLD_Title()</f>
        <v>Beef pasture cattle - Liveweight (kg) (Wjkl) for NT and QLD</v>
      </c>
      <c r="M49" s="1"/>
    </row>
    <row r="50" spans="4:16" ht="20" customHeight="1" x14ac:dyDescent="0.25">
      <c r="D50" s="5" t="str" cm="1">
        <f t="array" ref="D50">SourceData_PastureBeef.SourceData_PastureBeef_LiveweightNTQLD_Source()</f>
        <v>VEERG 2026: Table A.1.2.2</v>
      </c>
      <c r="M50" s="1"/>
    </row>
    <row r="51" spans="4:16" ht="20" customHeight="1" x14ac:dyDescent="0.25">
      <c r="D51" s="1" t="str" cm="1">
        <f t="array" ref="D51">SourceData_PastureBeef.SourceData_PastureBeef_LiveweightNTQLD_Variable()</f>
        <v>Wjkl</v>
      </c>
      <c r="M51" s="1"/>
    </row>
    <row r="52" spans="4:16" ht="20" customHeight="1" x14ac:dyDescent="0.25">
      <c r="D52" s="52" t="str" cm="1">
        <f t="array" ref="D52">SourceData_PastureBeef.SourceData_PastureBeef_LiveweightNTQLD_Unit()</f>
        <v>kg</v>
      </c>
      <c r="M52" s="1"/>
    </row>
    <row r="53" spans="4:16" ht="20"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 customHeight="1" x14ac:dyDescent="0.25">
      <c r="M82" s="1"/>
    </row>
    <row r="83" spans="4:22" ht="20" customHeight="1" x14ac:dyDescent="0.25">
      <c r="M83" s="1"/>
    </row>
    <row r="84" spans="4:22" ht="20" customHeight="1" x14ac:dyDescent="0.25">
      <c r="D84" s="6" t="s">
        <v>195</v>
      </c>
      <c r="M84" s="1"/>
    </row>
    <row r="85" spans="4:22" ht="20"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 customHeight="1" x14ac:dyDescent="0.25">
      <c r="D150" s="6" t="str" cm="1">
        <f t="array" ref="D150">SourceData_PastureBeef.SourceData_PastureBeef_LiveweightGain_Title()</f>
        <v>Beef pasture cattle - Liveweight gain (kg) (LWGjkl)</v>
      </c>
      <c r="M150" s="1"/>
    </row>
    <row r="151" spans="4:16" ht="20" customHeight="1" x14ac:dyDescent="0.25">
      <c r="D151" s="5" t="str" cm="1">
        <f t="array" ref="D151">SourceData_PastureBeef.SourceData_PastureBeef_LiveweightGain_Source()</f>
        <v>VEERG 2026: Table A.1.2.3</v>
      </c>
      <c r="M151" s="1"/>
    </row>
    <row r="152" spans="4:16" ht="20" customHeight="1" x14ac:dyDescent="0.25">
      <c r="D152" s="1" t="str" cm="1">
        <f t="array" ref="D152">SourceData_PastureBeef.SourceData_PastureBeef_LiveweightGain_Variable()</f>
        <v>LWGjkl</v>
      </c>
      <c r="M152" s="1"/>
    </row>
    <row r="153" spans="4:16" ht="20" customHeight="1" x14ac:dyDescent="0.25">
      <c r="D153" s="52" t="str" cm="1">
        <f t="array" ref="D153">SourceData_PastureBeef.SourceData_PastureBeef_LiveweightGain_Unit()</f>
        <v>kg</v>
      </c>
      <c r="M153" s="1"/>
    </row>
    <row r="154" spans="4:16" ht="20"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ht="20" customHeight="1">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ht="20" customHeight="1">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ht="20" customHeight="1">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ht="20" customHeight="1">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ht="20" customHeight="1">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ht="20" customHeight="1">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ht="20" customHeight="1">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ht="20" customHeight="1">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ht="20" customHeight="1">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ht="20" customHeight="1">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ht="20" customHeight="1">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ht="20" customHeight="1">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ht="20" customHeight="1">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ht="20" customHeight="1">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ht="20" customHeight="1">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ht="20" customHeight="1">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ht="20" customHeight="1">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ht="20" customHeight="1">
      <c r="M183" s="1"/>
    </row>
    <row r="184" spans="4:16" x14ac:dyDescent="0.25" ht="20" customHeight="1">
      <c r="M184" s="1"/>
    </row>
    <row r="185" spans="4:16" ht="20" x14ac:dyDescent="0.25" customHeight="1">
      <c r="D185" s="6" t="str" cm="1">
        <f t="array" ref="D185">SourceData_PastureBeef.SourceData_PastureBeef_LiveweightGainNTQLD_Title()</f>
        <v>Beef pasture cattle - Liveweight gain (kg) (LWGjkl) for NT and QLD</v>
      </c>
      <c r="M185" s="1"/>
    </row>
    <row r="186" spans="4:16" x14ac:dyDescent="0.25" ht="20" customHeight="1">
      <c r="D186" s="5" t="str" cm="1">
        <f t="array" ref="D186">SourceData_PastureBeef.SourceData_PastureBeef_LiveweightGainNTQLD_Source()</f>
        <v>VEERG 2026: Table A.1.2.4</v>
      </c>
      <c r="M186" s="1"/>
    </row>
    <row r="187" spans="4:16" x14ac:dyDescent="0.25" ht="20" customHeight="1">
      <c r="D187" s="1" t="str" cm="1">
        <f t="array" ref="D187">SourceData_PastureBeef.SourceData_PastureBeef_LiveweightGainNTQLD_Variable()</f>
        <v>LWGjkl</v>
      </c>
      <c r="M187" s="1"/>
    </row>
    <row r="188" spans="4:16" x14ac:dyDescent="0.25" ht="20" customHeight="1">
      <c r="D188" s="52" t="str" cm="1">
        <f t="array" ref="D188">SourceData_PastureBeef.SourceData_PastureBeef_LiveweightGainNTQLD_Unit()</f>
        <v>kg</v>
      </c>
      <c r="M188" s="1"/>
    </row>
    <row r="189" spans="4:16" x14ac:dyDescent="0.25" ht="20" customHeight="1">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ht="20" customHeight="1">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ht="20" customHeight="1">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ht="20" customHeight="1">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ht="20" customHeight="1">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ht="20" customHeight="1">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ht="20" customHeight="1">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ht="20" customHeight="1">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ht="20" customHeight="1">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ht="20" customHeight="1">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ht="20" customHeight="1">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ht="20" customHeight="1">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ht="20" customHeight="1">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ht="20" customHeight="1">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ht="20" customHeight="1">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ht="20" customHeight="1">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ht="20" customHeight="1">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ht="20" customHeight="1">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ht="20" customHeight="1">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ht="20" customHeight="1">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ht="20" customHeight="1">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ht="20" customHeight="1">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ht="20" customHeight="1">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ht="20" customHeight="1">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ht="20" customHeight="1">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ht="20" customHeight="1">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ht="20" customHeight="1">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ht="20" customHeight="1">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ht="20" customHeight="1">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ht="20" customHeight="1">
      <c r="M218" s="1"/>
    </row>
    <row r="219" spans="4:16" x14ac:dyDescent="0.25" ht="20" customHeight="1">
      <c r="M219" s="1"/>
    </row>
    <row r="220" spans="4:16" ht="20" x14ac:dyDescent="0.25" customHeight="1">
      <c r="D220" s="6" t="s">
        <v>195</v>
      </c>
      <c r="M220" s="1"/>
    </row>
    <row r="221" spans="4:16" x14ac:dyDescent="0.25" ht="20" customHeight="1">
      <c r="M221" s="1"/>
    </row>
    <row r="222" spans="4:16" x14ac:dyDescent="0.25" ht="20" customHeight="1">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ht="20" customHeight="1">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ht="20" customHeight="1">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ht="20" customHeight="1">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ht="20" customHeight="1">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ht="20" customHeight="1">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ht="20" customHeight="1">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ht="20" customHeight="1">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ht="20" customHeight="1">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ht="20" customHeight="1">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ht="20" customHeight="1">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ht="20" customHeight="1">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ht="20" customHeight="1">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ht="20" customHeight="1">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ht="20" customHeight="1">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ht="20" customHeight="1">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ht="20" customHeight="1">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ht="20" customHeight="1">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ht="20" customHeight="1">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ht="20" customHeight="1">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ht="20" customHeight="1">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ht="20" customHeight="1">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ht="20" customHeight="1">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ht="20" customHeight="1">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ht="20" customHeight="1">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ht="20" customHeight="1">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ht="20" customHeight="1">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ht="20" customHeight="1">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ht="20" customHeight="1">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ht="20" customHeight="1">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ht="20" customHeight="1">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ht="20" customHeight="1">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ht="20" customHeight="1">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ht="20" customHeight="1">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ht="20" customHeight="1">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ht="20" customHeight="1">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ht="20" customHeight="1">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ht="20" customHeight="1">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ht="20" customHeight="1">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ht="20" customHeight="1">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ht="20" customHeight="1">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ht="20" customHeight="1">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ht="20" customHeight="1">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ht="20" customHeight="1">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ht="20" customHeight="1">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ht="20" customHeight="1">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ht="20" customHeight="1">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ht="20" customHeight="1">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ht="20" customHeight="1">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ht="20" customHeight="1">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ht="20" customHeight="1">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ht="20" customHeight="1">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ht="20" customHeight="1">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ht="20" customHeight="1">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ht="20" customHeight="1">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ht="20" customHeight="1">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ht="20" customHeight="1">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ht="20" customHeight="1">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ht="20" customHeight="1">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ht="20" customHeight="1">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ht="20" customHeight="1">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ht="20" customHeight="1">
      <c r="M283" s="21"/>
    </row>
    <row r="284" spans="4:16" x14ac:dyDescent="0.25" ht="20" customHeight="1">
      <c r="M284" s="21"/>
    </row>
    <row r="285" spans="4:16" ht="20" x14ac:dyDescent="0.25" customHeight="1">
      <c r="D285" s="6" t="str" cm="1">
        <f t="array" ref="D285">SourceData_PastureBeef.SourceData_PastureBeef_DryMatterDigestibility_Title()</f>
        <v>Beef pasture cattle - Dry matter digestibility of feed intake (fraction) (DMDj)</v>
      </c>
      <c r="M285" s="21"/>
    </row>
    <row r="286" spans="4:16" x14ac:dyDescent="0.25" ht="20" customHeight="1">
      <c r="D286" s="5" t="str" cm="1">
        <f t="array" ref="D286">SourceData_PastureBeef.SourceData_PastureBeef_DryMatterDigestibility_Source()</f>
        <v>VEERG 2026: Table A.1.2.5</v>
      </c>
      <c r="M286" s="21"/>
    </row>
    <row r="287" spans="4:16" x14ac:dyDescent="0.25" ht="20" customHeight="1">
      <c r="D287" s="1" t="str" cm="1">
        <f t="array" ref="D287">SourceData_PastureBeef.SourceData_PastureBeef_DryMatterDigestibility_Variable()</f>
        <v>DMDj</v>
      </c>
      <c r="M287" s="21"/>
    </row>
    <row r="288" spans="4:16" x14ac:dyDescent="0.25" ht="20" customHeight="1">
      <c r="D288" s="52" t="str" cm="1">
        <f t="array" ref="D288">SourceData_PastureBeef.SourceData_PastureBeef_DryMatterDigestibility_Unit()</f>
        <v>fraction</v>
      </c>
      <c r="M288" s="21"/>
    </row>
    <row r="289" spans="4:13" x14ac:dyDescent="0.25" ht="20" customHeight="1">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ht="20" customHeight="1">
      <c r="D290" s="36" t="s">
        <v>5</v>
      </c>
      <c r="E290" s="36" t="s">
        <v>177</v>
      </c>
      <c r="F290" s="36" t="s">
        <v>167</v>
      </c>
      <c r="G290" s="36" t="s">
        <v>168</v>
      </c>
      <c r="H290" s="36" t="s">
        <v>169</v>
      </c>
      <c r="I290" s="36" t="s">
        <v>170</v>
      </c>
      <c r="M290" s="21"/>
    </row>
    <row r="291" spans="4:13" x14ac:dyDescent="0.25" ht="20" customHeight="1">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ht="20" customHeight="1">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ht="20" customHeight="1">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ht="20" customHeight="1">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ht="20" customHeight="1">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ht="20" customHeight="1">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ht="20" customHeight="1">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ht="20" customHeight="1">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ht="20" customHeight="1">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ht="20" customHeight="1">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ht="20" customHeight="1">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ht="20" customHeight="1">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ht="20" customHeight="1">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ht="20" customHeight="1">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ht="20" customHeight="1">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ht="20" customHeight="1">
      <c r="M306" s="21"/>
    </row>
    <row r="307" spans="4:13" x14ac:dyDescent="0.25" ht="20" customHeight="1">
      <c r="M307" s="21"/>
    </row>
    <row r="308" spans="4:13" ht="20" x14ac:dyDescent="0.25" customHeight="1">
      <c r="D308" s="6" t="str" cm="1">
        <f t="array" ref="D308">SourceData_PastureBeef.SourceData_PastureBeef_CrudeProteinContent_Title()</f>
        <v>Beef pasture cattle - Crude protein content of feed intake (fraction) (CPj)</v>
      </c>
      <c r="M308" s="21"/>
    </row>
    <row r="309" spans="4:13" x14ac:dyDescent="0.25" ht="20" customHeight="1">
      <c r="D309" s="5" t="str" cm="1">
        <f t="array" ref="D309">SourceData_PastureBeef.SourceData_PastureBeef_CrudeProteinContent_Source()</f>
        <v>VEERG 2026: Table A.1.2.6</v>
      </c>
      <c r="M309" s="21"/>
    </row>
    <row r="310" spans="4:13" x14ac:dyDescent="0.25" ht="20" customHeight="1">
      <c r="D310" s="1" t="str" cm="1">
        <f t="array" ref="D310">SourceData_PastureBeef.SourceData_PastureBeef_CrudeProteinContent_Variable()</f>
        <v>CPj</v>
      </c>
      <c r="M310" s="21"/>
    </row>
    <row r="311" spans="4:13" x14ac:dyDescent="0.25" ht="20" customHeight="1">
      <c r="D311" s="52" t="str" cm="1">
        <f t="array" ref="D311">SourceData_PastureBeef.SourceData_PastureBeef_CrudeProteinContent_Unit()</f>
        <v>fraction</v>
      </c>
      <c r="M311" s="21"/>
    </row>
    <row r="312" spans="4:13" x14ac:dyDescent="0.25" ht="20" customHeight="1">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ht="20" customHeight="1">
      <c r="D313" s="36" t="s">
        <v>5</v>
      </c>
      <c r="E313" s="36" t="s">
        <v>177</v>
      </c>
      <c r="F313" s="36" t="s">
        <v>167</v>
      </c>
      <c r="G313" s="36" t="s">
        <v>168</v>
      </c>
      <c r="H313" s="36" t="s">
        <v>169</v>
      </c>
      <c r="I313" s="36" t="s">
        <v>170</v>
      </c>
      <c r="M313" s="21"/>
    </row>
    <row r="314" spans="4:13" x14ac:dyDescent="0.25" ht="20" customHeight="1">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ht="20" customHeight="1">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ht="20" customHeight="1">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ht="20" customHeight="1">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ht="20" customHeight="1">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ht="20" customHeight="1">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ht="20" customHeight="1">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ht="20" customHeight="1">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ht="20" customHeight="1">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ht="20" customHeight="1">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ht="20" customHeight="1">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ht="20" customHeight="1">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ht="20" customHeight="1">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ht="20" customHeight="1">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ht="20" customHeight="1">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ht="20" customHeight="1">
      <c r="M329" s="1"/>
    </row>
    <row r="330" spans="4:13" x14ac:dyDescent="0.25" ht="20" customHeight="1">
      <c r="M330" s="1"/>
    </row>
    <row r="331" spans="4:13" ht="20" x14ac:dyDescent="0.25" customHeight="1">
      <c r="D331" s="6" t="str" cm="1">
        <f t="array" ref="D331">SourceData_PastureBeef.SourceData_PastureBeef_FeedAdjustmentAndMilkProduction_Title()</f>
        <v>Beef pasture cattle - Feed intake adjustment and milk production (kg/head/day)</v>
      </c>
      <c r="M331" s="1"/>
    </row>
    <row r="332" spans="4:13" x14ac:dyDescent="0.25" ht="20" customHeight="1">
      <c r="D332" s="5" t="str" cm="1">
        <f t="array" ref="D332">SourceData_PastureBeef.SourceData_PastureBeef_FeedAdjustmentAndMilkProduction_Source()</f>
        <v>VEERG 2026: Table A.1.2.7</v>
      </c>
      <c r="M332" s="1"/>
    </row>
    <row r="333" spans="4:13" x14ac:dyDescent="0.25" ht="20" customHeight="1">
      <c r="D333" s="1" t="str" cm="1">
        <f t="array" ref="D333">SourceData_PastureBeef.SourceData_PastureBeef_FeedAdjustmentAndMilkProduction_Variable()</f>
        <v>MCjk=1,3,6; DMPjk=5</v>
      </c>
      <c r="I333" s="53" t="s">
        <v>242</v>
      </c>
      <c r="M333" s="1"/>
    </row>
    <row r="334" spans="4:13" x14ac:dyDescent="0.25" ht="20" customHeight="1">
      <c r="D334" s="36" t="s">
        <v>123</v>
      </c>
      <c r="E334" s="36" t="s">
        <v>178</v>
      </c>
      <c r="F334" s="36" t="s">
        <v>226</v>
      </c>
      <c r="G334" s="36" t="s">
        <v>227</v>
      </c>
      <c r="I334" s="36" t="s">
        <v>123</v>
      </c>
      <c r="J334" s="36" t="s">
        <v>178</v>
      </c>
      <c r="K334" s="36" t="s">
        <v>226</v>
      </c>
      <c r="L334" s="36" t="s">
        <v>227</v>
      </c>
      <c r="M334" s="1"/>
    </row>
    <row r="335" spans="4:13" x14ac:dyDescent="0.25" ht="20" customHeight="1">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ht="20" customHeight="1">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ht="20" customHeight="1">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ht="20" customHeight="1">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ht="20" customHeight="1">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ht="20" customHeight="1">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ht="20" customHeight="1">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ht="20" customHeight="1">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ht="20" customHeight="1">
      <c r="M343" s="1"/>
    </row>
    <row r="344" spans="4:13" x14ac:dyDescent="0.25" ht="20" customHeight="1">
      <c r="M344" s="1"/>
    </row>
    <row r="345" spans="4:13" ht="20" x14ac:dyDescent="0.25" customHeight="1">
      <c r="D345" s="6" t="str" cm="1">
        <f t="array" ref="D345">SourceData_PastureBeef.SourceData_PastureBeef_StandardReferenceWeights_Title()</f>
        <v>Beef pasture cattle - Standard reference weights (kg) (SRWk)</v>
      </c>
      <c r="M345" s="1"/>
    </row>
    <row r="346" spans="4:13" x14ac:dyDescent="0.25" ht="20" customHeight="1">
      <c r="D346" s="5" t="str" cm="1">
        <f t="array" ref="D346">SourceData_PastureBeef.SourceData_PastureBeef_StandardReferenceWeights_Source()</f>
        <v>VEERG 2026: Table A.1.2.8</v>
      </c>
      <c r="M346" s="1"/>
    </row>
    <row r="347" spans="4:13" x14ac:dyDescent="0.25" ht="20" customHeight="1">
      <c r="D347" s="1" t="str" cm="1">
        <f t="array" ref="D347">SourceData_PastureBeef.SourceData_PastureBeef_StandardReferenceWeights_Variable()</f>
        <v>SRWk</v>
      </c>
      <c r="M347" s="1"/>
    </row>
    <row r="348" spans="4:13" x14ac:dyDescent="0.25" ht="20" customHeight="1">
      <c r="D348" s="52" t="str" cm="1">
        <f t="array" ref="D348">SourceData_PastureBeef.SourceData_PastureBeef_StandardReferenceWeights_Unit()</f>
        <v>kg</v>
      </c>
      <c r="M348" s="1"/>
    </row>
    <row r="349" spans="4:13" x14ac:dyDescent="0.25" ht="20" customHeight="1">
      <c r="D349" s="53" t="str" cm="1">
        <f t="array" ref="D349">SourceData_PastureBeef.SourceData_PastureBeef_StandardReferenceWeights_Variation()</f>
        <v>VARIATION ON SOURCE: Split ACT and NSW into separate rows. Added 'State abbreviation' column to aid lookup.</v>
      </c>
      <c r="M349" s="1"/>
    </row>
    <row r="350" spans="4:13" x14ac:dyDescent="0.25" ht="20" customHeight="1">
      <c r="D350" s="36" t="s">
        <v>5</v>
      </c>
      <c r="E350" s="36" t="s">
        <v>228</v>
      </c>
      <c r="F350" s="36" t="s">
        <v>229</v>
      </c>
      <c r="G350" s="36" t="s">
        <v>187</v>
      </c>
      <c r="H350" s="36" t="s">
        <v>188</v>
      </c>
      <c r="I350" s="36" t="s">
        <v>230</v>
      </c>
      <c r="J350" s="36" t="s">
        <v>191</v>
      </c>
      <c r="K350" s="36" t="s">
        <v>220</v>
      </c>
      <c r="L350" s="36" t="s">
        <v>231</v>
      </c>
      <c r="M350" s="1"/>
    </row>
    <row r="351" spans="4:13" x14ac:dyDescent="0.25" ht="20" customHeight="1">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ht="20" customHeight="1">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ht="20" customHeight="1">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ht="20" customHeight="1">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ht="20" customHeight="1">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ht="20" customHeight="1">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ht="20" customHeight="1">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ht="20" customHeight="1">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ht="20" customHeight="1">
      <c r="M359" s="1"/>
    </row>
    <row r="360" spans="4:15" x14ac:dyDescent="0.25" ht="20" customHeight="1">
      <c r="M360" s="1"/>
    </row>
    <row r="361" spans="4:15" x14ac:dyDescent="0.25" ht="20" customHeight="1">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ht="20" customHeight="1">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ht="20" customHeight="1">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ht="20" customHeight="1">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ht="20" customHeight="1">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ht="20" customHeight="1">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ht="20" customHeight="1">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ht="20" customHeight="1">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ht="20" customHeight="1">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ht="20" customHeight="1">
      <c r="M370" s="1"/>
    </row>
    <row r="371" spans="4:15" x14ac:dyDescent="0.25" ht="20" customHeight="1">
      <c r="M371" s="1"/>
    </row>
    <row r="372" spans="4:15" ht="20" x14ac:dyDescent="0.25" customHeight="1">
      <c r="D372" s="6" t="str" cm="1">
        <f t="array" ref="D372">SourceData_PastureBeef.SourceData_PastureBeef_FractionOfManureToMMS_Title()</f>
        <v>Beef pasture cattle - Fraction of manure to each manure management system (fraction) (MMSm)</v>
      </c>
      <c r="M372" s="1"/>
    </row>
    <row r="373" spans="4:15" x14ac:dyDescent="0.25" ht="20" customHeight="1">
      <c r="D373" s="5" t="str" cm="1">
        <f t="array" ref="D373">SourceData_PastureBeef.SourceData_PastureBeef_FractionOfManureToMMS_Source()</f>
        <v>VEERG 2026: Table A.1.2.9</v>
      </c>
      <c r="M373" s="1"/>
    </row>
    <row r="374" spans="4:15" x14ac:dyDescent="0.25" ht="20" customHeight="1">
      <c r="D374" s="1" t="str" cm="1">
        <f t="array" ref="D374">SourceData_PastureBeef.SourceData_PastureBeef_FractionOfManureToMMS_Variable()</f>
        <v>MMSm</v>
      </c>
      <c r="M374" s="1"/>
    </row>
    <row r="375" spans="4:15" x14ac:dyDescent="0.25" ht="20" customHeight="1">
      <c r="D375" s="52" t="str" cm="1">
        <f t="array" ref="D375">SourceData_PastureBeef.SourceData_PastureBeef_FractionOfManureToMMS_Unit()</f>
        <v>fraction</v>
      </c>
      <c r="E375" s="101" t="s">
        <v>261</v>
      </c>
      <c r="M375" s="1"/>
    </row>
    <row r="376" spans="4:15" x14ac:dyDescent="0.25" ht="20" customHeight="1">
      <c r="D376" s="53" t="str" cm="1">
        <f t="array" ref="D376">SourceData_PastureBeef.SourceData_PastureBeef_FractionOfManureToMMS_Variation()</f>
        <v>VARIATION ON SOURCE: Removed comma from 'Pasture range and paddock' to aid lookup</v>
      </c>
      <c r="M376" s="1"/>
    </row>
    <row r="377" spans="4:15" x14ac:dyDescent="0.25" ht="20" customHeight="1">
      <c r="D377" s="36" t="s">
        <v>5</v>
      </c>
      <c r="E377" s="36" t="s">
        <v>177</v>
      </c>
      <c r="F377" s="36" t="s">
        <v>132</v>
      </c>
      <c r="G377" s="36" t="s">
        <v>232</v>
      </c>
      <c r="M377" s="1"/>
    </row>
    <row r="378" spans="4:15" x14ac:dyDescent="0.25" ht="20" customHeight="1">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ht="20" customHeight="1">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ht="20" customHeight="1">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ht="20" customHeight="1">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ht="20" customHeight="1">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ht="20" customHeight="1">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ht="20" customHeight="1">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ht="20" customHeight="1">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ht="20" customHeight="1">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ht="20" customHeight="1">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ht="20" customHeight="1">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ht="20" customHeight="1">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ht="20" customHeight="1">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ht="20" customHeight="1">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ht="20" customHeight="1">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ht="20" customHeight="1">
      <c r="M393" s="1"/>
    </row>
    <row r="394" spans="4:13" x14ac:dyDescent="0.25" ht="20" customHeight="1">
      <c r="M394" s="1"/>
    </row>
    <row r="395" spans="4:13" ht="20" x14ac:dyDescent="0.25" customHeight="1">
      <c r="D395" s="6" t="str" cm="1">
        <f t="array" ref="D395">SourceData_PastureBeef.SourceData_PastureBeef_MethaneConversionFactorPerRegion_Title()</f>
        <v>Beef pasture cattle - Methane conversion factor per region (fraction) (MCFim)</v>
      </c>
      <c r="M395" s="1"/>
    </row>
    <row r="396" spans="4:13" x14ac:dyDescent="0.25" ht="20" customHeight="1">
      <c r="D396" s="5" t="str" cm="1">
        <f t="array" ref="D396">SourceData_PastureBeef.SourceData_PastureBeef_MethaneConversionFactorPerRegion_Source()</f>
        <v>VEERG 2026: Table A.1.2.10</v>
      </c>
      <c r="M396" s="1"/>
    </row>
    <row r="397" spans="4:13" x14ac:dyDescent="0.25" ht="20" customHeight="1">
      <c r="D397" s="1" t="str" cm="1">
        <f t="array" ref="D397">SourceData_PastureBeef.SourceData_PastureBeef_MethaneConversionFactorPerRegion_Variable()</f>
        <v>MCFim</v>
      </c>
      <c r="M397" s="1"/>
    </row>
    <row r="398" spans="4:13" x14ac:dyDescent="0.25" ht="20" customHeight="1">
      <c r="D398" s="52" t="str" cm="1">
        <f t="array" ref="D398">SourceData_PastureBeef.SourceData_PastureBeef_MethaneConversionFactorPerRegion_Unit()</f>
        <v>fraction</v>
      </c>
      <c r="M398" s="1"/>
    </row>
    <row r="399" spans="4:13" x14ac:dyDescent="0.25" ht="20" customHeight="1">
      <c r="D399" s="53" t="str" cm="1">
        <f t="array" ref="D399">SourceData_PastureBeef.SourceData_PastureBeef_MethaneConversionFactorPerRegion_Variation()</f>
        <v>VARIATION ON SOURCE: Removed comma from 'Pasture range and paddock' to aid lookup</v>
      </c>
      <c r="M399" s="1"/>
    </row>
    <row r="400" spans="4:13" x14ac:dyDescent="0.25" ht="20" customHeight="1">
      <c r="D400" s="36" t="s">
        <v>5</v>
      </c>
      <c r="E400" s="36" t="s">
        <v>177</v>
      </c>
      <c r="F400" s="36" t="s">
        <v>132</v>
      </c>
      <c r="G400" s="36" t="s">
        <v>232</v>
      </c>
      <c r="M400" s="1"/>
    </row>
    <row r="401" spans="4:13" x14ac:dyDescent="0.25" ht="20" customHeight="1">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ht="20" customHeight="1">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ht="20" customHeight="1">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ht="20" customHeight="1">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ht="20" customHeight="1">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ht="20" customHeight="1">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ht="20" customHeight="1">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ht="20" customHeight="1">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ht="20" customHeight="1">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ht="20" customHeight="1">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ht="20" customHeight="1">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ht="20" customHeight="1">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ht="20" customHeight="1">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ht="20" customHeight="1">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ht="20" customHeight="1">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ht="20" customHeight="1">
      <c r="M416" s="1"/>
    </row>
    <row r="417" spans="4:13" x14ac:dyDescent="0.25" ht="20" customHeight="1">
      <c r="M417" s="1"/>
    </row>
    <row r="418" spans="4:13" ht="20" x14ac:dyDescent="0.25" customHeight="1">
      <c r="D418" s="6" t="str" cm="1">
        <f t="array" ref="D418">SourceData_PastureBeef.SourceData_PastureBeef_AshContentOfFeedIntake_Title()</f>
        <v>Ash content of feed intake</v>
      </c>
      <c r="M418" s="1"/>
    </row>
    <row r="419" spans="4:13" x14ac:dyDescent="0.25" ht="20" customHeight="1">
      <c r="D419" s="5" t="str" cm="1">
        <f t="array" ref="D419">SourceData_PastureBeef.SourceData_PastureBeef_AshContentOfFeedIntake_Source()</f>
        <v>VEERG 2026: 4.2.2.3 CONSTANTS</v>
      </c>
      <c r="M419" s="1"/>
    </row>
    <row r="420" spans="4:13" x14ac:dyDescent="0.25" ht="20" customHeight="1">
      <c r="D420" s="1" t="str" cm="1">
        <f t="array" ref="D420">SourceData_PastureBeef.SourceData_PastureBeef_AshContentOfFeedIntake_Variable()</f>
        <v>A</v>
      </c>
      <c r="M420" s="1"/>
    </row>
    <row r="421" spans="4:13" x14ac:dyDescent="0.25" ht="20" customHeight="1">
      <c r="D421" s="52" t="str" cm="1">
        <f t="array" ref="D421">SourceData_PastureBeef.SourceData_PastureBeef_AshContentOfFeedIntake_Unit()</f>
        <v>fraction</v>
      </c>
      <c r="M421" s="1"/>
    </row>
    <row r="422" spans="4:13" x14ac:dyDescent="0.25" ht="20" customHeight="1">
      <c r="D422" s="51" cm="1">
        <f t="array" ref="D422">SourceData_PastureBeef.SourceData_PastureBeef_AshContentOfFeedIntake_Data()</f>
        <v>0.08</v>
      </c>
      <c r="M422" s="1"/>
    </row>
    <row r="423" spans="4:13" x14ac:dyDescent="0.25" ht="20" customHeight="1">
      <c r="M423" s="1"/>
    </row>
    <row r="424" spans="4:13" ht="20" x14ac:dyDescent="0.25" customHeight="1">
      <c r="D424" s="6" t="str" cm="1">
        <f t="array" ref="D424">SourceData_PastureBeef.SourceData_PastureBeef_MethaneEmissionsPotential_Title()</f>
        <v>Methane emissions potential</v>
      </c>
      <c r="M424" s="1"/>
    </row>
    <row r="425" spans="4:13" x14ac:dyDescent="0.25" ht="20" customHeight="1">
      <c r="D425" s="5" t="str" cm="1">
        <f t="array" ref="D425">SourceData_PastureBeef.SourceData_PastureBeef_MethaneEmissionsPotential_Source()</f>
        <v>VEERG 2026: 4.2.2.3 CONSTANTS</v>
      </c>
      <c r="M425" s="1"/>
    </row>
    <row r="426" spans="4:13" x14ac:dyDescent="0.25" ht="20" customHeight="1">
      <c r="D426" s="1" t="str" cm="1">
        <f t="array" ref="D426">SourceData_PastureBeef.SourceData_PastureBeef_MethaneEmissionsPotential_Variable()</f>
        <v>B0</v>
      </c>
      <c r="M426" s="1"/>
    </row>
    <row r="427" spans="4:13" x14ac:dyDescent="0.25" ht="20" customHeight="1">
      <c r="D427" s="52" t="str" cm="1">
        <f t="array" ref="D427">SourceData_PastureBeef.SourceData_PastureBeef_MethaneEmissionsPotential_Unit()</f>
        <v>m3 CH4 / kg VS</v>
      </c>
      <c r="M427" s="1"/>
    </row>
    <row r="428" spans="4:13" x14ac:dyDescent="0.25" ht="20" customHeight="1">
      <c r="D428" s="51" cm="1">
        <f t="array" ref="D428">SourceData_PastureBeef.SourceData_PastureBeef_MethaneEmissionsPotential_Data()</f>
        <v>0.19</v>
      </c>
      <c r="M428" s="1"/>
    </row>
    <row r="429" spans="4:13" x14ac:dyDescent="0.25" ht="20" customHeight="1">
      <c r="M429" s="1"/>
    </row>
    <row r="430" spans="4:13" ht="20" x14ac:dyDescent="0.25" customHeight="1">
      <c r="D430" s="6" t="str" cm="1">
        <f t="array" ref="D430">SourceData_PastureBeef.SourceData_PastureBeef_FracGASMSoil_Title()</f>
        <v>Fraction of nitrogen volatilised from urine and faeces deposited on pasture</v>
      </c>
      <c r="M430" s="1"/>
    </row>
    <row r="431" spans="4:13" x14ac:dyDescent="0.25" ht="20" customHeight="1">
      <c r="D431" s="5" t="str" cm="1">
        <f t="array" ref="D431">SourceData_PastureBeef.SourceData_PastureBeef_FracGASMSoil_Source()</f>
        <v>VEERG 2026: 4.2.2.3 CONSTANTS</v>
      </c>
      <c r="M431" s="1"/>
    </row>
    <row r="432" spans="4:13" x14ac:dyDescent="0.25" ht="20" customHeight="1">
      <c r="D432" s="1" t="str" cm="1">
        <f t="array" ref="D432">SourceData_PastureBeef.SourceData_PastureBeef_FracGASMSoil_Variable()</f>
        <v>FracGASMSoil</v>
      </c>
      <c r="M432" s="1"/>
    </row>
    <row r="433" spans="4:13" x14ac:dyDescent="0.25" ht="20" customHeight="1">
      <c r="D433" s="52" t="str" cm="1">
        <f t="array" ref="D433">SourceData_PastureBeef.SourceData_PastureBeef_FracGASMSoil_Unit()</f>
        <v>fraction</v>
      </c>
      <c r="M433" s="1"/>
    </row>
    <row r="434" spans="4:13" x14ac:dyDescent="0.25" ht="20" customHeight="1">
      <c r="D434" s="51" cm="1">
        <f t="array" ref="D434">SourceData_PastureBeef.SourceData_PastureBeef_FracGASMSoil_Data()</f>
        <v>0.21</v>
      </c>
      <c r="M434" s="1"/>
    </row>
    <row r="435" spans="4:13" x14ac:dyDescent="0.25" ht="20" customHeight="1">
      <c r="M435" s="1"/>
    </row>
    <row r="436" spans="4:13" ht="20" x14ac:dyDescent="0.25" customHeight="1">
      <c r="D436" s="6" t="str" cm="1">
        <f t="array" ref="D436">SourceData_PastureBeef.SourceData_PastureBeef_FracLEACH_Title()</f>
        <v>Default fraction of N that is lost through leaching and runoff</v>
      </c>
      <c r="M436" s="1"/>
    </row>
    <row r="437" spans="4:13" x14ac:dyDescent="0.25" ht="20" customHeight="1">
      <c r="D437" s="5" t="str" cm="1">
        <f t="array" ref="D437">SourceData_PastureBeef.SourceData_PastureBeef_FracLEACH_Source()</f>
        <v>VEERG 2026: 4.2.2.3 CONSTANTS</v>
      </c>
      <c r="M437" s="1"/>
    </row>
    <row r="438" spans="4:13" x14ac:dyDescent="0.25" ht="20" customHeight="1">
      <c r="D438" s="1" t="str" cm="1">
        <f t="array" ref="D438">SourceData_PastureBeef.SourceData_PastureBeef_FracLEACH_Variable()</f>
        <v>FracLEACH</v>
      </c>
      <c r="M438" s="1"/>
    </row>
    <row r="439" spans="4:13" x14ac:dyDescent="0.25" ht="20" customHeight="1">
      <c r="D439" s="52" t="str" cm="1">
        <f t="array" ref="D439">SourceData_PastureBeef.SourceData_PastureBeef_FracLEACH_Unit()</f>
        <v>fraction</v>
      </c>
      <c r="M439" s="1"/>
    </row>
    <row r="440" spans="4:13" x14ac:dyDescent="0.25" ht="20" customHeight="1">
      <c r="D440" s="51" cm="1">
        <f t="array" ref="D440">SourceData_PastureBeef.SourceData_PastureBeef_FracLEACH_Data()</f>
        <v>0.24</v>
      </c>
      <c r="M440" s="1"/>
    </row>
    <row r="441" spans="4:13" x14ac:dyDescent="0.25" ht="20" customHeight="1">
      <c r="M441" s="1"/>
    </row>
    <row r="442" spans="4:13" ht="20" customHeight="1" x14ac:dyDescent="0.25">
      <c r="D442" s="36" t="s">
        <v>367</v>
      </c>
      <c r="E442" s="36" t="s">
        <v>368</v>
      </c>
      <c r="F442" s="36" t="s">
        <v>369</v>
      </c>
      <c r="G442" s="36" t="s">
        <v>370</v>
      </c>
      <c r="H442" s="36" t="s">
        <v>371</v>
      </c>
      <c r="I442" s="36" t="s">
        <v>372</v>
      </c>
      <c r="M442" s="1"/>
    </row>
    <row r="443" spans="4:13" x14ac:dyDescent="0.25" ht="20" customHeight="1">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ht="20" customHeight="1">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ht="20" customHeight="1">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ht="20" customHeight="1">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ht="20" customHeight="1">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ht="20" customHeight="1">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ht="20" customHeight="1">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ht="20" customHeight="1">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ht="20" customHeight="1">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ht="20" customHeight="1">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ht="20" customHeight="1">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ht="20" customHeight="1">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ht="20" customHeight="1">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ht="20" customHeight="1">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ht="20" customHeight="1">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ht="20" customHeight="1">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ht="20" customHeight="1">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ht="20" customHeight="1">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ht="20" customHeight="1">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ht="20" customHeight="1">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ht="20" customHeight="1">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ht="20" customHeight="1">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ht="20" customHeight="1">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ht="20" customHeight="1">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ht="20" customHeight="1">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ht="20" customHeight="1">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ht="20" customHeight="1">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ht="20" customHeight="1">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ht="20" customHeight="1">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ht="20" customHeight="1">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ht="20" customHeight="1">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ht="20" customHeight="1">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ht="20" customHeight="1">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ht="20" customHeight="1">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ht="20" customHeight="1">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ht="20" customHeight="1">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ht="20" customHeight="1">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ht="20" customHeight="1">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ht="20" customHeight="1">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ht="20" customHeight="1">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ht="20" customHeight="1">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F5DA-DFEC-4386-8E11-7E71076B440B}">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25" t="s">
        <v>1</v>
      </c>
      <c r="D6" s="36" t="s">
        <v>19</v>
      </c>
      <c r="E6" s="36" t="s">
        <v>20</v>
      </c>
      <c r="F6" s="36" t="s">
        <v>21</v>
      </c>
    </row>
    <row r="7" spans="1:65" ht="20" customHeight="1" x14ac:dyDescent="0.25">
      <c r="A7" s="128"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6" t="s">
        <v>22</v>
      </c>
    </row>
    <row r="21" spans="1:4" ht="20" customHeight="1" x14ac:dyDescent="0.25">
      <c r="A21"/>
      <c r="D21" s="36" t="str" cm="1">
        <f t="array" ref="D21">Common_InputFunctions.Utility_DisplayArrayInTable(Common_SourceData.Common_SourceData_WASA4Areas_Data(), Table_WASA4Areas[[#Headers],[SA 4 Name]], 0)</f>
        <v>Bunbury</v>
      </c>
    </row>
    <row r="22" spans="1:4" ht="20" customHeight="1" x14ac:dyDescent="0.25">
      <c r="A22"/>
      <c r="D22" s="36" t="str" cm="1">
        <f t="array" ref="D22">Common_InputFunctions.Utility_DisplayArrayInTable(Common_SourceData.Common_SourceData_WASA4Areas_Data(), Table_WASA4Areas[[#Headers],[SA 4 Name]], 0)</f>
        <v>Mandurah</v>
      </c>
    </row>
    <row r="23" spans="1:4" ht="20" customHeight="1" x14ac:dyDescent="0.25">
      <c r="A23"/>
      <c r="D23" s="36" t="str" cm="1">
        <f t="array" ref="D23">Common_InputFunctions.Utility_DisplayArrayInTable(Common_SourceData.Common_SourceData_WASA4Areas_Data(), Table_WASA4Areas[[#Headers],[SA 4 Name]], 0)</f>
        <v>Perth - Inner</v>
      </c>
    </row>
    <row r="24" spans="1:4" ht="20" customHeight="1" x14ac:dyDescent="0.25">
      <c r="A24"/>
      <c r="D24" s="36" t="str" cm="1">
        <f t="array" ref="D24">Common_InputFunctions.Utility_DisplayArrayInTable(Common_SourceData.Common_SourceData_WASA4Areas_Data(), Table_WASA4Areas[[#Headers],[SA 4 Name]], 0)</f>
        <v>Perth - North East</v>
      </c>
    </row>
    <row r="25" spans="1:4" ht="20" customHeight="1" x14ac:dyDescent="0.25">
      <c r="A25"/>
      <c r="D25" s="36" t="str" cm="1">
        <f t="array" ref="D25">Common_InputFunctions.Utility_DisplayArrayInTable(Common_SourceData.Common_SourceData_WASA4Areas_Data(), Table_WASA4Areas[[#Headers],[SA 4 Name]], 0)</f>
        <v>Perth - North West</v>
      </c>
    </row>
    <row r="26" spans="1:4" ht="20" customHeight="1" x14ac:dyDescent="0.25">
      <c r="A26"/>
      <c r="D26" s="36" t="str" cm="1">
        <f t="array" ref="D26">Common_InputFunctions.Utility_DisplayArrayInTable(Common_SourceData.Common_SourceData_WASA4Areas_Data(), Table_WASA4Areas[[#Headers],[SA 4 Name]], 0)</f>
        <v>Perth - South East</v>
      </c>
    </row>
    <row r="27" spans="1:4" ht="20" customHeight="1" x14ac:dyDescent="0.25">
      <c r="A27"/>
      <c r="D27" s="36" t="str" cm="1">
        <f t="array" ref="D27">Common_InputFunctions.Utility_DisplayArrayInTable(Common_SourceData.Common_SourceData_WASA4Areas_Data(), Table_WASA4Areas[[#Headers],[SA 4 Name]], 0)</f>
        <v>Perth - South West</v>
      </c>
    </row>
    <row r="28" spans="1:4" ht="20" customHeight="1" x14ac:dyDescent="0.25">
      <c r="A28"/>
      <c r="D28" s="36" t="str" cm="1">
        <f t="array" ref="D28">Common_InputFunctions.Utility_DisplayArrayInTable(Common_SourceData.Common_SourceData_WASA4Areas_Data(), Table_WASA4Areas[[#Headers],[SA 4 Name]], 0)</f>
        <v>Western Australia - Wheat Belt</v>
      </c>
    </row>
    <row r="29" spans="1:4" ht="20" customHeight="1" x14ac:dyDescent="0.25">
      <c r="A29"/>
      <c r="D29" s="36" t="str" cm="1">
        <f t="array" ref="D29">Common_InputFunctions.Utility_DisplayArrayInTable(Common_SourceData.Common_SourceData_WASA4Areas_Data(), Table_WASA4Areas[[#Headers],[SA 4 Name]], 0)</f>
        <v>Western Australia - Outback (North)</v>
      </c>
    </row>
    <row r="30" spans="1:4" ht="20" customHeight="1" x14ac:dyDescent="0.25">
      <c r="A30"/>
      <c r="D30" s="36"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6" t="s">
        <v>25</v>
      </c>
      <c r="E36" s="36" t="s">
        <v>26</v>
      </c>
    </row>
    <row r="37" spans="1:8" ht="20"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6" t="s">
        <v>25</v>
      </c>
      <c r="E47" s="36" t="s">
        <v>28</v>
      </c>
      <c r="F47" s="36" t="s">
        <v>29</v>
      </c>
      <c r="G47" s="36" t="s">
        <v>30</v>
      </c>
      <c r="H47" s="36" t="s">
        <v>31</v>
      </c>
    </row>
    <row r="48" spans="1:8" ht="20"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3" t="str" cm="1">
        <f t="array" ref="D59:D61">"⚠️" &amp; Common_SourceData.Common_SourceData_WetAndDryZones_Variation()</f>
        <v>⚠️VARIATION OF SOURCE DATA:</v>
      </c>
    </row>
    <row r="60" spans="1:8" ht="20" customHeight="1" x14ac:dyDescent="0.25">
      <c r="A60"/>
      <c r="D60" s="53" t="str">
        <v>⚠️Added warm / cool temperate moist / dry - low frost and high temp classes to accommodate climate scenarios excluded by VEERG criteria.</v>
      </c>
    </row>
    <row r="61" spans="1:8" ht="20" customHeight="1" x14ac:dyDescent="0.25">
      <c r="A61"/>
      <c r="D61" s="53" t="str">
        <v>⚠️Fixed typo - Changed 'Fry' to 'Dry'.</v>
      </c>
    </row>
    <row r="62" spans="1:8" ht="20" customHeight="1" x14ac:dyDescent="0.25">
      <c r="A62"/>
    </row>
    <row r="63" spans="1:8" ht="20" customHeight="1" x14ac:dyDescent="0.25">
      <c r="A63"/>
      <c r="D63" s="36" t="s">
        <v>7</v>
      </c>
      <c r="E63" s="36" t="s">
        <v>46</v>
      </c>
    </row>
    <row r="64" spans="1:8" ht="20"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3" t="str" cm="1">
        <f t="array" ref="D83:D87">"⚠️" &amp; Common_SourceData.Common_SourceData_ClimateZones_Variation()</f>
        <v>⚠️VARIATION OF SOURCE DATA:</v>
      </c>
    </row>
    <row r="84" spans="1:20" ht="20" customHeight="1" x14ac:dyDescent="0.25">
      <c r="A84"/>
      <c r="D84" s="53" t="str">
        <v>⚠️Added warm / cool temperate moist / dry - low frost and high temp classes to accommodate climate scenarios excluded by VEERG criteria.</v>
      </c>
    </row>
    <row r="85" spans="1:20" ht="20" customHeight="1" x14ac:dyDescent="0.25">
      <c r="A85"/>
      <c r="D85" s="53" t="str">
        <v>⚠️Fixed typo in MAT value for warm temperate dry - changed 10 to 11.</v>
      </c>
    </row>
    <row r="86" spans="1:20" ht="20" customHeight="1" x14ac:dyDescent="0.25">
      <c r="A86"/>
      <c r="D86" s="53" t="str">
        <v>⚠️Added min and max columns for MAT, MAP, frost days per year, elevation, MAP:PET to calculate zones from real climate data.</v>
      </c>
    </row>
    <row r="87" spans="1:20" ht="20" customHeight="1" x14ac:dyDescent="0.25">
      <c r="A87"/>
      <c r="D87" s="53" t="str">
        <v>⚠️GAF accepts rainfall as a proxy for precipitation.</v>
      </c>
    </row>
    <row r="88" spans="1:20" ht="20" customHeight="1" x14ac:dyDescent="0.25">
      <c r="A88"/>
    </row>
    <row r="89" spans="1:20" ht="20"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 customHeight="1" x14ac:dyDescent="0.25">
      <c r="A98"/>
    </row>
    <row r="99" spans="1:20" ht="20" customHeight="1" x14ac:dyDescent="0.25">
      <c r="A99"/>
      <c r="D99" s="52" t="str" cm="1">
        <f t="array" ref="D99:D102">Common_SourceData.Common_SourceData_ClimateZones_Appendices()</f>
        <v>Note:</v>
      </c>
    </row>
    <row r="100" spans="1:20" ht="20" customHeight="1" x14ac:dyDescent="0.25">
      <c r="A100"/>
      <c r="D100" s="52" t="str">
        <v>MAT = mean annual temperature</v>
      </c>
    </row>
    <row r="101" spans="1:20" ht="20" customHeight="1" x14ac:dyDescent="0.25">
      <c r="A101"/>
      <c r="D101" s="52" t="str">
        <v>MAP = mean annual precipitation</v>
      </c>
    </row>
    <row r="102" spans="1:20" ht="20" customHeight="1" x14ac:dyDescent="0.25">
      <c r="A102"/>
      <c r="D102" s="52" t="str">
        <v>PET = potential evapotranspiration</v>
      </c>
    </row>
    <row r="103" spans="1:20" ht="20" customHeight="1" x14ac:dyDescent="0.25">
      <c r="A103"/>
      <c r="D103" s="52"/>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6" t="s">
        <v>53</v>
      </c>
      <c r="E109" s="36" t="s">
        <v>34</v>
      </c>
      <c r="F109" s="36" t="s">
        <v>54</v>
      </c>
      <c r="G109" s="36" t="s">
        <v>55</v>
      </c>
    </row>
    <row r="110" spans="1:20" ht="20"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6" t="s">
        <v>56</v>
      </c>
      <c r="E119" s="36" t="s">
        <v>57</v>
      </c>
      <c r="F119" s="36" t="s">
        <v>41</v>
      </c>
      <c r="G119" s="36" t="s">
        <v>42</v>
      </c>
      <c r="BN119" s="7"/>
    </row>
    <row r="120" spans="1:66" ht="20"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6" t="s">
        <v>63</v>
      </c>
      <c r="E127" s="36" t="s">
        <v>64</v>
      </c>
    </row>
    <row r="128" spans="1:66" ht="20"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88</v>
      </c>
      <c r="E134" t="s">
        <v>89</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6" t="s">
        <v>146</v>
      </c>
      <c r="E142" s="36" t="s">
        <v>89</v>
      </c>
      <c r="BN142" s="7"/>
    </row>
    <row r="143" spans="1:77" ht="20"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6" t="s">
        <v>66</v>
      </c>
      <c r="E153" s="36" t="s">
        <v>67</v>
      </c>
      <c r="BC153" s="3"/>
      <c r="BD153" s="3"/>
      <c r="BE153" s="3"/>
      <c r="BF153" s="3"/>
      <c r="BG153" s="3"/>
      <c r="BH153" s="3"/>
      <c r="BI153" s="3"/>
      <c r="BJ153" s="3"/>
      <c r="BK153" s="3"/>
      <c r="BL153" s="3"/>
      <c r="BM153" s="3"/>
    </row>
    <row r="154" spans="1:66" ht="20"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2" t="str" cm="1">
        <f t="array" ref="D180">Common_SourceData.Common_SourceData_EFN2O_Unit()</f>
        <v>(kg N2O-N / kg N</v>
      </c>
    </row>
    <row r="181" spans="4:68" ht="20" customHeight="1" x14ac:dyDescent="0.25">
      <c r="D181" s="53" t="str" cm="1">
        <f t="array" ref="D181:D185">Common_SourceData.Common_SourceData_EFN2O_Variation()</f>
        <v>VARIATION OF SOURCE DATA:</v>
      </c>
    </row>
    <row r="182" spans="4:68" ht="20" customHeight="1" x14ac:dyDescent="0.25">
      <c r="D182" s="53" t="str">
        <v>Removed duplicate 'Aquaculture' row.</v>
      </c>
    </row>
    <row r="183" spans="4:68" ht="20" customHeight="1" x14ac:dyDescent="0.25">
      <c r="D183" s="53" t="str">
        <v>Removed asterisks to aid lookup.</v>
      </c>
    </row>
    <row r="184" spans="4:68" ht="20" customHeight="1" x14ac:dyDescent="0.25">
      <c r="D184" s="53" t="str">
        <v>Added 'production system only', 'rainfall zone' and 'irrigation method' columns to aid lookup.</v>
      </c>
    </row>
    <row r="185" spans="4:68" ht="20" customHeight="1" x14ac:dyDescent="0.25">
      <c r="D185" s="53" t="str">
        <v>Duplicated 'non-irrigated pasture' row with same EF for low and high rainfall zones to aid lookup.</v>
      </c>
    </row>
    <row r="186" spans="4:68" ht="20" customHeight="1" x14ac:dyDescent="0.25">
      <c r="D186" s="36" t="s">
        <v>109</v>
      </c>
      <c r="E186" s="36" t="s">
        <v>110</v>
      </c>
      <c r="F186" s="36" t="s">
        <v>111</v>
      </c>
      <c r="G186" s="36" t="s">
        <v>112</v>
      </c>
      <c r="H186" s="36" t="s">
        <v>33</v>
      </c>
    </row>
    <row r="187" spans="4:68" ht="20"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ht="20" customHeight="1">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ht="20" customHeight="1">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ht="20" customHeight="1">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3" t="str" cm="1">
        <f t="array" ref="D204">Common_SourceData.Common_SourceData_EFPastureRangeAndPaddock_Variation()</f>
        <v>VARIATION FROM SOURCE DATA: Changed 'Dry climate zones' to singular 'Dry climate zone' to aid lookup.</v>
      </c>
    </row>
    <row r="205" spans="4:8" x14ac:dyDescent="0.25" ht="20" customHeight="1">
      <c r="D205" s="52" t="str" cm="1">
        <f t="array" ref="D205">Common_SourceData.Common_SourceData_EFPastureRangeAndPaddock_Unit()</f>
        <v>kg N2O - N / kg N</v>
      </c>
    </row>
    <row r="206" spans="4:8" x14ac:dyDescent="0.25" ht="20" customHeight="1">
      <c r="D206" s="36" t="s">
        <v>7</v>
      </c>
      <c r="E206" s="36" t="s">
        <v>148</v>
      </c>
    </row>
    <row r="207" spans="4:8" x14ac:dyDescent="0.25" ht="20" customHeight="1">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6" t="s">
        <v>126</v>
      </c>
      <c r="E212" s="36" t="s">
        <v>178</v>
      </c>
    </row>
    <row r="213" spans="4:5" x14ac:dyDescent="0.25" ht="20" customHeight="1">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ht="20" customHeight="1">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2" t="str" cm="1">
        <f t="array" ref="D256">Common_SourceData.Common_SourceData_EFOrganicFertiliserAndCropResidues_Unit()</f>
        <v>kg N2O - N / kg N</v>
      </c>
    </row>
    <row r="257" spans="4:6" x14ac:dyDescent="0.25" ht="20" customHeight="1">
      <c r="D257" s="36" t="s">
        <v>355</v>
      </c>
      <c r="E257" s="36" t="s">
        <v>356</v>
      </c>
    </row>
    <row r="258" spans="4:6" x14ac:dyDescent="0.25" ht="20" customHeight="1">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389</v>
      </c>
    </row>
    <row r="264" spans="4:6" x14ac:dyDescent="0.25" ht="20" customHeight="1">
      <c r="D264" s="1" t="s">
        <v>390</v>
      </c>
    </row>
    <row r="265" spans="4:6" x14ac:dyDescent="0.25" ht="20" customHeight="1">
      <c r="D265" s="36" t="s">
        <v>391</v>
      </c>
      <c r="E265" s="36" t="s">
        <v>392</v>
      </c>
      <c r="F265" s="36" t="s">
        <v>393</v>
      </c>
    </row>
    <row r="266" spans="4:6" x14ac:dyDescent="0.25" ht="20" customHeight="1">
      <c r="D266" s="36" t="s">
        <v>394</v>
      </c>
      <c r="E266" s="36" t="s">
        <v>395</v>
      </c>
      <c r="F266" s="36">
        <v>5</v>
      </c>
    </row>
    <row r="267" spans="4:6" x14ac:dyDescent="0.25" ht="20" customHeight="1">
      <c r="D267" s="36" t="s">
        <v>396</v>
      </c>
      <c r="E267" s="36" t="s">
        <v>397</v>
      </c>
      <c r="F267" s="36">
        <v>4</v>
      </c>
    </row>
    <row r="268" spans="4:6" x14ac:dyDescent="0.25" ht="20" customHeight="1">
      <c r="D268" s="36" t="s">
        <v>398</v>
      </c>
      <c r="E268" s="36" t="s">
        <v>399</v>
      </c>
      <c r="F268" s="36">
        <v>3</v>
      </c>
    </row>
    <row r="269" spans="4:6" x14ac:dyDescent="0.25" ht="20" customHeight="1">
      <c r="D269" s="36" t="s">
        <v>400</v>
      </c>
      <c r="E269" s="36" t="s">
        <v>401</v>
      </c>
      <c r="F269" s="36">
        <v>2</v>
      </c>
    </row>
    <row r="270" spans="4:6" x14ac:dyDescent="0.25" ht="20" customHeight="1">
      <c r="D270" s="36" t="s">
        <v>402</v>
      </c>
      <c r="E270" s="36" t="s">
        <v>403</v>
      </c>
      <c r="F270" s="36">
        <v>1</v>
      </c>
    </row>
    <row r="273" spans="4:6" x14ac:dyDescent="0.25" ht="20" customHeight="1">
      <c r="D273" s="1" t="s">
        <v>404</v>
      </c>
    </row>
    <row r="274" spans="4:6" x14ac:dyDescent="0.25" ht="20" customHeight="1">
      <c r="D274" s="36" t="s">
        <v>391</v>
      </c>
      <c r="E274" s="36" t="s">
        <v>392</v>
      </c>
      <c r="F274" s="36" t="s">
        <v>393</v>
      </c>
    </row>
    <row r="275" spans="4:6" x14ac:dyDescent="0.25" ht="20" customHeight="1">
      <c r="D275" s="36" t="s">
        <v>405</v>
      </c>
      <c r="E275" s="36" t="s">
        <v>406</v>
      </c>
      <c r="F275" s="36">
        <v>5</v>
      </c>
    </row>
    <row r="276" spans="4:6" x14ac:dyDescent="0.25" ht="20" customHeight="1">
      <c r="D276" s="36" t="s">
        <v>407</v>
      </c>
      <c r="E276" s="36" t="s">
        <v>408</v>
      </c>
      <c r="F276" s="36">
        <v>4</v>
      </c>
    </row>
    <row r="277" spans="4:6" x14ac:dyDescent="0.25" ht="20" customHeight="1">
      <c r="D277" s="36" t="s">
        <v>409</v>
      </c>
      <c r="E277" s="36" t="s">
        <v>410</v>
      </c>
      <c r="F277" s="36">
        <v>3</v>
      </c>
    </row>
    <row r="278" spans="4:6" x14ac:dyDescent="0.25" ht="20" customHeight="1">
      <c r="D278" s="36" t="s">
        <v>411</v>
      </c>
      <c r="E278" s="36" t="s">
        <v>412</v>
      </c>
      <c r="F278" s="36">
        <v>2</v>
      </c>
    </row>
    <row r="279" spans="4:6" x14ac:dyDescent="0.25" ht="20" customHeight="1">
      <c r="D279" s="36" t="s">
        <v>413</v>
      </c>
      <c r="E279" s="36" t="s">
        <v>414</v>
      </c>
      <c r="F279" s="36">
        <v>1</v>
      </c>
    </row>
    <row r="282" spans="4:6" x14ac:dyDescent="0.25" ht="20" customHeight="1">
      <c r="D282" s="1" t="s">
        <v>415</v>
      </c>
    </row>
    <row r="283" spans="4:6" x14ac:dyDescent="0.25" ht="20" customHeight="1">
      <c r="D283" s="36" t="s">
        <v>391</v>
      </c>
      <c r="E283" s="36" t="s">
        <v>392</v>
      </c>
      <c r="F283" s="36" t="s">
        <v>393</v>
      </c>
    </row>
    <row r="284" spans="4:6" x14ac:dyDescent="0.25" ht="20" customHeight="1">
      <c r="D284" s="36" t="s">
        <v>416</v>
      </c>
      <c r="E284" s="36" t="s">
        <v>417</v>
      </c>
      <c r="F284" s="36">
        <v>5</v>
      </c>
    </row>
    <row r="285" spans="4:6" x14ac:dyDescent="0.25" ht="20" customHeight="1">
      <c r="D285" s="36" t="s">
        <v>418</v>
      </c>
      <c r="E285" s="36" t="s">
        <v>419</v>
      </c>
      <c r="F285" s="36">
        <v>4</v>
      </c>
    </row>
    <row r="286" spans="4:6" x14ac:dyDescent="0.25" ht="20" customHeight="1">
      <c r="D286" s="36" t="s">
        <v>420</v>
      </c>
      <c r="E286" s="36" t="s">
        <v>421</v>
      </c>
      <c r="F286" s="36">
        <v>3</v>
      </c>
    </row>
    <row r="287" spans="4:6" x14ac:dyDescent="0.25" ht="20" customHeight="1">
      <c r="D287" s="36" t="s">
        <v>422</v>
      </c>
      <c r="E287" s="36" t="s">
        <v>423</v>
      </c>
      <c r="F287" s="36">
        <v>2</v>
      </c>
    </row>
    <row r="288" spans="4:6" x14ac:dyDescent="0.25" ht="20" customHeight="1">
      <c r="D288" s="36" t="s">
        <v>424</v>
      </c>
      <c r="E288" s="36" t="s">
        <v>425</v>
      </c>
      <c r="F288" s="36">
        <v>1</v>
      </c>
    </row>
    <row r="291" spans="4:6" x14ac:dyDescent="0.25" ht="20" customHeight="1">
      <c r="D291" s="1" t="s">
        <v>426</v>
      </c>
    </row>
    <row r="292" spans="4:6" x14ac:dyDescent="0.25" ht="20" customHeight="1">
      <c r="D292" s="36" t="s">
        <v>391</v>
      </c>
      <c r="E292" s="36" t="s">
        <v>392</v>
      </c>
      <c r="F292" s="36" t="s">
        <v>393</v>
      </c>
    </row>
    <row r="293" spans="4:6" x14ac:dyDescent="0.25" ht="20" customHeight="1">
      <c r="D293" s="36" t="s">
        <v>427</v>
      </c>
      <c r="E293" s="36" t="s">
        <v>428</v>
      </c>
      <c r="F293" s="36">
        <v>5</v>
      </c>
    </row>
    <row r="294" spans="4:6" x14ac:dyDescent="0.25" ht="20" customHeight="1">
      <c r="D294" s="36" t="s">
        <v>429</v>
      </c>
      <c r="E294" s="36" t="s">
        <v>430</v>
      </c>
      <c r="F294" s="36">
        <v>4</v>
      </c>
    </row>
    <row r="295" spans="4:6" x14ac:dyDescent="0.25" ht="20" customHeight="1">
      <c r="D295" s="36" t="s">
        <v>431</v>
      </c>
      <c r="E295" s="36" t="s">
        <v>432</v>
      </c>
      <c r="F295" s="36">
        <v>3</v>
      </c>
    </row>
    <row r="296" spans="4:6" x14ac:dyDescent="0.25" ht="20" customHeight="1">
      <c r="D296" s="36" t="s">
        <v>433</v>
      </c>
      <c r="E296" s="36" t="s">
        <v>434</v>
      </c>
      <c r="F296" s="36">
        <v>2</v>
      </c>
    </row>
    <row r="297" spans="4:6" x14ac:dyDescent="0.25" ht="20" customHeight="1">
      <c r="D297" s="36" t="s">
        <v>435</v>
      </c>
      <c r="E297" s="36" t="s">
        <v>436</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5"/>
  <sheetViews>
    <sheetView showGridLines="0" topLeftCell="A10" zoomScaleNormal="100" workbookViewId="0">
      <selection activeCell="A21" sqref="A21"/>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HYPERLINK("#'Results'!A1", "Results")</f>
        <v>Results</v>
      </c>
    </row>
    <row r="5" spans="1:13" ht="20" customHeight="1" x14ac:dyDescent="0.25"/>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A7" s="19" t="s">
        <v>0</v>
      </c>
      <c r="D7" s="3" t="str" cm="1">
        <f t="array" ref="D7">CommonLivestock_SourceData.SourceData_Livestock_Common_SymbolsMMS_Vairable()</f>
        <v>MMS</v>
      </c>
      <c r="E7" s="3"/>
      <c r="F7" s="3"/>
      <c r="G7" s="3"/>
      <c r="H7" s="3"/>
    </row>
    <row r="8" spans="1:13" ht="20"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Pasture Beef'!A1", "Pasture Beef")</f>
        <v>Pasture Beef</v>
      </c>
      <c r="D9" s="35" t="s">
        <v>75</v>
      </c>
      <c r="E9" s="36" t="s">
        <v>18</v>
      </c>
      <c r="F9" s="36" t="s">
        <v>76</v>
      </c>
      <c r="G9" s="3"/>
    </row>
    <row r="10" spans="1:13" ht="20"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A19" s="125"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A22" s="128"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 customHeight="1" x14ac:dyDescent="0.25">
      <c r="G28" s="3"/>
      <c r="H28" s="3"/>
    </row>
    <row r="29" spans="1:8" ht="20" customHeight="1" x14ac:dyDescent="0.25">
      <c r="D29" s="6" t="str" cm="1">
        <f t="array" ref="D29">CommonLivestock_SourceData.SourceData_Livestock_Product_BeefCattle_Title()</f>
        <v>Beef cattle products for scope 3</v>
      </c>
    </row>
    <row r="30" spans="1:8" ht="20"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 customHeight="1" x14ac:dyDescent="0.25">
      <c r="D31" s="36" t="s">
        <v>368</v>
      </c>
      <c r="E31" s="36" t="s">
        <v>382</v>
      </c>
      <c r="F31" s="1" t="s">
        <v>383</v>
      </c>
    </row>
    <row r="32" spans="1:8" ht="20"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 customHeight="1" x14ac:dyDescent="0.25"/>
    <row r="41" spans="4:6" ht="20" customHeight="1" x14ac:dyDescent="0.25">
      <c r="D41" s="6" t="str" cm="1">
        <f t="array" ref="D41">CommonLivestock_SourceData.SourceData_Livestock_Product_Sheep_Title()</f>
        <v>Sheep products for scope 3</v>
      </c>
    </row>
    <row r="42" spans="4:6" ht="20"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 customHeight="1" x14ac:dyDescent="0.25">
      <c r="D43" s="36" t="s">
        <v>368</v>
      </c>
      <c r="E43" s="36" t="s">
        <v>382</v>
      </c>
      <c r="F43" s="1" t="s">
        <v>384</v>
      </c>
    </row>
    <row r="44" spans="4:6" ht="20"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 customHeight="1" x14ac:dyDescent="0.25"/>
    <row r="52" spans="4:6" ht="20" customHeight="1" x14ac:dyDescent="0.25">
      <c r="D52" s="6" t="str" cm="1">
        <f t="array" ref="D52">CommonLivestock_SourceData.SourceData_Livestock_Product_Chickens_Title()</f>
        <v>Chickens products for scope 3</v>
      </c>
    </row>
    <row r="53" spans="4:6" ht="20"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 customHeight="1" x14ac:dyDescent="0.25">
      <c r="D54" s="36" t="s">
        <v>368</v>
      </c>
      <c r="E54" s="36" t="s">
        <v>382</v>
      </c>
      <c r="F54" s="1" t="s">
        <v>385</v>
      </c>
    </row>
    <row r="55" spans="4:6" ht="20"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 customHeight="1" x14ac:dyDescent="0.25"/>
    <row r="57" spans="4:6" ht="20" customHeight="1" x14ac:dyDescent="0.25">
      <c r="D57" s="6" t="str" cm="1">
        <f t="array" ref="D57">CommonLivestock_SourceData.SourceData_Livestock_Product_Dairycattle_Title()</f>
        <v>Dairy cattle products for scope 3</v>
      </c>
    </row>
    <row r="58" spans="4:6" ht="20"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 customHeight="1" x14ac:dyDescent="0.25">
      <c r="D59" s="36" t="s">
        <v>368</v>
      </c>
      <c r="E59" s="36" t="s">
        <v>382</v>
      </c>
      <c r="F59" s="1" t="s">
        <v>386</v>
      </c>
    </row>
    <row r="60" spans="4:6" ht="20"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 customHeight="1" x14ac:dyDescent="0.25"/>
    <row r="62" spans="4:6" ht="20" customHeight="1" x14ac:dyDescent="0.25">
      <c r="D62" s="6" t="str" cm="1">
        <f t="array" ref="D62">CommonLivestock_SourceData.SourceData_Livestock_Product_Pigs_Title()</f>
        <v>Pigs products for scope 3</v>
      </c>
    </row>
    <row r="63" spans="4:6" ht="20"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ht="20" customHeight="1">
      <c r="D64" s="36" t="s">
        <v>368</v>
      </c>
      <c r="E64" s="36" t="s">
        <v>382</v>
      </c>
      <c r="F64" s="1" t="s">
        <v>387</v>
      </c>
    </row>
    <row r="65" spans="4:5" x14ac:dyDescent="0.25" ht="20" customHeight="1">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4" sqref="A24"/>
    </sheetView>
  </sheetViews>
  <sheetFormatPr defaultRowHeight="20" x14ac:dyDescent="0.25" customHeight="1"/>
  <sheetData>
    <row r="1" spans="1:1" x14ac:dyDescent="0.25" ht="30" customHeight="1">
      <c r="A1" t="s">
        <v>437</v>
      </c>
    </row>
    <row r="3" spans="1:1" ht="20" x14ac:dyDescent="0.25" customHeight="1">
      <c r="A3" s="17" t="str">
        <f>HYPERLINK("#'Home'!A1", "Home")</f>
        <v>Home</v>
      </c>
    </row>
    <row r="6" spans="1:1" x14ac:dyDescent="0.25" ht="20" customHeight="1">
      <c r="A6" s="125" t="s">
        <v>1</v>
      </c>
    </row>
    <row r="7" spans="1:1" ht="20" x14ac:dyDescent="0.25" customHeight="1">
      <c r="A7" s="17" t="str">
        <f>HYPERLINK("#'Constants - Common'!A1", "Constants - Common")</f>
        <v>Constants - Common</v>
      </c>
    </row>
    <row r="8" spans="1:1" ht="20" x14ac:dyDescent="0.25" customHeight="1">
      <c r="A8" s="128" t="str">
        <f>HYPERLINK("#'Acknowledgements'!A1", "Acknowledgements")</f>
        <v>Acknowledgements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N3" s="4"/>
      <c r="O3" s="4"/>
      <c r="P3" s="4"/>
      <c r="Q3" s="4"/>
      <c r="R3" s="4"/>
      <c r="S3" s="4"/>
      <c r="T3" s="4"/>
      <c r="U3" s="4"/>
    </row>
    <row r="4" spans="1:21" ht="20" customHeight="1" x14ac:dyDescent="0.25">
      <c r="A4" s="17" t="str">
        <f>HYPERLINK("#'Results'!A1", "Results")</f>
        <v>Results</v>
      </c>
    </row>
    <row r="5" spans="1:21" ht="20" customHeight="1" x14ac:dyDescent="0.25"/>
    <row r="6" spans="1:21" ht="20" customHeight="1" x14ac:dyDescent="0.25"/>
    <row r="7" spans="1:21" ht="20" customHeight="1" x14ac:dyDescent="0.25">
      <c r="A7" s="19" t="s">
        <v>0</v>
      </c>
    </row>
    <row r="8" spans="1:21" ht="20" customHeight="1" x14ac:dyDescent="0.25">
      <c r="A8" s="17" t="str">
        <f>HYPERLINK("#'Input - Site'!A1", "Site")</f>
        <v>Site</v>
      </c>
    </row>
    <row r="9" spans="1:21" ht="20" customHeight="1" x14ac:dyDescent="0.25">
      <c r="A9" s="17" t="str">
        <f>HYPERLINK("#'Input - Pasture Beef'!A1", "Pasture Beef")</f>
        <v>Pasture Beef</v>
      </c>
    </row>
    <row r="10" spans="1:21" ht="20" customHeight="1" x14ac:dyDescent="0.25"/>
    <row r="11" spans="1:21" ht="20" customHeight="1" x14ac:dyDescent="0.25"/>
    <row r="12" spans="1:21" ht="20" customHeight="1" x14ac:dyDescent="0.25">
      <c r="A12" s="18" t="s">
        <v>72</v>
      </c>
    </row>
    <row r="13" spans="1:21" ht="20" customHeight="1" x14ac:dyDescent="0.25">
      <c r="A13" s="17" t="str">
        <f>HYPERLINK("#'4.2.1.1-2 Methane'!A1", "4.2.1.1-2 Methane")</f>
        <v>4.2.1.1-2 Methane</v>
      </c>
    </row>
    <row r="14" spans="1:21" ht="20" customHeight="1" x14ac:dyDescent="0.25">
      <c r="A14" s="17" t="str">
        <f>HYPERLINK("#'4.2.1.3-4 Soil direct N20'!A1", "4.2.1.3-4 Soil direct N20")</f>
        <v>4.2.1.3-4 Soil direct N20</v>
      </c>
    </row>
    <row r="15" spans="1:21" ht="20" customHeight="1" x14ac:dyDescent="0.25">
      <c r="A15" s="17" t="str">
        <f>HYPERLINK("#'4.2.1.5-6 Soil Atmos Dep'!A1", "4.2.1.5-6 Soil Atmos Dep")</f>
        <v>4.2.1.5-6 Soil Atmos Dep</v>
      </c>
    </row>
    <row r="16" spans="1:21" ht="20" customHeight="1" x14ac:dyDescent="0.25">
      <c r="A16" s="17" t="str">
        <f>HYPERLINK("#'4.2.1.7-8 Soil leach runoff'!A1", "4.2.1.7-8 Soil leach runoff")</f>
        <v>4.2.1.7-8 Soil leach runoff</v>
      </c>
    </row>
    <row r="17" spans="1:1" ht="20" customHeight="1" x14ac:dyDescent="0.25"/>
    <row r="18" spans="1:1" ht="20" customHeight="1" x14ac:dyDescent="0.25"/>
    <row r="19" spans="1:1" ht="20" customHeight="1" x14ac:dyDescent="0.25">
      <c r="A19" s="125" t="s">
        <v>1</v>
      </c>
    </row>
    <row r="20" spans="1:1" ht="20" customHeight="1" x14ac:dyDescent="0.25">
      <c r="A20" s="17" t="str">
        <f>HYPERLINK("#'Constants - Pasture Beef'!A1", "Constants - Pasture Beef")</f>
        <v>Constants - Pasture Beef</v>
      </c>
    </row>
    <row r="21" spans="1:1" ht="20" customHeight="1" x14ac:dyDescent="0.25">
      <c r="A21" s="17" t="str">
        <f>HYPERLINK("#'Constants - Common'!A1", "Constants - Common")</f>
        <v>Constants - Common</v>
      </c>
    </row>
    <row r="22" spans="1:1" ht="20" customHeight="1" x14ac:dyDescent="0.25">
      <c r="A22" s="17" t="str">
        <f>HYPERLINK("#'Constants - Common Livestock'!A1", "Constants - Common Livestock")</f>
        <v>Constants - Common Livestock</v>
      </c>
    </row>
    <row r="23" spans="1:1" ht="20" customHeight="1" x14ac:dyDescent="0.25">
      <c r="A23" s="17" t="str">
        <f>HYPERLINK("#'Acknowledgements'!A1", "Acknowledgements")</f>
        <v>Acknowledgements</v>
      </c>
    </row>
    <row r="24" spans="1:1" ht="20" customHeight="1" x14ac:dyDescent="0.25">
      <c r="A24" s="128" t="str">
        <f>HYPERLINK("#'Tab template'!A1", "Tab template")</f>
        <v>Tab template</v>
      </c>
    </row>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105</vt:i4>
      </vt:variant>
    </vt:vector>
  </HeadingPairs>
  <TitlesOfParts>
    <vt:vector size="118"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2026-08-28T04:49:00Z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2026-09-02T17:27:06; rename=True resize=True scope=all</vt:lpwstr>
  </property>
</Properties>
</file>